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Summary" sheetId="2" state="visible" r:id="rId4"/>
    <sheet name="State Explorer" sheetId="3" state="visible" r:id="rId5"/>
    <sheet name="Lists" sheetId="4" state="hidden" r:id="rId6"/>
    <sheet name="Virginia Loans" sheetId="5" state="visible" r:id="rId7"/>
    <sheet name="Data" sheetId="6" state="visible" r:id="rId8"/>
  </sheets>
  <definedNames>
    <definedName function="false" hidden="true" localSheetId="5" name="_xlnm._FilterDatabase" vbProcedure="false">Data!$A$4:$G$6318</definedName>
    <definedName function="false" hidden="true" localSheetId="4" name="_xlnm._FilterDatabase" vbProcedure="false">'Virginia Loans'!$A$4:$M$5690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<sst xmlns="http://schemas.openxmlformats.org/spreadsheetml/2006/main" count="46981" uniqueCount="1204">
  <si>
    <t xml:space="preserve">About this workbook</t>
  </si>
  <si>
    <t xml:space="preserve">Data source</t>
  </si>
  <si>
    <t xml:space="preserve">U.S. Small Business Administration, 7(a) FOIA loan data, FY2020 to present, as of June 30, 2026. https://data.sba.gov/dataset/7a-504-foia (public domain).</t>
  </si>
  <si>
    <t xml:space="preserve">What is a 7(a) loan?</t>
  </si>
  <si>
    <t xml:space="preserve">SBA's main small business loan program. Private lenders make the loans and SBA guarantees part of each one.</t>
  </si>
  <si>
    <t xml:space="preserve">Cleaning</t>
  </si>
  <si>
    <t xml:space="preserve">Cancelled loans (approved but never funded) were removed: 50,104 of 388,338 rows. Borrower names and addresses were dropped.</t>
  </si>
  <si>
    <t xml:space="preserve">Fiscal year</t>
  </si>
  <si>
    <t xml:space="preserve">SBA fiscal years run October 1 to September 30. FY2026 is partial (through June 30, 2026).</t>
  </si>
  <si>
    <t xml:space="preserve">Average rate</t>
  </si>
  <si>
    <t xml:space="preserve">Simple average of each loan's initial interest rate, not weighted by loan size.</t>
  </si>
  <si>
    <t xml:space="preserve">Summary</t>
  </si>
  <si>
    <t xml:space="preserve">Year and industry totals, built with SUMIFS formulas over the Data sheet.</t>
  </si>
  <si>
    <t xml:space="preserve">State Explorer</t>
  </si>
  <si>
    <t xml:space="preserve">Choose any state in the yellow cell to see its totals, trend, and industry mix.</t>
  </si>
  <si>
    <t xml:space="preserve">Virginia Loans</t>
  </si>
  <si>
    <t xml:space="preserve">Every funded Virginia loan, ready for filtering or a PivotTable (Insert &gt; PivotTable).</t>
  </si>
  <si>
    <t xml:space="preserve">Data</t>
  </si>
  <si>
    <t xml:space="preserve">Aggregated by fiscal year, state, and industry sector. All other sheets calculate from it.</t>
  </si>
  <si>
    <t xml:space="preserve">Color code</t>
  </si>
  <si>
    <t xml:space="preserve">Yellow fill with blue text marks the one input cell. Everything else is a formula or source data.</t>
  </si>
  <si>
    <t xml:space="preserve">SBA 7(a) Small Business Lending, FY2020 to June 2026</t>
  </si>
  <si>
    <t xml:space="preserve">All figures calculate from the Data sheet with SUMIFS. FY2026 is a partial year (October 2025 to June 2026).</t>
  </si>
  <si>
    <t xml:space="preserve">Lending by fiscal year</t>
  </si>
  <si>
    <t xml:space="preserve">Fiscal Year</t>
  </si>
  <si>
    <t xml:space="preserve">Loans</t>
  </si>
  <si>
    <t xml:space="preserve">Total Approved ($)</t>
  </si>
  <si>
    <t xml:space="preserve">Avg Loan ($)</t>
  </si>
  <si>
    <t xml:space="preserve">Avg Rate (%)</t>
  </si>
  <si>
    <t xml:space="preserve">YoY Change in $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</si>
  <si>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</si>
  <si>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</si>
  <si>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</si>
  <si>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</si>
  <si>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</si>
  <si>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</si>
  <si>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2026*</t>
  </si>
  <si>
    <t xml:space="preserve">n/a (partial year)</t>
  </si>
  <si>
    <t xml:space="preserve">Total</t>
  </si>
  <si>
    <t xml:space="preserve">Lending by industry sector (all years)</t>
  </si>
  <si>
    <t xml:space="preserve">Industry Sector</t>
  </si>
  <si>
    <t xml:space="preserve">Share of $</t>
  </si>
  <si>
    <t xml:space="preserve">Accommodation &amp; Food Services</t>
  </si>
  <si>
    <t xml:space="preserve">Retail Trade</t>
  </si>
  <si>
    <t xml:space="preserve">Health Care &amp; Social Assistance</t>
  </si>
  <si>
    <t xml:space="preserve">Construction</t>
  </si>
  <si>
    <t xml:space="preserve">Other Services</t>
  </si>
  <si>
    <t xml:space="preserve">Manufacturing</t>
  </si>
  <si>
    <t xml:space="preserve">Professional &amp; Technical Services</t>
  </si>
  <si>
    <t xml:space="preserve">Wholesale Trade</t>
  </si>
  <si>
    <t xml:space="preserve">Admin, Support &amp; Waste Services</t>
  </si>
  <si>
    <t xml:space="preserve">Arts, Entertainment &amp; Recreation</t>
  </si>
  <si>
    <t xml:space="preserve">Transportation &amp; Warehousing</t>
  </si>
  <si>
    <t xml:space="preserve">Real Estate &amp; Rental</t>
  </si>
  <si>
    <t xml:space="preserve">Finance &amp; Insurance</t>
  </si>
  <si>
    <t xml:space="preserve">Agriculture, Forestry &amp; Fishing</t>
  </si>
  <si>
    <t xml:space="preserve">Educational Services</t>
  </si>
  <si>
    <t xml:space="preserve">Information</t>
  </si>
  <si>
    <t xml:space="preserve">Mining &amp; Oil/Gas</t>
  </si>
  <si>
    <t xml:space="preserve">Management of Companies</t>
  </si>
  <si>
    <t xml:space="preserve">Utilities</t>
  </si>
  <si>
    <t xml:space="preserve">Public Administration</t>
  </si>
  <si>
    <t xml:space="preserve">* FY2026 covers October 2025 to June 30, 2026 only, so it is not comparable to full years.</t>
  </si>
  <si>
    <t xml:space="preserve">Pick a state in the yellow cell. Every number below recalculates from the Data sheet.</t>
  </si>
  <si>
    <t xml:space="preserve">State (2-letter code):</t>
  </si>
  <si>
    <t xml:space="preserve">VA</t>
  </si>
  <si>
    <t xml:space="preserve">Total loans</t>
  </si>
  <si>
    <t xml:space="preserve">Total approved ($)</t>
  </si>
  <si>
    <t xml:space="preserve">Average loan ($)</t>
  </si>
  <si>
    <t xml:space="preserve">Average interest rate (%)</t>
  </si>
  <si>
    <t xml:space="preserve">Share of national dollars</t>
  </si>
  <si>
    <t xml:space="preserve">National rank by dollars</t>
  </si>
  <si>
    <t xml:space="preserve">Rank list is precomputed in the hidden Lists sheet, sorted by total dollars.</t>
  </si>
  <si>
    <t xml:space="preserve">Share of State $</t>
  </si>
  <si>
    <t xml:space="preserve">AK</t>
  </si>
  <si>
    <t xml:space="preserve">CA</t>
  </si>
  <si>
    <t xml:space="preserve">AL</t>
  </si>
  <si>
    <t xml:space="preserve">TX</t>
  </si>
  <si>
    <t xml:space="preserve">AR</t>
  </si>
  <si>
    <t xml:space="preserve">FL</t>
  </si>
  <si>
    <t xml:space="preserve">AZ</t>
  </si>
  <si>
    <t xml:space="preserve">GA</t>
  </si>
  <si>
    <t xml:space="preserve">NY</t>
  </si>
  <si>
    <t xml:space="preserve">CO</t>
  </si>
  <si>
    <t xml:space="preserve">OH</t>
  </si>
  <si>
    <t xml:space="preserve">CT</t>
  </si>
  <si>
    <t xml:space="preserve">IL</t>
  </si>
  <si>
    <t xml:space="preserve">DC</t>
  </si>
  <si>
    <t xml:space="preserve">DE</t>
  </si>
  <si>
    <t xml:space="preserve">WA</t>
  </si>
  <si>
    <t xml:space="preserve">NC</t>
  </si>
  <si>
    <t xml:space="preserve">NJ</t>
  </si>
  <si>
    <t xml:space="preserve">GU</t>
  </si>
  <si>
    <t xml:space="preserve">PA</t>
  </si>
  <si>
    <t xml:space="preserve">HI</t>
  </si>
  <si>
    <t xml:space="preserve">MI</t>
  </si>
  <si>
    <t xml:space="preserve">IA</t>
  </si>
  <si>
    <t xml:space="preserve">ID</t>
  </si>
  <si>
    <t xml:space="preserve">MN</t>
  </si>
  <si>
    <t xml:space="preserve">WI</t>
  </si>
  <si>
    <t xml:space="preserve">IN</t>
  </si>
  <si>
    <t xml:space="preserve">KS</t>
  </si>
  <si>
    <t xml:space="preserve">KY</t>
  </si>
  <si>
    <t xml:space="preserve">MO</t>
  </si>
  <si>
    <t xml:space="preserve">LA</t>
  </si>
  <si>
    <t xml:space="preserve">UT</t>
  </si>
  <si>
    <t xml:space="preserve">MA</t>
  </si>
  <si>
    <t xml:space="preserve">MD</t>
  </si>
  <si>
    <t xml:space="preserve">OR</t>
  </si>
  <si>
    <t xml:space="preserve">ME</t>
  </si>
  <si>
    <t xml:space="preserve">TN</t>
  </si>
  <si>
    <t xml:space="preserve">SC</t>
  </si>
  <si>
    <t xml:space="preserve">NV</t>
  </si>
  <si>
    <t xml:space="preserve">MS</t>
  </si>
  <si>
    <t xml:space="preserve">OK</t>
  </si>
  <si>
    <t xml:space="preserve">MT</t>
  </si>
  <si>
    <t xml:space="preserve">ND</t>
  </si>
  <si>
    <t xml:space="preserve">NE</t>
  </si>
  <si>
    <t xml:space="preserve">NH</t>
  </si>
  <si>
    <t xml:space="preserve">NM</t>
  </si>
  <si>
    <t xml:space="preserve">PR</t>
  </si>
  <si>
    <t xml:space="preserve">RI</t>
  </si>
  <si>
    <t xml:space="preserve">SD</t>
  </si>
  <si>
    <t xml:space="preserve">WV</t>
  </si>
  <si>
    <t xml:space="preserve">VI</t>
  </si>
  <si>
    <t xml:space="preserve">WY</t>
  </si>
  <si>
    <t xml:space="preserve">VT</t>
  </si>
  <si>
    <t xml:space="preserve">Virginia SBA 7(a) loans (loan level)</t>
  </si>
  <si>
    <t xml:space="preserve">Borrower names and addresses removed. Use the filters to explore by county, industry, or product.</t>
  </si>
  <si>
    <t xml:space="preserve">Approval Date</t>
  </si>
  <si>
    <t xml:space="preserve">County / City</t>
  </si>
  <si>
    <t xml:space="preserve">NAICS Description</t>
  </si>
  <si>
    <t xml:space="preserve">Product</t>
  </si>
  <si>
    <t xml:space="preserve">Business Age</t>
  </si>
  <si>
    <t xml:space="preserve">Lender</t>
  </si>
  <si>
    <t xml:space="preserve">Loan Amount ($)</t>
  </si>
  <si>
    <t xml:space="preserve">SBA Guarantee ($)</t>
  </si>
  <si>
    <t xml:space="preserve">Interest Rate (%)</t>
  </si>
  <si>
    <t xml:space="preserve">Term (Months)</t>
  </si>
  <si>
    <t xml:space="preserve">Jobs Supported</t>
  </si>
  <si>
    <t xml:space="preserve">CHESAPEAKE CITY</t>
  </si>
  <si>
    <t xml:space="preserve">Child Day Care Services </t>
  </si>
  <si>
    <t xml:space="preserve">Preferred Lender (PLP)</t>
  </si>
  <si>
    <t xml:space="preserve">Startup</t>
  </si>
  <si>
    <t xml:space="preserve">Live Oak Banking Company</t>
  </si>
  <si>
    <t xml:space="preserve">ARLINGTON</t>
  </si>
  <si>
    <t xml:space="preserve">Drycleaning and Laundry Services (except Coin-Operated) </t>
  </si>
  <si>
    <t xml:space="preserve">SBA Express</t>
  </si>
  <si>
    <t xml:space="preserve">Existing (2+ years)</t>
  </si>
  <si>
    <t xml:space="preserve">Hanmi Bank</t>
  </si>
  <si>
    <t xml:space="preserve">BOTETOURT</t>
  </si>
  <si>
    <t xml:space="preserve">Commercial Screen Printing </t>
  </si>
  <si>
    <t xml:space="preserve">Change of Ownership</t>
  </si>
  <si>
    <t xml:space="preserve">The Bancorp Bank National Association</t>
  </si>
  <si>
    <t xml:space="preserve">WINCHESTER CITY</t>
  </si>
  <si>
    <t xml:space="preserve">Investment Advice </t>
  </si>
  <si>
    <t xml:space="preserve">Unanswered</t>
  </si>
  <si>
    <t xml:space="preserve">ESSEX</t>
  </si>
  <si>
    <t xml:space="preserve">Logging </t>
  </si>
  <si>
    <t xml:space="preserve">Manufacturers and Traders Trust Company</t>
  </si>
  <si>
    <t xml:space="preserve">HENRICO</t>
  </si>
  <si>
    <t xml:space="preserve">Offices of Dentists </t>
  </si>
  <si>
    <t xml:space="preserve">Bank of America, National Association</t>
  </si>
  <si>
    <t xml:space="preserve">VIRGINIA BEACH CITY</t>
  </si>
  <si>
    <t xml:space="preserve">Full-Service Restaurants </t>
  </si>
  <si>
    <t xml:space="preserve">Truist Bank</t>
  </si>
  <si>
    <t xml:space="preserve">PRINCE WILLIAM</t>
  </si>
  <si>
    <t xml:space="preserve">Home Health Care Services</t>
  </si>
  <si>
    <t xml:space="preserve">Wells Fargo Bank National Association</t>
  </si>
  <si>
    <t xml:space="preserve">LOUDOUN</t>
  </si>
  <si>
    <t xml:space="preserve">Other Management Consulting Services </t>
  </si>
  <si>
    <t xml:space="preserve">BayFirst National Bank</t>
  </si>
  <si>
    <t xml:space="preserve">FAIRFAX</t>
  </si>
  <si>
    <t xml:space="preserve">PRINCE GEORGE</t>
  </si>
  <si>
    <t xml:space="preserve">Office Administrative Services</t>
  </si>
  <si>
    <t xml:space="preserve">FREDERICKSBURG CITY</t>
  </si>
  <si>
    <t xml:space="preserve">Mobile Food Services</t>
  </si>
  <si>
    <t xml:space="preserve">LUNENBURG</t>
  </si>
  <si>
    <t xml:space="preserve">Bed-and-Breakfast Inns </t>
  </si>
  <si>
    <t xml:space="preserve">Primis Bank</t>
  </si>
  <si>
    <t xml:space="preserve">Limited-Service Restaurants </t>
  </si>
  <si>
    <t xml:space="preserve">Simmons Bank</t>
  </si>
  <si>
    <t xml:space="preserve">Computer Systems Design Services </t>
  </si>
  <si>
    <t xml:space="preserve">NEW KENT</t>
  </si>
  <si>
    <t xml:space="preserve">Wineries </t>
  </si>
  <si>
    <t xml:space="preserve">Exam Preparation and Tutoring </t>
  </si>
  <si>
    <t xml:space="preserve">Automotive Body, Paint, and Interior Repair and Maintenance </t>
  </si>
  <si>
    <t xml:space="preserve">Capital One National Association</t>
  </si>
  <si>
    <t xml:space="preserve">HOPEWELL CITY</t>
  </si>
  <si>
    <t xml:space="preserve">Convenience Stores </t>
  </si>
  <si>
    <t xml:space="preserve">Hobby, Toy, and Game Stores </t>
  </si>
  <si>
    <t xml:space="preserve">PNC Bank, National Association</t>
  </si>
  <si>
    <t xml:space="preserve">APPOMATTOX</t>
  </si>
  <si>
    <t xml:space="preserve">Landscaping Services</t>
  </si>
  <si>
    <t xml:space="preserve">Standard 7(a)</t>
  </si>
  <si>
    <t xml:space="preserve">Central Virginia Federal Credit Union</t>
  </si>
  <si>
    <t xml:space="preserve">FAIRFAX CITY</t>
  </si>
  <si>
    <t xml:space="preserve">Cosmetics, Beauty Supplies, and Perfume Stores </t>
  </si>
  <si>
    <t xml:space="preserve">RICHMOND CITY</t>
  </si>
  <si>
    <t xml:space="preserve">Commercial and Institutional Building Construction </t>
  </si>
  <si>
    <t xml:space="preserve">Newtek Small Business Finance, Inc.</t>
  </si>
  <si>
    <t xml:space="preserve">SPOTSYLVANIA</t>
  </si>
  <si>
    <t xml:space="preserve">Residential Remodelers </t>
  </si>
  <si>
    <t xml:space="preserve">CHESTERFIELD</t>
  </si>
  <si>
    <t xml:space="preserve">Special Needs Transportation </t>
  </si>
  <si>
    <t xml:space="preserve">TD Bank, National Association</t>
  </si>
  <si>
    <t xml:space="preserve">ALEXANDRIA CITY</t>
  </si>
  <si>
    <t xml:space="preserve">Educational Support Services</t>
  </si>
  <si>
    <t xml:space="preserve">SouthState Bank, National Association</t>
  </si>
  <si>
    <t xml:space="preserve">CHARLOTTESVILLE CITY</t>
  </si>
  <si>
    <t xml:space="preserve">All Other Professional, Scientific, and Technical Services</t>
  </si>
  <si>
    <t xml:space="preserve">The Huntington National Bank</t>
  </si>
  <si>
    <t xml:space="preserve">Custom Computer Programming Services </t>
  </si>
  <si>
    <t xml:space="preserve">MONTGOMERY</t>
  </si>
  <si>
    <t xml:space="preserve">Home Furnishing Merchant Wholesalers </t>
  </si>
  <si>
    <t xml:space="preserve">Metro City Bank</t>
  </si>
  <si>
    <t xml:space="preserve">FREDERICK</t>
  </si>
  <si>
    <t xml:space="preserve">Tire Dealers </t>
  </si>
  <si>
    <t xml:space="preserve">Open Bank</t>
  </si>
  <si>
    <t xml:space="preserve">Gasoline Stations with Convenience Stores </t>
  </si>
  <si>
    <t xml:space="preserve">BayPort Federal Credit Union</t>
  </si>
  <si>
    <t xml:space="preserve">Stearns Bank National Association</t>
  </si>
  <si>
    <t xml:space="preserve">All Other Specialty Trade Contractors</t>
  </si>
  <si>
    <t xml:space="preserve">Seacoast National Bank</t>
  </si>
  <si>
    <t xml:space="preserve">Floor Covering Stores </t>
  </si>
  <si>
    <t xml:space="preserve">Industrial Machinery and Equipment Merchant Wholesalers </t>
  </si>
  <si>
    <t xml:space="preserve">Caterers</t>
  </si>
  <si>
    <t xml:space="preserve">Fulton Bank, National Association</t>
  </si>
  <si>
    <t xml:space="preserve">Architectural Services</t>
  </si>
  <si>
    <t xml:space="preserve">Five Star Bank</t>
  </si>
  <si>
    <t xml:space="preserve">HAMPTON CITY</t>
  </si>
  <si>
    <t xml:space="preserve">Nail Salons </t>
  </si>
  <si>
    <t xml:space="preserve">SHENANDOAH</t>
  </si>
  <si>
    <t xml:space="preserve">Other Support Activities for Air Transportation</t>
  </si>
  <si>
    <t xml:space="preserve">Pioneer Bank</t>
  </si>
  <si>
    <t xml:space="preserve">NEWPORT NEWS CITY</t>
  </si>
  <si>
    <t xml:space="preserve">Insurance Agencies and Brokerages </t>
  </si>
  <si>
    <t xml:space="preserve">Computer Training </t>
  </si>
  <si>
    <t xml:space="preserve">ORANGE</t>
  </si>
  <si>
    <t xml:space="preserve">Fitness and Recreational Sports Centers </t>
  </si>
  <si>
    <t xml:space="preserve">Columbia Bank</t>
  </si>
  <si>
    <t xml:space="preserve">MATHEWS</t>
  </si>
  <si>
    <t xml:space="preserve">Snack and Nonalcoholic Beverage Bars </t>
  </si>
  <si>
    <t xml:space="preserve">STAFFORD</t>
  </si>
  <si>
    <t xml:space="preserve">Automotive Glass Replacement Shops </t>
  </si>
  <si>
    <t xml:space="preserve">All Other Miscellaneous Store Retailers (except Tobacco Stores) </t>
  </si>
  <si>
    <t xml:space="preserve">The National Bank of Blacksburg</t>
  </si>
  <si>
    <t xml:space="preserve">Hotels (except Casino Hotels) and Motels </t>
  </si>
  <si>
    <t xml:space="preserve">Bank of Hope</t>
  </si>
  <si>
    <t xml:space="preserve">LOUISA</t>
  </si>
  <si>
    <t xml:space="preserve">Motor Vehicle Towing</t>
  </si>
  <si>
    <t xml:space="preserve">New Horizon Bank, National Association</t>
  </si>
  <si>
    <t xml:space="preserve">MANASSAS CITY</t>
  </si>
  <si>
    <t xml:space="preserve">Plumbing, Heating, and Air-Conditioning Contractors </t>
  </si>
  <si>
    <t xml:space="preserve">Other Electronic and Precision Equipment Repair and Maintenance </t>
  </si>
  <si>
    <t xml:space="preserve">Blue Ridge Bank National Association</t>
  </si>
  <si>
    <t xml:space="preserve">Offices of Physical, Occupational and Speech Therapists, and Audiologists </t>
  </si>
  <si>
    <t xml:space="preserve">SALEM</t>
  </si>
  <si>
    <t xml:space="preserve">General Freight Trucking, Long-Distance, Truckload </t>
  </si>
  <si>
    <t xml:space="preserve">Beauty Salons </t>
  </si>
  <si>
    <t xml:space="preserve">Electronics Stores </t>
  </si>
  <si>
    <t xml:space="preserve">Convention and Trade Show Organizers</t>
  </si>
  <si>
    <t xml:space="preserve">General Automotive Repair </t>
  </si>
  <si>
    <t xml:space="preserve">COLONIAL HEIGHTS CITY</t>
  </si>
  <si>
    <t xml:space="preserve">Supermarkets and Other Grocery (except Convenience) Stores </t>
  </si>
  <si>
    <t xml:space="preserve">CARROLL</t>
  </si>
  <si>
    <t xml:space="preserve">Skyline National Bank</t>
  </si>
  <si>
    <t xml:space="preserve">Drugs and Druggists' Sundries Merchant Wholesalers </t>
  </si>
  <si>
    <t xml:space="preserve">Other Snack Food Manufacturing </t>
  </si>
  <si>
    <t xml:space="preserve">Celtic Bank Corporation</t>
  </si>
  <si>
    <t xml:space="preserve">Interior Design Services</t>
  </si>
  <si>
    <t xml:space="preserve">Burke &amp; Herbert Bank &amp; Trust Company</t>
  </si>
  <si>
    <t xml:space="preserve">ALBEMARLE</t>
  </si>
  <si>
    <t xml:space="preserve">Barber Shops </t>
  </si>
  <si>
    <t xml:space="preserve">Outdoor Power Equipment Stores </t>
  </si>
  <si>
    <t xml:space="preserve">Readycap Lending, LLC</t>
  </si>
  <si>
    <t xml:space="preserve">Other Personal Care Services </t>
  </si>
  <si>
    <t xml:space="preserve">Engineering Services</t>
  </si>
  <si>
    <t xml:space="preserve">Capital Bank, National Association</t>
  </si>
  <si>
    <t xml:space="preserve">BankUnited, National Association</t>
  </si>
  <si>
    <t xml:space="preserve">Highway, Street, and Bridge Construction </t>
  </si>
  <si>
    <t xml:space="preserve">TowneBank</t>
  </si>
  <si>
    <t xml:space="preserve">Security Systems Services (except Locksmiths) </t>
  </si>
  <si>
    <t xml:space="preserve">Other</t>
  </si>
  <si>
    <t xml:space="preserve">Sign Manufacturing</t>
  </si>
  <si>
    <t xml:space="preserve">PCB Bank</t>
  </si>
  <si>
    <t xml:space="preserve">MARTINSVILLE CITY</t>
  </si>
  <si>
    <t xml:space="preserve">United Midwest Savings Bank National Association</t>
  </si>
  <si>
    <t xml:space="preserve">SMYTH</t>
  </si>
  <si>
    <t xml:space="preserve">First Western SBLC, LLC</t>
  </si>
  <si>
    <t xml:space="preserve">Mortgage and Nonmortgage Loan Brokers </t>
  </si>
  <si>
    <t xml:space="preserve">Atlantic Union Bank</t>
  </si>
  <si>
    <t xml:space="preserve">HARRISONBURG CITY</t>
  </si>
  <si>
    <t xml:space="preserve">Site Preparation Contractors</t>
  </si>
  <si>
    <t xml:space="preserve">Offices of Physicians, Mental Health Specialists </t>
  </si>
  <si>
    <t xml:space="preserve">Administrative Management and General Management Consulting Services </t>
  </si>
  <si>
    <t xml:space="preserve">Sports and Recreation Instruction </t>
  </si>
  <si>
    <t xml:space="preserve">Offices of Physicians (except Mental Health Specialists) </t>
  </si>
  <si>
    <t xml:space="preserve">All Other Personal Services </t>
  </si>
  <si>
    <t xml:space="preserve">Ameris Bank</t>
  </si>
  <si>
    <t xml:space="preserve">MECKLENBURG</t>
  </si>
  <si>
    <t xml:space="preserve">All Other Miscellaneous Ambulatory Health Care Services </t>
  </si>
  <si>
    <t xml:space="preserve">Uwharrie Bank</t>
  </si>
  <si>
    <t xml:space="preserve">NORFOLK CITY</t>
  </si>
  <si>
    <t xml:space="preserve">Offices of Lawyers</t>
  </si>
  <si>
    <t xml:space="preserve">Retail Bakeries </t>
  </si>
  <si>
    <t xml:space="preserve">The First Bank and Trust Company</t>
  </si>
  <si>
    <t xml:space="preserve">The MINT National Bank</t>
  </si>
  <si>
    <t xml:space="preserve">CHARLES CITY</t>
  </si>
  <si>
    <t xml:space="preserve">Tax Preparation Services </t>
  </si>
  <si>
    <t xml:space="preserve">WASHINGTON</t>
  </si>
  <si>
    <t xml:space="preserve">Clothing Accessories Stores </t>
  </si>
  <si>
    <t xml:space="preserve">ROANOKE CITY</t>
  </si>
  <si>
    <t xml:space="preserve">Wood Office Furniture Manufacturing </t>
  </si>
  <si>
    <t xml:space="preserve">Pinnacle Bank</t>
  </si>
  <si>
    <t xml:space="preserve">Pet Care (except Veterinary) Services </t>
  </si>
  <si>
    <t xml:space="preserve">LYNCHBURG CITY</t>
  </si>
  <si>
    <t xml:space="preserve">Electronic Shopping and Mail-Order Houses </t>
  </si>
  <si>
    <t xml:space="preserve">ROCKINGHAM</t>
  </si>
  <si>
    <t xml:space="preserve">All Other Amusement and Recreation Industries </t>
  </si>
  <si>
    <t xml:space="preserve">MVB Bank, Inc.</t>
  </si>
  <si>
    <t xml:space="preserve">KING GEORGE</t>
  </si>
  <si>
    <t xml:space="preserve">Soybean Farming</t>
  </si>
  <si>
    <t xml:space="preserve">Residential Property Managers </t>
  </si>
  <si>
    <t xml:space="preserve">WYTHE</t>
  </si>
  <si>
    <t xml:space="preserve">Customers Bank</t>
  </si>
  <si>
    <t xml:space="preserve">GBank</t>
  </si>
  <si>
    <t xml:space="preserve">Machine Shops</t>
  </si>
  <si>
    <t xml:space="preserve">CAMPBELL</t>
  </si>
  <si>
    <t xml:space="preserve">Temporary Help Services</t>
  </si>
  <si>
    <t xml:space="preserve">Wholesale Trade Agents and Brokers </t>
  </si>
  <si>
    <t xml:space="preserve">Other Residential Care Facilities </t>
  </si>
  <si>
    <t xml:space="preserve">FAUQUIER</t>
  </si>
  <si>
    <t xml:space="preserve">Interurban and Rural Bus Transportation</t>
  </si>
  <si>
    <t xml:space="preserve">Centerstone SBA Lending, Inc.</t>
  </si>
  <si>
    <t xml:space="preserve">Independent Artists, Writers, and Performers </t>
  </si>
  <si>
    <t xml:space="preserve">Finish Carpentry Contractors</t>
  </si>
  <si>
    <t xml:space="preserve">Soap and Other Detergent Manufacturing </t>
  </si>
  <si>
    <t xml:space="preserve">Locus Bank Inc</t>
  </si>
  <si>
    <t xml:space="preserve">Offices of Optometrists</t>
  </si>
  <si>
    <t xml:space="preserve">Food Service Contractors</t>
  </si>
  <si>
    <t xml:space="preserve">Transportation Equipment and Supplies (except Motor Vehicle) Merchant Wholesalers </t>
  </si>
  <si>
    <t xml:space="preserve">Other Scientific and Technical Consulting Services</t>
  </si>
  <si>
    <t xml:space="preserve">Outpatient Mental Health and Substance Abuse Centers </t>
  </si>
  <si>
    <t xml:space="preserve">HANOVER</t>
  </si>
  <si>
    <t xml:space="preserve">New Single-Family Housing Construction (except For-Sale Builders) </t>
  </si>
  <si>
    <t xml:space="preserve">Advertising Agencies</t>
  </si>
  <si>
    <t xml:space="preserve">First Merchants Bank</t>
  </si>
  <si>
    <t xml:space="preserve">All Other Outpatient Care Centers </t>
  </si>
  <si>
    <t xml:space="preserve">STAUNTON CITY</t>
  </si>
  <si>
    <t xml:space="preserve">Pharmacies and Drug Stores </t>
  </si>
  <si>
    <t xml:space="preserve">Pendleton Community Bank Inc</t>
  </si>
  <si>
    <t xml:space="preserve">Sewage Treatment Facilities </t>
  </si>
  <si>
    <t xml:space="preserve">JAMES CITY</t>
  </si>
  <si>
    <t xml:space="preserve">Langley FCU</t>
  </si>
  <si>
    <t xml:space="preserve">Offices of Chiropractors </t>
  </si>
  <si>
    <t xml:space="preserve">Flooring Contractors</t>
  </si>
  <si>
    <t xml:space="preserve">GOOCHLAND</t>
  </si>
  <si>
    <t xml:space="preserve">Veterinary Services </t>
  </si>
  <si>
    <t xml:space="preserve">Firstrust Savings Bank</t>
  </si>
  <si>
    <t xml:space="preserve">PITTSYLVANIA</t>
  </si>
  <si>
    <t xml:space="preserve">Funeral Homes and Funeral Services </t>
  </si>
  <si>
    <t xml:space="preserve">Other Computer Related Services</t>
  </si>
  <si>
    <t xml:space="preserve">National Cooperative Bank, National Association</t>
  </si>
  <si>
    <t xml:space="preserve">All Other Miscellaneous Manufacturing </t>
  </si>
  <si>
    <t xml:space="preserve">NORTON CITY</t>
  </si>
  <si>
    <t xml:space="preserve">Solid Waste Collection </t>
  </si>
  <si>
    <t xml:space="preserve">LGE Community CU</t>
  </si>
  <si>
    <t xml:space="preserve">PETERSBURG CITY</t>
  </si>
  <si>
    <t xml:space="preserve">Recreational Goods Rental </t>
  </si>
  <si>
    <t xml:space="preserve">Remediation Services </t>
  </si>
  <si>
    <t xml:space="preserve">Other Activities Related to Real Estate </t>
  </si>
  <si>
    <t xml:space="preserve">Potomac Bank</t>
  </si>
  <si>
    <t xml:space="preserve">Breweries</t>
  </si>
  <si>
    <t xml:space="preserve">HomeTrust Bank</t>
  </si>
  <si>
    <t xml:space="preserve">PULASKI</t>
  </si>
  <si>
    <t xml:space="preserve">EagleBank</t>
  </si>
  <si>
    <t xml:space="preserve">New Car Dealers </t>
  </si>
  <si>
    <t xml:space="preserve">Industrial Building Construction </t>
  </si>
  <si>
    <t xml:space="preserve">BEDFORD</t>
  </si>
  <si>
    <t xml:space="preserve">Electroplating, Plating, Polishing, Anodizing, and Coloring </t>
  </si>
  <si>
    <t xml:space="preserve">Testing Laboratories</t>
  </si>
  <si>
    <t xml:space="preserve">Citizens Bank</t>
  </si>
  <si>
    <t xml:space="preserve">Offices of Real Estate Agents and Brokers</t>
  </si>
  <si>
    <t xml:space="preserve">FALLS CHURCH CITY</t>
  </si>
  <si>
    <t xml:space="preserve">Other Gasoline Stations </t>
  </si>
  <si>
    <t xml:space="preserve">All Other Automotive Repair and Maintenance </t>
  </si>
  <si>
    <t xml:space="preserve">FRANKLIN</t>
  </si>
  <si>
    <t xml:space="preserve">First Internet Bank of Indiana</t>
  </si>
  <si>
    <t xml:space="preserve">Exterminating and Pest Control Services</t>
  </si>
  <si>
    <t xml:space="preserve">Used Car Dealers </t>
  </si>
  <si>
    <t xml:space="preserve">University of Virginia Community Credit Union Inc</t>
  </si>
  <si>
    <t xml:space="preserve">Offices of All Other Miscellaneous Health Practitioners </t>
  </si>
  <si>
    <t xml:space="preserve">HALIFAX</t>
  </si>
  <si>
    <t xml:space="preserve">HENRY</t>
  </si>
  <si>
    <t xml:space="preserve">All Other Transit and Ground Passenger Transportation </t>
  </si>
  <si>
    <t xml:space="preserve">Freedom First Federal Credit Union</t>
  </si>
  <si>
    <t xml:space="preserve">Glass Product Manufacturing Made of Purchased Glass </t>
  </si>
  <si>
    <t xml:space="preserve">Coffee and Tea Manufacturing </t>
  </si>
  <si>
    <t xml:space="preserve">Doll, Toy, and Game Manufacturing</t>
  </si>
  <si>
    <t xml:space="preserve">Janitorial Services </t>
  </si>
  <si>
    <t xml:space="preserve">Other Accounting Services </t>
  </si>
  <si>
    <t xml:space="preserve">Glass and Glazing Contractors </t>
  </si>
  <si>
    <t xml:space="preserve">Offices of Certified Public Accountants </t>
  </si>
  <si>
    <t xml:space="preserve">First-Citizens Bank &amp; Trust Company</t>
  </si>
  <si>
    <t xml:space="preserve">Other Electronic Parts and Equipment Merchant Wholesalers </t>
  </si>
  <si>
    <t xml:space="preserve">Car Washes </t>
  </si>
  <si>
    <t xml:space="preserve">FinWise Bank</t>
  </si>
  <si>
    <t xml:space="preserve">MADISON</t>
  </si>
  <si>
    <t xml:space="preserve">CLARKE</t>
  </si>
  <si>
    <t xml:space="preserve">Nursery, Garden Center, and Farm Supply Stores </t>
  </si>
  <si>
    <t xml:space="preserve">FLUVANNA</t>
  </si>
  <si>
    <t xml:space="preserve">Lessors of Miniwarehouses and Self-Storage Units </t>
  </si>
  <si>
    <t xml:space="preserve">Bank Five Nine</t>
  </si>
  <si>
    <t xml:space="preserve">Flight Training </t>
  </si>
  <si>
    <t xml:space="preserve">Refrigeration Equipment and Supplies Merchant Wholesalers </t>
  </si>
  <si>
    <t xml:space="preserve">United Community Bank</t>
  </si>
  <si>
    <t xml:space="preserve">Mechanics and Farmers Bank</t>
  </si>
  <si>
    <t xml:space="preserve">BRISTOL</t>
  </si>
  <si>
    <t xml:space="preserve">North State Bank</t>
  </si>
  <si>
    <t xml:space="preserve">Service Establishment Equipment and Supplies Merchant Wholesalers </t>
  </si>
  <si>
    <t xml:space="preserve">ROANOKE</t>
  </si>
  <si>
    <t xml:space="preserve">Coin-Operated Laundries and Drycleaners </t>
  </si>
  <si>
    <t xml:space="preserve">SUFFOLK CITY</t>
  </si>
  <si>
    <t xml:space="preserve">Household Appliance Stores </t>
  </si>
  <si>
    <t xml:space="preserve">Motion Picture and Video Production </t>
  </si>
  <si>
    <t xml:space="preserve">Nursery and Tree Production </t>
  </si>
  <si>
    <t xml:space="preserve">Other Services to Buildings and Dwellings </t>
  </si>
  <si>
    <t xml:space="preserve">JPMorgan Chase Bank, National Association</t>
  </si>
  <si>
    <t xml:space="preserve">All Other Miscellaneous Fabricated Metal Product Manufacturing </t>
  </si>
  <si>
    <t xml:space="preserve">Roofing Contractors </t>
  </si>
  <si>
    <t xml:space="preserve">CRF Small Business Loan Company, LLC</t>
  </si>
  <si>
    <t xml:space="preserve">RICHMOND</t>
  </si>
  <si>
    <t xml:space="preserve">Business Finance Group, Inc.</t>
  </si>
  <si>
    <t xml:space="preserve">Other Services Related to Advertising </t>
  </si>
  <si>
    <t xml:space="preserve">All Other Specialty Food Stores </t>
  </si>
  <si>
    <t xml:space="preserve">Process, Physical Distribution, and Logistics Consulting Services </t>
  </si>
  <si>
    <t xml:space="preserve">Passenger Car Rental </t>
  </si>
  <si>
    <t xml:space="preserve">Wilmington Savings Fund Society FSB</t>
  </si>
  <si>
    <t xml:space="preserve">Beer and Ale Merchant Wholesalers </t>
  </si>
  <si>
    <t xml:space="preserve">Other Poultry Production </t>
  </si>
  <si>
    <t xml:space="preserve">New (2 years or less)</t>
  </si>
  <si>
    <t xml:space="preserve">Promoters of Performing Arts, Sports, and Similar Events without Facilities </t>
  </si>
  <si>
    <t xml:space="preserve">Shore United Bank, National Association</t>
  </si>
  <si>
    <t xml:space="preserve">RUSSELL</t>
  </si>
  <si>
    <t xml:space="preserve">Plastics Material and Resin Manufacturing </t>
  </si>
  <si>
    <t xml:space="preserve">Offices of Real Estate Appraisers </t>
  </si>
  <si>
    <t xml:space="preserve">Drinking Places (Alcoholic Beverages) </t>
  </si>
  <si>
    <t xml:space="preserve">Texas Capital Bank</t>
  </si>
  <si>
    <t xml:space="preserve">First Bank</t>
  </si>
  <si>
    <t xml:space="preserve">ACCOMACK</t>
  </si>
  <si>
    <t xml:space="preserve">New Millennium Bank</t>
  </si>
  <si>
    <t xml:space="preserve">Old National Bank</t>
  </si>
  <si>
    <t xml:space="preserve">MainStreet Bank</t>
  </si>
  <si>
    <t xml:space="preserve">Electrical Apparatus and Equipment, Wiring Supplies, and Related Equipment Merchant Wholesalers </t>
  </si>
  <si>
    <t xml:space="preserve">Recyclable Material Merchant Wholesalers </t>
  </si>
  <si>
    <t xml:space="preserve">Stone Bank</t>
  </si>
  <si>
    <t xml:space="preserve">Beacon Bank and Trust</t>
  </si>
  <si>
    <t xml:space="preserve">Custom Compounding of Purchased Resins </t>
  </si>
  <si>
    <t xml:space="preserve">Water and Sewer Line and Related Structures Construction </t>
  </si>
  <si>
    <t xml:space="preserve">WARREN</t>
  </si>
  <si>
    <t xml:space="preserve">All Other Miscellaneous Waste Management Services </t>
  </si>
  <si>
    <t xml:space="preserve">Carpet and Upholstery Cleaning Services</t>
  </si>
  <si>
    <t xml:space="preserve">First Business Bank</t>
  </si>
  <si>
    <t xml:space="preserve">All Other Miscellaneous Schools and Instruction </t>
  </si>
  <si>
    <t xml:space="preserve">Tobacco Stores </t>
  </si>
  <si>
    <t xml:space="preserve">Employment Placement Agencies </t>
  </si>
  <si>
    <t xml:space="preserve">PATRICK</t>
  </si>
  <si>
    <t xml:space="preserve">General Freight Trucking, Local </t>
  </si>
  <si>
    <t xml:space="preserve">First Community Bank</t>
  </si>
  <si>
    <t xml:space="preserve">PromiseOne Bank</t>
  </si>
  <si>
    <t xml:space="preserve">Fine Arts Schools </t>
  </si>
  <si>
    <t xml:space="preserve">News Syndicates</t>
  </si>
  <si>
    <t xml:space="preserve">Other Electric Power Generation </t>
  </si>
  <si>
    <t xml:space="preserve">Software Publishers</t>
  </si>
  <si>
    <t xml:space="preserve">Other Grocery and Related Products Merchant Wholesalers </t>
  </si>
  <si>
    <t xml:space="preserve">Radio Stations </t>
  </si>
  <si>
    <t xml:space="preserve">Specialized Freight (except Used Goods) Trucking, Long-Distance </t>
  </si>
  <si>
    <t xml:space="preserve">Other Miscellaneous Nondurable Goods Merchant Wholesalers </t>
  </si>
  <si>
    <t xml:space="preserve">Village Bank and Trust, National Association</t>
  </si>
  <si>
    <t xml:space="preserve">Electrical Contractors and Other Wiring Installation Contractors</t>
  </si>
  <si>
    <t xml:space="preserve">Clear Mountain Bank, Inc.</t>
  </si>
  <si>
    <t xml:space="preserve">Farmers &amp; Merchants Bank</t>
  </si>
  <si>
    <t xml:space="preserve">Gulf Coast Bank and Trust Company</t>
  </si>
  <si>
    <t xml:space="preserve">LANCASTER</t>
  </si>
  <si>
    <t xml:space="preserve">Services for the Elderly and Persons with Disabilities </t>
  </si>
  <si>
    <t xml:space="preserve">First Financial Bank</t>
  </si>
  <si>
    <t xml:space="preserve">Other Professional Equipment and Supplies Merchant Wholesalers </t>
  </si>
  <si>
    <t xml:space="preserve">DANVILLE CITY</t>
  </si>
  <si>
    <t xml:space="preserve">All Other Miscellaneous Wood Product Manufacturing </t>
  </si>
  <si>
    <t xml:space="preserve">Southern Bank</t>
  </si>
  <si>
    <t xml:space="preserve">WISE</t>
  </si>
  <si>
    <t xml:space="preserve">Amusement Arcades</t>
  </si>
  <si>
    <t xml:space="preserve">Other Building Equipment Contractors </t>
  </si>
  <si>
    <t xml:space="preserve">First National Bank of Pennsylvania</t>
  </si>
  <si>
    <t xml:space="preserve">Virginia National Bank</t>
  </si>
  <si>
    <t xml:space="preserve">Jewelry Stores </t>
  </si>
  <si>
    <t xml:space="preserve">Tobacco and Tobacco Product Merchant Wholesalers </t>
  </si>
  <si>
    <t xml:space="preserve">Environmental Consulting Services</t>
  </si>
  <si>
    <t xml:space="preserve">WILLIAMSBURG CITY</t>
  </si>
  <si>
    <t xml:space="preserve">PORTSMOUTH CITY</t>
  </si>
  <si>
    <t xml:space="preserve">Byline Bank</t>
  </si>
  <si>
    <t xml:space="preserve">Meat Markets </t>
  </si>
  <si>
    <t xml:space="preserve">NewBank</t>
  </si>
  <si>
    <t xml:space="preserve">AMHERST</t>
  </si>
  <si>
    <t xml:space="preserve">Third Coast Bank</t>
  </si>
  <si>
    <t xml:space="preserve">Port 51 Lending LLC</t>
  </si>
  <si>
    <t xml:space="preserve">Travel Agencies</t>
  </si>
  <si>
    <t xml:space="preserve">GREENE</t>
  </si>
  <si>
    <t xml:space="preserve">Hardware Stores </t>
  </si>
  <si>
    <t xml:space="preserve">GALAX CITY</t>
  </si>
  <si>
    <t xml:space="preserve">Medical Laboratories </t>
  </si>
  <si>
    <t xml:space="preserve">Touchmark National Bank</t>
  </si>
  <si>
    <t xml:space="preserve">Ambulance Services</t>
  </si>
  <si>
    <t xml:space="preserve">Materials Recovery Facilities </t>
  </si>
  <si>
    <t xml:space="preserve">CAROLINE</t>
  </si>
  <si>
    <t xml:space="preserve">Peoples Bank</t>
  </si>
  <si>
    <t xml:space="preserve">Other Clothing Stores </t>
  </si>
  <si>
    <t xml:space="preserve">ROCKBRIDGE</t>
  </si>
  <si>
    <t xml:space="preserve">Automotive Oil Change and Lubrication Shops </t>
  </si>
  <si>
    <t xml:space="preserve">Sporting Goods Stores </t>
  </si>
  <si>
    <t xml:space="preserve">Drywall and Insulation Contractors </t>
  </si>
  <si>
    <t xml:space="preserve">CULPEPER</t>
  </si>
  <si>
    <t xml:space="preserve">22nd State Bank, A Division of 22nd State Banking Company</t>
  </si>
  <si>
    <t xml:space="preserve">Grain and Field Bean Merchant Wholesalers </t>
  </si>
  <si>
    <t xml:space="preserve">Vending Machine Operators </t>
  </si>
  <si>
    <t xml:space="preserve">UniBank</t>
  </si>
  <si>
    <t xml:space="preserve">GREENSVILLE</t>
  </si>
  <si>
    <t xml:space="preserve">BRUNSWICK</t>
  </si>
  <si>
    <t xml:space="preserve">Boat Dealers </t>
  </si>
  <si>
    <t xml:space="preserve">TAZEWELL</t>
  </si>
  <si>
    <t xml:space="preserve">Promoters of Performing Arts, Sports, and Similar Events with Facilities </t>
  </si>
  <si>
    <t xml:space="preserve">Medical, Dental, and Hospital Equipment and Supplies Merchant Wholesalers </t>
  </si>
  <si>
    <t xml:space="preserve">US Eagle FCU</t>
  </si>
  <si>
    <t xml:space="preserve">SUSSEX</t>
  </si>
  <si>
    <t xml:space="preserve">Water Supply and Irrigation Systems </t>
  </si>
  <si>
    <t xml:space="preserve">Happen Bank</t>
  </si>
  <si>
    <t xml:space="preserve">Powell Valley National Bank</t>
  </si>
  <si>
    <t xml:space="preserve">Computer and Office Machine Repair and Maintenance </t>
  </si>
  <si>
    <t xml:space="preserve">Automotive Parts and Accessories Stores </t>
  </si>
  <si>
    <t xml:space="preserve">AUGUSTA</t>
  </si>
  <si>
    <t xml:space="preserve">Fish and Seafood Markets </t>
  </si>
  <si>
    <t xml:space="preserve">Window Treatment Stores </t>
  </si>
  <si>
    <t xml:space="preserve">Distilleries </t>
  </si>
  <si>
    <t xml:space="preserve">Advertising Material Distribution Services</t>
  </si>
  <si>
    <t xml:space="preserve">Soft Drink Manufacturing </t>
  </si>
  <si>
    <t xml:space="preserve">WESTMORELAND</t>
  </si>
  <si>
    <t xml:space="preserve">Marinas</t>
  </si>
  <si>
    <t xml:space="preserve">Tile and Terrazzo Contractors</t>
  </si>
  <si>
    <t xml:space="preserve">POWHATAN</t>
  </si>
  <si>
    <t xml:space="preserve">Computer Storage Device Manufacturing </t>
  </si>
  <si>
    <t xml:space="preserve">Book Publishers </t>
  </si>
  <si>
    <t xml:space="preserve">Support Activities for Animal Production</t>
  </si>
  <si>
    <t xml:space="preserve">Internet Publishing and Broadcasting and Web Search Portals</t>
  </si>
  <si>
    <t xml:space="preserve">Masonry Contractors </t>
  </si>
  <si>
    <t xml:space="preserve">All Other Health and Personal Care Stores </t>
  </si>
  <si>
    <t xml:space="preserve">Offices of Mental Health Practitioners (except Physicians) </t>
  </si>
  <si>
    <t xml:space="preserve">Specialty Canning </t>
  </si>
  <si>
    <t xml:space="preserve">PRINCE EDWARD</t>
  </si>
  <si>
    <t xml:space="preserve">Continental Bank</t>
  </si>
  <si>
    <t xml:space="preserve">YORK</t>
  </si>
  <si>
    <t xml:space="preserve">KeyBank National Association</t>
  </si>
  <si>
    <t xml:space="preserve">Shoe Stores </t>
  </si>
  <si>
    <t xml:space="preserve">Fluid Milk Manufacturing </t>
  </si>
  <si>
    <t xml:space="preserve">All Other Animal Production </t>
  </si>
  <si>
    <t xml:space="preserve">BUCKINGHAM</t>
  </si>
  <si>
    <t xml:space="preserve">Graphic Design Services</t>
  </si>
  <si>
    <t xml:space="preserve">Golf Courses and Country Clubs</t>
  </si>
  <si>
    <t xml:space="preserve">GRAYSON</t>
  </si>
  <si>
    <t xml:space="preserve">Residential Intellectual and Developmental Disability Facilities </t>
  </si>
  <si>
    <t xml:space="preserve">Shoreham Bank</t>
  </si>
  <si>
    <t xml:space="preserve">GILES</t>
  </si>
  <si>
    <t xml:space="preserve">State Bank of Texas</t>
  </si>
  <si>
    <t xml:space="preserve">Enterprise Bank &amp; Trust</t>
  </si>
  <si>
    <t xml:space="preserve">Mountain Valley Bank National Association</t>
  </si>
  <si>
    <t xml:space="preserve">Industrial Supplies Merchant Wholesalers</t>
  </si>
  <si>
    <t xml:space="preserve">Surgical Appliance and Supplies Manufacturing </t>
  </si>
  <si>
    <t xml:space="preserve">Meridian Bank</t>
  </si>
  <si>
    <t xml:space="preserve">Other Individual and Family Services </t>
  </si>
  <si>
    <t xml:space="preserve">Colony Bank</t>
  </si>
  <si>
    <t xml:space="preserve">Diet and Weight Reducing Centers </t>
  </si>
  <si>
    <t xml:space="preserve">Other Building Material Dealers </t>
  </si>
  <si>
    <t xml:space="preserve">Investigation Services </t>
  </si>
  <si>
    <t xml:space="preserve">Pet and Pet Supplies Stores </t>
  </si>
  <si>
    <t xml:space="preserve">Meat and Meat Product Merchant Wholesalers </t>
  </si>
  <si>
    <t xml:space="preserve">Other Waste Collection </t>
  </si>
  <si>
    <t xml:space="preserve">Periodical Publishers </t>
  </si>
  <si>
    <t xml:space="preserve">CIBC Bank USA</t>
  </si>
  <si>
    <t xml:space="preserve">Beer, Wine, and Liquor Stores </t>
  </si>
  <si>
    <t xml:space="preserve">Other Commercial and Industrial Machinery and Equipment Rental and Leasing </t>
  </si>
  <si>
    <t xml:space="preserve">Consumer Lending </t>
  </si>
  <si>
    <t xml:space="preserve">POQUOSON CITY</t>
  </si>
  <si>
    <t xml:space="preserve">Woori America Bank</t>
  </si>
  <si>
    <t xml:space="preserve">New Multifamily Housing Construction (except For-Sale Builders) </t>
  </si>
  <si>
    <t xml:space="preserve">Other Specialized Design Services</t>
  </si>
  <si>
    <t xml:space="preserve">Commercial Printing (except Screen and Books) </t>
  </si>
  <si>
    <t xml:space="preserve">All Other Home Furnishings Stores </t>
  </si>
  <si>
    <t xml:space="preserve">Security Guards and Patrol Services </t>
  </si>
  <si>
    <t xml:space="preserve">Business to Business Electronic Markets </t>
  </si>
  <si>
    <t xml:space="preserve">Couriers and Express Delivery Services</t>
  </si>
  <si>
    <t xml:space="preserve">Other Chemical and Allied Products Merchant Wholesalers </t>
  </si>
  <si>
    <t xml:space="preserve">Poured Concrete Foundation and Structure Contractors </t>
  </si>
  <si>
    <t xml:space="preserve">Translation and Interpretation Services</t>
  </si>
  <si>
    <t xml:space="preserve">ISLE OF WIGHT</t>
  </si>
  <si>
    <t xml:space="preserve">Used Household and Office Goods Moving</t>
  </si>
  <si>
    <t xml:space="preserve">John Marshall Bank</t>
  </si>
  <si>
    <t xml:space="preserve">Office Supplies and Stationery Stores </t>
  </si>
  <si>
    <t xml:space="preserve">AMELIA</t>
  </si>
  <si>
    <t xml:space="preserve">SOUTHAMPTON</t>
  </si>
  <si>
    <t xml:space="preserve">Elementary and Secondary Schools </t>
  </si>
  <si>
    <t xml:space="preserve">Millennium Bank</t>
  </si>
  <si>
    <t xml:space="preserve">Other Building Finishing Contractors</t>
  </si>
  <si>
    <t xml:space="preserve">General Line Grocery Merchant Wholesalers </t>
  </si>
  <si>
    <t xml:space="preserve">Jewelry, Watch, Precious Stone, and Precious Metal Merchant Wholesalers </t>
  </si>
  <si>
    <t xml:space="preserve">Other Direct Selling Establishments </t>
  </si>
  <si>
    <t xml:space="preserve">Title Abstract and Settlement Offices </t>
  </si>
  <si>
    <t xml:space="preserve">Department Stores </t>
  </si>
  <si>
    <t xml:space="preserve">Brick, Stone, and Related Construction Material Merchant Wholesalers </t>
  </si>
  <si>
    <t xml:space="preserve">First Commonwealth Bank</t>
  </si>
  <si>
    <t xml:space="preserve">Harvest Small Business Finance, LLC</t>
  </si>
  <si>
    <t xml:space="preserve">Time Bank</t>
  </si>
  <si>
    <t xml:space="preserve">First Bank of the Lake</t>
  </si>
  <si>
    <t xml:space="preserve">Other Commercial Equipment Merchant Wholesalers </t>
  </si>
  <si>
    <t xml:space="preserve">Wood Kitchen Cabinet and Countertop Manufacturing</t>
  </si>
  <si>
    <t xml:space="preserve">Freight Transportation Arrangement </t>
  </si>
  <si>
    <t xml:space="preserve">Associated Bank National Association</t>
  </si>
  <si>
    <t xml:space="preserve">Park View FCU</t>
  </si>
  <si>
    <t xml:space="preserve">NORTHAMPTON</t>
  </si>
  <si>
    <t xml:space="preserve">Gift, Novelty, and Souvenir Stores </t>
  </si>
  <si>
    <t xml:space="preserve">Saw Blade and Handtool Manufacturing </t>
  </si>
  <si>
    <t xml:space="preserve">Septic Tank and Related Services </t>
  </si>
  <si>
    <t xml:space="preserve">Marketing Consulting Services </t>
  </si>
  <si>
    <t xml:space="preserve">RV (Recreational Vehicle) Parks and Campgrounds </t>
  </si>
  <si>
    <t xml:space="preserve">Quaint Oak Bank</t>
  </si>
  <si>
    <t xml:space="preserve">IncredibleBank</t>
  </si>
  <si>
    <t xml:space="preserve">Furniture Merchant Wholesalers </t>
  </si>
  <si>
    <t xml:space="preserve">RAPPAHANNOCK</t>
  </si>
  <si>
    <t xml:space="preserve">Men's Clothing Stores </t>
  </si>
  <si>
    <t xml:space="preserve">Lessors of Nonresidential Buildings (except Miniwarehouses) </t>
  </si>
  <si>
    <t xml:space="preserve">Other Automotive Mechanical and Electrical Repair and Maintenance </t>
  </si>
  <si>
    <t xml:space="preserve">FRANKLIN CITY</t>
  </si>
  <si>
    <t xml:space="preserve">Commercial Bakeries </t>
  </si>
  <si>
    <t xml:space="preserve">Other Personal and Household Goods Repair and Maintenance </t>
  </si>
  <si>
    <t xml:space="preserve">Baked Goods Stores </t>
  </si>
  <si>
    <t xml:space="preserve">Evolve Bank and Trust</t>
  </si>
  <si>
    <t xml:space="preserve">The Freedom Bank of Virginia</t>
  </si>
  <si>
    <t xml:space="preserve">Computer Facilities Management Services </t>
  </si>
  <si>
    <t xml:space="preserve">Farmers State Bank of Alto Pass, Illinois</t>
  </si>
  <si>
    <t xml:space="preserve">Motorcycle, ATV, and All Other Motor Vehicle Dealers </t>
  </si>
  <si>
    <t xml:space="preserve">All Other Miscellaneous Crop Farming </t>
  </si>
  <si>
    <t xml:space="preserve">Private Mail Centers </t>
  </si>
  <si>
    <t xml:space="preserve">Bowling Centers</t>
  </si>
  <si>
    <t xml:space="preserve">Assisted Living Facilities for the Elderly </t>
  </si>
  <si>
    <t xml:space="preserve">Direct Health and Medical Insurance Carriers </t>
  </si>
  <si>
    <t xml:space="preserve">Lake Michigan CU</t>
  </si>
  <si>
    <t xml:space="preserve">Oak View National Bank</t>
  </si>
  <si>
    <t xml:space="preserve">Human Resources Consulting Services </t>
  </si>
  <si>
    <t xml:space="preserve">Semiconductor and Related Device Manufacturing </t>
  </si>
  <si>
    <t xml:space="preserve">FDIC - Community Bank &amp; Trust-West Georgia</t>
  </si>
  <si>
    <t xml:space="preserve">Women's, Children's, and Infants' Clothing and Accessories Merchant Wholesalers </t>
  </si>
  <si>
    <t xml:space="preserve">Data Processing, Hosting, and Related Services</t>
  </si>
  <si>
    <t xml:space="preserve">Peapack Private Bank and Trust</t>
  </si>
  <si>
    <t xml:space="preserve">Sporting and Recreational Goods and Supplies Merchant Wholesalers </t>
  </si>
  <si>
    <t xml:space="preserve">Fertilizer (Mixing Only) Manufacturing </t>
  </si>
  <si>
    <t xml:space="preserve">Bank of Springfield</t>
  </si>
  <si>
    <t xml:space="preserve">Used Merchandise Stores </t>
  </si>
  <si>
    <t xml:space="preserve">Credit Card Issuing </t>
  </si>
  <si>
    <t xml:space="preserve">U.S. Bank, National Association</t>
  </si>
  <si>
    <t xml:space="preserve">Chocolate and Confectionery Manufacturing from Cacao Beans </t>
  </si>
  <si>
    <t xml:space="preserve">VelocitySBA, LLC</t>
  </si>
  <si>
    <t xml:space="preserve">Broilers and Other Meat Type Chicken Production </t>
  </si>
  <si>
    <t xml:space="preserve">Industrial Valve Manufacturing </t>
  </si>
  <si>
    <t xml:space="preserve">Specialized Freight (except Used Goods) Trucking, Local </t>
  </si>
  <si>
    <t xml:space="preserve">Local Messengers and Local Delivery</t>
  </si>
  <si>
    <t xml:space="preserve">Pension Funds </t>
  </si>
  <si>
    <t xml:space="preserve">WAYNESBORO CITY</t>
  </si>
  <si>
    <t xml:space="preserve">Beef Cattle Ranching and Farming </t>
  </si>
  <si>
    <t xml:space="preserve">FLOYD</t>
  </si>
  <si>
    <t xml:space="preserve">Other Spectator Sports </t>
  </si>
  <si>
    <t xml:space="preserve">Northwest FCU</t>
  </si>
  <si>
    <t xml:space="preserve">Commercial and Industrial Machinery and Equipment (except Automotive and Electronic) Repair and Maintenance </t>
  </si>
  <si>
    <t xml:space="preserve">Banesco USA</t>
  </si>
  <si>
    <t xml:space="preserve">LEE</t>
  </si>
  <si>
    <t xml:space="preserve">Third Party Administration of Insurance and Pension Funds </t>
  </si>
  <si>
    <t xml:space="preserve">Power and Communication Line and Related Structures Construction </t>
  </si>
  <si>
    <t xml:space="preserve">Optical Goods Stores </t>
  </si>
  <si>
    <t xml:space="preserve">Payroll Services </t>
  </si>
  <si>
    <t xml:space="preserve">Other Business Service Centers (including Copy Shops) </t>
  </si>
  <si>
    <t xml:space="preserve">Appliance Repair and Maintenance </t>
  </si>
  <si>
    <t xml:space="preserve">Furniture Stores </t>
  </si>
  <si>
    <t xml:space="preserve">Other Warehousing and Storage</t>
  </si>
  <si>
    <t xml:space="preserve">Office Furniture (except Wood) Manufacturing </t>
  </si>
  <si>
    <t xml:space="preserve">Luminate Bank</t>
  </si>
  <si>
    <t xml:space="preserve">CDC Small Business Finance Corp.</t>
  </si>
  <si>
    <t xml:space="preserve">All Other Miscellaneous Textile Product Mills </t>
  </si>
  <si>
    <t xml:space="preserve">Other Miscellaneous Durable Goods Merchant Wholesalers </t>
  </si>
  <si>
    <t xml:space="preserve">Guided Missile and Space Vehicle Propulsion Unit and Propulsion Unit Parts Manufacturing </t>
  </si>
  <si>
    <t xml:space="preserve">Ice Cream and Frozen Dessert Manufacturing</t>
  </si>
  <si>
    <t xml:space="preserve">Women's Clothing Stores </t>
  </si>
  <si>
    <t xml:space="preserve">General Freight Trucking, Long-Distance, Less Than Truckload </t>
  </si>
  <si>
    <t xml:space="preserve">All Other Business Support Services </t>
  </si>
  <si>
    <t xml:space="preserve">Postal Service</t>
  </si>
  <si>
    <t xml:space="preserve">Pet Care (except Veterinary) Services</t>
  </si>
  <si>
    <t xml:space="preserve">Lessors of Miniwarehouses and Self-Storage Units</t>
  </si>
  <si>
    <t xml:space="preserve">Offices of Certified Public Accountants</t>
  </si>
  <si>
    <t xml:space="preserve">Hotels (except Casino Hotels) and Motels</t>
  </si>
  <si>
    <t xml:space="preserve">Funeral Homes and Funeral Services</t>
  </si>
  <si>
    <t xml:space="preserve">Coffee and Tea Manufacturing</t>
  </si>
  <si>
    <t xml:space="preserve">Residential Remodelers</t>
  </si>
  <si>
    <t xml:space="preserve">Building Inspection Services</t>
  </si>
  <si>
    <t xml:space="preserve">Industrial Machinery and Equipment Merchant Wholesalers</t>
  </si>
  <si>
    <t xml:space="preserve">Remediation Services</t>
  </si>
  <si>
    <t xml:space="preserve">Marketing Consulting Services</t>
  </si>
  <si>
    <t xml:space="preserve">New Single-Family Housing Construction (except For-Sale Builders)</t>
  </si>
  <si>
    <t xml:space="preserve">Cut Stone and Stone Product Manufacturing</t>
  </si>
  <si>
    <t xml:space="preserve">General Freight Trucking, Long-Distance, Truckload</t>
  </si>
  <si>
    <t xml:space="preserve">General Freight Trucking, Long-Distance, Less Than Truckload</t>
  </si>
  <si>
    <t xml:space="preserve">Full-Service Restaurants</t>
  </si>
  <si>
    <t xml:space="preserve">Residential Property Managers</t>
  </si>
  <si>
    <t xml:space="preserve">Nail Salons</t>
  </si>
  <si>
    <t xml:space="preserve">General Freight Trucking, Local</t>
  </si>
  <si>
    <t xml:space="preserve">All Other Telecommunications </t>
  </si>
  <si>
    <t xml:space="preserve">Elementary and Secondary Schools</t>
  </si>
  <si>
    <t xml:space="preserve">CRAIG</t>
  </si>
  <si>
    <t xml:space="preserve">Janitorial Services</t>
  </si>
  <si>
    <t xml:space="preserve">Bank of Botetourt</t>
  </si>
  <si>
    <t xml:space="preserve">Independent Artists, Writers, and Performers</t>
  </si>
  <si>
    <t xml:space="preserve">Beauty Salons</t>
  </si>
  <si>
    <t xml:space="preserve">Computing Infrastructure Providers, Data Processing, Web Hosting, and Related Services</t>
  </si>
  <si>
    <t xml:space="preserve">Offices of Physicians (except Mental Health Specialists)</t>
  </si>
  <si>
    <t xml:space="preserve">Child Care Services</t>
  </si>
  <si>
    <t xml:space="preserve">Specialized Freight (except Used Goods) Trucking, Local</t>
  </si>
  <si>
    <t xml:space="preserve">All Other General Merchandise Retailers</t>
  </si>
  <si>
    <t xml:space="preserve">Lumber, Plywood, Millwork, and Wood Panel Merchant Wholesalers</t>
  </si>
  <si>
    <t xml:space="preserve">Other Commercial and Industrial Machinery and Equipment Rental and Leasing</t>
  </si>
  <si>
    <t xml:space="preserve">First National Bank</t>
  </si>
  <si>
    <t xml:space="preserve">Custom Computer Programming Services</t>
  </si>
  <si>
    <t xml:space="preserve">Facilities Support Services</t>
  </si>
  <si>
    <t xml:space="preserve">MANASSAS PARK CITY</t>
  </si>
  <si>
    <t xml:space="preserve">Broilers and Other Meat Type Chicken Production</t>
  </si>
  <si>
    <t xml:space="preserve">Poured Concrete Foundation and Structure Contractors</t>
  </si>
  <si>
    <t xml:space="preserve">Car Washes</t>
  </si>
  <si>
    <t xml:space="preserve">Freight Transportation Arrangement</t>
  </si>
  <si>
    <t xml:space="preserve">Meat Processed from Carcasses</t>
  </si>
  <si>
    <t xml:space="preserve">Jewelry, Watch, Precious Stone, and Precious Metal Merchant Wholesalers</t>
  </si>
  <si>
    <t xml:space="preserve">Other Foundation, Structure, and Building Exterior Contractors</t>
  </si>
  <si>
    <t xml:space="preserve">All Other Personal Services</t>
  </si>
  <si>
    <t xml:space="preserve">Instrument Manufacturing for Measuring and Testing Electricity and Electrical Signals</t>
  </si>
  <si>
    <t xml:space="preserve">Siding Contractors</t>
  </si>
  <si>
    <t xml:space="preserve">Sporting Goods Retailers</t>
  </si>
  <si>
    <t xml:space="preserve">All Other Transportation Equipment Manufacturing</t>
  </si>
  <si>
    <t xml:space="preserve">Offices of Physical, Occupational and Speech Therapists, and Audiologists</t>
  </si>
  <si>
    <t xml:space="preserve">Refrigeration Equipment and Supplies Merchant Wholesalers</t>
  </si>
  <si>
    <t xml:space="preserve">Limited-Service Restaurants</t>
  </si>
  <si>
    <t xml:space="preserve">Other Services to Buildings and Dwellings</t>
  </si>
  <si>
    <t xml:space="preserve">Offices of Dentists</t>
  </si>
  <si>
    <t xml:space="preserve">Semiconductor and Related Device Manufacturing</t>
  </si>
  <si>
    <t xml:space="preserve">Clothing and Clothing Accessories Retailers</t>
  </si>
  <si>
    <t xml:space="preserve">Computer Training</t>
  </si>
  <si>
    <t xml:space="preserve">Offices of All Other Miscellaneous Health Practitioners</t>
  </si>
  <si>
    <t xml:space="preserve">Retail Bakeries</t>
  </si>
  <si>
    <t xml:space="preserve">Specialized Freight (except Used Goods) Trucking, Long-Distance</t>
  </si>
  <si>
    <t xml:space="preserve">Veterinary Services</t>
  </si>
  <si>
    <t xml:space="preserve">EMPORIA</t>
  </si>
  <si>
    <t xml:space="preserve">All Other Outpatient Care Centers</t>
  </si>
  <si>
    <t xml:space="preserve">Computer Systems Design Services</t>
  </si>
  <si>
    <t xml:space="preserve">LEXINGTON CITY</t>
  </si>
  <si>
    <t xml:space="preserve">Other Management Consulting Services</t>
  </si>
  <si>
    <t xml:space="preserve">BMO Bank National Association</t>
  </si>
  <si>
    <t xml:space="preserve">Chicken Egg Production</t>
  </si>
  <si>
    <t xml:space="preserve">Other Personal Care Services</t>
  </si>
  <si>
    <t xml:space="preserve">Northeast Bank</t>
  </si>
  <si>
    <t xml:space="preserve">Sports and Recreation Instruction</t>
  </si>
  <si>
    <t xml:space="preserve">Amusement and Theme Parks</t>
  </si>
  <si>
    <t xml:space="preserve">Narrow Fabric Mills and Schiffli Machine Embroidery</t>
  </si>
  <si>
    <t xml:space="preserve">Electroplating, Plating, Polishing, Anodizing, and Coloring</t>
  </si>
  <si>
    <t xml:space="preserve">Wineries</t>
  </si>
  <si>
    <t xml:space="preserve">Electrical Apparatus and Equipment, Wiring Supplies, and Related Equipment Merchant Wholesalers</t>
  </si>
  <si>
    <t xml:space="preserve">Other Miscellaneous Nondurable Goods Merchant Wholesalers</t>
  </si>
  <si>
    <t xml:space="preserve">Fitness and Recreational Sports Centers</t>
  </si>
  <si>
    <t xml:space="preserve">Automotive Glass Replacement Shops</t>
  </si>
  <si>
    <t xml:space="preserve">Other Electronic Component Manufacturing</t>
  </si>
  <si>
    <t xml:space="preserve">Barber Shops</t>
  </si>
  <si>
    <t xml:space="preserve">Offices of Mental Health Practitioners (except Physicians)</t>
  </si>
  <si>
    <t xml:space="preserve">Snack and Nonalcoholic Beverage Bars</t>
  </si>
  <si>
    <t xml:space="preserve">Other Waste Collection</t>
  </si>
  <si>
    <t xml:space="preserve">Genisys CU</t>
  </si>
  <si>
    <t xml:space="preserve">Window Treatment Retailers</t>
  </si>
  <si>
    <t xml:space="preserve">Supermarkets and Other Grocery Retailers (except Convenience Retailers)</t>
  </si>
  <si>
    <t xml:space="preserve">Food (Health) Supplement Retailers</t>
  </si>
  <si>
    <t xml:space="preserve">Logging</t>
  </si>
  <si>
    <t xml:space="preserve">Insurance Agencies and Brokerages</t>
  </si>
  <si>
    <t xml:space="preserve">Metal Coating, Engraving (except Jewelry and Silverware), and Allied Services to Manufacturers</t>
  </si>
  <si>
    <t xml:space="preserve">General Line Grocery Merchant Wholesalers</t>
  </si>
  <si>
    <t xml:space="preserve">Tobacco Product and Electronic Cigarette Merchant Wholesalers</t>
  </si>
  <si>
    <t xml:space="preserve">Nursery and Tree Production</t>
  </si>
  <si>
    <t xml:space="preserve">Family Clothing Stores </t>
  </si>
  <si>
    <t xml:space="preserve">Marketing Research and Public Opinion Polling</t>
  </si>
  <si>
    <t xml:space="preserve">Glass and Glazing Contractors</t>
  </si>
  <si>
    <t xml:space="preserve">Bank of Clarke</t>
  </si>
  <si>
    <t xml:space="preserve">All Other Amusement and Recreation Industries</t>
  </si>
  <si>
    <t xml:space="preserve">Promoters of Performing Arts, Sports, and Similar Events without Facilities</t>
  </si>
  <si>
    <t xml:space="preserve">Toilet Preparation Manufacturing</t>
  </si>
  <si>
    <t xml:space="preserve">Soap and Other Detergent Manufacturing</t>
  </si>
  <si>
    <t xml:space="preserve">Hardware Merchant Wholesalers</t>
  </si>
  <si>
    <t xml:space="preserve">Offices of Other Holding Companies</t>
  </si>
  <si>
    <t xml:space="preserve">Automotive Body, Paint, and Interior Repair and Maintenance</t>
  </si>
  <si>
    <t xml:space="preserve">Coin-Operated Laundries and Drycleaners</t>
  </si>
  <si>
    <t xml:space="preserve">DuPont Community Credit Union</t>
  </si>
  <si>
    <t xml:space="preserve">Other Miscellaneous Durable Goods Merchant Wholesalers</t>
  </si>
  <si>
    <t xml:space="preserve">Nursing Care Facilities (Skilled Nursing Facilities)</t>
  </si>
  <si>
    <t xml:space="preserve">New Car Dealers</t>
  </si>
  <si>
    <t xml:space="preserve">All Other Miscellaneous Waste Management Services</t>
  </si>
  <si>
    <t xml:space="preserve">General Automotive Repair</t>
  </si>
  <si>
    <t xml:space="preserve">Construction, Mining, and Forestry Machinery and Equipment Rental and Leasing</t>
  </si>
  <si>
    <t xml:space="preserve">Administrative Management and General Management Consulting Services</t>
  </si>
  <si>
    <t xml:space="preserve">Pet and Pet Supplies Retailers</t>
  </si>
  <si>
    <t xml:space="preserve">Dental Laboratories</t>
  </si>
  <si>
    <t xml:space="preserve">Millennial Bank</t>
  </si>
  <si>
    <t xml:space="preserve">Commonwealth Business Bank</t>
  </si>
  <si>
    <t xml:space="preserve">Automotive Oil Change and Lubrication Shops</t>
  </si>
  <si>
    <t xml:space="preserve">Other Vegetable (except Potato) and Melon Farming</t>
  </si>
  <si>
    <t xml:space="preserve">Burial Casket Manufacturing</t>
  </si>
  <si>
    <t xml:space="preserve">Assisted Living Facilities for the Elderly</t>
  </si>
  <si>
    <t xml:space="preserve">Plumbing, Heating, and Air-Conditioning Contractors</t>
  </si>
  <si>
    <t xml:space="preserve">Other Building Material Dealers</t>
  </si>
  <si>
    <t xml:space="preserve">Furniture Retailers</t>
  </si>
  <si>
    <t xml:space="preserve">Bank of Oak Ridge</t>
  </si>
  <si>
    <t xml:space="preserve">Drinking Places (Alcoholic Beverages)</t>
  </si>
  <si>
    <t xml:space="preserve">Other General Government Support</t>
  </si>
  <si>
    <t xml:space="preserve">Used Car Dealers</t>
  </si>
  <si>
    <t xml:space="preserve">Industrial Bank</t>
  </si>
  <si>
    <t xml:space="preserve">Limousine Service</t>
  </si>
  <si>
    <t xml:space="preserve">Portfolio Management and Investment Advice</t>
  </si>
  <si>
    <t xml:space="preserve">DICKENSON</t>
  </si>
  <si>
    <t xml:space="preserve">Painting and Wall Covering Contractors</t>
  </si>
  <si>
    <t xml:space="preserve">Solid Waste Collection</t>
  </si>
  <si>
    <t xml:space="preserve">Vending Machine Operators</t>
  </si>
  <si>
    <t xml:space="preserve">Lessors of Other Real Estate Property</t>
  </si>
  <si>
    <t xml:space="preserve">Residential Intellectual and Developmental Disability Facilities</t>
  </si>
  <si>
    <t xml:space="preserve">Other Accounting Services</t>
  </si>
  <si>
    <t xml:space="preserve">All Other Miscellaneous Retailers</t>
  </si>
  <si>
    <t xml:space="preserve">Specialty (except Psychiatric and Substance Abuse) Hospitals</t>
  </si>
  <si>
    <t xml:space="preserve">Merchants Bank of Indiana</t>
  </si>
  <si>
    <t xml:space="preserve">Photography Studios, Portrait</t>
  </si>
  <si>
    <t xml:space="preserve">Pathward National Association</t>
  </si>
  <si>
    <t xml:space="preserve">Beer, Wine, and Liquor Retailers</t>
  </si>
  <si>
    <t xml:space="preserve">Real Estate Credit</t>
  </si>
  <si>
    <t xml:space="preserve">Sports Teams and Clubs</t>
  </si>
  <si>
    <t xml:space="preserve">Commercial Bakeries</t>
  </si>
  <si>
    <t xml:space="preserve">Air Traffic Control</t>
  </si>
  <si>
    <t xml:space="preserve">Soil Preparation, Planting, and Cultivating</t>
  </si>
  <si>
    <t xml:space="preserve">All Other Automotive Repair and Maintenance</t>
  </si>
  <si>
    <t xml:space="preserve">Security Systems Services (except Locksmiths)</t>
  </si>
  <si>
    <t xml:space="preserve">Citizens Bank, National Association</t>
  </si>
  <si>
    <t xml:space="preserve">NORTHUMBERLAND</t>
  </si>
  <si>
    <t xml:space="preserve">Other Heavy and Civil Engineering Construction</t>
  </si>
  <si>
    <t xml:space="preserve">Plumbing and Heating Equipment and Supplies (Hydronics) Merchant Wholesalers</t>
  </si>
  <si>
    <t xml:space="preserve">Hobby, Toy, and Game Retailers</t>
  </si>
  <si>
    <t xml:space="preserve">Other Gasoline Stations</t>
  </si>
  <si>
    <t xml:space="preserve">Deep Sea Freight Transportation</t>
  </si>
  <si>
    <t xml:space="preserve">Water Supply and Irrigation Systems</t>
  </si>
  <si>
    <t xml:space="preserve">The Bank of Edison</t>
  </si>
  <si>
    <t xml:space="preserve">Offices of Chiropractors</t>
  </si>
  <si>
    <t xml:space="preserve">Water and Sewer Line and Related Structures Construction</t>
  </si>
  <si>
    <t xml:space="preserve">All Other Miscellaneous Manufacturing</t>
  </si>
  <si>
    <t xml:space="preserve">All Other Miscellaneous Chemical Product and Preparation Manufacturing</t>
  </si>
  <si>
    <t xml:space="preserve">Sporting and Athletic Goods Manufacturing</t>
  </si>
  <si>
    <t xml:space="preserve">Lessors of Nonresidential Buildings (except Miniwarehouses)</t>
  </si>
  <si>
    <t xml:space="preserve">Colleges, Universities, and Professional Schools</t>
  </si>
  <si>
    <t xml:space="preserve">Septic Tank and Related Services</t>
  </si>
  <si>
    <t xml:space="preserve">Cosmetics, Beauty Supplies, and Perfume Retailers</t>
  </si>
  <si>
    <t xml:space="preserve">Roofing Contractors</t>
  </si>
  <si>
    <t xml:space="preserve">Fabricated Structural Metal Manufacturing</t>
  </si>
  <si>
    <t xml:space="preserve">Commercial and Institutional Building Construction</t>
  </si>
  <si>
    <t xml:space="preserve">Reupholstery and Furniture Repair</t>
  </si>
  <si>
    <t xml:space="preserve">Other Services Related to Advertising</t>
  </si>
  <si>
    <t xml:space="preserve">Employment Placement Agencies</t>
  </si>
  <si>
    <t xml:space="preserve">All Other Miscellaneous Crop Farming</t>
  </si>
  <si>
    <t xml:space="preserve">Research and Development in the Physical, Engineering, and Life Sciences (except Nanotechnology and Biotechnology)</t>
  </si>
  <si>
    <t xml:space="preserve">Blind and Shade Manufacturing</t>
  </si>
  <si>
    <t xml:space="preserve">BUCHANAN</t>
  </si>
  <si>
    <t xml:space="preserve">Agents and Managers for Artists, Athletes, Entertainers, and Other Public Figures</t>
  </si>
  <si>
    <t xml:space="preserve">Optical Goods Retailers</t>
  </si>
  <si>
    <t xml:space="preserve">Testing Laboratories and Services</t>
  </si>
  <si>
    <t xml:space="preserve">Claims Adjusting</t>
  </si>
  <si>
    <t xml:space="preserve">Gasoline Stations with Convenience Stores</t>
  </si>
  <si>
    <t xml:space="preserve">PAGE</t>
  </si>
  <si>
    <t xml:space="preserve">Paint and Wallpaper Retailers</t>
  </si>
  <si>
    <t xml:space="preserve">Mountain America FCU</t>
  </si>
  <si>
    <t xml:space="preserve">GLOUCESTER</t>
  </si>
  <si>
    <t xml:space="preserve">Freestanding Ambulatory Surgical and Emergency Centers</t>
  </si>
  <si>
    <t xml:space="preserve">Dry Pasta, Dough, and Flour Mixes Manufacturing from Purchased Flour</t>
  </si>
  <si>
    <t xml:space="preserve">Pharmacies and Drug Retailers</t>
  </si>
  <si>
    <t xml:space="preserve">Special Needs Transportation</t>
  </si>
  <si>
    <t xml:space="preserve">Regent Bank</t>
  </si>
  <si>
    <t xml:space="preserve">All Other Support Activities for Transportation</t>
  </si>
  <si>
    <t xml:space="preserve">Other Individual and Family Services</t>
  </si>
  <si>
    <t xml:space="preserve">Cut and Sew Apparel Manufacturing (except Contractors)</t>
  </si>
  <si>
    <t xml:space="preserve">Confectionery and Nut Retailers</t>
  </si>
  <si>
    <t xml:space="preserve">Sheet Metal Work Manufacturing</t>
  </si>
  <si>
    <t xml:space="preserve">Commercial Printing (except Screen and Books)</t>
  </si>
  <si>
    <t xml:space="preserve">Meat and Meat Product Merchant Wholesalers</t>
  </si>
  <si>
    <t xml:space="preserve">Confectionery Merchant Wholesalers</t>
  </si>
  <si>
    <t xml:space="preserve">Other Personal and Household Goods Repair and Maintenance</t>
  </si>
  <si>
    <t xml:space="preserve">Tax Preparation Services</t>
  </si>
  <si>
    <t xml:space="preserve">Drywall and Insulation Contractors</t>
  </si>
  <si>
    <t xml:space="preserve">Farm Supplies Merchant Wholesalers</t>
  </si>
  <si>
    <t xml:space="preserve">Cut and Sew Apparel Contractors</t>
  </si>
  <si>
    <t xml:space="preserve">Diet and Weight Reducing Centers</t>
  </si>
  <si>
    <t xml:space="preserve">Lessors of Residential Buildings and Dwellings</t>
  </si>
  <si>
    <t xml:space="preserve">Other Aircraft Parts and Auxiliary Equipment Manufacturing</t>
  </si>
  <si>
    <t xml:space="preserve">Structural Steel and Precast Concrete Contractors</t>
  </si>
  <si>
    <t xml:space="preserve">Metal Window and Door Manufacturing</t>
  </si>
  <si>
    <t xml:space="preserve">Shoe Retailers</t>
  </si>
  <si>
    <t xml:space="preserve">Other Nonscheduled Air Transportation</t>
  </si>
  <si>
    <t xml:space="preserve">Used Merchandise Retailers</t>
  </si>
  <si>
    <t xml:space="preserve">Jewelry and Silverware Manufacturing</t>
  </si>
  <si>
    <t xml:space="preserve">ALLEGHANY</t>
  </si>
  <si>
    <t xml:space="preserve">Tire and Tube Merchant Wholesalers</t>
  </si>
  <si>
    <t xml:space="preserve">Services for the Elderly and Persons with Disabilities</t>
  </si>
  <si>
    <t xml:space="preserve">All Other Plastics Product Manufacturing</t>
  </si>
  <si>
    <t xml:space="preserve">Tobacco, Electronic Cigarette, and Other Smoking Supplies Retailers</t>
  </si>
  <si>
    <t xml:space="preserve">Outpatient Mental Health and Substance Abuse Centers</t>
  </si>
  <si>
    <t xml:space="preserve">Floor Covering Retailers</t>
  </si>
  <si>
    <t xml:space="preserve">Process, Physical Distribution, and Logistics Consulting Services</t>
  </si>
  <si>
    <t xml:space="preserve">Electronic and Precision Equipment Repair and Maintenance</t>
  </si>
  <si>
    <t xml:space="preserve">Commercial and Industrial Machinery and Equipment (except Automotive and Electronic) Repair and Maintenance</t>
  </si>
  <si>
    <t xml:space="preserve">Nonresidential Property Managers</t>
  </si>
  <si>
    <t xml:space="preserve">Professional and Management Development Training</t>
  </si>
  <si>
    <t xml:space="preserve">Drycleaning and Laundry Services (except Coin-Operated)</t>
  </si>
  <si>
    <t xml:space="preserve">General Warehousing and Storage</t>
  </si>
  <si>
    <t xml:space="preserve">Medical, Dental, and Hospital Equipment and Supplies Merchant Wholesalers</t>
  </si>
  <si>
    <t xml:space="preserve">Convenience Retailers</t>
  </si>
  <si>
    <t xml:space="preserve">Line-Haul Railroads</t>
  </si>
  <si>
    <t xml:space="preserve">All Other Miscellaneous Schools and Instruction</t>
  </si>
  <si>
    <t xml:space="preserve">Musical Groups and Artists</t>
  </si>
  <si>
    <t xml:space="preserve">Lendistry SBLC, LLC</t>
  </si>
  <si>
    <t xml:space="preserve">All Other Miscellaneous Wood Product Manufacturing</t>
  </si>
  <si>
    <t xml:space="preserve">Furniture Merchant Wholesalers</t>
  </si>
  <si>
    <t xml:space="preserve">Other Grocery and Related Products Merchant Wholesalers</t>
  </si>
  <si>
    <t xml:space="preserve">Sanitary Paper Product Manufacturing</t>
  </si>
  <si>
    <t xml:space="preserve">Florists</t>
  </si>
  <si>
    <t xml:space="preserve">All Other Traveler Accommodation</t>
  </si>
  <si>
    <t xml:space="preserve">Media Representatives</t>
  </si>
  <si>
    <t xml:space="preserve">Bed-and-Breakfast Inns</t>
  </si>
  <si>
    <t xml:space="preserve">Pottery, Ceramics, and Plumbing Fixture Manufacturing</t>
  </si>
  <si>
    <t xml:space="preserve">SNB Bank National Association</t>
  </si>
  <si>
    <t xml:space="preserve">All Other Health and Personal Care Retailers</t>
  </si>
  <si>
    <t xml:space="preserve">Fountainhead SBF LLC</t>
  </si>
  <si>
    <t xml:space="preserve">Heritage Bank Inc</t>
  </si>
  <si>
    <t xml:space="preserve">Private Mail Centers</t>
  </si>
  <si>
    <t xml:space="preserve">Baked Goods Retailers</t>
  </si>
  <si>
    <t xml:space="preserve">Newtek Bank, National Association</t>
  </si>
  <si>
    <t xml:space="preserve">Household Appliances, Electric Housewares, and Consumer Electronics Merchant Wholesalers</t>
  </si>
  <si>
    <t xml:space="preserve">Commercial Bank of California</t>
  </si>
  <si>
    <t xml:space="preserve">Computer and Computer Peripheral Equipment and Software Merchant Wholesalers</t>
  </si>
  <si>
    <t xml:space="preserve">Fish and Seafood Merchant Wholesalers</t>
  </si>
  <si>
    <t xml:space="preserve">Boat Dealers</t>
  </si>
  <si>
    <t xml:space="preserve">Direct Mail Advertising</t>
  </si>
  <si>
    <t xml:space="preserve">Small Arms, Ordnance, and Ordnance Accessories Manufacturing</t>
  </si>
  <si>
    <t xml:space="preserve">All Other Transit and Ground Passenger Transportation</t>
  </si>
  <si>
    <t xml:space="preserve">Electronic Shopping</t>
  </si>
  <si>
    <t xml:space="preserve">Arlington Community FCU</t>
  </si>
  <si>
    <t xml:space="preserve">Other Activities Related to Real Estate</t>
  </si>
  <si>
    <t xml:space="preserve">Metal Service Centers and Other Metal Merchant Wholesalers</t>
  </si>
  <si>
    <t xml:space="preserve">Surgical Appliance and Supplies Manufacturing</t>
  </si>
  <si>
    <t xml:space="preserve">Jewelry Retailers</t>
  </si>
  <si>
    <t xml:space="preserve">All Other Consumer Goods Rental</t>
  </si>
  <si>
    <t xml:space="preserve">FWBank</t>
  </si>
  <si>
    <t xml:space="preserve">NELSON</t>
  </si>
  <si>
    <t xml:space="preserve">East West Bank</t>
  </si>
  <si>
    <t xml:space="preserve">Gift, Novelty, and Souvenir Retailers</t>
  </si>
  <si>
    <t xml:space="preserve">Other Direct Insurance (except Life, Health, and Medical) Carriers</t>
  </si>
  <si>
    <t xml:space="preserve">Telephone Apparatus Manufacturing</t>
  </si>
  <si>
    <t xml:space="preserve">Footwear Manufacturing</t>
  </si>
  <si>
    <t xml:space="preserve">New Multifamily Housing Construction (except For-Sale Builders)</t>
  </si>
  <si>
    <t xml:space="preserve">Plastics Plumbing Fixture Manufacturing</t>
  </si>
  <si>
    <t xml:space="preserve">Inland Water Freight Transportation</t>
  </si>
  <si>
    <t xml:space="preserve">RADFORD</t>
  </si>
  <si>
    <t xml:space="preserve">Milestone Bank</t>
  </si>
  <si>
    <t xml:space="preserve">Scenic and Sightseeing Transportation, Land</t>
  </si>
  <si>
    <t xml:space="preserve">Offices of Physicians, Mental Health Specialists</t>
  </si>
  <si>
    <t xml:space="preserve">Diagnostic Imaging Centers</t>
  </si>
  <si>
    <t xml:space="preserve">Investigation and Personal Background Check Services</t>
  </si>
  <si>
    <t xml:space="preserve">Motion Picture and Video Production</t>
  </si>
  <si>
    <t xml:space="preserve">1st Financial Bank USA</t>
  </si>
  <si>
    <t xml:space="preserve">The Fidelity Bank</t>
  </si>
  <si>
    <t xml:space="preserve">Cosmetology and Barber Schools</t>
  </si>
  <si>
    <t xml:space="preserve">All Other Miscellaneous General Purpose Machinery Manufacturing</t>
  </si>
  <si>
    <t xml:space="preserve">Packaging and Labeling Services</t>
  </si>
  <si>
    <t xml:space="preserve">Industrial Design Services</t>
  </si>
  <si>
    <t xml:space="preserve">Flat Glass Manufacturing</t>
  </si>
  <si>
    <t xml:space="preserve">Investment Banking and Securities Intermediation</t>
  </si>
  <si>
    <t xml:space="preserve">Wholesale Trade Agents and Brokers</t>
  </si>
  <si>
    <t xml:space="preserve">All Other Legal Services</t>
  </si>
  <si>
    <t xml:space="preserve">Outdoor Power Equipment Retailers</t>
  </si>
  <si>
    <t xml:space="preserve">Portfolio Management </t>
  </si>
  <si>
    <t xml:space="preserve">Solar Electric Power Generation</t>
  </si>
  <si>
    <t xml:space="preserve">Other Professional Equipment and Supplies Merchant Wholesalers</t>
  </si>
  <si>
    <t xml:space="preserve">Automotive Parts and Accessories Retailers</t>
  </si>
  <si>
    <t xml:space="preserve">Grasshopper Bank National Association</t>
  </si>
  <si>
    <t xml:space="preserve">Hanover Community Bank</t>
  </si>
  <si>
    <t xml:space="preserve">All Other Travel Arrangement and Reservation Services</t>
  </si>
  <si>
    <t xml:space="preserve">Other Support Activities for Road Transportation</t>
  </si>
  <si>
    <t xml:space="preserve">Electronics and Appliance Retailers</t>
  </si>
  <si>
    <t xml:space="preserve">City National Bank of Florida</t>
  </si>
  <si>
    <t xml:space="preserve">Other Aquaculture</t>
  </si>
  <si>
    <t xml:space="preserve">Recyclable Material Merchant Wholesalers</t>
  </si>
  <si>
    <t xml:space="preserve">Barwick Banking Company</t>
  </si>
  <si>
    <t xml:space="preserve">T Bank, National Association</t>
  </si>
  <si>
    <t xml:space="preserve">InBank</t>
  </si>
  <si>
    <t xml:space="preserve">Cookie and Cracker Manufacturing</t>
  </si>
  <si>
    <t xml:space="preserve">Exam Preparation and Tutoring</t>
  </si>
  <si>
    <t xml:space="preserve">Citibank, N.A.</t>
  </si>
  <si>
    <t xml:space="preserve">Showcase, Partition, Shelving, and Locker Manufacturing</t>
  </si>
  <si>
    <t xml:space="preserve">Wine and Distilled Alcoholic Beverage Merchant Wholesalers</t>
  </si>
  <si>
    <t xml:space="preserve">Junior Colleges</t>
  </si>
  <si>
    <t xml:space="preserve">Document Preparation Services</t>
  </si>
  <si>
    <t xml:space="preserve">Television Broadcasting Stations</t>
  </si>
  <si>
    <t xml:space="preserve">Office Supplies and Stationery Retailers</t>
  </si>
  <si>
    <t xml:space="preserve">Recreational Goods Rental</t>
  </si>
  <si>
    <t xml:space="preserve">Dance Companies</t>
  </si>
  <si>
    <t xml:space="preserve">First National Bank of Coffee County</t>
  </si>
  <si>
    <t xml:space="preserve">Surveying and Mapping (except Geophysical) Services</t>
  </si>
  <si>
    <t xml:space="preserve">Ship Building and Repairing</t>
  </si>
  <si>
    <t xml:space="preserve">WesBanco Bank, Inc.</t>
  </si>
  <si>
    <t xml:space="preserve">Other Similar Organizations (except Business, Professional, Labor, and Political Organizations)</t>
  </si>
  <si>
    <t xml:space="preserve">Appliance Repair and Maintenance</t>
  </si>
  <si>
    <t xml:space="preserve">Air-Conditioning and Warm Air Heating Equipment and Commercial and Industrial Refrigeration Equipment Manufacturing</t>
  </si>
  <si>
    <t xml:space="preserve">Web Search Portals and All Other Information Services</t>
  </si>
  <si>
    <t xml:space="preserve">Select Bank</t>
  </si>
  <si>
    <t xml:space="preserve">Farm and Garden Machinery and Equipment Merchant Wholesalers</t>
  </si>
  <si>
    <t xml:space="preserve">Navigational Services to Shipping</t>
  </si>
  <si>
    <t xml:space="preserve">Regions Bank</t>
  </si>
  <si>
    <t xml:space="preserve">Offices of Real Estate Appraisers</t>
  </si>
  <si>
    <t xml:space="preserve">Other Business Service Centers (including Copy Shops)</t>
  </si>
  <si>
    <t xml:space="preserve">FNB Bank Inc</t>
  </si>
  <si>
    <t xml:space="preserve">Abrasive Product Manufacturing</t>
  </si>
  <si>
    <t xml:space="preserve">Construction and Mining (except Oil Well) Machinery and Equipment Merchant Wholesalers</t>
  </si>
  <si>
    <t xml:space="preserve">Taxi and Ridesharing Services</t>
  </si>
  <si>
    <t xml:space="preserve">All Other Miscellaneous Fabricated Metal Product Manufacturing</t>
  </si>
  <si>
    <t xml:space="preserve">Hardware Retailers</t>
  </si>
  <si>
    <t xml:space="preserve">Industrial Building Construction</t>
  </si>
  <si>
    <t xml:space="preserve">Home Furnishing Merchant Wholesalers</t>
  </si>
  <si>
    <t xml:space="preserve">All Other Specialty Food Retailers</t>
  </si>
  <si>
    <t xml:space="preserve">Promoters of Performing Arts, Sports, and Similar Events with Facilities</t>
  </si>
  <si>
    <t xml:space="preserve">Community Trust Bank, Inc.</t>
  </si>
  <si>
    <t xml:space="preserve">Highway, Street, and Bridge Construction</t>
  </si>
  <si>
    <t xml:space="preserve">Merchants &amp; Marine Bank</t>
  </si>
  <si>
    <t xml:space="preserve">Sewing, Needlework, and Piece Goods Retailers</t>
  </si>
  <si>
    <t xml:space="preserve">All Other Miscellaneous Ambulatory Health Care Services</t>
  </si>
  <si>
    <t xml:space="preserve">America First Federal Credit Union</t>
  </si>
  <si>
    <t xml:space="preserve">Clothing and Clothing Accessories Merchant Wholesalers</t>
  </si>
  <si>
    <t xml:space="preserve">Title Abstract and Settlement Offices</t>
  </si>
  <si>
    <t xml:space="preserve">American Momentum Bank</t>
  </si>
  <si>
    <t xml:space="preserve">CNB Bank</t>
  </si>
  <si>
    <t xml:space="preserve">Iron and Steel Forging</t>
  </si>
  <si>
    <t xml:space="preserve">TransPecos Banks, SSB.</t>
  </si>
  <si>
    <t xml:space="preserve">KING AND QUEEN</t>
  </si>
  <si>
    <t xml:space="preserve">Truliant FCU</t>
  </si>
  <si>
    <t xml:space="preserve">Support Activities for Printing</t>
  </si>
  <si>
    <t xml:space="preserve">National Institutes of Health Federal Credit Union</t>
  </si>
  <si>
    <t xml:space="preserve">ConnectOne Bank</t>
  </si>
  <si>
    <t xml:space="preserve">Motor Vehicle Supplies and New Parts Merchant Wholesalers</t>
  </si>
  <si>
    <t xml:space="preserve">Cogent Bank</t>
  </si>
  <si>
    <t xml:space="preserve">Plumbing Fixture Fitting and Trim Manufacturing</t>
  </si>
  <si>
    <t xml:space="preserve">Media Streaming Distribution Services, Social Networks, and Other Media Networks and Content Providers</t>
  </si>
  <si>
    <t xml:space="preserve">Poultry and Poultry Product Merchant Wholesalers</t>
  </si>
  <si>
    <t xml:space="preserve">Security Guards and Patrol Services</t>
  </si>
  <si>
    <t xml:space="preserve">Southern Bank and Trust Company</t>
  </si>
  <si>
    <t xml:space="preserve">KING WILLIAM</t>
  </si>
  <si>
    <t xml:space="preserve">Fifth Third Bank</t>
  </si>
  <si>
    <t xml:space="preserve">Sporting and Recreational Goods and Supplies Merchant Wholesalers</t>
  </si>
  <si>
    <t xml:space="preserve">Computer Facilities Management Services</t>
  </si>
  <si>
    <t xml:space="preserve">Mission Valley Bank</t>
  </si>
  <si>
    <t xml:space="preserve">First Bank of Central Ohio</t>
  </si>
  <si>
    <t xml:space="preserve">Masonry Contractors</t>
  </si>
  <si>
    <t xml:space="preserve">Tour Operators</t>
  </si>
  <si>
    <t xml:space="preserve">Nursery, Garden Center, and Farm Supply Retailers</t>
  </si>
  <si>
    <t xml:space="preserve">Residential Mental Health and Substance Abuse Facilities</t>
  </si>
  <si>
    <t xml:space="preserve">City First Bank, National Association</t>
  </si>
  <si>
    <t xml:space="preserve">All Other Business Support Services</t>
  </si>
  <si>
    <t xml:space="preserve">CHARLOTTE</t>
  </si>
  <si>
    <t xml:space="preserve">BUENA VISTA CITY</t>
  </si>
  <si>
    <t xml:space="preserve">Transportation Equipment and Supplies (except Motor Vehicle) Merchant Wholesalers</t>
  </si>
  <si>
    <t xml:space="preserve">Asphalt Paving Mixture and Block Manufacturing</t>
  </si>
  <si>
    <t xml:space="preserve">Child and Youth Services</t>
  </si>
  <si>
    <t xml:space="preserve">All Other Home Furnishings Retailers</t>
  </si>
  <si>
    <t xml:space="preserve">KeyPoint CU</t>
  </si>
  <si>
    <t xml:space="preserve">Landscape Architectural Services</t>
  </si>
  <si>
    <t xml:space="preserve">Oilseed (except Soybean) Farming</t>
  </si>
  <si>
    <t xml:space="preserve">All Other Insurance Related Activities</t>
  </si>
  <si>
    <t xml:space="preserve">Home Centers</t>
  </si>
  <si>
    <t xml:space="preserve">All Other Support Services</t>
  </si>
  <si>
    <t xml:space="preserve">Fine Arts Schools</t>
  </si>
  <si>
    <t xml:space="preserve">Department Stores</t>
  </si>
  <si>
    <t xml:space="preserve">Locksmiths</t>
  </si>
  <si>
    <t xml:space="preserve">COVINGTON CITY</t>
  </si>
  <si>
    <t xml:space="preserve">CUMBERLAND</t>
  </si>
  <si>
    <t xml:space="preserve">Hazardous Waste Treatment and Disposal</t>
  </si>
  <si>
    <t xml:space="preserve">SCOTT</t>
  </si>
  <si>
    <t xml:space="preserve">Office Machinery and Equipment Rental and Leasing</t>
  </si>
  <si>
    <t xml:space="preserve">Electromedical and Electrotherapeutic Apparatus Manufacturing</t>
  </si>
  <si>
    <t xml:space="preserve">Museums</t>
  </si>
  <si>
    <t xml:space="preserve">Book Stores </t>
  </si>
  <si>
    <t xml:space="preserve">Commercial Screen Printing</t>
  </si>
  <si>
    <t xml:space="preserve">Apparel Accessories and Other Apparel Manufacturing</t>
  </si>
  <si>
    <t xml:space="preserve">Bankwell Bank</t>
  </si>
  <si>
    <t xml:space="preserve">All Other Publishers</t>
  </si>
  <si>
    <t xml:space="preserve">Drugs and Druggists' Sundries Merchant Wholesalers</t>
  </si>
  <si>
    <t xml:space="preserve">OceanFirst Bank, National Association</t>
  </si>
  <si>
    <t xml:space="preserve">Other Construction Material Merchant Wholesalers</t>
  </si>
  <si>
    <t xml:space="preserve">All Other Industrial Machinery Manufacturing</t>
  </si>
  <si>
    <t xml:space="preserve">Everwise Credit Union</t>
  </si>
  <si>
    <t xml:space="preserve">Horses and Other Equine Production</t>
  </si>
  <si>
    <t xml:space="preserve">Integro Bank</t>
  </si>
  <si>
    <t xml:space="preserve">Magnifi Financial CU</t>
  </si>
  <si>
    <t xml:space="preserve">Recreational Vehicle Dealers</t>
  </si>
  <si>
    <t xml:space="preserve">Framing Contractors</t>
  </si>
  <si>
    <t xml:space="preserve">Automobile Driving Schools</t>
  </si>
  <si>
    <t xml:space="preserve">First Heritage Bank</t>
  </si>
  <si>
    <t xml:space="preserve">Lessors of Nonfinancial Intangible Assets (except Copyrighted Works)</t>
  </si>
  <si>
    <t xml:space="preserve">Lawn and Garden Tractor and Home Lawn and Garden Equipment Manufacturing</t>
  </si>
  <si>
    <t xml:space="preserve">Toy and Hobby Goods and Supplies Merchant Wholesalers</t>
  </si>
  <si>
    <t xml:space="preserve">Packaging Machinery Manufacturing</t>
  </si>
  <si>
    <t xml:space="preserve">DINWIDDIE</t>
  </si>
  <si>
    <t xml:space="preserve">Miscellaneous Financial Investment Activities</t>
  </si>
  <si>
    <t xml:space="preserve">Renasant Bank</t>
  </si>
  <si>
    <t xml:space="preserve">Court Reporting and Stenotype Services</t>
  </si>
  <si>
    <t xml:space="preserve">NOTTOWAY</t>
  </si>
  <si>
    <t xml:space="preserve">United FCU</t>
  </si>
  <si>
    <t xml:space="preserve">Soft Drink Manufacturing</t>
  </si>
  <si>
    <t xml:space="preserve">Service Establishment Equipment and Supplies Merchant Wholesalers</t>
  </si>
  <si>
    <t xml:space="preserve">ACC Capital</t>
  </si>
  <si>
    <t xml:space="preserve">General Rental Centers</t>
  </si>
  <si>
    <t xml:space="preserve">Support Activities for Forestry</t>
  </si>
  <si>
    <t xml:space="preserve">Business Associations</t>
  </si>
  <si>
    <t xml:space="preserve">Roofing, Siding, and Insulation Material Merchant Wholesalers</t>
  </si>
  <si>
    <t xml:space="preserve">The National Capital Bank of Washington</t>
  </si>
  <si>
    <t xml:space="preserve">MIDDLESEX</t>
  </si>
  <si>
    <t xml:space="preserve">Distilleries</t>
  </si>
  <si>
    <t xml:space="preserve">Hay Farming</t>
  </si>
  <si>
    <t xml:space="preserve">Sawmills</t>
  </si>
  <si>
    <t xml:space="preserve">Busey Bank</t>
  </si>
  <si>
    <t xml:space="preserve">All Other Miscellaneous Food Manufacturing</t>
  </si>
  <si>
    <t xml:space="preserve">Other Residential Care Facilities</t>
  </si>
  <si>
    <t xml:space="preserve">Mortgage and Nonmortgage Loan Brokers</t>
  </si>
  <si>
    <t xml:space="preserve">Motorcycle, ATV, and All Other Motor Vehicle Dealers</t>
  </si>
  <si>
    <t xml:space="preserve">Drive-In Motion Picture Theaters</t>
  </si>
  <si>
    <t xml:space="preserve">CenTrust Bank, A Division of SmartBiz Bank National Association</t>
  </si>
  <si>
    <t xml:space="preserve">RV (Recreational Vehicle) Parks and Campgrounds</t>
  </si>
  <si>
    <t xml:space="preserve">Other Building Equipment Contractors</t>
  </si>
  <si>
    <t xml:space="preserve">The Citizens Bank of Weston</t>
  </si>
  <si>
    <t xml:space="preserve">Legal Counsel and Prosecution</t>
  </si>
  <si>
    <t xml:space="preserve">Fabricated Pipe and Pipe Fitting Manufacturing</t>
  </si>
  <si>
    <t xml:space="preserve">US Metro Bank</t>
  </si>
  <si>
    <t xml:space="preserve">Aircraft Manufacturing</t>
  </si>
  <si>
    <t xml:space="preserve">American Pride Bank</t>
  </si>
  <si>
    <t xml:space="preserve">Other Snack Food Manufacturing</t>
  </si>
  <si>
    <t xml:space="preserve">Motorcycle, Bicycle, and Parts Manufacturing</t>
  </si>
  <si>
    <t xml:space="preserve">Summit State Bank</t>
  </si>
  <si>
    <t xml:space="preserve">Other Community Housing Services</t>
  </si>
  <si>
    <t xml:space="preserve">Banc of California</t>
  </si>
  <si>
    <t xml:space="preserve">Flower, Nursery Stock, and Florists' Supplies Merchant Wholesalers</t>
  </si>
  <si>
    <t xml:space="preserve">Human Resources Consulting Services</t>
  </si>
  <si>
    <t xml:space="preserve">Grape Vineyards</t>
  </si>
  <si>
    <t xml:space="preserve">Institute Capital, Inc.</t>
  </si>
  <si>
    <t xml:space="preserve">Accion Opportunity Fund Community Development</t>
  </si>
  <si>
    <t xml:space="preserve">BLAND</t>
  </si>
  <si>
    <t xml:space="preserve">Provident Bank</t>
  </si>
  <si>
    <t xml:space="preserve">Women’s, Girls’, and Infants’ Cut and Sew Apparel Manufacturing </t>
  </si>
  <si>
    <t xml:space="preserve">Wireless Telecommunications Carriers (except Satellite)</t>
  </si>
  <si>
    <t xml:space="preserve">Somerset Trust Company</t>
  </si>
  <si>
    <t xml:space="preserve">Flight Training</t>
  </si>
  <si>
    <t xml:space="preserve">Metal Kitchen Cookware, Utensil, Cutlery, and Flatware (except Precious) Manufacturing</t>
  </si>
  <si>
    <t xml:space="preserve">Language Schools</t>
  </si>
  <si>
    <t xml:space="preserve">Zions Bank, A Division of</t>
  </si>
  <si>
    <t xml:space="preserve">Commercial, Industrial, and Institutional Electric Lighting Fixture Manufacturing</t>
  </si>
  <si>
    <t xml:space="preserve">Recreational and Vacation Camps (except Campgrounds)</t>
  </si>
  <si>
    <t xml:space="preserve">Seafood Product Preparation and Packaging</t>
  </si>
  <si>
    <t xml:space="preserve">Book Publishers</t>
  </si>
  <si>
    <t xml:space="preserve">Glass Product Manufacturing Made of Purchased Glass</t>
  </si>
  <si>
    <t xml:space="preserve">Professional Employer Organizations</t>
  </si>
  <si>
    <t xml:space="preserve">First Command Bank</t>
  </si>
  <si>
    <t xml:space="preserve">Perishable Prepared Food Manufacturing</t>
  </si>
  <si>
    <t xml:space="preserve">Climate First Bank</t>
  </si>
  <si>
    <t xml:space="preserve">Apiculture</t>
  </si>
  <si>
    <t xml:space="preserve">CommunityAmerica Federal Credit Union</t>
  </si>
  <si>
    <t xml:space="preserve">Meat Retailers</t>
  </si>
  <si>
    <t xml:space="preserve">Power and Communication Line and Related Structures Construction</t>
  </si>
  <si>
    <t xml:space="preserve">Vocational Rehabilitation Services</t>
  </si>
  <si>
    <t xml:space="preserve">Other Electronic Parts and Equipment Merchant Wholesalers</t>
  </si>
  <si>
    <t xml:space="preserve">Lafayette Federal Credit Union</t>
  </si>
  <si>
    <t xml:space="preserve">Ornamental and Architectural Metal Work Manufacturing</t>
  </si>
  <si>
    <t xml:space="preserve">Automobile and Light Duty Motor Vehicle Manufacturing</t>
  </si>
  <si>
    <t xml:space="preserve">American Bank</t>
  </si>
  <si>
    <t xml:space="preserve">City National Bank</t>
  </si>
  <si>
    <t xml:space="preserve">Specialized Automotive Repair</t>
  </si>
  <si>
    <t xml:space="preserve">Cross River Bank</t>
  </si>
  <si>
    <t xml:space="preserve">Aggregated SBA 7(a) loans: fiscal year x state x industry</t>
  </si>
  <si>
    <t xml:space="preserve">Source: SBA 7(a) FOIA data, FY2020 to June 30, 2026 (data.sba.gov). Cancelled loans removed. Built by src/build_excel_tableau.py.</t>
  </si>
  <si>
    <t xml:space="preserve">State</t>
  </si>
  <si>
    <t xml:space="preserve">Sum of Interest Rates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</si>
</sst>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\$#,##0"/>
    <numFmt numFmtId="167" formatCode="0.00"/>
    <numFmt numFmtId="168" formatCode="0.0%;\-0.0%;\-"/>
    <numFmt numFmtId="169" formatCode="0.0%"/>
    <numFmt numFmtId="170" formatCode="0.00%"/>
    <numFmt numFmtId="171" formatCode="0"/>
    <numFmt numFmtId="172" formatCode="yyyy\-mm\-dd"/>
    <numFmt numFmtId="173" formatCode="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254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2606D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i val="true"/>
      <sz val="9"/>
      <color rgb="FF52606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 diagonalUp="false" diagonalDown="false">
      <left/>
      <right/>
      <top style="thin">
        <color rgb="FF0B2545"/>
      </top>
      <bottom style="double">
        <color rgb="FF0B254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2606D"/>
      <rgbColor rgb="FF969696"/>
      <rgbColor rgb="FF0B2545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approved by fiscal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Summary!C5</c:f>
              <c:strCache>
                <c:ptCount val="1"/>
                <c:pt idx="0">
                  <c:v>Total Approved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2026*</c:v>
                </c:pt>
              </c:strCache>
            </c:strRef>
          </c:cat>
          <c:val>
            <c:numRef>
              <c:f>Summary!$C$6:$C$12</c:f>
              <c:numCache>
                <c:formatCode>\$#,##0</c:formatCode>
                <c:ptCount val="7"/>
                <c:pt idx="0">
                  <c:v>19508718600</c:v>
                </c:pt>
                <c:pt idx="1">
                  <c:v>32203041400</c:v>
                </c:pt>
                <c:pt idx="2">
                  <c:v>23269324000</c:v>
                </c:pt>
                <c:pt idx="3">
                  <c:v>24655068800</c:v>
                </c:pt>
                <c:pt idx="4">
                  <c:v>27517974500</c:v>
                </c:pt>
                <c:pt idx="5">
                  <c:v>32065939300</c:v>
                </c:pt>
                <c:pt idx="6">
                  <c:v>19885185218</c:v>
                </c:pt>
              </c:numCache>
            </c:numRef>
          </c:val>
        </c:ser>
        <c:gapWidth val="150"/>
        <c:overlap val="0"/>
        <c:axId val="70481089"/>
        <c:axId val="72544215"/>
      </c:barChart>
      <c:catAx>
        <c:axId val="704810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544215"/>
        <c:crosses val="autoZero"/>
        <c:auto val="1"/>
        <c:lblAlgn val="ctr"/>
        <c:lblOffset val="100"/>
        <c:noMultiLvlLbl val="0"/>
      </c:catAx>
      <c:valAx>
        <c:axId val="72544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810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interest rate by fiscal year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Summary!E5</c:f>
              <c:strCache>
                <c:ptCount val="1"/>
                <c:pt idx="0">
                  <c:v>Avg Rate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Summary!$A$6:$A$12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2026*</c:v>
                </c:pt>
              </c:strCache>
            </c:strRef>
          </c:cat>
          <c:val>
            <c:numRef>
              <c:f>Summary!$E$6:$E$12</c:f>
              <c:numCache>
                <c:formatCode>0.00</c:formatCode>
                <c:ptCount val="7"/>
                <c:pt idx="0">
                  <c:v>6.45737285913949</c:v>
                </c:pt>
                <c:pt idx="1">
                  <c:v>5.48653974867725</c:v>
                </c:pt>
                <c:pt idx="2">
                  <c:v>6.41748952982357</c:v>
                </c:pt>
                <c:pt idx="3">
                  <c:v>10.1240771870833</c:v>
                </c:pt>
                <c:pt idx="4">
                  <c:v>11.1104680123926</c:v>
                </c:pt>
                <c:pt idx="5">
                  <c:v>10.235936142661</c:v>
                </c:pt>
                <c:pt idx="6">
                  <c:v>9.4973850902051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430729"/>
        <c:axId val="43308720"/>
      </c:lineChart>
      <c:catAx>
        <c:axId val="154307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08720"/>
        <c:crosses val="autoZero"/>
        <c:auto val="1"/>
        <c:lblAlgn val="ctr"/>
        <c:lblOffset val="100"/>
        <c:noMultiLvlLbl val="0"/>
      </c:catAx>
      <c:valAx>
        <c:axId val="43308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307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Selected state: total approved by fiscal year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'State Explorer'!C13</c:f>
              <c:strCache>
                <c:ptCount val="1"/>
                <c:pt idx="0">
                  <c:v>Total Approved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Explorer'!$A$14:$A$20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'State Explorer'!$C$14:$C$20</c:f>
              <c:numCache>
                <c:formatCode>\$#,##0</c:formatCode>
                <c:ptCount val="7"/>
                <c:pt idx="0">
                  <c:v>310274600</c:v>
                </c:pt>
                <c:pt idx="1">
                  <c:v>503064500</c:v>
                </c:pt>
                <c:pt idx="2">
                  <c:v>391601000</c:v>
                </c:pt>
                <c:pt idx="3">
                  <c:v>441135100</c:v>
                </c:pt>
                <c:pt idx="4">
                  <c:v>483661000</c:v>
                </c:pt>
                <c:pt idx="5">
                  <c:v>655314200</c:v>
                </c:pt>
                <c:pt idx="6">
                  <c:v>352433500</c:v>
                </c:pt>
              </c:numCache>
            </c:numRef>
          </c:val>
        </c:ser>
        <c:gapWidth val="150"/>
        <c:overlap val="0"/>
        <c:axId val="25841050"/>
        <c:axId val="75021607"/>
      </c:barChart>
      <c:catAx>
        <c:axId val="258410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21607"/>
        <c:crosses val="autoZero"/>
        <c:auto val="1"/>
        <c:lblAlgn val="ctr"/>
        <c:lblOffset val="100"/>
        <c:noMultiLvlLbl val="0"/>
      </c:catAx>
      <c:valAx>
        <c:axId val="75021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8410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15</xdr:col>
      <xdr:colOff>507600</xdr:colOff>
      <xdr:row>16</xdr:row>
      <xdr:rowOff>163800</xdr:rowOff>
    </xdr:to>
    <xdr:graphicFrame>
      <xdr:nvGraphicFramePr>
        <xdr:cNvPr id="0" name="Chart 1"/>
        <xdr:cNvGraphicFramePr/>
      </xdr:nvGraphicFramePr>
      <xdr:xfrm>
        <a:off x="845820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18</xdr:row>
      <xdr:rowOff>130680</xdr:rowOff>
    </xdr:from>
    <xdr:to>
      <xdr:col>15</xdr:col>
      <xdr:colOff>507600</xdr:colOff>
      <xdr:row>32</xdr:row>
      <xdr:rowOff>163440</xdr:rowOff>
    </xdr:to>
    <xdr:graphicFrame>
      <xdr:nvGraphicFramePr>
        <xdr:cNvPr id="1" name="Chart 2"/>
        <xdr:cNvGraphicFramePr/>
      </xdr:nvGraphicFramePr>
      <xdr:xfrm>
        <a:off x="845820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13</xdr:col>
      <xdr:colOff>507600</xdr:colOff>
      <xdr:row>16</xdr:row>
      <xdr:rowOff>163800</xdr:rowOff>
    </xdr:to>
    <xdr:graphicFrame>
      <xdr:nvGraphicFramePr>
        <xdr:cNvPr id="2" name="Chart 1"/>
        <xdr:cNvGraphicFramePr/>
      </xdr:nvGraphicFramePr>
      <xdr:xfrm>
        <a:off x="6814080" y="571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26.8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15" hidden="false" customHeight="false" outlineLevel="0" collapsed="false">
      <c r="A12" s="2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true" outlineLevel="0" max="7" min="7" style="0" width="13"/>
  </cols>
  <sheetData>
    <row r="1" customFormat="false" ht="19.7" hidden="false" customHeight="false" outlineLevel="0" collapsed="false">
      <c r="A1" s="1" t="s">
        <v>21</v>
      </c>
    </row>
    <row r="2" customFormat="false" ht="15" hidden="false" customHeight="false" outlineLevel="0" collapsed="false">
      <c r="A2" s="4" t="s">
        <v>22</v>
      </c>
    </row>
    <row r="4" customFormat="false" ht="15" hidden="false" customHeight="false" outlineLevel="0" collapsed="false">
      <c r="A4" s="5" t="s">
        <v>23</v>
      </c>
    </row>
    <row r="5" customFormat="false" ht="15" hidden="false" customHeight="false" outlineLevel="0" collapsed="false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</row>
    <row r="6" customFormat="false" ht="15" hidden="false" customHeight="false" outlineLevel="0" collapsed="false">
      <c r="A6" s="7" t="s">
        <v>30</v>
      </c>
      <c r="B6" s="8" t="n">
        <f aca="false">SUMIFS(Data!$D$5:$D$6318,Data!$A$5:$A$6318,G6)</f>
        <v>36490</v>
      </c>
      <c r="C6" s="9" t="n">
        <f aca="false">SUMIFS(Data!$E$5:$E$6318,Data!$A$5:$A$6318,G6)</f>
        <v>19508718600</v>
      </c>
      <c r="D6" s="9" t="n">
        <f aca="false">IFERROR(C6/B6,0)</f>
        <v>534631.915593313</v>
      </c>
      <c r="E6" s="10" t="n">
        <f aca="false">IFERROR(SUMIFS(Data!$F$5:$F$6318,Data!$A$5:$A$6318,G6)/B6,0)</f>
        <v>6.45737285913949</v>
      </c>
      <c r="F6" s="11"/>
      <c r="G6" s="12" t="n">
        <v>2020</v>
      </c>
    </row>
    <row r="7" customFormat="false" ht="15" hidden="false" customHeight="false" outlineLevel="0" collapsed="false">
      <c r="A7" s="7" t="s">
        <v>31</v>
      </c>
      <c r="B7" s="8" t="n">
        <f aca="false">SUMIFS(Data!$D$5:$D$6318,Data!$A$5:$A$6318,G7)</f>
        <v>45360</v>
      </c>
      <c r="C7" s="9" t="n">
        <f aca="false">SUMIFS(Data!$E$5:$E$6318,Data!$A$5:$A$6318,G7)</f>
        <v>32203041400</v>
      </c>
      <c r="D7" s="9" t="n">
        <f aca="false">IFERROR(C7/B7,0)</f>
        <v>709943.593474427</v>
      </c>
      <c r="E7" s="10" t="n">
        <f aca="false">IFERROR(SUMIFS(Data!$F$5:$F$6318,Data!$A$5:$A$6318,G7)/B7,0)</f>
        <v>5.48653974867725</v>
      </c>
      <c r="F7" s="11" t="n">
        <f aca="false">IFERROR(C7/C6-1,0)</f>
        <v>0.650699979854136</v>
      </c>
      <c r="G7" s="12" t="n">
        <v>2021</v>
      </c>
    </row>
    <row r="8" customFormat="false" ht="15" hidden="false" customHeight="false" outlineLevel="0" collapsed="false">
      <c r="A8" s="7" t="s">
        <v>32</v>
      </c>
      <c r="B8" s="8" t="n">
        <f aca="false">SUMIFS(Data!$D$5:$D$6318,Data!$A$5:$A$6318,G8)</f>
        <v>42282</v>
      </c>
      <c r="C8" s="9" t="n">
        <f aca="false">SUMIFS(Data!$E$5:$E$6318,Data!$A$5:$A$6318,G8)</f>
        <v>23269324000</v>
      </c>
      <c r="D8" s="9" t="n">
        <f aca="false">IFERROR(C8/B8,0)</f>
        <v>550336.407927723</v>
      </c>
      <c r="E8" s="10" t="n">
        <f aca="false">IFERROR(SUMIFS(Data!$F$5:$F$6318,Data!$A$5:$A$6318,G8)/B8,0)</f>
        <v>6.41748952982357</v>
      </c>
      <c r="F8" s="11" t="n">
        <f aca="false">IFERROR(C8/C7-1,0)</f>
        <v>-0.27741843663251</v>
      </c>
      <c r="G8" s="12" t="n">
        <v>2022</v>
      </c>
    </row>
    <row r="9" customFormat="false" ht="15" hidden="false" customHeight="false" outlineLevel="0" collapsed="false">
      <c r="A9" s="7" t="s">
        <v>33</v>
      </c>
      <c r="B9" s="8" t="n">
        <f aca="false">SUMIFS(Data!$D$5:$D$6318,Data!$A$5:$A$6318,G9)</f>
        <v>51747</v>
      </c>
      <c r="C9" s="9" t="n">
        <f aca="false">SUMIFS(Data!$E$5:$E$6318,Data!$A$5:$A$6318,G9)</f>
        <v>24655068800</v>
      </c>
      <c r="D9" s="9" t="n">
        <f aca="false">IFERROR(C9/B9,0)</f>
        <v>476454.070767387</v>
      </c>
      <c r="E9" s="10" t="n">
        <f aca="false">IFERROR(SUMIFS(Data!$F$5:$F$6318,Data!$A$5:$A$6318,G9)/B9,0)</f>
        <v>10.1240771870833</v>
      </c>
      <c r="F9" s="11" t="n">
        <f aca="false">IFERROR(C9/C8-1,0)</f>
        <v>0.059552430487452</v>
      </c>
      <c r="G9" s="12" t="n">
        <v>2023</v>
      </c>
    </row>
    <row r="10" customFormat="false" ht="15" hidden="false" customHeight="false" outlineLevel="0" collapsed="false">
      <c r="A10" s="7" t="s">
        <v>34</v>
      </c>
      <c r="B10" s="8" t="n">
        <f aca="false">SUMIFS(Data!$D$5:$D$6318,Data!$A$5:$A$6318,G10)</f>
        <v>62618</v>
      </c>
      <c r="C10" s="9" t="n">
        <f aca="false">SUMIFS(Data!$E$5:$E$6318,Data!$A$5:$A$6318,G10)</f>
        <v>27517974500</v>
      </c>
      <c r="D10" s="9" t="n">
        <f aca="false">IFERROR(C10/B10,0)</f>
        <v>439457.895493309</v>
      </c>
      <c r="E10" s="10" t="n">
        <f aca="false">IFERROR(SUMIFS(Data!$F$5:$F$6318,Data!$A$5:$A$6318,G10)/B10,0)</f>
        <v>11.1104680123926</v>
      </c>
      <c r="F10" s="11" t="n">
        <f aca="false">IFERROR(C10/C9-1,0)</f>
        <v>0.116118341555794</v>
      </c>
      <c r="G10" s="12" t="n">
        <v>2024</v>
      </c>
    </row>
    <row r="11" customFormat="false" ht="15" hidden="false" customHeight="false" outlineLevel="0" collapsed="false">
      <c r="A11" s="7" t="s">
        <v>35</v>
      </c>
      <c r="B11" s="8" t="n">
        <f aca="false">SUMIFS(Data!$D$5:$D$6318,Data!$A$5:$A$6318,G11)</f>
        <v>64096</v>
      </c>
      <c r="C11" s="9" t="n">
        <f aca="false">SUMIFS(Data!$E$5:$E$6318,Data!$A$5:$A$6318,G11)</f>
        <v>32065939300</v>
      </c>
      <c r="D11" s="9" t="n">
        <f aca="false">IFERROR(C11/B11,0)</f>
        <v>500279.88173989</v>
      </c>
      <c r="E11" s="10" t="n">
        <f aca="false">IFERROR(SUMIFS(Data!$F$5:$F$6318,Data!$A$5:$A$6318,G11)/B11,0)</f>
        <v>10.235936142661</v>
      </c>
      <c r="F11" s="11" t="n">
        <f aca="false">IFERROR(C11/C10-1,0)</f>
        <v>0.165272513062326</v>
      </c>
      <c r="G11" s="12" t="n">
        <v>2025</v>
      </c>
    </row>
    <row r="12" customFormat="false" ht="15" hidden="false" customHeight="false" outlineLevel="0" collapsed="false">
      <c r="A12" s="7" t="s">
        <v>36</v>
      </c>
      <c r="B12" s="8" t="n">
        <f aca="false">SUMIFS(Data!$D$5:$D$6318,Data!$A$5:$A$6318,G12)</f>
        <v>35641</v>
      </c>
      <c r="C12" s="9" t="n">
        <f aca="false">SUMIFS(Data!$E$5:$E$6318,Data!$A$5:$A$6318,G12)</f>
        <v>19885185218</v>
      </c>
      <c r="D12" s="9" t="n">
        <f aca="false">IFERROR(C12/B12,0)</f>
        <v>557930.058584215</v>
      </c>
      <c r="E12" s="10" t="n">
        <f aca="false">IFERROR(SUMIFS(Data!$F$5:$F$6318,Data!$A$5:$A$6318,G12)/B12,0)</f>
        <v>9.4973850902051</v>
      </c>
      <c r="F12" s="11" t="s">
        <v>37</v>
      </c>
      <c r="G12" s="12" t="n">
        <v>2026</v>
      </c>
    </row>
    <row r="13" customFormat="false" ht="15" hidden="false" customHeight="false" outlineLevel="0" collapsed="false">
      <c r="A13" s="13" t="s">
        <v>38</v>
      </c>
      <c r="B13" s="14" t="n">
        <f aca="false">SUM(B6:B12)</f>
        <v>338234</v>
      </c>
      <c r="C13" s="15" t="n">
        <f aca="false">SUM(C6:C12)</f>
        <v>179105251818</v>
      </c>
      <c r="D13" s="15" t="n">
        <f aca="false">IFERROR(C13/B13,0)</f>
        <v>529530.596622457</v>
      </c>
      <c r="E13" s="16"/>
      <c r="F13" s="17"/>
    </row>
    <row r="16" customFormat="false" ht="15" hidden="false" customHeight="false" outlineLevel="0" collapsed="false">
      <c r="A16" s="5" t="s">
        <v>39</v>
      </c>
    </row>
    <row r="17" customFormat="false" ht="15" hidden="false" customHeight="false" outlineLevel="0" collapsed="false">
      <c r="A17" s="6" t="s">
        <v>40</v>
      </c>
      <c r="B17" s="6" t="s">
        <v>25</v>
      </c>
      <c r="C17" s="6" t="s">
        <v>26</v>
      </c>
      <c r="D17" s="6" t="s">
        <v>27</v>
      </c>
      <c r="E17" s="6" t="s">
        <v>41</v>
      </c>
    </row>
    <row r="18" customFormat="false" ht="15" hidden="false" customHeight="false" outlineLevel="0" collapsed="false">
      <c r="A18" s="7" t="s">
        <v>42</v>
      </c>
      <c r="B18" s="8" t="n">
        <f aca="false">SUMIFS(Data!$D$5:$D$6318,Data!$C$5:$C$6318,A18)</f>
        <v>42538</v>
      </c>
      <c r="C18" s="9" t="n">
        <f aca="false">SUMIFS(Data!$E$5:$E$6318,Data!$C$5:$C$6318,A18)</f>
        <v>31450885300</v>
      </c>
      <c r="D18" s="9" t="n">
        <f aca="false">IFERROR(C18/B18,0)</f>
        <v>739359.755982886</v>
      </c>
      <c r="E18" s="18" t="n">
        <f aca="false">IFERROR(C18/$C$13,0)</f>
        <v>0.175600017200831</v>
      </c>
    </row>
    <row r="19" customFormat="false" ht="15" hidden="false" customHeight="false" outlineLevel="0" collapsed="false">
      <c r="A19" s="7" t="s">
        <v>43</v>
      </c>
      <c r="B19" s="8" t="n">
        <f aca="false">SUMIFS(Data!$D$5:$D$6318,Data!$C$5:$C$6318,A19)</f>
        <v>41250</v>
      </c>
      <c r="C19" s="9" t="n">
        <f aca="false">SUMIFS(Data!$E$5:$E$6318,Data!$C$5:$C$6318,A19)</f>
        <v>24800871000</v>
      </c>
      <c r="D19" s="9" t="n">
        <f aca="false">IFERROR(C19/B19,0)</f>
        <v>601233.236363636</v>
      </c>
      <c r="E19" s="18" t="n">
        <f aca="false">IFERROR(C19/$C$13,0)</f>
        <v>0.13847093118856</v>
      </c>
    </row>
    <row r="20" customFormat="false" ht="15" hidden="false" customHeight="false" outlineLevel="0" collapsed="false">
      <c r="A20" s="7" t="s">
        <v>44</v>
      </c>
      <c r="B20" s="8" t="n">
        <f aca="false">SUMIFS(Data!$D$5:$D$6318,Data!$C$5:$C$6318,A20)</f>
        <v>32313</v>
      </c>
      <c r="C20" s="9" t="n">
        <f aca="false">SUMIFS(Data!$E$5:$E$6318,Data!$C$5:$C$6318,A20)</f>
        <v>19691369500</v>
      </c>
      <c r="D20" s="9" t="n">
        <f aca="false">IFERROR(C20/B20,0)</f>
        <v>609394.655401851</v>
      </c>
      <c r="E20" s="18" t="n">
        <f aca="false">IFERROR(C20/$C$13,0)</f>
        <v>0.10994300446315</v>
      </c>
    </row>
    <row r="21" customFormat="false" ht="15" hidden="false" customHeight="false" outlineLevel="0" collapsed="false">
      <c r="A21" s="7" t="s">
        <v>45</v>
      </c>
      <c r="B21" s="8" t="n">
        <f aca="false">SUMIFS(Data!$D$5:$D$6318,Data!$C$5:$C$6318,A21)</f>
        <v>43592</v>
      </c>
      <c r="C21" s="9" t="n">
        <f aca="false">SUMIFS(Data!$E$5:$E$6318,Data!$C$5:$C$6318,A21)</f>
        <v>16220011300</v>
      </c>
      <c r="D21" s="9" t="n">
        <f aca="false">IFERROR(C21/B21,0)</f>
        <v>372086.880620297</v>
      </c>
      <c r="E21" s="18" t="n">
        <f aca="false">IFERROR(C21/$C$13,0)</f>
        <v>0.0905613382933191</v>
      </c>
    </row>
    <row r="22" customFormat="false" ht="15" hidden="false" customHeight="false" outlineLevel="0" collapsed="false">
      <c r="A22" s="7" t="s">
        <v>46</v>
      </c>
      <c r="B22" s="8" t="n">
        <f aca="false">SUMIFS(Data!$D$5:$D$6318,Data!$C$5:$C$6318,A22)</f>
        <v>32351</v>
      </c>
      <c r="C22" s="9" t="n">
        <f aca="false">SUMIFS(Data!$E$5:$E$6318,Data!$C$5:$C$6318,A22)</f>
        <v>14998889018</v>
      </c>
      <c r="D22" s="9" t="n">
        <f aca="false">IFERROR(C22/B22,0)</f>
        <v>463629.841983246</v>
      </c>
      <c r="E22" s="18" t="n">
        <f aca="false">IFERROR(C22/$C$13,0)</f>
        <v>0.0837434350235654</v>
      </c>
    </row>
    <row r="23" customFormat="false" ht="15" hidden="false" customHeight="false" outlineLevel="0" collapsed="false">
      <c r="A23" s="7" t="s">
        <v>47</v>
      </c>
      <c r="B23" s="8" t="n">
        <f aca="false">SUMIFS(Data!$D$5:$D$6318,Data!$C$5:$C$6318,A23)</f>
        <v>20997</v>
      </c>
      <c r="C23" s="9" t="n">
        <f aca="false">SUMIFS(Data!$E$5:$E$6318,Data!$C$5:$C$6318,A23)</f>
        <v>14227067600</v>
      </c>
      <c r="D23" s="9" t="n">
        <f aca="false">IFERROR(C23/B23,0)</f>
        <v>677576.206124684</v>
      </c>
      <c r="E23" s="18" t="n">
        <f aca="false">IFERROR(C23/$C$13,0)</f>
        <v>0.0794341174007394</v>
      </c>
    </row>
    <row r="24" customFormat="false" ht="15" hidden="false" customHeight="false" outlineLevel="0" collapsed="false">
      <c r="A24" s="7" t="s">
        <v>48</v>
      </c>
      <c r="B24" s="8" t="n">
        <f aca="false">SUMIFS(Data!$D$5:$D$6318,Data!$C$5:$C$6318,A24)</f>
        <v>31918</v>
      </c>
      <c r="C24" s="9" t="n">
        <f aca="false">SUMIFS(Data!$E$5:$E$6318,Data!$C$5:$C$6318,A24)</f>
        <v>13635612500</v>
      </c>
      <c r="D24" s="9" t="n">
        <f aca="false">IFERROR(C24/B24,0)</f>
        <v>427207.610125948</v>
      </c>
      <c r="E24" s="18" t="n">
        <f aca="false">IFERROR(C24/$C$13,0)</f>
        <v>0.0761318407003274</v>
      </c>
    </row>
    <row r="25" customFormat="false" ht="15" hidden="false" customHeight="false" outlineLevel="0" collapsed="false">
      <c r="A25" s="7" t="s">
        <v>49</v>
      </c>
      <c r="B25" s="8" t="n">
        <f aca="false">SUMIFS(Data!$D$5:$D$6318,Data!$C$5:$C$6318,A25)</f>
        <v>14394</v>
      </c>
      <c r="C25" s="9" t="n">
        <f aca="false">SUMIFS(Data!$E$5:$E$6318,Data!$C$5:$C$6318,A25)</f>
        <v>9569860000</v>
      </c>
      <c r="D25" s="9" t="n">
        <f aca="false">IFERROR(C25/B25,0)</f>
        <v>664850.632207864</v>
      </c>
      <c r="E25" s="18" t="n">
        <f aca="false">IFERROR(C25/$C$13,0)</f>
        <v>0.0534314873676878</v>
      </c>
    </row>
    <row r="26" customFormat="false" ht="15" hidden="false" customHeight="false" outlineLevel="0" collapsed="false">
      <c r="A26" s="7" t="s">
        <v>50</v>
      </c>
      <c r="B26" s="8" t="n">
        <f aca="false">SUMIFS(Data!$D$5:$D$6318,Data!$C$5:$C$6318,A26)</f>
        <v>19634</v>
      </c>
      <c r="C26" s="9" t="n">
        <f aca="false">SUMIFS(Data!$E$5:$E$6318,Data!$C$5:$C$6318,A26)</f>
        <v>6996470000</v>
      </c>
      <c r="D26" s="9" t="n">
        <f aca="false">IFERROR(C26/B26,0)</f>
        <v>356344.606295202</v>
      </c>
      <c r="E26" s="18" t="n">
        <f aca="false">IFERROR(C26/$C$13,0)</f>
        <v>0.039063455309002</v>
      </c>
    </row>
    <row r="27" customFormat="false" ht="15" hidden="false" customHeight="false" outlineLevel="0" collapsed="false">
      <c r="A27" s="7" t="s">
        <v>51</v>
      </c>
      <c r="B27" s="8" t="n">
        <f aca="false">SUMIFS(Data!$D$5:$D$6318,Data!$C$5:$C$6318,A27)</f>
        <v>12060</v>
      </c>
      <c r="C27" s="9" t="n">
        <f aca="false">SUMIFS(Data!$E$5:$E$6318,Data!$C$5:$C$6318,A27)</f>
        <v>6133117600</v>
      </c>
      <c r="D27" s="9" t="n">
        <f aca="false">IFERROR(C27/B27,0)</f>
        <v>508550.381426202</v>
      </c>
      <c r="E27" s="18" t="n">
        <f aca="false">IFERROR(C27/$C$13,0)</f>
        <v>0.034243091912415</v>
      </c>
    </row>
    <row r="28" customFormat="false" ht="15" hidden="false" customHeight="false" outlineLevel="0" collapsed="false">
      <c r="A28" s="7" t="s">
        <v>52</v>
      </c>
      <c r="B28" s="8" t="n">
        <f aca="false">SUMIFS(Data!$D$5:$D$6318,Data!$C$5:$C$6318,A28)</f>
        <v>19461</v>
      </c>
      <c r="C28" s="9" t="n">
        <f aca="false">SUMIFS(Data!$E$5:$E$6318,Data!$C$5:$C$6318,A28)</f>
        <v>6049758200</v>
      </c>
      <c r="D28" s="9" t="n">
        <f aca="false">IFERROR(C28/B28,0)</f>
        <v>310865.74173989</v>
      </c>
      <c r="E28" s="18" t="n">
        <f aca="false">IFERROR(C28/$C$13,0)</f>
        <v>0.0337776706076019</v>
      </c>
    </row>
    <row r="29" customFormat="false" ht="15" hidden="false" customHeight="false" outlineLevel="0" collapsed="false">
      <c r="A29" s="7" t="s">
        <v>53</v>
      </c>
      <c r="B29" s="8" t="n">
        <f aca="false">SUMIFS(Data!$D$5:$D$6318,Data!$C$5:$C$6318,A29)</f>
        <v>8096</v>
      </c>
      <c r="C29" s="9" t="n">
        <f aca="false">SUMIFS(Data!$E$5:$E$6318,Data!$C$5:$C$6318,A29)</f>
        <v>4947225400</v>
      </c>
      <c r="D29" s="9" t="n">
        <f aca="false">IFERROR(C29/B29,0)</f>
        <v>611070.331027668</v>
      </c>
      <c r="E29" s="18" t="n">
        <f aca="false">IFERROR(C29/$C$13,0)</f>
        <v>0.0276218890835607</v>
      </c>
    </row>
    <row r="30" customFormat="false" ht="15" hidden="false" customHeight="false" outlineLevel="0" collapsed="false">
      <c r="A30" s="7" t="s">
        <v>54</v>
      </c>
      <c r="B30" s="8" t="n">
        <f aca="false">SUMIFS(Data!$D$5:$D$6318,Data!$C$5:$C$6318,A30)</f>
        <v>6376</v>
      </c>
      <c r="C30" s="9" t="n">
        <f aca="false">SUMIFS(Data!$E$5:$E$6318,Data!$C$5:$C$6318,A30)</f>
        <v>3245702600</v>
      </c>
      <c r="D30" s="9" t="n">
        <f aca="false">IFERROR(C30/B30,0)</f>
        <v>509049.968632371</v>
      </c>
      <c r="E30" s="18" t="n">
        <f aca="false">IFERROR(C30/$C$13,0)</f>
        <v>0.0181217611826266</v>
      </c>
    </row>
    <row r="31" customFormat="false" ht="15" hidden="false" customHeight="false" outlineLevel="0" collapsed="false">
      <c r="A31" s="7" t="s">
        <v>55</v>
      </c>
      <c r="B31" s="8" t="n">
        <f aca="false">SUMIFS(Data!$D$5:$D$6318,Data!$C$5:$C$6318,A31)</f>
        <v>3603</v>
      </c>
      <c r="C31" s="9" t="n">
        <f aca="false">SUMIFS(Data!$E$5:$E$6318,Data!$C$5:$C$6318,A31)</f>
        <v>2461678300</v>
      </c>
      <c r="D31" s="9" t="n">
        <f aca="false">IFERROR(C31/B31,0)</f>
        <v>683230.169303358</v>
      </c>
      <c r="E31" s="18" t="n">
        <f aca="false">IFERROR(C31/$C$13,0)</f>
        <v>0.0137443110964801</v>
      </c>
    </row>
    <row r="32" customFormat="false" ht="15" hidden="false" customHeight="false" outlineLevel="0" collapsed="false">
      <c r="A32" s="7" t="s">
        <v>56</v>
      </c>
      <c r="B32" s="8" t="n">
        <f aca="false">SUMIFS(Data!$D$5:$D$6318,Data!$C$5:$C$6318,A32)</f>
        <v>5156</v>
      </c>
      <c r="C32" s="9" t="n">
        <f aca="false">SUMIFS(Data!$E$5:$E$6318,Data!$C$5:$C$6318,A32)</f>
        <v>2239757800</v>
      </c>
      <c r="D32" s="9" t="n">
        <f aca="false">IFERROR(C32/B32,0)</f>
        <v>434398.332040341</v>
      </c>
      <c r="E32" s="18" t="n">
        <f aca="false">IFERROR(C32/$C$13,0)</f>
        <v>0.0125052603274635</v>
      </c>
    </row>
    <row r="33" customFormat="false" ht="15" hidden="false" customHeight="false" outlineLevel="0" collapsed="false">
      <c r="A33" s="7" t="s">
        <v>57</v>
      </c>
      <c r="B33" s="8" t="n">
        <f aca="false">SUMIFS(Data!$D$5:$D$6318,Data!$C$5:$C$6318,A33)</f>
        <v>3181</v>
      </c>
      <c r="C33" s="9" t="n">
        <f aca="false">SUMIFS(Data!$E$5:$E$6318,Data!$C$5:$C$6318,A33)</f>
        <v>1491570700</v>
      </c>
      <c r="D33" s="9" t="n">
        <f aca="false">IFERROR(C33/B33,0)</f>
        <v>468899.93712669</v>
      </c>
      <c r="E33" s="18" t="n">
        <f aca="false">IFERROR(C33/$C$13,0)</f>
        <v>0.00832790040973046</v>
      </c>
    </row>
    <row r="34" customFormat="false" ht="15" hidden="false" customHeight="false" outlineLevel="0" collapsed="false">
      <c r="A34" s="7" t="s">
        <v>58</v>
      </c>
      <c r="B34" s="8" t="n">
        <f aca="false">SUMIFS(Data!$D$5:$D$6318,Data!$C$5:$C$6318,A34)</f>
        <v>557</v>
      </c>
      <c r="C34" s="9" t="n">
        <f aca="false">SUMIFS(Data!$E$5:$E$6318,Data!$C$5:$C$6318,A34)</f>
        <v>469062800</v>
      </c>
      <c r="D34" s="9" t="n">
        <f aca="false">IFERROR(C34/B34,0)</f>
        <v>842123.518850987</v>
      </c>
      <c r="E34" s="18" t="n">
        <f aca="false">IFERROR(C34/$C$13,0)</f>
        <v>0.00261892264597938</v>
      </c>
    </row>
    <row r="35" customFormat="false" ht="15" hidden="false" customHeight="false" outlineLevel="0" collapsed="false">
      <c r="A35" s="7" t="s">
        <v>59</v>
      </c>
      <c r="B35" s="8" t="n">
        <f aca="false">SUMIFS(Data!$D$5:$D$6318,Data!$C$5:$C$6318,A35)</f>
        <v>211</v>
      </c>
      <c r="C35" s="9" t="n">
        <f aca="false">SUMIFS(Data!$E$5:$E$6318,Data!$C$5:$C$6318,A35)</f>
        <v>231862200</v>
      </c>
      <c r="D35" s="9" t="n">
        <f aca="false">IFERROR(C35/B35,0)</f>
        <v>1098872.98578199</v>
      </c>
      <c r="E35" s="18" t="n">
        <f aca="false">IFERROR(C35/$C$13,0)</f>
        <v>0.00129455835407668</v>
      </c>
    </row>
    <row r="36" customFormat="false" ht="15" hidden="false" customHeight="false" outlineLevel="0" collapsed="false">
      <c r="A36" s="7" t="s">
        <v>60</v>
      </c>
      <c r="B36" s="8" t="n">
        <f aca="false">SUMIFS(Data!$D$5:$D$6318,Data!$C$5:$C$6318,A36)</f>
        <v>453</v>
      </c>
      <c r="C36" s="9" t="n">
        <f aca="false">SUMIFS(Data!$E$5:$E$6318,Data!$C$5:$C$6318,A36)</f>
        <v>214114400</v>
      </c>
      <c r="D36" s="9" t="n">
        <f aca="false">IFERROR(C36/B36,0)</f>
        <v>472658.719646799</v>
      </c>
      <c r="E36" s="18" t="n">
        <f aca="false">IFERROR(C36/$C$13,0)</f>
        <v>0.00119546689908108</v>
      </c>
    </row>
    <row r="37" customFormat="false" ht="15" hidden="false" customHeight="false" outlineLevel="0" collapsed="false">
      <c r="A37" s="7" t="s">
        <v>61</v>
      </c>
      <c r="B37" s="8" t="n">
        <f aca="false">SUMIFS(Data!$D$5:$D$6318,Data!$C$5:$C$6318,A37)</f>
        <v>93</v>
      </c>
      <c r="C37" s="9" t="n">
        <f aca="false">SUMIFS(Data!$E$5:$E$6318,Data!$C$5:$C$6318,A37)</f>
        <v>30365600</v>
      </c>
      <c r="D37" s="9" t="n">
        <f aca="false">IFERROR(C37/B37,0)</f>
        <v>326511.827956989</v>
      </c>
      <c r="E37" s="18" t="n">
        <f aca="false">IFERROR(C37/$C$13,0)</f>
        <v>0.000169540533802193</v>
      </c>
    </row>
    <row r="39" customFormat="false" ht="15" hidden="false" customHeight="false" outlineLevel="0" collapsed="false">
      <c r="A39" s="1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4" t="s">
        <v>63</v>
      </c>
    </row>
    <row r="4" customFormat="false" ht="15" hidden="false" customHeight="false" outlineLevel="0" collapsed="false">
      <c r="A4" s="20" t="s">
        <v>64</v>
      </c>
      <c r="B4" s="21" t="s">
        <v>65</v>
      </c>
    </row>
    <row r="6" customFormat="false" ht="15" hidden="false" customHeight="false" outlineLevel="0" collapsed="false">
      <c r="A6" s="7" t="s">
        <v>66</v>
      </c>
      <c r="B6" s="22" t="n">
        <f aca="false">SUMIFS(Data!$D$5:$D$6318,Data!$B$5:$B$6318,$B$4)</f>
        <v>5686</v>
      </c>
    </row>
    <row r="7" customFormat="false" ht="15" hidden="false" customHeight="false" outlineLevel="0" collapsed="false">
      <c r="A7" s="7" t="s">
        <v>67</v>
      </c>
      <c r="B7" s="23" t="n">
        <f aca="false">SUMIFS(Data!$E$5:$E$6318,Data!$B$5:$B$6318,$B$4)</f>
        <v>3137483900</v>
      </c>
    </row>
    <row r="8" customFormat="false" ht="15" hidden="false" customHeight="false" outlineLevel="0" collapsed="false">
      <c r="A8" s="7" t="s">
        <v>68</v>
      </c>
      <c r="B8" s="23" t="n">
        <f aca="false">IFERROR(B7/B6,0)</f>
        <v>551791.048188533</v>
      </c>
    </row>
    <row r="9" customFormat="false" ht="15" hidden="false" customHeight="false" outlineLevel="0" collapsed="false">
      <c r="A9" s="7" t="s">
        <v>69</v>
      </c>
      <c r="B9" s="24" t="n">
        <f aca="false">IFERROR(SUMIFS(Data!$F$5:$F$6318,Data!$B$5:$B$6318,$B$4)/B6,0)</f>
        <v>9.16603746042912</v>
      </c>
    </row>
    <row r="10" customFormat="false" ht="15" hidden="false" customHeight="false" outlineLevel="0" collapsed="false">
      <c r="A10" s="7" t="s">
        <v>70</v>
      </c>
      <c r="B10" s="25" t="n">
        <f aca="false">IFERROR(B7/SUM(Data!$E$5:$E$6318),0)</f>
        <v>0.0175175427194519</v>
      </c>
    </row>
    <row r="11" customFormat="false" ht="15" hidden="false" customHeight="false" outlineLevel="0" collapsed="false">
      <c r="A11" s="7" t="s">
        <v>71</v>
      </c>
      <c r="B11" s="26" t="n">
        <f aca="false">IFERROR(MATCH($B$4,Lists!$B$1:$B$54,0),"")</f>
        <v>18</v>
      </c>
      <c r="C11" s="19" t="s">
        <v>72</v>
      </c>
    </row>
    <row r="13" customFormat="false" ht="15" hidden="false" customHeight="false" outlineLevel="0" collapsed="false">
      <c r="A13" s="6" t="s">
        <v>24</v>
      </c>
      <c r="B13" s="6" t="s">
        <v>25</v>
      </c>
      <c r="C13" s="6" t="s">
        <v>26</v>
      </c>
      <c r="D13" s="6" t="s">
        <v>28</v>
      </c>
    </row>
    <row r="14" customFormat="false" ht="15" hidden="false" customHeight="false" outlineLevel="0" collapsed="false">
      <c r="A14" s="7" t="n">
        <v>2020</v>
      </c>
      <c r="B14" s="8" t="n">
        <f aca="false">SUMIFS(Data!$D$5:$D$6318,Data!$B$5:$B$6318,$B$4,Data!$A$5:$A$6318,A14)</f>
        <v>537</v>
      </c>
      <c r="C14" s="9" t="n">
        <f aca="false">SUMIFS(Data!$E$5:$E$6318,Data!$B$5:$B$6318,$B$4,Data!$A$5:$A$6318,A14)</f>
        <v>310274600</v>
      </c>
      <c r="D14" s="10" t="n">
        <f aca="false">IFERROR(SUMIFS(Data!$F$5:$F$6318,Data!$B$5:$B$6318,$B$4,Data!$A$5:$A$6318,A14)/B14,0)</f>
        <v>6.80867783985102</v>
      </c>
    </row>
    <row r="15" customFormat="false" ht="15" hidden="false" customHeight="false" outlineLevel="0" collapsed="false">
      <c r="A15" s="7" t="n">
        <v>2021</v>
      </c>
      <c r="B15" s="8" t="n">
        <f aca="false">SUMIFS(Data!$D$5:$D$6318,Data!$B$5:$B$6318,$B$4,Data!$A$5:$A$6318,A15)</f>
        <v>657</v>
      </c>
      <c r="C15" s="9" t="n">
        <f aca="false">SUMIFS(Data!$E$5:$E$6318,Data!$B$5:$B$6318,$B$4,Data!$A$5:$A$6318,A15)</f>
        <v>503064500</v>
      </c>
      <c r="D15" s="10" t="n">
        <f aca="false">IFERROR(SUMIFS(Data!$F$5:$F$6318,Data!$B$5:$B$6318,$B$4,Data!$A$5:$A$6318,A15)/B15,0)</f>
        <v>5.82474124809741</v>
      </c>
    </row>
    <row r="16" customFormat="false" ht="15" hidden="false" customHeight="false" outlineLevel="0" collapsed="false">
      <c r="A16" s="7" t="n">
        <v>2022</v>
      </c>
      <c r="B16" s="8" t="n">
        <f aca="false">SUMIFS(Data!$D$5:$D$6318,Data!$B$5:$B$6318,$B$4,Data!$A$5:$A$6318,A16)</f>
        <v>696</v>
      </c>
      <c r="C16" s="9" t="n">
        <f aca="false">SUMIFS(Data!$E$5:$E$6318,Data!$B$5:$B$6318,$B$4,Data!$A$5:$A$6318,A16)</f>
        <v>391601000</v>
      </c>
      <c r="D16" s="10" t="n">
        <f aca="false">IFERROR(SUMIFS(Data!$F$5:$F$6318,Data!$B$5:$B$6318,$B$4,Data!$A$5:$A$6318,A16)/B16,0)</f>
        <v>6.69967672413793</v>
      </c>
    </row>
    <row r="17" customFormat="false" ht="15" hidden="false" customHeight="false" outlineLevel="0" collapsed="false">
      <c r="A17" s="7" t="n">
        <v>2023</v>
      </c>
      <c r="B17" s="8" t="n">
        <f aca="false">SUMIFS(Data!$D$5:$D$6318,Data!$B$5:$B$6318,$B$4,Data!$A$5:$A$6318,A17)</f>
        <v>848</v>
      </c>
      <c r="C17" s="9" t="n">
        <f aca="false">SUMIFS(Data!$E$5:$E$6318,Data!$B$5:$B$6318,$B$4,Data!$A$5:$A$6318,A17)</f>
        <v>441135100</v>
      </c>
      <c r="D17" s="10" t="n">
        <f aca="false">IFERROR(SUMIFS(Data!$F$5:$F$6318,Data!$B$5:$B$6318,$B$4,Data!$A$5:$A$6318,A17)/B17,0)</f>
        <v>10.4503596698113</v>
      </c>
    </row>
    <row r="18" customFormat="false" ht="15" hidden="false" customHeight="false" outlineLevel="0" collapsed="false">
      <c r="A18" s="7" t="n">
        <v>2024</v>
      </c>
      <c r="B18" s="8" t="n">
        <f aca="false">SUMIFS(Data!$D$5:$D$6318,Data!$B$5:$B$6318,$B$4,Data!$A$5:$A$6318,A18)</f>
        <v>1061</v>
      </c>
      <c r="C18" s="9" t="n">
        <f aca="false">SUMIFS(Data!$E$5:$E$6318,Data!$B$5:$B$6318,$B$4,Data!$A$5:$A$6318,A18)</f>
        <v>483661000</v>
      </c>
      <c r="D18" s="10" t="n">
        <f aca="false">IFERROR(SUMIFS(Data!$F$5:$F$6318,Data!$B$5:$B$6318,$B$4,Data!$A$5:$A$6318,A18)/B18,0)</f>
        <v>11.401027332705</v>
      </c>
    </row>
    <row r="19" customFormat="false" ht="15" hidden="false" customHeight="false" outlineLevel="0" collapsed="false">
      <c r="A19" s="7" t="n">
        <v>2025</v>
      </c>
      <c r="B19" s="8" t="n">
        <f aca="false">SUMIFS(Data!$D$5:$D$6318,Data!$B$5:$B$6318,$B$4,Data!$A$5:$A$6318,A19)</f>
        <v>1192</v>
      </c>
      <c r="C19" s="9" t="n">
        <f aca="false">SUMIFS(Data!$E$5:$E$6318,Data!$B$5:$B$6318,$B$4,Data!$A$5:$A$6318,A19)</f>
        <v>655314200</v>
      </c>
      <c r="D19" s="10" t="n">
        <f aca="false">IFERROR(SUMIFS(Data!$F$5:$F$6318,Data!$B$5:$B$6318,$B$4,Data!$A$5:$A$6318,A19)/B19,0)</f>
        <v>10.3179815436242</v>
      </c>
    </row>
    <row r="20" customFormat="false" ht="15" hidden="false" customHeight="false" outlineLevel="0" collapsed="false">
      <c r="A20" s="7" t="n">
        <v>2026</v>
      </c>
      <c r="B20" s="8" t="n">
        <f aca="false">SUMIFS(Data!$D$5:$D$6318,Data!$B$5:$B$6318,$B$4,Data!$A$5:$A$6318,A20)</f>
        <v>695</v>
      </c>
      <c r="C20" s="9" t="n">
        <f aca="false">SUMIFS(Data!$E$5:$E$6318,Data!$B$5:$B$6318,$B$4,Data!$A$5:$A$6318,A20)</f>
        <v>352433500</v>
      </c>
      <c r="D20" s="10" t="n">
        <f aca="false">IFERROR(SUMIFS(Data!$F$5:$F$6318,Data!$B$5:$B$6318,$B$4,Data!$A$5:$A$6318,A20)/B20,0)</f>
        <v>9.66125179856115</v>
      </c>
    </row>
    <row r="22" customFormat="false" ht="26.85" hidden="false" customHeight="false" outlineLevel="0" collapsed="false">
      <c r="A22" s="6" t="s">
        <v>40</v>
      </c>
      <c r="B22" s="6" t="s">
        <v>25</v>
      </c>
      <c r="C22" s="6" t="s">
        <v>26</v>
      </c>
      <c r="D22" s="6" t="s">
        <v>73</v>
      </c>
    </row>
    <row r="23" customFormat="false" ht="15" hidden="false" customHeight="false" outlineLevel="0" collapsed="false">
      <c r="A23" s="7" t="s">
        <v>42</v>
      </c>
      <c r="B23" s="8" t="n">
        <f aca="false">SUMIFS(Data!$D$5:$D$6318,Data!$B$5:$B$6318,$B$4,Data!$C$5:$C$6318,A23)</f>
        <v>789</v>
      </c>
      <c r="C23" s="9" t="n">
        <f aca="false">SUMIFS(Data!$E$5:$E$6318,Data!$B$5:$B$6318,$B$4,Data!$C$5:$C$6318,A23)</f>
        <v>694888600</v>
      </c>
      <c r="D23" s="18" t="n">
        <f aca="false">IFERROR(C23/$B$7,0)</f>
        <v>0.221479574763714</v>
      </c>
    </row>
    <row r="24" customFormat="false" ht="15" hidden="false" customHeight="false" outlineLevel="0" collapsed="false">
      <c r="A24" s="7" t="s">
        <v>43</v>
      </c>
      <c r="B24" s="8" t="n">
        <f aca="false">SUMIFS(Data!$D$5:$D$6318,Data!$B$5:$B$6318,$B$4,Data!$C$5:$C$6318,A24)</f>
        <v>543</v>
      </c>
      <c r="C24" s="9" t="n">
        <f aca="false">SUMIFS(Data!$E$5:$E$6318,Data!$B$5:$B$6318,$B$4,Data!$C$5:$C$6318,A24)</f>
        <v>256853200</v>
      </c>
      <c r="D24" s="18" t="n">
        <f aca="false">IFERROR(C24/$B$7,0)</f>
        <v>0.0818659818461539</v>
      </c>
    </row>
    <row r="25" customFormat="false" ht="15" hidden="false" customHeight="false" outlineLevel="0" collapsed="false">
      <c r="A25" s="7" t="s">
        <v>44</v>
      </c>
      <c r="B25" s="8" t="n">
        <f aca="false">SUMIFS(Data!$D$5:$D$6318,Data!$B$5:$B$6318,$B$4,Data!$C$5:$C$6318,A25)</f>
        <v>629</v>
      </c>
      <c r="C25" s="9" t="n">
        <f aca="false">SUMIFS(Data!$E$5:$E$6318,Data!$B$5:$B$6318,$B$4,Data!$C$5:$C$6318,A25)</f>
        <v>386016600</v>
      </c>
      <c r="D25" s="18" t="n">
        <f aca="false">IFERROR(C25/$B$7,0)</f>
        <v>0.123033810627682</v>
      </c>
    </row>
    <row r="26" customFormat="false" ht="15" hidden="false" customHeight="false" outlineLevel="0" collapsed="false">
      <c r="A26" s="7" t="s">
        <v>45</v>
      </c>
      <c r="B26" s="8" t="n">
        <f aca="false">SUMIFS(Data!$D$5:$D$6318,Data!$B$5:$B$6318,$B$4,Data!$C$5:$C$6318,A26)</f>
        <v>602</v>
      </c>
      <c r="C26" s="9" t="n">
        <f aca="false">SUMIFS(Data!$E$5:$E$6318,Data!$B$5:$B$6318,$B$4,Data!$C$5:$C$6318,A26)</f>
        <v>264945500</v>
      </c>
      <c r="D26" s="18" t="n">
        <f aca="false">IFERROR(C26/$B$7,0)</f>
        <v>0.0844452142049239</v>
      </c>
    </row>
    <row r="27" customFormat="false" ht="15" hidden="false" customHeight="false" outlineLevel="0" collapsed="false">
      <c r="A27" s="7" t="s">
        <v>46</v>
      </c>
      <c r="B27" s="8" t="n">
        <f aca="false">SUMIFS(Data!$D$5:$D$6318,Data!$B$5:$B$6318,$B$4,Data!$C$5:$C$6318,A27)</f>
        <v>565</v>
      </c>
      <c r="C27" s="9" t="n">
        <f aca="false">SUMIFS(Data!$E$5:$E$6318,Data!$B$5:$B$6318,$B$4,Data!$C$5:$C$6318,A27)</f>
        <v>266086800</v>
      </c>
      <c r="D27" s="18" t="n">
        <f aca="false">IFERROR(C27/$B$7,0)</f>
        <v>0.0848089770277387</v>
      </c>
    </row>
    <row r="28" customFormat="false" ht="15" hidden="false" customHeight="false" outlineLevel="0" collapsed="false">
      <c r="A28" s="7" t="s">
        <v>47</v>
      </c>
      <c r="B28" s="8" t="n">
        <f aca="false">SUMIFS(Data!$D$5:$D$6318,Data!$B$5:$B$6318,$B$4,Data!$C$5:$C$6318,A28)</f>
        <v>283</v>
      </c>
      <c r="C28" s="9" t="n">
        <f aca="false">SUMIFS(Data!$E$5:$E$6318,Data!$B$5:$B$6318,$B$4,Data!$C$5:$C$6318,A28)</f>
        <v>178585700</v>
      </c>
      <c r="D28" s="18" t="n">
        <f aca="false">IFERROR(C28/$B$7,0)</f>
        <v>0.0569200371036167</v>
      </c>
    </row>
    <row r="29" customFormat="false" ht="15" hidden="false" customHeight="false" outlineLevel="0" collapsed="false">
      <c r="A29" s="7" t="s">
        <v>48</v>
      </c>
      <c r="B29" s="8" t="n">
        <f aca="false">SUMIFS(Data!$D$5:$D$6318,Data!$B$5:$B$6318,$B$4,Data!$C$5:$C$6318,A29)</f>
        <v>818</v>
      </c>
      <c r="C29" s="9" t="n">
        <f aca="false">SUMIFS(Data!$E$5:$E$6318,Data!$B$5:$B$6318,$B$4,Data!$C$5:$C$6318,A29)</f>
        <v>396348600</v>
      </c>
      <c r="D29" s="18" t="n">
        <f aca="false">IFERROR(C29/$B$7,0)</f>
        <v>0.126326895255144</v>
      </c>
    </row>
    <row r="30" customFormat="false" ht="15" hidden="false" customHeight="false" outlineLevel="0" collapsed="false">
      <c r="A30" s="7" t="s">
        <v>49</v>
      </c>
      <c r="B30" s="8" t="n">
        <f aca="false">SUMIFS(Data!$D$5:$D$6318,Data!$B$5:$B$6318,$B$4,Data!$C$5:$C$6318,A30)</f>
        <v>164</v>
      </c>
      <c r="C30" s="9" t="n">
        <f aca="false">SUMIFS(Data!$E$5:$E$6318,Data!$B$5:$B$6318,$B$4,Data!$C$5:$C$6318,A30)</f>
        <v>95656400</v>
      </c>
      <c r="D30" s="18" t="n">
        <f aca="false">IFERROR(C30/$B$7,0)</f>
        <v>0.0304882520672058</v>
      </c>
    </row>
    <row r="31" customFormat="false" ht="15" hidden="false" customHeight="false" outlineLevel="0" collapsed="false">
      <c r="A31" s="7" t="s">
        <v>50</v>
      </c>
      <c r="B31" s="8" t="n">
        <f aca="false">SUMIFS(Data!$D$5:$D$6318,Data!$B$5:$B$6318,$B$4,Data!$C$5:$C$6318,A31)</f>
        <v>352</v>
      </c>
      <c r="C31" s="9" t="n">
        <f aca="false">SUMIFS(Data!$E$5:$E$6318,Data!$B$5:$B$6318,$B$4,Data!$C$5:$C$6318,A31)</f>
        <v>117519400</v>
      </c>
      <c r="D31" s="18" t="n">
        <f aca="false">IFERROR(C31/$B$7,0)</f>
        <v>0.0374565746775625</v>
      </c>
    </row>
    <row r="32" customFormat="false" ht="15" hidden="false" customHeight="false" outlineLevel="0" collapsed="false">
      <c r="A32" s="7" t="s">
        <v>51</v>
      </c>
      <c r="B32" s="8" t="n">
        <f aca="false">SUMIFS(Data!$D$5:$D$6318,Data!$B$5:$B$6318,$B$4,Data!$C$5:$C$6318,A32)</f>
        <v>273</v>
      </c>
      <c r="C32" s="9" t="n">
        <f aca="false">SUMIFS(Data!$E$5:$E$6318,Data!$B$5:$B$6318,$B$4,Data!$C$5:$C$6318,A32)</f>
        <v>168973600</v>
      </c>
      <c r="D32" s="18" t="n">
        <f aca="false">IFERROR(C32/$B$7,0)</f>
        <v>0.0538564038527815</v>
      </c>
    </row>
    <row r="33" customFormat="false" ht="15" hidden="false" customHeight="false" outlineLevel="0" collapsed="false">
      <c r="A33" s="7" t="s">
        <v>52</v>
      </c>
      <c r="B33" s="8" t="n">
        <f aca="false">SUMIFS(Data!$D$5:$D$6318,Data!$B$5:$B$6318,$B$4,Data!$C$5:$C$6318,A33)</f>
        <v>251</v>
      </c>
      <c r="C33" s="9" t="n">
        <f aca="false">SUMIFS(Data!$E$5:$E$6318,Data!$B$5:$B$6318,$B$4,Data!$C$5:$C$6318,A33)</f>
        <v>95898000</v>
      </c>
      <c r="D33" s="18" t="n">
        <f aca="false">IFERROR(C33/$B$7,0)</f>
        <v>0.0305652564464156</v>
      </c>
    </row>
    <row r="34" customFormat="false" ht="15" hidden="false" customHeight="false" outlineLevel="0" collapsed="false">
      <c r="A34" s="7" t="s">
        <v>53</v>
      </c>
      <c r="B34" s="8" t="n">
        <f aca="false">SUMIFS(Data!$D$5:$D$6318,Data!$B$5:$B$6318,$B$4,Data!$C$5:$C$6318,A34)</f>
        <v>102</v>
      </c>
      <c r="C34" s="9" t="n">
        <f aca="false">SUMIFS(Data!$E$5:$E$6318,Data!$B$5:$B$6318,$B$4,Data!$C$5:$C$6318,A34)</f>
        <v>51974000</v>
      </c>
      <c r="D34" s="18" t="n">
        <f aca="false">IFERROR(C34/$B$7,0)</f>
        <v>0.0165655033321446</v>
      </c>
    </row>
    <row r="35" customFormat="false" ht="15" hidden="false" customHeight="false" outlineLevel="0" collapsed="false">
      <c r="A35" s="7" t="s">
        <v>54</v>
      </c>
      <c r="B35" s="8" t="n">
        <f aca="false">SUMIFS(Data!$D$5:$D$6318,Data!$B$5:$B$6318,$B$4,Data!$C$5:$C$6318,A35)</f>
        <v>76</v>
      </c>
      <c r="C35" s="9" t="n">
        <f aca="false">SUMIFS(Data!$E$5:$E$6318,Data!$B$5:$B$6318,$B$4,Data!$C$5:$C$6318,A35)</f>
        <v>42896600</v>
      </c>
      <c r="D35" s="18" t="n">
        <f aca="false">IFERROR(C35/$B$7,0)</f>
        <v>0.0136722932665886</v>
      </c>
    </row>
    <row r="36" customFormat="false" ht="15" hidden="false" customHeight="false" outlineLevel="0" collapsed="false">
      <c r="A36" s="7" t="s">
        <v>55</v>
      </c>
      <c r="B36" s="8" t="n">
        <f aca="false">SUMIFS(Data!$D$5:$D$6318,Data!$B$5:$B$6318,$B$4,Data!$C$5:$C$6318,A36)</f>
        <v>45</v>
      </c>
      <c r="C36" s="9" t="n">
        <f aca="false">SUMIFS(Data!$E$5:$E$6318,Data!$B$5:$B$6318,$B$4,Data!$C$5:$C$6318,A36)</f>
        <v>44934400</v>
      </c>
      <c r="D36" s="18" t="n">
        <f aca="false">IFERROR(C36/$B$7,0)</f>
        <v>0.014321794607456</v>
      </c>
    </row>
    <row r="37" customFormat="false" ht="15" hidden="false" customHeight="false" outlineLevel="0" collapsed="false">
      <c r="A37" s="7" t="s">
        <v>56</v>
      </c>
      <c r="B37" s="8" t="n">
        <f aca="false">SUMIFS(Data!$D$5:$D$6318,Data!$B$5:$B$6318,$B$4,Data!$C$5:$C$6318,A37)</f>
        <v>126</v>
      </c>
      <c r="C37" s="9" t="n">
        <f aca="false">SUMIFS(Data!$E$5:$E$6318,Data!$B$5:$B$6318,$B$4,Data!$C$5:$C$6318,A37)</f>
        <v>52339100</v>
      </c>
      <c r="D37" s="18" t="n">
        <f aca="false">IFERROR(C37/$B$7,0)</f>
        <v>0.0166818704631441</v>
      </c>
    </row>
    <row r="38" customFormat="false" ht="15" hidden="false" customHeight="false" outlineLevel="0" collapsed="false">
      <c r="A38" s="7" t="s">
        <v>57</v>
      </c>
      <c r="B38" s="8" t="n">
        <f aca="false">SUMIFS(Data!$D$5:$D$6318,Data!$B$5:$B$6318,$B$4,Data!$C$5:$C$6318,A38)</f>
        <v>57</v>
      </c>
      <c r="C38" s="9" t="n">
        <f aca="false">SUMIFS(Data!$E$5:$E$6318,Data!$B$5:$B$6318,$B$4,Data!$C$5:$C$6318,A38)</f>
        <v>16719900</v>
      </c>
      <c r="D38" s="18" t="n">
        <f aca="false">IFERROR(C38/$B$7,0)</f>
        <v>0.00532907913886028</v>
      </c>
    </row>
    <row r="39" customFormat="false" ht="15" hidden="false" customHeight="false" outlineLevel="0" collapsed="false">
      <c r="A39" s="7" t="s">
        <v>58</v>
      </c>
      <c r="B39" s="8" t="n">
        <f aca="false">SUMIFS(Data!$D$5:$D$6318,Data!$B$5:$B$6318,$B$4,Data!$C$5:$C$6318,A39)</f>
        <v>0</v>
      </c>
      <c r="C39" s="9" t="n">
        <f aca="false">SUMIFS(Data!$E$5:$E$6318,Data!$B$5:$B$6318,$B$4,Data!$C$5:$C$6318,A39)</f>
        <v>0</v>
      </c>
      <c r="D39" s="18" t="n">
        <f aca="false">IFERROR(C39/$B$7,0)</f>
        <v>0</v>
      </c>
    </row>
    <row r="40" customFormat="false" ht="15" hidden="false" customHeight="false" outlineLevel="0" collapsed="false">
      <c r="A40" s="7" t="s">
        <v>59</v>
      </c>
      <c r="B40" s="8" t="n">
        <f aca="false">SUMIFS(Data!$D$5:$D$6318,Data!$B$5:$B$6318,$B$4,Data!$C$5:$C$6318,A40)</f>
        <v>1</v>
      </c>
      <c r="C40" s="9" t="n">
        <f aca="false">SUMIFS(Data!$E$5:$E$6318,Data!$B$5:$B$6318,$B$4,Data!$C$5:$C$6318,A40)</f>
        <v>2548500</v>
      </c>
      <c r="D40" s="18" t="n">
        <f aca="false">IFERROR(C40/$B$7,0)</f>
        <v>0.000812275084503223</v>
      </c>
    </row>
    <row r="41" customFormat="false" ht="15" hidden="false" customHeight="false" outlineLevel="0" collapsed="false">
      <c r="A41" s="7" t="s">
        <v>60</v>
      </c>
      <c r="B41" s="8" t="n">
        <f aca="false">SUMIFS(Data!$D$5:$D$6318,Data!$B$5:$B$6318,$B$4,Data!$C$5:$C$6318,A41)</f>
        <v>7</v>
      </c>
      <c r="C41" s="9" t="n">
        <f aca="false">SUMIFS(Data!$E$5:$E$6318,Data!$B$5:$B$6318,$B$4,Data!$C$5:$C$6318,A41)</f>
        <v>3859000</v>
      </c>
      <c r="D41" s="18" t="n">
        <f aca="false">IFERROR(C41/$B$7,0)</f>
        <v>0.00122996647090364</v>
      </c>
    </row>
    <row r="42" customFormat="false" ht="15" hidden="false" customHeight="false" outlineLevel="0" collapsed="false">
      <c r="A42" s="7" t="s">
        <v>61</v>
      </c>
      <c r="B42" s="8" t="n">
        <f aca="false">SUMIFS(Data!$D$5:$D$6318,Data!$B$5:$B$6318,$B$4,Data!$C$5:$C$6318,A42)</f>
        <v>3</v>
      </c>
      <c r="C42" s="9" t="n">
        <f aca="false">SUMIFS(Data!$E$5:$E$6318,Data!$B$5:$B$6318,$B$4,Data!$C$5:$C$6318,A42)</f>
        <v>440000</v>
      </c>
      <c r="D42" s="18" t="n">
        <f aca="false">IFERROR(C42/$B$7,0)</f>
        <v>0.000140239763461416</v>
      </c>
    </row>
  </sheetData>
  <dataValidations count="1">
    <dataValidation allowBlank="false" errorStyle="stop" operator="between" showDropDown="false" showErrorMessage="false" showInputMessage="false" sqref="B4" type="list">
      <formula1>Lists!$A$1:$A$54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74</v>
      </c>
      <c r="B1" s="0" t="s">
        <v>75</v>
      </c>
    </row>
    <row r="2" customFormat="false" ht="15" hidden="false" customHeight="false" outlineLevel="0" collapsed="false">
      <c r="A2" s="0" t="s">
        <v>76</v>
      </c>
      <c r="B2" s="0" t="s">
        <v>77</v>
      </c>
    </row>
    <row r="3" customFormat="false" ht="15" hidden="false" customHeight="false" outlineLevel="0" collapsed="false">
      <c r="A3" s="0" t="s">
        <v>78</v>
      </c>
      <c r="B3" s="0" t="s">
        <v>79</v>
      </c>
    </row>
    <row r="4" customFormat="false" ht="15" hidden="false" customHeight="false" outlineLevel="0" collapsed="false">
      <c r="A4" s="0" t="s">
        <v>80</v>
      </c>
      <c r="B4" s="0" t="s">
        <v>81</v>
      </c>
    </row>
    <row r="5" customFormat="false" ht="15" hidden="false" customHeight="false" outlineLevel="0" collapsed="false">
      <c r="A5" s="0" t="s">
        <v>75</v>
      </c>
      <c r="B5" s="0" t="s">
        <v>82</v>
      </c>
    </row>
    <row r="6" customFormat="false" ht="15" hidden="false" customHeight="false" outlineLevel="0" collapsed="false">
      <c r="A6" s="0" t="s">
        <v>83</v>
      </c>
      <c r="B6" s="0" t="s">
        <v>84</v>
      </c>
    </row>
    <row r="7" customFormat="false" ht="15" hidden="false" customHeight="false" outlineLevel="0" collapsed="false">
      <c r="A7" s="0" t="s">
        <v>85</v>
      </c>
      <c r="B7" s="0" t="s">
        <v>86</v>
      </c>
    </row>
    <row r="8" customFormat="false" ht="15" hidden="false" customHeight="false" outlineLevel="0" collapsed="false">
      <c r="A8" s="0" t="s">
        <v>87</v>
      </c>
      <c r="B8" s="0" t="s">
        <v>83</v>
      </c>
    </row>
    <row r="9" customFormat="false" ht="15" hidden="false" customHeight="false" outlineLevel="0" collapsed="false">
      <c r="A9" s="0" t="s">
        <v>88</v>
      </c>
      <c r="B9" s="0" t="s">
        <v>89</v>
      </c>
    </row>
    <row r="10" customFormat="false" ht="15" hidden="false" customHeight="false" outlineLevel="0" collapsed="false">
      <c r="A10" s="0" t="s">
        <v>79</v>
      </c>
      <c r="B10" s="0" t="s">
        <v>90</v>
      </c>
    </row>
    <row r="11" customFormat="false" ht="15" hidden="false" customHeight="false" outlineLevel="0" collapsed="false">
      <c r="A11" s="0" t="s">
        <v>81</v>
      </c>
      <c r="B11" s="0" t="s">
        <v>91</v>
      </c>
    </row>
    <row r="12" customFormat="false" ht="15" hidden="false" customHeight="false" outlineLevel="0" collapsed="false">
      <c r="A12" s="0" t="s">
        <v>92</v>
      </c>
      <c r="B12" s="0" t="s">
        <v>93</v>
      </c>
    </row>
    <row r="13" customFormat="false" ht="15" hidden="false" customHeight="false" outlineLevel="0" collapsed="false">
      <c r="A13" s="0" t="s">
        <v>94</v>
      </c>
      <c r="B13" s="0" t="s">
        <v>95</v>
      </c>
    </row>
    <row r="14" customFormat="false" ht="15" hidden="false" customHeight="false" outlineLevel="0" collapsed="false">
      <c r="A14" s="0" t="s">
        <v>96</v>
      </c>
      <c r="B14" s="0" t="s">
        <v>80</v>
      </c>
    </row>
    <row r="15" customFormat="false" ht="15" hidden="false" customHeight="false" outlineLevel="0" collapsed="false">
      <c r="A15" s="0" t="s">
        <v>97</v>
      </c>
      <c r="B15" s="0" t="s">
        <v>98</v>
      </c>
    </row>
    <row r="16" customFormat="false" ht="15" hidden="false" customHeight="false" outlineLevel="0" collapsed="false">
      <c r="A16" s="0" t="s">
        <v>86</v>
      </c>
      <c r="B16" s="0" t="s">
        <v>99</v>
      </c>
    </row>
    <row r="17" customFormat="false" ht="15" hidden="false" customHeight="false" outlineLevel="0" collapsed="false">
      <c r="A17" s="0" t="s">
        <v>100</v>
      </c>
      <c r="B17" s="0" t="s">
        <v>100</v>
      </c>
    </row>
    <row r="18" customFormat="false" ht="15" hidden="false" customHeight="false" outlineLevel="0" collapsed="false">
      <c r="A18" s="0" t="s">
        <v>101</v>
      </c>
      <c r="B18" s="0" t="s">
        <v>65</v>
      </c>
    </row>
    <row r="19" customFormat="false" ht="15" hidden="false" customHeight="false" outlineLevel="0" collapsed="false">
      <c r="A19" s="0" t="s">
        <v>102</v>
      </c>
      <c r="B19" s="0" t="s">
        <v>103</v>
      </c>
    </row>
    <row r="20" customFormat="false" ht="15" hidden="false" customHeight="false" outlineLevel="0" collapsed="false">
      <c r="A20" s="0" t="s">
        <v>104</v>
      </c>
      <c r="B20" s="0" t="s">
        <v>105</v>
      </c>
    </row>
    <row r="21" customFormat="false" ht="15" hidden="false" customHeight="false" outlineLevel="0" collapsed="false">
      <c r="A21" s="0" t="s">
        <v>106</v>
      </c>
      <c r="B21" s="0" t="s">
        <v>106</v>
      </c>
    </row>
    <row r="22" customFormat="false" ht="15" hidden="false" customHeight="false" outlineLevel="0" collapsed="false">
      <c r="A22" s="0" t="s">
        <v>107</v>
      </c>
      <c r="B22" s="0" t="s">
        <v>108</v>
      </c>
    </row>
    <row r="23" customFormat="false" ht="15" hidden="false" customHeight="false" outlineLevel="0" collapsed="false">
      <c r="A23" s="0" t="s">
        <v>109</v>
      </c>
      <c r="B23" s="0" t="s">
        <v>110</v>
      </c>
    </row>
    <row r="24" customFormat="false" ht="15" hidden="false" customHeight="false" outlineLevel="0" collapsed="false">
      <c r="A24" s="0" t="s">
        <v>95</v>
      </c>
      <c r="B24" s="0" t="s">
        <v>111</v>
      </c>
    </row>
    <row r="25" customFormat="false" ht="15" hidden="false" customHeight="false" outlineLevel="0" collapsed="false">
      <c r="A25" s="0" t="s">
        <v>98</v>
      </c>
      <c r="B25" s="0" t="s">
        <v>107</v>
      </c>
    </row>
    <row r="26" customFormat="false" ht="15" hidden="false" customHeight="false" outlineLevel="0" collapsed="false">
      <c r="A26" s="0" t="s">
        <v>103</v>
      </c>
      <c r="B26" s="0" t="s">
        <v>112</v>
      </c>
    </row>
    <row r="27" customFormat="false" ht="15" hidden="false" customHeight="false" outlineLevel="0" collapsed="false">
      <c r="A27" s="0" t="s">
        <v>113</v>
      </c>
      <c r="B27" s="0" t="s">
        <v>114</v>
      </c>
    </row>
    <row r="28" customFormat="false" ht="15" hidden="false" customHeight="false" outlineLevel="0" collapsed="false">
      <c r="A28" s="0" t="s">
        <v>115</v>
      </c>
      <c r="B28" s="0" t="s">
        <v>85</v>
      </c>
    </row>
    <row r="29" customFormat="false" ht="15" hidden="false" customHeight="false" outlineLevel="0" collapsed="false">
      <c r="A29" s="0" t="s">
        <v>90</v>
      </c>
      <c r="B29" s="0" t="s">
        <v>104</v>
      </c>
    </row>
    <row r="30" customFormat="false" ht="15" hidden="false" customHeight="false" outlineLevel="0" collapsed="false">
      <c r="A30" s="0" t="s">
        <v>116</v>
      </c>
      <c r="B30" s="0" t="s">
        <v>76</v>
      </c>
    </row>
    <row r="31" customFormat="false" ht="15" hidden="false" customHeight="false" outlineLevel="0" collapsed="false">
      <c r="A31" s="0" t="s">
        <v>117</v>
      </c>
      <c r="B31" s="0" t="s">
        <v>97</v>
      </c>
    </row>
    <row r="32" customFormat="false" ht="15" hidden="false" customHeight="false" outlineLevel="0" collapsed="false">
      <c r="A32" s="0" t="s">
        <v>118</v>
      </c>
      <c r="B32" s="0" t="s">
        <v>101</v>
      </c>
    </row>
    <row r="33" customFormat="false" ht="15" hidden="false" customHeight="false" outlineLevel="0" collapsed="false">
      <c r="A33" s="0" t="s">
        <v>91</v>
      </c>
      <c r="B33" s="0" t="s">
        <v>102</v>
      </c>
    </row>
    <row r="34" customFormat="false" ht="15" hidden="false" customHeight="false" outlineLevel="0" collapsed="false">
      <c r="A34" s="0" t="s">
        <v>119</v>
      </c>
      <c r="B34" s="0" t="s">
        <v>113</v>
      </c>
    </row>
    <row r="35" customFormat="false" ht="15" hidden="false" customHeight="false" outlineLevel="0" collapsed="false">
      <c r="A35" s="0" t="s">
        <v>112</v>
      </c>
      <c r="B35" s="0" t="s">
        <v>78</v>
      </c>
    </row>
    <row r="36" customFormat="false" ht="15" hidden="false" customHeight="false" outlineLevel="0" collapsed="false">
      <c r="A36" s="0" t="s">
        <v>82</v>
      </c>
      <c r="B36" s="0" t="s">
        <v>96</v>
      </c>
    </row>
    <row r="37" customFormat="false" ht="15" hidden="false" customHeight="false" outlineLevel="0" collapsed="false">
      <c r="A37" s="0" t="s">
        <v>84</v>
      </c>
      <c r="B37" s="0" t="s">
        <v>117</v>
      </c>
    </row>
    <row r="38" customFormat="false" ht="15" hidden="false" customHeight="false" outlineLevel="0" collapsed="false">
      <c r="A38" s="0" t="s">
        <v>114</v>
      </c>
      <c r="B38" s="0" t="s">
        <v>119</v>
      </c>
    </row>
    <row r="39" customFormat="false" ht="15" hidden="false" customHeight="false" outlineLevel="0" collapsed="false">
      <c r="A39" s="0" t="s">
        <v>108</v>
      </c>
      <c r="B39" s="0" t="s">
        <v>118</v>
      </c>
    </row>
    <row r="40" customFormat="false" ht="15" hidden="false" customHeight="false" outlineLevel="0" collapsed="false">
      <c r="A40" s="0" t="s">
        <v>93</v>
      </c>
      <c r="B40" s="0" t="s">
        <v>115</v>
      </c>
    </row>
    <row r="41" customFormat="false" ht="15" hidden="false" customHeight="false" outlineLevel="0" collapsed="false">
      <c r="A41" s="0" t="s">
        <v>120</v>
      </c>
      <c r="B41" s="0" t="s">
        <v>120</v>
      </c>
    </row>
    <row r="42" customFormat="false" ht="15" hidden="false" customHeight="false" outlineLevel="0" collapsed="false">
      <c r="A42" s="0" t="s">
        <v>121</v>
      </c>
      <c r="B42" s="0" t="s">
        <v>109</v>
      </c>
    </row>
    <row r="43" customFormat="false" ht="15" hidden="false" customHeight="false" outlineLevel="0" collapsed="false">
      <c r="A43" s="0" t="s">
        <v>111</v>
      </c>
      <c r="B43" s="0" t="s">
        <v>121</v>
      </c>
    </row>
    <row r="44" customFormat="false" ht="15" hidden="false" customHeight="false" outlineLevel="0" collapsed="false">
      <c r="A44" s="0" t="s">
        <v>122</v>
      </c>
      <c r="B44" s="0" t="s">
        <v>88</v>
      </c>
    </row>
    <row r="45" customFormat="false" ht="15" hidden="false" customHeight="false" outlineLevel="0" collapsed="false">
      <c r="A45" s="0" t="s">
        <v>110</v>
      </c>
      <c r="B45" s="0" t="s">
        <v>123</v>
      </c>
    </row>
    <row r="46" customFormat="false" ht="15" hidden="false" customHeight="false" outlineLevel="0" collapsed="false">
      <c r="A46" s="0" t="s">
        <v>77</v>
      </c>
      <c r="B46" s="0" t="s">
        <v>74</v>
      </c>
    </row>
    <row r="47" customFormat="false" ht="15" hidden="false" customHeight="false" outlineLevel="0" collapsed="false">
      <c r="A47" s="0" t="s">
        <v>105</v>
      </c>
      <c r="B47" s="0" t="s">
        <v>122</v>
      </c>
    </row>
    <row r="48" customFormat="false" ht="15" hidden="false" customHeight="false" outlineLevel="0" collapsed="false">
      <c r="A48" s="0" t="s">
        <v>65</v>
      </c>
      <c r="B48" s="0" t="s">
        <v>116</v>
      </c>
    </row>
    <row r="49" customFormat="false" ht="15" hidden="false" customHeight="false" outlineLevel="0" collapsed="false">
      <c r="A49" s="0" t="s">
        <v>124</v>
      </c>
      <c r="B49" s="0" t="s">
        <v>125</v>
      </c>
    </row>
    <row r="50" customFormat="false" ht="15" hidden="false" customHeight="false" outlineLevel="0" collapsed="false">
      <c r="A50" s="0" t="s">
        <v>126</v>
      </c>
      <c r="B50" s="0" t="s">
        <v>87</v>
      </c>
    </row>
    <row r="51" customFormat="false" ht="15" hidden="false" customHeight="false" outlineLevel="0" collapsed="false">
      <c r="A51" s="0" t="s">
        <v>89</v>
      </c>
      <c r="B51" s="0" t="s">
        <v>126</v>
      </c>
    </row>
    <row r="52" customFormat="false" ht="15" hidden="false" customHeight="false" outlineLevel="0" collapsed="false">
      <c r="A52" s="0" t="s">
        <v>99</v>
      </c>
      <c r="B52" s="0" t="s">
        <v>94</v>
      </c>
    </row>
    <row r="53" customFormat="false" ht="15" hidden="false" customHeight="false" outlineLevel="0" collapsed="false">
      <c r="A53" s="0" t="s">
        <v>123</v>
      </c>
      <c r="B53" s="0" t="s">
        <v>124</v>
      </c>
    </row>
    <row r="54" customFormat="false" ht="15" hidden="false" customHeight="false" outlineLevel="0" collapsed="false">
      <c r="A54" s="0" t="s">
        <v>125</v>
      </c>
      <c r="B54" s="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4"/>
    <col collapsed="false" customWidth="true" hidden="false" outlineLevel="0" max="10" min="9" style="0" width="15"/>
    <col collapsed="false" customWidth="true" hidden="false" outlineLevel="0" max="11" min="11" style="0" width="12"/>
    <col collapsed="false" customWidth="true" hidden="false" outlineLevel="0" max="13" min="12" style="0" width="11"/>
  </cols>
  <sheetData>
    <row r="1" customFormat="false" ht="19.7" hidden="false" customHeight="false" outlineLevel="0" collapsed="false">
      <c r="A1" s="1" t="s">
        <v>127</v>
      </c>
    </row>
    <row r="2" customFormat="false" ht="15" hidden="false" customHeight="false" outlineLevel="0" collapsed="false">
      <c r="A2" s="4" t="s">
        <v>128</v>
      </c>
    </row>
    <row r="4" customFormat="false" ht="39.55" hidden="false" customHeight="false" outlineLevel="0" collapsed="false">
      <c r="A4" s="6" t="s">
        <v>129</v>
      </c>
      <c r="B4" s="6" t="s">
        <v>24</v>
      </c>
      <c r="C4" s="6" t="s">
        <v>130</v>
      </c>
      <c r="D4" s="6" t="s">
        <v>40</v>
      </c>
      <c r="E4" s="6" t="s">
        <v>131</v>
      </c>
      <c r="F4" s="6" t="s">
        <v>132</v>
      </c>
      <c r="G4" s="6" t="s">
        <v>133</v>
      </c>
      <c r="H4" s="6" t="s">
        <v>134</v>
      </c>
      <c r="I4" s="6" t="s">
        <v>135</v>
      </c>
      <c r="J4" s="6" t="s">
        <v>136</v>
      </c>
      <c r="K4" s="6" t="s">
        <v>137</v>
      </c>
      <c r="L4" s="6" t="s">
        <v>138</v>
      </c>
      <c r="M4" s="6" t="s">
        <v>139</v>
      </c>
    </row>
    <row r="5" customFormat="false" ht="15" hidden="false" customHeight="false" outlineLevel="0" collapsed="false">
      <c r="A5" s="27" t="n">
        <v>43739</v>
      </c>
      <c r="B5" s="28" t="n">
        <v>2020</v>
      </c>
      <c r="C5" s="28" t="s">
        <v>140</v>
      </c>
      <c r="D5" s="28" t="s">
        <v>44</v>
      </c>
      <c r="E5" s="28" t="s">
        <v>141</v>
      </c>
      <c r="F5" s="28" t="s">
        <v>142</v>
      </c>
      <c r="G5" s="28" t="s">
        <v>143</v>
      </c>
      <c r="H5" s="28" t="s">
        <v>144</v>
      </c>
      <c r="I5" s="29" t="n">
        <v>5000000</v>
      </c>
      <c r="J5" s="29" t="n">
        <v>3750000</v>
      </c>
      <c r="K5" s="28" t="n">
        <v>6</v>
      </c>
      <c r="L5" s="28" t="n">
        <v>312</v>
      </c>
      <c r="M5" s="28" t="n">
        <v>91</v>
      </c>
    </row>
    <row r="6" customFormat="false" ht="15" hidden="false" customHeight="false" outlineLevel="0" collapsed="false">
      <c r="A6" s="27" t="n">
        <v>43739</v>
      </c>
      <c r="B6" s="28" t="n">
        <v>2020</v>
      </c>
      <c r="C6" s="28" t="s">
        <v>145</v>
      </c>
      <c r="D6" s="28" t="s">
        <v>46</v>
      </c>
      <c r="E6" s="28" t="s">
        <v>146</v>
      </c>
      <c r="F6" s="28" t="s">
        <v>147</v>
      </c>
      <c r="G6" s="28" t="s">
        <v>148</v>
      </c>
      <c r="H6" s="28" t="s">
        <v>149</v>
      </c>
      <c r="I6" s="29" t="n">
        <v>22000</v>
      </c>
      <c r="J6" s="29" t="n">
        <v>11000</v>
      </c>
      <c r="K6" s="28" t="n">
        <v>9</v>
      </c>
      <c r="L6" s="28" t="n">
        <v>51</v>
      </c>
      <c r="M6" s="28" t="n">
        <v>2</v>
      </c>
    </row>
    <row r="7" customFormat="false" ht="15" hidden="false" customHeight="false" outlineLevel="0" collapsed="false">
      <c r="A7" s="27" t="n">
        <v>43740</v>
      </c>
      <c r="B7" s="28" t="n">
        <v>2020</v>
      </c>
      <c r="C7" s="28" t="s">
        <v>150</v>
      </c>
      <c r="D7" s="28" t="s">
        <v>47</v>
      </c>
      <c r="E7" s="28" t="s">
        <v>151</v>
      </c>
      <c r="F7" s="28" t="s">
        <v>142</v>
      </c>
      <c r="G7" s="28" t="s">
        <v>152</v>
      </c>
      <c r="H7" s="28" t="s">
        <v>153</v>
      </c>
      <c r="I7" s="29" t="n">
        <v>421900</v>
      </c>
      <c r="J7" s="29" t="n">
        <v>316425</v>
      </c>
      <c r="K7" s="28" t="n">
        <v>6</v>
      </c>
      <c r="L7" s="28" t="n">
        <v>119</v>
      </c>
      <c r="M7" s="28" t="n">
        <v>2</v>
      </c>
    </row>
    <row r="8" customFormat="false" ht="15" hidden="false" customHeight="false" outlineLevel="0" collapsed="false">
      <c r="A8" s="27" t="n">
        <v>43740</v>
      </c>
      <c r="B8" s="28" t="n">
        <v>2020</v>
      </c>
      <c r="C8" s="28" t="s">
        <v>154</v>
      </c>
      <c r="D8" s="28" t="s">
        <v>54</v>
      </c>
      <c r="E8" s="28" t="s">
        <v>155</v>
      </c>
      <c r="F8" s="28" t="s">
        <v>142</v>
      </c>
      <c r="G8" s="28" t="s">
        <v>156</v>
      </c>
      <c r="H8" s="28" t="s">
        <v>144</v>
      </c>
      <c r="I8" s="29" t="n">
        <v>425000</v>
      </c>
      <c r="J8" s="29" t="n">
        <v>318750</v>
      </c>
      <c r="K8" s="28" t="n">
        <v>6.89</v>
      </c>
      <c r="L8" s="28" t="n">
        <v>300</v>
      </c>
      <c r="M8" s="28" t="n">
        <v>0</v>
      </c>
    </row>
    <row r="9" customFormat="false" ht="15" hidden="false" customHeight="false" outlineLevel="0" collapsed="false">
      <c r="A9" s="27" t="n">
        <v>43740</v>
      </c>
      <c r="B9" s="28" t="n">
        <v>2020</v>
      </c>
      <c r="C9" s="28" t="s">
        <v>157</v>
      </c>
      <c r="D9" s="28" t="s">
        <v>55</v>
      </c>
      <c r="E9" s="28" t="s">
        <v>158</v>
      </c>
      <c r="F9" s="28" t="s">
        <v>147</v>
      </c>
      <c r="G9" s="28" t="s">
        <v>148</v>
      </c>
      <c r="H9" s="28" t="s">
        <v>159</v>
      </c>
      <c r="I9" s="29" t="n">
        <v>30000</v>
      </c>
      <c r="J9" s="29" t="n">
        <v>15000</v>
      </c>
      <c r="K9" s="28" t="n">
        <v>8.25</v>
      </c>
      <c r="L9" s="28" t="n">
        <v>60</v>
      </c>
      <c r="M9" s="28" t="n">
        <v>8</v>
      </c>
    </row>
    <row r="10" customFormat="false" ht="15" hidden="false" customHeight="false" outlineLevel="0" collapsed="false">
      <c r="A10" s="27" t="n">
        <v>43740</v>
      </c>
      <c r="B10" s="28" t="n">
        <v>2020</v>
      </c>
      <c r="C10" s="28" t="s">
        <v>160</v>
      </c>
      <c r="D10" s="28" t="s">
        <v>44</v>
      </c>
      <c r="E10" s="28" t="s">
        <v>161</v>
      </c>
      <c r="F10" s="28" t="s">
        <v>142</v>
      </c>
      <c r="G10" s="28" t="s">
        <v>156</v>
      </c>
      <c r="H10" s="28" t="s">
        <v>162</v>
      </c>
      <c r="I10" s="29" t="n">
        <v>245500</v>
      </c>
      <c r="J10" s="29" t="n">
        <v>184125</v>
      </c>
      <c r="K10" s="28" t="n">
        <v>4.99</v>
      </c>
      <c r="L10" s="28" t="n">
        <v>300</v>
      </c>
      <c r="M10" s="28" t="n">
        <v>1</v>
      </c>
    </row>
    <row r="11" customFormat="false" ht="15" hidden="false" customHeight="false" outlineLevel="0" collapsed="false">
      <c r="A11" s="27" t="n">
        <v>43741</v>
      </c>
      <c r="B11" s="28" t="n">
        <v>2020</v>
      </c>
      <c r="C11" s="28" t="s">
        <v>163</v>
      </c>
      <c r="D11" s="28" t="s">
        <v>42</v>
      </c>
      <c r="E11" s="28" t="s">
        <v>164</v>
      </c>
      <c r="F11" s="28" t="s">
        <v>142</v>
      </c>
      <c r="G11" s="28" t="s">
        <v>143</v>
      </c>
      <c r="H11" s="28" t="s">
        <v>165</v>
      </c>
      <c r="I11" s="29" t="n">
        <v>123300</v>
      </c>
      <c r="J11" s="29" t="n">
        <v>104805</v>
      </c>
      <c r="K11" s="28" t="n">
        <v>5.14</v>
      </c>
      <c r="L11" s="28" t="n">
        <v>60</v>
      </c>
      <c r="M11" s="28" t="n">
        <v>24</v>
      </c>
    </row>
    <row r="12" customFormat="false" ht="15" hidden="false" customHeight="false" outlineLevel="0" collapsed="false">
      <c r="A12" s="27" t="n">
        <v>43741</v>
      </c>
      <c r="B12" s="28" t="n">
        <v>2020</v>
      </c>
      <c r="C12" s="28" t="s">
        <v>166</v>
      </c>
      <c r="D12" s="28" t="s">
        <v>44</v>
      </c>
      <c r="E12" s="28" t="s">
        <v>167</v>
      </c>
      <c r="F12" s="28" t="s">
        <v>147</v>
      </c>
      <c r="G12" s="28" t="s">
        <v>156</v>
      </c>
      <c r="H12" s="28" t="s">
        <v>168</v>
      </c>
      <c r="I12" s="29" t="n">
        <v>7500</v>
      </c>
      <c r="J12" s="29" t="n">
        <v>3750</v>
      </c>
      <c r="K12" s="28" t="n">
        <v>11.5</v>
      </c>
      <c r="L12" s="28" t="n">
        <v>120</v>
      </c>
      <c r="M12" s="28" t="n">
        <v>0</v>
      </c>
    </row>
    <row r="13" customFormat="false" ht="15" hidden="false" customHeight="false" outlineLevel="0" collapsed="false">
      <c r="A13" s="27" t="n">
        <v>43742</v>
      </c>
      <c r="B13" s="28" t="n">
        <v>2020</v>
      </c>
      <c r="C13" s="28" t="s">
        <v>169</v>
      </c>
      <c r="D13" s="28" t="s">
        <v>48</v>
      </c>
      <c r="E13" s="28" t="s">
        <v>170</v>
      </c>
      <c r="F13" s="28" t="s">
        <v>142</v>
      </c>
      <c r="G13" s="28" t="s">
        <v>148</v>
      </c>
      <c r="H13" s="28" t="s">
        <v>171</v>
      </c>
      <c r="I13" s="29" t="n">
        <v>175000</v>
      </c>
      <c r="J13" s="29" t="n">
        <v>131250</v>
      </c>
      <c r="K13" s="28" t="n">
        <v>7.75</v>
      </c>
      <c r="L13" s="28" t="n">
        <v>120</v>
      </c>
      <c r="M13" s="28" t="n">
        <v>5</v>
      </c>
    </row>
    <row r="14" customFormat="false" ht="15" hidden="false" customHeight="false" outlineLevel="0" collapsed="false">
      <c r="A14" s="27" t="n">
        <v>43742</v>
      </c>
      <c r="B14" s="28" t="n">
        <v>2020</v>
      </c>
      <c r="C14" s="28" t="s">
        <v>172</v>
      </c>
      <c r="D14" s="28" t="s">
        <v>42</v>
      </c>
      <c r="E14" s="28" t="s">
        <v>164</v>
      </c>
      <c r="F14" s="28" t="s">
        <v>147</v>
      </c>
      <c r="G14" s="28" t="s">
        <v>148</v>
      </c>
      <c r="H14" s="28" t="s">
        <v>159</v>
      </c>
      <c r="I14" s="29" t="n">
        <v>80000</v>
      </c>
      <c r="J14" s="29" t="n">
        <v>40000</v>
      </c>
      <c r="K14" s="28" t="n">
        <v>9.5</v>
      </c>
      <c r="L14" s="28" t="n">
        <v>55</v>
      </c>
      <c r="M14" s="28" t="n">
        <v>0</v>
      </c>
    </row>
    <row r="15" customFormat="false" ht="15" hidden="false" customHeight="false" outlineLevel="0" collapsed="false">
      <c r="A15" s="27" t="n">
        <v>43742</v>
      </c>
      <c r="B15" s="28" t="n">
        <v>2020</v>
      </c>
      <c r="C15" s="28" t="s">
        <v>173</v>
      </c>
      <c r="D15" s="28" t="s">
        <v>44</v>
      </c>
      <c r="E15" s="28" t="s">
        <v>141</v>
      </c>
      <c r="F15" s="28" t="s">
        <v>147</v>
      </c>
      <c r="G15" s="28" t="s">
        <v>156</v>
      </c>
      <c r="H15" s="28" t="s">
        <v>168</v>
      </c>
      <c r="I15" s="29" t="n">
        <v>15000</v>
      </c>
      <c r="J15" s="29" t="n">
        <v>7500</v>
      </c>
      <c r="K15" s="28" t="n">
        <v>10</v>
      </c>
      <c r="L15" s="28" t="n">
        <v>120</v>
      </c>
      <c r="M15" s="28" t="n">
        <v>0</v>
      </c>
    </row>
    <row r="16" customFormat="false" ht="15" hidden="false" customHeight="false" outlineLevel="0" collapsed="false">
      <c r="A16" s="27" t="n">
        <v>43745</v>
      </c>
      <c r="B16" s="28" t="n">
        <v>2020</v>
      </c>
      <c r="C16" s="28" t="s">
        <v>172</v>
      </c>
      <c r="D16" s="28" t="s">
        <v>50</v>
      </c>
      <c r="E16" s="28" t="s">
        <v>174</v>
      </c>
      <c r="F16" s="28" t="s">
        <v>147</v>
      </c>
      <c r="G16" s="28" t="s">
        <v>148</v>
      </c>
      <c r="H16" s="28" t="s">
        <v>168</v>
      </c>
      <c r="I16" s="29" t="n">
        <v>15000</v>
      </c>
      <c r="J16" s="29" t="n">
        <v>7500</v>
      </c>
      <c r="K16" s="28" t="n">
        <v>9.5</v>
      </c>
      <c r="L16" s="28" t="n">
        <v>120</v>
      </c>
      <c r="M16" s="28" t="n">
        <v>0</v>
      </c>
    </row>
    <row r="17" customFormat="false" ht="15" hidden="false" customHeight="false" outlineLevel="0" collapsed="false">
      <c r="A17" s="27" t="n">
        <v>43745</v>
      </c>
      <c r="B17" s="28" t="n">
        <v>2020</v>
      </c>
      <c r="C17" s="28" t="s">
        <v>172</v>
      </c>
      <c r="D17" s="28" t="s">
        <v>44</v>
      </c>
      <c r="E17" s="28" t="s">
        <v>161</v>
      </c>
      <c r="F17" s="28" t="s">
        <v>142</v>
      </c>
      <c r="G17" s="28" t="s">
        <v>143</v>
      </c>
      <c r="H17" s="28" t="s">
        <v>162</v>
      </c>
      <c r="I17" s="29" t="n">
        <v>112000</v>
      </c>
      <c r="J17" s="29" t="n">
        <v>95200</v>
      </c>
      <c r="K17" s="28" t="n">
        <v>4.99</v>
      </c>
      <c r="L17" s="28" t="n">
        <v>228</v>
      </c>
      <c r="M17" s="28" t="n">
        <v>5</v>
      </c>
    </row>
    <row r="18" customFormat="false" ht="15" hidden="false" customHeight="false" outlineLevel="0" collapsed="false">
      <c r="A18" s="27" t="n">
        <v>43745</v>
      </c>
      <c r="B18" s="28" t="n">
        <v>2020</v>
      </c>
      <c r="C18" s="28" t="s">
        <v>175</v>
      </c>
      <c r="D18" s="28" t="s">
        <v>42</v>
      </c>
      <c r="E18" s="28" t="s">
        <v>176</v>
      </c>
      <c r="F18" s="28" t="s">
        <v>147</v>
      </c>
      <c r="G18" s="28" t="s">
        <v>156</v>
      </c>
      <c r="H18" s="28" t="s">
        <v>168</v>
      </c>
      <c r="I18" s="29" t="n">
        <v>5000</v>
      </c>
      <c r="J18" s="29" t="n">
        <v>2500</v>
      </c>
      <c r="K18" s="28" t="n">
        <v>9.5</v>
      </c>
      <c r="L18" s="28" t="n">
        <v>120</v>
      </c>
      <c r="M18" s="28" t="n">
        <v>1</v>
      </c>
    </row>
    <row r="19" customFormat="false" ht="15" hidden="false" customHeight="false" outlineLevel="0" collapsed="false">
      <c r="A19" s="27" t="n">
        <v>43746</v>
      </c>
      <c r="B19" s="28" t="n">
        <v>2020</v>
      </c>
      <c r="C19" s="28" t="s">
        <v>177</v>
      </c>
      <c r="D19" s="28" t="s">
        <v>42</v>
      </c>
      <c r="E19" s="28" t="s">
        <v>178</v>
      </c>
      <c r="F19" s="28" t="s">
        <v>142</v>
      </c>
      <c r="G19" s="28" t="s">
        <v>148</v>
      </c>
      <c r="H19" s="28" t="s">
        <v>179</v>
      </c>
      <c r="I19" s="29" t="n">
        <v>180800</v>
      </c>
      <c r="J19" s="29" t="n">
        <v>135600</v>
      </c>
      <c r="K19" s="28" t="n">
        <v>7.75</v>
      </c>
      <c r="L19" s="28" t="n">
        <v>126</v>
      </c>
      <c r="M19" s="28" t="n">
        <v>0</v>
      </c>
    </row>
    <row r="20" customFormat="false" ht="15" hidden="false" customHeight="false" outlineLevel="0" collapsed="false">
      <c r="A20" s="27" t="n">
        <v>43746</v>
      </c>
      <c r="B20" s="28" t="n">
        <v>2020</v>
      </c>
      <c r="C20" s="28" t="s">
        <v>160</v>
      </c>
      <c r="D20" s="28" t="s">
        <v>42</v>
      </c>
      <c r="E20" s="28" t="s">
        <v>180</v>
      </c>
      <c r="F20" s="28" t="s">
        <v>142</v>
      </c>
      <c r="G20" s="28" t="s">
        <v>156</v>
      </c>
      <c r="H20" s="28" t="s">
        <v>181</v>
      </c>
      <c r="I20" s="29" t="n">
        <v>30000</v>
      </c>
      <c r="J20" s="29" t="n">
        <v>25500</v>
      </c>
      <c r="K20" s="28" t="n">
        <v>7.5</v>
      </c>
      <c r="L20" s="28" t="n">
        <v>120</v>
      </c>
      <c r="M20" s="28" t="n">
        <v>0</v>
      </c>
    </row>
    <row r="21" customFormat="false" ht="15" hidden="false" customHeight="false" outlineLevel="0" collapsed="false">
      <c r="A21" s="27" t="n">
        <v>43748</v>
      </c>
      <c r="B21" s="28" t="n">
        <v>2020</v>
      </c>
      <c r="C21" s="28" t="s">
        <v>166</v>
      </c>
      <c r="D21" s="28" t="s">
        <v>48</v>
      </c>
      <c r="E21" s="28" t="s">
        <v>182</v>
      </c>
      <c r="F21" s="28" t="s">
        <v>147</v>
      </c>
      <c r="G21" s="28" t="s">
        <v>156</v>
      </c>
      <c r="H21" s="28" t="s">
        <v>159</v>
      </c>
      <c r="I21" s="29" t="n">
        <v>100000</v>
      </c>
      <c r="J21" s="29" t="n">
        <v>50000</v>
      </c>
      <c r="K21" s="28" t="n">
        <v>9.5</v>
      </c>
      <c r="L21" s="28" t="n">
        <v>120</v>
      </c>
      <c r="M21" s="28" t="n">
        <v>5</v>
      </c>
    </row>
    <row r="22" customFormat="false" ht="15" hidden="false" customHeight="false" outlineLevel="0" collapsed="false">
      <c r="A22" s="27" t="n">
        <v>43748</v>
      </c>
      <c r="B22" s="28" t="n">
        <v>2020</v>
      </c>
      <c r="C22" s="28" t="s">
        <v>163</v>
      </c>
      <c r="D22" s="28" t="s">
        <v>42</v>
      </c>
      <c r="E22" s="28" t="s">
        <v>164</v>
      </c>
      <c r="F22" s="28" t="s">
        <v>142</v>
      </c>
      <c r="G22" s="28" t="s">
        <v>143</v>
      </c>
      <c r="H22" s="28" t="s">
        <v>165</v>
      </c>
      <c r="I22" s="29" t="n">
        <v>591500</v>
      </c>
      <c r="J22" s="29" t="n">
        <v>443625</v>
      </c>
      <c r="K22" s="28" t="n">
        <v>5.69</v>
      </c>
      <c r="L22" s="28" t="n">
        <v>120</v>
      </c>
      <c r="M22" s="28" t="n">
        <v>85</v>
      </c>
    </row>
    <row r="23" customFormat="false" ht="15" hidden="false" customHeight="false" outlineLevel="0" collapsed="false">
      <c r="A23" s="27" t="n">
        <v>43749</v>
      </c>
      <c r="B23" s="28" t="n">
        <v>2020</v>
      </c>
      <c r="C23" s="28" t="s">
        <v>183</v>
      </c>
      <c r="D23" s="28" t="s">
        <v>47</v>
      </c>
      <c r="E23" s="28" t="s">
        <v>184</v>
      </c>
      <c r="F23" s="28" t="s">
        <v>142</v>
      </c>
      <c r="G23" s="28" t="s">
        <v>143</v>
      </c>
      <c r="H23" s="28" t="s">
        <v>179</v>
      </c>
      <c r="I23" s="29" t="n">
        <v>160000</v>
      </c>
      <c r="J23" s="29" t="n">
        <v>120000</v>
      </c>
      <c r="K23" s="28" t="n">
        <v>7.75</v>
      </c>
      <c r="L23" s="28" t="n">
        <v>90</v>
      </c>
      <c r="M23" s="28" t="n">
        <v>16</v>
      </c>
    </row>
    <row r="24" customFormat="false" ht="15" hidden="false" customHeight="false" outlineLevel="0" collapsed="false">
      <c r="A24" s="27" t="n">
        <v>43749</v>
      </c>
      <c r="B24" s="28" t="n">
        <v>2020</v>
      </c>
      <c r="C24" s="28" t="s">
        <v>169</v>
      </c>
      <c r="D24" s="28" t="s">
        <v>56</v>
      </c>
      <c r="E24" s="28" t="s">
        <v>185</v>
      </c>
      <c r="F24" s="28" t="s">
        <v>142</v>
      </c>
      <c r="G24" s="28" t="s">
        <v>143</v>
      </c>
      <c r="H24" s="28" t="s">
        <v>168</v>
      </c>
      <c r="I24" s="29" t="n">
        <v>134700</v>
      </c>
      <c r="J24" s="29" t="n">
        <v>114495</v>
      </c>
      <c r="K24" s="28" t="n">
        <v>6.25</v>
      </c>
      <c r="L24" s="28" t="n">
        <v>120</v>
      </c>
      <c r="M24" s="28" t="n">
        <v>20</v>
      </c>
    </row>
    <row r="25" customFormat="false" ht="15" hidden="false" customHeight="false" outlineLevel="0" collapsed="false">
      <c r="A25" s="27" t="n">
        <v>43753</v>
      </c>
      <c r="B25" s="28" t="n">
        <v>2020</v>
      </c>
      <c r="C25" s="28" t="s">
        <v>169</v>
      </c>
      <c r="D25" s="28" t="s">
        <v>46</v>
      </c>
      <c r="E25" s="28" t="s">
        <v>186</v>
      </c>
      <c r="F25" s="28" t="s">
        <v>142</v>
      </c>
      <c r="G25" s="28" t="s">
        <v>148</v>
      </c>
      <c r="H25" s="28" t="s">
        <v>187</v>
      </c>
      <c r="I25" s="29" t="n">
        <v>1750000</v>
      </c>
      <c r="J25" s="29" t="n">
        <v>1312500</v>
      </c>
      <c r="K25" s="28" t="n">
        <v>4.35</v>
      </c>
      <c r="L25" s="28" t="n">
        <v>300</v>
      </c>
      <c r="M25" s="28" t="n">
        <v>20</v>
      </c>
    </row>
    <row r="26" customFormat="false" ht="15" hidden="false" customHeight="false" outlineLevel="0" collapsed="false">
      <c r="A26" s="27" t="n">
        <v>43753</v>
      </c>
      <c r="B26" s="28" t="n">
        <v>2020</v>
      </c>
      <c r="C26" s="28" t="s">
        <v>188</v>
      </c>
      <c r="D26" s="28" t="s">
        <v>43</v>
      </c>
      <c r="E26" s="28" t="s">
        <v>189</v>
      </c>
      <c r="F26" s="28" t="s">
        <v>142</v>
      </c>
      <c r="G26" s="28" t="s">
        <v>152</v>
      </c>
      <c r="H26" s="28" t="s">
        <v>149</v>
      </c>
      <c r="I26" s="29" t="n">
        <v>192000</v>
      </c>
      <c r="J26" s="29" t="n">
        <v>144000</v>
      </c>
      <c r="K26" s="28" t="n">
        <v>7.25</v>
      </c>
      <c r="L26" s="28" t="n">
        <v>120</v>
      </c>
      <c r="M26" s="28" t="n">
        <v>6</v>
      </c>
    </row>
    <row r="27" customFormat="false" ht="15" hidden="false" customHeight="false" outlineLevel="0" collapsed="false">
      <c r="A27" s="27" t="n">
        <v>43754</v>
      </c>
      <c r="B27" s="28" t="n">
        <v>2020</v>
      </c>
      <c r="C27" s="28" t="s">
        <v>166</v>
      </c>
      <c r="D27" s="28" t="s">
        <v>43</v>
      </c>
      <c r="E27" s="28" t="s">
        <v>190</v>
      </c>
      <c r="F27" s="28" t="s">
        <v>147</v>
      </c>
      <c r="G27" s="28" t="s">
        <v>148</v>
      </c>
      <c r="H27" s="28" t="s">
        <v>159</v>
      </c>
      <c r="I27" s="29" t="n">
        <v>25000</v>
      </c>
      <c r="J27" s="29" t="n">
        <v>12500</v>
      </c>
      <c r="K27" s="28" t="n">
        <v>10</v>
      </c>
      <c r="L27" s="28" t="n">
        <v>8</v>
      </c>
      <c r="M27" s="28" t="n">
        <v>0</v>
      </c>
    </row>
    <row r="28" customFormat="false" ht="15" hidden="false" customHeight="false" outlineLevel="0" collapsed="false">
      <c r="A28" s="27" t="n">
        <v>43754</v>
      </c>
      <c r="B28" s="28" t="n">
        <v>2020</v>
      </c>
      <c r="C28" s="28" t="s">
        <v>172</v>
      </c>
      <c r="D28" s="28" t="s">
        <v>44</v>
      </c>
      <c r="E28" s="28" t="s">
        <v>167</v>
      </c>
      <c r="F28" s="28" t="s">
        <v>147</v>
      </c>
      <c r="G28" s="28" t="s">
        <v>156</v>
      </c>
      <c r="H28" s="28" t="s">
        <v>191</v>
      </c>
      <c r="I28" s="29" t="n">
        <v>100000</v>
      </c>
      <c r="J28" s="29" t="n">
        <v>50000</v>
      </c>
      <c r="K28" s="28" t="n">
        <v>7</v>
      </c>
      <c r="L28" s="28" t="n">
        <v>120</v>
      </c>
      <c r="M28" s="28" t="n">
        <v>12</v>
      </c>
    </row>
    <row r="29" customFormat="false" ht="15" hidden="false" customHeight="false" outlineLevel="0" collapsed="false">
      <c r="A29" s="27" t="n">
        <v>43754</v>
      </c>
      <c r="B29" s="28" t="n">
        <v>2020</v>
      </c>
      <c r="C29" s="28" t="s">
        <v>192</v>
      </c>
      <c r="D29" s="28" t="s">
        <v>50</v>
      </c>
      <c r="E29" s="28" t="s">
        <v>193</v>
      </c>
      <c r="F29" s="28" t="s">
        <v>194</v>
      </c>
      <c r="G29" s="28" t="s">
        <v>143</v>
      </c>
      <c r="H29" s="28" t="s">
        <v>195</v>
      </c>
      <c r="I29" s="29" t="n">
        <v>40000</v>
      </c>
      <c r="J29" s="29" t="n">
        <v>34000</v>
      </c>
      <c r="K29" s="28" t="n">
        <v>6.75</v>
      </c>
      <c r="L29" s="28" t="n">
        <v>60</v>
      </c>
      <c r="M29" s="28" t="n">
        <v>3</v>
      </c>
    </row>
    <row r="30" customFormat="false" ht="15" hidden="false" customHeight="false" outlineLevel="0" collapsed="false">
      <c r="A30" s="27" t="n">
        <v>43755</v>
      </c>
      <c r="B30" s="28" t="n">
        <v>2020</v>
      </c>
      <c r="C30" s="28" t="s">
        <v>196</v>
      </c>
      <c r="D30" s="28" t="s">
        <v>43</v>
      </c>
      <c r="E30" s="28" t="s">
        <v>197</v>
      </c>
      <c r="F30" s="28" t="s">
        <v>147</v>
      </c>
      <c r="G30" s="28" t="s">
        <v>143</v>
      </c>
      <c r="H30" s="28" t="s">
        <v>159</v>
      </c>
      <c r="I30" s="29" t="n">
        <v>214000</v>
      </c>
      <c r="J30" s="29" t="n">
        <v>107000</v>
      </c>
      <c r="K30" s="28" t="n">
        <v>7.25</v>
      </c>
      <c r="L30" s="28" t="n">
        <v>120</v>
      </c>
      <c r="M30" s="28" t="n">
        <v>6</v>
      </c>
    </row>
    <row r="31" customFormat="false" ht="15" hidden="false" customHeight="false" outlineLevel="0" collapsed="false">
      <c r="A31" s="27" t="n">
        <v>43756</v>
      </c>
      <c r="B31" s="28" t="n">
        <v>2020</v>
      </c>
      <c r="C31" s="28" t="s">
        <v>198</v>
      </c>
      <c r="D31" s="28" t="s">
        <v>45</v>
      </c>
      <c r="E31" s="28" t="s">
        <v>199</v>
      </c>
      <c r="F31" s="28" t="s">
        <v>142</v>
      </c>
      <c r="G31" s="28" t="s">
        <v>148</v>
      </c>
      <c r="H31" s="28" t="s">
        <v>200</v>
      </c>
      <c r="I31" s="29" t="n">
        <v>560000</v>
      </c>
      <c r="J31" s="29" t="n">
        <v>420000</v>
      </c>
      <c r="K31" s="28" t="n">
        <v>7.75</v>
      </c>
      <c r="L31" s="28" t="n">
        <v>120</v>
      </c>
      <c r="M31" s="28" t="n">
        <v>10</v>
      </c>
    </row>
    <row r="32" customFormat="false" ht="15" hidden="false" customHeight="false" outlineLevel="0" collapsed="false">
      <c r="A32" s="27" t="n">
        <v>43756</v>
      </c>
      <c r="B32" s="28" t="n">
        <v>2020</v>
      </c>
      <c r="C32" s="28" t="s">
        <v>201</v>
      </c>
      <c r="D32" s="28" t="s">
        <v>45</v>
      </c>
      <c r="E32" s="28" t="s">
        <v>202</v>
      </c>
      <c r="F32" s="28" t="s">
        <v>147</v>
      </c>
      <c r="G32" s="28" t="s">
        <v>156</v>
      </c>
      <c r="H32" s="28" t="s">
        <v>168</v>
      </c>
      <c r="I32" s="29" t="n">
        <v>10000</v>
      </c>
      <c r="J32" s="29" t="n">
        <v>5000</v>
      </c>
      <c r="K32" s="28" t="n">
        <v>11</v>
      </c>
      <c r="L32" s="28" t="n">
        <v>50</v>
      </c>
      <c r="M32" s="28" t="n">
        <v>0</v>
      </c>
    </row>
    <row r="33" customFormat="false" ht="15" hidden="false" customHeight="false" outlineLevel="0" collapsed="false">
      <c r="A33" s="27" t="n">
        <v>43756</v>
      </c>
      <c r="B33" s="28" t="n">
        <v>2020</v>
      </c>
      <c r="C33" s="28" t="s">
        <v>203</v>
      </c>
      <c r="D33" s="28" t="s">
        <v>52</v>
      </c>
      <c r="E33" s="28" t="s">
        <v>204</v>
      </c>
      <c r="F33" s="28" t="s">
        <v>147</v>
      </c>
      <c r="G33" s="28" t="s">
        <v>156</v>
      </c>
      <c r="H33" s="28" t="s">
        <v>168</v>
      </c>
      <c r="I33" s="29" t="n">
        <v>15000</v>
      </c>
      <c r="J33" s="29" t="n">
        <v>7500</v>
      </c>
      <c r="K33" s="28" t="n">
        <v>10.5</v>
      </c>
      <c r="L33" s="28" t="n">
        <v>120</v>
      </c>
      <c r="M33" s="28" t="n">
        <v>1</v>
      </c>
    </row>
    <row r="34" customFormat="false" ht="15" hidden="false" customHeight="false" outlineLevel="0" collapsed="false">
      <c r="A34" s="27" t="n">
        <v>43759</v>
      </c>
      <c r="B34" s="28" t="n">
        <v>2020</v>
      </c>
      <c r="C34" s="28" t="s">
        <v>172</v>
      </c>
      <c r="D34" s="28" t="s">
        <v>45</v>
      </c>
      <c r="E34" s="28" t="s">
        <v>202</v>
      </c>
      <c r="F34" s="28" t="s">
        <v>147</v>
      </c>
      <c r="G34" s="28" t="s">
        <v>156</v>
      </c>
      <c r="H34" s="28" t="s">
        <v>205</v>
      </c>
      <c r="I34" s="29" t="n">
        <v>25000</v>
      </c>
      <c r="J34" s="29" t="n">
        <v>12500</v>
      </c>
      <c r="K34" s="28" t="n">
        <v>10.25</v>
      </c>
      <c r="L34" s="28" t="n">
        <v>120</v>
      </c>
      <c r="M34" s="28" t="n">
        <v>3</v>
      </c>
    </row>
    <row r="35" customFormat="false" ht="15" hidden="false" customHeight="false" outlineLevel="0" collapsed="false">
      <c r="A35" s="27" t="n">
        <v>43759</v>
      </c>
      <c r="B35" s="28" t="n">
        <v>2020</v>
      </c>
      <c r="C35" s="28" t="s">
        <v>154</v>
      </c>
      <c r="D35" s="28" t="s">
        <v>42</v>
      </c>
      <c r="E35" s="28" t="s">
        <v>180</v>
      </c>
      <c r="F35" s="28" t="s">
        <v>142</v>
      </c>
      <c r="G35" s="28" t="s">
        <v>152</v>
      </c>
      <c r="H35" s="28" t="s">
        <v>191</v>
      </c>
      <c r="I35" s="29" t="n">
        <v>340000</v>
      </c>
      <c r="J35" s="29" t="n">
        <v>255000</v>
      </c>
      <c r="K35" s="28" t="n">
        <v>5.59</v>
      </c>
      <c r="L35" s="28" t="n">
        <v>120</v>
      </c>
      <c r="M35" s="28" t="n">
        <v>5</v>
      </c>
    </row>
    <row r="36" customFormat="false" ht="15" hidden="false" customHeight="false" outlineLevel="0" collapsed="false">
      <c r="A36" s="27" t="n">
        <v>43760</v>
      </c>
      <c r="B36" s="28" t="n">
        <v>2020</v>
      </c>
      <c r="C36" s="28" t="s">
        <v>206</v>
      </c>
      <c r="D36" s="28" t="s">
        <v>56</v>
      </c>
      <c r="E36" s="28" t="s">
        <v>207</v>
      </c>
      <c r="F36" s="28" t="s">
        <v>142</v>
      </c>
      <c r="G36" s="28" t="s">
        <v>143</v>
      </c>
      <c r="H36" s="28" t="s">
        <v>208</v>
      </c>
      <c r="I36" s="29" t="n">
        <v>550000</v>
      </c>
      <c r="J36" s="29" t="n">
        <v>412500</v>
      </c>
      <c r="K36" s="28" t="n">
        <v>7.75</v>
      </c>
      <c r="L36" s="28" t="n">
        <v>126</v>
      </c>
      <c r="M36" s="28" t="n">
        <v>28</v>
      </c>
    </row>
    <row r="37" customFormat="false" ht="15" hidden="false" customHeight="false" outlineLevel="0" collapsed="false">
      <c r="A37" s="27" t="n">
        <v>43760</v>
      </c>
      <c r="B37" s="28" t="n">
        <v>2020</v>
      </c>
      <c r="C37" s="28" t="s">
        <v>209</v>
      </c>
      <c r="D37" s="28" t="s">
        <v>48</v>
      </c>
      <c r="E37" s="28" t="s">
        <v>210</v>
      </c>
      <c r="F37" s="28" t="s">
        <v>142</v>
      </c>
      <c r="G37" s="28" t="s">
        <v>148</v>
      </c>
      <c r="H37" s="28" t="s">
        <v>211</v>
      </c>
      <c r="I37" s="29" t="n">
        <v>200000</v>
      </c>
      <c r="J37" s="29" t="n">
        <v>150000</v>
      </c>
      <c r="K37" s="28" t="n">
        <v>7.75</v>
      </c>
      <c r="L37" s="28" t="n">
        <v>63</v>
      </c>
      <c r="M37" s="28" t="n">
        <v>4</v>
      </c>
    </row>
    <row r="38" customFormat="false" ht="15" hidden="false" customHeight="false" outlineLevel="0" collapsed="false">
      <c r="A38" s="27" t="n">
        <v>43761</v>
      </c>
      <c r="B38" s="28" t="n">
        <v>2020</v>
      </c>
      <c r="C38" s="28" t="s">
        <v>145</v>
      </c>
      <c r="D38" s="28" t="s">
        <v>48</v>
      </c>
      <c r="E38" s="28" t="s">
        <v>212</v>
      </c>
      <c r="F38" s="28" t="s">
        <v>147</v>
      </c>
      <c r="G38" s="28" t="s">
        <v>156</v>
      </c>
      <c r="H38" s="28" t="s">
        <v>191</v>
      </c>
      <c r="I38" s="29" t="n">
        <v>40000</v>
      </c>
      <c r="J38" s="29" t="n">
        <v>20000</v>
      </c>
      <c r="K38" s="28" t="n">
        <v>7.9</v>
      </c>
      <c r="L38" s="28" t="n">
        <v>120</v>
      </c>
      <c r="M38" s="28" t="n">
        <v>1</v>
      </c>
    </row>
    <row r="39" customFormat="false" ht="15" hidden="false" customHeight="false" outlineLevel="0" collapsed="false">
      <c r="A39" s="27" t="n">
        <v>43761</v>
      </c>
      <c r="B39" s="28" t="n">
        <v>2020</v>
      </c>
      <c r="C39" s="28" t="s">
        <v>213</v>
      </c>
      <c r="D39" s="28" t="s">
        <v>44</v>
      </c>
      <c r="E39" s="28" t="s">
        <v>141</v>
      </c>
      <c r="F39" s="28" t="s">
        <v>142</v>
      </c>
      <c r="G39" s="28" t="s">
        <v>148</v>
      </c>
      <c r="H39" s="28" t="s">
        <v>168</v>
      </c>
      <c r="I39" s="29" t="n">
        <v>399100</v>
      </c>
      <c r="J39" s="29" t="n">
        <v>299325</v>
      </c>
      <c r="K39" s="28" t="n">
        <v>5.2</v>
      </c>
      <c r="L39" s="28" t="n">
        <v>300</v>
      </c>
      <c r="M39" s="28" t="n">
        <v>0</v>
      </c>
    </row>
    <row r="40" customFormat="false" ht="15" hidden="false" customHeight="false" outlineLevel="0" collapsed="false">
      <c r="A40" s="27" t="n">
        <v>43761</v>
      </c>
      <c r="B40" s="28" t="n">
        <v>2020</v>
      </c>
      <c r="C40" s="28" t="s">
        <v>172</v>
      </c>
      <c r="D40" s="28" t="s">
        <v>49</v>
      </c>
      <c r="E40" s="28" t="s">
        <v>214</v>
      </c>
      <c r="F40" s="28" t="s">
        <v>142</v>
      </c>
      <c r="G40" s="28" t="s">
        <v>148</v>
      </c>
      <c r="H40" s="28" t="s">
        <v>215</v>
      </c>
      <c r="I40" s="29" t="n">
        <v>1047000</v>
      </c>
      <c r="J40" s="29" t="n">
        <v>785250</v>
      </c>
      <c r="K40" s="28" t="n">
        <v>6.75</v>
      </c>
      <c r="L40" s="28" t="n">
        <v>113</v>
      </c>
      <c r="M40" s="28" t="n">
        <v>11</v>
      </c>
    </row>
    <row r="41" customFormat="false" ht="15" hidden="false" customHeight="false" outlineLevel="0" collapsed="false">
      <c r="A41" s="27" t="n">
        <v>43761</v>
      </c>
      <c r="B41" s="28" t="n">
        <v>2020</v>
      </c>
      <c r="C41" s="28" t="s">
        <v>160</v>
      </c>
      <c r="D41" s="28" t="s">
        <v>54</v>
      </c>
      <c r="E41" s="28" t="s">
        <v>155</v>
      </c>
      <c r="F41" s="28" t="s">
        <v>142</v>
      </c>
      <c r="G41" s="28" t="s">
        <v>148</v>
      </c>
      <c r="H41" s="28" t="s">
        <v>144</v>
      </c>
      <c r="I41" s="29" t="n">
        <v>940000</v>
      </c>
      <c r="J41" s="29" t="n">
        <v>705000</v>
      </c>
      <c r="K41" s="28" t="n">
        <v>6.75</v>
      </c>
      <c r="L41" s="28" t="n">
        <v>120</v>
      </c>
      <c r="M41" s="28" t="n">
        <v>1</v>
      </c>
    </row>
    <row r="42" customFormat="false" ht="15" hidden="false" customHeight="false" outlineLevel="0" collapsed="false">
      <c r="A42" s="27" t="n">
        <v>43762</v>
      </c>
      <c r="B42" s="28" t="n">
        <v>2020</v>
      </c>
      <c r="C42" s="28" t="s">
        <v>216</v>
      </c>
      <c r="D42" s="28" t="s">
        <v>43</v>
      </c>
      <c r="E42" s="28" t="s">
        <v>217</v>
      </c>
      <c r="F42" s="28" t="s">
        <v>142</v>
      </c>
      <c r="G42" s="28" t="s">
        <v>156</v>
      </c>
      <c r="H42" s="28" t="s">
        <v>218</v>
      </c>
      <c r="I42" s="29" t="n">
        <v>1000000</v>
      </c>
      <c r="J42" s="29" t="n">
        <v>750000</v>
      </c>
      <c r="K42" s="28" t="n">
        <v>6.5</v>
      </c>
      <c r="L42" s="28" t="n">
        <v>300</v>
      </c>
      <c r="M42" s="28" t="n">
        <v>3</v>
      </c>
    </row>
    <row r="43" customFormat="false" ht="15" hidden="false" customHeight="false" outlineLevel="0" collapsed="false">
      <c r="A43" s="27" t="n">
        <v>43762</v>
      </c>
      <c r="B43" s="28" t="n">
        <v>2020</v>
      </c>
      <c r="C43" s="28" t="s">
        <v>163</v>
      </c>
      <c r="D43" s="28" t="s">
        <v>43</v>
      </c>
      <c r="E43" s="28" t="s">
        <v>219</v>
      </c>
      <c r="F43" s="28" t="s">
        <v>147</v>
      </c>
      <c r="G43" s="28" t="s">
        <v>148</v>
      </c>
      <c r="H43" s="28" t="s">
        <v>220</v>
      </c>
      <c r="I43" s="29" t="n">
        <v>140000</v>
      </c>
      <c r="J43" s="29" t="n">
        <v>70000</v>
      </c>
      <c r="K43" s="28" t="n">
        <v>4</v>
      </c>
      <c r="L43" s="28" t="n">
        <v>120</v>
      </c>
      <c r="M43" s="28" t="n">
        <v>8</v>
      </c>
    </row>
    <row r="44" customFormat="false" ht="15" hidden="false" customHeight="false" outlineLevel="0" collapsed="false">
      <c r="A44" s="27" t="n">
        <v>43766</v>
      </c>
      <c r="B44" s="28" t="n">
        <v>2020</v>
      </c>
      <c r="C44" s="28" t="s">
        <v>140</v>
      </c>
      <c r="D44" s="28" t="s">
        <v>42</v>
      </c>
      <c r="E44" s="28" t="s">
        <v>164</v>
      </c>
      <c r="F44" s="28" t="s">
        <v>142</v>
      </c>
      <c r="G44" s="28" t="s">
        <v>152</v>
      </c>
      <c r="H44" s="28" t="s">
        <v>221</v>
      </c>
      <c r="I44" s="29" t="n">
        <v>115000</v>
      </c>
      <c r="J44" s="29" t="n">
        <v>97750</v>
      </c>
      <c r="K44" s="28" t="n">
        <v>7.75</v>
      </c>
      <c r="L44" s="28" t="n">
        <v>52</v>
      </c>
      <c r="M44" s="28" t="n">
        <v>16</v>
      </c>
    </row>
    <row r="45" customFormat="false" ht="15" hidden="false" customHeight="false" outlineLevel="0" collapsed="false">
      <c r="A45" s="27" t="n">
        <v>43766</v>
      </c>
      <c r="B45" s="28" t="n">
        <v>2020</v>
      </c>
      <c r="C45" s="28" t="s">
        <v>172</v>
      </c>
      <c r="D45" s="28" t="s">
        <v>45</v>
      </c>
      <c r="E45" s="28" t="s">
        <v>222</v>
      </c>
      <c r="F45" s="28" t="s">
        <v>142</v>
      </c>
      <c r="G45" s="28" t="s">
        <v>148</v>
      </c>
      <c r="H45" s="28" t="s">
        <v>223</v>
      </c>
      <c r="I45" s="29" t="n">
        <v>86000</v>
      </c>
      <c r="J45" s="29" t="n">
        <v>73100</v>
      </c>
      <c r="K45" s="28" t="n">
        <v>7.75</v>
      </c>
      <c r="L45" s="28" t="n">
        <v>120</v>
      </c>
      <c r="M45" s="28" t="n">
        <v>0</v>
      </c>
    </row>
    <row r="46" customFormat="false" ht="15" hidden="false" customHeight="false" outlineLevel="0" collapsed="false">
      <c r="A46" s="27" t="n">
        <v>43767</v>
      </c>
      <c r="B46" s="28" t="n">
        <v>2020</v>
      </c>
      <c r="C46" s="28" t="s">
        <v>169</v>
      </c>
      <c r="D46" s="28" t="s">
        <v>43</v>
      </c>
      <c r="E46" s="28" t="s">
        <v>224</v>
      </c>
      <c r="F46" s="28" t="s">
        <v>147</v>
      </c>
      <c r="G46" s="28" t="s">
        <v>156</v>
      </c>
      <c r="H46" s="28" t="s">
        <v>191</v>
      </c>
      <c r="I46" s="29" t="n">
        <v>25000</v>
      </c>
      <c r="J46" s="29" t="n">
        <v>12500</v>
      </c>
      <c r="K46" s="28" t="n">
        <v>9.4</v>
      </c>
      <c r="L46" s="28" t="n">
        <v>120</v>
      </c>
      <c r="M46" s="28" t="n">
        <v>0</v>
      </c>
    </row>
    <row r="47" customFormat="false" ht="15" hidden="false" customHeight="false" outlineLevel="0" collapsed="false">
      <c r="A47" s="27" t="n">
        <v>43767</v>
      </c>
      <c r="B47" s="28" t="n">
        <v>2020</v>
      </c>
      <c r="C47" s="28" t="s">
        <v>172</v>
      </c>
      <c r="D47" s="28" t="s">
        <v>49</v>
      </c>
      <c r="E47" s="28" t="s">
        <v>225</v>
      </c>
      <c r="F47" s="28" t="s">
        <v>147</v>
      </c>
      <c r="G47" s="28" t="s">
        <v>143</v>
      </c>
      <c r="H47" s="28" t="s">
        <v>159</v>
      </c>
      <c r="I47" s="29" t="n">
        <v>25000</v>
      </c>
      <c r="J47" s="29" t="n">
        <v>12500</v>
      </c>
      <c r="K47" s="28" t="n">
        <v>7.5</v>
      </c>
      <c r="L47" s="28" t="n">
        <v>120</v>
      </c>
      <c r="M47" s="28" t="n">
        <v>2</v>
      </c>
    </row>
    <row r="48" customFormat="false" ht="15" hidden="false" customHeight="false" outlineLevel="0" collapsed="false">
      <c r="A48" s="27" t="n">
        <v>43767</v>
      </c>
      <c r="B48" s="28" t="n">
        <v>2020</v>
      </c>
      <c r="C48" s="28" t="s">
        <v>172</v>
      </c>
      <c r="D48" s="28" t="s">
        <v>49</v>
      </c>
      <c r="E48" s="28" t="s">
        <v>225</v>
      </c>
      <c r="F48" s="28" t="s">
        <v>147</v>
      </c>
      <c r="G48" s="28" t="s">
        <v>143</v>
      </c>
      <c r="H48" s="28" t="s">
        <v>159</v>
      </c>
      <c r="I48" s="29" t="n">
        <v>200000</v>
      </c>
      <c r="J48" s="29" t="n">
        <v>100000</v>
      </c>
      <c r="K48" s="28" t="n">
        <v>7.25</v>
      </c>
      <c r="L48" s="28" t="n">
        <v>72</v>
      </c>
      <c r="M48" s="28" t="n">
        <v>2</v>
      </c>
    </row>
    <row r="49" customFormat="false" ht="15" hidden="false" customHeight="false" outlineLevel="0" collapsed="false">
      <c r="A49" s="27" t="n">
        <v>43767</v>
      </c>
      <c r="B49" s="28" t="n">
        <v>2020</v>
      </c>
      <c r="C49" s="28" t="s">
        <v>163</v>
      </c>
      <c r="D49" s="28" t="s">
        <v>42</v>
      </c>
      <c r="E49" s="28" t="s">
        <v>226</v>
      </c>
      <c r="F49" s="28" t="s">
        <v>147</v>
      </c>
      <c r="G49" s="28" t="s">
        <v>148</v>
      </c>
      <c r="H49" s="28" t="s">
        <v>227</v>
      </c>
      <c r="I49" s="29" t="n">
        <v>20000</v>
      </c>
      <c r="J49" s="29" t="n">
        <v>10000</v>
      </c>
      <c r="K49" s="28" t="n">
        <v>9.5</v>
      </c>
      <c r="L49" s="28" t="n">
        <v>120</v>
      </c>
      <c r="M49" s="28" t="n">
        <v>3</v>
      </c>
    </row>
    <row r="50" customFormat="false" ht="15" hidden="false" customHeight="false" outlineLevel="0" collapsed="false">
      <c r="A50" s="27" t="n">
        <v>43768</v>
      </c>
      <c r="B50" s="28" t="n">
        <v>2020</v>
      </c>
      <c r="C50" s="28" t="s">
        <v>198</v>
      </c>
      <c r="D50" s="28" t="s">
        <v>48</v>
      </c>
      <c r="E50" s="28" t="s">
        <v>228</v>
      </c>
      <c r="F50" s="28" t="s">
        <v>142</v>
      </c>
      <c r="G50" s="28" t="s">
        <v>148</v>
      </c>
      <c r="H50" s="28" t="s">
        <v>229</v>
      </c>
      <c r="I50" s="29" t="n">
        <v>350000</v>
      </c>
      <c r="J50" s="29" t="n">
        <v>262500</v>
      </c>
      <c r="K50" s="28" t="n">
        <v>7.75</v>
      </c>
      <c r="L50" s="28" t="n">
        <v>120</v>
      </c>
      <c r="M50" s="28" t="n">
        <v>4</v>
      </c>
    </row>
    <row r="51" customFormat="false" ht="15" hidden="false" customHeight="false" outlineLevel="0" collapsed="false">
      <c r="A51" s="27" t="n">
        <v>43768</v>
      </c>
      <c r="B51" s="28" t="n">
        <v>2020</v>
      </c>
      <c r="C51" s="28" t="s">
        <v>230</v>
      </c>
      <c r="D51" s="28" t="s">
        <v>46</v>
      </c>
      <c r="E51" s="28" t="s">
        <v>231</v>
      </c>
      <c r="F51" s="28" t="s">
        <v>147</v>
      </c>
      <c r="G51" s="28" t="s">
        <v>143</v>
      </c>
      <c r="H51" s="28" t="s">
        <v>220</v>
      </c>
      <c r="I51" s="29" t="n">
        <v>80000</v>
      </c>
      <c r="J51" s="29" t="n">
        <v>40000</v>
      </c>
      <c r="K51" s="28" t="n">
        <v>6.5</v>
      </c>
      <c r="L51" s="28" t="n">
        <v>84</v>
      </c>
      <c r="M51" s="28" t="n">
        <v>6</v>
      </c>
    </row>
    <row r="52" customFormat="false" ht="15" hidden="false" customHeight="false" outlineLevel="0" collapsed="false">
      <c r="A52" s="27" t="n">
        <v>43768</v>
      </c>
      <c r="B52" s="28" t="n">
        <v>2020</v>
      </c>
      <c r="C52" s="28" t="s">
        <v>163</v>
      </c>
      <c r="D52" s="28" t="s">
        <v>45</v>
      </c>
      <c r="E52" s="28" t="s">
        <v>202</v>
      </c>
      <c r="F52" s="28" t="s">
        <v>142</v>
      </c>
      <c r="G52" s="28" t="s">
        <v>148</v>
      </c>
      <c r="H52" s="28" t="s">
        <v>229</v>
      </c>
      <c r="I52" s="29" t="n">
        <v>275000</v>
      </c>
      <c r="J52" s="29" t="n">
        <v>206250</v>
      </c>
      <c r="K52" s="28" t="n">
        <v>7.75</v>
      </c>
      <c r="L52" s="28" t="n">
        <v>82</v>
      </c>
      <c r="M52" s="28" t="n">
        <v>0</v>
      </c>
    </row>
    <row r="53" customFormat="false" ht="15" hidden="false" customHeight="false" outlineLevel="0" collapsed="false">
      <c r="A53" s="27" t="n">
        <v>43769</v>
      </c>
      <c r="B53" s="28" t="n">
        <v>2020</v>
      </c>
      <c r="C53" s="28" t="s">
        <v>232</v>
      </c>
      <c r="D53" s="28" t="s">
        <v>52</v>
      </c>
      <c r="E53" s="28" t="s">
        <v>233</v>
      </c>
      <c r="F53" s="28" t="s">
        <v>194</v>
      </c>
      <c r="G53" s="28" t="s">
        <v>148</v>
      </c>
      <c r="H53" s="28" t="s">
        <v>234</v>
      </c>
      <c r="I53" s="29" t="n">
        <v>236000</v>
      </c>
      <c r="J53" s="29" t="n">
        <v>177000</v>
      </c>
      <c r="K53" s="28" t="n">
        <v>5.5</v>
      </c>
      <c r="L53" s="28" t="n">
        <v>252</v>
      </c>
      <c r="M53" s="28" t="n">
        <v>5</v>
      </c>
    </row>
    <row r="54" customFormat="false" ht="15" hidden="false" customHeight="false" outlineLevel="0" collapsed="false">
      <c r="A54" s="27" t="n">
        <v>43769</v>
      </c>
      <c r="B54" s="28" t="n">
        <v>2020</v>
      </c>
      <c r="C54" s="28" t="s">
        <v>235</v>
      </c>
      <c r="D54" s="28" t="s">
        <v>54</v>
      </c>
      <c r="E54" s="28" t="s">
        <v>236</v>
      </c>
      <c r="F54" s="28" t="s">
        <v>142</v>
      </c>
      <c r="G54" s="28" t="s">
        <v>143</v>
      </c>
      <c r="H54" s="28" t="s">
        <v>221</v>
      </c>
      <c r="I54" s="29" t="n">
        <v>125000</v>
      </c>
      <c r="J54" s="29" t="n">
        <v>106250</v>
      </c>
      <c r="K54" s="28" t="n">
        <v>7.75</v>
      </c>
      <c r="L54" s="28" t="n">
        <v>121</v>
      </c>
      <c r="M54" s="28" t="n">
        <v>7</v>
      </c>
    </row>
    <row r="55" customFormat="false" ht="15" hidden="false" customHeight="false" outlineLevel="0" collapsed="false">
      <c r="A55" s="27" t="n">
        <v>43769</v>
      </c>
      <c r="B55" s="28" t="n">
        <v>2020</v>
      </c>
      <c r="C55" s="28" t="s">
        <v>160</v>
      </c>
      <c r="D55" s="28" t="s">
        <v>56</v>
      </c>
      <c r="E55" s="28" t="s">
        <v>237</v>
      </c>
      <c r="F55" s="28" t="s">
        <v>142</v>
      </c>
      <c r="G55" s="28" t="s">
        <v>143</v>
      </c>
      <c r="H55" s="28" t="s">
        <v>165</v>
      </c>
      <c r="I55" s="29" t="n">
        <v>180000</v>
      </c>
      <c r="J55" s="29" t="n">
        <v>135000</v>
      </c>
      <c r="K55" s="28" t="n">
        <v>6.54</v>
      </c>
      <c r="L55" s="28" t="n">
        <v>84</v>
      </c>
      <c r="M55" s="28" t="n">
        <v>30</v>
      </c>
    </row>
    <row r="56" customFormat="false" ht="15" hidden="false" customHeight="false" outlineLevel="0" collapsed="false">
      <c r="A56" s="27" t="n">
        <v>43769</v>
      </c>
      <c r="B56" s="28" t="n">
        <v>2020</v>
      </c>
      <c r="C56" s="28" t="s">
        <v>238</v>
      </c>
      <c r="D56" s="28" t="s">
        <v>42</v>
      </c>
      <c r="E56" s="28" t="s">
        <v>176</v>
      </c>
      <c r="F56" s="28" t="s">
        <v>142</v>
      </c>
      <c r="G56" s="28" t="s">
        <v>143</v>
      </c>
      <c r="H56" s="28" t="s">
        <v>221</v>
      </c>
      <c r="I56" s="29" t="n">
        <v>43000</v>
      </c>
      <c r="J56" s="29" t="n">
        <v>36550</v>
      </c>
      <c r="K56" s="28" t="n">
        <v>7.75</v>
      </c>
      <c r="L56" s="28" t="n">
        <v>84</v>
      </c>
      <c r="M56" s="28" t="n">
        <v>3</v>
      </c>
    </row>
    <row r="57" customFormat="false" ht="15" hidden="false" customHeight="false" outlineLevel="0" collapsed="false">
      <c r="A57" s="27" t="n">
        <v>43773</v>
      </c>
      <c r="B57" s="28" t="n">
        <v>2020</v>
      </c>
      <c r="C57" s="28" t="s">
        <v>172</v>
      </c>
      <c r="D57" s="28" t="s">
        <v>42</v>
      </c>
      <c r="E57" s="28" t="s">
        <v>164</v>
      </c>
      <c r="F57" s="28" t="s">
        <v>142</v>
      </c>
      <c r="G57" s="28" t="s">
        <v>143</v>
      </c>
      <c r="H57" s="28" t="s">
        <v>215</v>
      </c>
      <c r="I57" s="29" t="n">
        <v>600000</v>
      </c>
      <c r="J57" s="29" t="n">
        <v>450000</v>
      </c>
      <c r="K57" s="28" t="n">
        <v>6.5</v>
      </c>
      <c r="L57" s="28" t="n">
        <v>54</v>
      </c>
      <c r="M57" s="28" t="n">
        <v>18</v>
      </c>
    </row>
    <row r="58" customFormat="false" ht="15" hidden="false" customHeight="false" outlineLevel="0" collapsed="false">
      <c r="A58" s="27" t="n">
        <v>43773</v>
      </c>
      <c r="B58" s="28" t="n">
        <v>2020</v>
      </c>
      <c r="C58" s="28" t="s">
        <v>235</v>
      </c>
      <c r="D58" s="28" t="s">
        <v>51</v>
      </c>
      <c r="E58" s="28" t="s">
        <v>239</v>
      </c>
      <c r="F58" s="28" t="s">
        <v>142</v>
      </c>
      <c r="G58" s="28" t="s">
        <v>152</v>
      </c>
      <c r="H58" s="28" t="s">
        <v>240</v>
      </c>
      <c r="I58" s="29" t="n">
        <v>1015500</v>
      </c>
      <c r="J58" s="29" t="n">
        <v>761625</v>
      </c>
      <c r="K58" s="28" t="n">
        <v>7</v>
      </c>
      <c r="L58" s="28" t="n">
        <v>120</v>
      </c>
      <c r="M58" s="28" t="n">
        <v>45</v>
      </c>
    </row>
    <row r="59" customFormat="false" ht="15" hidden="false" customHeight="false" outlineLevel="0" collapsed="false">
      <c r="A59" s="27" t="n">
        <v>43773</v>
      </c>
      <c r="B59" s="28" t="n">
        <v>2020</v>
      </c>
      <c r="C59" s="28" t="s">
        <v>241</v>
      </c>
      <c r="D59" s="28" t="s">
        <v>51</v>
      </c>
      <c r="E59" s="28" t="s">
        <v>239</v>
      </c>
      <c r="F59" s="28" t="s">
        <v>147</v>
      </c>
      <c r="G59" s="28" t="s">
        <v>156</v>
      </c>
      <c r="H59" s="28" t="s">
        <v>168</v>
      </c>
      <c r="I59" s="29" t="n">
        <v>15000</v>
      </c>
      <c r="J59" s="29" t="n">
        <v>7500</v>
      </c>
      <c r="K59" s="28" t="n">
        <v>9.25</v>
      </c>
      <c r="L59" s="28" t="n">
        <v>120</v>
      </c>
      <c r="M59" s="28" t="n">
        <v>0</v>
      </c>
    </row>
    <row r="60" customFormat="false" ht="15" hidden="false" customHeight="false" outlineLevel="0" collapsed="false">
      <c r="A60" s="27" t="n">
        <v>43773</v>
      </c>
      <c r="B60" s="28" t="n">
        <v>2020</v>
      </c>
      <c r="C60" s="28" t="s">
        <v>169</v>
      </c>
      <c r="D60" s="28" t="s">
        <v>42</v>
      </c>
      <c r="E60" s="28" t="s">
        <v>242</v>
      </c>
      <c r="F60" s="28" t="s">
        <v>147</v>
      </c>
      <c r="G60" s="28" t="s">
        <v>143</v>
      </c>
      <c r="H60" s="28" t="s">
        <v>159</v>
      </c>
      <c r="I60" s="29" t="n">
        <v>25000</v>
      </c>
      <c r="J60" s="29" t="n">
        <v>12500</v>
      </c>
      <c r="K60" s="28" t="n">
        <v>7.25</v>
      </c>
      <c r="L60" s="28" t="n">
        <v>120</v>
      </c>
      <c r="M60" s="28" t="n">
        <v>26</v>
      </c>
    </row>
    <row r="61" customFormat="false" ht="15" hidden="false" customHeight="false" outlineLevel="0" collapsed="false">
      <c r="A61" s="27" t="n">
        <v>43773</v>
      </c>
      <c r="B61" s="28" t="n">
        <v>2020</v>
      </c>
      <c r="C61" s="28" t="s">
        <v>169</v>
      </c>
      <c r="D61" s="28" t="s">
        <v>42</v>
      </c>
      <c r="E61" s="28" t="s">
        <v>242</v>
      </c>
      <c r="F61" s="28" t="s">
        <v>147</v>
      </c>
      <c r="G61" s="28" t="s">
        <v>143</v>
      </c>
      <c r="H61" s="28" t="s">
        <v>159</v>
      </c>
      <c r="I61" s="29" t="n">
        <v>325000</v>
      </c>
      <c r="J61" s="29" t="n">
        <v>162500</v>
      </c>
      <c r="K61" s="28" t="n">
        <v>7</v>
      </c>
      <c r="L61" s="28" t="n">
        <v>125</v>
      </c>
      <c r="M61" s="28" t="n">
        <v>26</v>
      </c>
    </row>
    <row r="62" customFormat="false" ht="15" hidden="false" customHeight="false" outlineLevel="0" collapsed="false">
      <c r="A62" s="27" t="n">
        <v>43774</v>
      </c>
      <c r="B62" s="28" t="n">
        <v>2020</v>
      </c>
      <c r="C62" s="28" t="s">
        <v>243</v>
      </c>
      <c r="D62" s="28" t="s">
        <v>46</v>
      </c>
      <c r="E62" s="28" t="s">
        <v>244</v>
      </c>
      <c r="F62" s="28" t="s">
        <v>142</v>
      </c>
      <c r="G62" s="28" t="s">
        <v>148</v>
      </c>
      <c r="H62" s="28" t="s">
        <v>223</v>
      </c>
      <c r="I62" s="29" t="n">
        <v>275000</v>
      </c>
      <c r="J62" s="29" t="n">
        <v>206250</v>
      </c>
      <c r="K62" s="28" t="n">
        <v>7.5</v>
      </c>
      <c r="L62" s="28" t="n">
        <v>65</v>
      </c>
      <c r="M62" s="28" t="n">
        <v>4</v>
      </c>
    </row>
    <row r="63" customFormat="false" ht="15" hidden="false" customHeight="false" outlineLevel="0" collapsed="false">
      <c r="A63" s="27" t="n">
        <v>43774</v>
      </c>
      <c r="B63" s="28" t="n">
        <v>2020</v>
      </c>
      <c r="C63" s="28" t="s">
        <v>213</v>
      </c>
      <c r="D63" s="28" t="s">
        <v>43</v>
      </c>
      <c r="E63" s="28" t="s">
        <v>245</v>
      </c>
      <c r="F63" s="28" t="s">
        <v>147</v>
      </c>
      <c r="G63" s="28" t="s">
        <v>143</v>
      </c>
      <c r="H63" s="28" t="s">
        <v>246</v>
      </c>
      <c r="I63" s="29" t="n">
        <v>140000</v>
      </c>
      <c r="J63" s="29" t="n">
        <v>70000</v>
      </c>
      <c r="K63" s="28" t="n">
        <v>6.25</v>
      </c>
      <c r="L63" s="28" t="n">
        <v>120</v>
      </c>
      <c r="M63" s="28" t="n">
        <v>3</v>
      </c>
    </row>
    <row r="64" customFormat="false" ht="15" hidden="false" customHeight="false" outlineLevel="0" collapsed="false">
      <c r="A64" s="27" t="n">
        <v>43774</v>
      </c>
      <c r="B64" s="28" t="n">
        <v>2020</v>
      </c>
      <c r="C64" s="28" t="s">
        <v>154</v>
      </c>
      <c r="D64" s="28" t="s">
        <v>42</v>
      </c>
      <c r="E64" s="28" t="s">
        <v>247</v>
      </c>
      <c r="F64" s="28" t="s">
        <v>142</v>
      </c>
      <c r="G64" s="28" t="s">
        <v>148</v>
      </c>
      <c r="H64" s="28" t="s">
        <v>248</v>
      </c>
      <c r="I64" s="29" t="n">
        <v>640000</v>
      </c>
      <c r="J64" s="29" t="n">
        <v>480000</v>
      </c>
      <c r="K64" s="28" t="n">
        <v>6.25</v>
      </c>
      <c r="L64" s="28" t="n">
        <v>300</v>
      </c>
      <c r="M64" s="28" t="n">
        <v>1</v>
      </c>
    </row>
    <row r="65" customFormat="false" ht="15" hidden="false" customHeight="false" outlineLevel="0" collapsed="false">
      <c r="A65" s="27" t="n">
        <v>43774</v>
      </c>
      <c r="B65" s="28" t="n">
        <v>2020</v>
      </c>
      <c r="C65" s="28" t="s">
        <v>196</v>
      </c>
      <c r="D65" s="28" t="s">
        <v>44</v>
      </c>
      <c r="E65" s="28" t="s">
        <v>167</v>
      </c>
      <c r="F65" s="28" t="s">
        <v>142</v>
      </c>
      <c r="G65" s="28" t="s">
        <v>152</v>
      </c>
      <c r="H65" s="28" t="s">
        <v>144</v>
      </c>
      <c r="I65" s="29" t="n">
        <v>3080000</v>
      </c>
      <c r="J65" s="29" t="n">
        <v>2310000</v>
      </c>
      <c r="K65" s="28" t="n">
        <v>6.25</v>
      </c>
      <c r="L65" s="28" t="n">
        <v>120</v>
      </c>
      <c r="M65" s="28" t="n">
        <v>12</v>
      </c>
    </row>
    <row r="66" customFormat="false" ht="15" hidden="false" customHeight="false" outlineLevel="0" collapsed="false">
      <c r="A66" s="27" t="n">
        <v>43775</v>
      </c>
      <c r="B66" s="28" t="n">
        <v>2020</v>
      </c>
      <c r="C66" s="28" t="s">
        <v>249</v>
      </c>
      <c r="D66" s="28" t="s">
        <v>52</v>
      </c>
      <c r="E66" s="28" t="s">
        <v>250</v>
      </c>
      <c r="F66" s="28" t="s">
        <v>194</v>
      </c>
      <c r="G66" s="28" t="s">
        <v>156</v>
      </c>
      <c r="H66" s="28" t="s">
        <v>251</v>
      </c>
      <c r="I66" s="29" t="n">
        <v>53500</v>
      </c>
      <c r="J66" s="29" t="n">
        <v>40125</v>
      </c>
      <c r="K66" s="28" t="n">
        <v>8.5</v>
      </c>
      <c r="L66" s="28" t="n">
        <v>75</v>
      </c>
      <c r="M66" s="28" t="n">
        <v>4</v>
      </c>
    </row>
    <row r="67" customFormat="false" ht="15" hidden="false" customHeight="false" outlineLevel="0" collapsed="false">
      <c r="A67" s="27" t="n">
        <v>43775</v>
      </c>
      <c r="B67" s="28" t="n">
        <v>2020</v>
      </c>
      <c r="C67" s="28" t="s">
        <v>252</v>
      </c>
      <c r="D67" s="28" t="s">
        <v>45</v>
      </c>
      <c r="E67" s="28" t="s">
        <v>253</v>
      </c>
      <c r="F67" s="28" t="s">
        <v>147</v>
      </c>
      <c r="G67" s="28" t="s">
        <v>148</v>
      </c>
      <c r="H67" s="28" t="s">
        <v>159</v>
      </c>
      <c r="I67" s="29" t="n">
        <v>70000</v>
      </c>
      <c r="J67" s="29" t="n">
        <v>35000</v>
      </c>
      <c r="K67" s="28" t="n">
        <v>7.25</v>
      </c>
      <c r="L67" s="28" t="n">
        <v>60</v>
      </c>
      <c r="M67" s="28" t="n">
        <v>1</v>
      </c>
    </row>
    <row r="68" customFormat="false" ht="15" hidden="false" customHeight="false" outlineLevel="0" collapsed="false">
      <c r="A68" s="27" t="n">
        <v>43775</v>
      </c>
      <c r="B68" s="28" t="n">
        <v>2020</v>
      </c>
      <c r="C68" s="28" t="s">
        <v>166</v>
      </c>
      <c r="D68" s="28" t="s">
        <v>46</v>
      </c>
      <c r="E68" s="28" t="s">
        <v>231</v>
      </c>
      <c r="F68" s="28" t="s">
        <v>142</v>
      </c>
      <c r="G68" s="28" t="s">
        <v>148</v>
      </c>
      <c r="H68" s="28" t="s">
        <v>200</v>
      </c>
      <c r="I68" s="29" t="n">
        <v>208200</v>
      </c>
      <c r="J68" s="29" t="n">
        <v>156150</v>
      </c>
      <c r="K68" s="28" t="n">
        <v>7.5</v>
      </c>
      <c r="L68" s="28" t="n">
        <v>120</v>
      </c>
      <c r="M68" s="28" t="n">
        <v>8</v>
      </c>
    </row>
    <row r="69" customFormat="false" ht="15" hidden="false" customHeight="false" outlineLevel="0" collapsed="false">
      <c r="A69" s="27" t="n">
        <v>43776</v>
      </c>
      <c r="B69" s="28" t="n">
        <v>2020</v>
      </c>
      <c r="C69" s="28" t="s">
        <v>252</v>
      </c>
      <c r="D69" s="28" t="s">
        <v>46</v>
      </c>
      <c r="E69" s="28" t="s">
        <v>254</v>
      </c>
      <c r="F69" s="28" t="s">
        <v>147</v>
      </c>
      <c r="G69" s="28" t="s">
        <v>148</v>
      </c>
      <c r="H69" s="28" t="s">
        <v>255</v>
      </c>
      <c r="I69" s="29" t="n">
        <v>350000</v>
      </c>
      <c r="J69" s="29" t="n">
        <v>175000</v>
      </c>
      <c r="K69" s="28" t="n">
        <v>7.25</v>
      </c>
      <c r="L69" s="28" t="n">
        <v>120</v>
      </c>
      <c r="M69" s="28" t="n">
        <v>17</v>
      </c>
    </row>
    <row r="70" customFormat="false" ht="15" hidden="false" customHeight="false" outlineLevel="0" collapsed="false">
      <c r="A70" s="27" t="n">
        <v>43776</v>
      </c>
      <c r="B70" s="28" t="n">
        <v>2020</v>
      </c>
      <c r="C70" s="28" t="s">
        <v>216</v>
      </c>
      <c r="D70" s="28" t="s">
        <v>44</v>
      </c>
      <c r="E70" s="28" t="s">
        <v>256</v>
      </c>
      <c r="F70" s="28" t="s">
        <v>194</v>
      </c>
      <c r="G70" s="28" t="s">
        <v>152</v>
      </c>
      <c r="H70" s="28" t="s">
        <v>221</v>
      </c>
      <c r="I70" s="29" t="n">
        <v>100000</v>
      </c>
      <c r="J70" s="29" t="n">
        <v>85000</v>
      </c>
      <c r="K70" s="28" t="n">
        <v>8</v>
      </c>
      <c r="L70" s="28" t="n">
        <v>123</v>
      </c>
      <c r="M70" s="28" t="n">
        <v>2</v>
      </c>
    </row>
    <row r="71" customFormat="false" ht="15" hidden="false" customHeight="false" outlineLevel="0" collapsed="false">
      <c r="A71" s="27" t="n">
        <v>43776</v>
      </c>
      <c r="B71" s="28" t="n">
        <v>2020</v>
      </c>
      <c r="C71" s="28" t="s">
        <v>257</v>
      </c>
      <c r="D71" s="28" t="s">
        <v>52</v>
      </c>
      <c r="E71" s="28" t="s">
        <v>258</v>
      </c>
      <c r="F71" s="28" t="s">
        <v>142</v>
      </c>
      <c r="G71" s="28" t="s">
        <v>148</v>
      </c>
      <c r="H71" s="28" t="s">
        <v>200</v>
      </c>
      <c r="I71" s="29" t="n">
        <v>945000</v>
      </c>
      <c r="J71" s="29" t="n">
        <v>708750</v>
      </c>
      <c r="K71" s="28" t="n">
        <v>7.5</v>
      </c>
      <c r="L71" s="28" t="n">
        <v>70</v>
      </c>
      <c r="M71" s="28" t="n">
        <v>10</v>
      </c>
    </row>
    <row r="72" customFormat="false" ht="15" hidden="false" customHeight="false" outlineLevel="0" collapsed="false">
      <c r="A72" s="27" t="n">
        <v>43776</v>
      </c>
      <c r="B72" s="28" t="n">
        <v>2020</v>
      </c>
      <c r="C72" s="28" t="s">
        <v>213</v>
      </c>
      <c r="D72" s="28" t="s">
        <v>51</v>
      </c>
      <c r="E72" s="28" t="s">
        <v>239</v>
      </c>
      <c r="F72" s="28" t="s">
        <v>142</v>
      </c>
      <c r="G72" s="28" t="s">
        <v>143</v>
      </c>
      <c r="H72" s="28" t="s">
        <v>221</v>
      </c>
      <c r="I72" s="29" t="n">
        <v>150000</v>
      </c>
      <c r="J72" s="29" t="n">
        <v>127500</v>
      </c>
      <c r="K72" s="28" t="n">
        <v>7.5</v>
      </c>
      <c r="L72" s="28" t="n">
        <v>123</v>
      </c>
      <c r="M72" s="28" t="n">
        <v>9</v>
      </c>
    </row>
    <row r="73" customFormat="false" ht="15" hidden="false" customHeight="false" outlineLevel="0" collapsed="false">
      <c r="A73" s="27" t="n">
        <v>43777</v>
      </c>
      <c r="B73" s="28" t="n">
        <v>2020</v>
      </c>
      <c r="C73" s="28" t="s">
        <v>172</v>
      </c>
      <c r="D73" s="28" t="s">
        <v>46</v>
      </c>
      <c r="E73" s="28" t="s">
        <v>259</v>
      </c>
      <c r="F73" s="28" t="s">
        <v>142</v>
      </c>
      <c r="G73" s="28" t="s">
        <v>148</v>
      </c>
      <c r="H73" s="28" t="s">
        <v>229</v>
      </c>
      <c r="I73" s="29" t="n">
        <v>70000</v>
      </c>
      <c r="J73" s="29" t="n">
        <v>59500</v>
      </c>
      <c r="K73" s="28" t="n">
        <v>7.5</v>
      </c>
      <c r="L73" s="28" t="n">
        <v>60</v>
      </c>
      <c r="M73" s="28" t="n">
        <v>7</v>
      </c>
    </row>
    <row r="74" customFormat="false" ht="15" hidden="false" customHeight="false" outlineLevel="0" collapsed="false">
      <c r="A74" s="27" t="n">
        <v>43777</v>
      </c>
      <c r="B74" s="28" t="n">
        <v>2020</v>
      </c>
      <c r="C74" s="28" t="s">
        <v>243</v>
      </c>
      <c r="D74" s="28" t="s">
        <v>43</v>
      </c>
      <c r="E74" s="28" t="s">
        <v>260</v>
      </c>
      <c r="F74" s="28" t="s">
        <v>147</v>
      </c>
      <c r="G74" s="28" t="s">
        <v>156</v>
      </c>
      <c r="H74" s="28" t="s">
        <v>168</v>
      </c>
      <c r="I74" s="29" t="n">
        <v>5000</v>
      </c>
      <c r="J74" s="29" t="n">
        <v>2500</v>
      </c>
      <c r="K74" s="28" t="n">
        <v>9.25</v>
      </c>
      <c r="L74" s="28" t="n">
        <v>120</v>
      </c>
      <c r="M74" s="28" t="n">
        <v>0</v>
      </c>
    </row>
    <row r="75" customFormat="false" ht="15" hidden="false" customHeight="false" outlineLevel="0" collapsed="false">
      <c r="A75" s="27" t="n">
        <v>43777</v>
      </c>
      <c r="B75" s="28" t="n">
        <v>2020</v>
      </c>
      <c r="C75" s="28" t="s">
        <v>169</v>
      </c>
      <c r="D75" s="28" t="s">
        <v>50</v>
      </c>
      <c r="E75" s="28" t="s">
        <v>261</v>
      </c>
      <c r="F75" s="28" t="s">
        <v>147</v>
      </c>
      <c r="G75" s="28" t="s">
        <v>156</v>
      </c>
      <c r="H75" s="28" t="s">
        <v>191</v>
      </c>
      <c r="I75" s="29" t="n">
        <v>50000</v>
      </c>
      <c r="J75" s="29" t="n">
        <v>25000</v>
      </c>
      <c r="K75" s="28" t="n">
        <v>6.75</v>
      </c>
      <c r="L75" s="28" t="n">
        <v>120</v>
      </c>
      <c r="M75" s="28" t="n">
        <v>6</v>
      </c>
    </row>
    <row r="76" customFormat="false" ht="15" hidden="false" customHeight="false" outlineLevel="0" collapsed="false">
      <c r="A76" s="27" t="n">
        <v>43777</v>
      </c>
      <c r="B76" s="28" t="n">
        <v>2020</v>
      </c>
      <c r="C76" s="28" t="s">
        <v>166</v>
      </c>
      <c r="D76" s="28" t="s">
        <v>48</v>
      </c>
      <c r="E76" s="28" t="s">
        <v>212</v>
      </c>
      <c r="F76" s="28" t="s">
        <v>147</v>
      </c>
      <c r="G76" s="28" t="s">
        <v>148</v>
      </c>
      <c r="H76" s="28" t="s">
        <v>159</v>
      </c>
      <c r="I76" s="29" t="n">
        <v>10000</v>
      </c>
      <c r="J76" s="29" t="n">
        <v>5000</v>
      </c>
      <c r="K76" s="28" t="n">
        <v>11.25</v>
      </c>
      <c r="L76" s="28" t="n">
        <v>31</v>
      </c>
      <c r="M76" s="28" t="n">
        <v>2</v>
      </c>
    </row>
    <row r="77" customFormat="false" ht="15" hidden="false" customHeight="false" outlineLevel="0" collapsed="false">
      <c r="A77" s="27" t="n">
        <v>43777</v>
      </c>
      <c r="B77" s="28" t="n">
        <v>2020</v>
      </c>
      <c r="C77" s="28" t="s">
        <v>163</v>
      </c>
      <c r="D77" s="28" t="s">
        <v>46</v>
      </c>
      <c r="E77" s="28" t="s">
        <v>262</v>
      </c>
      <c r="F77" s="28" t="s">
        <v>142</v>
      </c>
      <c r="G77" s="28" t="s">
        <v>148</v>
      </c>
      <c r="H77" s="28" t="s">
        <v>171</v>
      </c>
      <c r="I77" s="29" t="n">
        <v>115000</v>
      </c>
      <c r="J77" s="29" t="n">
        <v>97750</v>
      </c>
      <c r="K77" s="28" t="n">
        <v>7.5</v>
      </c>
      <c r="L77" s="28" t="n">
        <v>120</v>
      </c>
      <c r="M77" s="28" t="n">
        <v>3</v>
      </c>
    </row>
    <row r="78" customFormat="false" ht="15" hidden="false" customHeight="false" outlineLevel="0" collapsed="false">
      <c r="A78" s="27" t="n">
        <v>43779</v>
      </c>
      <c r="B78" s="28" t="n">
        <v>2020</v>
      </c>
      <c r="C78" s="28" t="s">
        <v>263</v>
      </c>
      <c r="D78" s="28" t="s">
        <v>42</v>
      </c>
      <c r="E78" s="28" t="s">
        <v>180</v>
      </c>
      <c r="F78" s="28" t="s">
        <v>142</v>
      </c>
      <c r="G78" s="28" t="s">
        <v>143</v>
      </c>
      <c r="H78" s="28" t="s">
        <v>171</v>
      </c>
      <c r="I78" s="29" t="n">
        <v>350000</v>
      </c>
      <c r="J78" s="29" t="n">
        <v>262500</v>
      </c>
      <c r="K78" s="28" t="n">
        <v>7.5</v>
      </c>
      <c r="L78" s="28" t="n">
        <v>126</v>
      </c>
      <c r="M78" s="28" t="n">
        <v>20</v>
      </c>
    </row>
    <row r="79" customFormat="false" ht="15" hidden="false" customHeight="false" outlineLevel="0" collapsed="false">
      <c r="A79" s="27" t="n">
        <v>43781</v>
      </c>
      <c r="B79" s="28" t="n">
        <v>2020</v>
      </c>
      <c r="C79" s="28" t="s">
        <v>145</v>
      </c>
      <c r="D79" s="28" t="s">
        <v>43</v>
      </c>
      <c r="E79" s="28" t="s">
        <v>264</v>
      </c>
      <c r="F79" s="28" t="s">
        <v>142</v>
      </c>
      <c r="G79" s="28" t="s">
        <v>148</v>
      </c>
      <c r="H79" s="28" t="s">
        <v>215</v>
      </c>
      <c r="I79" s="29" t="n">
        <v>270000</v>
      </c>
      <c r="J79" s="29" t="n">
        <v>202500</v>
      </c>
      <c r="K79" s="28" t="n">
        <v>6.5</v>
      </c>
      <c r="L79" s="28" t="n">
        <v>119</v>
      </c>
      <c r="M79" s="28" t="n">
        <v>2</v>
      </c>
    </row>
    <row r="80" customFormat="false" ht="15" hidden="false" customHeight="false" outlineLevel="0" collapsed="false">
      <c r="A80" s="27" t="n">
        <v>43782</v>
      </c>
      <c r="B80" s="28" t="n">
        <v>2020</v>
      </c>
      <c r="C80" s="28" t="s">
        <v>163</v>
      </c>
      <c r="D80" s="28" t="s">
        <v>51</v>
      </c>
      <c r="E80" s="28" t="s">
        <v>239</v>
      </c>
      <c r="F80" s="28" t="s">
        <v>147</v>
      </c>
      <c r="G80" s="28" t="s">
        <v>152</v>
      </c>
      <c r="H80" s="28" t="s">
        <v>165</v>
      </c>
      <c r="I80" s="29" t="n">
        <v>180000</v>
      </c>
      <c r="J80" s="29" t="n">
        <v>90000</v>
      </c>
      <c r="K80" s="28" t="n">
        <v>6.69</v>
      </c>
      <c r="L80" s="28" t="n">
        <v>23</v>
      </c>
      <c r="M80" s="28" t="n">
        <v>13</v>
      </c>
    </row>
    <row r="81" customFormat="false" ht="15" hidden="false" customHeight="false" outlineLevel="0" collapsed="false">
      <c r="A81" s="27" t="n">
        <v>43782</v>
      </c>
      <c r="B81" s="28" t="n">
        <v>2020</v>
      </c>
      <c r="C81" s="28" t="s">
        <v>252</v>
      </c>
      <c r="D81" s="28" t="s">
        <v>46</v>
      </c>
      <c r="E81" s="28" t="s">
        <v>254</v>
      </c>
      <c r="F81" s="28" t="s">
        <v>194</v>
      </c>
      <c r="G81" s="28" t="s">
        <v>148</v>
      </c>
      <c r="H81" s="28" t="s">
        <v>255</v>
      </c>
      <c r="I81" s="29" t="n">
        <v>270000</v>
      </c>
      <c r="J81" s="29" t="n">
        <v>202500</v>
      </c>
      <c r="K81" s="28" t="n">
        <v>7.25</v>
      </c>
      <c r="L81" s="28" t="n">
        <v>300</v>
      </c>
      <c r="M81" s="28" t="n">
        <v>32</v>
      </c>
    </row>
    <row r="82" customFormat="false" ht="15" hidden="false" customHeight="false" outlineLevel="0" collapsed="false">
      <c r="A82" s="27" t="n">
        <v>43783</v>
      </c>
      <c r="B82" s="28" t="n">
        <v>2020</v>
      </c>
      <c r="C82" s="28" t="s">
        <v>265</v>
      </c>
      <c r="D82" s="28" t="s">
        <v>50</v>
      </c>
      <c r="E82" s="28" t="s">
        <v>193</v>
      </c>
      <c r="F82" s="28" t="s">
        <v>147</v>
      </c>
      <c r="G82" s="28" t="s">
        <v>148</v>
      </c>
      <c r="H82" s="28" t="s">
        <v>266</v>
      </c>
      <c r="I82" s="29" t="n">
        <v>162500</v>
      </c>
      <c r="J82" s="29" t="n">
        <v>81250</v>
      </c>
      <c r="K82" s="28" t="n">
        <v>5.5</v>
      </c>
      <c r="L82" s="28" t="n">
        <v>246</v>
      </c>
      <c r="M82" s="28" t="n">
        <v>10</v>
      </c>
    </row>
    <row r="83" customFormat="false" ht="15" hidden="false" customHeight="false" outlineLevel="0" collapsed="false">
      <c r="A83" s="27" t="n">
        <v>43783</v>
      </c>
      <c r="B83" s="28" t="n">
        <v>2020</v>
      </c>
      <c r="C83" s="28" t="s">
        <v>172</v>
      </c>
      <c r="D83" s="28" t="s">
        <v>49</v>
      </c>
      <c r="E83" s="28" t="s">
        <v>267</v>
      </c>
      <c r="F83" s="28" t="s">
        <v>147</v>
      </c>
      <c r="G83" s="28" t="s">
        <v>148</v>
      </c>
      <c r="H83" s="28" t="s">
        <v>191</v>
      </c>
      <c r="I83" s="29" t="n">
        <v>50000</v>
      </c>
      <c r="J83" s="29" t="n">
        <v>25000</v>
      </c>
      <c r="K83" s="28" t="n">
        <v>8.25</v>
      </c>
      <c r="L83" s="28" t="n">
        <v>72</v>
      </c>
      <c r="M83" s="28" t="n">
        <v>3</v>
      </c>
    </row>
    <row r="84" customFormat="false" ht="15" hidden="false" customHeight="false" outlineLevel="0" collapsed="false">
      <c r="A84" s="27" t="n">
        <v>43783</v>
      </c>
      <c r="B84" s="28" t="n">
        <v>2020</v>
      </c>
      <c r="C84" s="28" t="s">
        <v>166</v>
      </c>
      <c r="D84" s="28" t="s">
        <v>47</v>
      </c>
      <c r="E84" s="28" t="s">
        <v>268</v>
      </c>
      <c r="F84" s="28" t="s">
        <v>142</v>
      </c>
      <c r="G84" s="28" t="s">
        <v>148</v>
      </c>
      <c r="H84" s="28" t="s">
        <v>269</v>
      </c>
      <c r="I84" s="29" t="n">
        <v>100000</v>
      </c>
      <c r="J84" s="29" t="n">
        <v>85000</v>
      </c>
      <c r="K84" s="28" t="n">
        <v>7.5</v>
      </c>
      <c r="L84" s="28" t="n">
        <v>84</v>
      </c>
      <c r="M84" s="28" t="n">
        <v>20</v>
      </c>
    </row>
    <row r="85" customFormat="false" ht="15" hidden="false" customHeight="false" outlineLevel="0" collapsed="false">
      <c r="A85" s="27" t="n">
        <v>43783</v>
      </c>
      <c r="B85" s="28" t="n">
        <v>2020</v>
      </c>
      <c r="C85" s="28" t="s">
        <v>175</v>
      </c>
      <c r="D85" s="28" t="s">
        <v>48</v>
      </c>
      <c r="E85" s="28" t="s">
        <v>270</v>
      </c>
      <c r="F85" s="28" t="s">
        <v>147</v>
      </c>
      <c r="G85" s="28" t="s">
        <v>148</v>
      </c>
      <c r="H85" s="28" t="s">
        <v>271</v>
      </c>
      <c r="I85" s="29" t="n">
        <v>300000</v>
      </c>
      <c r="J85" s="29" t="n">
        <v>150000</v>
      </c>
      <c r="K85" s="28" t="n">
        <v>6</v>
      </c>
      <c r="L85" s="28" t="n">
        <v>96</v>
      </c>
      <c r="M85" s="28" t="n">
        <v>0</v>
      </c>
    </row>
    <row r="86" customFormat="false" ht="15" hidden="false" customHeight="false" outlineLevel="0" collapsed="false">
      <c r="A86" s="27" t="n">
        <v>43783</v>
      </c>
      <c r="B86" s="28" t="n">
        <v>2020</v>
      </c>
      <c r="C86" s="28" t="s">
        <v>272</v>
      </c>
      <c r="D86" s="28" t="s">
        <v>42</v>
      </c>
      <c r="E86" s="28" t="s">
        <v>180</v>
      </c>
      <c r="F86" s="28" t="s">
        <v>142</v>
      </c>
      <c r="G86" s="28" t="s">
        <v>143</v>
      </c>
      <c r="H86" s="28" t="s">
        <v>221</v>
      </c>
      <c r="I86" s="29" t="n">
        <v>300000</v>
      </c>
      <c r="J86" s="29" t="n">
        <v>225000</v>
      </c>
      <c r="K86" s="28" t="n">
        <v>7.5</v>
      </c>
      <c r="L86" s="28" t="n">
        <v>242</v>
      </c>
      <c r="M86" s="28" t="n">
        <v>55</v>
      </c>
    </row>
    <row r="87" customFormat="false" ht="15" hidden="false" customHeight="false" outlineLevel="0" collapsed="false">
      <c r="A87" s="27" t="n">
        <v>43784</v>
      </c>
      <c r="B87" s="28" t="n">
        <v>2020</v>
      </c>
      <c r="C87" s="28" t="s">
        <v>206</v>
      </c>
      <c r="D87" s="28" t="s">
        <v>46</v>
      </c>
      <c r="E87" s="28" t="s">
        <v>273</v>
      </c>
      <c r="F87" s="28" t="s">
        <v>147</v>
      </c>
      <c r="G87" s="28" t="s">
        <v>148</v>
      </c>
      <c r="H87" s="28" t="s">
        <v>159</v>
      </c>
      <c r="I87" s="29" t="n">
        <v>10000</v>
      </c>
      <c r="J87" s="29" t="n">
        <v>5000</v>
      </c>
      <c r="K87" s="28" t="n">
        <v>11.25</v>
      </c>
      <c r="L87" s="28" t="n">
        <v>120</v>
      </c>
      <c r="M87" s="28" t="n">
        <v>10</v>
      </c>
    </row>
    <row r="88" customFormat="false" ht="15" hidden="false" customHeight="false" outlineLevel="0" collapsed="false">
      <c r="A88" s="27" t="n">
        <v>43784</v>
      </c>
      <c r="B88" s="28" t="n">
        <v>2020</v>
      </c>
      <c r="C88" s="28" t="s">
        <v>206</v>
      </c>
      <c r="D88" s="28" t="s">
        <v>46</v>
      </c>
      <c r="E88" s="28" t="s">
        <v>273</v>
      </c>
      <c r="F88" s="28" t="s">
        <v>147</v>
      </c>
      <c r="G88" s="28" t="s">
        <v>148</v>
      </c>
      <c r="H88" s="28" t="s">
        <v>159</v>
      </c>
      <c r="I88" s="29" t="n">
        <v>90000</v>
      </c>
      <c r="J88" s="29" t="n">
        <v>45000</v>
      </c>
      <c r="K88" s="28" t="n">
        <v>9.25</v>
      </c>
      <c r="L88" s="28" t="n">
        <v>75</v>
      </c>
      <c r="M88" s="28" t="n">
        <v>10</v>
      </c>
    </row>
    <row r="89" customFormat="false" ht="15" hidden="false" customHeight="false" outlineLevel="0" collapsed="false">
      <c r="A89" s="27" t="n">
        <v>43784</v>
      </c>
      <c r="B89" s="28" t="n">
        <v>2020</v>
      </c>
      <c r="C89" s="28" t="s">
        <v>238</v>
      </c>
      <c r="D89" s="28" t="s">
        <v>43</v>
      </c>
      <c r="E89" s="28" t="s">
        <v>274</v>
      </c>
      <c r="F89" s="28" t="s">
        <v>142</v>
      </c>
      <c r="G89" s="28" t="s">
        <v>148</v>
      </c>
      <c r="H89" s="28" t="s">
        <v>275</v>
      </c>
      <c r="I89" s="29" t="n">
        <v>2260000</v>
      </c>
      <c r="J89" s="29" t="n">
        <v>1695000</v>
      </c>
      <c r="K89" s="28" t="n">
        <v>7.5</v>
      </c>
      <c r="L89" s="28" t="n">
        <v>300</v>
      </c>
      <c r="M89" s="28" t="n">
        <v>34</v>
      </c>
    </row>
    <row r="90" customFormat="false" ht="15" hidden="false" customHeight="false" outlineLevel="0" collapsed="false">
      <c r="A90" s="27" t="n">
        <v>43784</v>
      </c>
      <c r="B90" s="28" t="n">
        <v>2020</v>
      </c>
      <c r="C90" s="28" t="s">
        <v>209</v>
      </c>
      <c r="D90" s="28" t="s">
        <v>46</v>
      </c>
      <c r="E90" s="28" t="s">
        <v>276</v>
      </c>
      <c r="F90" s="28" t="s">
        <v>147</v>
      </c>
      <c r="G90" s="28" t="s">
        <v>143</v>
      </c>
      <c r="H90" s="28" t="s">
        <v>165</v>
      </c>
      <c r="I90" s="29" t="n">
        <v>301500</v>
      </c>
      <c r="J90" s="29" t="n">
        <v>150750</v>
      </c>
      <c r="K90" s="28" t="n">
        <v>6.69</v>
      </c>
      <c r="L90" s="28" t="n">
        <v>60</v>
      </c>
      <c r="M90" s="28" t="n">
        <v>0</v>
      </c>
    </row>
    <row r="91" customFormat="false" ht="15" hidden="false" customHeight="false" outlineLevel="0" collapsed="false">
      <c r="A91" s="27" t="n">
        <v>43787</v>
      </c>
      <c r="B91" s="28" t="n">
        <v>2020</v>
      </c>
      <c r="C91" s="28" t="s">
        <v>172</v>
      </c>
      <c r="D91" s="28" t="s">
        <v>51</v>
      </c>
      <c r="E91" s="28" t="s">
        <v>239</v>
      </c>
      <c r="F91" s="28" t="s">
        <v>147</v>
      </c>
      <c r="G91" s="28" t="s">
        <v>143</v>
      </c>
      <c r="H91" s="28" t="s">
        <v>159</v>
      </c>
      <c r="I91" s="29" t="n">
        <v>25000</v>
      </c>
      <c r="J91" s="29" t="n">
        <v>12500</v>
      </c>
      <c r="K91" s="28" t="n">
        <v>7.25</v>
      </c>
      <c r="L91" s="28" t="n">
        <v>120</v>
      </c>
      <c r="M91" s="28" t="n">
        <v>5</v>
      </c>
    </row>
    <row r="92" customFormat="false" ht="15" hidden="false" customHeight="false" outlineLevel="0" collapsed="false">
      <c r="A92" s="27" t="n">
        <v>43787</v>
      </c>
      <c r="B92" s="28" t="n">
        <v>2020</v>
      </c>
      <c r="C92" s="28" t="s">
        <v>172</v>
      </c>
      <c r="D92" s="28" t="s">
        <v>42</v>
      </c>
      <c r="E92" s="28" t="s">
        <v>164</v>
      </c>
      <c r="F92" s="28" t="s">
        <v>147</v>
      </c>
      <c r="G92" s="28" t="s">
        <v>148</v>
      </c>
      <c r="H92" s="28" t="s">
        <v>205</v>
      </c>
      <c r="I92" s="29" t="n">
        <v>50000</v>
      </c>
      <c r="J92" s="29" t="n">
        <v>25000</v>
      </c>
      <c r="K92" s="28" t="n">
        <v>10.24</v>
      </c>
      <c r="L92" s="28" t="n">
        <v>120</v>
      </c>
      <c r="M92" s="28" t="n">
        <v>0</v>
      </c>
    </row>
    <row r="93" customFormat="false" ht="15" hidden="false" customHeight="false" outlineLevel="0" collapsed="false">
      <c r="A93" s="27" t="n">
        <v>43787</v>
      </c>
      <c r="B93" s="28" t="n">
        <v>2020</v>
      </c>
      <c r="C93" s="28" t="s">
        <v>172</v>
      </c>
      <c r="D93" s="28" t="s">
        <v>48</v>
      </c>
      <c r="E93" s="28" t="s">
        <v>277</v>
      </c>
      <c r="F93" s="28" t="s">
        <v>142</v>
      </c>
      <c r="G93" s="28" t="s">
        <v>148</v>
      </c>
      <c r="H93" s="28" t="s">
        <v>278</v>
      </c>
      <c r="I93" s="29" t="n">
        <v>350000</v>
      </c>
      <c r="J93" s="29" t="n">
        <v>262500</v>
      </c>
      <c r="K93" s="28" t="n">
        <v>7.5</v>
      </c>
      <c r="L93" s="28" t="n">
        <v>120</v>
      </c>
      <c r="M93" s="28" t="n">
        <v>6</v>
      </c>
    </row>
    <row r="94" customFormat="false" ht="15" hidden="false" customHeight="false" outlineLevel="0" collapsed="false">
      <c r="A94" s="27" t="n">
        <v>43787</v>
      </c>
      <c r="B94" s="28" t="n">
        <v>2020</v>
      </c>
      <c r="C94" s="28" t="s">
        <v>163</v>
      </c>
      <c r="D94" s="28" t="s">
        <v>51</v>
      </c>
      <c r="E94" s="28" t="s">
        <v>239</v>
      </c>
      <c r="F94" s="28" t="s">
        <v>142</v>
      </c>
      <c r="G94" s="28" t="s">
        <v>156</v>
      </c>
      <c r="H94" s="28" t="s">
        <v>279</v>
      </c>
      <c r="I94" s="29" t="n">
        <v>1305000</v>
      </c>
      <c r="J94" s="29" t="n">
        <v>978750</v>
      </c>
      <c r="K94" s="28" t="n">
        <v>6.75</v>
      </c>
      <c r="L94" s="28" t="n">
        <v>126</v>
      </c>
      <c r="M94" s="28" t="n">
        <v>20</v>
      </c>
    </row>
    <row r="95" customFormat="false" ht="15" hidden="false" customHeight="false" outlineLevel="0" collapsed="false">
      <c r="A95" s="27" t="n">
        <v>43787</v>
      </c>
      <c r="B95" s="28" t="n">
        <v>2020</v>
      </c>
      <c r="C95" s="28" t="s">
        <v>173</v>
      </c>
      <c r="D95" s="28" t="s">
        <v>45</v>
      </c>
      <c r="E95" s="28" t="s">
        <v>280</v>
      </c>
      <c r="F95" s="28" t="s">
        <v>147</v>
      </c>
      <c r="G95" s="28" t="s">
        <v>148</v>
      </c>
      <c r="H95" s="28" t="s">
        <v>281</v>
      </c>
      <c r="I95" s="29" t="n">
        <v>41500</v>
      </c>
      <c r="J95" s="29" t="n">
        <v>20750</v>
      </c>
      <c r="K95" s="28" t="n">
        <v>7.5</v>
      </c>
      <c r="L95" s="28" t="n">
        <v>60</v>
      </c>
      <c r="M95" s="28" t="n">
        <v>13</v>
      </c>
    </row>
    <row r="96" customFormat="false" ht="15" hidden="false" customHeight="false" outlineLevel="0" collapsed="false">
      <c r="A96" s="27" t="n">
        <v>43787</v>
      </c>
      <c r="B96" s="28" t="n">
        <v>2020</v>
      </c>
      <c r="C96" s="28" t="s">
        <v>172</v>
      </c>
      <c r="D96" s="28" t="s">
        <v>50</v>
      </c>
      <c r="E96" s="28" t="s">
        <v>282</v>
      </c>
      <c r="F96" s="28" t="s">
        <v>142</v>
      </c>
      <c r="G96" s="28" t="s">
        <v>148</v>
      </c>
      <c r="H96" s="28" t="s">
        <v>227</v>
      </c>
      <c r="I96" s="29" t="n">
        <v>2725000</v>
      </c>
      <c r="J96" s="29" t="n">
        <v>2043750</v>
      </c>
      <c r="K96" s="28" t="n">
        <v>7.5</v>
      </c>
      <c r="L96" s="28" t="n">
        <v>92</v>
      </c>
      <c r="M96" s="28" t="n">
        <v>86</v>
      </c>
    </row>
    <row r="97" customFormat="false" ht="15" hidden="false" customHeight="false" outlineLevel="0" collapsed="false">
      <c r="A97" s="27" t="n">
        <v>43787</v>
      </c>
      <c r="B97" s="28" t="n">
        <v>2020</v>
      </c>
      <c r="C97" s="28" t="s">
        <v>172</v>
      </c>
      <c r="D97" s="28" t="s">
        <v>51</v>
      </c>
      <c r="E97" s="28" t="s">
        <v>239</v>
      </c>
      <c r="F97" s="28" t="s">
        <v>142</v>
      </c>
      <c r="G97" s="28" t="s">
        <v>143</v>
      </c>
      <c r="H97" s="28" t="s">
        <v>159</v>
      </c>
      <c r="I97" s="29" t="n">
        <v>474000</v>
      </c>
      <c r="J97" s="29" t="n">
        <v>355500</v>
      </c>
      <c r="K97" s="28" t="n">
        <v>7</v>
      </c>
      <c r="L97" s="28" t="n">
        <v>120</v>
      </c>
      <c r="M97" s="28" t="n">
        <v>5</v>
      </c>
    </row>
    <row r="98" customFormat="false" ht="15" hidden="false" customHeight="false" outlineLevel="0" collapsed="false">
      <c r="A98" s="27" t="n">
        <v>43788</v>
      </c>
      <c r="B98" s="28" t="n">
        <v>2020</v>
      </c>
      <c r="C98" s="28" t="s">
        <v>172</v>
      </c>
      <c r="D98" s="28" t="s">
        <v>50</v>
      </c>
      <c r="E98" s="28" t="s">
        <v>282</v>
      </c>
      <c r="F98" s="28" t="s">
        <v>283</v>
      </c>
      <c r="G98" s="28" t="s">
        <v>148</v>
      </c>
      <c r="H98" s="28" t="s">
        <v>227</v>
      </c>
      <c r="I98" s="29" t="n">
        <v>1500000</v>
      </c>
      <c r="J98" s="29" t="n">
        <v>1125000</v>
      </c>
      <c r="K98" s="28" t="n">
        <v>6.75</v>
      </c>
      <c r="L98" s="28" t="n">
        <v>24</v>
      </c>
      <c r="M98" s="28" t="n">
        <v>86</v>
      </c>
    </row>
    <row r="99" customFormat="false" ht="15" hidden="false" customHeight="false" outlineLevel="0" collapsed="false">
      <c r="A99" s="27" t="n">
        <v>43788</v>
      </c>
      <c r="B99" s="28" t="n">
        <v>2020</v>
      </c>
      <c r="C99" s="28" t="s">
        <v>169</v>
      </c>
      <c r="D99" s="28" t="s">
        <v>47</v>
      </c>
      <c r="E99" s="28" t="s">
        <v>284</v>
      </c>
      <c r="F99" s="28" t="s">
        <v>147</v>
      </c>
      <c r="G99" s="28" t="s">
        <v>148</v>
      </c>
      <c r="H99" s="28" t="s">
        <v>205</v>
      </c>
      <c r="I99" s="29" t="n">
        <v>100000</v>
      </c>
      <c r="J99" s="29" t="n">
        <v>50000</v>
      </c>
      <c r="K99" s="28" t="n">
        <v>8.54</v>
      </c>
      <c r="L99" s="28" t="n">
        <v>120</v>
      </c>
      <c r="M99" s="28" t="n">
        <v>5</v>
      </c>
    </row>
    <row r="100" customFormat="false" ht="15" hidden="false" customHeight="false" outlineLevel="0" collapsed="false">
      <c r="A100" s="27" t="n">
        <v>43788</v>
      </c>
      <c r="B100" s="28" t="n">
        <v>2020</v>
      </c>
      <c r="C100" s="28" t="s">
        <v>196</v>
      </c>
      <c r="D100" s="28" t="s">
        <v>46</v>
      </c>
      <c r="E100" s="28" t="s">
        <v>259</v>
      </c>
      <c r="F100" s="28" t="s">
        <v>142</v>
      </c>
      <c r="G100" s="28" t="s">
        <v>156</v>
      </c>
      <c r="H100" s="28" t="s">
        <v>285</v>
      </c>
      <c r="I100" s="29" t="n">
        <v>191000</v>
      </c>
      <c r="J100" s="29" t="n">
        <v>143250</v>
      </c>
      <c r="K100" s="28" t="n">
        <v>6.25</v>
      </c>
      <c r="L100" s="28" t="n">
        <v>300</v>
      </c>
      <c r="M100" s="28" t="n">
        <v>0</v>
      </c>
    </row>
    <row r="101" customFormat="false" ht="15" hidden="false" customHeight="false" outlineLevel="0" collapsed="false">
      <c r="A101" s="27" t="n">
        <v>43788</v>
      </c>
      <c r="B101" s="28" t="n">
        <v>2020</v>
      </c>
      <c r="C101" s="28" t="s">
        <v>286</v>
      </c>
      <c r="D101" s="28" t="s">
        <v>54</v>
      </c>
      <c r="E101" s="28" t="s">
        <v>236</v>
      </c>
      <c r="F101" s="28" t="s">
        <v>142</v>
      </c>
      <c r="G101" s="28" t="s">
        <v>156</v>
      </c>
      <c r="H101" s="28" t="s">
        <v>287</v>
      </c>
      <c r="I101" s="29" t="n">
        <v>486000</v>
      </c>
      <c r="J101" s="29" t="n">
        <v>364500</v>
      </c>
      <c r="K101" s="28" t="n">
        <v>7.5</v>
      </c>
      <c r="L101" s="28" t="n">
        <v>120</v>
      </c>
      <c r="M101" s="28" t="n">
        <v>1</v>
      </c>
    </row>
    <row r="102" customFormat="false" ht="15" hidden="false" customHeight="false" outlineLevel="0" collapsed="false">
      <c r="A102" s="27" t="n">
        <v>43789</v>
      </c>
      <c r="B102" s="28" t="n">
        <v>2020</v>
      </c>
      <c r="C102" s="28" t="s">
        <v>150</v>
      </c>
      <c r="D102" s="28" t="s">
        <v>54</v>
      </c>
      <c r="E102" s="28" t="s">
        <v>236</v>
      </c>
      <c r="F102" s="28" t="s">
        <v>142</v>
      </c>
      <c r="G102" s="28" t="s">
        <v>152</v>
      </c>
      <c r="H102" s="28" t="s">
        <v>287</v>
      </c>
      <c r="I102" s="29" t="n">
        <v>372000</v>
      </c>
      <c r="J102" s="29" t="n">
        <v>279000</v>
      </c>
      <c r="K102" s="28" t="n">
        <v>7.5</v>
      </c>
      <c r="L102" s="28" t="n">
        <v>120</v>
      </c>
      <c r="M102" s="28" t="n">
        <v>2</v>
      </c>
    </row>
    <row r="103" customFormat="false" ht="15" hidden="false" customHeight="false" outlineLevel="0" collapsed="false">
      <c r="A103" s="27" t="n">
        <v>43789</v>
      </c>
      <c r="B103" s="28" t="n">
        <v>2020</v>
      </c>
      <c r="C103" s="28" t="s">
        <v>288</v>
      </c>
      <c r="D103" s="28" t="s">
        <v>42</v>
      </c>
      <c r="E103" s="28" t="s">
        <v>247</v>
      </c>
      <c r="F103" s="28" t="s">
        <v>142</v>
      </c>
      <c r="G103" s="28" t="s">
        <v>152</v>
      </c>
      <c r="H103" s="28" t="s">
        <v>289</v>
      </c>
      <c r="I103" s="29" t="n">
        <v>1052000</v>
      </c>
      <c r="J103" s="29" t="n">
        <v>789000</v>
      </c>
      <c r="K103" s="28" t="n">
        <v>7.25</v>
      </c>
      <c r="L103" s="28" t="n">
        <v>300</v>
      </c>
      <c r="M103" s="28" t="n">
        <v>4</v>
      </c>
    </row>
    <row r="104" customFormat="false" ht="15" hidden="false" customHeight="false" outlineLevel="0" collapsed="false">
      <c r="A104" s="27" t="n">
        <v>43789</v>
      </c>
      <c r="B104" s="28" t="n">
        <v>2020</v>
      </c>
      <c r="C104" s="28" t="s">
        <v>163</v>
      </c>
      <c r="D104" s="28" t="s">
        <v>43</v>
      </c>
      <c r="E104" s="28" t="s">
        <v>217</v>
      </c>
      <c r="F104" s="28" t="s">
        <v>142</v>
      </c>
      <c r="G104" s="28" t="s">
        <v>152</v>
      </c>
      <c r="H104" s="28" t="s">
        <v>200</v>
      </c>
      <c r="I104" s="29" t="n">
        <v>345000</v>
      </c>
      <c r="J104" s="29" t="n">
        <v>258750</v>
      </c>
      <c r="K104" s="28" t="n">
        <v>7.5</v>
      </c>
      <c r="L104" s="28" t="n">
        <v>120</v>
      </c>
      <c r="M104" s="28" t="n">
        <v>15</v>
      </c>
    </row>
    <row r="105" customFormat="false" ht="15" hidden="false" customHeight="false" outlineLevel="0" collapsed="false">
      <c r="A105" s="27" t="n">
        <v>43789</v>
      </c>
      <c r="B105" s="28" t="n">
        <v>2020</v>
      </c>
      <c r="C105" s="28" t="s">
        <v>172</v>
      </c>
      <c r="D105" s="28" t="s">
        <v>54</v>
      </c>
      <c r="E105" s="28" t="s">
        <v>290</v>
      </c>
      <c r="F105" s="28" t="s">
        <v>147</v>
      </c>
      <c r="G105" s="28" t="s">
        <v>143</v>
      </c>
      <c r="H105" s="28" t="s">
        <v>291</v>
      </c>
      <c r="I105" s="29" t="n">
        <v>250000</v>
      </c>
      <c r="J105" s="29" t="n">
        <v>125000</v>
      </c>
      <c r="K105" s="28" t="n">
        <v>7.5</v>
      </c>
      <c r="L105" s="28" t="n">
        <v>120</v>
      </c>
      <c r="M105" s="28" t="n">
        <v>26</v>
      </c>
    </row>
    <row r="106" customFormat="false" ht="15" hidden="false" customHeight="false" outlineLevel="0" collapsed="false">
      <c r="A106" s="27" t="n">
        <v>43789</v>
      </c>
      <c r="B106" s="28" t="n">
        <v>2020</v>
      </c>
      <c r="C106" s="28" t="s">
        <v>292</v>
      </c>
      <c r="D106" s="28" t="s">
        <v>43</v>
      </c>
      <c r="E106" s="28" t="s">
        <v>264</v>
      </c>
      <c r="F106" s="28" t="s">
        <v>142</v>
      </c>
      <c r="G106" s="28" t="s">
        <v>152</v>
      </c>
      <c r="H106" s="28" t="s">
        <v>165</v>
      </c>
      <c r="I106" s="29" t="n">
        <v>1065000</v>
      </c>
      <c r="J106" s="29" t="n">
        <v>798750</v>
      </c>
      <c r="K106" s="28" t="n">
        <v>6.75</v>
      </c>
      <c r="L106" s="28" t="n">
        <v>120</v>
      </c>
      <c r="M106" s="28" t="n">
        <v>14</v>
      </c>
    </row>
    <row r="107" customFormat="false" ht="15" hidden="false" customHeight="false" outlineLevel="0" collapsed="false">
      <c r="A107" s="27" t="n">
        <v>43789</v>
      </c>
      <c r="B107" s="28" t="n">
        <v>2020</v>
      </c>
      <c r="C107" s="28" t="s">
        <v>172</v>
      </c>
      <c r="D107" s="28" t="s">
        <v>48</v>
      </c>
      <c r="E107" s="28" t="s">
        <v>212</v>
      </c>
      <c r="F107" s="28" t="s">
        <v>142</v>
      </c>
      <c r="G107" s="28" t="s">
        <v>148</v>
      </c>
      <c r="H107" s="28" t="s">
        <v>171</v>
      </c>
      <c r="I107" s="29" t="n">
        <v>200000</v>
      </c>
      <c r="J107" s="29" t="n">
        <v>150000</v>
      </c>
      <c r="K107" s="28" t="n">
        <v>7.5</v>
      </c>
      <c r="L107" s="28" t="n">
        <v>180</v>
      </c>
      <c r="M107" s="28" t="n">
        <v>10</v>
      </c>
    </row>
    <row r="108" customFormat="false" ht="15" hidden="false" customHeight="false" outlineLevel="0" collapsed="false">
      <c r="A108" s="27" t="n">
        <v>43789</v>
      </c>
      <c r="B108" s="28" t="n">
        <v>2020</v>
      </c>
      <c r="C108" s="28" t="s">
        <v>172</v>
      </c>
      <c r="D108" s="28" t="s">
        <v>45</v>
      </c>
      <c r="E108" s="28" t="s">
        <v>293</v>
      </c>
      <c r="F108" s="28" t="s">
        <v>147</v>
      </c>
      <c r="G108" s="28" t="s">
        <v>156</v>
      </c>
      <c r="H108" s="28" t="s">
        <v>165</v>
      </c>
      <c r="I108" s="29" t="n">
        <v>47900</v>
      </c>
      <c r="J108" s="29" t="n">
        <v>23950</v>
      </c>
      <c r="K108" s="28" t="n">
        <v>8.09</v>
      </c>
      <c r="L108" s="28" t="n">
        <v>48</v>
      </c>
      <c r="M108" s="28" t="n">
        <v>10</v>
      </c>
    </row>
    <row r="109" customFormat="false" ht="15" hidden="false" customHeight="false" outlineLevel="0" collapsed="false">
      <c r="A109" s="27" t="n">
        <v>43790</v>
      </c>
      <c r="B109" s="28" t="n">
        <v>2020</v>
      </c>
      <c r="C109" s="28" t="s">
        <v>163</v>
      </c>
      <c r="D109" s="28" t="s">
        <v>46</v>
      </c>
      <c r="E109" s="28" t="s">
        <v>262</v>
      </c>
      <c r="F109" s="28" t="s">
        <v>142</v>
      </c>
      <c r="G109" s="28" t="s">
        <v>152</v>
      </c>
      <c r="H109" s="28" t="s">
        <v>221</v>
      </c>
      <c r="I109" s="29" t="n">
        <v>150000</v>
      </c>
      <c r="J109" s="29" t="n">
        <v>127500</v>
      </c>
      <c r="K109" s="28" t="n">
        <v>7.5</v>
      </c>
      <c r="L109" s="28" t="n">
        <v>120</v>
      </c>
      <c r="M109" s="28" t="n">
        <v>9</v>
      </c>
    </row>
    <row r="110" customFormat="false" ht="15" hidden="false" customHeight="false" outlineLevel="0" collapsed="false">
      <c r="A110" s="27" t="n">
        <v>43790</v>
      </c>
      <c r="B110" s="28" t="n">
        <v>2020</v>
      </c>
      <c r="C110" s="28" t="s">
        <v>203</v>
      </c>
      <c r="D110" s="28" t="s">
        <v>45</v>
      </c>
      <c r="E110" s="28" t="s">
        <v>202</v>
      </c>
      <c r="F110" s="28" t="s">
        <v>147</v>
      </c>
      <c r="G110" s="28" t="s">
        <v>156</v>
      </c>
      <c r="H110" s="28" t="s">
        <v>168</v>
      </c>
      <c r="I110" s="29" t="n">
        <v>10000</v>
      </c>
      <c r="J110" s="29" t="n">
        <v>5000</v>
      </c>
      <c r="K110" s="28" t="n">
        <v>11.25</v>
      </c>
      <c r="L110" s="28" t="n">
        <v>65</v>
      </c>
      <c r="M110" s="28" t="n">
        <v>0</v>
      </c>
    </row>
    <row r="111" customFormat="false" ht="15" hidden="false" customHeight="false" outlineLevel="0" collapsed="false">
      <c r="A111" s="27" t="n">
        <v>43791</v>
      </c>
      <c r="B111" s="28" t="n">
        <v>2020</v>
      </c>
      <c r="C111" s="28" t="s">
        <v>163</v>
      </c>
      <c r="D111" s="28" t="s">
        <v>54</v>
      </c>
      <c r="E111" s="28" t="s">
        <v>236</v>
      </c>
      <c r="F111" s="28" t="s">
        <v>147</v>
      </c>
      <c r="G111" s="28" t="s">
        <v>148</v>
      </c>
      <c r="H111" s="28" t="s">
        <v>200</v>
      </c>
      <c r="I111" s="29" t="n">
        <v>25000</v>
      </c>
      <c r="J111" s="29" t="n">
        <v>12500</v>
      </c>
      <c r="K111" s="28" t="n">
        <v>11.25</v>
      </c>
      <c r="L111" s="28" t="n">
        <v>120</v>
      </c>
      <c r="M111" s="28" t="n">
        <v>1</v>
      </c>
    </row>
    <row r="112" customFormat="false" ht="15" hidden="false" customHeight="false" outlineLevel="0" collapsed="false">
      <c r="A112" s="27" t="n">
        <v>43794</v>
      </c>
      <c r="B112" s="28" t="n">
        <v>2020</v>
      </c>
      <c r="C112" s="28" t="s">
        <v>172</v>
      </c>
      <c r="D112" s="28" t="s">
        <v>44</v>
      </c>
      <c r="E112" s="28" t="s">
        <v>294</v>
      </c>
      <c r="F112" s="28" t="s">
        <v>142</v>
      </c>
      <c r="G112" s="28" t="s">
        <v>156</v>
      </c>
      <c r="H112" s="28" t="s">
        <v>285</v>
      </c>
      <c r="I112" s="29" t="n">
        <v>175000</v>
      </c>
      <c r="J112" s="29" t="n">
        <v>131250</v>
      </c>
      <c r="K112" s="28" t="n">
        <v>5.75</v>
      </c>
      <c r="L112" s="28" t="n">
        <v>300</v>
      </c>
      <c r="M112" s="28" t="n">
        <v>0</v>
      </c>
    </row>
    <row r="113" customFormat="false" ht="15" hidden="false" customHeight="false" outlineLevel="0" collapsed="false">
      <c r="A113" s="27" t="n">
        <v>43794</v>
      </c>
      <c r="B113" s="28" t="n">
        <v>2020</v>
      </c>
      <c r="C113" s="28" t="s">
        <v>166</v>
      </c>
      <c r="D113" s="28" t="s">
        <v>50</v>
      </c>
      <c r="E113" s="28" t="s">
        <v>193</v>
      </c>
      <c r="F113" s="28" t="s">
        <v>142</v>
      </c>
      <c r="G113" s="28" t="s">
        <v>152</v>
      </c>
      <c r="H113" s="28" t="s">
        <v>279</v>
      </c>
      <c r="I113" s="29" t="n">
        <v>1475000</v>
      </c>
      <c r="J113" s="29" t="n">
        <v>1106250</v>
      </c>
      <c r="K113" s="28" t="n">
        <v>6.75</v>
      </c>
      <c r="L113" s="28" t="n">
        <v>120</v>
      </c>
      <c r="M113" s="28" t="n">
        <v>40</v>
      </c>
    </row>
    <row r="114" customFormat="false" ht="15" hidden="false" customHeight="false" outlineLevel="0" collapsed="false">
      <c r="A114" s="27" t="n">
        <v>43794</v>
      </c>
      <c r="B114" s="28" t="n">
        <v>2020</v>
      </c>
      <c r="C114" s="28" t="s">
        <v>145</v>
      </c>
      <c r="D114" s="28" t="s">
        <v>48</v>
      </c>
      <c r="E114" s="28" t="s">
        <v>295</v>
      </c>
      <c r="F114" s="28" t="s">
        <v>142</v>
      </c>
      <c r="G114" s="28" t="s">
        <v>148</v>
      </c>
      <c r="H114" s="28" t="s">
        <v>165</v>
      </c>
      <c r="I114" s="29" t="n">
        <v>66400</v>
      </c>
      <c r="J114" s="29" t="n">
        <v>56440</v>
      </c>
      <c r="K114" s="28" t="n">
        <v>7.5</v>
      </c>
      <c r="L114" s="28" t="n">
        <v>120</v>
      </c>
      <c r="M114" s="28" t="n">
        <v>7</v>
      </c>
    </row>
    <row r="115" customFormat="false" ht="15" hidden="false" customHeight="false" outlineLevel="0" collapsed="false">
      <c r="A115" s="27" t="n">
        <v>43794</v>
      </c>
      <c r="B115" s="28" t="n">
        <v>2020</v>
      </c>
      <c r="C115" s="28" t="s">
        <v>145</v>
      </c>
      <c r="D115" s="28" t="s">
        <v>48</v>
      </c>
      <c r="E115" s="28" t="s">
        <v>295</v>
      </c>
      <c r="F115" s="28" t="s">
        <v>147</v>
      </c>
      <c r="G115" s="28" t="s">
        <v>148</v>
      </c>
      <c r="H115" s="28" t="s">
        <v>165</v>
      </c>
      <c r="I115" s="29" t="n">
        <v>225000</v>
      </c>
      <c r="J115" s="29" t="n">
        <v>112500</v>
      </c>
      <c r="K115" s="28" t="n">
        <v>7.5</v>
      </c>
      <c r="L115" s="28" t="n">
        <v>84</v>
      </c>
      <c r="M115" s="28" t="n">
        <v>7</v>
      </c>
    </row>
    <row r="116" customFormat="false" ht="15" hidden="false" customHeight="false" outlineLevel="0" collapsed="false">
      <c r="A116" s="27" t="n">
        <v>43794</v>
      </c>
      <c r="B116" s="28" t="n">
        <v>2020</v>
      </c>
      <c r="C116" s="28" t="s">
        <v>209</v>
      </c>
      <c r="D116" s="28" t="s">
        <v>48</v>
      </c>
      <c r="E116" s="28" t="s">
        <v>212</v>
      </c>
      <c r="F116" s="28" t="s">
        <v>142</v>
      </c>
      <c r="G116" s="28" t="s">
        <v>148</v>
      </c>
      <c r="H116" s="28" t="s">
        <v>171</v>
      </c>
      <c r="I116" s="29" t="n">
        <v>130000</v>
      </c>
      <c r="J116" s="29" t="n">
        <v>110500</v>
      </c>
      <c r="K116" s="28" t="n">
        <v>7.5</v>
      </c>
      <c r="L116" s="28" t="n">
        <v>120</v>
      </c>
      <c r="M116" s="28" t="n">
        <v>1</v>
      </c>
    </row>
    <row r="117" customFormat="false" ht="15" hidden="false" customHeight="false" outlineLevel="0" collapsed="false">
      <c r="A117" s="27" t="n">
        <v>43794</v>
      </c>
      <c r="B117" s="28" t="n">
        <v>2020</v>
      </c>
      <c r="C117" s="28" t="s">
        <v>169</v>
      </c>
      <c r="D117" s="28" t="s">
        <v>56</v>
      </c>
      <c r="E117" s="28" t="s">
        <v>296</v>
      </c>
      <c r="F117" s="28" t="s">
        <v>142</v>
      </c>
      <c r="G117" s="28" t="s">
        <v>148</v>
      </c>
      <c r="H117" s="28" t="s">
        <v>171</v>
      </c>
      <c r="I117" s="29" t="n">
        <v>150000</v>
      </c>
      <c r="J117" s="29" t="n">
        <v>127500</v>
      </c>
      <c r="K117" s="28" t="n">
        <v>7.5</v>
      </c>
      <c r="L117" s="28" t="n">
        <v>120</v>
      </c>
      <c r="M117" s="28" t="n">
        <v>4</v>
      </c>
    </row>
    <row r="118" customFormat="false" ht="15" hidden="false" customHeight="false" outlineLevel="0" collapsed="false">
      <c r="A118" s="27" t="n">
        <v>43795</v>
      </c>
      <c r="B118" s="28" t="n">
        <v>2020</v>
      </c>
      <c r="C118" s="28" t="s">
        <v>160</v>
      </c>
      <c r="D118" s="28" t="s">
        <v>42</v>
      </c>
      <c r="E118" s="28" t="s">
        <v>180</v>
      </c>
      <c r="F118" s="28" t="s">
        <v>142</v>
      </c>
      <c r="G118" s="28" t="s">
        <v>143</v>
      </c>
      <c r="H118" s="28" t="s">
        <v>227</v>
      </c>
      <c r="I118" s="29" t="n">
        <v>298000</v>
      </c>
      <c r="J118" s="29" t="n">
        <v>223500</v>
      </c>
      <c r="K118" s="28" t="n">
        <v>7.5</v>
      </c>
      <c r="L118" s="28" t="n">
        <v>120</v>
      </c>
      <c r="M118" s="28" t="n">
        <v>9</v>
      </c>
    </row>
    <row r="119" customFormat="false" ht="15" hidden="false" customHeight="false" outlineLevel="0" collapsed="false">
      <c r="A119" s="27" t="n">
        <v>43796</v>
      </c>
      <c r="B119" s="28" t="n">
        <v>2020</v>
      </c>
      <c r="C119" s="28" t="s">
        <v>172</v>
      </c>
      <c r="D119" s="28" t="s">
        <v>44</v>
      </c>
      <c r="E119" s="28" t="s">
        <v>297</v>
      </c>
      <c r="F119" s="28" t="s">
        <v>147</v>
      </c>
      <c r="G119" s="28" t="s">
        <v>148</v>
      </c>
      <c r="H119" s="28" t="s">
        <v>159</v>
      </c>
      <c r="I119" s="29" t="n">
        <v>75000</v>
      </c>
      <c r="J119" s="29" t="n">
        <v>37500</v>
      </c>
      <c r="K119" s="28" t="n">
        <v>9.25</v>
      </c>
      <c r="L119" s="28" t="n">
        <v>120</v>
      </c>
      <c r="M119" s="28" t="n">
        <v>5</v>
      </c>
    </row>
    <row r="120" customFormat="false" ht="15" hidden="false" customHeight="false" outlineLevel="0" collapsed="false">
      <c r="A120" s="27" t="n">
        <v>43798</v>
      </c>
      <c r="B120" s="28" t="n">
        <v>2020</v>
      </c>
      <c r="C120" s="28" t="s">
        <v>198</v>
      </c>
      <c r="D120" s="28" t="s">
        <v>45</v>
      </c>
      <c r="E120" s="28" t="s">
        <v>222</v>
      </c>
      <c r="F120" s="28" t="s">
        <v>142</v>
      </c>
      <c r="G120" s="28" t="s">
        <v>148</v>
      </c>
      <c r="H120" s="28" t="s">
        <v>229</v>
      </c>
      <c r="I120" s="29" t="n">
        <v>250000</v>
      </c>
      <c r="J120" s="29" t="n">
        <v>187500</v>
      </c>
      <c r="K120" s="28" t="n">
        <v>7.5</v>
      </c>
      <c r="L120" s="28" t="n">
        <v>120</v>
      </c>
      <c r="M120" s="28" t="n">
        <v>3</v>
      </c>
    </row>
    <row r="121" customFormat="false" ht="15" hidden="false" customHeight="false" outlineLevel="0" collapsed="false">
      <c r="A121" s="27" t="n">
        <v>43801</v>
      </c>
      <c r="B121" s="28" t="n">
        <v>2020</v>
      </c>
      <c r="C121" s="28" t="s">
        <v>172</v>
      </c>
      <c r="D121" s="28" t="s">
        <v>46</v>
      </c>
      <c r="E121" s="28" t="s">
        <v>298</v>
      </c>
      <c r="F121" s="28" t="s">
        <v>147</v>
      </c>
      <c r="G121" s="28" t="s">
        <v>148</v>
      </c>
      <c r="H121" s="28" t="s">
        <v>149</v>
      </c>
      <c r="I121" s="29" t="n">
        <v>100000</v>
      </c>
      <c r="J121" s="29" t="n">
        <v>50000</v>
      </c>
      <c r="K121" s="28" t="n">
        <v>8</v>
      </c>
      <c r="L121" s="28" t="n">
        <v>120</v>
      </c>
      <c r="M121" s="28" t="n">
        <v>10</v>
      </c>
    </row>
    <row r="122" customFormat="false" ht="15" hidden="false" customHeight="false" outlineLevel="0" collapsed="false">
      <c r="A122" s="27" t="n">
        <v>43801</v>
      </c>
      <c r="B122" s="28" t="n">
        <v>2020</v>
      </c>
      <c r="C122" s="28" t="s">
        <v>172</v>
      </c>
      <c r="D122" s="28" t="s">
        <v>43</v>
      </c>
      <c r="E122" s="28" t="s">
        <v>189</v>
      </c>
      <c r="F122" s="28" t="s">
        <v>142</v>
      </c>
      <c r="G122" s="28" t="s">
        <v>143</v>
      </c>
      <c r="H122" s="28" t="s">
        <v>299</v>
      </c>
      <c r="I122" s="29" t="n">
        <v>454000</v>
      </c>
      <c r="J122" s="29" t="n">
        <v>340500</v>
      </c>
      <c r="K122" s="28" t="n">
        <v>7.75</v>
      </c>
      <c r="L122" s="28" t="n">
        <v>123</v>
      </c>
      <c r="M122" s="28" t="n">
        <v>4</v>
      </c>
    </row>
    <row r="123" customFormat="false" ht="15" hidden="false" customHeight="false" outlineLevel="0" collapsed="false">
      <c r="A123" s="27" t="n">
        <v>43801</v>
      </c>
      <c r="B123" s="28" t="n">
        <v>2020</v>
      </c>
      <c r="C123" s="28" t="s">
        <v>300</v>
      </c>
      <c r="D123" s="28" t="s">
        <v>44</v>
      </c>
      <c r="E123" s="28" t="s">
        <v>301</v>
      </c>
      <c r="F123" s="28" t="s">
        <v>147</v>
      </c>
      <c r="G123" s="28" t="s">
        <v>148</v>
      </c>
      <c r="H123" s="28" t="s">
        <v>221</v>
      </c>
      <c r="I123" s="29" t="n">
        <v>25000</v>
      </c>
      <c r="J123" s="29" t="n">
        <v>12500</v>
      </c>
      <c r="K123" s="28" t="n">
        <v>9.25</v>
      </c>
      <c r="L123" s="28" t="n">
        <v>84</v>
      </c>
      <c r="M123" s="28" t="n">
        <v>0</v>
      </c>
    </row>
    <row r="124" customFormat="false" ht="15" hidden="false" customHeight="false" outlineLevel="0" collapsed="false">
      <c r="A124" s="27" t="n">
        <v>43801</v>
      </c>
      <c r="B124" s="28" t="n">
        <v>2020</v>
      </c>
      <c r="C124" s="28" t="s">
        <v>175</v>
      </c>
      <c r="D124" s="28" t="s">
        <v>46</v>
      </c>
      <c r="E124" s="28" t="s">
        <v>276</v>
      </c>
      <c r="F124" s="28" t="s">
        <v>194</v>
      </c>
      <c r="G124" s="28" t="s">
        <v>143</v>
      </c>
      <c r="H124" s="28" t="s">
        <v>302</v>
      </c>
      <c r="I124" s="29" t="n">
        <v>536300</v>
      </c>
      <c r="J124" s="29" t="n">
        <v>402225</v>
      </c>
      <c r="K124" s="28" t="n">
        <v>8</v>
      </c>
      <c r="L124" s="28" t="n">
        <v>126</v>
      </c>
      <c r="M124" s="28" t="n">
        <v>27</v>
      </c>
    </row>
    <row r="125" customFormat="false" ht="15" hidden="false" customHeight="false" outlineLevel="0" collapsed="false">
      <c r="A125" s="27" t="n">
        <v>43802</v>
      </c>
      <c r="B125" s="28" t="n">
        <v>2020</v>
      </c>
      <c r="C125" s="28" t="s">
        <v>209</v>
      </c>
      <c r="D125" s="28" t="s">
        <v>45</v>
      </c>
      <c r="E125" s="28" t="s">
        <v>253</v>
      </c>
      <c r="F125" s="28" t="s">
        <v>142</v>
      </c>
      <c r="G125" s="28" t="s">
        <v>156</v>
      </c>
      <c r="H125" s="28" t="s">
        <v>229</v>
      </c>
      <c r="I125" s="29" t="n">
        <v>350000</v>
      </c>
      <c r="J125" s="29" t="n">
        <v>262500</v>
      </c>
      <c r="K125" s="28" t="n">
        <v>7.5</v>
      </c>
      <c r="L125" s="28" t="n">
        <v>120</v>
      </c>
      <c r="M125" s="28" t="n">
        <v>1</v>
      </c>
    </row>
    <row r="126" customFormat="false" ht="15" hidden="false" customHeight="false" outlineLevel="0" collapsed="false">
      <c r="A126" s="27" t="n">
        <v>43802</v>
      </c>
      <c r="B126" s="28" t="n">
        <v>2020</v>
      </c>
      <c r="C126" s="28" t="s">
        <v>198</v>
      </c>
      <c r="D126" s="28" t="s">
        <v>46</v>
      </c>
      <c r="E126" s="28" t="s">
        <v>298</v>
      </c>
      <c r="F126" s="28" t="s">
        <v>147</v>
      </c>
      <c r="G126" s="28" t="s">
        <v>148</v>
      </c>
      <c r="H126" s="28" t="s">
        <v>144</v>
      </c>
      <c r="I126" s="29" t="n">
        <v>250000</v>
      </c>
      <c r="J126" s="29" t="n">
        <v>125000</v>
      </c>
      <c r="K126" s="28" t="n">
        <v>7</v>
      </c>
      <c r="L126" s="28" t="n">
        <v>120</v>
      </c>
      <c r="M126" s="28" t="n">
        <v>0</v>
      </c>
    </row>
    <row r="127" customFormat="false" ht="15" hidden="false" customHeight="false" outlineLevel="0" collapsed="false">
      <c r="A127" s="27" t="n">
        <v>43803</v>
      </c>
      <c r="B127" s="28" t="n">
        <v>2020</v>
      </c>
      <c r="C127" s="28" t="s">
        <v>303</v>
      </c>
      <c r="D127" s="28" t="s">
        <v>48</v>
      </c>
      <c r="E127" s="28" t="s">
        <v>304</v>
      </c>
      <c r="F127" s="28" t="s">
        <v>147</v>
      </c>
      <c r="G127" s="28" t="s">
        <v>148</v>
      </c>
      <c r="H127" s="28" t="s">
        <v>165</v>
      </c>
      <c r="I127" s="29" t="n">
        <v>100000</v>
      </c>
      <c r="J127" s="29" t="n">
        <v>50000</v>
      </c>
      <c r="K127" s="28" t="n">
        <v>7</v>
      </c>
      <c r="L127" s="28" t="n">
        <v>84</v>
      </c>
      <c r="M127" s="28" t="n">
        <v>2</v>
      </c>
    </row>
    <row r="128" customFormat="false" ht="15" hidden="false" customHeight="false" outlineLevel="0" collapsed="false">
      <c r="A128" s="27" t="n">
        <v>43804</v>
      </c>
      <c r="B128" s="28" t="n">
        <v>2020</v>
      </c>
      <c r="C128" s="28" t="s">
        <v>213</v>
      </c>
      <c r="D128" s="28" t="s">
        <v>47</v>
      </c>
      <c r="E128" s="28" t="s">
        <v>305</v>
      </c>
      <c r="F128" s="28" t="s">
        <v>142</v>
      </c>
      <c r="G128" s="28" t="s">
        <v>143</v>
      </c>
      <c r="H128" s="28" t="s">
        <v>306</v>
      </c>
      <c r="I128" s="29" t="n">
        <v>297000</v>
      </c>
      <c r="J128" s="29" t="n">
        <v>222750</v>
      </c>
      <c r="K128" s="28" t="n">
        <v>6.5</v>
      </c>
      <c r="L128" s="28" t="n">
        <v>96</v>
      </c>
      <c r="M128" s="28" t="n">
        <v>12</v>
      </c>
    </row>
    <row r="129" customFormat="false" ht="15" hidden="false" customHeight="false" outlineLevel="0" collapsed="false">
      <c r="A129" s="27" t="n">
        <v>43804</v>
      </c>
      <c r="B129" s="28" t="n">
        <v>2020</v>
      </c>
      <c r="C129" s="28" t="s">
        <v>303</v>
      </c>
      <c r="D129" s="28" t="s">
        <v>42</v>
      </c>
      <c r="E129" s="28" t="s">
        <v>247</v>
      </c>
      <c r="F129" s="28" t="s">
        <v>142</v>
      </c>
      <c r="G129" s="28" t="s">
        <v>152</v>
      </c>
      <c r="H129" s="28" t="s">
        <v>307</v>
      </c>
      <c r="I129" s="29" t="n">
        <v>2950000</v>
      </c>
      <c r="J129" s="29" t="n">
        <v>2212500</v>
      </c>
      <c r="K129" s="28" t="n">
        <v>6.75</v>
      </c>
      <c r="L129" s="28" t="n">
        <v>300</v>
      </c>
      <c r="M129" s="28" t="n">
        <v>15</v>
      </c>
    </row>
    <row r="130" customFormat="false" ht="15" hidden="false" customHeight="false" outlineLevel="0" collapsed="false">
      <c r="A130" s="27" t="n">
        <v>43804</v>
      </c>
      <c r="B130" s="28" t="n">
        <v>2020</v>
      </c>
      <c r="C130" s="28" t="s">
        <v>308</v>
      </c>
      <c r="D130" s="28" t="s">
        <v>43</v>
      </c>
      <c r="E130" s="28" t="s">
        <v>219</v>
      </c>
      <c r="F130" s="28" t="s">
        <v>142</v>
      </c>
      <c r="G130" s="28" t="s">
        <v>148</v>
      </c>
      <c r="H130" s="28" t="s">
        <v>285</v>
      </c>
      <c r="I130" s="29" t="n">
        <v>200000</v>
      </c>
      <c r="J130" s="29" t="n">
        <v>150000</v>
      </c>
      <c r="K130" s="28" t="n">
        <v>6</v>
      </c>
      <c r="L130" s="28" t="n">
        <v>300</v>
      </c>
      <c r="M130" s="28" t="n">
        <v>4</v>
      </c>
    </row>
    <row r="131" customFormat="false" ht="15" hidden="false" customHeight="false" outlineLevel="0" collapsed="false">
      <c r="A131" s="27" t="n">
        <v>43805</v>
      </c>
      <c r="B131" s="28" t="n">
        <v>2020</v>
      </c>
      <c r="C131" s="28" t="s">
        <v>213</v>
      </c>
      <c r="D131" s="28" t="s">
        <v>47</v>
      </c>
      <c r="E131" s="28" t="s">
        <v>305</v>
      </c>
      <c r="F131" s="28" t="s">
        <v>147</v>
      </c>
      <c r="G131" s="28" t="s">
        <v>143</v>
      </c>
      <c r="H131" s="28" t="s">
        <v>306</v>
      </c>
      <c r="I131" s="29" t="n">
        <v>20000</v>
      </c>
      <c r="J131" s="29" t="n">
        <v>10000</v>
      </c>
      <c r="K131" s="28" t="n">
        <v>6.5</v>
      </c>
      <c r="L131" s="28" t="n">
        <v>120</v>
      </c>
      <c r="M131" s="28" t="n">
        <v>12</v>
      </c>
    </row>
    <row r="132" customFormat="false" ht="15" hidden="false" customHeight="false" outlineLevel="0" collapsed="false">
      <c r="A132" s="27" t="n">
        <v>43805</v>
      </c>
      <c r="B132" s="28" t="n">
        <v>2020</v>
      </c>
      <c r="C132" s="28" t="s">
        <v>172</v>
      </c>
      <c r="D132" s="28" t="s">
        <v>48</v>
      </c>
      <c r="E132" s="28" t="s">
        <v>309</v>
      </c>
      <c r="F132" s="28" t="s">
        <v>142</v>
      </c>
      <c r="G132" s="28" t="s">
        <v>152</v>
      </c>
      <c r="H132" s="28" t="s">
        <v>144</v>
      </c>
      <c r="I132" s="29" t="n">
        <v>490000</v>
      </c>
      <c r="J132" s="29" t="n">
        <v>367500</v>
      </c>
      <c r="K132" s="28" t="n">
        <v>6.75</v>
      </c>
      <c r="L132" s="28" t="n">
        <v>120</v>
      </c>
      <c r="M132" s="28" t="n">
        <v>2</v>
      </c>
    </row>
    <row r="133" customFormat="false" ht="15" hidden="false" customHeight="false" outlineLevel="0" collapsed="false">
      <c r="A133" s="27" t="n">
        <v>43805</v>
      </c>
      <c r="B133" s="28" t="n">
        <v>2020</v>
      </c>
      <c r="C133" s="28" t="s">
        <v>310</v>
      </c>
      <c r="D133" s="28" t="s">
        <v>43</v>
      </c>
      <c r="E133" s="28" t="s">
        <v>311</v>
      </c>
      <c r="F133" s="28" t="s">
        <v>147</v>
      </c>
      <c r="G133" s="28" t="s">
        <v>148</v>
      </c>
      <c r="H133" s="28" t="s">
        <v>306</v>
      </c>
      <c r="I133" s="29" t="n">
        <v>11500</v>
      </c>
      <c r="J133" s="29" t="n">
        <v>5750</v>
      </c>
      <c r="K133" s="28" t="n">
        <v>6.25</v>
      </c>
      <c r="L133" s="28" t="n">
        <v>120</v>
      </c>
      <c r="M133" s="28" t="n">
        <v>1</v>
      </c>
    </row>
    <row r="134" customFormat="false" ht="15" hidden="false" customHeight="false" outlineLevel="0" collapsed="false">
      <c r="A134" s="27" t="n">
        <v>43808</v>
      </c>
      <c r="B134" s="28" t="n">
        <v>2020</v>
      </c>
      <c r="C134" s="28" t="s">
        <v>312</v>
      </c>
      <c r="D134" s="28" t="s">
        <v>47</v>
      </c>
      <c r="E134" s="28" t="s">
        <v>313</v>
      </c>
      <c r="F134" s="28" t="s">
        <v>147</v>
      </c>
      <c r="G134" s="28" t="s">
        <v>148</v>
      </c>
      <c r="H134" s="28" t="s">
        <v>314</v>
      </c>
      <c r="I134" s="29" t="n">
        <v>350000</v>
      </c>
      <c r="J134" s="29" t="n">
        <v>175000</v>
      </c>
      <c r="K134" s="28" t="n">
        <v>6.25</v>
      </c>
      <c r="L134" s="28" t="n">
        <v>120</v>
      </c>
      <c r="M134" s="28" t="n">
        <v>200</v>
      </c>
    </row>
    <row r="135" customFormat="false" ht="15" hidden="false" customHeight="false" outlineLevel="0" collapsed="false">
      <c r="A135" s="27" t="n">
        <v>43808</v>
      </c>
      <c r="B135" s="28" t="n">
        <v>2020</v>
      </c>
      <c r="C135" s="28" t="s">
        <v>172</v>
      </c>
      <c r="D135" s="28" t="s">
        <v>46</v>
      </c>
      <c r="E135" s="28" t="s">
        <v>298</v>
      </c>
      <c r="F135" s="28" t="s">
        <v>142</v>
      </c>
      <c r="G135" s="28" t="s">
        <v>148</v>
      </c>
      <c r="H135" s="28" t="s">
        <v>229</v>
      </c>
      <c r="I135" s="29" t="n">
        <v>350000</v>
      </c>
      <c r="J135" s="29" t="n">
        <v>262500</v>
      </c>
      <c r="K135" s="28" t="n">
        <v>7.5</v>
      </c>
      <c r="L135" s="28" t="n">
        <v>120</v>
      </c>
      <c r="M135" s="28" t="n">
        <v>8</v>
      </c>
    </row>
    <row r="136" customFormat="false" ht="15" hidden="false" customHeight="false" outlineLevel="0" collapsed="false">
      <c r="A136" s="27" t="n">
        <v>43808</v>
      </c>
      <c r="B136" s="28" t="n">
        <v>2020</v>
      </c>
      <c r="C136" s="28" t="s">
        <v>238</v>
      </c>
      <c r="D136" s="28" t="s">
        <v>43</v>
      </c>
      <c r="E136" s="28" t="s">
        <v>274</v>
      </c>
      <c r="F136" s="28" t="s">
        <v>142</v>
      </c>
      <c r="G136" s="28" t="s">
        <v>148</v>
      </c>
      <c r="H136" s="28" t="s">
        <v>275</v>
      </c>
      <c r="I136" s="29" t="n">
        <v>350000</v>
      </c>
      <c r="J136" s="29" t="n">
        <v>262500</v>
      </c>
      <c r="K136" s="28" t="n">
        <v>7.5</v>
      </c>
      <c r="L136" s="28" t="n">
        <v>120</v>
      </c>
      <c r="M136" s="28" t="n">
        <v>34</v>
      </c>
    </row>
    <row r="137" customFormat="false" ht="15" hidden="false" customHeight="false" outlineLevel="0" collapsed="false">
      <c r="A137" s="27" t="n">
        <v>43809</v>
      </c>
      <c r="B137" s="28" t="n">
        <v>2020</v>
      </c>
      <c r="C137" s="28" t="s">
        <v>235</v>
      </c>
      <c r="D137" s="28" t="s">
        <v>46</v>
      </c>
      <c r="E137" s="28" t="s">
        <v>315</v>
      </c>
      <c r="F137" s="28" t="s">
        <v>147</v>
      </c>
      <c r="G137" s="28" t="s">
        <v>148</v>
      </c>
      <c r="H137" s="28" t="s">
        <v>220</v>
      </c>
      <c r="I137" s="29" t="n">
        <v>90000</v>
      </c>
      <c r="J137" s="29" t="n">
        <v>45000</v>
      </c>
      <c r="K137" s="28" t="n">
        <v>6</v>
      </c>
      <c r="L137" s="28" t="n">
        <v>120</v>
      </c>
      <c r="M137" s="28" t="n">
        <v>10</v>
      </c>
    </row>
    <row r="138" customFormat="false" ht="15" hidden="false" customHeight="false" outlineLevel="0" collapsed="false">
      <c r="A138" s="27" t="n">
        <v>43809</v>
      </c>
      <c r="B138" s="28" t="n">
        <v>2020</v>
      </c>
      <c r="C138" s="28" t="s">
        <v>316</v>
      </c>
      <c r="D138" s="28" t="s">
        <v>43</v>
      </c>
      <c r="E138" s="28" t="s">
        <v>317</v>
      </c>
      <c r="F138" s="28" t="s">
        <v>147</v>
      </c>
      <c r="G138" s="28" t="s">
        <v>156</v>
      </c>
      <c r="H138" s="28" t="s">
        <v>168</v>
      </c>
      <c r="I138" s="29" t="n">
        <v>17500</v>
      </c>
      <c r="J138" s="29" t="n">
        <v>8750</v>
      </c>
      <c r="K138" s="28" t="n">
        <v>10.75</v>
      </c>
      <c r="L138" s="28" t="n">
        <v>120</v>
      </c>
      <c r="M138" s="28" t="n">
        <v>0</v>
      </c>
    </row>
    <row r="139" customFormat="false" ht="15" hidden="false" customHeight="false" outlineLevel="0" collapsed="false">
      <c r="A139" s="27" t="n">
        <v>43810</v>
      </c>
      <c r="B139" s="28" t="n">
        <v>2020</v>
      </c>
      <c r="C139" s="28" t="s">
        <v>318</v>
      </c>
      <c r="D139" s="28" t="s">
        <v>42</v>
      </c>
      <c r="E139" s="28" t="s">
        <v>180</v>
      </c>
      <c r="F139" s="28" t="s">
        <v>142</v>
      </c>
      <c r="G139" s="28" t="s">
        <v>143</v>
      </c>
      <c r="H139" s="28" t="s">
        <v>208</v>
      </c>
      <c r="I139" s="29" t="n">
        <v>445000</v>
      </c>
      <c r="J139" s="29" t="n">
        <v>333750</v>
      </c>
      <c r="K139" s="28" t="n">
        <v>7.25</v>
      </c>
      <c r="L139" s="28" t="n">
        <v>124</v>
      </c>
      <c r="M139" s="28" t="n">
        <v>40</v>
      </c>
    </row>
    <row r="140" customFormat="false" ht="15" hidden="false" customHeight="false" outlineLevel="0" collapsed="false">
      <c r="A140" s="27" t="n">
        <v>43810</v>
      </c>
      <c r="B140" s="28" t="n">
        <v>2020</v>
      </c>
      <c r="C140" s="28" t="s">
        <v>196</v>
      </c>
      <c r="D140" s="28" t="s">
        <v>51</v>
      </c>
      <c r="E140" s="28" t="s">
        <v>319</v>
      </c>
      <c r="F140" s="28" t="s">
        <v>147</v>
      </c>
      <c r="G140" s="28" t="s">
        <v>148</v>
      </c>
      <c r="H140" s="28" t="s">
        <v>159</v>
      </c>
      <c r="I140" s="29" t="n">
        <v>50000</v>
      </c>
      <c r="J140" s="29" t="n">
        <v>25000</v>
      </c>
      <c r="K140" s="28" t="n">
        <v>9.25</v>
      </c>
      <c r="L140" s="28" t="n">
        <v>120</v>
      </c>
      <c r="M140" s="28" t="n">
        <v>0</v>
      </c>
    </row>
    <row r="141" customFormat="false" ht="15" hidden="false" customHeight="false" outlineLevel="0" collapsed="false">
      <c r="A141" s="27" t="n">
        <v>43810</v>
      </c>
      <c r="B141" s="28" t="n">
        <v>2020</v>
      </c>
      <c r="C141" s="28" t="s">
        <v>166</v>
      </c>
      <c r="D141" s="28" t="s">
        <v>46</v>
      </c>
      <c r="E141" s="28" t="s">
        <v>259</v>
      </c>
      <c r="F141" s="28" t="s">
        <v>147</v>
      </c>
      <c r="G141" s="28" t="s">
        <v>143</v>
      </c>
      <c r="H141" s="28" t="s">
        <v>320</v>
      </c>
      <c r="I141" s="29" t="n">
        <v>259300</v>
      </c>
      <c r="J141" s="29" t="n">
        <v>129650</v>
      </c>
      <c r="K141" s="28" t="n">
        <v>4.67</v>
      </c>
      <c r="L141" s="28" t="n">
        <v>120</v>
      </c>
      <c r="M141" s="28" t="n">
        <v>1</v>
      </c>
    </row>
    <row r="142" customFormat="false" ht="15" hidden="false" customHeight="false" outlineLevel="0" collapsed="false">
      <c r="A142" s="27" t="n">
        <v>43810</v>
      </c>
      <c r="B142" s="28" t="n">
        <v>2020</v>
      </c>
      <c r="C142" s="28" t="s">
        <v>166</v>
      </c>
      <c r="D142" s="28" t="s">
        <v>45</v>
      </c>
      <c r="E142" s="28" t="s">
        <v>202</v>
      </c>
      <c r="F142" s="28" t="s">
        <v>147</v>
      </c>
      <c r="G142" s="28" t="s">
        <v>148</v>
      </c>
      <c r="H142" s="28" t="s">
        <v>205</v>
      </c>
      <c r="I142" s="29" t="n">
        <v>50000</v>
      </c>
      <c r="J142" s="29" t="n">
        <v>25000</v>
      </c>
      <c r="K142" s="28" t="n">
        <v>10.54</v>
      </c>
      <c r="L142" s="28" t="n">
        <v>120</v>
      </c>
      <c r="M142" s="28" t="n">
        <v>1</v>
      </c>
    </row>
    <row r="143" customFormat="false" ht="15" hidden="false" customHeight="false" outlineLevel="0" collapsed="false">
      <c r="A143" s="27" t="n">
        <v>43810</v>
      </c>
      <c r="B143" s="28" t="n">
        <v>2020</v>
      </c>
      <c r="C143" s="28" t="s">
        <v>172</v>
      </c>
      <c r="D143" s="28" t="s">
        <v>51</v>
      </c>
      <c r="E143" s="28" t="s">
        <v>319</v>
      </c>
      <c r="F143" s="28" t="s">
        <v>147</v>
      </c>
      <c r="G143" s="28" t="s">
        <v>148</v>
      </c>
      <c r="H143" s="28" t="s">
        <v>159</v>
      </c>
      <c r="I143" s="29" t="n">
        <v>50000</v>
      </c>
      <c r="J143" s="29" t="n">
        <v>25000</v>
      </c>
      <c r="K143" s="28" t="n">
        <v>9.25</v>
      </c>
      <c r="L143" s="28" t="n">
        <v>120</v>
      </c>
      <c r="M143" s="28" t="n">
        <v>0</v>
      </c>
    </row>
    <row r="144" customFormat="false" ht="15" hidden="false" customHeight="false" outlineLevel="0" collapsed="false">
      <c r="A144" s="27" t="n">
        <v>43810</v>
      </c>
      <c r="B144" s="28" t="n">
        <v>2020</v>
      </c>
      <c r="C144" s="28" t="s">
        <v>213</v>
      </c>
      <c r="D144" s="28" t="s">
        <v>42</v>
      </c>
      <c r="E144" s="28" t="s">
        <v>164</v>
      </c>
      <c r="F144" s="28" t="s">
        <v>147</v>
      </c>
      <c r="G144" s="28" t="s">
        <v>143</v>
      </c>
      <c r="H144" s="28" t="s">
        <v>306</v>
      </c>
      <c r="I144" s="29" t="n">
        <v>25000</v>
      </c>
      <c r="J144" s="29" t="n">
        <v>12500</v>
      </c>
      <c r="K144" s="28" t="n">
        <v>6.75</v>
      </c>
      <c r="L144" s="28" t="n">
        <v>120</v>
      </c>
      <c r="M144" s="28" t="n">
        <v>11</v>
      </c>
    </row>
    <row r="145" customFormat="false" ht="15" hidden="false" customHeight="false" outlineLevel="0" collapsed="false">
      <c r="A145" s="27" t="n">
        <v>43810</v>
      </c>
      <c r="B145" s="28" t="n">
        <v>2020</v>
      </c>
      <c r="C145" s="28" t="s">
        <v>213</v>
      </c>
      <c r="D145" s="28" t="s">
        <v>42</v>
      </c>
      <c r="E145" s="28" t="s">
        <v>164</v>
      </c>
      <c r="F145" s="28" t="s">
        <v>142</v>
      </c>
      <c r="G145" s="28" t="s">
        <v>143</v>
      </c>
      <c r="H145" s="28" t="s">
        <v>306</v>
      </c>
      <c r="I145" s="29" t="n">
        <v>85000</v>
      </c>
      <c r="J145" s="29" t="n">
        <v>72250</v>
      </c>
      <c r="K145" s="28" t="n">
        <v>6.5</v>
      </c>
      <c r="L145" s="28" t="n">
        <v>60</v>
      </c>
      <c r="M145" s="28" t="n">
        <v>11</v>
      </c>
    </row>
    <row r="146" customFormat="false" ht="15" hidden="false" customHeight="false" outlineLevel="0" collapsed="false">
      <c r="A146" s="27" t="n">
        <v>43811</v>
      </c>
      <c r="B146" s="28" t="n">
        <v>2020</v>
      </c>
      <c r="C146" s="28" t="s">
        <v>321</v>
      </c>
      <c r="D146" s="28" t="s">
        <v>55</v>
      </c>
      <c r="E146" s="28" t="s">
        <v>322</v>
      </c>
      <c r="F146" s="28" t="s">
        <v>142</v>
      </c>
      <c r="G146" s="28" t="s">
        <v>148</v>
      </c>
      <c r="H146" s="28" t="s">
        <v>165</v>
      </c>
      <c r="I146" s="29" t="n">
        <v>5000000</v>
      </c>
      <c r="J146" s="29" t="n">
        <v>3750000</v>
      </c>
      <c r="K146" s="28" t="n">
        <v>4.49</v>
      </c>
      <c r="L146" s="28" t="n">
        <v>252</v>
      </c>
      <c r="M146" s="28" t="n">
        <v>24</v>
      </c>
    </row>
    <row r="147" customFormat="false" ht="15" hidden="false" customHeight="false" outlineLevel="0" collapsed="false">
      <c r="A147" s="27" t="n">
        <v>43811</v>
      </c>
      <c r="B147" s="28" t="n">
        <v>2020</v>
      </c>
      <c r="C147" s="28" t="s">
        <v>166</v>
      </c>
      <c r="D147" s="28" t="s">
        <v>53</v>
      </c>
      <c r="E147" s="28" t="s">
        <v>323</v>
      </c>
      <c r="F147" s="28" t="s">
        <v>147</v>
      </c>
      <c r="G147" s="28" t="s">
        <v>148</v>
      </c>
      <c r="H147" s="28" t="s">
        <v>278</v>
      </c>
      <c r="I147" s="29" t="n">
        <v>350000</v>
      </c>
      <c r="J147" s="29" t="n">
        <v>175000</v>
      </c>
      <c r="K147" s="28" t="n">
        <v>5.25</v>
      </c>
      <c r="L147" s="28" t="n">
        <v>120</v>
      </c>
      <c r="M147" s="28" t="n">
        <v>32</v>
      </c>
    </row>
    <row r="148" customFormat="false" ht="15" hidden="false" customHeight="false" outlineLevel="0" collapsed="false">
      <c r="A148" s="27" t="n">
        <v>43811</v>
      </c>
      <c r="B148" s="28" t="n">
        <v>2020</v>
      </c>
      <c r="C148" s="28" t="s">
        <v>166</v>
      </c>
      <c r="D148" s="28" t="s">
        <v>45</v>
      </c>
      <c r="E148" s="28" t="s">
        <v>199</v>
      </c>
      <c r="F148" s="28" t="s">
        <v>147</v>
      </c>
      <c r="G148" s="28" t="s">
        <v>148</v>
      </c>
      <c r="H148" s="28" t="s">
        <v>179</v>
      </c>
      <c r="I148" s="29" t="n">
        <v>100000</v>
      </c>
      <c r="J148" s="29" t="n">
        <v>50000</v>
      </c>
      <c r="K148" s="28" t="n">
        <v>7</v>
      </c>
      <c r="L148" s="28" t="n">
        <v>120</v>
      </c>
      <c r="M148" s="28" t="n">
        <v>6</v>
      </c>
    </row>
    <row r="149" customFormat="false" ht="15" hidden="false" customHeight="false" outlineLevel="0" collapsed="false">
      <c r="A149" s="27" t="n">
        <v>43811</v>
      </c>
      <c r="B149" s="28" t="n">
        <v>2020</v>
      </c>
      <c r="C149" s="28" t="s">
        <v>169</v>
      </c>
      <c r="D149" s="28" t="s">
        <v>51</v>
      </c>
      <c r="E149" s="28" t="s">
        <v>239</v>
      </c>
      <c r="F149" s="28" t="s">
        <v>147</v>
      </c>
      <c r="G149" s="28" t="s">
        <v>148</v>
      </c>
      <c r="H149" s="28" t="s">
        <v>191</v>
      </c>
      <c r="I149" s="29" t="n">
        <v>20000</v>
      </c>
      <c r="J149" s="29" t="n">
        <v>10000</v>
      </c>
      <c r="K149" s="28" t="n">
        <v>7.65</v>
      </c>
      <c r="L149" s="28" t="n">
        <v>107</v>
      </c>
      <c r="M149" s="28" t="n">
        <v>1</v>
      </c>
    </row>
    <row r="150" customFormat="false" ht="15" hidden="false" customHeight="false" outlineLevel="0" collapsed="false">
      <c r="A150" s="27" t="n">
        <v>43812</v>
      </c>
      <c r="B150" s="28" t="n">
        <v>2020</v>
      </c>
      <c r="C150" s="28" t="s">
        <v>324</v>
      </c>
      <c r="D150" s="28" t="s">
        <v>42</v>
      </c>
      <c r="E150" s="28" t="s">
        <v>247</v>
      </c>
      <c r="F150" s="28" t="s">
        <v>142</v>
      </c>
      <c r="G150" s="28" t="s">
        <v>143</v>
      </c>
      <c r="H150" s="28" t="s">
        <v>325</v>
      </c>
      <c r="I150" s="29" t="n">
        <v>2876000</v>
      </c>
      <c r="J150" s="29" t="n">
        <v>2157000</v>
      </c>
      <c r="K150" s="28" t="n">
        <v>6</v>
      </c>
      <c r="L150" s="28" t="n">
        <v>300</v>
      </c>
      <c r="M150" s="28" t="n">
        <v>8</v>
      </c>
    </row>
    <row r="151" customFormat="false" ht="15" hidden="false" customHeight="false" outlineLevel="0" collapsed="false">
      <c r="A151" s="27" t="n">
        <v>43812</v>
      </c>
      <c r="B151" s="28" t="n">
        <v>2020</v>
      </c>
      <c r="C151" s="28" t="s">
        <v>310</v>
      </c>
      <c r="D151" s="28" t="s">
        <v>42</v>
      </c>
      <c r="E151" s="28" t="s">
        <v>247</v>
      </c>
      <c r="F151" s="28" t="s">
        <v>142</v>
      </c>
      <c r="G151" s="28" t="s">
        <v>152</v>
      </c>
      <c r="H151" s="28" t="s">
        <v>326</v>
      </c>
      <c r="I151" s="29" t="n">
        <v>1565000</v>
      </c>
      <c r="J151" s="29" t="n">
        <v>1173750</v>
      </c>
      <c r="K151" s="28" t="n">
        <v>6.25</v>
      </c>
      <c r="L151" s="28" t="n">
        <v>300</v>
      </c>
      <c r="M151" s="28" t="n">
        <v>6</v>
      </c>
    </row>
    <row r="152" customFormat="false" ht="15" hidden="false" customHeight="false" outlineLevel="0" collapsed="false">
      <c r="A152" s="27" t="n">
        <v>43812</v>
      </c>
      <c r="B152" s="28" t="n">
        <v>2020</v>
      </c>
      <c r="C152" s="28" t="s">
        <v>203</v>
      </c>
      <c r="D152" s="28" t="s">
        <v>47</v>
      </c>
      <c r="E152" s="28" t="s">
        <v>327</v>
      </c>
      <c r="F152" s="28" t="s">
        <v>147</v>
      </c>
      <c r="G152" s="28" t="s">
        <v>148</v>
      </c>
      <c r="H152" s="28" t="s">
        <v>281</v>
      </c>
      <c r="I152" s="29" t="n">
        <v>300000</v>
      </c>
      <c r="J152" s="29" t="n">
        <v>270000</v>
      </c>
      <c r="K152" s="28" t="n">
        <v>7.5</v>
      </c>
      <c r="L152" s="28" t="n">
        <v>84</v>
      </c>
      <c r="M152" s="28" t="n">
        <v>13</v>
      </c>
    </row>
    <row r="153" customFormat="false" ht="15" hidden="false" customHeight="false" outlineLevel="0" collapsed="false">
      <c r="A153" s="27" t="n">
        <v>43812</v>
      </c>
      <c r="B153" s="28" t="n">
        <v>2020</v>
      </c>
      <c r="C153" s="28" t="s">
        <v>328</v>
      </c>
      <c r="D153" s="28" t="s">
        <v>50</v>
      </c>
      <c r="E153" s="28" t="s">
        <v>329</v>
      </c>
      <c r="F153" s="28" t="s">
        <v>194</v>
      </c>
      <c r="G153" s="28" t="s">
        <v>156</v>
      </c>
      <c r="H153" s="28" t="s">
        <v>278</v>
      </c>
      <c r="I153" s="29" t="n">
        <v>150000</v>
      </c>
      <c r="J153" s="29" t="n">
        <v>127500</v>
      </c>
      <c r="K153" s="28" t="n">
        <v>7.5</v>
      </c>
      <c r="L153" s="28" t="n">
        <v>120</v>
      </c>
      <c r="M153" s="28" t="n">
        <v>32</v>
      </c>
    </row>
    <row r="154" customFormat="false" ht="15" hidden="false" customHeight="false" outlineLevel="0" collapsed="false">
      <c r="A154" s="27" t="n">
        <v>43815</v>
      </c>
      <c r="B154" s="28" t="n">
        <v>2020</v>
      </c>
      <c r="C154" s="28" t="s">
        <v>206</v>
      </c>
      <c r="D154" s="28" t="s">
        <v>49</v>
      </c>
      <c r="E154" s="28" t="s">
        <v>330</v>
      </c>
      <c r="F154" s="28" t="s">
        <v>142</v>
      </c>
      <c r="G154" s="28" t="s">
        <v>148</v>
      </c>
      <c r="H154" s="28" t="s">
        <v>159</v>
      </c>
      <c r="I154" s="29" t="n">
        <v>1500000</v>
      </c>
      <c r="J154" s="29" t="n">
        <v>1350000</v>
      </c>
      <c r="K154" s="28" t="n">
        <v>5.81</v>
      </c>
      <c r="L154" s="28" t="n">
        <v>12</v>
      </c>
      <c r="M154" s="28" t="n">
        <v>21</v>
      </c>
    </row>
    <row r="155" customFormat="false" ht="15" hidden="false" customHeight="false" outlineLevel="0" collapsed="false">
      <c r="A155" s="27" t="n">
        <v>43815</v>
      </c>
      <c r="B155" s="28" t="n">
        <v>2020</v>
      </c>
      <c r="C155" s="28" t="s">
        <v>203</v>
      </c>
      <c r="D155" s="28" t="s">
        <v>42</v>
      </c>
      <c r="E155" s="28" t="s">
        <v>164</v>
      </c>
      <c r="F155" s="28" t="s">
        <v>142</v>
      </c>
      <c r="G155" s="28" t="s">
        <v>143</v>
      </c>
      <c r="H155" s="28" t="s">
        <v>159</v>
      </c>
      <c r="I155" s="29" t="n">
        <v>500000</v>
      </c>
      <c r="J155" s="29" t="n">
        <v>375000</v>
      </c>
      <c r="K155" s="28" t="n">
        <v>7.5</v>
      </c>
      <c r="L155" s="28" t="n">
        <v>129</v>
      </c>
      <c r="M155" s="28" t="n">
        <v>25</v>
      </c>
    </row>
    <row r="156" customFormat="false" ht="15" hidden="false" customHeight="false" outlineLevel="0" collapsed="false">
      <c r="A156" s="27" t="n">
        <v>43817</v>
      </c>
      <c r="B156" s="28" t="n">
        <v>2020</v>
      </c>
      <c r="C156" s="28" t="s">
        <v>209</v>
      </c>
      <c r="D156" s="28" t="s">
        <v>42</v>
      </c>
      <c r="E156" s="28" t="s">
        <v>176</v>
      </c>
      <c r="F156" s="28" t="s">
        <v>142</v>
      </c>
      <c r="G156" s="28" t="s">
        <v>143</v>
      </c>
      <c r="H156" s="28" t="s">
        <v>291</v>
      </c>
      <c r="I156" s="29" t="n">
        <v>180000</v>
      </c>
      <c r="J156" s="29" t="n">
        <v>135000</v>
      </c>
      <c r="K156" s="28" t="n">
        <v>4.25</v>
      </c>
      <c r="L156" s="28" t="n">
        <v>60</v>
      </c>
      <c r="M156" s="28" t="n">
        <v>3</v>
      </c>
    </row>
    <row r="157" customFormat="false" ht="15" hidden="false" customHeight="false" outlineLevel="0" collapsed="false">
      <c r="A157" s="27" t="n">
        <v>43817</v>
      </c>
      <c r="B157" s="28" t="n">
        <v>2020</v>
      </c>
      <c r="C157" s="28" t="s">
        <v>206</v>
      </c>
      <c r="D157" s="28" t="s">
        <v>44</v>
      </c>
      <c r="E157" s="28" t="s">
        <v>297</v>
      </c>
      <c r="F157" s="28" t="s">
        <v>142</v>
      </c>
      <c r="G157" s="28" t="s">
        <v>148</v>
      </c>
      <c r="H157" s="28" t="s">
        <v>171</v>
      </c>
      <c r="I157" s="29" t="n">
        <v>150000</v>
      </c>
      <c r="J157" s="29" t="n">
        <v>127500</v>
      </c>
      <c r="K157" s="28" t="n">
        <v>7.5</v>
      </c>
      <c r="L157" s="28" t="n">
        <v>120</v>
      </c>
      <c r="M157" s="28" t="n">
        <v>4</v>
      </c>
    </row>
    <row r="158" customFormat="false" ht="15" hidden="false" customHeight="false" outlineLevel="0" collapsed="false">
      <c r="A158" s="27" t="n">
        <v>43817</v>
      </c>
      <c r="B158" s="28" t="n">
        <v>2020</v>
      </c>
      <c r="C158" s="28" t="s">
        <v>172</v>
      </c>
      <c r="D158" s="28" t="s">
        <v>44</v>
      </c>
      <c r="E158" s="28" t="s">
        <v>331</v>
      </c>
      <c r="F158" s="28" t="s">
        <v>147</v>
      </c>
      <c r="G158" s="28" t="s">
        <v>148</v>
      </c>
      <c r="H158" s="28" t="s">
        <v>159</v>
      </c>
      <c r="I158" s="29" t="n">
        <v>100000</v>
      </c>
      <c r="J158" s="29" t="n">
        <v>50000</v>
      </c>
      <c r="K158" s="28" t="n">
        <v>9.25</v>
      </c>
      <c r="L158" s="28" t="n">
        <v>78</v>
      </c>
      <c r="M158" s="28" t="n">
        <v>27</v>
      </c>
    </row>
    <row r="159" customFormat="false" ht="15" hidden="false" customHeight="false" outlineLevel="0" collapsed="false">
      <c r="A159" s="27" t="n">
        <v>43818</v>
      </c>
      <c r="B159" s="28" t="n">
        <v>2020</v>
      </c>
      <c r="C159" s="28" t="s">
        <v>206</v>
      </c>
      <c r="D159" s="28" t="s">
        <v>43</v>
      </c>
      <c r="E159" s="28" t="s">
        <v>264</v>
      </c>
      <c r="F159" s="28" t="s">
        <v>147</v>
      </c>
      <c r="G159" s="28" t="s">
        <v>143</v>
      </c>
      <c r="H159" s="28" t="s">
        <v>159</v>
      </c>
      <c r="I159" s="29" t="n">
        <v>10000</v>
      </c>
      <c r="J159" s="29" t="n">
        <v>5000</v>
      </c>
      <c r="K159" s="28" t="n">
        <v>8.5</v>
      </c>
      <c r="L159" s="28" t="n">
        <v>60</v>
      </c>
      <c r="M159" s="28" t="n">
        <v>5</v>
      </c>
    </row>
    <row r="160" customFormat="false" ht="15" hidden="false" customHeight="false" outlineLevel="0" collapsed="false">
      <c r="A160" s="27" t="n">
        <v>43818</v>
      </c>
      <c r="B160" s="28" t="n">
        <v>2020</v>
      </c>
      <c r="C160" s="28" t="s">
        <v>160</v>
      </c>
      <c r="D160" s="28" t="s">
        <v>45</v>
      </c>
      <c r="E160" s="28" t="s">
        <v>202</v>
      </c>
      <c r="F160" s="28" t="s">
        <v>147</v>
      </c>
      <c r="G160" s="28" t="s">
        <v>156</v>
      </c>
      <c r="H160" s="28" t="s">
        <v>168</v>
      </c>
      <c r="I160" s="29" t="n">
        <v>5000</v>
      </c>
      <c r="J160" s="29" t="n">
        <v>2500</v>
      </c>
      <c r="K160" s="28" t="n">
        <v>11.25</v>
      </c>
      <c r="L160" s="28" t="n">
        <v>120</v>
      </c>
      <c r="M160" s="28" t="n">
        <v>1</v>
      </c>
    </row>
    <row r="161" customFormat="false" ht="15" hidden="false" customHeight="false" outlineLevel="0" collapsed="false">
      <c r="A161" s="27" t="n">
        <v>43818</v>
      </c>
      <c r="B161" s="28" t="n">
        <v>2020</v>
      </c>
      <c r="C161" s="28" t="s">
        <v>332</v>
      </c>
      <c r="D161" s="28" t="s">
        <v>45</v>
      </c>
      <c r="E161" s="28" t="s">
        <v>202</v>
      </c>
      <c r="F161" s="28" t="s">
        <v>142</v>
      </c>
      <c r="G161" s="28" t="s">
        <v>148</v>
      </c>
      <c r="H161" s="28" t="s">
        <v>171</v>
      </c>
      <c r="I161" s="29" t="n">
        <v>250000</v>
      </c>
      <c r="J161" s="29" t="n">
        <v>187500</v>
      </c>
      <c r="K161" s="28" t="n">
        <v>7.5</v>
      </c>
      <c r="L161" s="28" t="n">
        <v>120</v>
      </c>
      <c r="M161" s="28" t="n">
        <v>5</v>
      </c>
    </row>
    <row r="162" customFormat="false" ht="15" hidden="false" customHeight="false" outlineLevel="0" collapsed="false">
      <c r="A162" s="27" t="n">
        <v>43818</v>
      </c>
      <c r="B162" s="28" t="n">
        <v>2020</v>
      </c>
      <c r="C162" s="28" t="s">
        <v>206</v>
      </c>
      <c r="D162" s="28" t="s">
        <v>43</v>
      </c>
      <c r="E162" s="28" t="s">
        <v>264</v>
      </c>
      <c r="F162" s="28" t="s">
        <v>147</v>
      </c>
      <c r="G162" s="28" t="s">
        <v>143</v>
      </c>
      <c r="H162" s="28" t="s">
        <v>159</v>
      </c>
      <c r="I162" s="29" t="n">
        <v>125000</v>
      </c>
      <c r="J162" s="29" t="n">
        <v>62500</v>
      </c>
      <c r="K162" s="28" t="n">
        <v>8.5</v>
      </c>
      <c r="L162" s="28" t="n">
        <v>5</v>
      </c>
      <c r="M162" s="28" t="n">
        <v>5</v>
      </c>
    </row>
    <row r="163" customFormat="false" ht="15" hidden="false" customHeight="false" outlineLevel="0" collapsed="false">
      <c r="A163" s="27" t="n">
        <v>43819</v>
      </c>
      <c r="B163" s="28" t="n">
        <v>2020</v>
      </c>
      <c r="C163" s="28" t="s">
        <v>145</v>
      </c>
      <c r="D163" s="28" t="s">
        <v>52</v>
      </c>
      <c r="E163" s="28" t="s">
        <v>333</v>
      </c>
      <c r="F163" s="28" t="s">
        <v>142</v>
      </c>
      <c r="G163" s="28" t="s">
        <v>148</v>
      </c>
      <c r="H163" s="28" t="s">
        <v>334</v>
      </c>
      <c r="I163" s="29" t="n">
        <v>1320000</v>
      </c>
      <c r="J163" s="29" t="n">
        <v>990000</v>
      </c>
      <c r="K163" s="28" t="n">
        <v>7.5</v>
      </c>
      <c r="L163" s="28" t="n">
        <v>120</v>
      </c>
      <c r="M163" s="28" t="n">
        <v>9</v>
      </c>
    </row>
    <row r="164" customFormat="false" ht="15" hidden="false" customHeight="false" outlineLevel="0" collapsed="false">
      <c r="A164" s="27" t="n">
        <v>43819</v>
      </c>
      <c r="B164" s="28" t="n">
        <v>2020</v>
      </c>
      <c r="C164" s="28" t="s">
        <v>198</v>
      </c>
      <c r="D164" s="28" t="s">
        <v>51</v>
      </c>
      <c r="E164" s="28" t="s">
        <v>335</v>
      </c>
      <c r="F164" s="28" t="s">
        <v>142</v>
      </c>
      <c r="G164" s="28" t="s">
        <v>148</v>
      </c>
      <c r="H164" s="28" t="s">
        <v>211</v>
      </c>
      <c r="I164" s="29" t="n">
        <v>200000</v>
      </c>
      <c r="J164" s="29" t="n">
        <v>150000</v>
      </c>
      <c r="K164" s="28" t="n">
        <v>7.5</v>
      </c>
      <c r="L164" s="28" t="n">
        <v>120</v>
      </c>
      <c r="M164" s="28" t="n">
        <v>3</v>
      </c>
    </row>
    <row r="165" customFormat="false" ht="15" hidden="false" customHeight="false" outlineLevel="0" collapsed="false">
      <c r="A165" s="27" t="n">
        <v>43822</v>
      </c>
      <c r="B165" s="28" t="n">
        <v>2020</v>
      </c>
      <c r="C165" s="28" t="s">
        <v>172</v>
      </c>
      <c r="D165" s="28" t="s">
        <v>42</v>
      </c>
      <c r="E165" s="28" t="s">
        <v>180</v>
      </c>
      <c r="F165" s="28" t="s">
        <v>142</v>
      </c>
      <c r="G165" s="28" t="s">
        <v>152</v>
      </c>
      <c r="H165" s="28" t="s">
        <v>221</v>
      </c>
      <c r="I165" s="29" t="n">
        <v>150000</v>
      </c>
      <c r="J165" s="29" t="n">
        <v>127500</v>
      </c>
      <c r="K165" s="28" t="n">
        <v>7.5</v>
      </c>
      <c r="L165" s="28" t="n">
        <v>120</v>
      </c>
      <c r="M165" s="28" t="n">
        <v>23</v>
      </c>
    </row>
    <row r="166" customFormat="false" ht="15" hidden="false" customHeight="false" outlineLevel="0" collapsed="false">
      <c r="A166" s="27" t="n">
        <v>43822</v>
      </c>
      <c r="B166" s="28" t="n">
        <v>2020</v>
      </c>
      <c r="C166" s="28" t="s">
        <v>172</v>
      </c>
      <c r="D166" s="28" t="s">
        <v>45</v>
      </c>
      <c r="E166" s="28" t="s">
        <v>336</v>
      </c>
      <c r="F166" s="28" t="s">
        <v>147</v>
      </c>
      <c r="G166" s="28" t="s">
        <v>143</v>
      </c>
      <c r="H166" s="28" t="s">
        <v>159</v>
      </c>
      <c r="I166" s="29" t="n">
        <v>30000</v>
      </c>
      <c r="J166" s="29" t="n">
        <v>15000</v>
      </c>
      <c r="K166" s="28" t="n">
        <v>7</v>
      </c>
      <c r="L166" s="28" t="n">
        <v>120</v>
      </c>
      <c r="M166" s="28" t="n">
        <v>1</v>
      </c>
    </row>
    <row r="167" customFormat="false" ht="15" hidden="false" customHeight="false" outlineLevel="0" collapsed="false">
      <c r="A167" s="27" t="n">
        <v>43822</v>
      </c>
      <c r="B167" s="28" t="n">
        <v>2020</v>
      </c>
      <c r="C167" s="28" t="s">
        <v>272</v>
      </c>
      <c r="D167" s="28" t="s">
        <v>42</v>
      </c>
      <c r="E167" s="28" t="s">
        <v>164</v>
      </c>
      <c r="F167" s="28" t="s">
        <v>194</v>
      </c>
      <c r="G167" s="28" t="s">
        <v>143</v>
      </c>
      <c r="H167" s="28" t="s">
        <v>255</v>
      </c>
      <c r="I167" s="29" t="n">
        <v>405000</v>
      </c>
      <c r="J167" s="29" t="n">
        <v>303750</v>
      </c>
      <c r="K167" s="28" t="n">
        <v>7.5</v>
      </c>
      <c r="L167" s="28" t="n">
        <v>120</v>
      </c>
      <c r="M167" s="28" t="n">
        <v>18</v>
      </c>
    </row>
    <row r="168" customFormat="false" ht="15" hidden="false" customHeight="false" outlineLevel="0" collapsed="false">
      <c r="A168" s="27" t="n">
        <v>43823</v>
      </c>
      <c r="B168" s="28" t="n">
        <v>2020</v>
      </c>
      <c r="C168" s="28" t="s">
        <v>172</v>
      </c>
      <c r="D168" s="28" t="s">
        <v>44</v>
      </c>
      <c r="E168" s="28" t="s">
        <v>167</v>
      </c>
      <c r="F168" s="28" t="s">
        <v>147</v>
      </c>
      <c r="G168" s="28" t="s">
        <v>148</v>
      </c>
      <c r="H168" s="28" t="s">
        <v>165</v>
      </c>
      <c r="I168" s="29" t="n">
        <v>100000</v>
      </c>
      <c r="J168" s="29" t="n">
        <v>50000</v>
      </c>
      <c r="K168" s="28" t="n">
        <v>6.75</v>
      </c>
      <c r="L168" s="28" t="n">
        <v>84</v>
      </c>
      <c r="M168" s="28" t="n">
        <v>100</v>
      </c>
    </row>
    <row r="169" customFormat="false" ht="15" hidden="false" customHeight="false" outlineLevel="0" collapsed="false">
      <c r="A169" s="27" t="n">
        <v>43823</v>
      </c>
      <c r="B169" s="28" t="n">
        <v>2020</v>
      </c>
      <c r="C169" s="28" t="s">
        <v>172</v>
      </c>
      <c r="D169" s="28" t="s">
        <v>44</v>
      </c>
      <c r="E169" s="28" t="s">
        <v>167</v>
      </c>
      <c r="F169" s="28" t="s">
        <v>142</v>
      </c>
      <c r="G169" s="28" t="s">
        <v>152</v>
      </c>
      <c r="H169" s="28" t="s">
        <v>165</v>
      </c>
      <c r="I169" s="29" t="n">
        <v>1301700</v>
      </c>
      <c r="J169" s="29" t="n">
        <v>976275</v>
      </c>
      <c r="K169" s="28" t="n">
        <v>5</v>
      </c>
      <c r="L169" s="28" t="n">
        <v>120</v>
      </c>
      <c r="M169" s="28" t="n">
        <v>164</v>
      </c>
    </row>
    <row r="170" customFormat="false" ht="15" hidden="false" customHeight="false" outlineLevel="0" collapsed="false">
      <c r="A170" s="27" t="n">
        <v>43823</v>
      </c>
      <c r="B170" s="28" t="n">
        <v>2020</v>
      </c>
      <c r="C170" s="28" t="s">
        <v>163</v>
      </c>
      <c r="D170" s="28" t="s">
        <v>47</v>
      </c>
      <c r="E170" s="28" t="s">
        <v>337</v>
      </c>
      <c r="F170" s="28" t="s">
        <v>142</v>
      </c>
      <c r="G170" s="28" t="s">
        <v>152</v>
      </c>
      <c r="H170" s="28" t="s">
        <v>338</v>
      </c>
      <c r="I170" s="29" t="n">
        <v>1300000</v>
      </c>
      <c r="J170" s="29" t="n">
        <v>975000</v>
      </c>
      <c r="K170" s="28" t="n">
        <v>6</v>
      </c>
      <c r="L170" s="28" t="n">
        <v>120</v>
      </c>
      <c r="M170" s="28" t="n">
        <v>22</v>
      </c>
    </row>
    <row r="171" customFormat="false" ht="15" hidden="false" customHeight="false" outlineLevel="0" collapsed="false">
      <c r="A171" s="27" t="n">
        <v>43825</v>
      </c>
      <c r="B171" s="28" t="n">
        <v>2020</v>
      </c>
      <c r="C171" s="28" t="s">
        <v>169</v>
      </c>
      <c r="D171" s="28" t="s">
        <v>50</v>
      </c>
      <c r="E171" s="28" t="s">
        <v>193</v>
      </c>
      <c r="F171" s="28" t="s">
        <v>142</v>
      </c>
      <c r="G171" s="28" t="s">
        <v>156</v>
      </c>
      <c r="H171" s="28" t="s">
        <v>187</v>
      </c>
      <c r="I171" s="29" t="n">
        <v>1585000</v>
      </c>
      <c r="J171" s="29" t="n">
        <v>1188750</v>
      </c>
      <c r="K171" s="28" t="n">
        <v>4.1</v>
      </c>
      <c r="L171" s="28" t="n">
        <v>300</v>
      </c>
      <c r="M171" s="28" t="n">
        <v>3</v>
      </c>
    </row>
    <row r="172" customFormat="false" ht="15" hidden="false" customHeight="false" outlineLevel="0" collapsed="false">
      <c r="A172" s="27" t="n">
        <v>43825</v>
      </c>
      <c r="B172" s="28" t="n">
        <v>2020</v>
      </c>
      <c r="C172" s="28" t="s">
        <v>172</v>
      </c>
      <c r="D172" s="28" t="s">
        <v>44</v>
      </c>
      <c r="E172" s="28" t="s">
        <v>297</v>
      </c>
      <c r="F172" s="28" t="s">
        <v>142</v>
      </c>
      <c r="G172" s="28" t="s">
        <v>148</v>
      </c>
      <c r="H172" s="28" t="s">
        <v>229</v>
      </c>
      <c r="I172" s="29" t="n">
        <v>200000</v>
      </c>
      <c r="J172" s="29" t="n">
        <v>150000</v>
      </c>
      <c r="K172" s="28" t="n">
        <v>7.5</v>
      </c>
      <c r="L172" s="28" t="n">
        <v>120</v>
      </c>
      <c r="M172" s="28" t="n">
        <v>14</v>
      </c>
    </row>
    <row r="173" customFormat="false" ht="15" hidden="false" customHeight="false" outlineLevel="0" collapsed="false">
      <c r="A173" s="27" t="n">
        <v>43825</v>
      </c>
      <c r="B173" s="28" t="n">
        <v>2020</v>
      </c>
      <c r="C173" s="28" t="s">
        <v>169</v>
      </c>
      <c r="D173" s="28" t="s">
        <v>42</v>
      </c>
      <c r="E173" s="28" t="s">
        <v>164</v>
      </c>
      <c r="F173" s="28" t="s">
        <v>142</v>
      </c>
      <c r="G173" s="28" t="s">
        <v>143</v>
      </c>
      <c r="H173" s="28" t="s">
        <v>159</v>
      </c>
      <c r="I173" s="29" t="n">
        <v>272000</v>
      </c>
      <c r="J173" s="29" t="n">
        <v>204000</v>
      </c>
      <c r="K173" s="28" t="n">
        <v>7.5</v>
      </c>
      <c r="L173" s="28" t="n">
        <v>126</v>
      </c>
      <c r="M173" s="28" t="n">
        <v>22</v>
      </c>
    </row>
    <row r="174" customFormat="false" ht="15" hidden="false" customHeight="false" outlineLevel="0" collapsed="false">
      <c r="A174" s="27" t="n">
        <v>43826</v>
      </c>
      <c r="B174" s="28" t="n">
        <v>2020</v>
      </c>
      <c r="C174" s="28" t="s">
        <v>154</v>
      </c>
      <c r="D174" s="28" t="s">
        <v>42</v>
      </c>
      <c r="E174" s="28" t="s">
        <v>180</v>
      </c>
      <c r="F174" s="28" t="s">
        <v>142</v>
      </c>
      <c r="G174" s="28" t="s">
        <v>152</v>
      </c>
      <c r="H174" s="28" t="s">
        <v>165</v>
      </c>
      <c r="I174" s="29" t="n">
        <v>253800</v>
      </c>
      <c r="J174" s="29" t="n">
        <v>190350</v>
      </c>
      <c r="K174" s="28" t="n">
        <v>6.69</v>
      </c>
      <c r="L174" s="28" t="n">
        <v>60</v>
      </c>
      <c r="M174" s="28" t="n">
        <v>48</v>
      </c>
    </row>
    <row r="175" customFormat="false" ht="15" hidden="false" customHeight="false" outlineLevel="0" collapsed="false">
      <c r="A175" s="27" t="n">
        <v>43826</v>
      </c>
      <c r="B175" s="28" t="n">
        <v>2020</v>
      </c>
      <c r="C175" s="28" t="s">
        <v>169</v>
      </c>
      <c r="D175" s="28" t="s">
        <v>44</v>
      </c>
      <c r="E175" s="28" t="s">
        <v>339</v>
      </c>
      <c r="F175" s="28" t="s">
        <v>147</v>
      </c>
      <c r="G175" s="28" t="s">
        <v>148</v>
      </c>
      <c r="H175" s="28" t="s">
        <v>221</v>
      </c>
      <c r="I175" s="29" t="n">
        <v>25000</v>
      </c>
      <c r="J175" s="29" t="n">
        <v>12500</v>
      </c>
      <c r="K175" s="28" t="n">
        <v>9.25</v>
      </c>
      <c r="L175" s="28" t="n">
        <v>84</v>
      </c>
      <c r="M175" s="28" t="n">
        <v>5</v>
      </c>
    </row>
    <row r="176" customFormat="false" ht="15" hidden="false" customHeight="false" outlineLevel="0" collapsed="false">
      <c r="A176" s="27" t="n">
        <v>43829</v>
      </c>
      <c r="B176" s="28" t="n">
        <v>2020</v>
      </c>
      <c r="C176" s="28" t="s">
        <v>140</v>
      </c>
      <c r="D176" s="28" t="s">
        <v>45</v>
      </c>
      <c r="E176" s="28" t="s">
        <v>202</v>
      </c>
      <c r="F176" s="28" t="s">
        <v>147</v>
      </c>
      <c r="G176" s="28" t="s">
        <v>156</v>
      </c>
      <c r="H176" s="28" t="s">
        <v>168</v>
      </c>
      <c r="I176" s="29" t="n">
        <v>25000</v>
      </c>
      <c r="J176" s="29" t="n">
        <v>12500</v>
      </c>
      <c r="K176" s="28" t="n">
        <v>9.25</v>
      </c>
      <c r="L176" s="28" t="n">
        <v>120</v>
      </c>
      <c r="M176" s="28" t="n">
        <v>0</v>
      </c>
    </row>
    <row r="177" customFormat="false" ht="15" hidden="false" customHeight="false" outlineLevel="0" collapsed="false">
      <c r="A177" s="27" t="n">
        <v>43829</v>
      </c>
      <c r="B177" s="28" t="n">
        <v>2020</v>
      </c>
      <c r="C177" s="28" t="s">
        <v>206</v>
      </c>
      <c r="D177" s="28" t="s">
        <v>42</v>
      </c>
      <c r="E177" s="28" t="s">
        <v>340</v>
      </c>
      <c r="F177" s="28" t="s">
        <v>142</v>
      </c>
      <c r="G177" s="28" t="s">
        <v>152</v>
      </c>
      <c r="H177" s="28" t="s">
        <v>159</v>
      </c>
      <c r="I177" s="29" t="n">
        <v>2210000</v>
      </c>
      <c r="J177" s="29" t="n">
        <v>1657500</v>
      </c>
      <c r="K177" s="28" t="n">
        <v>6.75</v>
      </c>
      <c r="L177" s="28" t="n">
        <v>129</v>
      </c>
      <c r="M177" s="28" t="n">
        <v>63</v>
      </c>
    </row>
    <row r="178" customFormat="false" ht="15" hidden="false" customHeight="false" outlineLevel="0" collapsed="false">
      <c r="A178" s="27" t="n">
        <v>43829</v>
      </c>
      <c r="B178" s="28" t="n">
        <v>2020</v>
      </c>
      <c r="C178" s="28" t="s">
        <v>206</v>
      </c>
      <c r="D178" s="28" t="s">
        <v>42</v>
      </c>
      <c r="E178" s="28" t="s">
        <v>340</v>
      </c>
      <c r="F178" s="28" t="s">
        <v>147</v>
      </c>
      <c r="G178" s="28" t="s">
        <v>152</v>
      </c>
      <c r="H178" s="28" t="s">
        <v>159</v>
      </c>
      <c r="I178" s="29" t="n">
        <v>250000</v>
      </c>
      <c r="J178" s="29" t="n">
        <v>125000</v>
      </c>
      <c r="K178" s="28" t="n">
        <v>7.75</v>
      </c>
      <c r="L178" s="28" t="n">
        <v>120</v>
      </c>
      <c r="M178" s="28" t="n">
        <v>63</v>
      </c>
    </row>
    <row r="179" customFormat="false" ht="15" hidden="false" customHeight="false" outlineLevel="0" collapsed="false">
      <c r="A179" s="27" t="n">
        <v>43832</v>
      </c>
      <c r="B179" s="28" t="n">
        <v>2020</v>
      </c>
      <c r="C179" s="28" t="s">
        <v>169</v>
      </c>
      <c r="D179" s="28" t="s">
        <v>49</v>
      </c>
      <c r="E179" s="28" t="s">
        <v>341</v>
      </c>
      <c r="F179" s="28" t="s">
        <v>147</v>
      </c>
      <c r="G179" s="28" t="s">
        <v>156</v>
      </c>
      <c r="H179" s="28" t="s">
        <v>168</v>
      </c>
      <c r="I179" s="29" t="n">
        <v>5000</v>
      </c>
      <c r="J179" s="29" t="n">
        <v>2500</v>
      </c>
      <c r="K179" s="28" t="n">
        <v>10.25</v>
      </c>
      <c r="L179" s="28" t="n">
        <v>120</v>
      </c>
      <c r="M179" s="28" t="n">
        <v>0</v>
      </c>
    </row>
    <row r="180" customFormat="false" ht="15" hidden="false" customHeight="false" outlineLevel="0" collapsed="false">
      <c r="A180" s="27" t="n">
        <v>43833</v>
      </c>
      <c r="B180" s="28" t="n">
        <v>2020</v>
      </c>
      <c r="C180" s="28" t="s">
        <v>172</v>
      </c>
      <c r="D180" s="28" t="s">
        <v>48</v>
      </c>
      <c r="E180" s="28" t="s">
        <v>342</v>
      </c>
      <c r="F180" s="28" t="s">
        <v>142</v>
      </c>
      <c r="G180" s="28" t="s">
        <v>156</v>
      </c>
      <c r="H180" s="28" t="s">
        <v>278</v>
      </c>
      <c r="I180" s="29" t="n">
        <v>250000</v>
      </c>
      <c r="J180" s="29" t="n">
        <v>187500</v>
      </c>
      <c r="K180" s="28" t="n">
        <v>7.5</v>
      </c>
      <c r="L180" s="28" t="n">
        <v>120</v>
      </c>
      <c r="M180" s="28" t="n">
        <v>3</v>
      </c>
    </row>
    <row r="181" customFormat="false" ht="15" hidden="false" customHeight="false" outlineLevel="0" collapsed="false">
      <c r="A181" s="27" t="n">
        <v>43833</v>
      </c>
      <c r="B181" s="28" t="n">
        <v>2020</v>
      </c>
      <c r="C181" s="28" t="s">
        <v>169</v>
      </c>
      <c r="D181" s="28" t="s">
        <v>54</v>
      </c>
      <c r="E181" s="28" t="s">
        <v>236</v>
      </c>
      <c r="F181" s="28" t="s">
        <v>142</v>
      </c>
      <c r="G181" s="28" t="s">
        <v>148</v>
      </c>
      <c r="H181" s="28" t="s">
        <v>144</v>
      </c>
      <c r="I181" s="29" t="n">
        <v>4200000</v>
      </c>
      <c r="J181" s="29" t="n">
        <v>3150000</v>
      </c>
      <c r="K181" s="28" t="n">
        <v>6.2</v>
      </c>
      <c r="L181" s="28" t="n">
        <v>137</v>
      </c>
      <c r="M181" s="28" t="n">
        <v>6</v>
      </c>
    </row>
    <row r="182" customFormat="false" ht="15" hidden="false" customHeight="false" outlineLevel="0" collapsed="false">
      <c r="A182" s="27" t="n">
        <v>43836</v>
      </c>
      <c r="B182" s="28" t="n">
        <v>2020</v>
      </c>
      <c r="C182" s="28" t="s">
        <v>172</v>
      </c>
      <c r="D182" s="28" t="s">
        <v>48</v>
      </c>
      <c r="E182" s="28" t="s">
        <v>304</v>
      </c>
      <c r="F182" s="28" t="s">
        <v>147</v>
      </c>
      <c r="G182" s="28" t="s">
        <v>143</v>
      </c>
      <c r="H182" s="28" t="s">
        <v>159</v>
      </c>
      <c r="I182" s="29" t="n">
        <v>50000</v>
      </c>
      <c r="J182" s="29" t="n">
        <v>25000</v>
      </c>
      <c r="K182" s="28" t="n">
        <v>8.75</v>
      </c>
      <c r="L182" s="28" t="n">
        <v>60</v>
      </c>
      <c r="M182" s="28" t="n">
        <v>1</v>
      </c>
    </row>
    <row r="183" customFormat="false" ht="15" hidden="false" customHeight="false" outlineLevel="0" collapsed="false">
      <c r="A183" s="27" t="n">
        <v>43837</v>
      </c>
      <c r="B183" s="28" t="n">
        <v>2020</v>
      </c>
      <c r="C183" s="28" t="s">
        <v>172</v>
      </c>
      <c r="D183" s="28" t="s">
        <v>42</v>
      </c>
      <c r="E183" s="28" t="s">
        <v>242</v>
      </c>
      <c r="F183" s="28" t="s">
        <v>147</v>
      </c>
      <c r="G183" s="28" t="s">
        <v>143</v>
      </c>
      <c r="H183" s="28" t="s">
        <v>191</v>
      </c>
      <c r="I183" s="29" t="n">
        <v>182000</v>
      </c>
      <c r="J183" s="29" t="n">
        <v>91000</v>
      </c>
      <c r="K183" s="28" t="n">
        <v>5.46</v>
      </c>
      <c r="L183" s="28" t="n">
        <v>84</v>
      </c>
      <c r="M183" s="28" t="n">
        <v>8</v>
      </c>
    </row>
    <row r="184" customFormat="false" ht="15" hidden="false" customHeight="false" outlineLevel="0" collapsed="false">
      <c r="A184" s="27" t="n">
        <v>43837</v>
      </c>
      <c r="B184" s="28" t="n">
        <v>2020</v>
      </c>
      <c r="C184" s="28" t="s">
        <v>160</v>
      </c>
      <c r="D184" s="28" t="s">
        <v>44</v>
      </c>
      <c r="E184" s="28" t="s">
        <v>343</v>
      </c>
      <c r="F184" s="28" t="s">
        <v>194</v>
      </c>
      <c r="G184" s="28" t="s">
        <v>152</v>
      </c>
      <c r="H184" s="28" t="s">
        <v>281</v>
      </c>
      <c r="I184" s="29" t="n">
        <v>327000</v>
      </c>
      <c r="J184" s="29" t="n">
        <v>245250</v>
      </c>
      <c r="K184" s="28" t="n">
        <v>7</v>
      </c>
      <c r="L184" s="28" t="n">
        <v>84</v>
      </c>
      <c r="M184" s="28" t="n">
        <v>18</v>
      </c>
    </row>
    <row r="185" customFormat="false" ht="15" hidden="false" customHeight="false" outlineLevel="0" collapsed="false">
      <c r="A185" s="27" t="n">
        <v>43837</v>
      </c>
      <c r="B185" s="28" t="n">
        <v>2020</v>
      </c>
      <c r="C185" s="28" t="s">
        <v>163</v>
      </c>
      <c r="D185" s="28" t="s">
        <v>43</v>
      </c>
      <c r="E185" s="28" t="s">
        <v>197</v>
      </c>
      <c r="F185" s="28" t="s">
        <v>142</v>
      </c>
      <c r="G185" s="28" t="s">
        <v>148</v>
      </c>
      <c r="H185" s="28" t="s">
        <v>171</v>
      </c>
      <c r="I185" s="29" t="n">
        <v>350000</v>
      </c>
      <c r="J185" s="29" t="n">
        <v>262500</v>
      </c>
      <c r="K185" s="28" t="n">
        <v>7.5</v>
      </c>
      <c r="L185" s="28" t="n">
        <v>240</v>
      </c>
      <c r="M185" s="28" t="n">
        <v>3</v>
      </c>
    </row>
    <row r="186" customFormat="false" ht="15" hidden="false" customHeight="false" outlineLevel="0" collapsed="false">
      <c r="A186" s="27" t="n">
        <v>43838</v>
      </c>
      <c r="B186" s="28" t="n">
        <v>2020</v>
      </c>
      <c r="C186" s="28" t="s">
        <v>344</v>
      </c>
      <c r="D186" s="28" t="s">
        <v>45</v>
      </c>
      <c r="E186" s="28" t="s">
        <v>345</v>
      </c>
      <c r="F186" s="28" t="s">
        <v>147</v>
      </c>
      <c r="G186" s="28" t="s">
        <v>156</v>
      </c>
      <c r="H186" s="28" t="s">
        <v>159</v>
      </c>
      <c r="I186" s="29" t="n">
        <v>20000</v>
      </c>
      <c r="J186" s="29" t="n">
        <v>10000</v>
      </c>
      <c r="K186" s="28" t="n">
        <v>11.25</v>
      </c>
      <c r="L186" s="28" t="n">
        <v>120</v>
      </c>
      <c r="M186" s="28" t="n">
        <v>2</v>
      </c>
    </row>
    <row r="187" customFormat="false" ht="15" hidden="false" customHeight="false" outlineLevel="0" collapsed="false">
      <c r="A187" s="27" t="n">
        <v>43838</v>
      </c>
      <c r="B187" s="28" t="n">
        <v>2020</v>
      </c>
      <c r="C187" s="28" t="s">
        <v>172</v>
      </c>
      <c r="D187" s="28" t="s">
        <v>48</v>
      </c>
      <c r="E187" s="28" t="s">
        <v>346</v>
      </c>
      <c r="F187" s="28" t="s">
        <v>142</v>
      </c>
      <c r="G187" s="28" t="s">
        <v>148</v>
      </c>
      <c r="H187" s="28" t="s">
        <v>347</v>
      </c>
      <c r="I187" s="29" t="n">
        <v>150000</v>
      </c>
      <c r="J187" s="29" t="n">
        <v>127500</v>
      </c>
      <c r="K187" s="28" t="n">
        <v>7.5</v>
      </c>
      <c r="L187" s="28" t="n">
        <v>120</v>
      </c>
      <c r="M187" s="28" t="n">
        <v>2</v>
      </c>
    </row>
    <row r="188" customFormat="false" ht="15" hidden="false" customHeight="false" outlineLevel="0" collapsed="false">
      <c r="A188" s="27" t="n">
        <v>43839</v>
      </c>
      <c r="B188" s="28" t="n">
        <v>2020</v>
      </c>
      <c r="C188" s="28" t="s">
        <v>154</v>
      </c>
      <c r="D188" s="28" t="s">
        <v>46</v>
      </c>
      <c r="E188" s="28" t="s">
        <v>259</v>
      </c>
      <c r="F188" s="28" t="s">
        <v>142</v>
      </c>
      <c r="G188" s="28" t="s">
        <v>152</v>
      </c>
      <c r="H188" s="28" t="s">
        <v>144</v>
      </c>
      <c r="I188" s="29" t="n">
        <v>210000</v>
      </c>
      <c r="J188" s="29" t="n">
        <v>157500</v>
      </c>
      <c r="K188" s="28" t="n">
        <v>7.5</v>
      </c>
      <c r="L188" s="28" t="n">
        <v>120</v>
      </c>
      <c r="M188" s="28" t="n">
        <v>22</v>
      </c>
    </row>
    <row r="189" customFormat="false" ht="15" hidden="false" customHeight="false" outlineLevel="0" collapsed="false">
      <c r="A189" s="27" t="n">
        <v>43839</v>
      </c>
      <c r="B189" s="28" t="n">
        <v>2020</v>
      </c>
      <c r="C189" s="28" t="s">
        <v>318</v>
      </c>
      <c r="D189" s="28" t="s">
        <v>44</v>
      </c>
      <c r="E189" s="28" t="s">
        <v>348</v>
      </c>
      <c r="F189" s="28" t="s">
        <v>142</v>
      </c>
      <c r="G189" s="28" t="s">
        <v>143</v>
      </c>
      <c r="H189" s="28" t="s">
        <v>208</v>
      </c>
      <c r="I189" s="29" t="n">
        <v>370000</v>
      </c>
      <c r="J189" s="29" t="n">
        <v>277500</v>
      </c>
      <c r="K189" s="28" t="n">
        <v>7.5</v>
      </c>
      <c r="L189" s="28" t="n">
        <v>120</v>
      </c>
      <c r="M189" s="28" t="n">
        <v>8</v>
      </c>
    </row>
    <row r="190" customFormat="false" ht="15" hidden="false" customHeight="false" outlineLevel="0" collapsed="false">
      <c r="A190" s="27" t="n">
        <v>43843</v>
      </c>
      <c r="B190" s="28" t="n">
        <v>2020</v>
      </c>
      <c r="C190" s="28" t="s">
        <v>263</v>
      </c>
      <c r="D190" s="28" t="s">
        <v>43</v>
      </c>
      <c r="E190" s="28" t="s">
        <v>224</v>
      </c>
      <c r="F190" s="28" t="s">
        <v>142</v>
      </c>
      <c r="G190" s="28" t="s">
        <v>143</v>
      </c>
      <c r="H190" s="28" t="s">
        <v>208</v>
      </c>
      <c r="I190" s="29" t="n">
        <v>575000</v>
      </c>
      <c r="J190" s="29" t="n">
        <v>431250</v>
      </c>
      <c r="K190" s="28" t="n">
        <v>7.25</v>
      </c>
      <c r="L190" s="28" t="n">
        <v>120</v>
      </c>
      <c r="M190" s="28" t="n">
        <v>8</v>
      </c>
    </row>
    <row r="191" customFormat="false" ht="15" hidden="false" customHeight="false" outlineLevel="0" collapsed="false">
      <c r="A191" s="27" t="n">
        <v>43843</v>
      </c>
      <c r="B191" s="28" t="n">
        <v>2020</v>
      </c>
      <c r="C191" s="28" t="s">
        <v>169</v>
      </c>
      <c r="D191" s="28" t="s">
        <v>52</v>
      </c>
      <c r="E191" s="28" t="s">
        <v>258</v>
      </c>
      <c r="F191" s="28" t="s">
        <v>147</v>
      </c>
      <c r="G191" s="28" t="s">
        <v>148</v>
      </c>
      <c r="H191" s="28" t="s">
        <v>205</v>
      </c>
      <c r="I191" s="29" t="n">
        <v>100000</v>
      </c>
      <c r="J191" s="29" t="n">
        <v>50000</v>
      </c>
      <c r="K191" s="28" t="n">
        <v>8.88</v>
      </c>
      <c r="L191" s="28" t="n">
        <v>120</v>
      </c>
      <c r="M191" s="28" t="n">
        <v>3</v>
      </c>
    </row>
    <row r="192" customFormat="false" ht="15" hidden="false" customHeight="false" outlineLevel="0" collapsed="false">
      <c r="A192" s="27" t="n">
        <v>43844</v>
      </c>
      <c r="B192" s="28" t="n">
        <v>2020</v>
      </c>
      <c r="C192" s="28" t="s">
        <v>349</v>
      </c>
      <c r="D192" s="28" t="s">
        <v>43</v>
      </c>
      <c r="E192" s="28" t="s">
        <v>350</v>
      </c>
      <c r="F192" s="28" t="s">
        <v>147</v>
      </c>
      <c r="G192" s="28" t="s">
        <v>148</v>
      </c>
      <c r="H192" s="28" t="s">
        <v>351</v>
      </c>
      <c r="I192" s="29" t="n">
        <v>100000</v>
      </c>
      <c r="J192" s="29" t="n">
        <v>50000</v>
      </c>
      <c r="K192" s="28" t="n">
        <v>5.75</v>
      </c>
      <c r="L192" s="28" t="n">
        <v>120</v>
      </c>
      <c r="M192" s="28" t="n">
        <v>8</v>
      </c>
    </row>
    <row r="193" customFormat="false" ht="15" hidden="false" customHeight="false" outlineLevel="0" collapsed="false">
      <c r="A193" s="27" t="n">
        <v>43844</v>
      </c>
      <c r="B193" s="28" t="n">
        <v>2020</v>
      </c>
      <c r="C193" s="28" t="s">
        <v>344</v>
      </c>
      <c r="D193" s="28" t="s">
        <v>60</v>
      </c>
      <c r="E193" s="28" t="s">
        <v>352</v>
      </c>
      <c r="F193" s="28" t="s">
        <v>147</v>
      </c>
      <c r="G193" s="28" t="s">
        <v>156</v>
      </c>
      <c r="H193" s="28" t="s">
        <v>291</v>
      </c>
      <c r="I193" s="29" t="n">
        <v>210000</v>
      </c>
      <c r="J193" s="29" t="n">
        <v>105000</v>
      </c>
      <c r="K193" s="28" t="n">
        <v>4</v>
      </c>
      <c r="L193" s="28" t="n">
        <v>60</v>
      </c>
      <c r="M193" s="28" t="n">
        <v>3</v>
      </c>
    </row>
    <row r="194" customFormat="false" ht="15" hidden="false" customHeight="false" outlineLevel="0" collapsed="false">
      <c r="A194" s="27" t="n">
        <v>43844</v>
      </c>
      <c r="B194" s="28" t="n">
        <v>2020</v>
      </c>
      <c r="C194" s="28" t="s">
        <v>169</v>
      </c>
      <c r="D194" s="28" t="s">
        <v>42</v>
      </c>
      <c r="E194" s="28" t="s">
        <v>180</v>
      </c>
      <c r="F194" s="28" t="s">
        <v>142</v>
      </c>
      <c r="G194" s="28" t="s">
        <v>143</v>
      </c>
      <c r="H194" s="28" t="s">
        <v>191</v>
      </c>
      <c r="I194" s="29" t="n">
        <v>1013600</v>
      </c>
      <c r="J194" s="29" t="n">
        <v>760200</v>
      </c>
      <c r="K194" s="28" t="n">
        <v>4.75</v>
      </c>
      <c r="L194" s="28" t="n">
        <v>123</v>
      </c>
      <c r="M194" s="28" t="n">
        <v>10</v>
      </c>
    </row>
    <row r="195" customFormat="false" ht="15" hidden="false" customHeight="false" outlineLevel="0" collapsed="false">
      <c r="A195" s="27" t="n">
        <v>43845</v>
      </c>
      <c r="B195" s="28" t="n">
        <v>2020</v>
      </c>
      <c r="C195" s="28" t="s">
        <v>353</v>
      </c>
      <c r="D195" s="28" t="s">
        <v>43</v>
      </c>
      <c r="E195" s="28" t="s">
        <v>350</v>
      </c>
      <c r="F195" s="28" t="s">
        <v>142</v>
      </c>
      <c r="G195" s="28" t="s">
        <v>148</v>
      </c>
      <c r="H195" s="28" t="s">
        <v>144</v>
      </c>
      <c r="I195" s="29" t="n">
        <v>1155000</v>
      </c>
      <c r="J195" s="29" t="n">
        <v>866250</v>
      </c>
      <c r="K195" s="28" t="n">
        <v>7</v>
      </c>
      <c r="L195" s="28" t="n">
        <v>300</v>
      </c>
      <c r="M195" s="28" t="n">
        <v>0</v>
      </c>
    </row>
    <row r="196" customFormat="false" ht="15" hidden="false" customHeight="false" outlineLevel="0" collapsed="false">
      <c r="A196" s="27" t="n">
        <v>43845</v>
      </c>
      <c r="B196" s="28" t="n">
        <v>2020</v>
      </c>
      <c r="C196" s="28" t="s">
        <v>230</v>
      </c>
      <c r="D196" s="28" t="s">
        <v>46</v>
      </c>
      <c r="E196" s="28" t="s">
        <v>276</v>
      </c>
      <c r="F196" s="28" t="s">
        <v>194</v>
      </c>
      <c r="G196" s="28" t="s">
        <v>148</v>
      </c>
      <c r="H196" s="28" t="s">
        <v>354</v>
      </c>
      <c r="I196" s="29" t="n">
        <v>100000</v>
      </c>
      <c r="J196" s="29" t="n">
        <v>85000</v>
      </c>
      <c r="K196" s="28" t="n">
        <v>7</v>
      </c>
      <c r="L196" s="28" t="n">
        <v>84</v>
      </c>
      <c r="M196" s="28" t="n">
        <v>2</v>
      </c>
    </row>
    <row r="197" customFormat="false" ht="15" hidden="false" customHeight="false" outlineLevel="0" collapsed="false">
      <c r="A197" s="27" t="n">
        <v>43846</v>
      </c>
      <c r="B197" s="28" t="n">
        <v>2020</v>
      </c>
      <c r="C197" s="28" t="s">
        <v>169</v>
      </c>
      <c r="D197" s="28" t="s">
        <v>48</v>
      </c>
      <c r="E197" s="28" t="s">
        <v>228</v>
      </c>
      <c r="F197" s="28" t="s">
        <v>147</v>
      </c>
      <c r="G197" s="28" t="s">
        <v>156</v>
      </c>
      <c r="H197" s="28" t="s">
        <v>159</v>
      </c>
      <c r="I197" s="29" t="n">
        <v>40000</v>
      </c>
      <c r="J197" s="29" t="n">
        <v>20000</v>
      </c>
      <c r="K197" s="28" t="n">
        <v>6.5</v>
      </c>
      <c r="L197" s="28" t="n">
        <v>120</v>
      </c>
      <c r="M197" s="28" t="n">
        <v>0</v>
      </c>
    </row>
    <row r="198" customFormat="false" ht="15" hidden="false" customHeight="false" outlineLevel="0" collapsed="false">
      <c r="A198" s="27" t="n">
        <v>43846</v>
      </c>
      <c r="B198" s="28" t="n">
        <v>2020</v>
      </c>
      <c r="C198" s="28" t="s">
        <v>172</v>
      </c>
      <c r="D198" s="28" t="s">
        <v>44</v>
      </c>
      <c r="E198" s="28" t="s">
        <v>355</v>
      </c>
      <c r="F198" s="28" t="s">
        <v>142</v>
      </c>
      <c r="G198" s="28" t="s">
        <v>152</v>
      </c>
      <c r="H198" s="28" t="s">
        <v>240</v>
      </c>
      <c r="I198" s="29" t="n">
        <v>310100</v>
      </c>
      <c r="J198" s="29" t="n">
        <v>232575</v>
      </c>
      <c r="K198" s="28" t="n">
        <v>7.5</v>
      </c>
      <c r="L198" s="28" t="n">
        <v>85</v>
      </c>
      <c r="M198" s="28" t="n">
        <v>5</v>
      </c>
    </row>
    <row r="199" customFormat="false" ht="15" hidden="false" customHeight="false" outlineLevel="0" collapsed="false">
      <c r="A199" s="27" t="n">
        <v>43846</v>
      </c>
      <c r="B199" s="28" t="n">
        <v>2020</v>
      </c>
      <c r="C199" s="28" t="s">
        <v>243</v>
      </c>
      <c r="D199" s="28" t="s">
        <v>45</v>
      </c>
      <c r="E199" s="28" t="s">
        <v>356</v>
      </c>
      <c r="F199" s="28" t="s">
        <v>147</v>
      </c>
      <c r="G199" s="28" t="s">
        <v>156</v>
      </c>
      <c r="H199" s="28" t="s">
        <v>168</v>
      </c>
      <c r="I199" s="29" t="n">
        <v>15000</v>
      </c>
      <c r="J199" s="29" t="n">
        <v>7500</v>
      </c>
      <c r="K199" s="28" t="n">
        <v>10.75</v>
      </c>
      <c r="L199" s="28" t="n">
        <v>120</v>
      </c>
      <c r="M199" s="28" t="n">
        <v>1</v>
      </c>
    </row>
    <row r="200" customFormat="false" ht="15" hidden="false" customHeight="false" outlineLevel="0" collapsed="false">
      <c r="A200" s="27" t="n">
        <v>43847</v>
      </c>
      <c r="B200" s="28" t="n">
        <v>2020</v>
      </c>
      <c r="C200" s="28" t="s">
        <v>357</v>
      </c>
      <c r="D200" s="28" t="s">
        <v>48</v>
      </c>
      <c r="E200" s="28" t="s">
        <v>358</v>
      </c>
      <c r="F200" s="28" t="s">
        <v>142</v>
      </c>
      <c r="G200" s="28" t="s">
        <v>148</v>
      </c>
      <c r="H200" s="28" t="s">
        <v>359</v>
      </c>
      <c r="I200" s="29" t="n">
        <v>3500000</v>
      </c>
      <c r="J200" s="29" t="n">
        <v>2625000</v>
      </c>
      <c r="K200" s="28" t="n">
        <v>5.75</v>
      </c>
      <c r="L200" s="28" t="n">
        <v>312</v>
      </c>
      <c r="M200" s="28" t="n">
        <v>3</v>
      </c>
    </row>
    <row r="201" customFormat="false" ht="15" hidden="false" customHeight="false" outlineLevel="0" collapsed="false">
      <c r="A201" s="27" t="n">
        <v>43847</v>
      </c>
      <c r="B201" s="28" t="n">
        <v>2020</v>
      </c>
      <c r="C201" s="28" t="s">
        <v>360</v>
      </c>
      <c r="D201" s="28" t="s">
        <v>46</v>
      </c>
      <c r="E201" s="28" t="s">
        <v>361</v>
      </c>
      <c r="F201" s="28" t="s">
        <v>142</v>
      </c>
      <c r="G201" s="28" t="s">
        <v>152</v>
      </c>
      <c r="H201" s="28" t="s">
        <v>144</v>
      </c>
      <c r="I201" s="29" t="n">
        <v>2150000</v>
      </c>
      <c r="J201" s="29" t="n">
        <v>1612500</v>
      </c>
      <c r="K201" s="28" t="n">
        <v>5.5</v>
      </c>
      <c r="L201" s="28" t="n">
        <v>300</v>
      </c>
      <c r="M201" s="28" t="n">
        <v>0</v>
      </c>
    </row>
    <row r="202" customFormat="false" ht="15" hidden="false" customHeight="false" outlineLevel="0" collapsed="false">
      <c r="A202" s="27" t="n">
        <v>43847</v>
      </c>
      <c r="B202" s="28" t="n">
        <v>2020</v>
      </c>
      <c r="C202" s="28" t="s">
        <v>172</v>
      </c>
      <c r="D202" s="28" t="s">
        <v>48</v>
      </c>
      <c r="E202" s="28" t="s">
        <v>362</v>
      </c>
      <c r="F202" s="28" t="s">
        <v>147</v>
      </c>
      <c r="G202" s="28" t="s">
        <v>148</v>
      </c>
      <c r="H202" s="28" t="s">
        <v>159</v>
      </c>
      <c r="I202" s="29" t="n">
        <v>150000</v>
      </c>
      <c r="J202" s="29" t="n">
        <v>75000</v>
      </c>
      <c r="K202" s="28" t="n">
        <v>7</v>
      </c>
      <c r="L202" s="28" t="n">
        <v>120</v>
      </c>
      <c r="M202" s="28" t="n">
        <v>3</v>
      </c>
    </row>
    <row r="203" customFormat="false" ht="15" hidden="false" customHeight="false" outlineLevel="0" collapsed="false">
      <c r="A203" s="27" t="n">
        <v>43847</v>
      </c>
      <c r="B203" s="28" t="n">
        <v>2020</v>
      </c>
      <c r="C203" s="28" t="s">
        <v>175</v>
      </c>
      <c r="D203" s="28" t="s">
        <v>43</v>
      </c>
      <c r="E203" s="28" t="s">
        <v>264</v>
      </c>
      <c r="F203" s="28" t="s">
        <v>194</v>
      </c>
      <c r="G203" s="28" t="s">
        <v>143</v>
      </c>
      <c r="H203" s="28" t="s">
        <v>363</v>
      </c>
      <c r="I203" s="29" t="n">
        <v>1400000</v>
      </c>
      <c r="J203" s="29" t="n">
        <v>1050000</v>
      </c>
      <c r="K203" s="28" t="n">
        <v>6.25</v>
      </c>
      <c r="L203" s="28" t="n">
        <v>132</v>
      </c>
      <c r="M203" s="28" t="n">
        <v>25</v>
      </c>
    </row>
    <row r="204" customFormat="false" ht="15" hidden="false" customHeight="false" outlineLevel="0" collapsed="false">
      <c r="A204" s="27" t="n">
        <v>43851</v>
      </c>
      <c r="B204" s="28" t="n">
        <v>2020</v>
      </c>
      <c r="C204" s="28" t="s">
        <v>169</v>
      </c>
      <c r="D204" s="28" t="s">
        <v>47</v>
      </c>
      <c r="E204" s="28" t="s">
        <v>364</v>
      </c>
      <c r="F204" s="28" t="s">
        <v>147</v>
      </c>
      <c r="G204" s="28" t="s">
        <v>148</v>
      </c>
      <c r="H204" s="28" t="s">
        <v>159</v>
      </c>
      <c r="I204" s="29" t="n">
        <v>55000</v>
      </c>
      <c r="J204" s="29" t="n">
        <v>27500</v>
      </c>
      <c r="K204" s="28" t="n">
        <v>9.25</v>
      </c>
      <c r="L204" s="28" t="n">
        <v>120</v>
      </c>
      <c r="M204" s="28" t="n">
        <v>2</v>
      </c>
    </row>
    <row r="205" customFormat="false" ht="15" hidden="false" customHeight="false" outlineLevel="0" collapsed="false">
      <c r="A205" s="27" t="n">
        <v>43852</v>
      </c>
      <c r="B205" s="28" t="n">
        <v>2020</v>
      </c>
      <c r="C205" s="28" t="s">
        <v>365</v>
      </c>
      <c r="D205" s="28" t="s">
        <v>50</v>
      </c>
      <c r="E205" s="28" t="s">
        <v>366</v>
      </c>
      <c r="F205" s="28" t="s">
        <v>194</v>
      </c>
      <c r="G205" s="28" t="s">
        <v>152</v>
      </c>
      <c r="H205" s="28" t="s">
        <v>367</v>
      </c>
      <c r="I205" s="29" t="n">
        <v>607000</v>
      </c>
      <c r="J205" s="29" t="n">
        <v>455250</v>
      </c>
      <c r="K205" s="28" t="n">
        <v>6.75</v>
      </c>
      <c r="L205" s="28" t="n">
        <v>180</v>
      </c>
      <c r="M205" s="28" t="n">
        <v>8</v>
      </c>
    </row>
    <row r="206" customFormat="false" ht="15" hidden="false" customHeight="false" outlineLevel="0" collapsed="false">
      <c r="A206" s="27" t="n">
        <v>43852</v>
      </c>
      <c r="B206" s="28" t="n">
        <v>2020</v>
      </c>
      <c r="C206" s="28" t="s">
        <v>172</v>
      </c>
      <c r="D206" s="28" t="s">
        <v>48</v>
      </c>
      <c r="E206" s="28" t="s">
        <v>212</v>
      </c>
      <c r="F206" s="28" t="s">
        <v>147</v>
      </c>
      <c r="G206" s="28" t="s">
        <v>156</v>
      </c>
      <c r="H206" s="28" t="s">
        <v>278</v>
      </c>
      <c r="I206" s="29" t="n">
        <v>100000</v>
      </c>
      <c r="J206" s="29" t="n">
        <v>50000</v>
      </c>
      <c r="K206" s="28" t="n">
        <v>6.75</v>
      </c>
      <c r="L206" s="28" t="n">
        <v>36</v>
      </c>
      <c r="M206" s="28" t="n">
        <v>12</v>
      </c>
    </row>
    <row r="207" customFormat="false" ht="15" hidden="false" customHeight="false" outlineLevel="0" collapsed="false">
      <c r="A207" s="27" t="n">
        <v>43852</v>
      </c>
      <c r="B207" s="28" t="n">
        <v>2020</v>
      </c>
      <c r="C207" s="28" t="s">
        <v>368</v>
      </c>
      <c r="D207" s="28" t="s">
        <v>43</v>
      </c>
      <c r="E207" s="28" t="s">
        <v>197</v>
      </c>
      <c r="F207" s="28" t="s">
        <v>147</v>
      </c>
      <c r="G207" s="28" t="s">
        <v>148</v>
      </c>
      <c r="H207" s="28" t="s">
        <v>248</v>
      </c>
      <c r="I207" s="29" t="n">
        <v>170000</v>
      </c>
      <c r="J207" s="29" t="n">
        <v>85000</v>
      </c>
      <c r="K207" s="28" t="n">
        <v>7.5</v>
      </c>
      <c r="L207" s="28" t="n">
        <v>60</v>
      </c>
      <c r="M207" s="28" t="n">
        <v>10</v>
      </c>
    </row>
    <row r="208" customFormat="false" ht="15" hidden="false" customHeight="false" outlineLevel="0" collapsed="false">
      <c r="A208" s="27" t="n">
        <v>43853</v>
      </c>
      <c r="B208" s="28" t="n">
        <v>2020</v>
      </c>
      <c r="C208" s="28" t="s">
        <v>145</v>
      </c>
      <c r="D208" s="28" t="s">
        <v>53</v>
      </c>
      <c r="E208" s="28" t="s">
        <v>369</v>
      </c>
      <c r="F208" s="28" t="s">
        <v>147</v>
      </c>
      <c r="G208" s="28" t="s">
        <v>156</v>
      </c>
      <c r="H208" s="28" t="s">
        <v>320</v>
      </c>
      <c r="I208" s="29" t="n">
        <v>25000</v>
      </c>
      <c r="J208" s="29" t="n">
        <v>12500</v>
      </c>
      <c r="K208" s="28" t="n">
        <v>5.75</v>
      </c>
      <c r="L208" s="28" t="n">
        <v>120</v>
      </c>
      <c r="M208" s="28" t="n">
        <v>0</v>
      </c>
    </row>
    <row r="209" customFormat="false" ht="15" hidden="false" customHeight="false" outlineLevel="0" collapsed="false">
      <c r="A209" s="27" t="n">
        <v>43853</v>
      </c>
      <c r="B209" s="28" t="n">
        <v>2020</v>
      </c>
      <c r="C209" s="28" t="s">
        <v>166</v>
      </c>
      <c r="D209" s="28" t="s">
        <v>50</v>
      </c>
      <c r="E209" s="28" t="s">
        <v>370</v>
      </c>
      <c r="F209" s="28" t="s">
        <v>142</v>
      </c>
      <c r="G209" s="28" t="s">
        <v>143</v>
      </c>
      <c r="H209" s="28" t="s">
        <v>287</v>
      </c>
      <c r="I209" s="29" t="n">
        <v>150000</v>
      </c>
      <c r="J209" s="29" t="n">
        <v>127500</v>
      </c>
      <c r="K209" s="28" t="n">
        <v>7.5</v>
      </c>
      <c r="L209" s="28" t="n">
        <v>120</v>
      </c>
      <c r="M209" s="28" t="n">
        <v>4</v>
      </c>
    </row>
    <row r="210" customFormat="false" ht="15" hidden="false" customHeight="false" outlineLevel="0" collapsed="false">
      <c r="A210" s="27" t="n">
        <v>43853</v>
      </c>
      <c r="B210" s="28" t="n">
        <v>2020</v>
      </c>
      <c r="C210" s="28" t="s">
        <v>160</v>
      </c>
      <c r="D210" s="28" t="s">
        <v>53</v>
      </c>
      <c r="E210" s="28" t="s">
        <v>371</v>
      </c>
      <c r="F210" s="28" t="s">
        <v>147</v>
      </c>
      <c r="G210" s="28" t="s">
        <v>148</v>
      </c>
      <c r="H210" s="28" t="s">
        <v>372</v>
      </c>
      <c r="I210" s="29" t="n">
        <v>160000</v>
      </c>
      <c r="J210" s="29" t="n">
        <v>80000</v>
      </c>
      <c r="K210" s="28" t="n">
        <v>6.75</v>
      </c>
      <c r="L210" s="28" t="n">
        <v>60</v>
      </c>
      <c r="M210" s="28" t="n">
        <v>22</v>
      </c>
    </row>
    <row r="211" customFormat="false" ht="15" hidden="false" customHeight="false" outlineLevel="0" collapsed="false">
      <c r="A211" s="27" t="n">
        <v>43854</v>
      </c>
      <c r="B211" s="28" t="n">
        <v>2020</v>
      </c>
      <c r="C211" s="28" t="s">
        <v>235</v>
      </c>
      <c r="D211" s="28" t="s">
        <v>47</v>
      </c>
      <c r="E211" s="28" t="s">
        <v>373</v>
      </c>
      <c r="F211" s="28" t="s">
        <v>142</v>
      </c>
      <c r="G211" s="28" t="s">
        <v>143</v>
      </c>
      <c r="H211" s="28" t="s">
        <v>165</v>
      </c>
      <c r="I211" s="29" t="n">
        <v>350000</v>
      </c>
      <c r="J211" s="29" t="n">
        <v>262500</v>
      </c>
      <c r="K211" s="28" t="n">
        <v>5.69</v>
      </c>
      <c r="L211" s="28" t="n">
        <v>120</v>
      </c>
      <c r="M211" s="28" t="n">
        <v>20</v>
      </c>
    </row>
    <row r="212" customFormat="false" ht="15" hidden="false" customHeight="false" outlineLevel="0" collapsed="false">
      <c r="A212" s="27" t="n">
        <v>43854</v>
      </c>
      <c r="B212" s="28" t="n">
        <v>2020</v>
      </c>
      <c r="C212" s="28" t="s">
        <v>201</v>
      </c>
      <c r="D212" s="28" t="s">
        <v>43</v>
      </c>
      <c r="E212" s="28" t="s">
        <v>317</v>
      </c>
      <c r="F212" s="28" t="s">
        <v>147</v>
      </c>
      <c r="G212" s="28" t="s">
        <v>148</v>
      </c>
      <c r="H212" s="28" t="s">
        <v>179</v>
      </c>
      <c r="I212" s="29" t="n">
        <v>70000</v>
      </c>
      <c r="J212" s="29" t="n">
        <v>35000</v>
      </c>
      <c r="K212" s="28" t="n">
        <v>7.5</v>
      </c>
      <c r="L212" s="28" t="n">
        <v>90</v>
      </c>
      <c r="M212" s="28" t="n">
        <v>2</v>
      </c>
    </row>
    <row r="213" customFormat="false" ht="15" hidden="false" customHeight="false" outlineLevel="0" collapsed="false">
      <c r="A213" s="27" t="n">
        <v>43854</v>
      </c>
      <c r="B213" s="28" t="n">
        <v>2020</v>
      </c>
      <c r="C213" s="28" t="s">
        <v>198</v>
      </c>
      <c r="D213" s="28" t="s">
        <v>47</v>
      </c>
      <c r="E213" s="28" t="s">
        <v>184</v>
      </c>
      <c r="F213" s="28" t="s">
        <v>147</v>
      </c>
      <c r="G213" s="28" t="s">
        <v>148</v>
      </c>
      <c r="H213" s="28" t="s">
        <v>159</v>
      </c>
      <c r="I213" s="29" t="n">
        <v>50000</v>
      </c>
      <c r="J213" s="29" t="n">
        <v>25000</v>
      </c>
      <c r="K213" s="28" t="n">
        <v>7.5</v>
      </c>
      <c r="L213" s="28" t="n">
        <v>66</v>
      </c>
      <c r="M213" s="28" t="n">
        <v>5</v>
      </c>
    </row>
    <row r="214" customFormat="false" ht="15" hidden="false" customHeight="false" outlineLevel="0" collapsed="false">
      <c r="A214" s="27" t="n">
        <v>43857</v>
      </c>
      <c r="B214" s="28" t="n">
        <v>2020</v>
      </c>
      <c r="C214" s="28" t="s">
        <v>203</v>
      </c>
      <c r="D214" s="28" t="s">
        <v>42</v>
      </c>
      <c r="E214" s="28" t="s">
        <v>242</v>
      </c>
      <c r="F214" s="28" t="s">
        <v>142</v>
      </c>
      <c r="G214" s="28" t="s">
        <v>143</v>
      </c>
      <c r="H214" s="28" t="s">
        <v>208</v>
      </c>
      <c r="I214" s="29" t="n">
        <v>490000</v>
      </c>
      <c r="J214" s="29" t="n">
        <v>367500</v>
      </c>
      <c r="K214" s="28" t="n">
        <v>7.5</v>
      </c>
      <c r="L214" s="28" t="n">
        <v>124</v>
      </c>
      <c r="M214" s="28" t="n">
        <v>14</v>
      </c>
    </row>
    <row r="215" customFormat="false" ht="15" hidden="false" customHeight="false" outlineLevel="0" collapsed="false">
      <c r="A215" s="27" t="n">
        <v>43857</v>
      </c>
      <c r="B215" s="28" t="n">
        <v>2020</v>
      </c>
      <c r="C215" s="28" t="s">
        <v>198</v>
      </c>
      <c r="D215" s="28" t="s">
        <v>47</v>
      </c>
      <c r="E215" s="28" t="s">
        <v>184</v>
      </c>
      <c r="F215" s="28" t="s">
        <v>147</v>
      </c>
      <c r="G215" s="28" t="s">
        <v>148</v>
      </c>
      <c r="H215" s="28" t="s">
        <v>159</v>
      </c>
      <c r="I215" s="29" t="n">
        <v>25000</v>
      </c>
      <c r="J215" s="29" t="n">
        <v>12500</v>
      </c>
      <c r="K215" s="28" t="n">
        <v>8.5</v>
      </c>
      <c r="L215" s="28" t="n">
        <v>120</v>
      </c>
      <c r="M215" s="28" t="n">
        <v>5</v>
      </c>
    </row>
    <row r="216" customFormat="false" ht="15" hidden="false" customHeight="false" outlineLevel="0" collapsed="false">
      <c r="A216" s="27" t="n">
        <v>43857</v>
      </c>
      <c r="B216" s="28" t="n">
        <v>2020</v>
      </c>
      <c r="C216" s="28" t="s">
        <v>172</v>
      </c>
      <c r="D216" s="28" t="s">
        <v>45</v>
      </c>
      <c r="E216" s="28" t="s">
        <v>293</v>
      </c>
      <c r="F216" s="28" t="s">
        <v>194</v>
      </c>
      <c r="G216" s="28" t="s">
        <v>152</v>
      </c>
      <c r="H216" s="28" t="s">
        <v>374</v>
      </c>
      <c r="I216" s="29" t="n">
        <v>530000</v>
      </c>
      <c r="J216" s="29" t="n">
        <v>397500</v>
      </c>
      <c r="K216" s="28" t="n">
        <v>6.75</v>
      </c>
      <c r="L216" s="28" t="n">
        <v>78</v>
      </c>
      <c r="M216" s="28" t="n">
        <v>5</v>
      </c>
    </row>
    <row r="217" customFormat="false" ht="15" hidden="false" customHeight="false" outlineLevel="0" collapsed="false">
      <c r="A217" s="27" t="n">
        <v>43857</v>
      </c>
      <c r="B217" s="28" t="n">
        <v>2020</v>
      </c>
      <c r="C217" s="28" t="s">
        <v>172</v>
      </c>
      <c r="D217" s="28" t="s">
        <v>48</v>
      </c>
      <c r="E217" s="28" t="s">
        <v>210</v>
      </c>
      <c r="F217" s="28" t="s">
        <v>147</v>
      </c>
      <c r="G217" s="28" t="s">
        <v>148</v>
      </c>
      <c r="H217" s="28" t="s">
        <v>165</v>
      </c>
      <c r="I217" s="29" t="n">
        <v>55000</v>
      </c>
      <c r="J217" s="29" t="n">
        <v>27500</v>
      </c>
      <c r="K217" s="28" t="n">
        <v>8.45</v>
      </c>
      <c r="L217" s="28" t="n">
        <v>84</v>
      </c>
      <c r="M217" s="28" t="n">
        <v>1</v>
      </c>
    </row>
    <row r="218" customFormat="false" ht="15" hidden="false" customHeight="false" outlineLevel="0" collapsed="false">
      <c r="A218" s="27" t="n">
        <v>43857</v>
      </c>
      <c r="B218" s="28" t="n">
        <v>2020</v>
      </c>
      <c r="C218" s="28" t="s">
        <v>375</v>
      </c>
      <c r="D218" s="28" t="s">
        <v>42</v>
      </c>
      <c r="E218" s="28" t="s">
        <v>164</v>
      </c>
      <c r="F218" s="28" t="s">
        <v>142</v>
      </c>
      <c r="G218" s="28" t="s">
        <v>148</v>
      </c>
      <c r="H218" s="28" t="s">
        <v>306</v>
      </c>
      <c r="I218" s="29" t="n">
        <v>1375000</v>
      </c>
      <c r="J218" s="29" t="n">
        <v>1031250</v>
      </c>
      <c r="K218" s="28" t="n">
        <v>5.5</v>
      </c>
      <c r="L218" s="28" t="n">
        <v>252</v>
      </c>
      <c r="M218" s="28" t="n">
        <v>20</v>
      </c>
    </row>
    <row r="219" customFormat="false" ht="15" hidden="false" customHeight="false" outlineLevel="0" collapsed="false">
      <c r="A219" s="27" t="n">
        <v>43858</v>
      </c>
      <c r="B219" s="28" t="n">
        <v>2020</v>
      </c>
      <c r="C219" s="28" t="s">
        <v>172</v>
      </c>
      <c r="D219" s="28" t="s">
        <v>48</v>
      </c>
      <c r="E219" s="28" t="s">
        <v>212</v>
      </c>
      <c r="F219" s="28" t="s">
        <v>142</v>
      </c>
      <c r="G219" s="28" t="s">
        <v>152</v>
      </c>
      <c r="H219" s="28" t="s">
        <v>376</v>
      </c>
      <c r="I219" s="29" t="n">
        <v>1800000</v>
      </c>
      <c r="J219" s="29" t="n">
        <v>1350000</v>
      </c>
      <c r="K219" s="28" t="n">
        <v>6.75</v>
      </c>
      <c r="L219" s="28" t="n">
        <v>120</v>
      </c>
      <c r="M219" s="28" t="n">
        <v>20</v>
      </c>
    </row>
    <row r="220" customFormat="false" ht="15" hidden="false" customHeight="false" outlineLevel="0" collapsed="false">
      <c r="A220" s="27" t="n">
        <v>43859</v>
      </c>
      <c r="B220" s="28" t="n">
        <v>2020</v>
      </c>
      <c r="C220" s="28" t="s">
        <v>230</v>
      </c>
      <c r="D220" s="28" t="s">
        <v>43</v>
      </c>
      <c r="E220" s="28" t="s">
        <v>377</v>
      </c>
      <c r="F220" s="28" t="s">
        <v>142</v>
      </c>
      <c r="G220" s="28" t="s">
        <v>152</v>
      </c>
      <c r="H220" s="28" t="s">
        <v>144</v>
      </c>
      <c r="I220" s="29" t="n">
        <v>1800000</v>
      </c>
      <c r="J220" s="29" t="n">
        <v>1350000</v>
      </c>
      <c r="K220" s="28" t="n">
        <v>5.75</v>
      </c>
      <c r="L220" s="28" t="n">
        <v>120</v>
      </c>
      <c r="M220" s="28" t="n">
        <v>120</v>
      </c>
    </row>
    <row r="221" customFormat="false" ht="15" hidden="false" customHeight="false" outlineLevel="0" collapsed="false">
      <c r="A221" s="27" t="n">
        <v>43859</v>
      </c>
      <c r="B221" s="28" t="n">
        <v>2020</v>
      </c>
      <c r="C221" s="28" t="s">
        <v>169</v>
      </c>
      <c r="D221" s="28" t="s">
        <v>46</v>
      </c>
      <c r="E221" s="28" t="s">
        <v>273</v>
      </c>
      <c r="F221" s="28" t="s">
        <v>142</v>
      </c>
      <c r="G221" s="28" t="s">
        <v>143</v>
      </c>
      <c r="H221" s="28" t="s">
        <v>168</v>
      </c>
      <c r="I221" s="29" t="n">
        <v>222700</v>
      </c>
      <c r="J221" s="29" t="n">
        <v>167025</v>
      </c>
      <c r="K221" s="28" t="n">
        <v>5.85</v>
      </c>
      <c r="L221" s="28" t="n">
        <v>120</v>
      </c>
      <c r="M221" s="28" t="n">
        <v>11</v>
      </c>
    </row>
    <row r="222" customFormat="false" ht="15" hidden="false" customHeight="false" outlineLevel="0" collapsed="false">
      <c r="A222" s="27" t="n">
        <v>43859</v>
      </c>
      <c r="B222" s="28" t="n">
        <v>2020</v>
      </c>
      <c r="C222" s="28" t="s">
        <v>310</v>
      </c>
      <c r="D222" s="28" t="s">
        <v>45</v>
      </c>
      <c r="E222" s="28" t="s">
        <v>378</v>
      </c>
      <c r="F222" s="28" t="s">
        <v>147</v>
      </c>
      <c r="G222" s="28" t="s">
        <v>148</v>
      </c>
      <c r="H222" s="28" t="s">
        <v>306</v>
      </c>
      <c r="I222" s="29" t="n">
        <v>25000</v>
      </c>
      <c r="J222" s="29" t="n">
        <v>12500</v>
      </c>
      <c r="K222" s="28" t="n">
        <v>6.75</v>
      </c>
      <c r="L222" s="28" t="n">
        <v>120</v>
      </c>
      <c r="M222" s="28" t="n">
        <v>10</v>
      </c>
    </row>
    <row r="223" customFormat="false" ht="15" hidden="false" customHeight="false" outlineLevel="0" collapsed="false">
      <c r="A223" s="27" t="n">
        <v>43859</v>
      </c>
      <c r="B223" s="28" t="n">
        <v>2020</v>
      </c>
      <c r="C223" s="28" t="s">
        <v>172</v>
      </c>
      <c r="D223" s="28" t="s">
        <v>42</v>
      </c>
      <c r="E223" s="28" t="s">
        <v>164</v>
      </c>
      <c r="F223" s="28" t="s">
        <v>142</v>
      </c>
      <c r="G223" s="28" t="s">
        <v>152</v>
      </c>
      <c r="H223" s="28" t="s">
        <v>149</v>
      </c>
      <c r="I223" s="29" t="n">
        <v>445000</v>
      </c>
      <c r="J223" s="29" t="n">
        <v>333750</v>
      </c>
      <c r="K223" s="28" t="n">
        <v>7</v>
      </c>
      <c r="L223" s="28" t="n">
        <v>77</v>
      </c>
      <c r="M223" s="28" t="n">
        <v>9</v>
      </c>
    </row>
    <row r="224" customFormat="false" ht="15" hidden="false" customHeight="false" outlineLevel="0" collapsed="false">
      <c r="A224" s="27" t="n">
        <v>43860</v>
      </c>
      <c r="B224" s="28" t="n">
        <v>2020</v>
      </c>
      <c r="C224" s="28" t="s">
        <v>379</v>
      </c>
      <c r="D224" s="28" t="s">
        <v>47</v>
      </c>
      <c r="E224" s="28" t="s">
        <v>380</v>
      </c>
      <c r="F224" s="28" t="s">
        <v>142</v>
      </c>
      <c r="G224" s="28" t="s">
        <v>143</v>
      </c>
      <c r="H224" s="28" t="s">
        <v>291</v>
      </c>
      <c r="I224" s="29" t="n">
        <v>32400</v>
      </c>
      <c r="J224" s="29" t="n">
        <v>27540</v>
      </c>
      <c r="K224" s="28" t="n">
        <v>5.5</v>
      </c>
      <c r="L224" s="28" t="n">
        <v>60</v>
      </c>
      <c r="M224" s="28" t="n">
        <v>2</v>
      </c>
    </row>
    <row r="225" customFormat="false" ht="15" hidden="false" customHeight="false" outlineLevel="0" collapsed="false">
      <c r="A225" s="27" t="n">
        <v>43864</v>
      </c>
      <c r="B225" s="28" t="n">
        <v>2020</v>
      </c>
      <c r="C225" s="28" t="s">
        <v>353</v>
      </c>
      <c r="D225" s="28" t="s">
        <v>52</v>
      </c>
      <c r="E225" s="28" t="s">
        <v>250</v>
      </c>
      <c r="F225" s="28" t="s">
        <v>142</v>
      </c>
      <c r="G225" s="28" t="s">
        <v>148</v>
      </c>
      <c r="H225" s="28" t="s">
        <v>200</v>
      </c>
      <c r="I225" s="29" t="n">
        <v>265000</v>
      </c>
      <c r="J225" s="29" t="n">
        <v>198750</v>
      </c>
      <c r="K225" s="28" t="n">
        <v>7.5</v>
      </c>
      <c r="L225" s="28" t="n">
        <v>120</v>
      </c>
      <c r="M225" s="28" t="n">
        <v>0</v>
      </c>
    </row>
    <row r="226" customFormat="false" ht="15" hidden="false" customHeight="false" outlineLevel="0" collapsed="false">
      <c r="A226" s="27" t="n">
        <v>43864</v>
      </c>
      <c r="B226" s="28" t="n">
        <v>2020</v>
      </c>
      <c r="C226" s="28" t="s">
        <v>198</v>
      </c>
      <c r="D226" s="28" t="s">
        <v>47</v>
      </c>
      <c r="E226" s="28" t="s">
        <v>364</v>
      </c>
      <c r="F226" s="28" t="s">
        <v>142</v>
      </c>
      <c r="G226" s="28" t="s">
        <v>152</v>
      </c>
      <c r="H226" s="28" t="s">
        <v>165</v>
      </c>
      <c r="I226" s="29" t="n">
        <v>762500</v>
      </c>
      <c r="J226" s="29" t="n">
        <v>571875</v>
      </c>
      <c r="K226" s="28" t="n">
        <v>5.24</v>
      </c>
      <c r="L226" s="28" t="n">
        <v>120</v>
      </c>
      <c r="M226" s="28" t="n">
        <v>20</v>
      </c>
    </row>
    <row r="227" customFormat="false" ht="15" hidden="false" customHeight="false" outlineLevel="0" collapsed="false">
      <c r="A227" s="27" t="n">
        <v>43865</v>
      </c>
      <c r="B227" s="28" t="n">
        <v>2020</v>
      </c>
      <c r="C227" s="28" t="s">
        <v>213</v>
      </c>
      <c r="D227" s="28" t="s">
        <v>48</v>
      </c>
      <c r="E227" s="28" t="s">
        <v>381</v>
      </c>
      <c r="F227" s="28" t="s">
        <v>194</v>
      </c>
      <c r="G227" s="28" t="s">
        <v>156</v>
      </c>
      <c r="H227" s="28" t="s">
        <v>255</v>
      </c>
      <c r="I227" s="29" t="n">
        <v>715000</v>
      </c>
      <c r="J227" s="29" t="n">
        <v>536250</v>
      </c>
      <c r="K227" s="28" t="n">
        <v>7.5</v>
      </c>
      <c r="L227" s="28" t="n">
        <v>120</v>
      </c>
      <c r="M227" s="28" t="n">
        <v>7</v>
      </c>
    </row>
    <row r="228" customFormat="false" ht="15" hidden="false" customHeight="false" outlineLevel="0" collapsed="false">
      <c r="A228" s="27" t="n">
        <v>43865</v>
      </c>
      <c r="B228" s="28" t="n">
        <v>2020</v>
      </c>
      <c r="C228" s="28" t="s">
        <v>206</v>
      </c>
      <c r="D228" s="28" t="s">
        <v>42</v>
      </c>
      <c r="E228" s="28" t="s">
        <v>164</v>
      </c>
      <c r="F228" s="28" t="s">
        <v>142</v>
      </c>
      <c r="G228" s="28" t="s">
        <v>152</v>
      </c>
      <c r="H228" s="28" t="s">
        <v>382</v>
      </c>
      <c r="I228" s="29" t="n">
        <v>582000</v>
      </c>
      <c r="J228" s="29" t="n">
        <v>436500</v>
      </c>
      <c r="K228" s="28" t="n">
        <v>7.25</v>
      </c>
      <c r="L228" s="28" t="n">
        <v>120</v>
      </c>
      <c r="M228" s="28" t="n">
        <v>65</v>
      </c>
    </row>
    <row r="229" customFormat="false" ht="15" hidden="false" customHeight="false" outlineLevel="0" collapsed="false">
      <c r="A229" s="27" t="n">
        <v>43866</v>
      </c>
      <c r="B229" s="28" t="n">
        <v>2020</v>
      </c>
      <c r="C229" s="28" t="s">
        <v>169</v>
      </c>
      <c r="D229" s="28" t="s">
        <v>48</v>
      </c>
      <c r="E229" s="28" t="s">
        <v>210</v>
      </c>
      <c r="F229" s="28" t="s">
        <v>142</v>
      </c>
      <c r="G229" s="28" t="s">
        <v>148</v>
      </c>
      <c r="H229" s="28" t="s">
        <v>200</v>
      </c>
      <c r="I229" s="29" t="n">
        <v>625000</v>
      </c>
      <c r="J229" s="29" t="n">
        <v>468750</v>
      </c>
      <c r="K229" s="28" t="n">
        <v>7.5</v>
      </c>
      <c r="L229" s="28" t="n">
        <v>120</v>
      </c>
      <c r="M229" s="28" t="n">
        <v>31</v>
      </c>
    </row>
    <row r="230" customFormat="false" ht="15" hidden="false" customHeight="false" outlineLevel="0" collapsed="false">
      <c r="A230" s="27" t="n">
        <v>43866</v>
      </c>
      <c r="B230" s="28" t="n">
        <v>2020</v>
      </c>
      <c r="C230" s="28" t="s">
        <v>232</v>
      </c>
      <c r="D230" s="28" t="s">
        <v>42</v>
      </c>
      <c r="E230" s="28" t="s">
        <v>247</v>
      </c>
      <c r="F230" s="28" t="s">
        <v>142</v>
      </c>
      <c r="G230" s="28" t="s">
        <v>152</v>
      </c>
      <c r="H230" s="28" t="s">
        <v>326</v>
      </c>
      <c r="I230" s="29" t="n">
        <v>1525000</v>
      </c>
      <c r="J230" s="29" t="n">
        <v>1143750</v>
      </c>
      <c r="K230" s="28" t="n">
        <v>6.25</v>
      </c>
      <c r="L230" s="28" t="n">
        <v>300</v>
      </c>
      <c r="M230" s="28" t="n">
        <v>2</v>
      </c>
    </row>
    <row r="231" customFormat="false" ht="15" hidden="false" customHeight="false" outlineLevel="0" collapsed="false">
      <c r="A231" s="27" t="n">
        <v>43866</v>
      </c>
      <c r="B231" s="28" t="n">
        <v>2020</v>
      </c>
      <c r="C231" s="28" t="s">
        <v>145</v>
      </c>
      <c r="D231" s="28" t="s">
        <v>53</v>
      </c>
      <c r="E231" s="28" t="s">
        <v>383</v>
      </c>
      <c r="F231" s="28" t="s">
        <v>147</v>
      </c>
      <c r="G231" s="28" t="s">
        <v>148</v>
      </c>
      <c r="H231" s="28" t="s">
        <v>205</v>
      </c>
      <c r="I231" s="29" t="n">
        <v>50000</v>
      </c>
      <c r="J231" s="29" t="n">
        <v>25000</v>
      </c>
      <c r="K231" s="28" t="n">
        <v>10.88</v>
      </c>
      <c r="L231" s="28" t="n">
        <v>120</v>
      </c>
      <c r="M231" s="28" t="n">
        <v>2</v>
      </c>
    </row>
    <row r="232" customFormat="false" ht="15" hidden="false" customHeight="false" outlineLevel="0" collapsed="false">
      <c r="A232" s="27" t="n">
        <v>43866</v>
      </c>
      <c r="B232" s="28" t="n">
        <v>2020</v>
      </c>
      <c r="C232" s="28" t="s">
        <v>384</v>
      </c>
      <c r="D232" s="28" t="s">
        <v>50</v>
      </c>
      <c r="E232" s="28" t="s">
        <v>193</v>
      </c>
      <c r="F232" s="28" t="s">
        <v>147</v>
      </c>
      <c r="G232" s="28" t="s">
        <v>148</v>
      </c>
      <c r="H232" s="28" t="s">
        <v>320</v>
      </c>
      <c r="I232" s="29" t="n">
        <v>136000</v>
      </c>
      <c r="J232" s="29" t="n">
        <v>68000</v>
      </c>
      <c r="K232" s="28" t="n">
        <v>4.75</v>
      </c>
      <c r="L232" s="28" t="n">
        <v>120</v>
      </c>
      <c r="M232" s="28" t="n">
        <v>8</v>
      </c>
    </row>
    <row r="233" customFormat="false" ht="15" hidden="false" customHeight="false" outlineLevel="0" collapsed="false">
      <c r="A233" s="27" t="n">
        <v>43867</v>
      </c>
      <c r="B233" s="28" t="n">
        <v>2020</v>
      </c>
      <c r="C233" s="28" t="s">
        <v>160</v>
      </c>
      <c r="D233" s="28" t="s">
        <v>43</v>
      </c>
      <c r="E233" s="28" t="s">
        <v>385</v>
      </c>
      <c r="F233" s="28" t="s">
        <v>194</v>
      </c>
      <c r="G233" s="28" t="s">
        <v>143</v>
      </c>
      <c r="H233" s="28" t="s">
        <v>251</v>
      </c>
      <c r="I233" s="29" t="n">
        <v>91600</v>
      </c>
      <c r="J233" s="29" t="n">
        <v>77860</v>
      </c>
      <c r="K233" s="28" t="n">
        <v>7.5</v>
      </c>
      <c r="L233" s="28" t="n">
        <v>120</v>
      </c>
      <c r="M233" s="28" t="n">
        <v>6</v>
      </c>
    </row>
    <row r="234" customFormat="false" ht="15" hidden="false" customHeight="false" outlineLevel="0" collapsed="false">
      <c r="A234" s="27" t="n">
        <v>43867</v>
      </c>
      <c r="B234" s="28" t="n">
        <v>2020</v>
      </c>
      <c r="C234" s="28" t="s">
        <v>145</v>
      </c>
      <c r="D234" s="28" t="s">
        <v>46</v>
      </c>
      <c r="E234" s="28" t="s">
        <v>386</v>
      </c>
      <c r="F234" s="28" t="s">
        <v>147</v>
      </c>
      <c r="G234" s="28" t="s">
        <v>156</v>
      </c>
      <c r="H234" s="28" t="s">
        <v>168</v>
      </c>
      <c r="I234" s="29" t="n">
        <v>10000</v>
      </c>
      <c r="J234" s="29" t="n">
        <v>5000</v>
      </c>
      <c r="K234" s="28" t="n">
        <v>9.75</v>
      </c>
      <c r="L234" s="28" t="n">
        <v>120</v>
      </c>
      <c r="M234" s="28" t="n">
        <v>0</v>
      </c>
    </row>
    <row r="235" customFormat="false" ht="15" hidden="false" customHeight="false" outlineLevel="0" collapsed="false">
      <c r="A235" s="27" t="n">
        <v>43867</v>
      </c>
      <c r="B235" s="28" t="n">
        <v>2020</v>
      </c>
      <c r="C235" s="28" t="s">
        <v>206</v>
      </c>
      <c r="D235" s="28" t="s">
        <v>50</v>
      </c>
      <c r="E235" s="28" t="s">
        <v>193</v>
      </c>
      <c r="F235" s="28" t="s">
        <v>147</v>
      </c>
      <c r="G235" s="28" t="s">
        <v>156</v>
      </c>
      <c r="H235" s="28" t="s">
        <v>205</v>
      </c>
      <c r="I235" s="29" t="n">
        <v>50000</v>
      </c>
      <c r="J235" s="29" t="n">
        <v>25000</v>
      </c>
      <c r="K235" s="28" t="n">
        <v>9.96</v>
      </c>
      <c r="L235" s="28" t="n">
        <v>60</v>
      </c>
      <c r="M235" s="28" t="n">
        <v>3</v>
      </c>
    </row>
    <row r="236" customFormat="false" ht="15" hidden="false" customHeight="false" outlineLevel="0" collapsed="false">
      <c r="A236" s="27" t="n">
        <v>43868</v>
      </c>
      <c r="B236" s="28" t="n">
        <v>2020</v>
      </c>
      <c r="C236" s="28" t="s">
        <v>387</v>
      </c>
      <c r="D236" s="28" t="s">
        <v>42</v>
      </c>
      <c r="E236" s="28" t="s">
        <v>247</v>
      </c>
      <c r="F236" s="28" t="s">
        <v>194</v>
      </c>
      <c r="G236" s="28" t="s">
        <v>143</v>
      </c>
      <c r="H236" s="28" t="s">
        <v>388</v>
      </c>
      <c r="I236" s="29" t="n">
        <v>2565000</v>
      </c>
      <c r="J236" s="29" t="n">
        <v>1923750</v>
      </c>
      <c r="K236" s="28" t="n">
        <v>6.25</v>
      </c>
      <c r="L236" s="28" t="n">
        <v>300</v>
      </c>
      <c r="M236" s="28" t="n">
        <v>9</v>
      </c>
    </row>
    <row r="237" customFormat="false" ht="15" hidden="false" customHeight="false" outlineLevel="0" collapsed="false">
      <c r="A237" s="27" t="n">
        <v>43872</v>
      </c>
      <c r="B237" s="28" t="n">
        <v>2020</v>
      </c>
      <c r="C237" s="28" t="s">
        <v>172</v>
      </c>
      <c r="D237" s="28" t="s">
        <v>44</v>
      </c>
      <c r="E237" s="28" t="s">
        <v>355</v>
      </c>
      <c r="F237" s="28" t="s">
        <v>147</v>
      </c>
      <c r="G237" s="28" t="s">
        <v>148</v>
      </c>
      <c r="H237" s="28" t="s">
        <v>159</v>
      </c>
      <c r="I237" s="29" t="n">
        <v>30000</v>
      </c>
      <c r="J237" s="29" t="n">
        <v>15000</v>
      </c>
      <c r="K237" s="28" t="n">
        <v>9.25</v>
      </c>
      <c r="L237" s="28" t="n">
        <v>75</v>
      </c>
      <c r="M237" s="28" t="n">
        <v>1</v>
      </c>
    </row>
    <row r="238" customFormat="false" ht="15" hidden="false" customHeight="false" outlineLevel="0" collapsed="false">
      <c r="A238" s="27" t="n">
        <v>43873</v>
      </c>
      <c r="B238" s="28" t="n">
        <v>2020</v>
      </c>
      <c r="C238" s="28" t="s">
        <v>169</v>
      </c>
      <c r="D238" s="28" t="s">
        <v>46</v>
      </c>
      <c r="E238" s="28" t="s">
        <v>186</v>
      </c>
      <c r="F238" s="28" t="s">
        <v>147</v>
      </c>
      <c r="G238" s="28" t="s">
        <v>148</v>
      </c>
      <c r="H238" s="28" t="s">
        <v>320</v>
      </c>
      <c r="I238" s="29" t="n">
        <v>65000</v>
      </c>
      <c r="J238" s="29" t="n">
        <v>32500</v>
      </c>
      <c r="K238" s="28" t="n">
        <v>5.75</v>
      </c>
      <c r="L238" s="28" t="n">
        <v>66</v>
      </c>
      <c r="M238" s="28" t="n">
        <v>5</v>
      </c>
    </row>
    <row r="239" customFormat="false" ht="15" hidden="false" customHeight="false" outlineLevel="0" collapsed="false">
      <c r="A239" s="27" t="n">
        <v>43873</v>
      </c>
      <c r="B239" s="28" t="n">
        <v>2020</v>
      </c>
      <c r="C239" s="28" t="s">
        <v>312</v>
      </c>
      <c r="D239" s="28" t="s">
        <v>42</v>
      </c>
      <c r="E239" s="28" t="s">
        <v>164</v>
      </c>
      <c r="F239" s="28" t="s">
        <v>142</v>
      </c>
      <c r="G239" s="28" t="s">
        <v>143</v>
      </c>
      <c r="H239" s="28" t="s">
        <v>382</v>
      </c>
      <c r="I239" s="29" t="n">
        <v>2005000</v>
      </c>
      <c r="J239" s="29" t="n">
        <v>1503750</v>
      </c>
      <c r="K239" s="28" t="n">
        <v>6.75</v>
      </c>
      <c r="L239" s="28" t="n">
        <v>300</v>
      </c>
      <c r="M239" s="28" t="n">
        <v>40</v>
      </c>
    </row>
    <row r="240" customFormat="false" ht="15" hidden="false" customHeight="false" outlineLevel="0" collapsed="false">
      <c r="A240" s="27" t="n">
        <v>43874</v>
      </c>
      <c r="B240" s="28" t="n">
        <v>2020</v>
      </c>
      <c r="C240" s="28" t="s">
        <v>206</v>
      </c>
      <c r="D240" s="28" t="s">
        <v>50</v>
      </c>
      <c r="E240" s="28" t="s">
        <v>389</v>
      </c>
      <c r="F240" s="28" t="s">
        <v>147</v>
      </c>
      <c r="G240" s="28" t="s">
        <v>148</v>
      </c>
      <c r="H240" s="28" t="s">
        <v>205</v>
      </c>
      <c r="I240" s="29" t="n">
        <v>15000</v>
      </c>
      <c r="J240" s="29" t="n">
        <v>7500</v>
      </c>
      <c r="K240" s="28" t="n">
        <v>10.24</v>
      </c>
      <c r="L240" s="28" t="n">
        <v>120</v>
      </c>
      <c r="M240" s="28" t="n">
        <v>6</v>
      </c>
    </row>
    <row r="241" customFormat="false" ht="15" hidden="false" customHeight="false" outlineLevel="0" collapsed="false">
      <c r="A241" s="27" t="n">
        <v>43874</v>
      </c>
      <c r="B241" s="28" t="n">
        <v>2020</v>
      </c>
      <c r="C241" s="28" t="s">
        <v>172</v>
      </c>
      <c r="D241" s="28" t="s">
        <v>43</v>
      </c>
      <c r="E241" s="28" t="s">
        <v>390</v>
      </c>
      <c r="F241" s="28" t="s">
        <v>147</v>
      </c>
      <c r="G241" s="28" t="s">
        <v>156</v>
      </c>
      <c r="H241" s="28" t="s">
        <v>168</v>
      </c>
      <c r="I241" s="29" t="n">
        <v>20000</v>
      </c>
      <c r="J241" s="29" t="n">
        <v>10000</v>
      </c>
      <c r="K241" s="28" t="n">
        <v>10.25</v>
      </c>
      <c r="L241" s="28" t="n">
        <v>78</v>
      </c>
      <c r="M241" s="28" t="n">
        <v>0</v>
      </c>
    </row>
    <row r="242" customFormat="false" ht="15" hidden="false" customHeight="false" outlineLevel="0" collapsed="false">
      <c r="A242" s="27" t="n">
        <v>43875</v>
      </c>
      <c r="B242" s="28" t="n">
        <v>2020</v>
      </c>
      <c r="C242" s="28" t="s">
        <v>209</v>
      </c>
      <c r="D242" s="28" t="s">
        <v>42</v>
      </c>
      <c r="E242" s="28" t="s">
        <v>226</v>
      </c>
      <c r="F242" s="28" t="s">
        <v>147</v>
      </c>
      <c r="G242" s="28" t="s">
        <v>148</v>
      </c>
      <c r="H242" s="28" t="s">
        <v>391</v>
      </c>
      <c r="I242" s="29" t="n">
        <v>65000</v>
      </c>
      <c r="J242" s="29" t="n">
        <v>32500</v>
      </c>
      <c r="K242" s="28" t="n">
        <v>5</v>
      </c>
      <c r="L242" s="28" t="n">
        <v>78</v>
      </c>
      <c r="M242" s="28" t="n">
        <v>9</v>
      </c>
    </row>
    <row r="243" customFormat="false" ht="15" hidden="false" customHeight="false" outlineLevel="0" collapsed="false">
      <c r="A243" s="27" t="n">
        <v>43875</v>
      </c>
      <c r="B243" s="28" t="n">
        <v>2020</v>
      </c>
      <c r="C243" s="28" t="s">
        <v>303</v>
      </c>
      <c r="D243" s="28" t="s">
        <v>44</v>
      </c>
      <c r="E243" s="28" t="s">
        <v>392</v>
      </c>
      <c r="F243" s="28" t="s">
        <v>142</v>
      </c>
      <c r="G243" s="28" t="s">
        <v>148</v>
      </c>
      <c r="H243" s="28" t="s">
        <v>153</v>
      </c>
      <c r="I243" s="29" t="n">
        <v>483500</v>
      </c>
      <c r="J243" s="29" t="n">
        <v>362625</v>
      </c>
      <c r="K243" s="28" t="n">
        <v>7</v>
      </c>
      <c r="L243" s="28" t="n">
        <v>120</v>
      </c>
      <c r="M243" s="28" t="n">
        <v>6</v>
      </c>
    </row>
    <row r="244" customFormat="false" ht="15" hidden="false" customHeight="false" outlineLevel="0" collapsed="false">
      <c r="A244" s="27" t="n">
        <v>43879</v>
      </c>
      <c r="B244" s="28" t="n">
        <v>2020</v>
      </c>
      <c r="C244" s="28" t="s">
        <v>393</v>
      </c>
      <c r="D244" s="28" t="s">
        <v>52</v>
      </c>
      <c r="E244" s="28" t="s">
        <v>250</v>
      </c>
      <c r="F244" s="28" t="s">
        <v>142</v>
      </c>
      <c r="G244" s="28" t="s">
        <v>148</v>
      </c>
      <c r="H244" s="28" t="s">
        <v>347</v>
      </c>
      <c r="I244" s="29" t="n">
        <v>130000</v>
      </c>
      <c r="J244" s="29" t="n">
        <v>110500</v>
      </c>
      <c r="K244" s="28" t="n">
        <v>7.5</v>
      </c>
      <c r="L244" s="28" t="n">
        <v>120</v>
      </c>
      <c r="M244" s="28" t="n">
        <v>3</v>
      </c>
    </row>
    <row r="245" customFormat="false" ht="15" hidden="false" customHeight="false" outlineLevel="0" collapsed="false">
      <c r="A245" s="27" t="n">
        <v>43879</v>
      </c>
      <c r="B245" s="28" t="n">
        <v>2020</v>
      </c>
      <c r="C245" s="28" t="s">
        <v>394</v>
      </c>
      <c r="D245" s="28" t="s">
        <v>42</v>
      </c>
      <c r="E245" s="28" t="s">
        <v>247</v>
      </c>
      <c r="F245" s="28" t="s">
        <v>142</v>
      </c>
      <c r="G245" s="28" t="s">
        <v>156</v>
      </c>
      <c r="H245" s="28" t="s">
        <v>211</v>
      </c>
      <c r="I245" s="29" t="n">
        <v>1510000</v>
      </c>
      <c r="J245" s="29" t="n">
        <v>1132500</v>
      </c>
      <c r="K245" s="28" t="n">
        <v>6.25</v>
      </c>
      <c r="L245" s="28" t="n">
        <v>300</v>
      </c>
      <c r="M245" s="28" t="n">
        <v>28</v>
      </c>
    </row>
    <row r="246" customFormat="false" ht="15" hidden="false" customHeight="false" outlineLevel="0" collapsed="false">
      <c r="A246" s="27" t="n">
        <v>43879</v>
      </c>
      <c r="B246" s="28" t="n">
        <v>2020</v>
      </c>
      <c r="C246" s="28" t="s">
        <v>300</v>
      </c>
      <c r="D246" s="28" t="s">
        <v>52</v>
      </c>
      <c r="E246" s="28" t="s">
        <v>395</v>
      </c>
      <c r="F246" s="28" t="s">
        <v>142</v>
      </c>
      <c r="G246" s="28" t="s">
        <v>148</v>
      </c>
      <c r="H246" s="28" t="s">
        <v>171</v>
      </c>
      <c r="I246" s="29" t="n">
        <v>350000</v>
      </c>
      <c r="J246" s="29" t="n">
        <v>262500</v>
      </c>
      <c r="K246" s="28" t="n">
        <v>7.5</v>
      </c>
      <c r="L246" s="28" t="n">
        <v>106</v>
      </c>
      <c r="M246" s="28" t="n">
        <v>4</v>
      </c>
    </row>
    <row r="247" customFormat="false" ht="15" hidden="false" customHeight="false" outlineLevel="0" collapsed="false">
      <c r="A247" s="27" t="n">
        <v>43879</v>
      </c>
      <c r="B247" s="28" t="n">
        <v>2020</v>
      </c>
      <c r="C247" s="28" t="s">
        <v>169</v>
      </c>
      <c r="D247" s="28" t="s">
        <v>51</v>
      </c>
      <c r="E247" s="28" t="s">
        <v>239</v>
      </c>
      <c r="F247" s="28" t="s">
        <v>142</v>
      </c>
      <c r="G247" s="28" t="s">
        <v>156</v>
      </c>
      <c r="H247" s="28" t="s">
        <v>205</v>
      </c>
      <c r="I247" s="29" t="n">
        <v>947000</v>
      </c>
      <c r="J247" s="29" t="n">
        <v>710250</v>
      </c>
      <c r="K247" s="28" t="n">
        <v>6</v>
      </c>
      <c r="L247" s="28" t="n">
        <v>120</v>
      </c>
      <c r="M247" s="28" t="n">
        <v>20</v>
      </c>
    </row>
    <row r="248" customFormat="false" ht="15" hidden="false" customHeight="false" outlineLevel="0" collapsed="false">
      <c r="A248" s="27" t="n">
        <v>43879</v>
      </c>
      <c r="B248" s="28" t="n">
        <v>2020</v>
      </c>
      <c r="C248" s="28" t="s">
        <v>213</v>
      </c>
      <c r="D248" s="28" t="s">
        <v>54</v>
      </c>
      <c r="E248" s="28" t="s">
        <v>155</v>
      </c>
      <c r="F248" s="28" t="s">
        <v>194</v>
      </c>
      <c r="G248" s="28" t="s">
        <v>148</v>
      </c>
      <c r="H248" s="28" t="s">
        <v>396</v>
      </c>
      <c r="I248" s="29" t="n">
        <v>125000</v>
      </c>
      <c r="J248" s="29" t="n">
        <v>106250</v>
      </c>
      <c r="K248" s="28" t="n">
        <v>5.5</v>
      </c>
      <c r="L248" s="28" t="n">
        <v>60</v>
      </c>
      <c r="M248" s="28" t="n">
        <v>2</v>
      </c>
    </row>
    <row r="249" customFormat="false" ht="15" hidden="false" customHeight="false" outlineLevel="0" collapsed="false">
      <c r="A249" s="27" t="n">
        <v>43880</v>
      </c>
      <c r="B249" s="28" t="n">
        <v>2020</v>
      </c>
      <c r="C249" s="28" t="s">
        <v>206</v>
      </c>
      <c r="D249" s="28" t="s">
        <v>48</v>
      </c>
      <c r="E249" s="28" t="s">
        <v>362</v>
      </c>
      <c r="F249" s="28" t="s">
        <v>147</v>
      </c>
      <c r="G249" s="28" t="s">
        <v>148</v>
      </c>
      <c r="H249" s="28" t="s">
        <v>205</v>
      </c>
      <c r="I249" s="29" t="n">
        <v>15000</v>
      </c>
      <c r="J249" s="29" t="n">
        <v>7500</v>
      </c>
      <c r="K249" s="28" t="n">
        <v>10.54</v>
      </c>
      <c r="L249" s="28" t="n">
        <v>65</v>
      </c>
      <c r="M249" s="28" t="n">
        <v>5</v>
      </c>
    </row>
    <row r="250" customFormat="false" ht="15" hidden="false" customHeight="false" outlineLevel="0" collapsed="false">
      <c r="A250" s="27" t="n">
        <v>43880</v>
      </c>
      <c r="B250" s="28" t="n">
        <v>2020</v>
      </c>
      <c r="C250" s="28" t="s">
        <v>166</v>
      </c>
      <c r="D250" s="28" t="s">
        <v>54</v>
      </c>
      <c r="E250" s="28" t="s">
        <v>155</v>
      </c>
      <c r="F250" s="28" t="s">
        <v>142</v>
      </c>
      <c r="G250" s="28" t="s">
        <v>148</v>
      </c>
      <c r="H250" s="28" t="s">
        <v>144</v>
      </c>
      <c r="I250" s="29" t="n">
        <v>720000</v>
      </c>
      <c r="J250" s="29" t="n">
        <v>540000</v>
      </c>
      <c r="K250" s="28" t="n">
        <v>6.74</v>
      </c>
      <c r="L250" s="28" t="n">
        <v>300</v>
      </c>
      <c r="M250" s="28" t="n">
        <v>0</v>
      </c>
    </row>
    <row r="251" customFormat="false" ht="15" hidden="false" customHeight="false" outlineLevel="0" collapsed="false">
      <c r="A251" s="27" t="n">
        <v>43881</v>
      </c>
      <c r="B251" s="28" t="n">
        <v>2020</v>
      </c>
      <c r="C251" s="28" t="s">
        <v>169</v>
      </c>
      <c r="D251" s="28" t="s">
        <v>50</v>
      </c>
      <c r="E251" s="28" t="s">
        <v>370</v>
      </c>
      <c r="F251" s="28" t="s">
        <v>142</v>
      </c>
      <c r="G251" s="28" t="s">
        <v>143</v>
      </c>
      <c r="H251" s="28" t="s">
        <v>287</v>
      </c>
      <c r="I251" s="29" t="n">
        <v>150000</v>
      </c>
      <c r="J251" s="29" t="n">
        <v>127500</v>
      </c>
      <c r="K251" s="28" t="n">
        <v>7.5</v>
      </c>
      <c r="L251" s="28" t="n">
        <v>120</v>
      </c>
      <c r="M251" s="28" t="n">
        <v>2</v>
      </c>
    </row>
    <row r="252" customFormat="false" ht="15" hidden="false" customHeight="false" outlineLevel="0" collapsed="false">
      <c r="A252" s="27" t="n">
        <v>43882</v>
      </c>
      <c r="B252" s="28" t="n">
        <v>2020</v>
      </c>
      <c r="C252" s="28" t="s">
        <v>243</v>
      </c>
      <c r="D252" s="28" t="s">
        <v>42</v>
      </c>
      <c r="E252" s="28" t="s">
        <v>247</v>
      </c>
      <c r="F252" s="28" t="s">
        <v>142</v>
      </c>
      <c r="G252" s="28" t="s">
        <v>152</v>
      </c>
      <c r="H252" s="28" t="s">
        <v>287</v>
      </c>
      <c r="I252" s="29" t="n">
        <v>3370000</v>
      </c>
      <c r="J252" s="29" t="n">
        <v>2527500</v>
      </c>
      <c r="K252" s="28" t="n">
        <v>6</v>
      </c>
      <c r="L252" s="28" t="n">
        <v>300</v>
      </c>
      <c r="M252" s="28" t="n">
        <v>13</v>
      </c>
    </row>
    <row r="253" customFormat="false" ht="15" hidden="false" customHeight="false" outlineLevel="0" collapsed="false">
      <c r="A253" s="27" t="n">
        <v>43882</v>
      </c>
      <c r="B253" s="28" t="n">
        <v>2020</v>
      </c>
      <c r="C253" s="28" t="s">
        <v>172</v>
      </c>
      <c r="D253" s="28" t="s">
        <v>47</v>
      </c>
      <c r="E253" s="28" t="s">
        <v>397</v>
      </c>
      <c r="F253" s="28" t="s">
        <v>147</v>
      </c>
      <c r="G253" s="28" t="s">
        <v>148</v>
      </c>
      <c r="H253" s="28" t="s">
        <v>248</v>
      </c>
      <c r="I253" s="29" t="n">
        <v>150000</v>
      </c>
      <c r="J253" s="29" t="n">
        <v>75000</v>
      </c>
      <c r="K253" s="28" t="n">
        <v>7.5</v>
      </c>
      <c r="L253" s="28" t="n">
        <v>60</v>
      </c>
      <c r="M253" s="28" t="n">
        <v>4</v>
      </c>
    </row>
    <row r="254" customFormat="false" ht="15" hidden="false" customHeight="false" outlineLevel="0" collapsed="false">
      <c r="A254" s="27" t="n">
        <v>43882</v>
      </c>
      <c r="B254" s="28" t="n">
        <v>2020</v>
      </c>
      <c r="C254" s="28" t="s">
        <v>160</v>
      </c>
      <c r="D254" s="28" t="s">
        <v>46</v>
      </c>
      <c r="E254" s="28" t="s">
        <v>262</v>
      </c>
      <c r="F254" s="28" t="s">
        <v>142</v>
      </c>
      <c r="G254" s="28" t="s">
        <v>152</v>
      </c>
      <c r="H254" s="28" t="s">
        <v>144</v>
      </c>
      <c r="I254" s="29" t="n">
        <v>860000</v>
      </c>
      <c r="J254" s="29" t="n">
        <v>645000</v>
      </c>
      <c r="K254" s="28" t="n">
        <v>6.5</v>
      </c>
      <c r="L254" s="28" t="n">
        <v>300</v>
      </c>
      <c r="M254" s="28" t="n">
        <v>13</v>
      </c>
    </row>
    <row r="255" customFormat="false" ht="15" hidden="false" customHeight="false" outlineLevel="0" collapsed="false">
      <c r="A255" s="27" t="n">
        <v>43885</v>
      </c>
      <c r="B255" s="28" t="n">
        <v>2020</v>
      </c>
      <c r="C255" s="28" t="s">
        <v>166</v>
      </c>
      <c r="D255" s="28" t="s">
        <v>47</v>
      </c>
      <c r="E255" s="28" t="s">
        <v>398</v>
      </c>
      <c r="F255" s="28" t="s">
        <v>147</v>
      </c>
      <c r="G255" s="28" t="s">
        <v>148</v>
      </c>
      <c r="H255" s="28" t="s">
        <v>320</v>
      </c>
      <c r="I255" s="29" t="n">
        <v>50000</v>
      </c>
      <c r="J255" s="29" t="n">
        <v>25000</v>
      </c>
      <c r="K255" s="28" t="n">
        <v>5.75</v>
      </c>
      <c r="L255" s="28" t="n">
        <v>120</v>
      </c>
      <c r="M255" s="28" t="n">
        <v>0</v>
      </c>
    </row>
    <row r="256" customFormat="false" ht="15" hidden="false" customHeight="false" outlineLevel="0" collapsed="false">
      <c r="A256" s="27" t="n">
        <v>43885</v>
      </c>
      <c r="B256" s="28" t="n">
        <v>2020</v>
      </c>
      <c r="C256" s="28" t="s">
        <v>328</v>
      </c>
      <c r="D256" s="28" t="s">
        <v>47</v>
      </c>
      <c r="E256" s="28" t="s">
        <v>399</v>
      </c>
      <c r="F256" s="28" t="s">
        <v>194</v>
      </c>
      <c r="G256" s="28" t="s">
        <v>143</v>
      </c>
      <c r="H256" s="28" t="s">
        <v>195</v>
      </c>
      <c r="I256" s="29" t="n">
        <v>50000</v>
      </c>
      <c r="J256" s="29" t="n">
        <v>42500</v>
      </c>
      <c r="K256" s="28" t="n">
        <v>6.5</v>
      </c>
      <c r="L256" s="28" t="n">
        <v>120</v>
      </c>
      <c r="M256" s="28" t="n">
        <v>5</v>
      </c>
    </row>
    <row r="257" customFormat="false" ht="15" hidden="false" customHeight="false" outlineLevel="0" collapsed="false">
      <c r="A257" s="27" t="n">
        <v>43885</v>
      </c>
      <c r="B257" s="28" t="n">
        <v>2020</v>
      </c>
      <c r="C257" s="28" t="s">
        <v>166</v>
      </c>
      <c r="D257" s="28" t="s">
        <v>50</v>
      </c>
      <c r="E257" s="28" t="s">
        <v>400</v>
      </c>
      <c r="F257" s="28" t="s">
        <v>147</v>
      </c>
      <c r="G257" s="28" t="s">
        <v>148</v>
      </c>
      <c r="H257" s="28" t="s">
        <v>168</v>
      </c>
      <c r="I257" s="29" t="n">
        <v>5000</v>
      </c>
      <c r="J257" s="29" t="n">
        <v>2500</v>
      </c>
      <c r="K257" s="28" t="n">
        <v>10.25</v>
      </c>
      <c r="L257" s="28" t="n">
        <v>120</v>
      </c>
      <c r="M257" s="28" t="n">
        <v>0</v>
      </c>
    </row>
    <row r="258" customFormat="false" ht="15" hidden="false" customHeight="false" outlineLevel="0" collapsed="false">
      <c r="A258" s="27" t="n">
        <v>43886</v>
      </c>
      <c r="B258" s="28" t="n">
        <v>2020</v>
      </c>
      <c r="C258" s="28" t="s">
        <v>198</v>
      </c>
      <c r="D258" s="28" t="s">
        <v>47</v>
      </c>
      <c r="E258" s="28" t="s">
        <v>373</v>
      </c>
      <c r="F258" s="28" t="s">
        <v>147</v>
      </c>
      <c r="G258" s="28" t="s">
        <v>148</v>
      </c>
      <c r="H258" s="28" t="s">
        <v>281</v>
      </c>
      <c r="I258" s="29" t="n">
        <v>125400</v>
      </c>
      <c r="J258" s="29" t="n">
        <v>62700</v>
      </c>
      <c r="K258" s="28" t="n">
        <v>8.25</v>
      </c>
      <c r="L258" s="28" t="n">
        <v>48</v>
      </c>
      <c r="M258" s="28" t="n">
        <v>5</v>
      </c>
    </row>
    <row r="259" customFormat="false" ht="15" hidden="false" customHeight="false" outlineLevel="0" collapsed="false">
      <c r="A259" s="27" t="n">
        <v>43887</v>
      </c>
      <c r="B259" s="28" t="n">
        <v>2020</v>
      </c>
      <c r="C259" s="28" t="s">
        <v>201</v>
      </c>
      <c r="D259" s="28" t="s">
        <v>48</v>
      </c>
      <c r="E259" s="28" t="s">
        <v>401</v>
      </c>
      <c r="F259" s="28" t="s">
        <v>147</v>
      </c>
      <c r="G259" s="28" t="s">
        <v>156</v>
      </c>
      <c r="H259" s="28" t="s">
        <v>168</v>
      </c>
      <c r="I259" s="29" t="n">
        <v>5000</v>
      </c>
      <c r="J259" s="29" t="n">
        <v>2500</v>
      </c>
      <c r="K259" s="28" t="n">
        <v>10.25</v>
      </c>
      <c r="L259" s="28" t="n">
        <v>120</v>
      </c>
      <c r="M259" s="28" t="n">
        <v>2</v>
      </c>
    </row>
    <row r="260" customFormat="false" ht="15" hidden="false" customHeight="false" outlineLevel="0" collapsed="false">
      <c r="A260" s="27" t="n">
        <v>43887</v>
      </c>
      <c r="B260" s="28" t="n">
        <v>2020</v>
      </c>
      <c r="C260" s="28" t="s">
        <v>169</v>
      </c>
      <c r="D260" s="28" t="s">
        <v>48</v>
      </c>
      <c r="E260" s="28" t="s">
        <v>212</v>
      </c>
      <c r="F260" s="28" t="s">
        <v>147</v>
      </c>
      <c r="G260" s="28" t="s">
        <v>148</v>
      </c>
      <c r="H260" s="28" t="s">
        <v>191</v>
      </c>
      <c r="I260" s="29" t="n">
        <v>50000</v>
      </c>
      <c r="J260" s="29" t="n">
        <v>25000</v>
      </c>
      <c r="K260" s="28" t="n">
        <v>6.75</v>
      </c>
      <c r="L260" s="28" t="n">
        <v>120</v>
      </c>
      <c r="M260" s="28" t="n">
        <v>10</v>
      </c>
    </row>
    <row r="261" customFormat="false" ht="15" hidden="false" customHeight="false" outlineLevel="0" collapsed="false">
      <c r="A261" s="27" t="n">
        <v>43888</v>
      </c>
      <c r="B261" s="28" t="n">
        <v>2020</v>
      </c>
      <c r="C261" s="28" t="s">
        <v>172</v>
      </c>
      <c r="D261" s="28" t="s">
        <v>45</v>
      </c>
      <c r="E261" s="28" t="s">
        <v>402</v>
      </c>
      <c r="F261" s="28" t="s">
        <v>147</v>
      </c>
      <c r="G261" s="28" t="s">
        <v>148</v>
      </c>
      <c r="H261" s="28" t="s">
        <v>159</v>
      </c>
      <c r="I261" s="29" t="n">
        <v>100000</v>
      </c>
      <c r="J261" s="29" t="n">
        <v>50000</v>
      </c>
      <c r="K261" s="28" t="n">
        <v>9.25</v>
      </c>
      <c r="L261" s="28" t="n">
        <v>120</v>
      </c>
      <c r="M261" s="28" t="n">
        <v>14</v>
      </c>
    </row>
    <row r="262" customFormat="false" ht="15" hidden="false" customHeight="false" outlineLevel="0" collapsed="false">
      <c r="A262" s="27" t="n">
        <v>43889</v>
      </c>
      <c r="B262" s="28" t="n">
        <v>2020</v>
      </c>
      <c r="C262" s="28" t="s">
        <v>172</v>
      </c>
      <c r="D262" s="28" t="s">
        <v>48</v>
      </c>
      <c r="E262" s="28" t="s">
        <v>403</v>
      </c>
      <c r="F262" s="28" t="s">
        <v>142</v>
      </c>
      <c r="G262" s="28" t="s">
        <v>152</v>
      </c>
      <c r="H262" s="28" t="s">
        <v>404</v>
      </c>
      <c r="I262" s="29" t="n">
        <v>155000</v>
      </c>
      <c r="J262" s="29" t="n">
        <v>116250</v>
      </c>
      <c r="K262" s="28" t="n">
        <v>6.75</v>
      </c>
      <c r="L262" s="28" t="n">
        <v>119</v>
      </c>
      <c r="M262" s="28" t="n">
        <v>1</v>
      </c>
    </row>
    <row r="263" customFormat="false" ht="15" hidden="false" customHeight="false" outlineLevel="0" collapsed="false">
      <c r="A263" s="27" t="n">
        <v>43889</v>
      </c>
      <c r="B263" s="28" t="n">
        <v>2020</v>
      </c>
      <c r="C263" s="28" t="s">
        <v>166</v>
      </c>
      <c r="D263" s="28" t="s">
        <v>43</v>
      </c>
      <c r="E263" s="28" t="s">
        <v>317</v>
      </c>
      <c r="F263" s="28" t="s">
        <v>147</v>
      </c>
      <c r="G263" s="28" t="s">
        <v>156</v>
      </c>
      <c r="H263" s="28" t="s">
        <v>168</v>
      </c>
      <c r="I263" s="29" t="n">
        <v>5000</v>
      </c>
      <c r="J263" s="29" t="n">
        <v>2500</v>
      </c>
      <c r="K263" s="28" t="n">
        <v>9.75</v>
      </c>
      <c r="L263" s="28" t="n">
        <v>120</v>
      </c>
      <c r="M263" s="28" t="n">
        <v>0</v>
      </c>
    </row>
    <row r="264" customFormat="false" ht="15" hidden="false" customHeight="false" outlineLevel="0" collapsed="false">
      <c r="A264" s="27" t="n">
        <v>43889</v>
      </c>
      <c r="B264" s="28" t="n">
        <v>2020</v>
      </c>
      <c r="C264" s="28" t="s">
        <v>163</v>
      </c>
      <c r="D264" s="28" t="s">
        <v>56</v>
      </c>
      <c r="E264" s="28" t="s">
        <v>207</v>
      </c>
      <c r="F264" s="28" t="s">
        <v>147</v>
      </c>
      <c r="G264" s="28" t="s">
        <v>156</v>
      </c>
      <c r="H264" s="28" t="s">
        <v>168</v>
      </c>
      <c r="I264" s="29" t="n">
        <v>10000</v>
      </c>
      <c r="J264" s="29" t="n">
        <v>5000</v>
      </c>
      <c r="K264" s="28" t="n">
        <v>11.25</v>
      </c>
      <c r="L264" s="28" t="n">
        <v>120</v>
      </c>
      <c r="M264" s="28" t="n">
        <v>0</v>
      </c>
    </row>
    <row r="265" customFormat="false" ht="15" hidden="false" customHeight="false" outlineLevel="0" collapsed="false">
      <c r="A265" s="27" t="n">
        <v>43892</v>
      </c>
      <c r="B265" s="28" t="n">
        <v>2020</v>
      </c>
      <c r="C265" s="28" t="s">
        <v>172</v>
      </c>
      <c r="D265" s="28" t="s">
        <v>44</v>
      </c>
      <c r="E265" s="28" t="s">
        <v>297</v>
      </c>
      <c r="F265" s="28" t="s">
        <v>194</v>
      </c>
      <c r="G265" s="28" t="s">
        <v>148</v>
      </c>
      <c r="H265" s="28" t="s">
        <v>255</v>
      </c>
      <c r="I265" s="29" t="n">
        <v>1475000</v>
      </c>
      <c r="J265" s="29" t="n">
        <v>1106250</v>
      </c>
      <c r="K265" s="28" t="n">
        <v>7.5</v>
      </c>
      <c r="L265" s="28" t="n">
        <v>252</v>
      </c>
      <c r="M265" s="28" t="n">
        <v>8</v>
      </c>
    </row>
    <row r="266" customFormat="false" ht="15" hidden="false" customHeight="false" outlineLevel="0" collapsed="false">
      <c r="A266" s="27" t="n">
        <v>43893</v>
      </c>
      <c r="B266" s="28" t="n">
        <v>2020</v>
      </c>
      <c r="C266" s="28" t="s">
        <v>166</v>
      </c>
      <c r="D266" s="28" t="s">
        <v>49</v>
      </c>
      <c r="E266" s="28" t="s">
        <v>405</v>
      </c>
      <c r="F266" s="28" t="s">
        <v>147</v>
      </c>
      <c r="G266" s="28" t="s">
        <v>148</v>
      </c>
      <c r="H266" s="28" t="s">
        <v>205</v>
      </c>
      <c r="I266" s="29" t="n">
        <v>45000</v>
      </c>
      <c r="J266" s="29" t="n">
        <v>22500</v>
      </c>
      <c r="K266" s="28" t="n">
        <v>10.54</v>
      </c>
      <c r="L266" s="28" t="n">
        <v>120</v>
      </c>
      <c r="M266" s="28" t="n">
        <v>0</v>
      </c>
    </row>
    <row r="267" customFormat="false" ht="15" hidden="false" customHeight="false" outlineLevel="0" collapsed="false">
      <c r="A267" s="27" t="n">
        <v>43894</v>
      </c>
      <c r="B267" s="28" t="n">
        <v>2020</v>
      </c>
      <c r="C267" s="28" t="s">
        <v>172</v>
      </c>
      <c r="D267" s="28" t="s">
        <v>46</v>
      </c>
      <c r="E267" s="28" t="s">
        <v>406</v>
      </c>
      <c r="F267" s="28" t="s">
        <v>147</v>
      </c>
      <c r="G267" s="28" t="s">
        <v>148</v>
      </c>
      <c r="H267" s="28" t="s">
        <v>248</v>
      </c>
      <c r="I267" s="29" t="n">
        <v>50000</v>
      </c>
      <c r="J267" s="29" t="n">
        <v>25000</v>
      </c>
      <c r="K267" s="28" t="n">
        <v>7.75</v>
      </c>
      <c r="L267" s="28" t="n">
        <v>60</v>
      </c>
      <c r="M267" s="28" t="n">
        <v>10</v>
      </c>
    </row>
    <row r="268" customFormat="false" ht="15" hidden="false" customHeight="false" outlineLevel="0" collapsed="false">
      <c r="A268" s="27" t="n">
        <v>43895</v>
      </c>
      <c r="B268" s="28" t="n">
        <v>2020</v>
      </c>
      <c r="C268" s="28" t="s">
        <v>198</v>
      </c>
      <c r="D268" s="28" t="s">
        <v>48</v>
      </c>
      <c r="E268" s="28" t="s">
        <v>304</v>
      </c>
      <c r="F268" s="28" t="s">
        <v>194</v>
      </c>
      <c r="G268" s="28" t="s">
        <v>148</v>
      </c>
      <c r="H268" s="28" t="s">
        <v>407</v>
      </c>
      <c r="I268" s="29" t="n">
        <v>2900000</v>
      </c>
      <c r="J268" s="29" t="n">
        <v>2175000</v>
      </c>
      <c r="K268" s="28" t="n">
        <v>7</v>
      </c>
      <c r="L268" s="28" t="n">
        <v>300</v>
      </c>
      <c r="M268" s="28" t="n">
        <v>2</v>
      </c>
    </row>
    <row r="269" customFormat="false" ht="15" hidden="false" customHeight="false" outlineLevel="0" collapsed="false">
      <c r="A269" s="27" t="n">
        <v>43895</v>
      </c>
      <c r="B269" s="28" t="n">
        <v>2020</v>
      </c>
      <c r="C269" s="28" t="s">
        <v>230</v>
      </c>
      <c r="D269" s="28" t="s">
        <v>48</v>
      </c>
      <c r="E269" s="28" t="s">
        <v>210</v>
      </c>
      <c r="F269" s="28" t="s">
        <v>142</v>
      </c>
      <c r="G269" s="28" t="s">
        <v>148</v>
      </c>
      <c r="H269" s="28" t="s">
        <v>229</v>
      </c>
      <c r="I269" s="29" t="n">
        <v>350000</v>
      </c>
      <c r="J269" s="29" t="n">
        <v>262500</v>
      </c>
      <c r="K269" s="28" t="n">
        <v>7.5</v>
      </c>
      <c r="L269" s="28" t="n">
        <v>120</v>
      </c>
      <c r="M269" s="28" t="n">
        <v>5</v>
      </c>
    </row>
    <row r="270" customFormat="false" ht="15" hidden="false" customHeight="false" outlineLevel="0" collapsed="false">
      <c r="A270" s="27" t="n">
        <v>43895</v>
      </c>
      <c r="B270" s="28" t="n">
        <v>2020</v>
      </c>
      <c r="C270" s="28" t="s">
        <v>408</v>
      </c>
      <c r="D270" s="28" t="s">
        <v>55</v>
      </c>
      <c r="E270" s="28" t="s">
        <v>158</v>
      </c>
      <c r="F270" s="28" t="s">
        <v>147</v>
      </c>
      <c r="G270" s="28" t="s">
        <v>156</v>
      </c>
      <c r="H270" s="28" t="s">
        <v>168</v>
      </c>
      <c r="I270" s="29" t="n">
        <v>20000</v>
      </c>
      <c r="J270" s="29" t="n">
        <v>10000</v>
      </c>
      <c r="K270" s="28" t="n">
        <v>10.25</v>
      </c>
      <c r="L270" s="28" t="n">
        <v>120</v>
      </c>
      <c r="M270" s="28" t="n">
        <v>0</v>
      </c>
    </row>
    <row r="271" customFormat="false" ht="15" hidden="false" customHeight="false" outlineLevel="0" collapsed="false">
      <c r="A271" s="27" t="n">
        <v>43895</v>
      </c>
      <c r="B271" s="28" t="n">
        <v>2020</v>
      </c>
      <c r="C271" s="28" t="s">
        <v>409</v>
      </c>
      <c r="D271" s="28" t="s">
        <v>43</v>
      </c>
      <c r="E271" s="28" t="s">
        <v>410</v>
      </c>
      <c r="F271" s="28" t="s">
        <v>147</v>
      </c>
      <c r="G271" s="28" t="s">
        <v>152</v>
      </c>
      <c r="H271" s="28" t="s">
        <v>372</v>
      </c>
      <c r="I271" s="29" t="n">
        <v>70000</v>
      </c>
      <c r="J271" s="29" t="n">
        <v>35000</v>
      </c>
      <c r="K271" s="28" t="n">
        <v>6</v>
      </c>
      <c r="L271" s="28" t="n">
        <v>48</v>
      </c>
      <c r="M271" s="28" t="n">
        <v>6</v>
      </c>
    </row>
    <row r="272" customFormat="false" ht="15" hidden="false" customHeight="false" outlineLevel="0" collapsed="false">
      <c r="A272" s="27" t="n">
        <v>43895</v>
      </c>
      <c r="B272" s="28" t="n">
        <v>2020</v>
      </c>
      <c r="C272" s="28" t="s">
        <v>265</v>
      </c>
      <c r="D272" s="28" t="s">
        <v>51</v>
      </c>
      <c r="E272" s="28" t="s">
        <v>239</v>
      </c>
      <c r="F272" s="28" t="s">
        <v>142</v>
      </c>
      <c r="G272" s="28" t="s">
        <v>143</v>
      </c>
      <c r="H272" s="28" t="s">
        <v>291</v>
      </c>
      <c r="I272" s="29" t="n">
        <v>4035000</v>
      </c>
      <c r="J272" s="29" t="n">
        <v>3026250</v>
      </c>
      <c r="K272" s="28" t="n">
        <v>5.5</v>
      </c>
      <c r="L272" s="28" t="n">
        <v>180</v>
      </c>
      <c r="M272" s="28" t="n">
        <v>51</v>
      </c>
    </row>
    <row r="273" customFormat="false" ht="15" hidden="false" customHeight="false" outlineLevel="0" collapsed="false">
      <c r="A273" s="27" t="n">
        <v>43895</v>
      </c>
      <c r="B273" s="28" t="n">
        <v>2020</v>
      </c>
      <c r="C273" s="28" t="s">
        <v>411</v>
      </c>
      <c r="D273" s="28" t="s">
        <v>53</v>
      </c>
      <c r="E273" s="28" t="s">
        <v>412</v>
      </c>
      <c r="F273" s="28" t="s">
        <v>142</v>
      </c>
      <c r="G273" s="28" t="s">
        <v>143</v>
      </c>
      <c r="H273" s="28" t="s">
        <v>413</v>
      </c>
      <c r="I273" s="29" t="n">
        <v>1482000</v>
      </c>
      <c r="J273" s="29" t="n">
        <v>1111500</v>
      </c>
      <c r="K273" s="28" t="n">
        <v>5.75</v>
      </c>
      <c r="L273" s="28" t="n">
        <v>308</v>
      </c>
      <c r="M273" s="28" t="n">
        <v>0</v>
      </c>
    </row>
    <row r="274" customFormat="false" ht="15" hidden="false" customHeight="false" outlineLevel="0" collapsed="false">
      <c r="A274" s="27" t="n">
        <v>43896</v>
      </c>
      <c r="B274" s="28" t="n">
        <v>2020</v>
      </c>
      <c r="C274" s="28" t="s">
        <v>353</v>
      </c>
      <c r="D274" s="28" t="s">
        <v>48</v>
      </c>
      <c r="E274" s="28" t="s">
        <v>362</v>
      </c>
      <c r="F274" s="28" t="s">
        <v>147</v>
      </c>
      <c r="G274" s="28" t="s">
        <v>148</v>
      </c>
      <c r="H274" s="28" t="s">
        <v>220</v>
      </c>
      <c r="I274" s="29" t="n">
        <v>150000</v>
      </c>
      <c r="J274" s="29" t="n">
        <v>75000</v>
      </c>
      <c r="K274" s="28" t="n">
        <v>7</v>
      </c>
      <c r="L274" s="28" t="n">
        <v>120</v>
      </c>
      <c r="M274" s="28" t="n">
        <v>3</v>
      </c>
    </row>
    <row r="275" customFormat="false" ht="15" hidden="false" customHeight="false" outlineLevel="0" collapsed="false">
      <c r="A275" s="27" t="n">
        <v>43899</v>
      </c>
      <c r="B275" s="28" t="n">
        <v>2020</v>
      </c>
      <c r="C275" s="28" t="s">
        <v>169</v>
      </c>
      <c r="D275" s="28" t="s">
        <v>48</v>
      </c>
      <c r="E275" s="28" t="s">
        <v>212</v>
      </c>
      <c r="F275" s="28" t="s">
        <v>147</v>
      </c>
      <c r="G275" s="28" t="s">
        <v>148</v>
      </c>
      <c r="H275" s="28" t="s">
        <v>162</v>
      </c>
      <c r="I275" s="29" t="n">
        <v>250000</v>
      </c>
      <c r="J275" s="29" t="n">
        <v>125000</v>
      </c>
      <c r="K275" s="28" t="n">
        <v>2.99</v>
      </c>
      <c r="L275" s="28" t="n">
        <v>60</v>
      </c>
      <c r="M275" s="28" t="n">
        <v>6</v>
      </c>
    </row>
    <row r="276" customFormat="false" ht="15" hidden="false" customHeight="false" outlineLevel="0" collapsed="false">
      <c r="A276" s="27" t="n">
        <v>43899</v>
      </c>
      <c r="B276" s="28" t="n">
        <v>2020</v>
      </c>
      <c r="C276" s="28" t="s">
        <v>163</v>
      </c>
      <c r="D276" s="28" t="s">
        <v>46</v>
      </c>
      <c r="E276" s="28" t="s">
        <v>262</v>
      </c>
      <c r="F276" s="28" t="s">
        <v>142</v>
      </c>
      <c r="G276" s="28" t="s">
        <v>143</v>
      </c>
      <c r="H276" s="28" t="s">
        <v>165</v>
      </c>
      <c r="I276" s="29" t="n">
        <v>167000</v>
      </c>
      <c r="J276" s="29" t="n">
        <v>125250</v>
      </c>
      <c r="K276" s="28" t="n">
        <v>7.5</v>
      </c>
      <c r="L276" s="28" t="n">
        <v>120</v>
      </c>
      <c r="M276" s="28" t="n">
        <v>3</v>
      </c>
    </row>
    <row r="277" customFormat="false" ht="15" hidden="false" customHeight="false" outlineLevel="0" collapsed="false">
      <c r="A277" s="27" t="n">
        <v>43899</v>
      </c>
      <c r="B277" s="28" t="n">
        <v>2020</v>
      </c>
      <c r="C277" s="28" t="s">
        <v>310</v>
      </c>
      <c r="D277" s="28" t="s">
        <v>56</v>
      </c>
      <c r="E277" s="28" t="s">
        <v>414</v>
      </c>
      <c r="F277" s="28" t="s">
        <v>142</v>
      </c>
      <c r="G277" s="28" t="s">
        <v>156</v>
      </c>
      <c r="H277" s="28" t="s">
        <v>306</v>
      </c>
      <c r="I277" s="29" t="n">
        <v>160000</v>
      </c>
      <c r="J277" s="29" t="n">
        <v>120000</v>
      </c>
      <c r="K277" s="28" t="n">
        <v>7.25</v>
      </c>
      <c r="L277" s="28" t="n">
        <v>180</v>
      </c>
      <c r="M277" s="28" t="n">
        <v>1</v>
      </c>
    </row>
    <row r="278" customFormat="false" ht="15" hidden="false" customHeight="false" outlineLevel="0" collapsed="false">
      <c r="A278" s="27" t="n">
        <v>43900</v>
      </c>
      <c r="B278" s="28" t="n">
        <v>2020</v>
      </c>
      <c r="C278" s="28" t="s">
        <v>198</v>
      </c>
      <c r="D278" s="28" t="s">
        <v>49</v>
      </c>
      <c r="E278" s="28" t="s">
        <v>415</v>
      </c>
      <c r="F278" s="28" t="s">
        <v>142</v>
      </c>
      <c r="G278" s="28" t="s">
        <v>152</v>
      </c>
      <c r="H278" s="28" t="s">
        <v>347</v>
      </c>
      <c r="I278" s="29" t="n">
        <v>1278000</v>
      </c>
      <c r="J278" s="29" t="n">
        <v>958500</v>
      </c>
      <c r="K278" s="28" t="n">
        <v>7.25</v>
      </c>
      <c r="L278" s="28" t="n">
        <v>120</v>
      </c>
      <c r="M278" s="28" t="n">
        <v>6</v>
      </c>
    </row>
    <row r="279" customFormat="false" ht="15" hidden="false" customHeight="false" outlineLevel="0" collapsed="false">
      <c r="A279" s="27" t="n">
        <v>43900</v>
      </c>
      <c r="B279" s="28" t="n">
        <v>2020</v>
      </c>
      <c r="C279" s="28" t="s">
        <v>169</v>
      </c>
      <c r="D279" s="28" t="s">
        <v>42</v>
      </c>
      <c r="E279" s="28" t="s">
        <v>164</v>
      </c>
      <c r="F279" s="28" t="s">
        <v>142</v>
      </c>
      <c r="G279" s="28" t="s">
        <v>143</v>
      </c>
      <c r="H279" s="28" t="s">
        <v>159</v>
      </c>
      <c r="I279" s="29" t="n">
        <v>846000</v>
      </c>
      <c r="J279" s="29" t="n">
        <v>634500</v>
      </c>
      <c r="K279" s="28" t="n">
        <v>7.5</v>
      </c>
      <c r="L279" s="28" t="n">
        <v>120</v>
      </c>
      <c r="M279" s="28" t="n">
        <v>26</v>
      </c>
    </row>
    <row r="280" customFormat="false" ht="15" hidden="false" customHeight="false" outlineLevel="0" collapsed="false">
      <c r="A280" s="27" t="n">
        <v>43900</v>
      </c>
      <c r="B280" s="28" t="n">
        <v>2020</v>
      </c>
      <c r="C280" s="28" t="s">
        <v>169</v>
      </c>
      <c r="D280" s="28" t="s">
        <v>42</v>
      </c>
      <c r="E280" s="28" t="s">
        <v>242</v>
      </c>
      <c r="F280" s="28" t="s">
        <v>142</v>
      </c>
      <c r="G280" s="28" t="s">
        <v>143</v>
      </c>
      <c r="H280" s="28" t="s">
        <v>416</v>
      </c>
      <c r="I280" s="29" t="n">
        <v>350000</v>
      </c>
      <c r="J280" s="29" t="n">
        <v>262500</v>
      </c>
      <c r="K280" s="28" t="n">
        <v>7.25</v>
      </c>
      <c r="L280" s="28" t="n">
        <v>123</v>
      </c>
      <c r="M280" s="28" t="n">
        <v>25</v>
      </c>
    </row>
    <row r="281" customFormat="false" ht="15" hidden="false" customHeight="false" outlineLevel="0" collapsed="false">
      <c r="A281" s="27" t="n">
        <v>43900</v>
      </c>
      <c r="B281" s="28" t="n">
        <v>2020</v>
      </c>
      <c r="C281" s="28" t="s">
        <v>235</v>
      </c>
      <c r="D281" s="28" t="s">
        <v>54</v>
      </c>
      <c r="E281" s="28" t="s">
        <v>236</v>
      </c>
      <c r="F281" s="28" t="s">
        <v>194</v>
      </c>
      <c r="G281" s="28" t="s">
        <v>152</v>
      </c>
      <c r="H281" s="28" t="s">
        <v>417</v>
      </c>
      <c r="I281" s="29" t="n">
        <v>782000</v>
      </c>
      <c r="J281" s="29" t="n">
        <v>586500</v>
      </c>
      <c r="K281" s="28" t="n">
        <v>6.75</v>
      </c>
      <c r="L281" s="28" t="n">
        <v>120</v>
      </c>
      <c r="M281" s="28" t="n">
        <v>5</v>
      </c>
    </row>
    <row r="282" customFormat="false" ht="15" hidden="false" customHeight="false" outlineLevel="0" collapsed="false">
      <c r="A282" s="27" t="n">
        <v>43901</v>
      </c>
      <c r="B282" s="28" t="n">
        <v>2020</v>
      </c>
      <c r="C282" s="28" t="s">
        <v>418</v>
      </c>
      <c r="D282" s="28" t="s">
        <v>42</v>
      </c>
      <c r="E282" s="28" t="s">
        <v>180</v>
      </c>
      <c r="F282" s="28" t="s">
        <v>142</v>
      </c>
      <c r="G282" s="28" t="s">
        <v>148</v>
      </c>
      <c r="H282" s="28" t="s">
        <v>419</v>
      </c>
      <c r="I282" s="29" t="n">
        <v>250000</v>
      </c>
      <c r="J282" s="29" t="n">
        <v>187500</v>
      </c>
      <c r="K282" s="28" t="n">
        <v>7.25</v>
      </c>
      <c r="L282" s="28" t="n">
        <v>120</v>
      </c>
      <c r="M282" s="28" t="n">
        <v>7</v>
      </c>
    </row>
    <row r="283" customFormat="false" ht="15" hidden="false" customHeight="false" outlineLevel="0" collapsed="false">
      <c r="A283" s="27" t="n">
        <v>43901</v>
      </c>
      <c r="B283" s="28" t="n">
        <v>2020</v>
      </c>
      <c r="C283" s="28" t="s">
        <v>206</v>
      </c>
      <c r="D283" s="28" t="s">
        <v>42</v>
      </c>
      <c r="E283" s="28" t="s">
        <v>180</v>
      </c>
      <c r="F283" s="28" t="s">
        <v>147</v>
      </c>
      <c r="G283" s="28" t="s">
        <v>148</v>
      </c>
      <c r="H283" s="28" t="s">
        <v>159</v>
      </c>
      <c r="I283" s="29" t="n">
        <v>10000</v>
      </c>
      <c r="J283" s="29" t="n">
        <v>5000</v>
      </c>
      <c r="K283" s="28" t="n">
        <v>11.25</v>
      </c>
      <c r="L283" s="28" t="n">
        <v>120</v>
      </c>
      <c r="M283" s="28" t="n">
        <v>6</v>
      </c>
    </row>
    <row r="284" customFormat="false" ht="15" hidden="false" customHeight="false" outlineLevel="0" collapsed="false">
      <c r="A284" s="27" t="n">
        <v>43901</v>
      </c>
      <c r="B284" s="28" t="n">
        <v>2020</v>
      </c>
      <c r="C284" s="28" t="s">
        <v>216</v>
      </c>
      <c r="D284" s="28" t="s">
        <v>49</v>
      </c>
      <c r="E284" s="28" t="s">
        <v>420</v>
      </c>
      <c r="F284" s="28" t="s">
        <v>147</v>
      </c>
      <c r="G284" s="28" t="s">
        <v>148</v>
      </c>
      <c r="H284" s="28" t="s">
        <v>162</v>
      </c>
      <c r="I284" s="29" t="n">
        <v>350000</v>
      </c>
      <c r="J284" s="29" t="n">
        <v>175000</v>
      </c>
      <c r="K284" s="28" t="n">
        <v>2.99</v>
      </c>
      <c r="L284" s="28" t="n">
        <v>60</v>
      </c>
      <c r="M284" s="28" t="n">
        <v>5</v>
      </c>
    </row>
    <row r="285" customFormat="false" ht="15" hidden="false" customHeight="false" outlineLevel="0" collapsed="false">
      <c r="A285" s="27" t="n">
        <v>43901</v>
      </c>
      <c r="B285" s="28" t="n">
        <v>2020</v>
      </c>
      <c r="C285" s="28" t="s">
        <v>421</v>
      </c>
      <c r="D285" s="28" t="s">
        <v>46</v>
      </c>
      <c r="E285" s="28" t="s">
        <v>422</v>
      </c>
      <c r="F285" s="28" t="s">
        <v>142</v>
      </c>
      <c r="G285" s="28" t="s">
        <v>152</v>
      </c>
      <c r="H285" s="28" t="s">
        <v>314</v>
      </c>
      <c r="I285" s="29" t="n">
        <v>1386000</v>
      </c>
      <c r="J285" s="29" t="n">
        <v>1039500</v>
      </c>
      <c r="K285" s="28" t="n">
        <v>6.25</v>
      </c>
      <c r="L285" s="28" t="n">
        <v>120</v>
      </c>
      <c r="M285" s="28" t="n">
        <v>11</v>
      </c>
    </row>
    <row r="286" customFormat="false" ht="15" hidden="false" customHeight="false" outlineLevel="0" collapsed="false">
      <c r="A286" s="27" t="n">
        <v>43901</v>
      </c>
      <c r="B286" s="28" t="n">
        <v>2020</v>
      </c>
      <c r="C286" s="28" t="s">
        <v>423</v>
      </c>
      <c r="D286" s="28" t="s">
        <v>43</v>
      </c>
      <c r="E286" s="28" t="s">
        <v>424</v>
      </c>
      <c r="F286" s="28" t="s">
        <v>142</v>
      </c>
      <c r="G286" s="28" t="s">
        <v>148</v>
      </c>
      <c r="H286" s="28" t="s">
        <v>162</v>
      </c>
      <c r="I286" s="29" t="n">
        <v>427200</v>
      </c>
      <c r="J286" s="29" t="n">
        <v>320400</v>
      </c>
      <c r="K286" s="28" t="n">
        <v>4.29</v>
      </c>
      <c r="L286" s="28" t="n">
        <v>300</v>
      </c>
      <c r="M286" s="28" t="n">
        <v>5</v>
      </c>
    </row>
    <row r="287" customFormat="false" ht="15" hidden="false" customHeight="false" outlineLevel="0" collapsed="false">
      <c r="A287" s="27" t="n">
        <v>43901</v>
      </c>
      <c r="B287" s="28" t="n">
        <v>2020</v>
      </c>
      <c r="C287" s="28" t="s">
        <v>206</v>
      </c>
      <c r="D287" s="28" t="s">
        <v>42</v>
      </c>
      <c r="E287" s="28" t="s">
        <v>180</v>
      </c>
      <c r="F287" s="28" t="s">
        <v>147</v>
      </c>
      <c r="G287" s="28" t="s">
        <v>148</v>
      </c>
      <c r="H287" s="28" t="s">
        <v>159</v>
      </c>
      <c r="I287" s="29" t="n">
        <v>65000</v>
      </c>
      <c r="J287" s="29" t="n">
        <v>32500</v>
      </c>
      <c r="K287" s="28" t="n">
        <v>7.25</v>
      </c>
      <c r="L287" s="28" t="n">
        <v>60</v>
      </c>
      <c r="M287" s="28" t="n">
        <v>6</v>
      </c>
    </row>
    <row r="288" customFormat="false" ht="15" hidden="false" customHeight="false" outlineLevel="0" collapsed="false">
      <c r="A288" s="27" t="n">
        <v>43902</v>
      </c>
      <c r="B288" s="28" t="n">
        <v>2020</v>
      </c>
      <c r="C288" s="28" t="s">
        <v>145</v>
      </c>
      <c r="D288" s="28" t="s">
        <v>42</v>
      </c>
      <c r="E288" s="28" t="s">
        <v>180</v>
      </c>
      <c r="F288" s="28" t="s">
        <v>142</v>
      </c>
      <c r="G288" s="28" t="s">
        <v>143</v>
      </c>
      <c r="H288" s="28" t="s">
        <v>165</v>
      </c>
      <c r="I288" s="29" t="n">
        <v>172000</v>
      </c>
      <c r="J288" s="29" t="n">
        <v>129000</v>
      </c>
      <c r="K288" s="28" t="n">
        <v>6.54</v>
      </c>
      <c r="L288" s="28" t="n">
        <v>60</v>
      </c>
      <c r="M288" s="28" t="n">
        <v>12</v>
      </c>
    </row>
    <row r="289" customFormat="false" ht="15" hidden="false" customHeight="false" outlineLevel="0" collapsed="false">
      <c r="A289" s="27" t="n">
        <v>43902</v>
      </c>
      <c r="B289" s="28" t="n">
        <v>2020</v>
      </c>
      <c r="C289" s="28" t="s">
        <v>172</v>
      </c>
      <c r="D289" s="28" t="s">
        <v>57</v>
      </c>
      <c r="E289" s="28" t="s">
        <v>425</v>
      </c>
      <c r="F289" s="28" t="s">
        <v>147</v>
      </c>
      <c r="G289" s="28" t="s">
        <v>148</v>
      </c>
      <c r="H289" s="28" t="s">
        <v>227</v>
      </c>
      <c r="I289" s="29" t="n">
        <v>15000</v>
      </c>
      <c r="J289" s="29" t="n">
        <v>7500</v>
      </c>
      <c r="K289" s="28" t="n">
        <v>10.75</v>
      </c>
      <c r="L289" s="28" t="n">
        <v>120</v>
      </c>
      <c r="M289" s="28" t="n">
        <v>1</v>
      </c>
    </row>
    <row r="290" customFormat="false" ht="15" hidden="false" customHeight="false" outlineLevel="0" collapsed="false">
      <c r="A290" s="27" t="n">
        <v>43902</v>
      </c>
      <c r="B290" s="28" t="n">
        <v>2020</v>
      </c>
      <c r="C290" s="28" t="s">
        <v>172</v>
      </c>
      <c r="D290" s="28" t="s">
        <v>48</v>
      </c>
      <c r="E290" s="28" t="s">
        <v>182</v>
      </c>
      <c r="F290" s="28" t="s">
        <v>142</v>
      </c>
      <c r="G290" s="28" t="s">
        <v>152</v>
      </c>
      <c r="H290" s="28" t="s">
        <v>144</v>
      </c>
      <c r="I290" s="29" t="n">
        <v>590000</v>
      </c>
      <c r="J290" s="29" t="n">
        <v>277300</v>
      </c>
      <c r="K290" s="28" t="n">
        <v>7.5</v>
      </c>
      <c r="L290" s="28" t="n">
        <v>72</v>
      </c>
      <c r="M290" s="28" t="n">
        <v>6</v>
      </c>
    </row>
    <row r="291" customFormat="false" ht="15" hidden="false" customHeight="false" outlineLevel="0" collapsed="false">
      <c r="A291" s="27" t="n">
        <v>43902</v>
      </c>
      <c r="B291" s="28" t="n">
        <v>2020</v>
      </c>
      <c r="C291" s="28" t="s">
        <v>408</v>
      </c>
      <c r="D291" s="28" t="s">
        <v>55</v>
      </c>
      <c r="E291" s="28" t="s">
        <v>426</v>
      </c>
      <c r="F291" s="28" t="s">
        <v>147</v>
      </c>
      <c r="G291" s="28" t="s">
        <v>156</v>
      </c>
      <c r="H291" s="28" t="s">
        <v>168</v>
      </c>
      <c r="I291" s="29" t="n">
        <v>10000</v>
      </c>
      <c r="J291" s="29" t="n">
        <v>5000</v>
      </c>
      <c r="K291" s="28" t="n">
        <v>11.25</v>
      </c>
      <c r="L291" s="28" t="n">
        <v>75</v>
      </c>
      <c r="M291" s="28" t="n">
        <v>0</v>
      </c>
    </row>
    <row r="292" customFormat="false" ht="15" hidden="false" customHeight="false" outlineLevel="0" collapsed="false">
      <c r="A292" s="27" t="n">
        <v>43902</v>
      </c>
      <c r="B292" s="28" t="n">
        <v>2020</v>
      </c>
      <c r="C292" s="28" t="s">
        <v>272</v>
      </c>
      <c r="D292" s="28" t="s">
        <v>50</v>
      </c>
      <c r="E292" s="28" t="s">
        <v>427</v>
      </c>
      <c r="F292" s="28" t="s">
        <v>147</v>
      </c>
      <c r="G292" s="28" t="s">
        <v>156</v>
      </c>
      <c r="H292" s="28" t="s">
        <v>168</v>
      </c>
      <c r="I292" s="29" t="n">
        <v>5000</v>
      </c>
      <c r="J292" s="29" t="n">
        <v>2500</v>
      </c>
      <c r="K292" s="28" t="n">
        <v>9.25</v>
      </c>
      <c r="L292" s="28" t="n">
        <v>120</v>
      </c>
      <c r="M292" s="28" t="n">
        <v>0</v>
      </c>
    </row>
    <row r="293" customFormat="false" ht="15" hidden="false" customHeight="false" outlineLevel="0" collapsed="false">
      <c r="A293" s="27" t="n">
        <v>43903</v>
      </c>
      <c r="B293" s="28" t="n">
        <v>2020</v>
      </c>
      <c r="C293" s="28" t="s">
        <v>216</v>
      </c>
      <c r="D293" s="28" t="s">
        <v>52</v>
      </c>
      <c r="E293" s="28" t="s">
        <v>258</v>
      </c>
      <c r="F293" s="28" t="s">
        <v>147</v>
      </c>
      <c r="G293" s="28" t="s">
        <v>148</v>
      </c>
      <c r="H293" s="28" t="s">
        <v>428</v>
      </c>
      <c r="I293" s="29" t="n">
        <v>241500</v>
      </c>
      <c r="J293" s="29" t="n">
        <v>120750</v>
      </c>
      <c r="K293" s="28" t="n">
        <v>6.15</v>
      </c>
      <c r="L293" s="28" t="n">
        <v>93</v>
      </c>
      <c r="M293" s="28" t="n">
        <v>4</v>
      </c>
    </row>
    <row r="294" customFormat="false" ht="15" hidden="false" customHeight="false" outlineLevel="0" collapsed="false">
      <c r="A294" s="27" t="n">
        <v>43903</v>
      </c>
      <c r="B294" s="28" t="n">
        <v>2020</v>
      </c>
      <c r="C294" s="28" t="s">
        <v>201</v>
      </c>
      <c r="D294" s="28" t="s">
        <v>47</v>
      </c>
      <c r="E294" s="28" t="s">
        <v>429</v>
      </c>
      <c r="F294" s="28" t="s">
        <v>194</v>
      </c>
      <c r="G294" s="28" t="s">
        <v>148</v>
      </c>
      <c r="H294" s="28" t="s">
        <v>291</v>
      </c>
      <c r="I294" s="29" t="n">
        <v>3500000</v>
      </c>
      <c r="J294" s="29" t="n">
        <v>3150000</v>
      </c>
      <c r="K294" s="28" t="n">
        <v>6.75</v>
      </c>
      <c r="L294" s="28" t="n">
        <v>12</v>
      </c>
      <c r="M294" s="28" t="n">
        <v>29</v>
      </c>
    </row>
    <row r="295" customFormat="false" ht="15" hidden="false" customHeight="false" outlineLevel="0" collapsed="false">
      <c r="A295" s="27" t="n">
        <v>43903</v>
      </c>
      <c r="B295" s="28" t="n">
        <v>2020</v>
      </c>
      <c r="C295" s="28" t="s">
        <v>169</v>
      </c>
      <c r="D295" s="28" t="s">
        <v>46</v>
      </c>
      <c r="E295" s="28" t="s">
        <v>315</v>
      </c>
      <c r="F295" s="28" t="s">
        <v>194</v>
      </c>
      <c r="G295" s="28" t="s">
        <v>143</v>
      </c>
      <c r="H295" s="28" t="s">
        <v>208</v>
      </c>
      <c r="I295" s="29" t="n">
        <v>680000</v>
      </c>
      <c r="J295" s="29" t="n">
        <v>510000</v>
      </c>
      <c r="K295" s="28" t="n">
        <v>6.75</v>
      </c>
      <c r="L295" s="28" t="n">
        <v>126</v>
      </c>
      <c r="M295" s="28" t="n">
        <v>20</v>
      </c>
    </row>
    <row r="296" customFormat="false" ht="15" hidden="false" customHeight="false" outlineLevel="0" collapsed="false">
      <c r="A296" s="27" t="n">
        <v>43904</v>
      </c>
      <c r="B296" s="28" t="n">
        <v>2020</v>
      </c>
      <c r="C296" s="28" t="s">
        <v>172</v>
      </c>
      <c r="D296" s="28" t="s">
        <v>45</v>
      </c>
      <c r="E296" s="28" t="s">
        <v>202</v>
      </c>
      <c r="F296" s="28" t="s">
        <v>147</v>
      </c>
      <c r="G296" s="28" t="s">
        <v>148</v>
      </c>
      <c r="H296" s="28" t="s">
        <v>168</v>
      </c>
      <c r="I296" s="29" t="n">
        <v>5000</v>
      </c>
      <c r="J296" s="29" t="n">
        <v>2500</v>
      </c>
      <c r="K296" s="28" t="n">
        <v>10.75</v>
      </c>
      <c r="L296" s="28" t="n">
        <v>120</v>
      </c>
      <c r="M296" s="28" t="n">
        <v>4</v>
      </c>
    </row>
    <row r="297" customFormat="false" ht="15" hidden="false" customHeight="false" outlineLevel="0" collapsed="false">
      <c r="A297" s="27" t="n">
        <v>43908</v>
      </c>
      <c r="B297" s="28" t="n">
        <v>2020</v>
      </c>
      <c r="C297" s="28" t="s">
        <v>198</v>
      </c>
      <c r="D297" s="28" t="s">
        <v>45</v>
      </c>
      <c r="E297" s="28" t="s">
        <v>430</v>
      </c>
      <c r="F297" s="28" t="s">
        <v>142</v>
      </c>
      <c r="G297" s="28" t="s">
        <v>152</v>
      </c>
      <c r="H297" s="28" t="s">
        <v>431</v>
      </c>
      <c r="I297" s="29" t="n">
        <v>2250000</v>
      </c>
      <c r="J297" s="29" t="n">
        <v>1687500</v>
      </c>
      <c r="K297" s="28" t="n">
        <v>6</v>
      </c>
      <c r="L297" s="28" t="n">
        <v>239</v>
      </c>
      <c r="M297" s="28" t="n">
        <v>46</v>
      </c>
    </row>
    <row r="298" customFormat="false" ht="15" hidden="false" customHeight="false" outlineLevel="0" collapsed="false">
      <c r="A298" s="27" t="n">
        <v>43913</v>
      </c>
      <c r="B298" s="28" t="n">
        <v>2020</v>
      </c>
      <c r="C298" s="28" t="s">
        <v>432</v>
      </c>
      <c r="D298" s="28" t="s">
        <v>42</v>
      </c>
      <c r="E298" s="28" t="s">
        <v>164</v>
      </c>
      <c r="F298" s="28" t="s">
        <v>283</v>
      </c>
      <c r="G298" s="28" t="s">
        <v>143</v>
      </c>
      <c r="H298" s="28" t="s">
        <v>433</v>
      </c>
      <c r="I298" s="29" t="n">
        <v>90000</v>
      </c>
      <c r="J298" s="29" t="n">
        <v>76500</v>
      </c>
      <c r="K298" s="28" t="n">
        <v>8</v>
      </c>
      <c r="L298" s="28" t="n">
        <v>120</v>
      </c>
      <c r="M298" s="28" t="n">
        <v>21</v>
      </c>
    </row>
    <row r="299" customFormat="false" ht="15" hidden="false" customHeight="false" outlineLevel="0" collapsed="false">
      <c r="A299" s="27" t="n">
        <v>43913</v>
      </c>
      <c r="B299" s="28" t="n">
        <v>2020</v>
      </c>
      <c r="C299" s="28" t="s">
        <v>169</v>
      </c>
      <c r="D299" s="28" t="s">
        <v>48</v>
      </c>
      <c r="E299" s="28" t="s">
        <v>362</v>
      </c>
      <c r="F299" s="28" t="s">
        <v>147</v>
      </c>
      <c r="G299" s="28" t="s">
        <v>143</v>
      </c>
      <c r="H299" s="28" t="s">
        <v>159</v>
      </c>
      <c r="I299" s="29" t="n">
        <v>75000</v>
      </c>
      <c r="J299" s="29" t="n">
        <v>37500</v>
      </c>
      <c r="K299" s="28" t="n">
        <v>8.5</v>
      </c>
      <c r="L299" s="28" t="n">
        <v>120</v>
      </c>
      <c r="M299" s="28" t="n">
        <v>3</v>
      </c>
    </row>
    <row r="300" customFormat="false" ht="15" hidden="false" customHeight="false" outlineLevel="0" collapsed="false">
      <c r="A300" s="27" t="n">
        <v>43913</v>
      </c>
      <c r="B300" s="28" t="n">
        <v>2020</v>
      </c>
      <c r="C300" s="28" t="s">
        <v>252</v>
      </c>
      <c r="D300" s="28" t="s">
        <v>45</v>
      </c>
      <c r="E300" s="28" t="s">
        <v>430</v>
      </c>
      <c r="F300" s="28" t="s">
        <v>147</v>
      </c>
      <c r="G300" s="28" t="s">
        <v>156</v>
      </c>
      <c r="H300" s="28" t="s">
        <v>191</v>
      </c>
      <c r="I300" s="29" t="n">
        <v>50000</v>
      </c>
      <c r="J300" s="29" t="n">
        <v>25000</v>
      </c>
      <c r="K300" s="28" t="n">
        <v>6.75</v>
      </c>
      <c r="L300" s="28" t="n">
        <v>120</v>
      </c>
      <c r="M300" s="28" t="n">
        <v>0</v>
      </c>
    </row>
    <row r="301" customFormat="false" ht="15" hidden="false" customHeight="false" outlineLevel="0" collapsed="false">
      <c r="A301" s="27" t="n">
        <v>43913</v>
      </c>
      <c r="B301" s="28" t="n">
        <v>2020</v>
      </c>
      <c r="C301" s="28" t="s">
        <v>198</v>
      </c>
      <c r="D301" s="28" t="s">
        <v>48</v>
      </c>
      <c r="E301" s="28" t="s">
        <v>434</v>
      </c>
      <c r="F301" s="28" t="s">
        <v>147</v>
      </c>
      <c r="G301" s="28" t="s">
        <v>148</v>
      </c>
      <c r="H301" s="28" t="s">
        <v>159</v>
      </c>
      <c r="I301" s="29" t="n">
        <v>62000</v>
      </c>
      <c r="J301" s="29" t="n">
        <v>31000</v>
      </c>
      <c r="K301" s="28" t="n">
        <v>9.25</v>
      </c>
      <c r="L301" s="28" t="n">
        <v>60</v>
      </c>
      <c r="M301" s="28" t="n">
        <v>3</v>
      </c>
    </row>
    <row r="302" customFormat="false" ht="15" hidden="false" customHeight="false" outlineLevel="0" collapsed="false">
      <c r="A302" s="27" t="n">
        <v>43913</v>
      </c>
      <c r="B302" s="28" t="n">
        <v>2020</v>
      </c>
      <c r="C302" s="28" t="s">
        <v>172</v>
      </c>
      <c r="D302" s="28" t="s">
        <v>48</v>
      </c>
      <c r="E302" s="28" t="s">
        <v>170</v>
      </c>
      <c r="F302" s="28" t="s">
        <v>142</v>
      </c>
      <c r="G302" s="28" t="s">
        <v>143</v>
      </c>
      <c r="H302" s="28" t="s">
        <v>200</v>
      </c>
      <c r="I302" s="29" t="n">
        <v>3240000</v>
      </c>
      <c r="J302" s="29" t="n">
        <v>2430000</v>
      </c>
      <c r="K302" s="28" t="n">
        <v>7.5</v>
      </c>
      <c r="L302" s="28" t="n">
        <v>120</v>
      </c>
      <c r="M302" s="28" t="n">
        <v>38</v>
      </c>
    </row>
    <row r="303" customFormat="false" ht="15" hidden="false" customHeight="false" outlineLevel="0" collapsed="false">
      <c r="A303" s="27" t="n">
        <v>43913</v>
      </c>
      <c r="B303" s="28" t="n">
        <v>2020</v>
      </c>
      <c r="C303" s="28" t="s">
        <v>160</v>
      </c>
      <c r="D303" s="28" t="s">
        <v>45</v>
      </c>
      <c r="E303" s="28" t="s">
        <v>356</v>
      </c>
      <c r="F303" s="28" t="s">
        <v>142</v>
      </c>
      <c r="G303" s="28" t="s">
        <v>152</v>
      </c>
      <c r="H303" s="28" t="s">
        <v>281</v>
      </c>
      <c r="I303" s="29" t="n">
        <v>1340200</v>
      </c>
      <c r="J303" s="29" t="n">
        <v>1005150</v>
      </c>
      <c r="K303" s="28" t="n">
        <v>6.5</v>
      </c>
      <c r="L303" s="28" t="n">
        <v>66</v>
      </c>
      <c r="M303" s="28" t="n">
        <v>12</v>
      </c>
    </row>
    <row r="304" customFormat="false" ht="15" hidden="false" customHeight="false" outlineLevel="0" collapsed="false">
      <c r="A304" s="27" t="n">
        <v>43913</v>
      </c>
      <c r="B304" s="28" t="n">
        <v>2020</v>
      </c>
      <c r="C304" s="28" t="s">
        <v>203</v>
      </c>
      <c r="D304" s="28" t="s">
        <v>52</v>
      </c>
      <c r="E304" s="28" t="s">
        <v>204</v>
      </c>
      <c r="F304" s="28" t="s">
        <v>147</v>
      </c>
      <c r="G304" s="28" t="s">
        <v>156</v>
      </c>
      <c r="H304" s="28" t="s">
        <v>168</v>
      </c>
      <c r="I304" s="29" t="n">
        <v>10000</v>
      </c>
      <c r="J304" s="29" t="n">
        <v>5000</v>
      </c>
      <c r="K304" s="28" t="n">
        <v>11.25</v>
      </c>
      <c r="L304" s="28" t="n">
        <v>120</v>
      </c>
      <c r="M304" s="28" t="n">
        <v>0</v>
      </c>
    </row>
    <row r="305" customFormat="false" ht="15" hidden="false" customHeight="false" outlineLevel="0" collapsed="false">
      <c r="A305" s="27" t="n">
        <v>43914</v>
      </c>
      <c r="B305" s="28" t="n">
        <v>2020</v>
      </c>
      <c r="C305" s="28" t="s">
        <v>172</v>
      </c>
      <c r="D305" s="28" t="s">
        <v>43</v>
      </c>
      <c r="E305" s="28" t="s">
        <v>435</v>
      </c>
      <c r="F305" s="28" t="s">
        <v>194</v>
      </c>
      <c r="G305" s="28" t="s">
        <v>152</v>
      </c>
      <c r="H305" s="28" t="s">
        <v>320</v>
      </c>
      <c r="I305" s="29" t="n">
        <v>350000</v>
      </c>
      <c r="J305" s="29" t="n">
        <v>262500</v>
      </c>
      <c r="K305" s="28" t="n">
        <v>6.75</v>
      </c>
      <c r="L305" s="28" t="n">
        <v>120</v>
      </c>
      <c r="M305" s="28" t="n">
        <v>9</v>
      </c>
    </row>
    <row r="306" customFormat="false" ht="15" hidden="false" customHeight="false" outlineLevel="0" collapsed="false">
      <c r="A306" s="27" t="n">
        <v>43915</v>
      </c>
      <c r="B306" s="28" t="n">
        <v>2020</v>
      </c>
      <c r="C306" s="28" t="s">
        <v>172</v>
      </c>
      <c r="D306" s="28" t="s">
        <v>44</v>
      </c>
      <c r="E306" s="28" t="s">
        <v>297</v>
      </c>
      <c r="F306" s="28" t="s">
        <v>142</v>
      </c>
      <c r="G306" s="28" t="s">
        <v>156</v>
      </c>
      <c r="H306" s="28" t="s">
        <v>168</v>
      </c>
      <c r="I306" s="29" t="n">
        <v>439300</v>
      </c>
      <c r="J306" s="29" t="n">
        <v>329475</v>
      </c>
      <c r="K306" s="28" t="n">
        <v>4.5</v>
      </c>
      <c r="L306" s="28" t="n">
        <v>300</v>
      </c>
      <c r="M306" s="28" t="n">
        <v>0</v>
      </c>
    </row>
    <row r="307" customFormat="false" ht="15" hidden="false" customHeight="false" outlineLevel="0" collapsed="false">
      <c r="A307" s="27" t="n">
        <v>43915</v>
      </c>
      <c r="B307" s="28" t="n">
        <v>2020</v>
      </c>
      <c r="C307" s="28" t="s">
        <v>312</v>
      </c>
      <c r="D307" s="28" t="s">
        <v>47</v>
      </c>
      <c r="E307" s="28" t="s">
        <v>313</v>
      </c>
      <c r="F307" s="28" t="s">
        <v>194</v>
      </c>
      <c r="G307" s="28" t="s">
        <v>148</v>
      </c>
      <c r="H307" s="28" t="s">
        <v>314</v>
      </c>
      <c r="I307" s="29" t="n">
        <v>2500000</v>
      </c>
      <c r="J307" s="29" t="n">
        <v>1875000</v>
      </c>
      <c r="K307" s="28" t="n">
        <v>6.25</v>
      </c>
      <c r="L307" s="28" t="n">
        <v>186</v>
      </c>
      <c r="M307" s="28" t="n">
        <v>200</v>
      </c>
    </row>
    <row r="308" customFormat="false" ht="15" hidden="false" customHeight="false" outlineLevel="0" collapsed="false">
      <c r="A308" s="27" t="n">
        <v>43916</v>
      </c>
      <c r="B308" s="28" t="n">
        <v>2020</v>
      </c>
      <c r="C308" s="28" t="s">
        <v>166</v>
      </c>
      <c r="D308" s="28" t="s">
        <v>48</v>
      </c>
      <c r="E308" s="28" t="s">
        <v>436</v>
      </c>
      <c r="F308" s="28" t="s">
        <v>142</v>
      </c>
      <c r="G308" s="28" t="s">
        <v>152</v>
      </c>
      <c r="H308" s="28" t="s">
        <v>168</v>
      </c>
      <c r="I308" s="29" t="n">
        <v>704400</v>
      </c>
      <c r="J308" s="29" t="n">
        <v>528300</v>
      </c>
      <c r="K308" s="28" t="n">
        <v>5.5</v>
      </c>
      <c r="L308" s="28" t="n">
        <v>120</v>
      </c>
      <c r="M308" s="28" t="n">
        <v>9</v>
      </c>
    </row>
    <row r="309" customFormat="false" ht="15" hidden="false" customHeight="false" outlineLevel="0" collapsed="false">
      <c r="A309" s="27" t="n">
        <v>43916</v>
      </c>
      <c r="B309" s="28" t="n">
        <v>2020</v>
      </c>
      <c r="C309" s="28" t="s">
        <v>172</v>
      </c>
      <c r="D309" s="28" t="s">
        <v>48</v>
      </c>
      <c r="E309" s="28" t="s">
        <v>401</v>
      </c>
      <c r="F309" s="28" t="s">
        <v>147</v>
      </c>
      <c r="G309" s="28" t="s">
        <v>156</v>
      </c>
      <c r="H309" s="28" t="s">
        <v>168</v>
      </c>
      <c r="I309" s="29" t="n">
        <v>9900</v>
      </c>
      <c r="J309" s="29" t="n">
        <v>4950</v>
      </c>
      <c r="K309" s="28" t="n">
        <v>10.75</v>
      </c>
      <c r="L309" s="28" t="n">
        <v>120</v>
      </c>
      <c r="M309" s="28" t="n">
        <v>0</v>
      </c>
    </row>
    <row r="310" customFormat="false" ht="15" hidden="false" customHeight="false" outlineLevel="0" collapsed="false">
      <c r="A310" s="27" t="n">
        <v>43917</v>
      </c>
      <c r="B310" s="28" t="n">
        <v>2020</v>
      </c>
      <c r="C310" s="28" t="s">
        <v>209</v>
      </c>
      <c r="D310" s="28" t="s">
        <v>42</v>
      </c>
      <c r="E310" s="28" t="s">
        <v>164</v>
      </c>
      <c r="F310" s="28" t="s">
        <v>194</v>
      </c>
      <c r="G310" s="28" t="s">
        <v>152</v>
      </c>
      <c r="H310" s="28" t="s">
        <v>255</v>
      </c>
      <c r="I310" s="29" t="n">
        <v>590000</v>
      </c>
      <c r="J310" s="29" t="n">
        <v>442500</v>
      </c>
      <c r="K310" s="28" t="n">
        <v>7.5</v>
      </c>
      <c r="L310" s="28" t="n">
        <v>123</v>
      </c>
      <c r="M310" s="28" t="n">
        <v>140</v>
      </c>
    </row>
    <row r="311" customFormat="false" ht="15" hidden="false" customHeight="false" outlineLevel="0" collapsed="false">
      <c r="A311" s="27" t="n">
        <v>43920</v>
      </c>
      <c r="B311" s="28" t="n">
        <v>2020</v>
      </c>
      <c r="C311" s="28" t="s">
        <v>160</v>
      </c>
      <c r="D311" s="28" t="s">
        <v>45</v>
      </c>
      <c r="E311" s="28" t="s">
        <v>356</v>
      </c>
      <c r="F311" s="28" t="s">
        <v>147</v>
      </c>
      <c r="G311" s="28" t="s">
        <v>152</v>
      </c>
      <c r="H311" s="28" t="s">
        <v>281</v>
      </c>
      <c r="I311" s="29" t="n">
        <v>80000</v>
      </c>
      <c r="J311" s="29" t="n">
        <v>40000</v>
      </c>
      <c r="K311" s="28" t="n">
        <v>6</v>
      </c>
      <c r="L311" s="28" t="n">
        <v>120</v>
      </c>
      <c r="M311" s="28" t="n">
        <v>12</v>
      </c>
    </row>
    <row r="312" customFormat="false" ht="15" hidden="false" customHeight="false" outlineLevel="0" collapsed="false">
      <c r="A312" s="27" t="n">
        <v>43922</v>
      </c>
      <c r="B312" s="28" t="n">
        <v>2020</v>
      </c>
      <c r="C312" s="28" t="s">
        <v>160</v>
      </c>
      <c r="D312" s="28" t="s">
        <v>53</v>
      </c>
      <c r="E312" s="28" t="s">
        <v>437</v>
      </c>
      <c r="F312" s="28" t="s">
        <v>147</v>
      </c>
      <c r="G312" s="28" t="s">
        <v>143</v>
      </c>
      <c r="H312" s="28" t="s">
        <v>159</v>
      </c>
      <c r="I312" s="29" t="n">
        <v>100000</v>
      </c>
      <c r="J312" s="29" t="n">
        <v>50000</v>
      </c>
      <c r="K312" s="28" t="n">
        <v>9.25</v>
      </c>
      <c r="L312" s="28" t="n">
        <v>60</v>
      </c>
      <c r="M312" s="28" t="n">
        <v>3</v>
      </c>
    </row>
    <row r="313" customFormat="false" ht="15" hidden="false" customHeight="false" outlineLevel="0" collapsed="false">
      <c r="A313" s="27" t="n">
        <v>43922</v>
      </c>
      <c r="B313" s="28" t="n">
        <v>2020</v>
      </c>
      <c r="C313" s="28" t="s">
        <v>160</v>
      </c>
      <c r="D313" s="28" t="s">
        <v>53</v>
      </c>
      <c r="E313" s="28" t="s">
        <v>437</v>
      </c>
      <c r="F313" s="28" t="s">
        <v>147</v>
      </c>
      <c r="G313" s="28" t="s">
        <v>143</v>
      </c>
      <c r="H313" s="28" t="s">
        <v>159</v>
      </c>
      <c r="I313" s="29" t="n">
        <v>25000</v>
      </c>
      <c r="J313" s="29" t="n">
        <v>12500</v>
      </c>
      <c r="K313" s="28" t="n">
        <v>11.25</v>
      </c>
      <c r="L313" s="28" t="n">
        <v>120</v>
      </c>
      <c r="M313" s="28" t="n">
        <v>3</v>
      </c>
    </row>
    <row r="314" customFormat="false" ht="15" hidden="false" customHeight="false" outlineLevel="0" collapsed="false">
      <c r="A314" s="27" t="n">
        <v>43922</v>
      </c>
      <c r="B314" s="28" t="n">
        <v>2020</v>
      </c>
      <c r="C314" s="28" t="s">
        <v>252</v>
      </c>
      <c r="D314" s="28" t="s">
        <v>46</v>
      </c>
      <c r="E314" s="28" t="s">
        <v>262</v>
      </c>
      <c r="F314" s="28" t="s">
        <v>147</v>
      </c>
      <c r="G314" s="28" t="s">
        <v>148</v>
      </c>
      <c r="H314" s="28" t="s">
        <v>159</v>
      </c>
      <c r="I314" s="29" t="n">
        <v>70000</v>
      </c>
      <c r="J314" s="29" t="n">
        <v>35000</v>
      </c>
      <c r="K314" s="28" t="n">
        <v>9.25</v>
      </c>
      <c r="L314" s="28" t="n">
        <v>120</v>
      </c>
      <c r="M314" s="28" t="n">
        <v>0</v>
      </c>
    </row>
    <row r="315" customFormat="false" ht="15" hidden="false" customHeight="false" outlineLevel="0" collapsed="false">
      <c r="A315" s="27" t="n">
        <v>43922</v>
      </c>
      <c r="B315" s="28" t="n">
        <v>2020</v>
      </c>
      <c r="C315" s="28" t="s">
        <v>172</v>
      </c>
      <c r="D315" s="28" t="s">
        <v>57</v>
      </c>
      <c r="E315" s="28" t="s">
        <v>425</v>
      </c>
      <c r="F315" s="28" t="s">
        <v>142</v>
      </c>
      <c r="G315" s="28" t="s">
        <v>148</v>
      </c>
      <c r="H315" s="28" t="s">
        <v>438</v>
      </c>
      <c r="I315" s="29" t="n">
        <v>331800</v>
      </c>
      <c r="J315" s="29" t="n">
        <v>248850</v>
      </c>
      <c r="K315" s="28" t="n">
        <v>7.5</v>
      </c>
      <c r="L315" s="28" t="n">
        <v>48</v>
      </c>
      <c r="M315" s="28" t="n">
        <v>39</v>
      </c>
    </row>
    <row r="316" customFormat="false" ht="15" hidden="false" customHeight="false" outlineLevel="0" collapsed="false">
      <c r="A316" s="27" t="n">
        <v>43922</v>
      </c>
      <c r="B316" s="28" t="n">
        <v>2020</v>
      </c>
      <c r="C316" s="28" t="s">
        <v>172</v>
      </c>
      <c r="D316" s="28" t="s">
        <v>57</v>
      </c>
      <c r="E316" s="28" t="s">
        <v>425</v>
      </c>
      <c r="F316" s="28" t="s">
        <v>147</v>
      </c>
      <c r="G316" s="28" t="s">
        <v>148</v>
      </c>
      <c r="H316" s="28" t="s">
        <v>438</v>
      </c>
      <c r="I316" s="29" t="n">
        <v>350000</v>
      </c>
      <c r="J316" s="29" t="n">
        <v>175000</v>
      </c>
      <c r="K316" s="28" t="n">
        <v>7.5</v>
      </c>
      <c r="L316" s="28" t="n">
        <v>120</v>
      </c>
      <c r="M316" s="28" t="n">
        <v>39</v>
      </c>
    </row>
    <row r="317" customFormat="false" ht="15" hidden="false" customHeight="false" outlineLevel="0" collapsed="false">
      <c r="A317" s="27" t="n">
        <v>43924</v>
      </c>
      <c r="B317" s="28" t="n">
        <v>2020</v>
      </c>
      <c r="C317" s="28" t="s">
        <v>198</v>
      </c>
      <c r="D317" s="28" t="s">
        <v>46</v>
      </c>
      <c r="E317" s="28" t="s">
        <v>406</v>
      </c>
      <c r="F317" s="28" t="s">
        <v>194</v>
      </c>
      <c r="G317" s="28" t="s">
        <v>143</v>
      </c>
      <c r="H317" s="28" t="s">
        <v>281</v>
      </c>
      <c r="I317" s="29" t="n">
        <v>2907600</v>
      </c>
      <c r="J317" s="29" t="n">
        <v>2180700</v>
      </c>
      <c r="K317" s="28" t="n">
        <v>5.75</v>
      </c>
      <c r="L317" s="28" t="n">
        <v>300</v>
      </c>
      <c r="M317" s="28" t="n">
        <v>10</v>
      </c>
    </row>
    <row r="318" customFormat="false" ht="15" hidden="false" customHeight="false" outlineLevel="0" collapsed="false">
      <c r="A318" s="27" t="n">
        <v>43925</v>
      </c>
      <c r="B318" s="28" t="n">
        <v>2020</v>
      </c>
      <c r="C318" s="28" t="s">
        <v>357</v>
      </c>
      <c r="D318" s="28" t="s">
        <v>49</v>
      </c>
      <c r="E318" s="28" t="s">
        <v>439</v>
      </c>
      <c r="F318" s="28" t="s">
        <v>147</v>
      </c>
      <c r="G318" s="28" t="s">
        <v>148</v>
      </c>
      <c r="H318" s="28" t="s">
        <v>255</v>
      </c>
      <c r="I318" s="29" t="n">
        <v>350000</v>
      </c>
      <c r="J318" s="29" t="n">
        <v>315000</v>
      </c>
      <c r="K318" s="28" t="n">
        <v>5.25</v>
      </c>
      <c r="L318" s="28" t="n">
        <v>48</v>
      </c>
      <c r="M318" s="28" t="n">
        <v>0</v>
      </c>
    </row>
    <row r="319" customFormat="false" ht="15" hidden="false" customHeight="false" outlineLevel="0" collapsed="false">
      <c r="A319" s="27" t="n">
        <v>43927</v>
      </c>
      <c r="B319" s="28" t="n">
        <v>2020</v>
      </c>
      <c r="C319" s="28" t="s">
        <v>166</v>
      </c>
      <c r="D319" s="28" t="s">
        <v>55</v>
      </c>
      <c r="E319" s="28" t="s">
        <v>440</v>
      </c>
      <c r="F319" s="28" t="s">
        <v>147</v>
      </c>
      <c r="G319" s="28" t="s">
        <v>148</v>
      </c>
      <c r="H319" s="28" t="s">
        <v>159</v>
      </c>
      <c r="I319" s="29" t="n">
        <v>50000</v>
      </c>
      <c r="J319" s="29" t="n">
        <v>25000</v>
      </c>
      <c r="K319" s="28" t="n">
        <v>7.75</v>
      </c>
      <c r="L319" s="28" t="n">
        <v>120</v>
      </c>
      <c r="M319" s="28" t="n">
        <v>0</v>
      </c>
    </row>
    <row r="320" customFormat="false" ht="15" hidden="false" customHeight="false" outlineLevel="0" collapsed="false">
      <c r="A320" s="27" t="n">
        <v>43927</v>
      </c>
      <c r="B320" s="28" t="n">
        <v>2020</v>
      </c>
      <c r="C320" s="28" t="s">
        <v>140</v>
      </c>
      <c r="D320" s="28" t="s">
        <v>42</v>
      </c>
      <c r="E320" s="28" t="s">
        <v>242</v>
      </c>
      <c r="F320" s="28" t="s">
        <v>147</v>
      </c>
      <c r="G320" s="28" t="s">
        <v>441</v>
      </c>
      <c r="H320" s="28" t="s">
        <v>227</v>
      </c>
      <c r="I320" s="29" t="n">
        <v>40000</v>
      </c>
      <c r="J320" s="29" t="n">
        <v>20000</v>
      </c>
      <c r="K320" s="28" t="n">
        <v>9.75</v>
      </c>
      <c r="L320" s="28" t="n">
        <v>120</v>
      </c>
      <c r="M320" s="28" t="n">
        <v>21</v>
      </c>
    </row>
    <row r="321" customFormat="false" ht="15" hidden="false" customHeight="false" outlineLevel="0" collapsed="false">
      <c r="A321" s="27" t="n">
        <v>43929</v>
      </c>
      <c r="B321" s="28" t="n">
        <v>2020</v>
      </c>
      <c r="C321" s="28" t="s">
        <v>243</v>
      </c>
      <c r="D321" s="28" t="s">
        <v>51</v>
      </c>
      <c r="E321" s="28" t="s">
        <v>442</v>
      </c>
      <c r="F321" s="28" t="s">
        <v>147</v>
      </c>
      <c r="G321" s="28" t="s">
        <v>441</v>
      </c>
      <c r="H321" s="28" t="s">
        <v>443</v>
      </c>
      <c r="I321" s="29" t="n">
        <v>30000</v>
      </c>
      <c r="J321" s="29" t="n">
        <v>15000</v>
      </c>
      <c r="K321" s="28" t="n">
        <v>6</v>
      </c>
      <c r="L321" s="28" t="n">
        <v>60</v>
      </c>
      <c r="M321" s="28" t="n">
        <v>4</v>
      </c>
    </row>
    <row r="322" customFormat="false" ht="15" hidden="false" customHeight="false" outlineLevel="0" collapsed="false">
      <c r="A322" s="27" t="n">
        <v>43930</v>
      </c>
      <c r="B322" s="28" t="n">
        <v>2020</v>
      </c>
      <c r="C322" s="28" t="s">
        <v>166</v>
      </c>
      <c r="D322" s="28" t="s">
        <v>45</v>
      </c>
      <c r="E322" s="28" t="s">
        <v>222</v>
      </c>
      <c r="F322" s="28" t="s">
        <v>147</v>
      </c>
      <c r="G322" s="28" t="s">
        <v>148</v>
      </c>
      <c r="H322" s="28" t="s">
        <v>159</v>
      </c>
      <c r="I322" s="29" t="n">
        <v>25000</v>
      </c>
      <c r="J322" s="29" t="n">
        <v>12500</v>
      </c>
      <c r="K322" s="28" t="n">
        <v>9.75</v>
      </c>
      <c r="L322" s="28" t="n">
        <v>91</v>
      </c>
      <c r="M322" s="28" t="n">
        <v>2</v>
      </c>
    </row>
    <row r="323" customFormat="false" ht="15" hidden="false" customHeight="false" outlineLevel="0" collapsed="false">
      <c r="A323" s="27" t="n">
        <v>43932</v>
      </c>
      <c r="B323" s="28" t="n">
        <v>2020</v>
      </c>
      <c r="C323" s="28" t="s">
        <v>163</v>
      </c>
      <c r="D323" s="28" t="s">
        <v>42</v>
      </c>
      <c r="E323" s="28" t="s">
        <v>180</v>
      </c>
      <c r="F323" s="28" t="s">
        <v>142</v>
      </c>
      <c r="G323" s="28" t="s">
        <v>143</v>
      </c>
      <c r="H323" s="28" t="s">
        <v>227</v>
      </c>
      <c r="I323" s="29" t="n">
        <v>173500</v>
      </c>
      <c r="J323" s="29" t="n">
        <v>130125</v>
      </c>
      <c r="K323" s="28" t="n">
        <v>2.75</v>
      </c>
      <c r="L323" s="28" t="n">
        <v>123</v>
      </c>
      <c r="M323" s="28" t="n">
        <v>24</v>
      </c>
    </row>
    <row r="324" customFormat="false" ht="15" hidden="false" customHeight="false" outlineLevel="0" collapsed="false">
      <c r="A324" s="27" t="n">
        <v>43932</v>
      </c>
      <c r="B324" s="28" t="n">
        <v>2020</v>
      </c>
      <c r="C324" s="28" t="s">
        <v>272</v>
      </c>
      <c r="D324" s="28" t="s">
        <v>48</v>
      </c>
      <c r="E324" s="28" t="s">
        <v>342</v>
      </c>
      <c r="F324" s="28" t="s">
        <v>142</v>
      </c>
      <c r="G324" s="28" t="s">
        <v>148</v>
      </c>
      <c r="H324" s="28" t="s">
        <v>229</v>
      </c>
      <c r="I324" s="29" t="n">
        <v>350000</v>
      </c>
      <c r="J324" s="29" t="n">
        <v>262500</v>
      </c>
      <c r="K324" s="28" t="n">
        <v>6</v>
      </c>
      <c r="L324" s="28" t="n">
        <v>120</v>
      </c>
      <c r="M324" s="28" t="n">
        <v>4</v>
      </c>
    </row>
    <row r="325" customFormat="false" ht="15" hidden="false" customHeight="false" outlineLevel="0" collapsed="false">
      <c r="A325" s="27" t="n">
        <v>43934</v>
      </c>
      <c r="B325" s="28" t="n">
        <v>2020</v>
      </c>
      <c r="C325" s="28" t="s">
        <v>444</v>
      </c>
      <c r="D325" s="28" t="s">
        <v>47</v>
      </c>
      <c r="E325" s="28" t="s">
        <v>445</v>
      </c>
      <c r="F325" s="28" t="s">
        <v>283</v>
      </c>
      <c r="G325" s="28" t="s">
        <v>441</v>
      </c>
      <c r="H325" s="28" t="s">
        <v>306</v>
      </c>
      <c r="I325" s="29" t="n">
        <v>351000</v>
      </c>
      <c r="J325" s="29" t="n">
        <v>315900</v>
      </c>
      <c r="K325" s="28" t="n">
        <v>4.75</v>
      </c>
      <c r="L325" s="28" t="n">
        <v>120</v>
      </c>
      <c r="M325" s="28" t="n">
        <v>12</v>
      </c>
    </row>
    <row r="326" customFormat="false" ht="15" hidden="false" customHeight="false" outlineLevel="0" collapsed="false">
      <c r="A326" s="27" t="n">
        <v>43936</v>
      </c>
      <c r="B326" s="28" t="n">
        <v>2020</v>
      </c>
      <c r="C326" s="28" t="s">
        <v>140</v>
      </c>
      <c r="D326" s="28" t="s">
        <v>53</v>
      </c>
      <c r="E326" s="28" t="s">
        <v>446</v>
      </c>
      <c r="F326" s="28" t="s">
        <v>147</v>
      </c>
      <c r="G326" s="28" t="s">
        <v>148</v>
      </c>
      <c r="H326" s="28" t="s">
        <v>165</v>
      </c>
      <c r="I326" s="29" t="n">
        <v>60000</v>
      </c>
      <c r="J326" s="29" t="n">
        <v>30000</v>
      </c>
      <c r="K326" s="28" t="n">
        <v>7.64</v>
      </c>
      <c r="L326" s="28" t="n">
        <v>60</v>
      </c>
      <c r="M326" s="28" t="n">
        <v>4</v>
      </c>
    </row>
    <row r="327" customFormat="false" ht="15" hidden="false" customHeight="false" outlineLevel="0" collapsed="false">
      <c r="A327" s="27" t="n">
        <v>43936</v>
      </c>
      <c r="B327" s="28" t="n">
        <v>2020</v>
      </c>
      <c r="C327" s="28" t="s">
        <v>263</v>
      </c>
      <c r="D327" s="28" t="s">
        <v>44</v>
      </c>
      <c r="E327" s="28" t="s">
        <v>297</v>
      </c>
      <c r="F327" s="28" t="s">
        <v>142</v>
      </c>
      <c r="G327" s="28" t="s">
        <v>441</v>
      </c>
      <c r="H327" s="28" t="s">
        <v>275</v>
      </c>
      <c r="I327" s="29" t="n">
        <v>350000</v>
      </c>
      <c r="J327" s="29" t="n">
        <v>262500</v>
      </c>
      <c r="K327" s="28" t="n">
        <v>6</v>
      </c>
      <c r="L327" s="28" t="n">
        <v>120</v>
      </c>
      <c r="M327" s="28" t="n">
        <v>5</v>
      </c>
    </row>
    <row r="328" customFormat="false" ht="15" hidden="false" customHeight="false" outlineLevel="0" collapsed="false">
      <c r="A328" s="27" t="n">
        <v>43937</v>
      </c>
      <c r="B328" s="28" t="n">
        <v>2020</v>
      </c>
      <c r="C328" s="28" t="s">
        <v>243</v>
      </c>
      <c r="D328" s="28" t="s">
        <v>48</v>
      </c>
      <c r="E328" s="28" t="s">
        <v>182</v>
      </c>
      <c r="F328" s="28" t="s">
        <v>147</v>
      </c>
      <c r="G328" s="28" t="s">
        <v>148</v>
      </c>
      <c r="H328" s="28" t="s">
        <v>159</v>
      </c>
      <c r="I328" s="29" t="n">
        <v>20000</v>
      </c>
      <c r="J328" s="29" t="n">
        <v>10000</v>
      </c>
      <c r="K328" s="28" t="n">
        <v>9.75</v>
      </c>
      <c r="L328" s="28" t="n">
        <v>120</v>
      </c>
      <c r="M328" s="28" t="n">
        <v>2</v>
      </c>
    </row>
    <row r="329" customFormat="false" ht="15" hidden="false" customHeight="false" outlineLevel="0" collapsed="false">
      <c r="A329" s="27" t="n">
        <v>43937</v>
      </c>
      <c r="B329" s="28" t="n">
        <v>2020</v>
      </c>
      <c r="C329" s="28" t="s">
        <v>203</v>
      </c>
      <c r="D329" s="28" t="s">
        <v>44</v>
      </c>
      <c r="E329" s="28" t="s">
        <v>355</v>
      </c>
      <c r="F329" s="28" t="s">
        <v>142</v>
      </c>
      <c r="G329" s="28" t="s">
        <v>148</v>
      </c>
      <c r="H329" s="28" t="s">
        <v>404</v>
      </c>
      <c r="I329" s="29" t="n">
        <v>583000</v>
      </c>
      <c r="J329" s="29" t="n">
        <v>437250</v>
      </c>
      <c r="K329" s="28" t="n">
        <v>4</v>
      </c>
      <c r="L329" s="28" t="n">
        <v>298</v>
      </c>
      <c r="M329" s="28" t="n">
        <v>2</v>
      </c>
    </row>
    <row r="330" customFormat="false" ht="15" hidden="false" customHeight="false" outlineLevel="0" collapsed="false">
      <c r="A330" s="27" t="n">
        <v>43941</v>
      </c>
      <c r="B330" s="28" t="n">
        <v>2020</v>
      </c>
      <c r="C330" s="28" t="s">
        <v>140</v>
      </c>
      <c r="D330" s="28" t="s">
        <v>47</v>
      </c>
      <c r="E330" s="28" t="s">
        <v>284</v>
      </c>
      <c r="F330" s="28" t="s">
        <v>142</v>
      </c>
      <c r="G330" s="28" t="s">
        <v>148</v>
      </c>
      <c r="H330" s="28" t="s">
        <v>291</v>
      </c>
      <c r="I330" s="29" t="n">
        <v>452000</v>
      </c>
      <c r="J330" s="29" t="n">
        <v>339000</v>
      </c>
      <c r="K330" s="28" t="n">
        <v>5.25</v>
      </c>
      <c r="L330" s="28" t="n">
        <v>120</v>
      </c>
      <c r="M330" s="28" t="n">
        <v>9</v>
      </c>
    </row>
    <row r="331" customFormat="false" ht="15" hidden="false" customHeight="false" outlineLevel="0" collapsed="false">
      <c r="A331" s="27" t="n">
        <v>43942</v>
      </c>
      <c r="B331" s="28" t="n">
        <v>2020</v>
      </c>
      <c r="C331" s="28" t="s">
        <v>353</v>
      </c>
      <c r="D331" s="28" t="s">
        <v>42</v>
      </c>
      <c r="E331" s="28" t="s">
        <v>447</v>
      </c>
      <c r="F331" s="28" t="s">
        <v>142</v>
      </c>
      <c r="G331" s="28" t="s">
        <v>143</v>
      </c>
      <c r="H331" s="28" t="s">
        <v>448</v>
      </c>
      <c r="I331" s="29" t="n">
        <v>810700</v>
      </c>
      <c r="J331" s="29" t="n">
        <v>608025</v>
      </c>
      <c r="K331" s="28" t="n">
        <v>7.5</v>
      </c>
      <c r="L331" s="28" t="n">
        <v>120</v>
      </c>
      <c r="M331" s="28" t="n">
        <v>32</v>
      </c>
    </row>
    <row r="332" customFormat="false" ht="15" hidden="false" customHeight="false" outlineLevel="0" collapsed="false">
      <c r="A332" s="27" t="n">
        <v>43943</v>
      </c>
      <c r="B332" s="28" t="n">
        <v>2020</v>
      </c>
      <c r="C332" s="28" t="s">
        <v>198</v>
      </c>
      <c r="D332" s="28" t="s">
        <v>47</v>
      </c>
      <c r="E332" s="28" t="s">
        <v>364</v>
      </c>
      <c r="F332" s="28" t="s">
        <v>147</v>
      </c>
      <c r="G332" s="28" t="s">
        <v>441</v>
      </c>
      <c r="H332" s="28" t="s">
        <v>165</v>
      </c>
      <c r="I332" s="29" t="n">
        <v>200000</v>
      </c>
      <c r="J332" s="29" t="n">
        <v>100000</v>
      </c>
      <c r="K332" s="28" t="n">
        <v>4.89</v>
      </c>
      <c r="L332" s="28" t="n">
        <v>84</v>
      </c>
      <c r="M332" s="28" t="n">
        <v>20</v>
      </c>
    </row>
    <row r="333" customFormat="false" ht="15" hidden="false" customHeight="false" outlineLevel="0" collapsed="false">
      <c r="A333" s="27" t="n">
        <v>43943</v>
      </c>
      <c r="B333" s="28" t="n">
        <v>2020</v>
      </c>
      <c r="C333" s="28" t="s">
        <v>183</v>
      </c>
      <c r="D333" s="28" t="s">
        <v>45</v>
      </c>
      <c r="E333" s="28" t="s">
        <v>202</v>
      </c>
      <c r="F333" s="28" t="s">
        <v>142</v>
      </c>
      <c r="G333" s="28" t="s">
        <v>148</v>
      </c>
      <c r="H333" s="28" t="s">
        <v>449</v>
      </c>
      <c r="I333" s="29" t="n">
        <v>866700</v>
      </c>
      <c r="J333" s="29" t="n">
        <v>650025</v>
      </c>
      <c r="K333" s="28" t="n">
        <v>5.75</v>
      </c>
      <c r="L333" s="28" t="n">
        <v>120</v>
      </c>
      <c r="M333" s="28" t="n">
        <v>6</v>
      </c>
    </row>
    <row r="334" customFormat="false" ht="15" hidden="false" customHeight="false" outlineLevel="0" collapsed="false">
      <c r="A334" s="27" t="n">
        <v>43943</v>
      </c>
      <c r="B334" s="28" t="n">
        <v>2020</v>
      </c>
      <c r="C334" s="28" t="s">
        <v>393</v>
      </c>
      <c r="D334" s="28" t="s">
        <v>42</v>
      </c>
      <c r="E334" s="28" t="s">
        <v>247</v>
      </c>
      <c r="F334" s="28" t="s">
        <v>142</v>
      </c>
      <c r="G334" s="28" t="s">
        <v>152</v>
      </c>
      <c r="H334" s="28" t="s">
        <v>211</v>
      </c>
      <c r="I334" s="29" t="n">
        <v>3212000</v>
      </c>
      <c r="J334" s="29" t="n">
        <v>2409000</v>
      </c>
      <c r="K334" s="28" t="n">
        <v>5</v>
      </c>
      <c r="L334" s="28" t="n">
        <v>300</v>
      </c>
      <c r="M334" s="28" t="n">
        <v>16</v>
      </c>
    </row>
    <row r="335" customFormat="false" ht="15" hidden="false" customHeight="false" outlineLevel="0" collapsed="false">
      <c r="A335" s="27" t="n">
        <v>43943</v>
      </c>
      <c r="B335" s="28" t="n">
        <v>2020</v>
      </c>
      <c r="C335" s="28" t="s">
        <v>450</v>
      </c>
      <c r="D335" s="28" t="s">
        <v>42</v>
      </c>
      <c r="E335" s="28" t="s">
        <v>247</v>
      </c>
      <c r="F335" s="28" t="s">
        <v>142</v>
      </c>
      <c r="G335" s="28" t="s">
        <v>152</v>
      </c>
      <c r="H335" s="28" t="s">
        <v>287</v>
      </c>
      <c r="I335" s="29" t="n">
        <v>1915000</v>
      </c>
      <c r="J335" s="29" t="n">
        <v>1436250</v>
      </c>
      <c r="K335" s="28" t="n">
        <v>6</v>
      </c>
      <c r="L335" s="28" t="n">
        <v>300</v>
      </c>
      <c r="M335" s="28" t="n">
        <v>11</v>
      </c>
    </row>
    <row r="336" customFormat="false" ht="15" hidden="false" customHeight="false" outlineLevel="0" collapsed="false">
      <c r="A336" s="27" t="n">
        <v>43943</v>
      </c>
      <c r="B336" s="28" t="n">
        <v>2020</v>
      </c>
      <c r="C336" s="28" t="s">
        <v>172</v>
      </c>
      <c r="D336" s="28" t="s">
        <v>45</v>
      </c>
      <c r="E336" s="28" t="s">
        <v>253</v>
      </c>
      <c r="F336" s="28" t="s">
        <v>142</v>
      </c>
      <c r="G336" s="28" t="s">
        <v>148</v>
      </c>
      <c r="H336" s="28" t="s">
        <v>451</v>
      </c>
      <c r="I336" s="29" t="n">
        <v>890000</v>
      </c>
      <c r="J336" s="29" t="n">
        <v>667500</v>
      </c>
      <c r="K336" s="28" t="n">
        <v>4.25</v>
      </c>
      <c r="L336" s="28" t="n">
        <v>300</v>
      </c>
      <c r="M336" s="28" t="n">
        <v>6</v>
      </c>
    </row>
    <row r="337" customFormat="false" ht="15" hidden="false" customHeight="false" outlineLevel="0" collapsed="false">
      <c r="A337" s="27" t="n">
        <v>43943</v>
      </c>
      <c r="B337" s="28" t="n">
        <v>2020</v>
      </c>
      <c r="C337" s="28" t="s">
        <v>230</v>
      </c>
      <c r="D337" s="28" t="s">
        <v>43</v>
      </c>
      <c r="E337" s="28" t="s">
        <v>197</v>
      </c>
      <c r="F337" s="28" t="s">
        <v>142</v>
      </c>
      <c r="G337" s="28" t="s">
        <v>152</v>
      </c>
      <c r="H337" s="28" t="s">
        <v>438</v>
      </c>
      <c r="I337" s="29" t="n">
        <v>1000000</v>
      </c>
      <c r="J337" s="29" t="n">
        <v>750000</v>
      </c>
      <c r="K337" s="28" t="n">
        <v>6</v>
      </c>
      <c r="L337" s="28" t="n">
        <v>120</v>
      </c>
      <c r="M337" s="28" t="n">
        <v>12</v>
      </c>
    </row>
    <row r="338" customFormat="false" ht="15" hidden="false" customHeight="false" outlineLevel="0" collapsed="false">
      <c r="A338" s="27" t="n">
        <v>43944</v>
      </c>
      <c r="B338" s="28" t="n">
        <v>2020</v>
      </c>
      <c r="C338" s="28" t="s">
        <v>169</v>
      </c>
      <c r="D338" s="28" t="s">
        <v>44</v>
      </c>
      <c r="E338" s="28" t="s">
        <v>161</v>
      </c>
      <c r="F338" s="28" t="s">
        <v>142</v>
      </c>
      <c r="G338" s="28" t="s">
        <v>441</v>
      </c>
      <c r="H338" s="28" t="s">
        <v>168</v>
      </c>
      <c r="I338" s="29" t="n">
        <v>400000</v>
      </c>
      <c r="J338" s="29" t="n">
        <v>300000</v>
      </c>
      <c r="K338" s="28" t="n">
        <v>4.76</v>
      </c>
      <c r="L338" s="28" t="n">
        <v>240</v>
      </c>
      <c r="M338" s="28" t="n">
        <v>18</v>
      </c>
    </row>
    <row r="339" customFormat="false" ht="15" hidden="false" customHeight="false" outlineLevel="0" collapsed="false">
      <c r="A339" s="27" t="n">
        <v>43944</v>
      </c>
      <c r="B339" s="28" t="n">
        <v>2020</v>
      </c>
      <c r="C339" s="28" t="s">
        <v>272</v>
      </c>
      <c r="D339" s="28" t="s">
        <v>54</v>
      </c>
      <c r="E339" s="28" t="s">
        <v>155</v>
      </c>
      <c r="F339" s="28" t="s">
        <v>142</v>
      </c>
      <c r="G339" s="28" t="s">
        <v>148</v>
      </c>
      <c r="H339" s="28" t="s">
        <v>404</v>
      </c>
      <c r="I339" s="29" t="n">
        <v>1089000</v>
      </c>
      <c r="J339" s="29" t="n">
        <v>816750</v>
      </c>
      <c r="K339" s="28" t="n">
        <v>4.89</v>
      </c>
      <c r="L339" s="28" t="n">
        <v>306</v>
      </c>
      <c r="M339" s="28" t="n">
        <v>9</v>
      </c>
    </row>
    <row r="340" customFormat="false" ht="15" hidden="false" customHeight="false" outlineLevel="0" collapsed="false">
      <c r="A340" s="27" t="n">
        <v>43944</v>
      </c>
      <c r="B340" s="28" t="n">
        <v>2020</v>
      </c>
      <c r="C340" s="28" t="s">
        <v>324</v>
      </c>
      <c r="D340" s="28" t="s">
        <v>46</v>
      </c>
      <c r="E340" s="28" t="s">
        <v>244</v>
      </c>
      <c r="F340" s="28" t="s">
        <v>142</v>
      </c>
      <c r="G340" s="28" t="s">
        <v>143</v>
      </c>
      <c r="H340" s="28" t="s">
        <v>287</v>
      </c>
      <c r="I340" s="29" t="n">
        <v>120000</v>
      </c>
      <c r="J340" s="29" t="n">
        <v>102000</v>
      </c>
      <c r="K340" s="28" t="n">
        <v>6</v>
      </c>
      <c r="L340" s="28" t="n">
        <v>75</v>
      </c>
      <c r="M340" s="28" t="n">
        <v>5</v>
      </c>
    </row>
    <row r="341" customFormat="false" ht="15" hidden="false" customHeight="false" outlineLevel="0" collapsed="false">
      <c r="A341" s="27" t="n">
        <v>43944</v>
      </c>
      <c r="B341" s="28" t="n">
        <v>2020</v>
      </c>
      <c r="C341" s="28" t="s">
        <v>272</v>
      </c>
      <c r="D341" s="28" t="s">
        <v>54</v>
      </c>
      <c r="E341" s="28" t="s">
        <v>155</v>
      </c>
      <c r="F341" s="28" t="s">
        <v>142</v>
      </c>
      <c r="G341" s="28" t="s">
        <v>148</v>
      </c>
      <c r="H341" s="28" t="s">
        <v>404</v>
      </c>
      <c r="I341" s="29" t="n">
        <v>739000</v>
      </c>
      <c r="J341" s="29" t="n">
        <v>554250</v>
      </c>
      <c r="K341" s="28" t="n">
        <v>4.89</v>
      </c>
      <c r="L341" s="28" t="n">
        <v>300</v>
      </c>
      <c r="M341" s="28" t="n">
        <v>9</v>
      </c>
    </row>
    <row r="342" customFormat="false" ht="15" hidden="false" customHeight="false" outlineLevel="0" collapsed="false">
      <c r="A342" s="27" t="n">
        <v>43944</v>
      </c>
      <c r="B342" s="28" t="n">
        <v>2020</v>
      </c>
      <c r="C342" s="28" t="s">
        <v>169</v>
      </c>
      <c r="D342" s="28" t="s">
        <v>57</v>
      </c>
      <c r="E342" s="28" t="s">
        <v>425</v>
      </c>
      <c r="F342" s="28" t="s">
        <v>147</v>
      </c>
      <c r="G342" s="28" t="s">
        <v>148</v>
      </c>
      <c r="H342" s="28" t="s">
        <v>372</v>
      </c>
      <c r="I342" s="29" t="n">
        <v>20000</v>
      </c>
      <c r="J342" s="29" t="n">
        <v>10000</v>
      </c>
      <c r="K342" s="28" t="n">
        <v>6</v>
      </c>
      <c r="L342" s="28" t="n">
        <v>60</v>
      </c>
      <c r="M342" s="28" t="n">
        <v>1</v>
      </c>
    </row>
    <row r="343" customFormat="false" ht="15" hidden="false" customHeight="false" outlineLevel="0" collapsed="false">
      <c r="A343" s="27" t="n">
        <v>43944</v>
      </c>
      <c r="B343" s="28" t="n">
        <v>2020</v>
      </c>
      <c r="C343" s="28" t="s">
        <v>169</v>
      </c>
      <c r="D343" s="28" t="s">
        <v>43</v>
      </c>
      <c r="E343" s="28" t="s">
        <v>311</v>
      </c>
      <c r="F343" s="28" t="s">
        <v>147</v>
      </c>
      <c r="G343" s="28" t="s">
        <v>148</v>
      </c>
      <c r="H343" s="28" t="s">
        <v>159</v>
      </c>
      <c r="I343" s="29" t="n">
        <v>25200</v>
      </c>
      <c r="J343" s="29" t="n">
        <v>12600</v>
      </c>
      <c r="K343" s="28" t="n">
        <v>8.24</v>
      </c>
      <c r="L343" s="28" t="n">
        <v>60</v>
      </c>
      <c r="M343" s="28" t="n">
        <v>0</v>
      </c>
    </row>
    <row r="344" customFormat="false" ht="15" hidden="false" customHeight="false" outlineLevel="0" collapsed="false">
      <c r="A344" s="27" t="n">
        <v>43944</v>
      </c>
      <c r="B344" s="28" t="n">
        <v>2020</v>
      </c>
      <c r="C344" s="28" t="s">
        <v>198</v>
      </c>
      <c r="D344" s="28" t="s">
        <v>46</v>
      </c>
      <c r="E344" s="28" t="s">
        <v>298</v>
      </c>
      <c r="F344" s="28" t="s">
        <v>194</v>
      </c>
      <c r="G344" s="28" t="s">
        <v>148</v>
      </c>
      <c r="H344" s="28" t="s">
        <v>144</v>
      </c>
      <c r="I344" s="29" t="n">
        <v>320000</v>
      </c>
      <c r="J344" s="29" t="n">
        <v>240000</v>
      </c>
      <c r="K344" s="28" t="n">
        <v>7</v>
      </c>
      <c r="L344" s="28" t="n">
        <v>120</v>
      </c>
      <c r="M344" s="28" t="n">
        <v>26</v>
      </c>
    </row>
    <row r="345" customFormat="false" ht="15" hidden="false" customHeight="false" outlineLevel="0" collapsed="false">
      <c r="A345" s="27" t="n">
        <v>43944</v>
      </c>
      <c r="B345" s="28" t="n">
        <v>2020</v>
      </c>
      <c r="C345" s="28" t="s">
        <v>243</v>
      </c>
      <c r="D345" s="28" t="s">
        <v>51</v>
      </c>
      <c r="E345" s="28" t="s">
        <v>239</v>
      </c>
      <c r="F345" s="28" t="s">
        <v>142</v>
      </c>
      <c r="G345" s="28" t="s">
        <v>143</v>
      </c>
      <c r="H345" s="28" t="s">
        <v>452</v>
      </c>
      <c r="I345" s="29" t="n">
        <v>464600</v>
      </c>
      <c r="J345" s="29" t="n">
        <v>348450</v>
      </c>
      <c r="K345" s="28" t="n">
        <v>5.75</v>
      </c>
      <c r="L345" s="28" t="n">
        <v>126</v>
      </c>
      <c r="M345" s="28" t="n">
        <v>9</v>
      </c>
    </row>
    <row r="346" customFormat="false" ht="15" hidden="false" customHeight="false" outlineLevel="0" collapsed="false">
      <c r="A346" s="27" t="n">
        <v>43944</v>
      </c>
      <c r="B346" s="28" t="n">
        <v>2020</v>
      </c>
      <c r="C346" s="28" t="s">
        <v>169</v>
      </c>
      <c r="D346" s="28" t="s">
        <v>43</v>
      </c>
      <c r="E346" s="28" t="s">
        <v>311</v>
      </c>
      <c r="F346" s="28" t="s">
        <v>147</v>
      </c>
      <c r="G346" s="28" t="s">
        <v>148</v>
      </c>
      <c r="H346" s="28" t="s">
        <v>159</v>
      </c>
      <c r="I346" s="29" t="n">
        <v>25000</v>
      </c>
      <c r="J346" s="29" t="n">
        <v>12500</v>
      </c>
      <c r="K346" s="28" t="n">
        <v>9.75</v>
      </c>
      <c r="L346" s="28" t="n">
        <v>120</v>
      </c>
      <c r="M346" s="28" t="n">
        <v>0</v>
      </c>
    </row>
    <row r="347" customFormat="false" ht="15" hidden="false" customHeight="false" outlineLevel="0" collapsed="false">
      <c r="A347" s="27" t="n">
        <v>43944</v>
      </c>
      <c r="B347" s="28" t="n">
        <v>2020</v>
      </c>
      <c r="C347" s="28" t="s">
        <v>169</v>
      </c>
      <c r="D347" s="28" t="s">
        <v>48</v>
      </c>
      <c r="E347" s="28" t="s">
        <v>403</v>
      </c>
      <c r="F347" s="28" t="s">
        <v>142</v>
      </c>
      <c r="G347" s="28" t="s">
        <v>143</v>
      </c>
      <c r="H347" s="28" t="s">
        <v>453</v>
      </c>
      <c r="I347" s="29" t="n">
        <v>324000</v>
      </c>
      <c r="J347" s="29" t="n">
        <v>243000</v>
      </c>
      <c r="K347" s="28" t="n">
        <v>5.5</v>
      </c>
      <c r="L347" s="28" t="n">
        <v>300</v>
      </c>
      <c r="M347" s="28" t="n">
        <v>1</v>
      </c>
    </row>
    <row r="348" customFormat="false" ht="15" hidden="false" customHeight="false" outlineLevel="0" collapsed="false">
      <c r="A348" s="27" t="n">
        <v>43944</v>
      </c>
      <c r="B348" s="28" t="n">
        <v>2020</v>
      </c>
      <c r="C348" s="28" t="s">
        <v>203</v>
      </c>
      <c r="D348" s="28" t="s">
        <v>49</v>
      </c>
      <c r="E348" s="28" t="s">
        <v>454</v>
      </c>
      <c r="F348" s="28" t="s">
        <v>142</v>
      </c>
      <c r="G348" s="28" t="s">
        <v>152</v>
      </c>
      <c r="H348" s="28" t="s">
        <v>208</v>
      </c>
      <c r="I348" s="29" t="n">
        <v>2400000</v>
      </c>
      <c r="J348" s="29" t="n">
        <v>1800000</v>
      </c>
      <c r="K348" s="28" t="n">
        <v>5.5</v>
      </c>
      <c r="L348" s="28" t="n">
        <v>120</v>
      </c>
      <c r="M348" s="28" t="n">
        <v>2</v>
      </c>
    </row>
    <row r="349" customFormat="false" ht="15" hidden="false" customHeight="false" outlineLevel="0" collapsed="false">
      <c r="A349" s="27" t="n">
        <v>43945</v>
      </c>
      <c r="B349" s="28" t="n">
        <v>2020</v>
      </c>
      <c r="C349" s="28" t="s">
        <v>418</v>
      </c>
      <c r="D349" s="28" t="s">
        <v>42</v>
      </c>
      <c r="E349" s="28" t="s">
        <v>164</v>
      </c>
      <c r="F349" s="28" t="s">
        <v>142</v>
      </c>
      <c r="G349" s="28" t="s">
        <v>143</v>
      </c>
      <c r="H349" s="28" t="s">
        <v>306</v>
      </c>
      <c r="I349" s="29" t="n">
        <v>150000</v>
      </c>
      <c r="J349" s="29" t="n">
        <v>127500</v>
      </c>
      <c r="K349" s="28" t="n">
        <v>6.75</v>
      </c>
      <c r="L349" s="28" t="n">
        <v>120</v>
      </c>
      <c r="M349" s="28" t="n">
        <v>10</v>
      </c>
    </row>
    <row r="350" customFormat="false" ht="15" hidden="false" customHeight="false" outlineLevel="0" collapsed="false">
      <c r="A350" s="27" t="n">
        <v>43945</v>
      </c>
      <c r="B350" s="28" t="n">
        <v>2020</v>
      </c>
      <c r="C350" s="28" t="s">
        <v>368</v>
      </c>
      <c r="D350" s="28" t="s">
        <v>49</v>
      </c>
      <c r="E350" s="28" t="s">
        <v>455</v>
      </c>
      <c r="F350" s="28" t="s">
        <v>142</v>
      </c>
      <c r="G350" s="28" t="s">
        <v>148</v>
      </c>
      <c r="H350" s="28" t="s">
        <v>456</v>
      </c>
      <c r="I350" s="29" t="n">
        <v>1027000</v>
      </c>
      <c r="J350" s="29" t="n">
        <v>770250</v>
      </c>
      <c r="K350" s="28" t="n">
        <v>6</v>
      </c>
      <c r="L350" s="28" t="n">
        <v>120</v>
      </c>
      <c r="M350" s="28" t="n">
        <v>13</v>
      </c>
    </row>
    <row r="351" customFormat="false" ht="15" hidden="false" customHeight="false" outlineLevel="0" collapsed="false">
      <c r="A351" s="27" t="n">
        <v>43945</v>
      </c>
      <c r="B351" s="28" t="n">
        <v>2020</v>
      </c>
      <c r="C351" s="28" t="s">
        <v>206</v>
      </c>
      <c r="D351" s="28" t="s">
        <v>50</v>
      </c>
      <c r="E351" s="28" t="s">
        <v>400</v>
      </c>
      <c r="F351" s="28" t="s">
        <v>147</v>
      </c>
      <c r="G351" s="28" t="s">
        <v>148</v>
      </c>
      <c r="H351" s="28" t="s">
        <v>205</v>
      </c>
      <c r="I351" s="29" t="n">
        <v>100000</v>
      </c>
      <c r="J351" s="29" t="n">
        <v>50000</v>
      </c>
      <c r="K351" s="28" t="n">
        <v>7.38</v>
      </c>
      <c r="L351" s="28" t="n">
        <v>113</v>
      </c>
      <c r="M351" s="28" t="n">
        <v>25</v>
      </c>
    </row>
    <row r="352" customFormat="false" ht="15" hidden="false" customHeight="false" outlineLevel="0" collapsed="false">
      <c r="A352" s="27" t="n">
        <v>43945</v>
      </c>
      <c r="B352" s="28" t="n">
        <v>2020</v>
      </c>
      <c r="C352" s="28" t="s">
        <v>213</v>
      </c>
      <c r="D352" s="28" t="s">
        <v>42</v>
      </c>
      <c r="E352" s="28" t="s">
        <v>180</v>
      </c>
      <c r="F352" s="28" t="s">
        <v>194</v>
      </c>
      <c r="G352" s="28" t="s">
        <v>152</v>
      </c>
      <c r="H352" s="28" t="s">
        <v>382</v>
      </c>
      <c r="I352" s="29" t="n">
        <v>361500</v>
      </c>
      <c r="J352" s="29" t="n">
        <v>271125</v>
      </c>
      <c r="K352" s="28" t="n">
        <v>5.5</v>
      </c>
      <c r="L352" s="28" t="n">
        <v>120</v>
      </c>
      <c r="M352" s="28" t="n">
        <v>28</v>
      </c>
    </row>
    <row r="353" customFormat="false" ht="15" hidden="false" customHeight="false" outlineLevel="0" collapsed="false">
      <c r="A353" s="27" t="n">
        <v>43945</v>
      </c>
      <c r="B353" s="28" t="n">
        <v>2020</v>
      </c>
      <c r="C353" s="28" t="s">
        <v>163</v>
      </c>
      <c r="D353" s="28" t="s">
        <v>42</v>
      </c>
      <c r="E353" s="28" t="s">
        <v>180</v>
      </c>
      <c r="F353" s="28" t="s">
        <v>142</v>
      </c>
      <c r="G353" s="28" t="s">
        <v>143</v>
      </c>
      <c r="H353" s="28" t="s">
        <v>457</v>
      </c>
      <c r="I353" s="29" t="n">
        <v>500000</v>
      </c>
      <c r="J353" s="29" t="n">
        <v>375000</v>
      </c>
      <c r="K353" s="28" t="n">
        <v>5.75</v>
      </c>
      <c r="L353" s="28" t="n">
        <v>126</v>
      </c>
      <c r="M353" s="28" t="n">
        <v>32</v>
      </c>
    </row>
    <row r="354" customFormat="false" ht="15" hidden="false" customHeight="false" outlineLevel="0" collapsed="false">
      <c r="A354" s="27" t="n">
        <v>43945</v>
      </c>
      <c r="B354" s="28" t="n">
        <v>2020</v>
      </c>
      <c r="C354" s="28" t="s">
        <v>265</v>
      </c>
      <c r="D354" s="28" t="s">
        <v>47</v>
      </c>
      <c r="E354" s="28" t="s">
        <v>458</v>
      </c>
      <c r="F354" s="28" t="s">
        <v>142</v>
      </c>
      <c r="G354" s="28" t="s">
        <v>148</v>
      </c>
      <c r="H354" s="28" t="s">
        <v>306</v>
      </c>
      <c r="I354" s="29" t="n">
        <v>1600000</v>
      </c>
      <c r="J354" s="29" t="n">
        <v>1200000</v>
      </c>
      <c r="K354" s="28" t="n">
        <v>4.5</v>
      </c>
      <c r="L354" s="28" t="n">
        <v>120</v>
      </c>
      <c r="M354" s="28" t="n">
        <v>16</v>
      </c>
    </row>
    <row r="355" customFormat="false" ht="15" hidden="false" customHeight="false" outlineLevel="0" collapsed="false">
      <c r="A355" s="27" t="n">
        <v>43945</v>
      </c>
      <c r="B355" s="28" t="n">
        <v>2020</v>
      </c>
      <c r="C355" s="28" t="s">
        <v>444</v>
      </c>
      <c r="D355" s="28" t="s">
        <v>45</v>
      </c>
      <c r="E355" s="28" t="s">
        <v>459</v>
      </c>
      <c r="F355" s="28" t="s">
        <v>142</v>
      </c>
      <c r="G355" s="28" t="s">
        <v>148</v>
      </c>
      <c r="H355" s="28" t="s">
        <v>306</v>
      </c>
      <c r="I355" s="29" t="n">
        <v>348000</v>
      </c>
      <c r="J355" s="29" t="n">
        <v>261000</v>
      </c>
      <c r="K355" s="28" t="n">
        <v>6</v>
      </c>
      <c r="L355" s="28" t="n">
        <v>120</v>
      </c>
      <c r="M355" s="28" t="n">
        <v>3</v>
      </c>
    </row>
    <row r="356" customFormat="false" ht="15" hidden="false" customHeight="false" outlineLevel="0" collapsed="false">
      <c r="A356" s="27" t="n">
        <v>43945</v>
      </c>
      <c r="B356" s="28" t="n">
        <v>2020</v>
      </c>
      <c r="C356" s="28" t="s">
        <v>206</v>
      </c>
      <c r="D356" s="28" t="s">
        <v>44</v>
      </c>
      <c r="E356" s="28" t="s">
        <v>141</v>
      </c>
      <c r="F356" s="28" t="s">
        <v>142</v>
      </c>
      <c r="G356" s="28" t="s">
        <v>441</v>
      </c>
      <c r="H356" s="28" t="s">
        <v>187</v>
      </c>
      <c r="I356" s="29" t="n">
        <v>1660000</v>
      </c>
      <c r="J356" s="29" t="n">
        <v>1245000</v>
      </c>
      <c r="K356" s="28" t="n">
        <v>2.42</v>
      </c>
      <c r="L356" s="28" t="n">
        <v>120</v>
      </c>
      <c r="M356" s="28" t="n">
        <v>20</v>
      </c>
    </row>
    <row r="357" customFormat="false" ht="15" hidden="false" customHeight="false" outlineLevel="0" collapsed="false">
      <c r="A357" s="27" t="n">
        <v>43948</v>
      </c>
      <c r="B357" s="28" t="n">
        <v>2020</v>
      </c>
      <c r="C357" s="28" t="s">
        <v>460</v>
      </c>
      <c r="D357" s="28" t="s">
        <v>42</v>
      </c>
      <c r="E357" s="28" t="s">
        <v>247</v>
      </c>
      <c r="F357" s="28" t="s">
        <v>142</v>
      </c>
      <c r="G357" s="28" t="s">
        <v>152</v>
      </c>
      <c r="H357" s="28" t="s">
        <v>211</v>
      </c>
      <c r="I357" s="29" t="n">
        <v>2175500</v>
      </c>
      <c r="J357" s="29" t="n">
        <v>1631625</v>
      </c>
      <c r="K357" s="28" t="n">
        <v>5.25</v>
      </c>
      <c r="L357" s="28" t="n">
        <v>299</v>
      </c>
      <c r="M357" s="28" t="n">
        <v>4</v>
      </c>
    </row>
    <row r="358" customFormat="false" ht="15" hidden="false" customHeight="false" outlineLevel="0" collapsed="false">
      <c r="A358" s="27" t="n">
        <v>43949</v>
      </c>
      <c r="B358" s="28" t="n">
        <v>2020</v>
      </c>
      <c r="C358" s="28" t="s">
        <v>140</v>
      </c>
      <c r="D358" s="28" t="s">
        <v>44</v>
      </c>
      <c r="E358" s="28" t="s">
        <v>256</v>
      </c>
      <c r="F358" s="28" t="s">
        <v>142</v>
      </c>
      <c r="G358" s="28" t="s">
        <v>148</v>
      </c>
      <c r="H358" s="28" t="s">
        <v>227</v>
      </c>
      <c r="I358" s="29" t="n">
        <v>749000</v>
      </c>
      <c r="J358" s="29" t="n">
        <v>561750</v>
      </c>
      <c r="K358" s="28" t="n">
        <v>6</v>
      </c>
      <c r="L358" s="28" t="n">
        <v>120</v>
      </c>
      <c r="M358" s="28" t="n">
        <v>27</v>
      </c>
    </row>
    <row r="359" customFormat="false" ht="15" hidden="false" customHeight="false" outlineLevel="0" collapsed="false">
      <c r="A359" s="27" t="n">
        <v>43950</v>
      </c>
      <c r="B359" s="28" t="n">
        <v>2020</v>
      </c>
      <c r="C359" s="28" t="s">
        <v>198</v>
      </c>
      <c r="D359" s="28" t="s">
        <v>50</v>
      </c>
      <c r="E359" s="28" t="s">
        <v>461</v>
      </c>
      <c r="F359" s="28" t="s">
        <v>194</v>
      </c>
      <c r="G359" s="28" t="s">
        <v>143</v>
      </c>
      <c r="H359" s="28" t="s">
        <v>221</v>
      </c>
      <c r="I359" s="29" t="n">
        <v>315000</v>
      </c>
      <c r="J359" s="29" t="n">
        <v>236250</v>
      </c>
      <c r="K359" s="28" t="n">
        <v>6</v>
      </c>
      <c r="L359" s="28" t="n">
        <v>120</v>
      </c>
      <c r="M359" s="28" t="n">
        <v>3</v>
      </c>
    </row>
    <row r="360" customFormat="false" ht="15" hidden="false" customHeight="false" outlineLevel="0" collapsed="false">
      <c r="A360" s="27" t="n">
        <v>43950</v>
      </c>
      <c r="B360" s="28" t="n">
        <v>2020</v>
      </c>
      <c r="C360" s="28" t="s">
        <v>344</v>
      </c>
      <c r="D360" s="28" t="s">
        <v>45</v>
      </c>
      <c r="E360" s="28" t="s">
        <v>222</v>
      </c>
      <c r="F360" s="28" t="s">
        <v>142</v>
      </c>
      <c r="G360" s="28" t="s">
        <v>148</v>
      </c>
      <c r="H360" s="28" t="s">
        <v>168</v>
      </c>
      <c r="I360" s="29" t="n">
        <v>326100</v>
      </c>
      <c r="J360" s="29" t="n">
        <v>244575</v>
      </c>
      <c r="K360" s="28" t="n">
        <v>5.5</v>
      </c>
      <c r="L360" s="28" t="n">
        <v>240</v>
      </c>
      <c r="M360" s="28" t="n">
        <v>8</v>
      </c>
    </row>
    <row r="361" customFormat="false" ht="15" hidden="false" customHeight="false" outlineLevel="0" collapsed="false">
      <c r="A361" s="27" t="n">
        <v>43950</v>
      </c>
      <c r="B361" s="28" t="n">
        <v>2020</v>
      </c>
      <c r="C361" s="28" t="s">
        <v>172</v>
      </c>
      <c r="D361" s="28" t="s">
        <v>50</v>
      </c>
      <c r="E361" s="28" t="s">
        <v>462</v>
      </c>
      <c r="F361" s="28" t="s">
        <v>142</v>
      </c>
      <c r="G361" s="28" t="s">
        <v>441</v>
      </c>
      <c r="H361" s="28" t="s">
        <v>168</v>
      </c>
      <c r="I361" s="29" t="n">
        <v>281700</v>
      </c>
      <c r="J361" s="29" t="n">
        <v>211275</v>
      </c>
      <c r="K361" s="28" t="n">
        <v>5</v>
      </c>
      <c r="L361" s="28" t="n">
        <v>120</v>
      </c>
      <c r="M361" s="28" t="n">
        <v>8</v>
      </c>
    </row>
    <row r="362" customFormat="false" ht="15" hidden="false" customHeight="false" outlineLevel="0" collapsed="false">
      <c r="A362" s="27" t="n">
        <v>43951</v>
      </c>
      <c r="B362" s="28" t="n">
        <v>2020</v>
      </c>
      <c r="C362" s="28" t="s">
        <v>163</v>
      </c>
      <c r="D362" s="28" t="s">
        <v>51</v>
      </c>
      <c r="E362" s="28" t="s">
        <v>335</v>
      </c>
      <c r="F362" s="28" t="s">
        <v>147</v>
      </c>
      <c r="G362" s="28" t="s">
        <v>148</v>
      </c>
      <c r="H362" s="28" t="s">
        <v>227</v>
      </c>
      <c r="I362" s="29" t="n">
        <v>7500</v>
      </c>
      <c r="J362" s="29" t="n">
        <v>3750</v>
      </c>
      <c r="K362" s="28" t="n">
        <v>9.75</v>
      </c>
      <c r="L362" s="28" t="n">
        <v>120</v>
      </c>
      <c r="M362" s="28" t="n">
        <v>1</v>
      </c>
    </row>
    <row r="363" customFormat="false" ht="15" hidden="false" customHeight="false" outlineLevel="0" collapsed="false">
      <c r="A363" s="27" t="n">
        <v>43951</v>
      </c>
      <c r="B363" s="28" t="n">
        <v>2020</v>
      </c>
      <c r="C363" s="28" t="s">
        <v>272</v>
      </c>
      <c r="D363" s="28" t="s">
        <v>50</v>
      </c>
      <c r="E363" s="28" t="s">
        <v>400</v>
      </c>
      <c r="F363" s="28" t="s">
        <v>142</v>
      </c>
      <c r="G363" s="28" t="s">
        <v>152</v>
      </c>
      <c r="H363" s="28" t="s">
        <v>463</v>
      </c>
      <c r="I363" s="29" t="n">
        <v>580000</v>
      </c>
      <c r="J363" s="29" t="n">
        <v>435000</v>
      </c>
      <c r="K363" s="28" t="n">
        <v>6</v>
      </c>
      <c r="L363" s="28" t="n">
        <v>120</v>
      </c>
      <c r="M363" s="28" t="n">
        <v>10</v>
      </c>
    </row>
    <row r="364" customFormat="false" ht="15" hidden="false" customHeight="false" outlineLevel="0" collapsed="false">
      <c r="A364" s="27" t="n">
        <v>43951</v>
      </c>
      <c r="B364" s="28" t="n">
        <v>2020</v>
      </c>
      <c r="C364" s="28" t="s">
        <v>201</v>
      </c>
      <c r="D364" s="28" t="s">
        <v>51</v>
      </c>
      <c r="E364" s="28" t="s">
        <v>239</v>
      </c>
      <c r="F364" s="28" t="s">
        <v>142</v>
      </c>
      <c r="G364" s="28" t="s">
        <v>143</v>
      </c>
      <c r="H364" s="28" t="s">
        <v>449</v>
      </c>
      <c r="I364" s="29" t="n">
        <v>175700</v>
      </c>
      <c r="J364" s="29" t="n">
        <v>131775</v>
      </c>
      <c r="K364" s="28" t="n">
        <v>6</v>
      </c>
      <c r="L364" s="28" t="n">
        <v>120</v>
      </c>
      <c r="M364" s="28" t="n">
        <v>9</v>
      </c>
    </row>
    <row r="365" customFormat="false" ht="15" hidden="false" customHeight="false" outlineLevel="0" collapsed="false">
      <c r="A365" s="27" t="n">
        <v>43952</v>
      </c>
      <c r="B365" s="28" t="n">
        <v>2020</v>
      </c>
      <c r="C365" s="28" t="s">
        <v>206</v>
      </c>
      <c r="D365" s="28" t="s">
        <v>43</v>
      </c>
      <c r="E365" s="28" t="s">
        <v>264</v>
      </c>
      <c r="F365" s="28" t="s">
        <v>147</v>
      </c>
      <c r="G365" s="28" t="s">
        <v>143</v>
      </c>
      <c r="H365" s="28" t="s">
        <v>159</v>
      </c>
      <c r="I365" s="29" t="n">
        <v>25200</v>
      </c>
      <c r="J365" s="29" t="n">
        <v>12600</v>
      </c>
      <c r="K365" s="28" t="n">
        <v>8.99</v>
      </c>
      <c r="L365" s="28" t="n">
        <v>4</v>
      </c>
      <c r="M365" s="28" t="n">
        <v>4</v>
      </c>
    </row>
    <row r="366" customFormat="false" ht="15" hidden="false" customHeight="false" outlineLevel="0" collapsed="false">
      <c r="A366" s="27" t="n">
        <v>43955</v>
      </c>
      <c r="B366" s="28" t="n">
        <v>2020</v>
      </c>
      <c r="C366" s="28" t="s">
        <v>175</v>
      </c>
      <c r="D366" s="28" t="s">
        <v>42</v>
      </c>
      <c r="E366" s="28" t="s">
        <v>178</v>
      </c>
      <c r="F366" s="28" t="s">
        <v>147</v>
      </c>
      <c r="G366" s="28" t="s">
        <v>441</v>
      </c>
      <c r="H366" s="28" t="s">
        <v>271</v>
      </c>
      <c r="I366" s="29" t="n">
        <v>40000</v>
      </c>
      <c r="J366" s="29" t="n">
        <v>20000</v>
      </c>
      <c r="K366" s="28" t="n">
        <v>5.5</v>
      </c>
      <c r="L366" s="28" t="n">
        <v>60</v>
      </c>
      <c r="M366" s="28" t="n">
        <v>4</v>
      </c>
    </row>
    <row r="367" customFormat="false" ht="15" hidden="false" customHeight="false" outlineLevel="0" collapsed="false">
      <c r="A367" s="27" t="n">
        <v>43956</v>
      </c>
      <c r="B367" s="28" t="n">
        <v>2020</v>
      </c>
      <c r="C367" s="28" t="s">
        <v>175</v>
      </c>
      <c r="D367" s="28" t="s">
        <v>43</v>
      </c>
      <c r="E367" s="28" t="s">
        <v>245</v>
      </c>
      <c r="F367" s="28" t="s">
        <v>147</v>
      </c>
      <c r="G367" s="28" t="s">
        <v>148</v>
      </c>
      <c r="H367" s="28" t="s">
        <v>271</v>
      </c>
      <c r="I367" s="29" t="n">
        <v>15000</v>
      </c>
      <c r="J367" s="29" t="n">
        <v>7500</v>
      </c>
      <c r="K367" s="28" t="n">
        <v>4.25</v>
      </c>
      <c r="L367" s="28" t="n">
        <v>60</v>
      </c>
      <c r="M367" s="28" t="n">
        <v>2</v>
      </c>
    </row>
    <row r="368" customFormat="false" ht="15" hidden="false" customHeight="false" outlineLevel="0" collapsed="false">
      <c r="A368" s="27" t="n">
        <v>43959</v>
      </c>
      <c r="B368" s="28" t="n">
        <v>2020</v>
      </c>
      <c r="C368" s="28" t="s">
        <v>206</v>
      </c>
      <c r="D368" s="28" t="s">
        <v>56</v>
      </c>
      <c r="E368" s="28" t="s">
        <v>464</v>
      </c>
      <c r="F368" s="28" t="s">
        <v>142</v>
      </c>
      <c r="G368" s="28" t="s">
        <v>148</v>
      </c>
      <c r="H368" s="28" t="s">
        <v>269</v>
      </c>
      <c r="I368" s="29" t="n">
        <v>150000</v>
      </c>
      <c r="J368" s="29" t="n">
        <v>127500</v>
      </c>
      <c r="K368" s="28" t="n">
        <v>6</v>
      </c>
      <c r="L368" s="28" t="n">
        <v>120</v>
      </c>
      <c r="M368" s="28" t="n">
        <v>6</v>
      </c>
    </row>
    <row r="369" customFormat="false" ht="15" hidden="false" customHeight="false" outlineLevel="0" collapsed="false">
      <c r="A369" s="27" t="n">
        <v>43963</v>
      </c>
      <c r="B369" s="28" t="n">
        <v>2020</v>
      </c>
      <c r="C369" s="28" t="s">
        <v>145</v>
      </c>
      <c r="D369" s="28" t="s">
        <v>42</v>
      </c>
      <c r="E369" s="28" t="s">
        <v>164</v>
      </c>
      <c r="F369" s="28" t="s">
        <v>147</v>
      </c>
      <c r="G369" s="28" t="s">
        <v>148</v>
      </c>
      <c r="H369" s="28" t="s">
        <v>205</v>
      </c>
      <c r="I369" s="29" t="n">
        <v>25000</v>
      </c>
      <c r="J369" s="29" t="n">
        <v>12500</v>
      </c>
      <c r="K369" s="28" t="n">
        <v>8.74</v>
      </c>
      <c r="L369" s="28" t="n">
        <v>43</v>
      </c>
      <c r="M369" s="28" t="n">
        <v>0</v>
      </c>
    </row>
    <row r="370" customFormat="false" ht="15" hidden="false" customHeight="false" outlineLevel="0" collapsed="false">
      <c r="A370" s="27" t="n">
        <v>43965</v>
      </c>
      <c r="B370" s="28" t="n">
        <v>2020</v>
      </c>
      <c r="C370" s="28" t="s">
        <v>316</v>
      </c>
      <c r="D370" s="28" t="s">
        <v>43</v>
      </c>
      <c r="E370" s="28" t="s">
        <v>465</v>
      </c>
      <c r="F370" s="28" t="s">
        <v>147</v>
      </c>
      <c r="G370" s="28" t="s">
        <v>148</v>
      </c>
      <c r="H370" s="28" t="s">
        <v>306</v>
      </c>
      <c r="I370" s="29" t="n">
        <v>25000</v>
      </c>
      <c r="J370" s="29" t="n">
        <v>12500</v>
      </c>
      <c r="K370" s="28" t="n">
        <v>5.75</v>
      </c>
      <c r="L370" s="28" t="n">
        <v>120</v>
      </c>
      <c r="M370" s="28" t="n">
        <v>3</v>
      </c>
    </row>
    <row r="371" customFormat="false" ht="15" hidden="false" customHeight="false" outlineLevel="0" collapsed="false">
      <c r="A371" s="27" t="n">
        <v>43965</v>
      </c>
      <c r="B371" s="28" t="n">
        <v>2020</v>
      </c>
      <c r="C371" s="28" t="s">
        <v>203</v>
      </c>
      <c r="D371" s="28" t="s">
        <v>50</v>
      </c>
      <c r="E371" s="28" t="s">
        <v>466</v>
      </c>
      <c r="F371" s="28" t="s">
        <v>142</v>
      </c>
      <c r="G371" s="28" t="s">
        <v>143</v>
      </c>
      <c r="H371" s="28" t="s">
        <v>287</v>
      </c>
      <c r="I371" s="29" t="n">
        <v>100000</v>
      </c>
      <c r="J371" s="29" t="n">
        <v>85000</v>
      </c>
      <c r="K371" s="28" t="n">
        <v>6</v>
      </c>
      <c r="L371" s="28" t="n">
        <v>120</v>
      </c>
      <c r="M371" s="28" t="n">
        <v>1</v>
      </c>
    </row>
    <row r="372" customFormat="false" ht="15" hidden="false" customHeight="false" outlineLevel="0" collapsed="false">
      <c r="A372" s="27" t="n">
        <v>43965</v>
      </c>
      <c r="B372" s="28" t="n">
        <v>2020</v>
      </c>
      <c r="C372" s="28" t="s">
        <v>173</v>
      </c>
      <c r="D372" s="28" t="s">
        <v>52</v>
      </c>
      <c r="E372" s="28" t="s">
        <v>258</v>
      </c>
      <c r="F372" s="28" t="s">
        <v>147</v>
      </c>
      <c r="G372" s="28" t="s">
        <v>441</v>
      </c>
      <c r="H372" s="28" t="s">
        <v>168</v>
      </c>
      <c r="I372" s="29" t="n">
        <v>15000</v>
      </c>
      <c r="J372" s="29" t="n">
        <v>7500</v>
      </c>
      <c r="K372" s="28" t="n">
        <v>8.75</v>
      </c>
      <c r="L372" s="28" t="n">
        <v>59</v>
      </c>
      <c r="M372" s="28" t="n">
        <v>0</v>
      </c>
    </row>
    <row r="373" customFormat="false" ht="15" hidden="false" customHeight="false" outlineLevel="0" collapsed="false">
      <c r="A373" s="27" t="n">
        <v>43966</v>
      </c>
      <c r="B373" s="28" t="n">
        <v>2020</v>
      </c>
      <c r="C373" s="28" t="s">
        <v>163</v>
      </c>
      <c r="D373" s="28" t="s">
        <v>45</v>
      </c>
      <c r="E373" s="28" t="s">
        <v>345</v>
      </c>
      <c r="F373" s="28" t="s">
        <v>147</v>
      </c>
      <c r="G373" s="28" t="s">
        <v>441</v>
      </c>
      <c r="H373" s="28" t="s">
        <v>168</v>
      </c>
      <c r="I373" s="29" t="n">
        <v>10000</v>
      </c>
      <c r="J373" s="29" t="n">
        <v>5000</v>
      </c>
      <c r="K373" s="28" t="n">
        <v>9.75</v>
      </c>
      <c r="L373" s="28" t="n">
        <v>120</v>
      </c>
      <c r="M373" s="28" t="n">
        <v>3</v>
      </c>
    </row>
    <row r="374" customFormat="false" ht="15" hidden="false" customHeight="false" outlineLevel="0" collapsed="false">
      <c r="A374" s="27" t="n">
        <v>43966</v>
      </c>
      <c r="B374" s="28" t="n">
        <v>2020</v>
      </c>
      <c r="C374" s="28" t="s">
        <v>257</v>
      </c>
      <c r="D374" s="28" t="s">
        <v>42</v>
      </c>
      <c r="E374" s="28" t="s">
        <v>340</v>
      </c>
      <c r="F374" s="28" t="s">
        <v>147</v>
      </c>
      <c r="G374" s="28" t="s">
        <v>441</v>
      </c>
      <c r="H374" s="28" t="s">
        <v>168</v>
      </c>
      <c r="I374" s="29" t="n">
        <v>20000</v>
      </c>
      <c r="J374" s="29" t="n">
        <v>10000</v>
      </c>
      <c r="K374" s="28" t="n">
        <v>7.75</v>
      </c>
      <c r="L374" s="28" t="n">
        <v>120</v>
      </c>
      <c r="M374" s="28" t="n">
        <v>0</v>
      </c>
    </row>
    <row r="375" customFormat="false" ht="15" hidden="false" customHeight="false" outlineLevel="0" collapsed="false">
      <c r="A375" s="27" t="n">
        <v>43970</v>
      </c>
      <c r="B375" s="28" t="n">
        <v>2020</v>
      </c>
      <c r="C375" s="28" t="s">
        <v>467</v>
      </c>
      <c r="D375" s="28" t="s">
        <v>52</v>
      </c>
      <c r="E375" s="28" t="s">
        <v>468</v>
      </c>
      <c r="F375" s="28" t="s">
        <v>142</v>
      </c>
      <c r="G375" s="28" t="s">
        <v>148</v>
      </c>
      <c r="H375" s="28" t="s">
        <v>469</v>
      </c>
      <c r="I375" s="29" t="n">
        <v>70000</v>
      </c>
      <c r="J375" s="29" t="n">
        <v>59500</v>
      </c>
      <c r="K375" s="28" t="n">
        <v>6</v>
      </c>
      <c r="L375" s="28" t="n">
        <v>84</v>
      </c>
      <c r="M375" s="28" t="n">
        <v>1</v>
      </c>
    </row>
    <row r="376" customFormat="false" ht="15" hidden="false" customHeight="false" outlineLevel="0" collapsed="false">
      <c r="A376" s="27" t="n">
        <v>43970</v>
      </c>
      <c r="B376" s="28" t="n">
        <v>2020</v>
      </c>
      <c r="C376" s="28" t="s">
        <v>172</v>
      </c>
      <c r="D376" s="28" t="s">
        <v>48</v>
      </c>
      <c r="E376" s="28" t="s">
        <v>212</v>
      </c>
      <c r="F376" s="28" t="s">
        <v>147</v>
      </c>
      <c r="G376" s="28" t="s">
        <v>148</v>
      </c>
      <c r="H376" s="28" t="s">
        <v>159</v>
      </c>
      <c r="I376" s="29" t="n">
        <v>300000</v>
      </c>
      <c r="J376" s="29" t="n">
        <v>150000</v>
      </c>
      <c r="K376" s="28" t="n">
        <v>5.25</v>
      </c>
      <c r="L376" s="28" t="n">
        <v>120</v>
      </c>
      <c r="M376" s="28" t="n">
        <v>3</v>
      </c>
    </row>
    <row r="377" customFormat="false" ht="15" hidden="false" customHeight="false" outlineLevel="0" collapsed="false">
      <c r="A377" s="27" t="n">
        <v>43971</v>
      </c>
      <c r="B377" s="28" t="n">
        <v>2020</v>
      </c>
      <c r="C377" s="28" t="s">
        <v>303</v>
      </c>
      <c r="D377" s="28" t="s">
        <v>42</v>
      </c>
      <c r="E377" s="28" t="s">
        <v>180</v>
      </c>
      <c r="F377" s="28" t="s">
        <v>147</v>
      </c>
      <c r="G377" s="28" t="s">
        <v>152</v>
      </c>
      <c r="H377" s="28" t="s">
        <v>165</v>
      </c>
      <c r="I377" s="29" t="n">
        <v>317200</v>
      </c>
      <c r="J377" s="29" t="n">
        <v>158600</v>
      </c>
      <c r="K377" s="28" t="n">
        <v>4.99</v>
      </c>
      <c r="L377" s="28" t="n">
        <v>120</v>
      </c>
      <c r="M377" s="28" t="n">
        <v>18</v>
      </c>
    </row>
    <row r="378" customFormat="false" ht="15" hidden="false" customHeight="false" outlineLevel="0" collapsed="false">
      <c r="A378" s="27" t="n">
        <v>43972</v>
      </c>
      <c r="B378" s="28" t="n">
        <v>2020</v>
      </c>
      <c r="C378" s="28" t="s">
        <v>303</v>
      </c>
      <c r="D378" s="28" t="s">
        <v>43</v>
      </c>
      <c r="E378" s="28" t="s">
        <v>219</v>
      </c>
      <c r="F378" s="28" t="s">
        <v>142</v>
      </c>
      <c r="G378" s="28" t="s">
        <v>441</v>
      </c>
      <c r="H378" s="28" t="s">
        <v>470</v>
      </c>
      <c r="I378" s="29" t="n">
        <v>750000</v>
      </c>
      <c r="J378" s="29" t="n">
        <v>562500</v>
      </c>
      <c r="K378" s="28" t="n">
        <v>4.5</v>
      </c>
      <c r="L378" s="28" t="n">
        <v>300</v>
      </c>
      <c r="M378" s="28" t="n">
        <v>2</v>
      </c>
    </row>
    <row r="379" customFormat="false" ht="15" hidden="false" customHeight="false" outlineLevel="0" collapsed="false">
      <c r="A379" s="27" t="n">
        <v>43972</v>
      </c>
      <c r="B379" s="28" t="n">
        <v>2020</v>
      </c>
      <c r="C379" s="28" t="s">
        <v>172</v>
      </c>
      <c r="D379" s="28" t="s">
        <v>46</v>
      </c>
      <c r="E379" s="28" t="s">
        <v>146</v>
      </c>
      <c r="F379" s="28" t="s">
        <v>147</v>
      </c>
      <c r="G379" s="28" t="s">
        <v>441</v>
      </c>
      <c r="H379" s="28" t="s">
        <v>168</v>
      </c>
      <c r="I379" s="29" t="n">
        <v>15000</v>
      </c>
      <c r="J379" s="29" t="n">
        <v>7500</v>
      </c>
      <c r="K379" s="28" t="n">
        <v>7.75</v>
      </c>
      <c r="L379" s="28" t="n">
        <v>120</v>
      </c>
      <c r="M379" s="28" t="n">
        <v>0</v>
      </c>
    </row>
    <row r="380" customFormat="false" ht="15" hidden="false" customHeight="false" outlineLevel="0" collapsed="false">
      <c r="A380" s="27" t="n">
        <v>43973</v>
      </c>
      <c r="B380" s="28" t="n">
        <v>2020</v>
      </c>
      <c r="C380" s="28" t="s">
        <v>365</v>
      </c>
      <c r="D380" s="28" t="s">
        <v>56</v>
      </c>
      <c r="E380" s="28" t="s">
        <v>471</v>
      </c>
      <c r="F380" s="28" t="s">
        <v>147</v>
      </c>
      <c r="G380" s="28" t="s">
        <v>148</v>
      </c>
      <c r="H380" s="28" t="s">
        <v>306</v>
      </c>
      <c r="I380" s="29" t="n">
        <v>25000</v>
      </c>
      <c r="J380" s="29" t="n">
        <v>12500</v>
      </c>
      <c r="K380" s="28" t="n">
        <v>5.75</v>
      </c>
      <c r="L380" s="28" t="n">
        <v>120</v>
      </c>
      <c r="M380" s="28" t="n">
        <v>4</v>
      </c>
    </row>
    <row r="381" customFormat="false" ht="15" hidden="false" customHeight="false" outlineLevel="0" collapsed="false">
      <c r="A381" s="27" t="n">
        <v>43977</v>
      </c>
      <c r="B381" s="28" t="n">
        <v>2020</v>
      </c>
      <c r="C381" s="28" t="s">
        <v>252</v>
      </c>
      <c r="D381" s="28" t="s">
        <v>48</v>
      </c>
      <c r="E381" s="28" t="s">
        <v>304</v>
      </c>
      <c r="F381" s="28" t="s">
        <v>147</v>
      </c>
      <c r="G381" s="28" t="s">
        <v>441</v>
      </c>
      <c r="H381" s="28" t="s">
        <v>168</v>
      </c>
      <c r="I381" s="29" t="n">
        <v>25000</v>
      </c>
      <c r="J381" s="29" t="n">
        <v>12500</v>
      </c>
      <c r="K381" s="28" t="n">
        <v>9.25</v>
      </c>
      <c r="L381" s="28" t="n">
        <v>120</v>
      </c>
      <c r="M381" s="28" t="n">
        <v>0</v>
      </c>
    </row>
    <row r="382" customFormat="false" ht="15" hidden="false" customHeight="false" outlineLevel="0" collapsed="false">
      <c r="A382" s="27" t="n">
        <v>43978</v>
      </c>
      <c r="B382" s="28" t="n">
        <v>2020</v>
      </c>
      <c r="C382" s="28" t="s">
        <v>166</v>
      </c>
      <c r="D382" s="28" t="s">
        <v>42</v>
      </c>
      <c r="E382" s="28" t="s">
        <v>180</v>
      </c>
      <c r="F382" s="28" t="s">
        <v>147</v>
      </c>
      <c r="G382" s="28" t="s">
        <v>441</v>
      </c>
      <c r="H382" s="28" t="s">
        <v>220</v>
      </c>
      <c r="I382" s="29" t="n">
        <v>59400</v>
      </c>
      <c r="J382" s="29" t="n">
        <v>29700</v>
      </c>
      <c r="K382" s="28" t="n">
        <v>8</v>
      </c>
      <c r="L382" s="28" t="n">
        <v>60</v>
      </c>
      <c r="M382" s="28" t="n">
        <v>25</v>
      </c>
    </row>
    <row r="383" customFormat="false" ht="15" hidden="false" customHeight="false" outlineLevel="0" collapsed="false">
      <c r="A383" s="27" t="n">
        <v>43978</v>
      </c>
      <c r="B383" s="28" t="n">
        <v>2020</v>
      </c>
      <c r="C383" s="28" t="s">
        <v>169</v>
      </c>
      <c r="D383" s="28" t="s">
        <v>52</v>
      </c>
      <c r="E383" s="28" t="s">
        <v>258</v>
      </c>
      <c r="F383" s="28" t="s">
        <v>147</v>
      </c>
      <c r="G383" s="28" t="s">
        <v>148</v>
      </c>
      <c r="H383" s="28" t="s">
        <v>159</v>
      </c>
      <c r="I383" s="29" t="n">
        <v>15000</v>
      </c>
      <c r="J383" s="29" t="n">
        <v>7500</v>
      </c>
      <c r="K383" s="28" t="n">
        <v>9.75</v>
      </c>
      <c r="L383" s="28" t="n">
        <v>120</v>
      </c>
      <c r="M383" s="28" t="n">
        <v>6</v>
      </c>
    </row>
    <row r="384" customFormat="false" ht="15" hidden="false" customHeight="false" outlineLevel="0" collapsed="false">
      <c r="A384" s="27" t="n">
        <v>43979</v>
      </c>
      <c r="B384" s="28" t="n">
        <v>2020</v>
      </c>
      <c r="C384" s="28" t="s">
        <v>172</v>
      </c>
      <c r="D384" s="28" t="s">
        <v>57</v>
      </c>
      <c r="E384" s="28" t="s">
        <v>472</v>
      </c>
      <c r="F384" s="28" t="s">
        <v>147</v>
      </c>
      <c r="G384" s="28" t="s">
        <v>148</v>
      </c>
      <c r="H384" s="28" t="s">
        <v>278</v>
      </c>
      <c r="I384" s="29" t="n">
        <v>75000</v>
      </c>
      <c r="J384" s="29" t="n">
        <v>37500</v>
      </c>
      <c r="K384" s="28" t="n">
        <v>5.75</v>
      </c>
      <c r="L384" s="28" t="n">
        <v>36</v>
      </c>
      <c r="M384" s="28" t="n">
        <v>5</v>
      </c>
    </row>
    <row r="385" customFormat="false" ht="15" hidden="false" customHeight="false" outlineLevel="0" collapsed="false">
      <c r="A385" s="27" t="n">
        <v>43980</v>
      </c>
      <c r="B385" s="28" t="n">
        <v>2020</v>
      </c>
      <c r="C385" s="28" t="s">
        <v>206</v>
      </c>
      <c r="D385" s="28" t="s">
        <v>50</v>
      </c>
      <c r="E385" s="28" t="s">
        <v>400</v>
      </c>
      <c r="F385" s="28" t="s">
        <v>147</v>
      </c>
      <c r="G385" s="28" t="s">
        <v>148</v>
      </c>
      <c r="H385" s="28" t="s">
        <v>159</v>
      </c>
      <c r="I385" s="29" t="n">
        <v>40000</v>
      </c>
      <c r="J385" s="29" t="n">
        <v>20000</v>
      </c>
      <c r="K385" s="28" t="n">
        <v>7.75</v>
      </c>
      <c r="L385" s="28" t="n">
        <v>120</v>
      </c>
      <c r="M385" s="28" t="n">
        <v>8</v>
      </c>
    </row>
    <row r="386" customFormat="false" ht="15" hidden="false" customHeight="false" outlineLevel="0" collapsed="false">
      <c r="A386" s="27" t="n">
        <v>43980</v>
      </c>
      <c r="B386" s="28" t="n">
        <v>2020</v>
      </c>
      <c r="C386" s="28" t="s">
        <v>421</v>
      </c>
      <c r="D386" s="28" t="s">
        <v>60</v>
      </c>
      <c r="E386" s="28" t="s">
        <v>473</v>
      </c>
      <c r="F386" s="28" t="s">
        <v>147</v>
      </c>
      <c r="G386" s="28" t="s">
        <v>441</v>
      </c>
      <c r="H386" s="28" t="s">
        <v>168</v>
      </c>
      <c r="I386" s="29" t="n">
        <v>5000</v>
      </c>
      <c r="J386" s="29" t="n">
        <v>2500</v>
      </c>
      <c r="K386" s="28" t="n">
        <v>7.75</v>
      </c>
      <c r="L386" s="28" t="n">
        <v>120</v>
      </c>
      <c r="M386" s="28" t="n">
        <v>0</v>
      </c>
    </row>
    <row r="387" customFormat="false" ht="15" hidden="false" customHeight="false" outlineLevel="0" collapsed="false">
      <c r="A387" s="27" t="n">
        <v>43991</v>
      </c>
      <c r="B387" s="28" t="n">
        <v>2020</v>
      </c>
      <c r="C387" s="28" t="s">
        <v>243</v>
      </c>
      <c r="D387" s="28" t="s">
        <v>57</v>
      </c>
      <c r="E387" s="28" t="s">
        <v>474</v>
      </c>
      <c r="F387" s="28" t="s">
        <v>147</v>
      </c>
      <c r="G387" s="28" t="s">
        <v>441</v>
      </c>
      <c r="H387" s="28" t="s">
        <v>168</v>
      </c>
      <c r="I387" s="29" t="n">
        <v>5000</v>
      </c>
      <c r="J387" s="29" t="n">
        <v>2500</v>
      </c>
      <c r="K387" s="28" t="n">
        <v>9.25</v>
      </c>
      <c r="L387" s="28" t="n">
        <v>120</v>
      </c>
      <c r="M387" s="28" t="n">
        <v>0</v>
      </c>
    </row>
    <row r="388" customFormat="false" ht="15" hidden="false" customHeight="false" outlineLevel="0" collapsed="false">
      <c r="A388" s="27" t="n">
        <v>43991</v>
      </c>
      <c r="B388" s="28" t="n">
        <v>2020</v>
      </c>
      <c r="C388" s="28" t="s">
        <v>166</v>
      </c>
      <c r="D388" s="28" t="s">
        <v>42</v>
      </c>
      <c r="E388" s="28" t="s">
        <v>164</v>
      </c>
      <c r="F388" s="28" t="s">
        <v>142</v>
      </c>
      <c r="G388" s="28" t="s">
        <v>143</v>
      </c>
      <c r="H388" s="28" t="s">
        <v>191</v>
      </c>
      <c r="I388" s="29" t="n">
        <v>497500</v>
      </c>
      <c r="J388" s="29" t="n">
        <v>373125</v>
      </c>
      <c r="K388" s="28" t="n">
        <v>4.75</v>
      </c>
      <c r="L388" s="28" t="n">
        <v>120</v>
      </c>
      <c r="M388" s="28" t="n">
        <v>45</v>
      </c>
    </row>
    <row r="389" customFormat="false" ht="15" hidden="false" customHeight="false" outlineLevel="0" collapsed="false">
      <c r="A389" s="27" t="n">
        <v>43991</v>
      </c>
      <c r="B389" s="28" t="n">
        <v>2020</v>
      </c>
      <c r="C389" s="28" t="s">
        <v>169</v>
      </c>
      <c r="D389" s="28" t="s">
        <v>49</v>
      </c>
      <c r="E389" s="28" t="s">
        <v>475</v>
      </c>
      <c r="F389" s="28" t="s">
        <v>147</v>
      </c>
      <c r="G389" s="28" t="s">
        <v>148</v>
      </c>
      <c r="H389" s="28" t="s">
        <v>205</v>
      </c>
      <c r="I389" s="29" t="n">
        <v>25000</v>
      </c>
      <c r="J389" s="29" t="n">
        <v>12500</v>
      </c>
      <c r="K389" s="28" t="n">
        <v>9.04</v>
      </c>
      <c r="L389" s="28" t="n">
        <v>120</v>
      </c>
      <c r="M389" s="28" t="n">
        <v>2</v>
      </c>
    </row>
    <row r="390" customFormat="false" ht="15" hidden="false" customHeight="false" outlineLevel="0" collapsed="false">
      <c r="A390" s="27" t="n">
        <v>43992</v>
      </c>
      <c r="B390" s="28" t="n">
        <v>2020</v>
      </c>
      <c r="C390" s="28" t="s">
        <v>140</v>
      </c>
      <c r="D390" s="28" t="s">
        <v>57</v>
      </c>
      <c r="E390" s="28" t="s">
        <v>476</v>
      </c>
      <c r="F390" s="28" t="s">
        <v>147</v>
      </c>
      <c r="G390" s="28" t="s">
        <v>441</v>
      </c>
      <c r="H390" s="28" t="s">
        <v>220</v>
      </c>
      <c r="I390" s="29" t="n">
        <v>216000</v>
      </c>
      <c r="J390" s="29" t="n">
        <v>108000</v>
      </c>
      <c r="K390" s="28" t="n">
        <v>7</v>
      </c>
      <c r="L390" s="28" t="n">
        <v>120</v>
      </c>
      <c r="M390" s="28" t="n">
        <v>3</v>
      </c>
    </row>
    <row r="391" customFormat="false" ht="15" hidden="false" customHeight="false" outlineLevel="0" collapsed="false">
      <c r="A391" s="27" t="n">
        <v>43997</v>
      </c>
      <c r="B391" s="28" t="n">
        <v>2020</v>
      </c>
      <c r="C391" s="28" t="s">
        <v>172</v>
      </c>
      <c r="D391" s="28" t="s">
        <v>52</v>
      </c>
      <c r="E391" s="28" t="s">
        <v>477</v>
      </c>
      <c r="F391" s="28" t="s">
        <v>147</v>
      </c>
      <c r="G391" s="28" t="s">
        <v>148</v>
      </c>
      <c r="H391" s="28" t="s">
        <v>278</v>
      </c>
      <c r="I391" s="29" t="n">
        <v>560000</v>
      </c>
      <c r="J391" s="29" t="n">
        <v>280000</v>
      </c>
      <c r="K391" s="28" t="n">
        <v>5.75</v>
      </c>
      <c r="L391" s="28" t="n">
        <v>120</v>
      </c>
      <c r="M391" s="28" t="n">
        <v>14</v>
      </c>
    </row>
    <row r="392" customFormat="false" ht="15" hidden="false" customHeight="false" outlineLevel="0" collapsed="false">
      <c r="A392" s="27" t="n">
        <v>43997</v>
      </c>
      <c r="B392" s="28" t="n">
        <v>2020</v>
      </c>
      <c r="C392" s="28" t="s">
        <v>172</v>
      </c>
      <c r="D392" s="28" t="s">
        <v>43</v>
      </c>
      <c r="E392" s="28" t="s">
        <v>317</v>
      </c>
      <c r="F392" s="28" t="s">
        <v>147</v>
      </c>
      <c r="G392" s="28" t="s">
        <v>441</v>
      </c>
      <c r="H392" s="28" t="s">
        <v>168</v>
      </c>
      <c r="I392" s="29" t="n">
        <v>15000</v>
      </c>
      <c r="J392" s="29" t="n">
        <v>7500</v>
      </c>
      <c r="K392" s="28" t="n">
        <v>8.75</v>
      </c>
      <c r="L392" s="28" t="n">
        <v>120</v>
      </c>
      <c r="M392" s="28" t="n">
        <v>1</v>
      </c>
    </row>
    <row r="393" customFormat="false" ht="15" hidden="false" customHeight="false" outlineLevel="0" collapsed="false">
      <c r="A393" s="27" t="n">
        <v>43998</v>
      </c>
      <c r="B393" s="28" t="n">
        <v>2020</v>
      </c>
      <c r="C393" s="28" t="s">
        <v>172</v>
      </c>
      <c r="D393" s="28" t="s">
        <v>48</v>
      </c>
      <c r="E393" s="28" t="s">
        <v>212</v>
      </c>
      <c r="F393" s="28" t="s">
        <v>194</v>
      </c>
      <c r="G393" s="28" t="s">
        <v>148</v>
      </c>
      <c r="H393" s="28" t="s">
        <v>278</v>
      </c>
      <c r="I393" s="29" t="n">
        <v>350000</v>
      </c>
      <c r="J393" s="29" t="n">
        <v>262500</v>
      </c>
      <c r="K393" s="28" t="n">
        <v>6</v>
      </c>
      <c r="L393" s="28" t="n">
        <v>120</v>
      </c>
      <c r="M393" s="28" t="n">
        <v>6</v>
      </c>
    </row>
    <row r="394" customFormat="false" ht="15" hidden="false" customHeight="false" outlineLevel="0" collapsed="false">
      <c r="A394" s="27" t="n">
        <v>43998</v>
      </c>
      <c r="B394" s="28" t="n">
        <v>2020</v>
      </c>
      <c r="C394" s="28" t="s">
        <v>160</v>
      </c>
      <c r="D394" s="28" t="s">
        <v>45</v>
      </c>
      <c r="E394" s="28" t="s">
        <v>356</v>
      </c>
      <c r="F394" s="28" t="s">
        <v>142</v>
      </c>
      <c r="G394" s="28" t="s">
        <v>152</v>
      </c>
      <c r="H394" s="28" t="s">
        <v>281</v>
      </c>
      <c r="I394" s="29" t="n">
        <v>983400</v>
      </c>
      <c r="J394" s="29" t="n">
        <v>737550</v>
      </c>
      <c r="K394" s="28" t="n">
        <v>5.5</v>
      </c>
      <c r="L394" s="28" t="n">
        <v>120</v>
      </c>
      <c r="M394" s="28" t="n">
        <v>19</v>
      </c>
    </row>
    <row r="395" customFormat="false" ht="15" hidden="false" customHeight="false" outlineLevel="0" collapsed="false">
      <c r="A395" s="27" t="n">
        <v>43998</v>
      </c>
      <c r="B395" s="28" t="n">
        <v>2020</v>
      </c>
      <c r="C395" s="28" t="s">
        <v>384</v>
      </c>
      <c r="D395" s="28" t="s">
        <v>46</v>
      </c>
      <c r="E395" s="28" t="s">
        <v>315</v>
      </c>
      <c r="F395" s="28" t="s">
        <v>142</v>
      </c>
      <c r="G395" s="28" t="s">
        <v>441</v>
      </c>
      <c r="H395" s="28" t="s">
        <v>144</v>
      </c>
      <c r="I395" s="29" t="n">
        <v>815000</v>
      </c>
      <c r="J395" s="29" t="n">
        <v>611250</v>
      </c>
      <c r="K395" s="28" t="n">
        <v>6</v>
      </c>
      <c r="L395" s="28" t="n">
        <v>123</v>
      </c>
      <c r="M395" s="28" t="n">
        <v>2</v>
      </c>
    </row>
    <row r="396" customFormat="false" ht="15" hidden="false" customHeight="false" outlineLevel="0" collapsed="false">
      <c r="A396" s="27" t="n">
        <v>43999</v>
      </c>
      <c r="B396" s="28" t="n">
        <v>2020</v>
      </c>
      <c r="C396" s="28" t="s">
        <v>310</v>
      </c>
      <c r="D396" s="28" t="s">
        <v>42</v>
      </c>
      <c r="E396" s="28" t="s">
        <v>164</v>
      </c>
      <c r="F396" s="28" t="s">
        <v>142</v>
      </c>
      <c r="G396" s="28" t="s">
        <v>148</v>
      </c>
      <c r="H396" s="28" t="s">
        <v>306</v>
      </c>
      <c r="I396" s="29" t="n">
        <v>183000</v>
      </c>
      <c r="J396" s="29" t="n">
        <v>137250</v>
      </c>
      <c r="K396" s="28" t="n">
        <v>5.25</v>
      </c>
      <c r="L396" s="28" t="n">
        <v>84</v>
      </c>
      <c r="M396" s="28" t="n">
        <v>0</v>
      </c>
    </row>
    <row r="397" customFormat="false" ht="15" hidden="false" customHeight="false" outlineLevel="0" collapsed="false">
      <c r="A397" s="27" t="n">
        <v>43999</v>
      </c>
      <c r="B397" s="28" t="n">
        <v>2020</v>
      </c>
      <c r="C397" s="28" t="s">
        <v>169</v>
      </c>
      <c r="D397" s="28" t="s">
        <v>60</v>
      </c>
      <c r="E397" s="28" t="s">
        <v>473</v>
      </c>
      <c r="F397" s="28" t="s">
        <v>147</v>
      </c>
      <c r="G397" s="28" t="s">
        <v>148</v>
      </c>
      <c r="H397" s="28" t="s">
        <v>159</v>
      </c>
      <c r="I397" s="29" t="n">
        <v>50000</v>
      </c>
      <c r="J397" s="29" t="n">
        <v>25000</v>
      </c>
      <c r="K397" s="28" t="n">
        <v>7.75</v>
      </c>
      <c r="L397" s="28" t="n">
        <v>120</v>
      </c>
      <c r="M397" s="28" t="n">
        <v>6</v>
      </c>
    </row>
    <row r="398" customFormat="false" ht="15" hidden="false" customHeight="false" outlineLevel="0" collapsed="false">
      <c r="A398" s="27" t="n">
        <v>44001</v>
      </c>
      <c r="B398" s="28" t="n">
        <v>2020</v>
      </c>
      <c r="C398" s="28" t="s">
        <v>310</v>
      </c>
      <c r="D398" s="28" t="s">
        <v>42</v>
      </c>
      <c r="E398" s="28" t="s">
        <v>242</v>
      </c>
      <c r="F398" s="28" t="s">
        <v>142</v>
      </c>
      <c r="G398" s="28" t="s">
        <v>441</v>
      </c>
      <c r="H398" s="28" t="s">
        <v>306</v>
      </c>
      <c r="I398" s="29" t="n">
        <v>100000</v>
      </c>
      <c r="J398" s="29" t="n">
        <v>85000</v>
      </c>
      <c r="K398" s="28" t="n">
        <v>4.75</v>
      </c>
      <c r="L398" s="28" t="n">
        <v>120</v>
      </c>
      <c r="M398" s="28" t="n">
        <v>11</v>
      </c>
    </row>
    <row r="399" customFormat="false" ht="15" hidden="false" customHeight="false" outlineLevel="0" collapsed="false">
      <c r="A399" s="27" t="n">
        <v>44004</v>
      </c>
      <c r="B399" s="28" t="n">
        <v>2020</v>
      </c>
      <c r="C399" s="28" t="s">
        <v>353</v>
      </c>
      <c r="D399" s="28" t="s">
        <v>44</v>
      </c>
      <c r="E399" s="28" t="s">
        <v>161</v>
      </c>
      <c r="F399" s="28" t="s">
        <v>194</v>
      </c>
      <c r="G399" s="28" t="s">
        <v>148</v>
      </c>
      <c r="H399" s="28" t="s">
        <v>287</v>
      </c>
      <c r="I399" s="29" t="n">
        <v>4500000</v>
      </c>
      <c r="J399" s="29" t="n">
        <v>3375000</v>
      </c>
      <c r="K399" s="28" t="n">
        <v>6</v>
      </c>
      <c r="L399" s="28" t="n">
        <v>120</v>
      </c>
      <c r="M399" s="28" t="n">
        <v>102</v>
      </c>
    </row>
    <row r="400" customFormat="false" ht="15" hidden="false" customHeight="false" outlineLevel="0" collapsed="false">
      <c r="A400" s="27" t="n">
        <v>44005</v>
      </c>
      <c r="B400" s="28" t="n">
        <v>2020</v>
      </c>
      <c r="C400" s="28" t="s">
        <v>206</v>
      </c>
      <c r="D400" s="28" t="s">
        <v>46</v>
      </c>
      <c r="E400" s="28" t="s">
        <v>298</v>
      </c>
      <c r="F400" s="28" t="s">
        <v>147</v>
      </c>
      <c r="G400" s="28" t="s">
        <v>148</v>
      </c>
      <c r="H400" s="28" t="s">
        <v>165</v>
      </c>
      <c r="I400" s="29" t="n">
        <v>75000</v>
      </c>
      <c r="J400" s="29" t="n">
        <v>37500</v>
      </c>
      <c r="K400" s="28" t="n">
        <v>5.74</v>
      </c>
      <c r="L400" s="28" t="n">
        <v>120</v>
      </c>
      <c r="M400" s="28" t="n">
        <v>24</v>
      </c>
    </row>
    <row r="401" customFormat="false" ht="15" hidden="false" customHeight="false" outlineLevel="0" collapsed="false">
      <c r="A401" s="27" t="n">
        <v>44006</v>
      </c>
      <c r="B401" s="28" t="n">
        <v>2020</v>
      </c>
      <c r="C401" s="28" t="s">
        <v>172</v>
      </c>
      <c r="D401" s="28" t="s">
        <v>49</v>
      </c>
      <c r="E401" s="28" t="s">
        <v>478</v>
      </c>
      <c r="F401" s="28" t="s">
        <v>147</v>
      </c>
      <c r="G401" s="28" t="s">
        <v>148</v>
      </c>
      <c r="H401" s="28" t="s">
        <v>227</v>
      </c>
      <c r="I401" s="29" t="n">
        <v>10000</v>
      </c>
      <c r="J401" s="29" t="n">
        <v>5000</v>
      </c>
      <c r="K401" s="28" t="n">
        <v>9.75</v>
      </c>
      <c r="L401" s="28" t="n">
        <v>120</v>
      </c>
      <c r="M401" s="28" t="n">
        <v>1</v>
      </c>
    </row>
    <row r="402" customFormat="false" ht="15" hidden="false" customHeight="false" outlineLevel="0" collapsed="false">
      <c r="A402" s="27" t="n">
        <v>44008</v>
      </c>
      <c r="B402" s="28" t="n">
        <v>2020</v>
      </c>
      <c r="C402" s="28" t="s">
        <v>198</v>
      </c>
      <c r="D402" s="28" t="s">
        <v>43</v>
      </c>
      <c r="E402" s="28" t="s">
        <v>245</v>
      </c>
      <c r="F402" s="28" t="s">
        <v>147</v>
      </c>
      <c r="G402" s="28" t="s">
        <v>441</v>
      </c>
      <c r="H402" s="28" t="s">
        <v>159</v>
      </c>
      <c r="I402" s="29" t="n">
        <v>30900</v>
      </c>
      <c r="J402" s="29" t="n">
        <v>15450</v>
      </c>
      <c r="K402" s="28" t="n">
        <v>8</v>
      </c>
      <c r="L402" s="28" t="n">
        <v>60</v>
      </c>
      <c r="M402" s="28" t="n">
        <v>0</v>
      </c>
    </row>
    <row r="403" customFormat="false" ht="15" hidden="false" customHeight="false" outlineLevel="0" collapsed="false">
      <c r="A403" s="27" t="n">
        <v>44012</v>
      </c>
      <c r="B403" s="28" t="n">
        <v>2020</v>
      </c>
      <c r="C403" s="28" t="s">
        <v>172</v>
      </c>
      <c r="D403" s="28" t="s">
        <v>42</v>
      </c>
      <c r="E403" s="28" t="s">
        <v>180</v>
      </c>
      <c r="F403" s="28" t="s">
        <v>147</v>
      </c>
      <c r="G403" s="28" t="s">
        <v>441</v>
      </c>
      <c r="H403" s="28" t="s">
        <v>479</v>
      </c>
      <c r="I403" s="29" t="n">
        <v>425000</v>
      </c>
      <c r="J403" s="29" t="n">
        <v>212500</v>
      </c>
      <c r="K403" s="28" t="n">
        <v>4.75</v>
      </c>
      <c r="L403" s="28" t="n">
        <v>87</v>
      </c>
      <c r="M403" s="28" t="n">
        <v>20</v>
      </c>
    </row>
    <row r="404" customFormat="false" ht="15" hidden="false" customHeight="false" outlineLevel="0" collapsed="false">
      <c r="A404" s="27" t="n">
        <v>44014</v>
      </c>
      <c r="B404" s="28" t="n">
        <v>2020</v>
      </c>
      <c r="C404" s="28" t="s">
        <v>216</v>
      </c>
      <c r="D404" s="28" t="s">
        <v>45</v>
      </c>
      <c r="E404" s="28" t="s">
        <v>480</v>
      </c>
      <c r="F404" s="28" t="s">
        <v>147</v>
      </c>
      <c r="G404" s="28" t="s">
        <v>148</v>
      </c>
      <c r="H404" s="28" t="s">
        <v>159</v>
      </c>
      <c r="I404" s="29" t="n">
        <v>10000</v>
      </c>
      <c r="J404" s="29" t="n">
        <v>5000</v>
      </c>
      <c r="K404" s="28" t="n">
        <v>9.75</v>
      </c>
      <c r="L404" s="28" t="n">
        <v>76</v>
      </c>
      <c r="M404" s="28" t="n">
        <v>8</v>
      </c>
    </row>
    <row r="405" customFormat="false" ht="15" hidden="false" customHeight="false" outlineLevel="0" collapsed="false">
      <c r="A405" s="27" t="n">
        <v>44015</v>
      </c>
      <c r="B405" s="28" t="n">
        <v>2020</v>
      </c>
      <c r="C405" s="28" t="s">
        <v>196</v>
      </c>
      <c r="D405" s="28" t="s">
        <v>42</v>
      </c>
      <c r="E405" s="28" t="s">
        <v>242</v>
      </c>
      <c r="F405" s="28" t="s">
        <v>147</v>
      </c>
      <c r="G405" s="28" t="s">
        <v>441</v>
      </c>
      <c r="H405" s="28" t="s">
        <v>168</v>
      </c>
      <c r="I405" s="29" t="n">
        <v>5000</v>
      </c>
      <c r="J405" s="29" t="n">
        <v>2500</v>
      </c>
      <c r="K405" s="28" t="n">
        <v>7.75</v>
      </c>
      <c r="L405" s="28" t="n">
        <v>120</v>
      </c>
      <c r="M405" s="28" t="n">
        <v>0</v>
      </c>
    </row>
    <row r="406" customFormat="false" ht="15" hidden="false" customHeight="false" outlineLevel="0" collapsed="false">
      <c r="A406" s="27" t="n">
        <v>44020</v>
      </c>
      <c r="B406" s="28" t="n">
        <v>2020</v>
      </c>
      <c r="C406" s="28" t="s">
        <v>169</v>
      </c>
      <c r="D406" s="28" t="s">
        <v>50</v>
      </c>
      <c r="E406" s="28" t="s">
        <v>466</v>
      </c>
      <c r="F406" s="28" t="s">
        <v>147</v>
      </c>
      <c r="G406" s="28" t="s">
        <v>441</v>
      </c>
      <c r="H406" s="28" t="s">
        <v>481</v>
      </c>
      <c r="I406" s="29" t="n">
        <v>100000</v>
      </c>
      <c r="J406" s="29" t="n">
        <v>50000</v>
      </c>
      <c r="K406" s="28" t="n">
        <v>4.5</v>
      </c>
      <c r="L406" s="28" t="n">
        <v>24</v>
      </c>
      <c r="M406" s="28" t="n">
        <v>2</v>
      </c>
    </row>
    <row r="407" customFormat="false" ht="15" hidden="false" customHeight="false" outlineLevel="0" collapsed="false">
      <c r="A407" s="27" t="n">
        <v>44020</v>
      </c>
      <c r="B407" s="28" t="n">
        <v>2020</v>
      </c>
      <c r="C407" s="28" t="s">
        <v>166</v>
      </c>
      <c r="D407" s="28" t="s">
        <v>46</v>
      </c>
      <c r="E407" s="28" t="s">
        <v>259</v>
      </c>
      <c r="F407" s="28" t="s">
        <v>142</v>
      </c>
      <c r="G407" s="28" t="s">
        <v>148</v>
      </c>
      <c r="H407" s="28" t="s">
        <v>291</v>
      </c>
      <c r="I407" s="29" t="n">
        <v>75000</v>
      </c>
      <c r="J407" s="29" t="n">
        <v>63750</v>
      </c>
      <c r="K407" s="28" t="n">
        <v>5.55</v>
      </c>
      <c r="L407" s="28" t="n">
        <v>84</v>
      </c>
      <c r="M407" s="28" t="n">
        <v>18</v>
      </c>
    </row>
    <row r="408" customFormat="false" ht="15" hidden="false" customHeight="false" outlineLevel="0" collapsed="false">
      <c r="A408" s="27" t="n">
        <v>44022</v>
      </c>
      <c r="B408" s="28" t="n">
        <v>2020</v>
      </c>
      <c r="C408" s="28" t="s">
        <v>318</v>
      </c>
      <c r="D408" s="28" t="s">
        <v>45</v>
      </c>
      <c r="E408" s="28" t="s">
        <v>345</v>
      </c>
      <c r="F408" s="28" t="s">
        <v>147</v>
      </c>
      <c r="G408" s="28" t="s">
        <v>148</v>
      </c>
      <c r="H408" s="28" t="s">
        <v>482</v>
      </c>
      <c r="I408" s="29" t="n">
        <v>350000</v>
      </c>
      <c r="J408" s="29" t="n">
        <v>175000</v>
      </c>
      <c r="K408" s="28" t="n">
        <v>5.25</v>
      </c>
      <c r="L408" s="28" t="n">
        <v>60</v>
      </c>
      <c r="M408" s="28" t="n">
        <v>4</v>
      </c>
    </row>
    <row r="409" customFormat="false" ht="15" hidden="false" customHeight="false" outlineLevel="0" collapsed="false">
      <c r="A409" s="27" t="n">
        <v>44022</v>
      </c>
      <c r="B409" s="28" t="n">
        <v>2020</v>
      </c>
      <c r="C409" s="28" t="s">
        <v>166</v>
      </c>
      <c r="D409" s="28" t="s">
        <v>48</v>
      </c>
      <c r="E409" s="28" t="s">
        <v>362</v>
      </c>
      <c r="F409" s="28" t="s">
        <v>147</v>
      </c>
      <c r="G409" s="28" t="s">
        <v>148</v>
      </c>
      <c r="H409" s="28" t="s">
        <v>144</v>
      </c>
      <c r="I409" s="29" t="n">
        <v>650000</v>
      </c>
      <c r="J409" s="29" t="n">
        <v>325000</v>
      </c>
      <c r="K409" s="28" t="n">
        <v>6.25</v>
      </c>
      <c r="L409" s="28" t="n">
        <v>84</v>
      </c>
      <c r="M409" s="28" t="n">
        <v>13</v>
      </c>
    </row>
    <row r="410" customFormat="false" ht="15" hidden="false" customHeight="false" outlineLevel="0" collapsed="false">
      <c r="A410" s="27" t="n">
        <v>44025</v>
      </c>
      <c r="B410" s="28" t="n">
        <v>2020</v>
      </c>
      <c r="C410" s="28" t="s">
        <v>203</v>
      </c>
      <c r="D410" s="28" t="s">
        <v>44</v>
      </c>
      <c r="E410" s="28" t="s">
        <v>161</v>
      </c>
      <c r="F410" s="28" t="s">
        <v>147</v>
      </c>
      <c r="G410" s="28" t="s">
        <v>148</v>
      </c>
      <c r="H410" s="28" t="s">
        <v>165</v>
      </c>
      <c r="I410" s="29" t="n">
        <v>200000</v>
      </c>
      <c r="J410" s="29" t="n">
        <v>100000</v>
      </c>
      <c r="K410" s="28" t="n">
        <v>6</v>
      </c>
      <c r="L410" s="28" t="n">
        <v>84</v>
      </c>
      <c r="M410" s="28" t="n">
        <v>6</v>
      </c>
    </row>
    <row r="411" customFormat="false" ht="15" hidden="false" customHeight="false" outlineLevel="0" collapsed="false">
      <c r="A411" s="27" t="n">
        <v>44027</v>
      </c>
      <c r="B411" s="28" t="n">
        <v>2020</v>
      </c>
      <c r="C411" s="28" t="s">
        <v>172</v>
      </c>
      <c r="D411" s="28" t="s">
        <v>42</v>
      </c>
      <c r="E411" s="28" t="s">
        <v>180</v>
      </c>
      <c r="F411" s="28" t="s">
        <v>142</v>
      </c>
      <c r="G411" s="28" t="s">
        <v>143</v>
      </c>
      <c r="H411" s="28" t="s">
        <v>483</v>
      </c>
      <c r="I411" s="29" t="n">
        <v>247000</v>
      </c>
      <c r="J411" s="29" t="n">
        <v>185250</v>
      </c>
      <c r="K411" s="28" t="n">
        <v>6</v>
      </c>
      <c r="L411" s="28" t="n">
        <v>126</v>
      </c>
      <c r="M411" s="28" t="n">
        <v>9</v>
      </c>
    </row>
    <row r="412" customFormat="false" ht="15" hidden="false" customHeight="false" outlineLevel="0" collapsed="false">
      <c r="A412" s="27" t="n">
        <v>44027</v>
      </c>
      <c r="B412" s="28" t="n">
        <v>2020</v>
      </c>
      <c r="C412" s="28" t="s">
        <v>172</v>
      </c>
      <c r="D412" s="28" t="s">
        <v>51</v>
      </c>
      <c r="E412" s="28" t="s">
        <v>239</v>
      </c>
      <c r="F412" s="28" t="s">
        <v>142</v>
      </c>
      <c r="G412" s="28" t="s">
        <v>148</v>
      </c>
      <c r="H412" s="28" t="s">
        <v>229</v>
      </c>
      <c r="I412" s="29" t="n">
        <v>150000</v>
      </c>
      <c r="J412" s="29" t="n">
        <v>127500</v>
      </c>
      <c r="K412" s="28" t="n">
        <v>6</v>
      </c>
      <c r="L412" s="28" t="n">
        <v>120</v>
      </c>
      <c r="M412" s="28" t="n">
        <v>6</v>
      </c>
    </row>
    <row r="413" customFormat="false" ht="15" hidden="false" customHeight="false" outlineLevel="0" collapsed="false">
      <c r="A413" s="27" t="n">
        <v>44027</v>
      </c>
      <c r="B413" s="28" t="n">
        <v>2020</v>
      </c>
      <c r="C413" s="28" t="s">
        <v>243</v>
      </c>
      <c r="D413" s="28" t="s">
        <v>48</v>
      </c>
      <c r="E413" s="28" t="s">
        <v>436</v>
      </c>
      <c r="F413" s="28" t="s">
        <v>147</v>
      </c>
      <c r="G413" s="28" t="s">
        <v>441</v>
      </c>
      <c r="H413" s="28" t="s">
        <v>271</v>
      </c>
      <c r="I413" s="29" t="n">
        <v>100000</v>
      </c>
      <c r="J413" s="29" t="n">
        <v>50000</v>
      </c>
      <c r="K413" s="28" t="n">
        <v>5.25</v>
      </c>
      <c r="L413" s="28" t="n">
        <v>48</v>
      </c>
      <c r="M413" s="28" t="n">
        <v>13</v>
      </c>
    </row>
    <row r="414" customFormat="false" ht="15" hidden="false" customHeight="false" outlineLevel="0" collapsed="false">
      <c r="A414" s="27" t="n">
        <v>44028</v>
      </c>
      <c r="B414" s="28" t="n">
        <v>2020</v>
      </c>
      <c r="C414" s="28" t="s">
        <v>243</v>
      </c>
      <c r="D414" s="28" t="s">
        <v>46</v>
      </c>
      <c r="E414" s="28" t="s">
        <v>262</v>
      </c>
      <c r="F414" s="28" t="s">
        <v>147</v>
      </c>
      <c r="G414" s="28" t="s">
        <v>441</v>
      </c>
      <c r="H414" s="28" t="s">
        <v>179</v>
      </c>
      <c r="I414" s="29" t="n">
        <v>168000</v>
      </c>
      <c r="J414" s="29" t="n">
        <v>84000</v>
      </c>
      <c r="K414" s="28" t="n">
        <v>5.25</v>
      </c>
      <c r="L414" s="28" t="n">
        <v>300</v>
      </c>
      <c r="M414" s="28" t="n">
        <v>3</v>
      </c>
    </row>
    <row r="415" customFormat="false" ht="15" hidden="false" customHeight="false" outlineLevel="0" collapsed="false">
      <c r="A415" s="27" t="n">
        <v>44029</v>
      </c>
      <c r="B415" s="28" t="n">
        <v>2020</v>
      </c>
      <c r="C415" s="28" t="s">
        <v>140</v>
      </c>
      <c r="D415" s="28" t="s">
        <v>42</v>
      </c>
      <c r="E415" s="28" t="s">
        <v>180</v>
      </c>
      <c r="F415" s="28" t="s">
        <v>147</v>
      </c>
      <c r="G415" s="28" t="s">
        <v>143</v>
      </c>
      <c r="H415" s="28" t="s">
        <v>165</v>
      </c>
      <c r="I415" s="29" t="n">
        <v>152500</v>
      </c>
      <c r="J415" s="29" t="n">
        <v>76250</v>
      </c>
      <c r="K415" s="28" t="n">
        <v>5.25</v>
      </c>
      <c r="L415" s="28" t="n">
        <v>96</v>
      </c>
      <c r="M415" s="28" t="n">
        <v>25</v>
      </c>
    </row>
    <row r="416" customFormat="false" ht="15" hidden="false" customHeight="false" outlineLevel="0" collapsed="false">
      <c r="A416" s="27" t="n">
        <v>44032</v>
      </c>
      <c r="B416" s="28" t="n">
        <v>2020</v>
      </c>
      <c r="C416" s="28" t="s">
        <v>203</v>
      </c>
      <c r="D416" s="28" t="s">
        <v>46</v>
      </c>
      <c r="E416" s="28" t="s">
        <v>315</v>
      </c>
      <c r="F416" s="28" t="s">
        <v>147</v>
      </c>
      <c r="G416" s="28" t="s">
        <v>148</v>
      </c>
      <c r="H416" s="28" t="s">
        <v>438</v>
      </c>
      <c r="I416" s="29" t="n">
        <v>250000</v>
      </c>
      <c r="J416" s="29" t="n">
        <v>125000</v>
      </c>
      <c r="K416" s="28" t="n">
        <v>6</v>
      </c>
      <c r="L416" s="28" t="n">
        <v>120</v>
      </c>
      <c r="M416" s="28" t="n">
        <v>20</v>
      </c>
    </row>
    <row r="417" customFormat="false" ht="15" hidden="false" customHeight="false" outlineLevel="0" collapsed="false">
      <c r="A417" s="27" t="n">
        <v>44033</v>
      </c>
      <c r="B417" s="28" t="n">
        <v>2020</v>
      </c>
      <c r="C417" s="28" t="s">
        <v>203</v>
      </c>
      <c r="D417" s="28" t="s">
        <v>46</v>
      </c>
      <c r="E417" s="28" t="s">
        <v>262</v>
      </c>
      <c r="F417" s="28" t="s">
        <v>142</v>
      </c>
      <c r="G417" s="28" t="s">
        <v>152</v>
      </c>
      <c r="H417" s="28" t="s">
        <v>144</v>
      </c>
      <c r="I417" s="29" t="n">
        <v>500000</v>
      </c>
      <c r="J417" s="29" t="n">
        <v>375000</v>
      </c>
      <c r="K417" s="28" t="n">
        <v>4.75</v>
      </c>
      <c r="L417" s="28" t="n">
        <v>120</v>
      </c>
      <c r="M417" s="28" t="n">
        <v>8</v>
      </c>
    </row>
    <row r="418" customFormat="false" ht="15" hidden="false" customHeight="false" outlineLevel="0" collapsed="false">
      <c r="A418" s="27" t="n">
        <v>44034</v>
      </c>
      <c r="B418" s="28" t="n">
        <v>2020</v>
      </c>
      <c r="C418" s="28" t="s">
        <v>484</v>
      </c>
      <c r="D418" s="28" t="s">
        <v>44</v>
      </c>
      <c r="E418" s="28" t="s">
        <v>485</v>
      </c>
      <c r="F418" s="28" t="s">
        <v>147</v>
      </c>
      <c r="G418" s="28" t="s">
        <v>152</v>
      </c>
      <c r="H418" s="28" t="s">
        <v>144</v>
      </c>
      <c r="I418" s="29" t="n">
        <v>50000</v>
      </c>
      <c r="J418" s="29" t="n">
        <v>25000</v>
      </c>
      <c r="K418" s="28" t="n">
        <v>5.75</v>
      </c>
      <c r="L418" s="28" t="n">
        <v>120</v>
      </c>
      <c r="M418" s="28" t="n">
        <v>1</v>
      </c>
    </row>
    <row r="419" customFormat="false" ht="15" hidden="false" customHeight="false" outlineLevel="0" collapsed="false">
      <c r="A419" s="27" t="n">
        <v>44034</v>
      </c>
      <c r="B419" s="28" t="n">
        <v>2020</v>
      </c>
      <c r="C419" s="28" t="s">
        <v>484</v>
      </c>
      <c r="D419" s="28" t="s">
        <v>44</v>
      </c>
      <c r="E419" s="28" t="s">
        <v>485</v>
      </c>
      <c r="F419" s="28" t="s">
        <v>142</v>
      </c>
      <c r="G419" s="28" t="s">
        <v>152</v>
      </c>
      <c r="H419" s="28" t="s">
        <v>144</v>
      </c>
      <c r="I419" s="29" t="n">
        <v>1250000</v>
      </c>
      <c r="J419" s="29" t="n">
        <v>937500</v>
      </c>
      <c r="K419" s="28" t="n">
        <v>5.75</v>
      </c>
      <c r="L419" s="28" t="n">
        <v>120</v>
      </c>
      <c r="M419" s="28" t="n">
        <v>1</v>
      </c>
    </row>
    <row r="420" customFormat="false" ht="15" hidden="false" customHeight="false" outlineLevel="0" collapsed="false">
      <c r="A420" s="27" t="n">
        <v>44034</v>
      </c>
      <c r="B420" s="28" t="n">
        <v>2020</v>
      </c>
      <c r="C420" s="28" t="s">
        <v>203</v>
      </c>
      <c r="D420" s="28" t="s">
        <v>43</v>
      </c>
      <c r="E420" s="28" t="s">
        <v>350</v>
      </c>
      <c r="F420" s="28" t="s">
        <v>142</v>
      </c>
      <c r="G420" s="28" t="s">
        <v>143</v>
      </c>
      <c r="H420" s="28" t="s">
        <v>486</v>
      </c>
      <c r="I420" s="29" t="n">
        <v>350000</v>
      </c>
      <c r="J420" s="29" t="n">
        <v>262500</v>
      </c>
      <c r="K420" s="28" t="n">
        <v>5.5</v>
      </c>
      <c r="L420" s="28" t="n">
        <v>120</v>
      </c>
      <c r="M420" s="28" t="n">
        <v>13</v>
      </c>
    </row>
    <row r="421" customFormat="false" ht="15" hidden="false" customHeight="false" outlineLevel="0" collapsed="false">
      <c r="A421" s="27" t="n">
        <v>44034</v>
      </c>
      <c r="B421" s="28" t="n">
        <v>2020</v>
      </c>
      <c r="C421" s="28" t="s">
        <v>169</v>
      </c>
      <c r="D421" s="28" t="s">
        <v>48</v>
      </c>
      <c r="E421" s="28" t="s">
        <v>212</v>
      </c>
      <c r="F421" s="28" t="s">
        <v>142</v>
      </c>
      <c r="G421" s="28" t="s">
        <v>148</v>
      </c>
      <c r="H421" s="28" t="s">
        <v>229</v>
      </c>
      <c r="I421" s="29" t="n">
        <v>100000</v>
      </c>
      <c r="J421" s="29" t="n">
        <v>85000</v>
      </c>
      <c r="K421" s="28" t="n">
        <v>6</v>
      </c>
      <c r="L421" s="28" t="n">
        <v>120</v>
      </c>
      <c r="M421" s="28" t="n">
        <v>10</v>
      </c>
    </row>
    <row r="422" customFormat="false" ht="15" hidden="false" customHeight="false" outlineLevel="0" collapsed="false">
      <c r="A422" s="27" t="n">
        <v>44035</v>
      </c>
      <c r="B422" s="28" t="n">
        <v>2020</v>
      </c>
      <c r="C422" s="28" t="s">
        <v>172</v>
      </c>
      <c r="D422" s="28" t="s">
        <v>45</v>
      </c>
      <c r="E422" s="28" t="s">
        <v>222</v>
      </c>
      <c r="F422" s="28" t="s">
        <v>194</v>
      </c>
      <c r="G422" s="28" t="s">
        <v>148</v>
      </c>
      <c r="H422" s="28" t="s">
        <v>374</v>
      </c>
      <c r="I422" s="29" t="n">
        <v>1240400</v>
      </c>
      <c r="J422" s="29" t="n">
        <v>930300</v>
      </c>
      <c r="K422" s="28" t="n">
        <v>5</v>
      </c>
      <c r="L422" s="28" t="n">
        <v>120</v>
      </c>
      <c r="M422" s="28" t="n">
        <v>6</v>
      </c>
    </row>
    <row r="423" customFormat="false" ht="15" hidden="false" customHeight="false" outlineLevel="0" collapsed="false">
      <c r="A423" s="27" t="n">
        <v>44035</v>
      </c>
      <c r="B423" s="28" t="n">
        <v>2020</v>
      </c>
      <c r="C423" s="28" t="s">
        <v>344</v>
      </c>
      <c r="D423" s="28" t="s">
        <v>49</v>
      </c>
      <c r="E423" s="28" t="s">
        <v>487</v>
      </c>
      <c r="F423" s="28" t="s">
        <v>142</v>
      </c>
      <c r="G423" s="28" t="s">
        <v>152</v>
      </c>
      <c r="H423" s="28" t="s">
        <v>144</v>
      </c>
      <c r="I423" s="29" t="n">
        <v>2900000</v>
      </c>
      <c r="J423" s="29" t="n">
        <v>2175000</v>
      </c>
      <c r="K423" s="28" t="n">
        <v>6</v>
      </c>
      <c r="L423" s="28" t="n">
        <v>120</v>
      </c>
      <c r="M423" s="28" t="n">
        <v>38</v>
      </c>
    </row>
    <row r="424" customFormat="false" ht="15" hidden="false" customHeight="false" outlineLevel="0" collapsed="false">
      <c r="A424" s="27" t="n">
        <v>44036</v>
      </c>
      <c r="B424" s="28" t="n">
        <v>2020</v>
      </c>
      <c r="C424" s="28" t="s">
        <v>163</v>
      </c>
      <c r="D424" s="28" t="s">
        <v>46</v>
      </c>
      <c r="E424" s="28" t="s">
        <v>262</v>
      </c>
      <c r="F424" s="28" t="s">
        <v>142</v>
      </c>
      <c r="G424" s="28" t="s">
        <v>148</v>
      </c>
      <c r="H424" s="28" t="s">
        <v>291</v>
      </c>
      <c r="I424" s="29" t="n">
        <v>743800</v>
      </c>
      <c r="J424" s="29" t="n">
        <v>557850</v>
      </c>
      <c r="K424" s="28" t="n">
        <v>4.75</v>
      </c>
      <c r="L424" s="28" t="n">
        <v>120</v>
      </c>
      <c r="M424" s="28" t="n">
        <v>10</v>
      </c>
    </row>
    <row r="425" customFormat="false" ht="15" hidden="false" customHeight="false" outlineLevel="0" collapsed="false">
      <c r="A425" s="27" t="n">
        <v>44036</v>
      </c>
      <c r="B425" s="28" t="n">
        <v>2020</v>
      </c>
      <c r="C425" s="28" t="s">
        <v>163</v>
      </c>
      <c r="D425" s="28" t="s">
        <v>46</v>
      </c>
      <c r="E425" s="28" t="s">
        <v>262</v>
      </c>
      <c r="F425" s="28" t="s">
        <v>147</v>
      </c>
      <c r="G425" s="28" t="s">
        <v>148</v>
      </c>
      <c r="H425" s="28" t="s">
        <v>291</v>
      </c>
      <c r="I425" s="29" t="n">
        <v>100000</v>
      </c>
      <c r="J425" s="29" t="n">
        <v>50000</v>
      </c>
      <c r="K425" s="28" t="n">
        <v>4</v>
      </c>
      <c r="L425" s="28" t="n">
        <v>47</v>
      </c>
      <c r="M425" s="28" t="n">
        <v>10</v>
      </c>
    </row>
    <row r="426" customFormat="false" ht="15" hidden="false" customHeight="false" outlineLevel="0" collapsed="false">
      <c r="A426" s="27" t="n">
        <v>44036</v>
      </c>
      <c r="B426" s="28" t="n">
        <v>2020</v>
      </c>
      <c r="C426" s="28" t="s">
        <v>166</v>
      </c>
      <c r="D426" s="28" t="s">
        <v>45</v>
      </c>
      <c r="E426" s="28" t="s">
        <v>222</v>
      </c>
      <c r="F426" s="28" t="s">
        <v>147</v>
      </c>
      <c r="G426" s="28" t="s">
        <v>441</v>
      </c>
      <c r="H426" s="28" t="s">
        <v>372</v>
      </c>
      <c r="I426" s="29" t="n">
        <v>233600</v>
      </c>
      <c r="J426" s="29" t="n">
        <v>116800</v>
      </c>
      <c r="K426" s="28" t="n">
        <v>5.25</v>
      </c>
      <c r="L426" s="28" t="n">
        <v>60</v>
      </c>
      <c r="M426" s="28" t="n">
        <v>19</v>
      </c>
    </row>
    <row r="427" customFormat="false" ht="15" hidden="false" customHeight="false" outlineLevel="0" collapsed="false">
      <c r="A427" s="27" t="n">
        <v>44036</v>
      </c>
      <c r="B427" s="28" t="n">
        <v>2020</v>
      </c>
      <c r="C427" s="28" t="s">
        <v>344</v>
      </c>
      <c r="D427" s="28" t="s">
        <v>49</v>
      </c>
      <c r="E427" s="28" t="s">
        <v>487</v>
      </c>
      <c r="F427" s="28" t="s">
        <v>147</v>
      </c>
      <c r="G427" s="28" t="s">
        <v>152</v>
      </c>
      <c r="H427" s="28" t="s">
        <v>144</v>
      </c>
      <c r="I427" s="29" t="n">
        <v>350000</v>
      </c>
      <c r="J427" s="29" t="n">
        <v>175000</v>
      </c>
      <c r="K427" s="28" t="n">
        <v>6</v>
      </c>
      <c r="L427" s="28" t="n">
        <v>120</v>
      </c>
      <c r="M427" s="28" t="n">
        <v>38</v>
      </c>
    </row>
    <row r="428" customFormat="false" ht="15" hidden="false" customHeight="false" outlineLevel="0" collapsed="false">
      <c r="A428" s="27" t="n">
        <v>44039</v>
      </c>
      <c r="B428" s="28" t="n">
        <v>2020</v>
      </c>
      <c r="C428" s="28" t="s">
        <v>169</v>
      </c>
      <c r="D428" s="28" t="s">
        <v>51</v>
      </c>
      <c r="E428" s="28" t="s">
        <v>239</v>
      </c>
      <c r="F428" s="28" t="s">
        <v>147</v>
      </c>
      <c r="G428" s="28" t="s">
        <v>143</v>
      </c>
      <c r="H428" s="28" t="s">
        <v>481</v>
      </c>
      <c r="I428" s="29" t="n">
        <v>480000</v>
      </c>
      <c r="J428" s="29" t="n">
        <v>240000</v>
      </c>
      <c r="K428" s="28" t="n">
        <v>4.25</v>
      </c>
      <c r="L428" s="28" t="n">
        <v>72</v>
      </c>
      <c r="M428" s="28" t="n">
        <v>3</v>
      </c>
    </row>
    <row r="429" customFormat="false" ht="15" hidden="false" customHeight="false" outlineLevel="0" collapsed="false">
      <c r="A429" s="27" t="n">
        <v>44040</v>
      </c>
      <c r="B429" s="28" t="n">
        <v>2020</v>
      </c>
      <c r="C429" s="28" t="s">
        <v>150</v>
      </c>
      <c r="D429" s="28" t="s">
        <v>47</v>
      </c>
      <c r="E429" s="28" t="s">
        <v>458</v>
      </c>
      <c r="F429" s="28" t="s">
        <v>194</v>
      </c>
      <c r="G429" s="28" t="s">
        <v>441</v>
      </c>
      <c r="H429" s="28" t="s">
        <v>168</v>
      </c>
      <c r="I429" s="29" t="n">
        <v>228000</v>
      </c>
      <c r="J429" s="29" t="n">
        <v>171000</v>
      </c>
      <c r="K429" s="28" t="n">
        <v>5.8</v>
      </c>
      <c r="L429" s="28" t="n">
        <v>120</v>
      </c>
      <c r="M429" s="28" t="n">
        <v>10</v>
      </c>
    </row>
    <row r="430" customFormat="false" ht="15" hidden="false" customHeight="false" outlineLevel="0" collapsed="false">
      <c r="A430" s="27" t="n">
        <v>44041</v>
      </c>
      <c r="B430" s="28" t="n">
        <v>2020</v>
      </c>
      <c r="C430" s="28" t="s">
        <v>172</v>
      </c>
      <c r="D430" s="28" t="s">
        <v>48</v>
      </c>
      <c r="E430" s="28" t="s">
        <v>210</v>
      </c>
      <c r="F430" s="28" t="s">
        <v>147</v>
      </c>
      <c r="G430" s="28" t="s">
        <v>148</v>
      </c>
      <c r="H430" s="28" t="s">
        <v>159</v>
      </c>
      <c r="I430" s="29" t="n">
        <v>150000</v>
      </c>
      <c r="J430" s="29" t="n">
        <v>75000</v>
      </c>
      <c r="K430" s="28" t="n">
        <v>6.25</v>
      </c>
      <c r="L430" s="28" t="n">
        <v>120</v>
      </c>
      <c r="M430" s="28" t="n">
        <v>8</v>
      </c>
    </row>
    <row r="431" customFormat="false" ht="15" hidden="false" customHeight="false" outlineLevel="0" collapsed="false">
      <c r="A431" s="27" t="n">
        <v>44042</v>
      </c>
      <c r="B431" s="28" t="n">
        <v>2020</v>
      </c>
      <c r="C431" s="28" t="s">
        <v>198</v>
      </c>
      <c r="D431" s="28" t="s">
        <v>46</v>
      </c>
      <c r="E431" s="28" t="s">
        <v>298</v>
      </c>
      <c r="F431" s="28" t="s">
        <v>147</v>
      </c>
      <c r="G431" s="28" t="s">
        <v>148</v>
      </c>
      <c r="H431" s="28" t="s">
        <v>144</v>
      </c>
      <c r="I431" s="29" t="n">
        <v>700000</v>
      </c>
      <c r="J431" s="29" t="n">
        <v>350000</v>
      </c>
      <c r="K431" s="28" t="n">
        <v>6</v>
      </c>
      <c r="L431" s="28" t="n">
        <v>120</v>
      </c>
      <c r="M431" s="28" t="n">
        <v>19</v>
      </c>
    </row>
    <row r="432" customFormat="false" ht="15" hidden="false" customHeight="false" outlineLevel="0" collapsed="false">
      <c r="A432" s="27" t="n">
        <v>44043</v>
      </c>
      <c r="B432" s="28" t="n">
        <v>2020</v>
      </c>
      <c r="C432" s="28" t="s">
        <v>232</v>
      </c>
      <c r="D432" s="28" t="s">
        <v>42</v>
      </c>
      <c r="E432" s="28" t="s">
        <v>164</v>
      </c>
      <c r="F432" s="28" t="s">
        <v>147</v>
      </c>
      <c r="G432" s="28" t="s">
        <v>152</v>
      </c>
      <c r="H432" s="28" t="s">
        <v>482</v>
      </c>
      <c r="I432" s="29" t="n">
        <v>105000</v>
      </c>
      <c r="J432" s="29" t="n">
        <v>52500</v>
      </c>
      <c r="K432" s="28" t="n">
        <v>5.79</v>
      </c>
      <c r="L432" s="28" t="n">
        <v>60</v>
      </c>
      <c r="M432" s="28" t="n">
        <v>43</v>
      </c>
    </row>
    <row r="433" customFormat="false" ht="15" hidden="false" customHeight="false" outlineLevel="0" collapsed="false">
      <c r="A433" s="27" t="n">
        <v>44046</v>
      </c>
      <c r="B433" s="28" t="n">
        <v>2020</v>
      </c>
      <c r="C433" s="28" t="s">
        <v>488</v>
      </c>
      <c r="D433" s="28" t="s">
        <v>47</v>
      </c>
      <c r="E433" s="28" t="s">
        <v>489</v>
      </c>
      <c r="F433" s="28" t="s">
        <v>142</v>
      </c>
      <c r="G433" s="28" t="s">
        <v>148</v>
      </c>
      <c r="H433" s="28" t="s">
        <v>168</v>
      </c>
      <c r="I433" s="29" t="n">
        <v>1512000</v>
      </c>
      <c r="J433" s="29" t="n">
        <v>1134000</v>
      </c>
      <c r="K433" s="28" t="n">
        <v>4.55</v>
      </c>
      <c r="L433" s="28" t="n">
        <v>300</v>
      </c>
      <c r="M433" s="28" t="n">
        <v>2</v>
      </c>
    </row>
    <row r="434" customFormat="false" ht="15" hidden="false" customHeight="false" outlineLevel="0" collapsed="false">
      <c r="A434" s="27" t="n">
        <v>44046</v>
      </c>
      <c r="B434" s="28" t="n">
        <v>2020</v>
      </c>
      <c r="C434" s="28" t="s">
        <v>163</v>
      </c>
      <c r="D434" s="28" t="s">
        <v>49</v>
      </c>
      <c r="E434" s="28" t="s">
        <v>330</v>
      </c>
      <c r="F434" s="28" t="s">
        <v>194</v>
      </c>
      <c r="G434" s="28" t="s">
        <v>148</v>
      </c>
      <c r="H434" s="28" t="s">
        <v>490</v>
      </c>
      <c r="I434" s="29" t="n">
        <v>553100</v>
      </c>
      <c r="J434" s="29" t="n">
        <v>414825</v>
      </c>
      <c r="K434" s="28" t="n">
        <v>5</v>
      </c>
      <c r="L434" s="28" t="n">
        <v>300</v>
      </c>
      <c r="M434" s="28" t="n">
        <v>6</v>
      </c>
    </row>
    <row r="435" customFormat="false" ht="15" hidden="false" customHeight="false" outlineLevel="0" collapsed="false">
      <c r="A435" s="27" t="n">
        <v>44047</v>
      </c>
      <c r="B435" s="28" t="n">
        <v>2020</v>
      </c>
      <c r="C435" s="28" t="s">
        <v>160</v>
      </c>
      <c r="D435" s="28" t="s">
        <v>49</v>
      </c>
      <c r="E435" s="28" t="s">
        <v>439</v>
      </c>
      <c r="F435" s="28" t="s">
        <v>142</v>
      </c>
      <c r="G435" s="28" t="s">
        <v>148</v>
      </c>
      <c r="H435" s="28" t="s">
        <v>211</v>
      </c>
      <c r="I435" s="29" t="n">
        <v>272000</v>
      </c>
      <c r="J435" s="29" t="n">
        <v>204000</v>
      </c>
      <c r="K435" s="28" t="n">
        <v>6</v>
      </c>
      <c r="L435" s="28" t="n">
        <v>120</v>
      </c>
      <c r="M435" s="28" t="n">
        <v>8</v>
      </c>
    </row>
    <row r="436" customFormat="false" ht="15" hidden="false" customHeight="false" outlineLevel="0" collapsed="false">
      <c r="A436" s="27" t="n">
        <v>44047</v>
      </c>
      <c r="B436" s="28" t="n">
        <v>2020</v>
      </c>
      <c r="C436" s="28" t="s">
        <v>172</v>
      </c>
      <c r="D436" s="28" t="s">
        <v>48</v>
      </c>
      <c r="E436" s="28" t="s">
        <v>212</v>
      </c>
      <c r="F436" s="28" t="s">
        <v>142</v>
      </c>
      <c r="G436" s="28" t="s">
        <v>148</v>
      </c>
      <c r="H436" s="28" t="s">
        <v>229</v>
      </c>
      <c r="I436" s="29" t="n">
        <v>350000</v>
      </c>
      <c r="J436" s="29" t="n">
        <v>262500</v>
      </c>
      <c r="K436" s="28" t="n">
        <v>6</v>
      </c>
      <c r="L436" s="28" t="n">
        <v>120</v>
      </c>
      <c r="M436" s="28" t="n">
        <v>26</v>
      </c>
    </row>
    <row r="437" customFormat="false" ht="15" hidden="false" customHeight="false" outlineLevel="0" collapsed="false">
      <c r="A437" s="27" t="n">
        <v>44047</v>
      </c>
      <c r="B437" s="28" t="n">
        <v>2020</v>
      </c>
      <c r="C437" s="28" t="s">
        <v>163</v>
      </c>
      <c r="D437" s="28" t="s">
        <v>51</v>
      </c>
      <c r="E437" s="28" t="s">
        <v>239</v>
      </c>
      <c r="F437" s="28" t="s">
        <v>142</v>
      </c>
      <c r="G437" s="28" t="s">
        <v>152</v>
      </c>
      <c r="H437" s="28" t="s">
        <v>165</v>
      </c>
      <c r="I437" s="29" t="n">
        <v>491000</v>
      </c>
      <c r="J437" s="29" t="n">
        <v>368250</v>
      </c>
      <c r="K437" s="28" t="n">
        <v>4.74</v>
      </c>
      <c r="L437" s="28" t="n">
        <v>120</v>
      </c>
      <c r="M437" s="28" t="n">
        <v>38</v>
      </c>
    </row>
    <row r="438" customFormat="false" ht="15" hidden="false" customHeight="false" outlineLevel="0" collapsed="false">
      <c r="A438" s="27" t="n">
        <v>44049</v>
      </c>
      <c r="B438" s="28" t="n">
        <v>2020</v>
      </c>
      <c r="C438" s="28" t="s">
        <v>491</v>
      </c>
      <c r="D438" s="28" t="s">
        <v>47</v>
      </c>
      <c r="E438" s="28" t="s">
        <v>305</v>
      </c>
      <c r="F438" s="28" t="s">
        <v>142</v>
      </c>
      <c r="G438" s="28" t="s">
        <v>441</v>
      </c>
      <c r="H438" s="28" t="s">
        <v>306</v>
      </c>
      <c r="I438" s="29" t="n">
        <v>8700</v>
      </c>
      <c r="J438" s="29" t="n">
        <v>7395</v>
      </c>
      <c r="K438" s="28" t="n">
        <v>5.75</v>
      </c>
      <c r="L438" s="28" t="n">
        <v>84</v>
      </c>
      <c r="M438" s="28" t="n">
        <v>2</v>
      </c>
    </row>
    <row r="439" customFormat="false" ht="15" hidden="false" customHeight="false" outlineLevel="0" collapsed="false">
      <c r="A439" s="27" t="n">
        <v>44050</v>
      </c>
      <c r="B439" s="28" t="n">
        <v>2020</v>
      </c>
      <c r="C439" s="28" t="s">
        <v>166</v>
      </c>
      <c r="D439" s="28" t="s">
        <v>48</v>
      </c>
      <c r="E439" s="28" t="s">
        <v>295</v>
      </c>
      <c r="F439" s="28" t="s">
        <v>142</v>
      </c>
      <c r="G439" s="28" t="s">
        <v>148</v>
      </c>
      <c r="H439" s="28" t="s">
        <v>388</v>
      </c>
      <c r="I439" s="29" t="n">
        <v>300000</v>
      </c>
      <c r="J439" s="29" t="n">
        <v>225000</v>
      </c>
      <c r="K439" s="28" t="n">
        <v>6</v>
      </c>
      <c r="L439" s="28" t="n">
        <v>86</v>
      </c>
      <c r="M439" s="28" t="n">
        <v>5</v>
      </c>
    </row>
    <row r="440" customFormat="false" ht="15" hidden="false" customHeight="false" outlineLevel="0" collapsed="false">
      <c r="A440" s="27" t="n">
        <v>44050</v>
      </c>
      <c r="B440" s="28" t="n">
        <v>2020</v>
      </c>
      <c r="C440" s="28" t="s">
        <v>172</v>
      </c>
      <c r="D440" s="28" t="s">
        <v>42</v>
      </c>
      <c r="E440" s="28" t="s">
        <v>164</v>
      </c>
      <c r="F440" s="28" t="s">
        <v>142</v>
      </c>
      <c r="G440" s="28" t="s">
        <v>152</v>
      </c>
      <c r="H440" s="28" t="s">
        <v>149</v>
      </c>
      <c r="I440" s="29" t="n">
        <v>226000</v>
      </c>
      <c r="J440" s="29" t="n">
        <v>169500</v>
      </c>
      <c r="K440" s="28" t="n">
        <v>5.25</v>
      </c>
      <c r="L440" s="28" t="n">
        <v>120</v>
      </c>
      <c r="M440" s="28" t="n">
        <v>5</v>
      </c>
    </row>
    <row r="441" customFormat="false" ht="15" hidden="false" customHeight="false" outlineLevel="0" collapsed="false">
      <c r="A441" s="27" t="n">
        <v>44050</v>
      </c>
      <c r="B441" s="28" t="n">
        <v>2020</v>
      </c>
      <c r="C441" s="28" t="s">
        <v>140</v>
      </c>
      <c r="D441" s="28" t="s">
        <v>45</v>
      </c>
      <c r="E441" s="28" t="s">
        <v>202</v>
      </c>
      <c r="F441" s="28" t="s">
        <v>142</v>
      </c>
      <c r="G441" s="28" t="s">
        <v>143</v>
      </c>
      <c r="H441" s="28" t="s">
        <v>287</v>
      </c>
      <c r="I441" s="29" t="n">
        <v>150000</v>
      </c>
      <c r="J441" s="29" t="n">
        <v>127500</v>
      </c>
      <c r="K441" s="28" t="n">
        <v>6</v>
      </c>
      <c r="L441" s="28" t="n">
        <v>120</v>
      </c>
      <c r="M441" s="28" t="n">
        <v>4</v>
      </c>
    </row>
    <row r="442" customFormat="false" ht="15" hidden="false" customHeight="false" outlineLevel="0" collapsed="false">
      <c r="A442" s="27" t="n">
        <v>44053</v>
      </c>
      <c r="B442" s="28" t="n">
        <v>2020</v>
      </c>
      <c r="C442" s="28" t="s">
        <v>375</v>
      </c>
      <c r="D442" s="28" t="s">
        <v>51</v>
      </c>
      <c r="E442" s="28" t="s">
        <v>492</v>
      </c>
      <c r="F442" s="28" t="s">
        <v>142</v>
      </c>
      <c r="G442" s="28" t="s">
        <v>143</v>
      </c>
      <c r="H442" s="28" t="s">
        <v>306</v>
      </c>
      <c r="I442" s="29" t="n">
        <v>33000</v>
      </c>
      <c r="J442" s="29" t="n">
        <v>28050</v>
      </c>
      <c r="K442" s="28" t="n">
        <v>5.75</v>
      </c>
      <c r="L442" s="28" t="n">
        <v>60</v>
      </c>
      <c r="M442" s="28" t="n">
        <v>5</v>
      </c>
    </row>
    <row r="443" customFormat="false" ht="15" hidden="false" customHeight="false" outlineLevel="0" collapsed="false">
      <c r="A443" s="27" t="n">
        <v>44054</v>
      </c>
      <c r="B443" s="28" t="n">
        <v>2020</v>
      </c>
      <c r="C443" s="28" t="s">
        <v>206</v>
      </c>
      <c r="D443" s="28" t="s">
        <v>46</v>
      </c>
      <c r="E443" s="28" t="s">
        <v>262</v>
      </c>
      <c r="F443" s="28" t="s">
        <v>142</v>
      </c>
      <c r="G443" s="28" t="s">
        <v>148</v>
      </c>
      <c r="H443" s="28" t="s">
        <v>269</v>
      </c>
      <c r="I443" s="29" t="n">
        <v>150000</v>
      </c>
      <c r="J443" s="29" t="n">
        <v>127500</v>
      </c>
      <c r="K443" s="28" t="n">
        <v>6</v>
      </c>
      <c r="L443" s="28" t="n">
        <v>60</v>
      </c>
      <c r="M443" s="28" t="n">
        <v>4</v>
      </c>
    </row>
    <row r="444" customFormat="false" ht="15" hidden="false" customHeight="false" outlineLevel="0" collapsed="false">
      <c r="A444" s="27" t="n">
        <v>44056</v>
      </c>
      <c r="B444" s="28" t="n">
        <v>2020</v>
      </c>
      <c r="C444" s="28" t="s">
        <v>140</v>
      </c>
      <c r="D444" s="28" t="s">
        <v>48</v>
      </c>
      <c r="E444" s="28" t="s">
        <v>277</v>
      </c>
      <c r="F444" s="28" t="s">
        <v>142</v>
      </c>
      <c r="G444" s="28" t="s">
        <v>148</v>
      </c>
      <c r="H444" s="28" t="s">
        <v>153</v>
      </c>
      <c r="I444" s="29" t="n">
        <v>2161000</v>
      </c>
      <c r="J444" s="29" t="n">
        <v>1620750</v>
      </c>
      <c r="K444" s="28" t="n">
        <v>6</v>
      </c>
      <c r="L444" s="28" t="n">
        <v>120</v>
      </c>
      <c r="M444" s="28" t="n">
        <v>2</v>
      </c>
    </row>
    <row r="445" customFormat="false" ht="15" hidden="false" customHeight="false" outlineLevel="0" collapsed="false">
      <c r="A445" s="27" t="n">
        <v>44057</v>
      </c>
      <c r="B445" s="28" t="n">
        <v>2020</v>
      </c>
      <c r="C445" s="28" t="s">
        <v>203</v>
      </c>
      <c r="D445" s="28" t="s">
        <v>45</v>
      </c>
      <c r="E445" s="28" t="s">
        <v>493</v>
      </c>
      <c r="F445" s="28" t="s">
        <v>142</v>
      </c>
      <c r="G445" s="28" t="s">
        <v>143</v>
      </c>
      <c r="H445" s="28" t="s">
        <v>165</v>
      </c>
      <c r="I445" s="29" t="n">
        <v>617000</v>
      </c>
      <c r="J445" s="29" t="n">
        <v>462750</v>
      </c>
      <c r="K445" s="28" t="n">
        <v>5.25</v>
      </c>
      <c r="L445" s="28" t="n">
        <v>300</v>
      </c>
      <c r="M445" s="28" t="n">
        <v>20</v>
      </c>
    </row>
    <row r="446" customFormat="false" ht="15" hidden="false" customHeight="false" outlineLevel="0" collapsed="false">
      <c r="A446" s="27" t="n">
        <v>44057</v>
      </c>
      <c r="B446" s="28" t="n">
        <v>2020</v>
      </c>
      <c r="C446" s="28" t="s">
        <v>213</v>
      </c>
      <c r="D446" s="28" t="s">
        <v>50</v>
      </c>
      <c r="E446" s="28" t="s">
        <v>193</v>
      </c>
      <c r="F446" s="28" t="s">
        <v>147</v>
      </c>
      <c r="G446" s="28" t="s">
        <v>441</v>
      </c>
      <c r="H446" s="28" t="s">
        <v>246</v>
      </c>
      <c r="I446" s="29" t="n">
        <v>20000</v>
      </c>
      <c r="J446" s="29" t="n">
        <v>10000</v>
      </c>
      <c r="K446" s="28" t="n">
        <v>5.25</v>
      </c>
      <c r="L446" s="28" t="n">
        <v>12</v>
      </c>
      <c r="M446" s="28" t="n">
        <v>4</v>
      </c>
    </row>
    <row r="447" customFormat="false" ht="15" hidden="false" customHeight="false" outlineLevel="0" collapsed="false">
      <c r="A447" s="27" t="n">
        <v>44060</v>
      </c>
      <c r="B447" s="28" t="n">
        <v>2020</v>
      </c>
      <c r="C447" s="28" t="s">
        <v>145</v>
      </c>
      <c r="D447" s="28" t="s">
        <v>42</v>
      </c>
      <c r="E447" s="28" t="s">
        <v>180</v>
      </c>
      <c r="F447" s="28" t="s">
        <v>142</v>
      </c>
      <c r="G447" s="28" t="s">
        <v>148</v>
      </c>
      <c r="H447" s="28" t="s">
        <v>215</v>
      </c>
      <c r="I447" s="29" t="n">
        <v>1270000</v>
      </c>
      <c r="J447" s="29" t="n">
        <v>952500</v>
      </c>
      <c r="K447" s="28" t="n">
        <v>4.25</v>
      </c>
      <c r="L447" s="28" t="n">
        <v>300</v>
      </c>
      <c r="M447" s="28" t="n">
        <v>6</v>
      </c>
    </row>
    <row r="448" customFormat="false" ht="15" hidden="false" customHeight="false" outlineLevel="0" collapsed="false">
      <c r="A448" s="27" t="n">
        <v>44060</v>
      </c>
      <c r="B448" s="28" t="n">
        <v>2020</v>
      </c>
      <c r="C448" s="28" t="s">
        <v>145</v>
      </c>
      <c r="D448" s="28" t="s">
        <v>48</v>
      </c>
      <c r="E448" s="28" t="s">
        <v>182</v>
      </c>
      <c r="F448" s="28" t="s">
        <v>194</v>
      </c>
      <c r="G448" s="28" t="s">
        <v>148</v>
      </c>
      <c r="H448" s="28" t="s">
        <v>278</v>
      </c>
      <c r="I448" s="29" t="n">
        <v>350000</v>
      </c>
      <c r="J448" s="29" t="n">
        <v>262500</v>
      </c>
      <c r="K448" s="28" t="n">
        <v>6</v>
      </c>
      <c r="L448" s="28" t="n">
        <v>120</v>
      </c>
      <c r="M448" s="28" t="n">
        <v>20</v>
      </c>
    </row>
    <row r="449" customFormat="false" ht="15" hidden="false" customHeight="false" outlineLevel="0" collapsed="false">
      <c r="A449" s="27" t="n">
        <v>44061</v>
      </c>
      <c r="B449" s="28" t="n">
        <v>2020</v>
      </c>
      <c r="C449" s="28" t="s">
        <v>344</v>
      </c>
      <c r="D449" s="28" t="s">
        <v>44</v>
      </c>
      <c r="E449" s="28" t="s">
        <v>141</v>
      </c>
      <c r="F449" s="28" t="s">
        <v>142</v>
      </c>
      <c r="G449" s="28" t="s">
        <v>441</v>
      </c>
      <c r="H449" s="28" t="s">
        <v>494</v>
      </c>
      <c r="I449" s="29" t="n">
        <v>4692000</v>
      </c>
      <c r="J449" s="29" t="n">
        <v>3519000</v>
      </c>
      <c r="K449" s="28" t="n">
        <v>5.25</v>
      </c>
      <c r="L449" s="28" t="n">
        <v>300</v>
      </c>
      <c r="M449" s="28" t="n">
        <v>44</v>
      </c>
    </row>
    <row r="450" customFormat="false" ht="15" hidden="false" customHeight="false" outlineLevel="0" collapsed="false">
      <c r="A450" s="27" t="n">
        <v>44061</v>
      </c>
      <c r="B450" s="28" t="n">
        <v>2020</v>
      </c>
      <c r="C450" s="28" t="s">
        <v>332</v>
      </c>
      <c r="D450" s="28" t="s">
        <v>50</v>
      </c>
      <c r="E450" s="28" t="s">
        <v>370</v>
      </c>
      <c r="F450" s="28" t="s">
        <v>142</v>
      </c>
      <c r="G450" s="28" t="s">
        <v>148</v>
      </c>
      <c r="H450" s="28" t="s">
        <v>168</v>
      </c>
      <c r="I450" s="29" t="n">
        <v>1273800</v>
      </c>
      <c r="J450" s="29" t="n">
        <v>955350</v>
      </c>
      <c r="K450" s="28" t="n">
        <v>4.95</v>
      </c>
      <c r="L450" s="28" t="n">
        <v>120</v>
      </c>
      <c r="M450" s="28" t="n">
        <v>16</v>
      </c>
    </row>
    <row r="451" customFormat="false" ht="15" hidden="false" customHeight="false" outlineLevel="0" collapsed="false">
      <c r="A451" s="27" t="n">
        <v>44061</v>
      </c>
      <c r="B451" s="28" t="n">
        <v>2020</v>
      </c>
      <c r="C451" s="28" t="s">
        <v>344</v>
      </c>
      <c r="D451" s="28" t="s">
        <v>44</v>
      </c>
      <c r="E451" s="28" t="s">
        <v>141</v>
      </c>
      <c r="F451" s="28" t="s">
        <v>147</v>
      </c>
      <c r="G451" s="28" t="s">
        <v>441</v>
      </c>
      <c r="H451" s="28" t="s">
        <v>494</v>
      </c>
      <c r="I451" s="29" t="n">
        <v>200000</v>
      </c>
      <c r="J451" s="29" t="n">
        <v>100000</v>
      </c>
      <c r="K451" s="28" t="n">
        <v>5.25</v>
      </c>
      <c r="L451" s="28" t="n">
        <v>120</v>
      </c>
      <c r="M451" s="28" t="n">
        <v>44</v>
      </c>
    </row>
    <row r="452" customFormat="false" ht="15" hidden="false" customHeight="false" outlineLevel="0" collapsed="false">
      <c r="A452" s="27" t="n">
        <v>44062</v>
      </c>
      <c r="B452" s="28" t="n">
        <v>2020</v>
      </c>
      <c r="C452" s="28" t="s">
        <v>169</v>
      </c>
      <c r="D452" s="28" t="s">
        <v>46</v>
      </c>
      <c r="E452" s="28" t="s">
        <v>259</v>
      </c>
      <c r="F452" s="28" t="s">
        <v>147</v>
      </c>
      <c r="G452" s="28" t="s">
        <v>143</v>
      </c>
      <c r="H452" s="28" t="s">
        <v>159</v>
      </c>
      <c r="I452" s="29" t="n">
        <v>25000</v>
      </c>
      <c r="J452" s="29" t="n">
        <v>12500</v>
      </c>
      <c r="K452" s="28" t="n">
        <v>5</v>
      </c>
      <c r="L452" s="28" t="n">
        <v>120</v>
      </c>
      <c r="M452" s="28" t="n">
        <v>18</v>
      </c>
    </row>
    <row r="453" customFormat="false" ht="15" hidden="false" customHeight="false" outlineLevel="0" collapsed="false">
      <c r="A453" s="27" t="n">
        <v>44062</v>
      </c>
      <c r="B453" s="28" t="n">
        <v>2020</v>
      </c>
      <c r="C453" s="28" t="s">
        <v>169</v>
      </c>
      <c r="D453" s="28" t="s">
        <v>46</v>
      </c>
      <c r="E453" s="28" t="s">
        <v>259</v>
      </c>
      <c r="F453" s="28" t="s">
        <v>142</v>
      </c>
      <c r="G453" s="28" t="s">
        <v>143</v>
      </c>
      <c r="H453" s="28" t="s">
        <v>159</v>
      </c>
      <c r="I453" s="29" t="n">
        <v>400000</v>
      </c>
      <c r="J453" s="29" t="n">
        <v>300000</v>
      </c>
      <c r="K453" s="28" t="n">
        <v>5.25</v>
      </c>
      <c r="L453" s="28" t="n">
        <v>129</v>
      </c>
      <c r="M453" s="28" t="n">
        <v>18</v>
      </c>
    </row>
    <row r="454" customFormat="false" ht="15" hidden="false" customHeight="false" outlineLevel="0" collapsed="false">
      <c r="A454" s="27" t="n">
        <v>44064</v>
      </c>
      <c r="B454" s="28" t="n">
        <v>2020</v>
      </c>
      <c r="C454" s="28" t="s">
        <v>160</v>
      </c>
      <c r="D454" s="28" t="s">
        <v>46</v>
      </c>
      <c r="E454" s="28" t="s">
        <v>262</v>
      </c>
      <c r="F454" s="28" t="s">
        <v>194</v>
      </c>
      <c r="G454" s="28" t="s">
        <v>143</v>
      </c>
      <c r="H454" s="28" t="s">
        <v>495</v>
      </c>
      <c r="I454" s="29" t="n">
        <v>202500</v>
      </c>
      <c r="J454" s="29" t="n">
        <v>151875</v>
      </c>
      <c r="K454" s="28" t="n">
        <v>6</v>
      </c>
      <c r="L454" s="28" t="n">
        <v>120</v>
      </c>
      <c r="M454" s="28" t="n">
        <v>2</v>
      </c>
    </row>
    <row r="455" customFormat="false" ht="15" hidden="false" customHeight="false" outlineLevel="0" collapsed="false">
      <c r="A455" s="27" t="n">
        <v>44065</v>
      </c>
      <c r="B455" s="28" t="n">
        <v>2020</v>
      </c>
      <c r="C455" s="28" t="s">
        <v>172</v>
      </c>
      <c r="D455" s="28" t="s">
        <v>44</v>
      </c>
      <c r="E455" s="28" t="s">
        <v>297</v>
      </c>
      <c r="F455" s="28" t="s">
        <v>142</v>
      </c>
      <c r="G455" s="28" t="s">
        <v>148</v>
      </c>
      <c r="H455" s="28" t="s">
        <v>168</v>
      </c>
      <c r="I455" s="29" t="n">
        <v>1050000</v>
      </c>
      <c r="J455" s="29" t="n">
        <v>787500</v>
      </c>
      <c r="K455" s="28" t="n">
        <v>3.7</v>
      </c>
      <c r="L455" s="28" t="n">
        <v>300</v>
      </c>
      <c r="M455" s="28" t="n">
        <v>0</v>
      </c>
    </row>
    <row r="456" customFormat="false" ht="15" hidden="false" customHeight="false" outlineLevel="0" collapsed="false">
      <c r="A456" s="27" t="n">
        <v>44068</v>
      </c>
      <c r="B456" s="28" t="n">
        <v>2020</v>
      </c>
      <c r="C456" s="28" t="s">
        <v>172</v>
      </c>
      <c r="D456" s="28" t="s">
        <v>43</v>
      </c>
      <c r="E456" s="28" t="s">
        <v>496</v>
      </c>
      <c r="F456" s="28" t="s">
        <v>147</v>
      </c>
      <c r="G456" s="28" t="s">
        <v>148</v>
      </c>
      <c r="H456" s="28" t="s">
        <v>205</v>
      </c>
      <c r="I456" s="29" t="n">
        <v>50000</v>
      </c>
      <c r="J456" s="29" t="n">
        <v>25000</v>
      </c>
      <c r="K456" s="28" t="n">
        <v>8.74</v>
      </c>
      <c r="L456" s="28" t="n">
        <v>84</v>
      </c>
      <c r="M456" s="28" t="n">
        <v>6</v>
      </c>
    </row>
    <row r="457" customFormat="false" ht="15" hidden="false" customHeight="false" outlineLevel="0" collapsed="false">
      <c r="A457" s="27" t="n">
        <v>44069</v>
      </c>
      <c r="B457" s="28" t="n">
        <v>2020</v>
      </c>
      <c r="C457" s="28" t="s">
        <v>316</v>
      </c>
      <c r="D457" s="28" t="s">
        <v>49</v>
      </c>
      <c r="E457" s="28" t="s">
        <v>497</v>
      </c>
      <c r="F457" s="28" t="s">
        <v>142</v>
      </c>
      <c r="G457" s="28" t="s">
        <v>152</v>
      </c>
      <c r="H457" s="28" t="s">
        <v>314</v>
      </c>
      <c r="I457" s="29" t="n">
        <v>2053000</v>
      </c>
      <c r="J457" s="29" t="n">
        <v>1539750</v>
      </c>
      <c r="K457" s="28" t="n">
        <v>5</v>
      </c>
      <c r="L457" s="28" t="n">
        <v>168</v>
      </c>
      <c r="M457" s="28" t="n">
        <v>9</v>
      </c>
    </row>
    <row r="458" customFormat="false" ht="15" hidden="false" customHeight="false" outlineLevel="0" collapsed="false">
      <c r="A458" s="27" t="n">
        <v>44069</v>
      </c>
      <c r="B458" s="28" t="n">
        <v>2020</v>
      </c>
      <c r="C458" s="28" t="s">
        <v>169</v>
      </c>
      <c r="D458" s="28" t="s">
        <v>46</v>
      </c>
      <c r="E458" s="28" t="s">
        <v>231</v>
      </c>
      <c r="F458" s="28" t="s">
        <v>142</v>
      </c>
      <c r="G458" s="28" t="s">
        <v>143</v>
      </c>
      <c r="H458" s="28" t="s">
        <v>211</v>
      </c>
      <c r="I458" s="29" t="n">
        <v>350000</v>
      </c>
      <c r="J458" s="29" t="n">
        <v>262500</v>
      </c>
      <c r="K458" s="28" t="n">
        <v>5.5</v>
      </c>
      <c r="L458" s="28" t="n">
        <v>120</v>
      </c>
      <c r="M458" s="28" t="n">
        <v>18</v>
      </c>
    </row>
    <row r="459" customFormat="false" ht="15" hidden="false" customHeight="false" outlineLevel="0" collapsed="false">
      <c r="A459" s="27" t="n">
        <v>44069</v>
      </c>
      <c r="B459" s="28" t="n">
        <v>2020</v>
      </c>
      <c r="C459" s="28" t="s">
        <v>316</v>
      </c>
      <c r="D459" s="28" t="s">
        <v>49</v>
      </c>
      <c r="E459" s="28" t="s">
        <v>497</v>
      </c>
      <c r="F459" s="28" t="s">
        <v>147</v>
      </c>
      <c r="G459" s="28" t="s">
        <v>152</v>
      </c>
      <c r="H459" s="28" t="s">
        <v>314</v>
      </c>
      <c r="I459" s="29" t="n">
        <v>714000</v>
      </c>
      <c r="J459" s="29" t="n">
        <v>357000</v>
      </c>
      <c r="K459" s="28" t="n">
        <v>5</v>
      </c>
      <c r="L459" s="28" t="n">
        <v>120</v>
      </c>
      <c r="M459" s="28" t="n">
        <v>9</v>
      </c>
    </row>
    <row r="460" customFormat="false" ht="15" hidden="false" customHeight="false" outlineLevel="0" collapsed="false">
      <c r="A460" s="27" t="n">
        <v>44069</v>
      </c>
      <c r="B460" s="28" t="n">
        <v>2020</v>
      </c>
      <c r="C460" s="28" t="s">
        <v>169</v>
      </c>
      <c r="D460" s="28" t="s">
        <v>48</v>
      </c>
      <c r="E460" s="28" t="s">
        <v>498</v>
      </c>
      <c r="F460" s="28" t="s">
        <v>142</v>
      </c>
      <c r="G460" s="28" t="s">
        <v>441</v>
      </c>
      <c r="H460" s="28" t="s">
        <v>171</v>
      </c>
      <c r="I460" s="29" t="n">
        <v>350000</v>
      </c>
      <c r="J460" s="29" t="n">
        <v>262500</v>
      </c>
      <c r="K460" s="28" t="n">
        <v>6</v>
      </c>
      <c r="L460" s="28" t="n">
        <v>120</v>
      </c>
      <c r="M460" s="28" t="n">
        <v>2</v>
      </c>
    </row>
    <row r="461" customFormat="false" ht="15" hidden="false" customHeight="false" outlineLevel="0" collapsed="false">
      <c r="A461" s="27" t="n">
        <v>44070</v>
      </c>
      <c r="B461" s="28" t="n">
        <v>2020</v>
      </c>
      <c r="C461" s="28" t="s">
        <v>499</v>
      </c>
      <c r="D461" s="28" t="s">
        <v>42</v>
      </c>
      <c r="E461" s="28" t="s">
        <v>247</v>
      </c>
      <c r="F461" s="28" t="s">
        <v>142</v>
      </c>
      <c r="G461" s="28" t="s">
        <v>148</v>
      </c>
      <c r="H461" s="28" t="s">
        <v>211</v>
      </c>
      <c r="I461" s="29" t="n">
        <v>2400000</v>
      </c>
      <c r="J461" s="29" t="n">
        <v>1800000</v>
      </c>
      <c r="K461" s="28" t="n">
        <v>5.25</v>
      </c>
      <c r="L461" s="28" t="n">
        <v>300</v>
      </c>
      <c r="M461" s="28" t="n">
        <v>14</v>
      </c>
    </row>
    <row r="462" customFormat="false" ht="15" hidden="false" customHeight="false" outlineLevel="0" collapsed="false">
      <c r="A462" s="27" t="n">
        <v>44070</v>
      </c>
      <c r="B462" s="28" t="n">
        <v>2020</v>
      </c>
      <c r="C462" s="28" t="s">
        <v>169</v>
      </c>
      <c r="D462" s="28" t="s">
        <v>46</v>
      </c>
      <c r="E462" s="28" t="s">
        <v>276</v>
      </c>
      <c r="F462" s="28" t="s">
        <v>142</v>
      </c>
      <c r="G462" s="28" t="s">
        <v>148</v>
      </c>
      <c r="H462" s="28" t="s">
        <v>227</v>
      </c>
      <c r="I462" s="29" t="n">
        <v>668500</v>
      </c>
      <c r="J462" s="29" t="n">
        <v>501375</v>
      </c>
      <c r="K462" s="28" t="n">
        <v>6</v>
      </c>
      <c r="L462" s="28" t="n">
        <v>300</v>
      </c>
      <c r="M462" s="28" t="n">
        <v>4</v>
      </c>
    </row>
    <row r="463" customFormat="false" ht="15" hidden="false" customHeight="false" outlineLevel="0" collapsed="false">
      <c r="A463" s="27" t="n">
        <v>44070</v>
      </c>
      <c r="B463" s="28" t="n">
        <v>2020</v>
      </c>
      <c r="C463" s="28" t="s">
        <v>145</v>
      </c>
      <c r="D463" s="28" t="s">
        <v>51</v>
      </c>
      <c r="E463" s="28" t="s">
        <v>239</v>
      </c>
      <c r="F463" s="28" t="s">
        <v>147</v>
      </c>
      <c r="G463" s="28" t="s">
        <v>143</v>
      </c>
      <c r="H463" s="28" t="s">
        <v>159</v>
      </c>
      <c r="I463" s="29" t="n">
        <v>35000</v>
      </c>
      <c r="J463" s="29" t="n">
        <v>17500</v>
      </c>
      <c r="K463" s="28" t="n">
        <v>9.75</v>
      </c>
      <c r="L463" s="28" t="n">
        <v>78</v>
      </c>
      <c r="M463" s="28" t="n">
        <v>40</v>
      </c>
    </row>
    <row r="464" customFormat="false" ht="15" hidden="false" customHeight="false" outlineLevel="0" collapsed="false">
      <c r="A464" s="27" t="n">
        <v>44070</v>
      </c>
      <c r="B464" s="28" t="n">
        <v>2020</v>
      </c>
      <c r="C464" s="28" t="s">
        <v>500</v>
      </c>
      <c r="D464" s="28" t="s">
        <v>52</v>
      </c>
      <c r="E464" s="28" t="s">
        <v>468</v>
      </c>
      <c r="F464" s="28" t="s">
        <v>142</v>
      </c>
      <c r="G464" s="28" t="s">
        <v>148</v>
      </c>
      <c r="H464" s="28" t="s">
        <v>171</v>
      </c>
      <c r="I464" s="29" t="n">
        <v>285000</v>
      </c>
      <c r="J464" s="29" t="n">
        <v>213750</v>
      </c>
      <c r="K464" s="28" t="n">
        <v>6</v>
      </c>
      <c r="L464" s="28" t="n">
        <v>120</v>
      </c>
      <c r="M464" s="28" t="n">
        <v>5</v>
      </c>
    </row>
    <row r="465" customFormat="false" ht="15" hidden="false" customHeight="false" outlineLevel="0" collapsed="false">
      <c r="A465" s="27" t="n">
        <v>44070</v>
      </c>
      <c r="B465" s="28" t="n">
        <v>2020</v>
      </c>
      <c r="C465" s="28" t="s">
        <v>145</v>
      </c>
      <c r="D465" s="28" t="s">
        <v>51</v>
      </c>
      <c r="E465" s="28" t="s">
        <v>239</v>
      </c>
      <c r="F465" s="28" t="s">
        <v>142</v>
      </c>
      <c r="G465" s="28" t="s">
        <v>143</v>
      </c>
      <c r="H465" s="28" t="s">
        <v>159</v>
      </c>
      <c r="I465" s="29" t="n">
        <v>375000</v>
      </c>
      <c r="J465" s="29" t="n">
        <v>281250</v>
      </c>
      <c r="K465" s="28" t="n">
        <v>5.25</v>
      </c>
      <c r="L465" s="28" t="n">
        <v>126</v>
      </c>
      <c r="M465" s="28" t="n">
        <v>40</v>
      </c>
    </row>
    <row r="466" customFormat="false" ht="15" hidden="false" customHeight="false" outlineLevel="0" collapsed="false">
      <c r="A466" s="27" t="n">
        <v>44071</v>
      </c>
      <c r="B466" s="28" t="n">
        <v>2020</v>
      </c>
      <c r="C466" s="28" t="s">
        <v>421</v>
      </c>
      <c r="D466" s="28" t="s">
        <v>42</v>
      </c>
      <c r="E466" s="28" t="s">
        <v>242</v>
      </c>
      <c r="F466" s="28" t="s">
        <v>147</v>
      </c>
      <c r="G466" s="28" t="s">
        <v>152</v>
      </c>
      <c r="H466" s="28" t="s">
        <v>449</v>
      </c>
      <c r="I466" s="29" t="n">
        <v>396000</v>
      </c>
      <c r="J466" s="29" t="n">
        <v>198000</v>
      </c>
      <c r="K466" s="28" t="n">
        <v>4.75</v>
      </c>
      <c r="L466" s="28" t="n">
        <v>180</v>
      </c>
      <c r="M466" s="28" t="n">
        <v>5</v>
      </c>
    </row>
    <row r="467" customFormat="false" ht="15" hidden="false" customHeight="false" outlineLevel="0" collapsed="false">
      <c r="A467" s="27" t="n">
        <v>44074</v>
      </c>
      <c r="B467" s="28" t="n">
        <v>2020</v>
      </c>
      <c r="C467" s="28" t="s">
        <v>316</v>
      </c>
      <c r="D467" s="28" t="s">
        <v>48</v>
      </c>
      <c r="E467" s="28" t="s">
        <v>309</v>
      </c>
      <c r="F467" s="28" t="s">
        <v>142</v>
      </c>
      <c r="G467" s="28" t="s">
        <v>152</v>
      </c>
      <c r="H467" s="28" t="s">
        <v>501</v>
      </c>
      <c r="I467" s="29" t="n">
        <v>1540000</v>
      </c>
      <c r="J467" s="29" t="n">
        <v>1155000</v>
      </c>
      <c r="K467" s="28" t="n">
        <v>6</v>
      </c>
      <c r="L467" s="28" t="n">
        <v>120</v>
      </c>
      <c r="M467" s="28" t="n">
        <v>0</v>
      </c>
    </row>
    <row r="468" customFormat="false" ht="15" hidden="false" customHeight="false" outlineLevel="0" collapsed="false">
      <c r="A468" s="27" t="n">
        <v>44074</v>
      </c>
      <c r="B468" s="28" t="n">
        <v>2020</v>
      </c>
      <c r="C468" s="28" t="s">
        <v>198</v>
      </c>
      <c r="D468" s="28" t="s">
        <v>43</v>
      </c>
      <c r="E468" s="28" t="s">
        <v>502</v>
      </c>
      <c r="F468" s="28" t="s">
        <v>142</v>
      </c>
      <c r="G468" s="28" t="s">
        <v>143</v>
      </c>
      <c r="H468" s="28" t="s">
        <v>179</v>
      </c>
      <c r="I468" s="29" t="n">
        <v>60000</v>
      </c>
      <c r="J468" s="29" t="n">
        <v>51000</v>
      </c>
      <c r="K468" s="28" t="n">
        <v>6</v>
      </c>
      <c r="L468" s="28" t="n">
        <v>84</v>
      </c>
      <c r="M468" s="28" t="n">
        <v>1</v>
      </c>
    </row>
    <row r="469" customFormat="false" ht="15" hidden="false" customHeight="false" outlineLevel="0" collapsed="false">
      <c r="A469" s="27" t="n">
        <v>44074</v>
      </c>
      <c r="B469" s="28" t="n">
        <v>2020</v>
      </c>
      <c r="C469" s="28" t="s">
        <v>196</v>
      </c>
      <c r="D469" s="28" t="s">
        <v>48</v>
      </c>
      <c r="E469" s="28" t="s">
        <v>295</v>
      </c>
      <c r="F469" s="28" t="s">
        <v>147</v>
      </c>
      <c r="G469" s="28" t="s">
        <v>441</v>
      </c>
      <c r="H469" s="28" t="s">
        <v>159</v>
      </c>
      <c r="I469" s="29" t="n">
        <v>150000</v>
      </c>
      <c r="J469" s="29" t="n">
        <v>75000</v>
      </c>
      <c r="K469" s="28" t="n">
        <v>6.25</v>
      </c>
      <c r="L469" s="28" t="n">
        <v>120</v>
      </c>
      <c r="M469" s="28" t="n">
        <v>20</v>
      </c>
    </row>
    <row r="470" customFormat="false" ht="15" hidden="false" customHeight="false" outlineLevel="0" collapsed="false">
      <c r="A470" s="27" t="n">
        <v>44074</v>
      </c>
      <c r="B470" s="28" t="n">
        <v>2020</v>
      </c>
      <c r="C470" s="28" t="s">
        <v>206</v>
      </c>
      <c r="D470" s="28" t="s">
        <v>42</v>
      </c>
      <c r="E470" s="28" t="s">
        <v>247</v>
      </c>
      <c r="F470" s="28" t="s">
        <v>142</v>
      </c>
      <c r="G470" s="28" t="s">
        <v>143</v>
      </c>
      <c r="H470" s="28" t="s">
        <v>503</v>
      </c>
      <c r="I470" s="29" t="n">
        <v>5000000</v>
      </c>
      <c r="J470" s="29" t="n">
        <v>3750000</v>
      </c>
      <c r="K470" s="28" t="n">
        <v>4.75</v>
      </c>
      <c r="L470" s="28" t="n">
        <v>300</v>
      </c>
      <c r="M470" s="28" t="n">
        <v>105</v>
      </c>
    </row>
    <row r="471" customFormat="false" ht="15" hidden="false" customHeight="false" outlineLevel="0" collapsed="false">
      <c r="A471" s="27" t="n">
        <v>44074</v>
      </c>
      <c r="B471" s="28" t="n">
        <v>2020</v>
      </c>
      <c r="C471" s="28" t="s">
        <v>172</v>
      </c>
      <c r="D471" s="28" t="s">
        <v>45</v>
      </c>
      <c r="E471" s="28" t="s">
        <v>202</v>
      </c>
      <c r="F471" s="28" t="s">
        <v>142</v>
      </c>
      <c r="G471" s="28" t="s">
        <v>148</v>
      </c>
      <c r="H471" s="28" t="s">
        <v>171</v>
      </c>
      <c r="I471" s="29" t="n">
        <v>350000</v>
      </c>
      <c r="J471" s="29" t="n">
        <v>262500</v>
      </c>
      <c r="K471" s="28" t="n">
        <v>6</v>
      </c>
      <c r="L471" s="28" t="n">
        <v>120</v>
      </c>
      <c r="M471" s="28" t="n">
        <v>3</v>
      </c>
    </row>
    <row r="472" customFormat="false" ht="15" hidden="false" customHeight="false" outlineLevel="0" collapsed="false">
      <c r="A472" s="27" t="n">
        <v>44074</v>
      </c>
      <c r="B472" s="28" t="n">
        <v>2020</v>
      </c>
      <c r="C472" s="28" t="s">
        <v>384</v>
      </c>
      <c r="D472" s="28" t="s">
        <v>46</v>
      </c>
      <c r="E472" s="28" t="s">
        <v>315</v>
      </c>
      <c r="F472" s="28" t="s">
        <v>147</v>
      </c>
      <c r="G472" s="28" t="s">
        <v>441</v>
      </c>
      <c r="H472" s="28" t="s">
        <v>144</v>
      </c>
      <c r="I472" s="29" t="n">
        <v>85000</v>
      </c>
      <c r="J472" s="29" t="n">
        <v>42500</v>
      </c>
      <c r="K472" s="28" t="n">
        <v>6.5</v>
      </c>
      <c r="L472" s="28" t="n">
        <v>120</v>
      </c>
      <c r="M472" s="28" t="n">
        <v>60</v>
      </c>
    </row>
    <row r="473" customFormat="false" ht="15" hidden="false" customHeight="false" outlineLevel="0" collapsed="false">
      <c r="A473" s="27" t="n">
        <v>44074</v>
      </c>
      <c r="B473" s="28" t="n">
        <v>2020</v>
      </c>
      <c r="C473" s="28" t="s">
        <v>172</v>
      </c>
      <c r="D473" s="28" t="s">
        <v>43</v>
      </c>
      <c r="E473" s="28" t="s">
        <v>190</v>
      </c>
      <c r="F473" s="28" t="s">
        <v>142</v>
      </c>
      <c r="G473" s="28" t="s">
        <v>152</v>
      </c>
      <c r="H473" s="28" t="s">
        <v>457</v>
      </c>
      <c r="I473" s="29" t="n">
        <v>900000</v>
      </c>
      <c r="J473" s="29" t="n">
        <v>675000</v>
      </c>
      <c r="K473" s="28" t="n">
        <v>5.25</v>
      </c>
      <c r="L473" s="28" t="n">
        <v>299</v>
      </c>
      <c r="M473" s="28" t="n">
        <v>3</v>
      </c>
    </row>
    <row r="474" customFormat="false" ht="15" hidden="false" customHeight="false" outlineLevel="0" collapsed="false">
      <c r="A474" s="27" t="n">
        <v>44075</v>
      </c>
      <c r="B474" s="28" t="n">
        <v>2020</v>
      </c>
      <c r="C474" s="28" t="s">
        <v>504</v>
      </c>
      <c r="D474" s="28" t="s">
        <v>45</v>
      </c>
      <c r="E474" s="28" t="s">
        <v>222</v>
      </c>
      <c r="F474" s="28" t="s">
        <v>142</v>
      </c>
      <c r="G474" s="28" t="s">
        <v>152</v>
      </c>
      <c r="H474" s="28" t="s">
        <v>153</v>
      </c>
      <c r="I474" s="29" t="n">
        <v>1608600</v>
      </c>
      <c r="J474" s="29" t="n">
        <v>1206450</v>
      </c>
      <c r="K474" s="28" t="n">
        <v>6</v>
      </c>
      <c r="L474" s="28" t="n">
        <v>180</v>
      </c>
      <c r="M474" s="28" t="n">
        <v>38</v>
      </c>
    </row>
    <row r="475" customFormat="false" ht="15" hidden="false" customHeight="false" outlineLevel="0" collapsed="false">
      <c r="A475" s="27" t="n">
        <v>44075</v>
      </c>
      <c r="B475" s="28" t="n">
        <v>2020</v>
      </c>
      <c r="C475" s="28" t="s">
        <v>303</v>
      </c>
      <c r="D475" s="28" t="s">
        <v>42</v>
      </c>
      <c r="E475" s="28" t="s">
        <v>247</v>
      </c>
      <c r="F475" s="28" t="s">
        <v>142</v>
      </c>
      <c r="G475" s="28" t="s">
        <v>152</v>
      </c>
      <c r="H475" s="28" t="s">
        <v>326</v>
      </c>
      <c r="I475" s="29" t="n">
        <v>995000</v>
      </c>
      <c r="J475" s="29" t="n">
        <v>746250</v>
      </c>
      <c r="K475" s="28" t="n">
        <v>5.5</v>
      </c>
      <c r="L475" s="28" t="n">
        <v>300</v>
      </c>
      <c r="M475" s="28" t="n">
        <v>15</v>
      </c>
    </row>
    <row r="476" customFormat="false" ht="15" hidden="false" customHeight="false" outlineLevel="0" collapsed="false">
      <c r="A476" s="27" t="n">
        <v>44075</v>
      </c>
      <c r="B476" s="28" t="n">
        <v>2020</v>
      </c>
      <c r="C476" s="28" t="s">
        <v>504</v>
      </c>
      <c r="D476" s="28" t="s">
        <v>45</v>
      </c>
      <c r="E476" s="28" t="s">
        <v>222</v>
      </c>
      <c r="F476" s="28" t="s">
        <v>147</v>
      </c>
      <c r="G476" s="28" t="s">
        <v>143</v>
      </c>
      <c r="H476" s="28" t="s">
        <v>153</v>
      </c>
      <c r="I476" s="29" t="n">
        <v>500000</v>
      </c>
      <c r="J476" s="29" t="n">
        <v>250000</v>
      </c>
      <c r="K476" s="28" t="n">
        <v>6</v>
      </c>
      <c r="L476" s="28" t="n">
        <v>84</v>
      </c>
      <c r="M476" s="28" t="n">
        <v>38</v>
      </c>
    </row>
    <row r="477" customFormat="false" ht="15" hidden="false" customHeight="false" outlineLevel="0" collapsed="false">
      <c r="A477" s="27" t="n">
        <v>44076</v>
      </c>
      <c r="B477" s="28" t="n">
        <v>2020</v>
      </c>
      <c r="C477" s="28" t="s">
        <v>163</v>
      </c>
      <c r="D477" s="28" t="s">
        <v>50</v>
      </c>
      <c r="E477" s="28" t="s">
        <v>193</v>
      </c>
      <c r="F477" s="28" t="s">
        <v>142</v>
      </c>
      <c r="G477" s="28" t="s">
        <v>143</v>
      </c>
      <c r="H477" s="28" t="s">
        <v>287</v>
      </c>
      <c r="I477" s="29" t="n">
        <v>150000</v>
      </c>
      <c r="J477" s="29" t="n">
        <v>127500</v>
      </c>
      <c r="K477" s="28" t="n">
        <v>6</v>
      </c>
      <c r="L477" s="28" t="n">
        <v>120</v>
      </c>
      <c r="M477" s="28" t="n">
        <v>4</v>
      </c>
    </row>
    <row r="478" customFormat="false" ht="15" hidden="false" customHeight="false" outlineLevel="0" collapsed="false">
      <c r="A478" s="27" t="n">
        <v>44076</v>
      </c>
      <c r="B478" s="28" t="n">
        <v>2020</v>
      </c>
      <c r="C478" s="28" t="s">
        <v>216</v>
      </c>
      <c r="D478" s="28" t="s">
        <v>42</v>
      </c>
      <c r="E478" s="28" t="s">
        <v>247</v>
      </c>
      <c r="F478" s="28" t="s">
        <v>142</v>
      </c>
      <c r="G478" s="28" t="s">
        <v>148</v>
      </c>
      <c r="H478" s="28" t="s">
        <v>218</v>
      </c>
      <c r="I478" s="29" t="n">
        <v>3730000</v>
      </c>
      <c r="J478" s="29" t="n">
        <v>2797500</v>
      </c>
      <c r="K478" s="28" t="n">
        <v>5</v>
      </c>
      <c r="L478" s="28" t="n">
        <v>300</v>
      </c>
      <c r="M478" s="28" t="n">
        <v>12</v>
      </c>
    </row>
    <row r="479" customFormat="false" ht="15" hidden="false" customHeight="false" outlineLevel="0" collapsed="false">
      <c r="A479" s="27" t="n">
        <v>44077</v>
      </c>
      <c r="B479" s="28" t="n">
        <v>2020</v>
      </c>
      <c r="C479" s="28" t="s">
        <v>332</v>
      </c>
      <c r="D479" s="28" t="s">
        <v>51</v>
      </c>
      <c r="E479" s="28" t="s">
        <v>239</v>
      </c>
      <c r="F479" s="28" t="s">
        <v>142</v>
      </c>
      <c r="G479" s="28" t="s">
        <v>152</v>
      </c>
      <c r="H479" s="28" t="s">
        <v>144</v>
      </c>
      <c r="I479" s="29" t="n">
        <v>750000</v>
      </c>
      <c r="J479" s="29" t="n">
        <v>562500</v>
      </c>
      <c r="K479" s="28" t="n">
        <v>6</v>
      </c>
      <c r="L479" s="28" t="n">
        <v>120</v>
      </c>
      <c r="M479" s="28" t="n">
        <v>7</v>
      </c>
    </row>
    <row r="480" customFormat="false" ht="15" hidden="false" customHeight="false" outlineLevel="0" collapsed="false">
      <c r="A480" s="27" t="n">
        <v>44077</v>
      </c>
      <c r="B480" s="28" t="n">
        <v>2020</v>
      </c>
      <c r="C480" s="28" t="s">
        <v>192</v>
      </c>
      <c r="D480" s="28" t="s">
        <v>53</v>
      </c>
      <c r="E480" s="28" t="s">
        <v>412</v>
      </c>
      <c r="F480" s="28" t="s">
        <v>142</v>
      </c>
      <c r="G480" s="28" t="s">
        <v>152</v>
      </c>
      <c r="H480" s="28" t="s">
        <v>144</v>
      </c>
      <c r="I480" s="29" t="n">
        <v>1547000</v>
      </c>
      <c r="J480" s="29" t="n">
        <v>1160250</v>
      </c>
      <c r="K480" s="28" t="n">
        <v>5</v>
      </c>
      <c r="L480" s="28" t="n">
        <v>300</v>
      </c>
      <c r="M480" s="28" t="n">
        <v>4</v>
      </c>
    </row>
    <row r="481" customFormat="false" ht="15" hidden="false" customHeight="false" outlineLevel="0" collapsed="false">
      <c r="A481" s="27" t="n">
        <v>44077</v>
      </c>
      <c r="B481" s="28" t="n">
        <v>2020</v>
      </c>
      <c r="C481" s="28" t="s">
        <v>160</v>
      </c>
      <c r="D481" s="28" t="s">
        <v>57</v>
      </c>
      <c r="E481" s="28" t="s">
        <v>474</v>
      </c>
      <c r="F481" s="28" t="s">
        <v>142</v>
      </c>
      <c r="G481" s="28" t="s">
        <v>148</v>
      </c>
      <c r="H481" s="28" t="s">
        <v>211</v>
      </c>
      <c r="I481" s="29" t="n">
        <v>200000</v>
      </c>
      <c r="J481" s="29" t="n">
        <v>150000</v>
      </c>
      <c r="K481" s="28" t="n">
        <v>6</v>
      </c>
      <c r="L481" s="28" t="n">
        <v>240</v>
      </c>
      <c r="M481" s="28" t="n">
        <v>2</v>
      </c>
    </row>
    <row r="482" customFormat="false" ht="15" hidden="false" customHeight="false" outlineLevel="0" collapsed="false">
      <c r="A482" s="27" t="n">
        <v>44077</v>
      </c>
      <c r="B482" s="28" t="n">
        <v>2020</v>
      </c>
      <c r="C482" s="28" t="s">
        <v>169</v>
      </c>
      <c r="D482" s="28" t="s">
        <v>48</v>
      </c>
      <c r="E482" s="28" t="s">
        <v>358</v>
      </c>
      <c r="F482" s="28" t="s">
        <v>142</v>
      </c>
      <c r="G482" s="28" t="s">
        <v>143</v>
      </c>
      <c r="H482" s="28" t="s">
        <v>291</v>
      </c>
      <c r="I482" s="29" t="n">
        <v>120000</v>
      </c>
      <c r="J482" s="29" t="n">
        <v>102000</v>
      </c>
      <c r="K482" s="28" t="n">
        <v>5.75</v>
      </c>
      <c r="L482" s="28" t="n">
        <v>84</v>
      </c>
      <c r="M482" s="28" t="n">
        <v>4</v>
      </c>
    </row>
    <row r="483" customFormat="false" ht="15" hidden="false" customHeight="false" outlineLevel="0" collapsed="false">
      <c r="A483" s="27" t="n">
        <v>44077</v>
      </c>
      <c r="B483" s="28" t="n">
        <v>2020</v>
      </c>
      <c r="C483" s="28" t="s">
        <v>344</v>
      </c>
      <c r="D483" s="28" t="s">
        <v>50</v>
      </c>
      <c r="E483" s="28" t="s">
        <v>389</v>
      </c>
      <c r="F483" s="28" t="s">
        <v>142</v>
      </c>
      <c r="G483" s="28" t="s">
        <v>148</v>
      </c>
      <c r="H483" s="28" t="s">
        <v>211</v>
      </c>
      <c r="I483" s="29" t="n">
        <v>350000</v>
      </c>
      <c r="J483" s="29" t="n">
        <v>262500</v>
      </c>
      <c r="K483" s="28" t="n">
        <v>6</v>
      </c>
      <c r="L483" s="28" t="n">
        <v>120</v>
      </c>
      <c r="M483" s="28" t="n">
        <v>13</v>
      </c>
    </row>
    <row r="484" customFormat="false" ht="15" hidden="false" customHeight="false" outlineLevel="0" collapsed="false">
      <c r="A484" s="27" t="n">
        <v>44078</v>
      </c>
      <c r="B484" s="28" t="n">
        <v>2020</v>
      </c>
      <c r="C484" s="28" t="s">
        <v>393</v>
      </c>
      <c r="D484" s="28" t="s">
        <v>43</v>
      </c>
      <c r="E484" s="28" t="s">
        <v>350</v>
      </c>
      <c r="F484" s="28" t="s">
        <v>142</v>
      </c>
      <c r="G484" s="28" t="s">
        <v>152</v>
      </c>
      <c r="H484" s="28" t="s">
        <v>486</v>
      </c>
      <c r="I484" s="29" t="n">
        <v>1400000</v>
      </c>
      <c r="J484" s="29" t="n">
        <v>1050000</v>
      </c>
      <c r="K484" s="28" t="n">
        <v>5</v>
      </c>
      <c r="L484" s="28" t="n">
        <v>120</v>
      </c>
      <c r="M484" s="28" t="n">
        <v>20</v>
      </c>
    </row>
    <row r="485" customFormat="false" ht="15" hidden="false" customHeight="false" outlineLevel="0" collapsed="false">
      <c r="A485" s="27" t="n">
        <v>44078</v>
      </c>
      <c r="B485" s="28" t="n">
        <v>2020</v>
      </c>
      <c r="C485" s="28" t="s">
        <v>172</v>
      </c>
      <c r="D485" s="28" t="s">
        <v>44</v>
      </c>
      <c r="E485" s="28" t="s">
        <v>161</v>
      </c>
      <c r="F485" s="28" t="s">
        <v>142</v>
      </c>
      <c r="G485" s="28" t="s">
        <v>441</v>
      </c>
      <c r="H485" s="28" t="s">
        <v>505</v>
      </c>
      <c r="I485" s="29" t="n">
        <v>343000</v>
      </c>
      <c r="J485" s="29" t="n">
        <v>257250</v>
      </c>
      <c r="K485" s="28" t="n">
        <v>5</v>
      </c>
      <c r="L485" s="28" t="n">
        <v>120</v>
      </c>
      <c r="M485" s="28" t="n">
        <v>7</v>
      </c>
    </row>
    <row r="486" customFormat="false" ht="15" hidden="false" customHeight="false" outlineLevel="0" collapsed="false">
      <c r="A486" s="27" t="n">
        <v>44078</v>
      </c>
      <c r="B486" s="28" t="n">
        <v>2020</v>
      </c>
      <c r="C486" s="28" t="s">
        <v>196</v>
      </c>
      <c r="D486" s="28" t="s">
        <v>44</v>
      </c>
      <c r="E486" s="28" t="s">
        <v>297</v>
      </c>
      <c r="F486" s="28" t="s">
        <v>142</v>
      </c>
      <c r="G486" s="28" t="s">
        <v>143</v>
      </c>
      <c r="H486" s="28" t="s">
        <v>506</v>
      </c>
      <c r="I486" s="29" t="n">
        <v>390200</v>
      </c>
      <c r="J486" s="29" t="n">
        <v>292650</v>
      </c>
      <c r="K486" s="28" t="n">
        <v>6</v>
      </c>
      <c r="L486" s="28" t="n">
        <v>126</v>
      </c>
      <c r="M486" s="28" t="n">
        <v>4</v>
      </c>
    </row>
    <row r="487" customFormat="false" ht="15" hidden="false" customHeight="false" outlineLevel="0" collapsed="false">
      <c r="A487" s="27" t="n">
        <v>44082</v>
      </c>
      <c r="B487" s="28" t="n">
        <v>2020</v>
      </c>
      <c r="C487" s="28" t="s">
        <v>166</v>
      </c>
      <c r="D487" s="28" t="s">
        <v>50</v>
      </c>
      <c r="E487" s="28" t="s">
        <v>507</v>
      </c>
      <c r="F487" s="28" t="s">
        <v>142</v>
      </c>
      <c r="G487" s="28" t="s">
        <v>148</v>
      </c>
      <c r="H487" s="28" t="s">
        <v>449</v>
      </c>
      <c r="I487" s="29" t="n">
        <v>190000</v>
      </c>
      <c r="J487" s="29" t="n">
        <v>142500</v>
      </c>
      <c r="K487" s="28" t="n">
        <v>6</v>
      </c>
      <c r="L487" s="28" t="n">
        <v>300</v>
      </c>
      <c r="M487" s="28" t="n">
        <v>4</v>
      </c>
    </row>
    <row r="488" customFormat="false" ht="15" hidden="false" customHeight="false" outlineLevel="0" collapsed="false">
      <c r="A488" s="27" t="n">
        <v>44083</v>
      </c>
      <c r="B488" s="28" t="n">
        <v>2020</v>
      </c>
      <c r="C488" s="28" t="s">
        <v>508</v>
      </c>
      <c r="D488" s="28" t="s">
        <v>43</v>
      </c>
      <c r="E488" s="28" t="s">
        <v>509</v>
      </c>
      <c r="F488" s="28" t="s">
        <v>147</v>
      </c>
      <c r="G488" s="28" t="s">
        <v>148</v>
      </c>
      <c r="H488" s="28" t="s">
        <v>482</v>
      </c>
      <c r="I488" s="29" t="n">
        <v>275000</v>
      </c>
      <c r="J488" s="29" t="n">
        <v>137500</v>
      </c>
      <c r="K488" s="28" t="n">
        <v>5.78</v>
      </c>
      <c r="L488" s="28" t="n">
        <v>120</v>
      </c>
      <c r="M488" s="28" t="n">
        <v>10</v>
      </c>
    </row>
    <row r="489" customFormat="false" ht="15" hidden="false" customHeight="false" outlineLevel="0" collapsed="false">
      <c r="A489" s="27" t="n">
        <v>44083</v>
      </c>
      <c r="B489" s="28" t="n">
        <v>2020</v>
      </c>
      <c r="C489" s="28" t="s">
        <v>206</v>
      </c>
      <c r="D489" s="28" t="s">
        <v>48</v>
      </c>
      <c r="E489" s="28" t="s">
        <v>295</v>
      </c>
      <c r="F489" s="28" t="s">
        <v>142</v>
      </c>
      <c r="G489" s="28" t="s">
        <v>148</v>
      </c>
      <c r="H489" s="28" t="s">
        <v>144</v>
      </c>
      <c r="I489" s="29" t="n">
        <v>2400000</v>
      </c>
      <c r="J489" s="29" t="n">
        <v>1800000</v>
      </c>
      <c r="K489" s="28" t="n">
        <v>5</v>
      </c>
      <c r="L489" s="28" t="n">
        <v>300</v>
      </c>
      <c r="M489" s="28" t="n">
        <v>32</v>
      </c>
    </row>
    <row r="490" customFormat="false" ht="15" hidden="false" customHeight="false" outlineLevel="0" collapsed="false">
      <c r="A490" s="27" t="n">
        <v>44084</v>
      </c>
      <c r="B490" s="28" t="n">
        <v>2020</v>
      </c>
      <c r="C490" s="28" t="s">
        <v>206</v>
      </c>
      <c r="D490" s="28" t="s">
        <v>48</v>
      </c>
      <c r="E490" s="28" t="s">
        <v>295</v>
      </c>
      <c r="F490" s="28" t="s">
        <v>147</v>
      </c>
      <c r="G490" s="28" t="s">
        <v>148</v>
      </c>
      <c r="H490" s="28" t="s">
        <v>144</v>
      </c>
      <c r="I490" s="29" t="n">
        <v>750000</v>
      </c>
      <c r="J490" s="29" t="n">
        <v>375000</v>
      </c>
      <c r="K490" s="28" t="n">
        <v>4.25</v>
      </c>
      <c r="L490" s="28" t="n">
        <v>120</v>
      </c>
      <c r="M490" s="28" t="n">
        <v>32</v>
      </c>
    </row>
    <row r="491" customFormat="false" ht="15" hidden="false" customHeight="false" outlineLevel="0" collapsed="false">
      <c r="A491" s="27" t="n">
        <v>44084</v>
      </c>
      <c r="B491" s="28" t="n">
        <v>2020</v>
      </c>
      <c r="C491" s="28" t="s">
        <v>203</v>
      </c>
      <c r="D491" s="28" t="s">
        <v>48</v>
      </c>
      <c r="E491" s="28" t="s">
        <v>403</v>
      </c>
      <c r="F491" s="28" t="s">
        <v>142</v>
      </c>
      <c r="G491" s="28" t="s">
        <v>148</v>
      </c>
      <c r="H491" s="28" t="s">
        <v>208</v>
      </c>
      <c r="I491" s="29" t="n">
        <v>475000</v>
      </c>
      <c r="J491" s="29" t="n">
        <v>356250</v>
      </c>
      <c r="K491" s="28" t="n">
        <v>5.75</v>
      </c>
      <c r="L491" s="28" t="n">
        <v>120</v>
      </c>
      <c r="M491" s="28" t="n">
        <v>5</v>
      </c>
    </row>
    <row r="492" customFormat="false" ht="15" hidden="false" customHeight="false" outlineLevel="0" collapsed="false">
      <c r="A492" s="27" t="n">
        <v>44084</v>
      </c>
      <c r="B492" s="28" t="n">
        <v>2020</v>
      </c>
      <c r="C492" s="28" t="s">
        <v>510</v>
      </c>
      <c r="D492" s="28" t="s">
        <v>46</v>
      </c>
      <c r="E492" s="28" t="s">
        <v>259</v>
      </c>
      <c r="F492" s="28" t="s">
        <v>147</v>
      </c>
      <c r="G492" s="28" t="s">
        <v>441</v>
      </c>
      <c r="H492" s="28" t="s">
        <v>266</v>
      </c>
      <c r="I492" s="29" t="n">
        <v>64600</v>
      </c>
      <c r="J492" s="29" t="n">
        <v>32300</v>
      </c>
      <c r="K492" s="28" t="n">
        <v>5.25</v>
      </c>
      <c r="L492" s="28" t="n">
        <v>240</v>
      </c>
      <c r="M492" s="28" t="n">
        <v>6</v>
      </c>
    </row>
    <row r="493" customFormat="false" ht="15" hidden="false" customHeight="false" outlineLevel="0" collapsed="false">
      <c r="A493" s="27" t="n">
        <v>44084</v>
      </c>
      <c r="B493" s="28" t="n">
        <v>2020</v>
      </c>
      <c r="C493" s="28" t="s">
        <v>169</v>
      </c>
      <c r="D493" s="28" t="s">
        <v>44</v>
      </c>
      <c r="E493" s="28" t="s">
        <v>511</v>
      </c>
      <c r="F493" s="28" t="s">
        <v>142</v>
      </c>
      <c r="G493" s="28" t="s">
        <v>143</v>
      </c>
      <c r="H493" s="28" t="s">
        <v>512</v>
      </c>
      <c r="I493" s="29" t="n">
        <v>124000</v>
      </c>
      <c r="J493" s="29" t="n">
        <v>105400</v>
      </c>
      <c r="K493" s="28" t="n">
        <v>6</v>
      </c>
      <c r="L493" s="28" t="n">
        <v>120</v>
      </c>
      <c r="M493" s="28" t="n">
        <v>3</v>
      </c>
    </row>
    <row r="494" customFormat="false" ht="15" hidden="false" customHeight="false" outlineLevel="0" collapsed="false">
      <c r="A494" s="27" t="n">
        <v>44085</v>
      </c>
      <c r="B494" s="28" t="n">
        <v>2020</v>
      </c>
      <c r="C494" s="28" t="s">
        <v>384</v>
      </c>
      <c r="D494" s="28" t="s">
        <v>56</v>
      </c>
      <c r="E494" s="28" t="s">
        <v>296</v>
      </c>
      <c r="F494" s="28" t="s">
        <v>147</v>
      </c>
      <c r="G494" s="28" t="s">
        <v>143</v>
      </c>
      <c r="H494" s="28" t="s">
        <v>159</v>
      </c>
      <c r="I494" s="29" t="n">
        <v>15000</v>
      </c>
      <c r="J494" s="29" t="n">
        <v>7500</v>
      </c>
      <c r="K494" s="28" t="n">
        <v>9.75</v>
      </c>
      <c r="L494" s="28" t="n">
        <v>78</v>
      </c>
      <c r="M494" s="28" t="n">
        <v>6</v>
      </c>
    </row>
    <row r="495" customFormat="false" ht="15" hidden="false" customHeight="false" outlineLevel="0" collapsed="false">
      <c r="A495" s="27" t="n">
        <v>44085</v>
      </c>
      <c r="B495" s="28" t="n">
        <v>2020</v>
      </c>
      <c r="C495" s="28" t="s">
        <v>384</v>
      </c>
      <c r="D495" s="28" t="s">
        <v>56</v>
      </c>
      <c r="E495" s="28" t="s">
        <v>296</v>
      </c>
      <c r="F495" s="28" t="s">
        <v>147</v>
      </c>
      <c r="G495" s="28" t="s">
        <v>143</v>
      </c>
      <c r="H495" s="28" t="s">
        <v>159</v>
      </c>
      <c r="I495" s="29" t="n">
        <v>25000</v>
      </c>
      <c r="J495" s="29" t="n">
        <v>12500</v>
      </c>
      <c r="K495" s="28" t="n">
        <v>8.25</v>
      </c>
      <c r="L495" s="28" t="n">
        <v>108</v>
      </c>
      <c r="M495" s="28" t="n">
        <v>6</v>
      </c>
    </row>
    <row r="496" customFormat="false" ht="15" hidden="false" customHeight="false" outlineLevel="0" collapsed="false">
      <c r="A496" s="27" t="n">
        <v>44086</v>
      </c>
      <c r="B496" s="28" t="n">
        <v>2020</v>
      </c>
      <c r="C496" s="28" t="s">
        <v>411</v>
      </c>
      <c r="D496" s="28" t="s">
        <v>45</v>
      </c>
      <c r="E496" s="28" t="s">
        <v>222</v>
      </c>
      <c r="F496" s="28" t="s">
        <v>194</v>
      </c>
      <c r="G496" s="28" t="s">
        <v>148</v>
      </c>
      <c r="H496" s="28" t="s">
        <v>255</v>
      </c>
      <c r="I496" s="29" t="n">
        <v>5000000</v>
      </c>
      <c r="J496" s="29" t="n">
        <v>3750000</v>
      </c>
      <c r="K496" s="28" t="n">
        <v>5.75</v>
      </c>
      <c r="L496" s="28" t="n">
        <v>105</v>
      </c>
      <c r="M496" s="28" t="n">
        <v>138</v>
      </c>
    </row>
    <row r="497" customFormat="false" ht="15" hidden="false" customHeight="false" outlineLevel="0" collapsed="false">
      <c r="A497" s="27" t="n">
        <v>44087</v>
      </c>
      <c r="B497" s="28" t="n">
        <v>2020</v>
      </c>
      <c r="C497" s="28" t="s">
        <v>198</v>
      </c>
      <c r="D497" s="28" t="s">
        <v>47</v>
      </c>
      <c r="E497" s="28" t="s">
        <v>380</v>
      </c>
      <c r="F497" s="28" t="s">
        <v>142</v>
      </c>
      <c r="G497" s="28" t="s">
        <v>152</v>
      </c>
      <c r="H497" s="28" t="s">
        <v>144</v>
      </c>
      <c r="I497" s="29" t="n">
        <v>1495000</v>
      </c>
      <c r="J497" s="29" t="n">
        <v>1121250</v>
      </c>
      <c r="K497" s="28" t="n">
        <v>5</v>
      </c>
      <c r="L497" s="28" t="n">
        <v>144</v>
      </c>
      <c r="M497" s="28" t="n">
        <v>13</v>
      </c>
    </row>
    <row r="498" customFormat="false" ht="15" hidden="false" customHeight="false" outlineLevel="0" collapsed="false">
      <c r="A498" s="27" t="n">
        <v>44087</v>
      </c>
      <c r="B498" s="28" t="n">
        <v>2020</v>
      </c>
      <c r="C498" s="28" t="s">
        <v>198</v>
      </c>
      <c r="D498" s="28" t="s">
        <v>47</v>
      </c>
      <c r="E498" s="28" t="s">
        <v>380</v>
      </c>
      <c r="F498" s="28" t="s">
        <v>147</v>
      </c>
      <c r="G498" s="28" t="s">
        <v>152</v>
      </c>
      <c r="H498" s="28" t="s">
        <v>144</v>
      </c>
      <c r="I498" s="29" t="n">
        <v>200000</v>
      </c>
      <c r="J498" s="29" t="n">
        <v>100000</v>
      </c>
      <c r="K498" s="28" t="n">
        <v>5.25</v>
      </c>
      <c r="L498" s="28" t="n">
        <v>120</v>
      </c>
      <c r="M498" s="28" t="n">
        <v>13</v>
      </c>
    </row>
    <row r="499" customFormat="false" ht="15" hidden="false" customHeight="false" outlineLevel="0" collapsed="false">
      <c r="A499" s="27" t="n">
        <v>44088</v>
      </c>
      <c r="B499" s="28" t="n">
        <v>2020</v>
      </c>
      <c r="C499" s="28" t="s">
        <v>172</v>
      </c>
      <c r="D499" s="28" t="s">
        <v>44</v>
      </c>
      <c r="E499" s="28" t="s">
        <v>141</v>
      </c>
      <c r="F499" s="28" t="s">
        <v>142</v>
      </c>
      <c r="G499" s="28" t="s">
        <v>152</v>
      </c>
      <c r="H499" s="28" t="s">
        <v>325</v>
      </c>
      <c r="I499" s="29" t="n">
        <v>2923000</v>
      </c>
      <c r="J499" s="29" t="n">
        <v>2192250</v>
      </c>
      <c r="K499" s="28" t="n">
        <v>3.65</v>
      </c>
      <c r="L499" s="28" t="n">
        <v>120</v>
      </c>
      <c r="M499" s="28" t="n">
        <v>28</v>
      </c>
    </row>
    <row r="500" customFormat="false" ht="15" hidden="false" customHeight="false" outlineLevel="0" collapsed="false">
      <c r="A500" s="27" t="n">
        <v>44089</v>
      </c>
      <c r="B500" s="28" t="n">
        <v>2020</v>
      </c>
      <c r="C500" s="28" t="s">
        <v>166</v>
      </c>
      <c r="D500" s="28" t="s">
        <v>44</v>
      </c>
      <c r="E500" s="28" t="s">
        <v>513</v>
      </c>
      <c r="F500" s="28" t="s">
        <v>147</v>
      </c>
      <c r="G500" s="28" t="s">
        <v>152</v>
      </c>
      <c r="H500" s="28" t="s">
        <v>144</v>
      </c>
      <c r="I500" s="29" t="n">
        <v>250000</v>
      </c>
      <c r="J500" s="29" t="n">
        <v>125000</v>
      </c>
      <c r="K500" s="28" t="n">
        <v>5.75</v>
      </c>
      <c r="L500" s="28" t="n">
        <v>120</v>
      </c>
      <c r="M500" s="28" t="n">
        <v>50</v>
      </c>
    </row>
    <row r="501" customFormat="false" ht="15" hidden="false" customHeight="false" outlineLevel="0" collapsed="false">
      <c r="A501" s="27" t="n">
        <v>44089</v>
      </c>
      <c r="B501" s="28" t="n">
        <v>2020</v>
      </c>
      <c r="C501" s="28" t="s">
        <v>172</v>
      </c>
      <c r="D501" s="28" t="s">
        <v>50</v>
      </c>
      <c r="E501" s="28" t="s">
        <v>514</v>
      </c>
      <c r="F501" s="28" t="s">
        <v>142</v>
      </c>
      <c r="G501" s="28" t="s">
        <v>152</v>
      </c>
      <c r="H501" s="28" t="s">
        <v>153</v>
      </c>
      <c r="I501" s="29" t="n">
        <v>150000</v>
      </c>
      <c r="J501" s="29" t="n">
        <v>127500</v>
      </c>
      <c r="K501" s="28" t="n">
        <v>6</v>
      </c>
      <c r="L501" s="28" t="n">
        <v>96</v>
      </c>
      <c r="M501" s="28" t="n">
        <v>11</v>
      </c>
    </row>
    <row r="502" customFormat="false" ht="15" hidden="false" customHeight="false" outlineLevel="0" collapsed="false">
      <c r="A502" s="27" t="n">
        <v>44089</v>
      </c>
      <c r="B502" s="28" t="n">
        <v>2020</v>
      </c>
      <c r="C502" s="28" t="s">
        <v>166</v>
      </c>
      <c r="D502" s="28" t="s">
        <v>44</v>
      </c>
      <c r="E502" s="28" t="s">
        <v>513</v>
      </c>
      <c r="F502" s="28" t="s">
        <v>142</v>
      </c>
      <c r="G502" s="28" t="s">
        <v>152</v>
      </c>
      <c r="H502" s="28" t="s">
        <v>144</v>
      </c>
      <c r="I502" s="29" t="n">
        <v>4050000</v>
      </c>
      <c r="J502" s="29" t="n">
        <v>3037500</v>
      </c>
      <c r="K502" s="28" t="n">
        <v>5.25</v>
      </c>
      <c r="L502" s="28" t="n">
        <v>120</v>
      </c>
      <c r="M502" s="28" t="n">
        <v>50</v>
      </c>
    </row>
    <row r="503" customFormat="false" ht="15" hidden="false" customHeight="false" outlineLevel="0" collapsed="false">
      <c r="A503" s="27" t="n">
        <v>44089</v>
      </c>
      <c r="B503" s="28" t="n">
        <v>2020</v>
      </c>
      <c r="C503" s="28" t="s">
        <v>515</v>
      </c>
      <c r="D503" s="28" t="s">
        <v>42</v>
      </c>
      <c r="E503" s="28" t="s">
        <v>247</v>
      </c>
      <c r="F503" s="28" t="s">
        <v>142</v>
      </c>
      <c r="G503" s="28" t="s">
        <v>148</v>
      </c>
      <c r="H503" s="28" t="s">
        <v>516</v>
      </c>
      <c r="I503" s="29" t="n">
        <v>2304600</v>
      </c>
      <c r="J503" s="29" t="n">
        <v>1728450</v>
      </c>
      <c r="K503" s="28" t="n">
        <v>5.25</v>
      </c>
      <c r="L503" s="28" t="n">
        <v>300</v>
      </c>
      <c r="M503" s="28" t="n">
        <v>18</v>
      </c>
    </row>
    <row r="504" customFormat="false" ht="15" hidden="false" customHeight="false" outlineLevel="0" collapsed="false">
      <c r="A504" s="27" t="n">
        <v>44089</v>
      </c>
      <c r="B504" s="28" t="n">
        <v>2020</v>
      </c>
      <c r="C504" s="28" t="s">
        <v>172</v>
      </c>
      <c r="D504" s="28" t="s">
        <v>44</v>
      </c>
      <c r="E504" s="28" t="s">
        <v>141</v>
      </c>
      <c r="F504" s="28" t="s">
        <v>147</v>
      </c>
      <c r="G504" s="28" t="s">
        <v>152</v>
      </c>
      <c r="H504" s="28" t="s">
        <v>325</v>
      </c>
      <c r="I504" s="29" t="n">
        <v>100000</v>
      </c>
      <c r="J504" s="29" t="n">
        <v>50000</v>
      </c>
      <c r="K504" s="28" t="n">
        <v>3.75</v>
      </c>
      <c r="L504" s="28" t="n">
        <v>120</v>
      </c>
      <c r="M504" s="28" t="n">
        <v>28</v>
      </c>
    </row>
    <row r="505" customFormat="false" ht="15" hidden="false" customHeight="false" outlineLevel="0" collapsed="false">
      <c r="A505" s="27" t="n">
        <v>44090</v>
      </c>
      <c r="B505" s="28" t="n">
        <v>2020</v>
      </c>
      <c r="C505" s="28" t="s">
        <v>216</v>
      </c>
      <c r="D505" s="28" t="s">
        <v>50</v>
      </c>
      <c r="E505" s="28" t="s">
        <v>329</v>
      </c>
      <c r="F505" s="28" t="s">
        <v>147</v>
      </c>
      <c r="G505" s="28" t="s">
        <v>143</v>
      </c>
      <c r="H505" s="28" t="s">
        <v>481</v>
      </c>
      <c r="I505" s="29" t="n">
        <v>100000</v>
      </c>
      <c r="J505" s="29" t="n">
        <v>50000</v>
      </c>
      <c r="K505" s="28" t="n">
        <v>4.25</v>
      </c>
      <c r="L505" s="28" t="n">
        <v>24</v>
      </c>
      <c r="M505" s="28" t="n">
        <v>3</v>
      </c>
    </row>
    <row r="506" customFormat="false" ht="15" hidden="false" customHeight="false" outlineLevel="0" collapsed="false">
      <c r="A506" s="27" t="n">
        <v>44090</v>
      </c>
      <c r="B506" s="28" t="n">
        <v>2020</v>
      </c>
      <c r="C506" s="28" t="s">
        <v>163</v>
      </c>
      <c r="D506" s="28" t="s">
        <v>43</v>
      </c>
      <c r="E506" s="28" t="s">
        <v>517</v>
      </c>
      <c r="F506" s="28" t="s">
        <v>194</v>
      </c>
      <c r="G506" s="28" t="s">
        <v>148</v>
      </c>
      <c r="H506" s="28" t="s">
        <v>255</v>
      </c>
      <c r="I506" s="29" t="n">
        <v>1500000</v>
      </c>
      <c r="J506" s="29" t="n">
        <v>1125000</v>
      </c>
      <c r="K506" s="28" t="n">
        <v>6</v>
      </c>
      <c r="L506" s="28" t="n">
        <v>300</v>
      </c>
      <c r="M506" s="28" t="n">
        <v>14</v>
      </c>
    </row>
    <row r="507" customFormat="false" ht="15" hidden="false" customHeight="false" outlineLevel="0" collapsed="false">
      <c r="A507" s="27" t="n">
        <v>44091</v>
      </c>
      <c r="B507" s="28" t="n">
        <v>2020</v>
      </c>
      <c r="C507" s="28" t="s">
        <v>206</v>
      </c>
      <c r="D507" s="28" t="s">
        <v>44</v>
      </c>
      <c r="E507" s="28" t="s">
        <v>141</v>
      </c>
      <c r="F507" s="28" t="s">
        <v>142</v>
      </c>
      <c r="G507" s="28" t="s">
        <v>148</v>
      </c>
      <c r="H507" s="28" t="s">
        <v>285</v>
      </c>
      <c r="I507" s="29" t="n">
        <v>433000</v>
      </c>
      <c r="J507" s="29" t="n">
        <v>324750</v>
      </c>
      <c r="K507" s="28" t="n">
        <v>5</v>
      </c>
      <c r="L507" s="28" t="n">
        <v>300</v>
      </c>
      <c r="M507" s="28" t="n">
        <v>16</v>
      </c>
    </row>
    <row r="508" customFormat="false" ht="15" hidden="false" customHeight="false" outlineLevel="0" collapsed="false">
      <c r="A508" s="27" t="n">
        <v>44091</v>
      </c>
      <c r="B508" s="28" t="n">
        <v>2020</v>
      </c>
      <c r="C508" s="28" t="s">
        <v>518</v>
      </c>
      <c r="D508" s="28" t="s">
        <v>46</v>
      </c>
      <c r="E508" s="28" t="s">
        <v>519</v>
      </c>
      <c r="F508" s="28" t="s">
        <v>142</v>
      </c>
      <c r="G508" s="28" t="s">
        <v>148</v>
      </c>
      <c r="H508" s="28" t="s">
        <v>144</v>
      </c>
      <c r="I508" s="29" t="n">
        <v>2100000</v>
      </c>
      <c r="J508" s="29" t="n">
        <v>1575000</v>
      </c>
      <c r="K508" s="28" t="n">
        <v>5.75</v>
      </c>
      <c r="L508" s="28" t="n">
        <v>300</v>
      </c>
      <c r="M508" s="28" t="n">
        <v>15</v>
      </c>
    </row>
    <row r="509" customFormat="false" ht="15" hidden="false" customHeight="false" outlineLevel="0" collapsed="false">
      <c r="A509" s="27" t="n">
        <v>44091</v>
      </c>
      <c r="B509" s="28" t="n">
        <v>2020</v>
      </c>
      <c r="C509" s="28" t="s">
        <v>172</v>
      </c>
      <c r="D509" s="28" t="s">
        <v>52</v>
      </c>
      <c r="E509" s="28" t="s">
        <v>468</v>
      </c>
      <c r="F509" s="28" t="s">
        <v>142</v>
      </c>
      <c r="G509" s="28" t="s">
        <v>441</v>
      </c>
      <c r="H509" s="28" t="s">
        <v>200</v>
      </c>
      <c r="I509" s="29" t="n">
        <v>1861200</v>
      </c>
      <c r="J509" s="29" t="n">
        <v>1395900</v>
      </c>
      <c r="K509" s="28" t="n">
        <v>6</v>
      </c>
      <c r="L509" s="28" t="n">
        <v>120</v>
      </c>
      <c r="M509" s="28" t="n">
        <v>30</v>
      </c>
    </row>
    <row r="510" customFormat="false" ht="15" hidden="false" customHeight="false" outlineLevel="0" collapsed="false">
      <c r="A510" s="27" t="n">
        <v>44092</v>
      </c>
      <c r="B510" s="28" t="n">
        <v>2020</v>
      </c>
      <c r="C510" s="28" t="s">
        <v>172</v>
      </c>
      <c r="D510" s="28" t="s">
        <v>42</v>
      </c>
      <c r="E510" s="28" t="s">
        <v>247</v>
      </c>
      <c r="F510" s="28" t="s">
        <v>142</v>
      </c>
      <c r="G510" s="28" t="s">
        <v>152</v>
      </c>
      <c r="H510" s="28" t="s">
        <v>307</v>
      </c>
      <c r="I510" s="29" t="n">
        <v>5000000</v>
      </c>
      <c r="J510" s="29" t="n">
        <v>3750000</v>
      </c>
      <c r="K510" s="28" t="n">
        <v>5.25</v>
      </c>
      <c r="L510" s="28" t="n">
        <v>300</v>
      </c>
      <c r="M510" s="28" t="n">
        <v>0</v>
      </c>
    </row>
    <row r="511" customFormat="false" ht="15" hidden="false" customHeight="false" outlineLevel="0" collapsed="false">
      <c r="A511" s="27" t="n">
        <v>44092</v>
      </c>
      <c r="B511" s="28" t="n">
        <v>2020</v>
      </c>
      <c r="C511" s="28" t="s">
        <v>198</v>
      </c>
      <c r="D511" s="28" t="s">
        <v>43</v>
      </c>
      <c r="E511" s="28" t="s">
        <v>520</v>
      </c>
      <c r="F511" s="28" t="s">
        <v>142</v>
      </c>
      <c r="G511" s="28" t="s">
        <v>441</v>
      </c>
      <c r="H511" s="28" t="s">
        <v>165</v>
      </c>
      <c r="I511" s="29" t="n">
        <v>547000</v>
      </c>
      <c r="J511" s="29" t="n">
        <v>410250</v>
      </c>
      <c r="K511" s="28" t="n">
        <v>4.65</v>
      </c>
      <c r="L511" s="28" t="n">
        <v>300</v>
      </c>
      <c r="M511" s="28" t="n">
        <v>2</v>
      </c>
    </row>
    <row r="512" customFormat="false" ht="15" hidden="false" customHeight="false" outlineLevel="0" collapsed="false">
      <c r="A512" s="27" t="n">
        <v>44093</v>
      </c>
      <c r="B512" s="28" t="n">
        <v>2020</v>
      </c>
      <c r="C512" s="28" t="s">
        <v>160</v>
      </c>
      <c r="D512" s="28" t="s">
        <v>56</v>
      </c>
      <c r="E512" s="28" t="s">
        <v>185</v>
      </c>
      <c r="F512" s="28" t="s">
        <v>142</v>
      </c>
      <c r="G512" s="28" t="s">
        <v>143</v>
      </c>
      <c r="H512" s="28" t="s">
        <v>287</v>
      </c>
      <c r="I512" s="29" t="n">
        <v>100000</v>
      </c>
      <c r="J512" s="29" t="n">
        <v>85000</v>
      </c>
      <c r="K512" s="28" t="n">
        <v>6</v>
      </c>
      <c r="L512" s="28" t="n">
        <v>120</v>
      </c>
      <c r="M512" s="28" t="n">
        <v>27</v>
      </c>
    </row>
    <row r="513" customFormat="false" ht="15" hidden="false" customHeight="false" outlineLevel="0" collapsed="false">
      <c r="A513" s="27" t="n">
        <v>44094</v>
      </c>
      <c r="B513" s="28" t="n">
        <v>2020</v>
      </c>
      <c r="C513" s="28" t="s">
        <v>252</v>
      </c>
      <c r="D513" s="28" t="s">
        <v>44</v>
      </c>
      <c r="E513" s="28" t="s">
        <v>167</v>
      </c>
      <c r="F513" s="28" t="s">
        <v>142</v>
      </c>
      <c r="G513" s="28" t="s">
        <v>148</v>
      </c>
      <c r="H513" s="28" t="s">
        <v>438</v>
      </c>
      <c r="I513" s="29" t="n">
        <v>178000</v>
      </c>
      <c r="J513" s="29" t="n">
        <v>133500</v>
      </c>
      <c r="K513" s="28" t="n">
        <v>6</v>
      </c>
      <c r="L513" s="28" t="n">
        <v>84</v>
      </c>
      <c r="M513" s="28" t="n">
        <v>29</v>
      </c>
    </row>
    <row r="514" customFormat="false" ht="15" hidden="false" customHeight="false" outlineLevel="0" collapsed="false">
      <c r="A514" s="27" t="n">
        <v>44094</v>
      </c>
      <c r="B514" s="28" t="n">
        <v>2020</v>
      </c>
      <c r="C514" s="28" t="s">
        <v>252</v>
      </c>
      <c r="D514" s="28" t="s">
        <v>44</v>
      </c>
      <c r="E514" s="28" t="s">
        <v>167</v>
      </c>
      <c r="F514" s="28" t="s">
        <v>147</v>
      </c>
      <c r="G514" s="28" t="s">
        <v>148</v>
      </c>
      <c r="H514" s="28" t="s">
        <v>438</v>
      </c>
      <c r="I514" s="29" t="n">
        <v>30000</v>
      </c>
      <c r="J514" s="29" t="n">
        <v>15000</v>
      </c>
      <c r="K514" s="28" t="n">
        <v>6</v>
      </c>
      <c r="L514" s="28" t="n">
        <v>120</v>
      </c>
      <c r="M514" s="28" t="n">
        <v>29</v>
      </c>
    </row>
    <row r="515" customFormat="false" ht="15" hidden="false" customHeight="false" outlineLevel="0" collapsed="false">
      <c r="A515" s="27" t="n">
        <v>44095</v>
      </c>
      <c r="B515" s="28" t="n">
        <v>2020</v>
      </c>
      <c r="C515" s="28" t="s">
        <v>145</v>
      </c>
      <c r="D515" s="28" t="s">
        <v>48</v>
      </c>
      <c r="E515" s="28" t="s">
        <v>295</v>
      </c>
      <c r="F515" s="28" t="s">
        <v>147</v>
      </c>
      <c r="G515" s="28" t="s">
        <v>148</v>
      </c>
      <c r="H515" s="28" t="s">
        <v>144</v>
      </c>
      <c r="I515" s="29" t="n">
        <v>1000000</v>
      </c>
      <c r="J515" s="29" t="n">
        <v>500000</v>
      </c>
      <c r="K515" s="28" t="n">
        <v>5</v>
      </c>
      <c r="L515" s="28" t="n">
        <v>120</v>
      </c>
      <c r="M515" s="28" t="n">
        <v>22</v>
      </c>
    </row>
    <row r="516" customFormat="false" ht="15" hidden="false" customHeight="false" outlineLevel="0" collapsed="false">
      <c r="A516" s="27" t="n">
        <v>44095</v>
      </c>
      <c r="B516" s="28" t="n">
        <v>2020</v>
      </c>
      <c r="C516" s="28" t="s">
        <v>230</v>
      </c>
      <c r="D516" s="28" t="s">
        <v>45</v>
      </c>
      <c r="E516" s="28" t="s">
        <v>521</v>
      </c>
      <c r="F516" s="28" t="s">
        <v>147</v>
      </c>
      <c r="G516" s="28" t="s">
        <v>441</v>
      </c>
      <c r="H516" s="28" t="s">
        <v>220</v>
      </c>
      <c r="I516" s="29" t="n">
        <v>308000</v>
      </c>
      <c r="J516" s="29" t="n">
        <v>154000</v>
      </c>
      <c r="K516" s="28" t="n">
        <v>4</v>
      </c>
      <c r="L516" s="28" t="n">
        <v>120</v>
      </c>
      <c r="M516" s="28" t="n">
        <v>47</v>
      </c>
    </row>
    <row r="517" customFormat="false" ht="15" hidden="false" customHeight="false" outlineLevel="0" collapsed="false">
      <c r="A517" s="27" t="n">
        <v>44095</v>
      </c>
      <c r="B517" s="28" t="n">
        <v>2020</v>
      </c>
      <c r="C517" s="28" t="s">
        <v>145</v>
      </c>
      <c r="D517" s="28" t="s">
        <v>48</v>
      </c>
      <c r="E517" s="28" t="s">
        <v>346</v>
      </c>
      <c r="F517" s="28" t="s">
        <v>142</v>
      </c>
      <c r="G517" s="28" t="s">
        <v>148</v>
      </c>
      <c r="H517" s="28" t="s">
        <v>165</v>
      </c>
      <c r="I517" s="29" t="n">
        <v>1228000</v>
      </c>
      <c r="J517" s="29" t="n">
        <v>921000</v>
      </c>
      <c r="K517" s="28" t="n">
        <v>4.9</v>
      </c>
      <c r="L517" s="28" t="n">
        <v>120</v>
      </c>
      <c r="M517" s="28" t="n">
        <v>3</v>
      </c>
    </row>
    <row r="518" customFormat="false" ht="15" hidden="false" customHeight="false" outlineLevel="0" collapsed="false">
      <c r="A518" s="27" t="n">
        <v>44095</v>
      </c>
      <c r="B518" s="28" t="n">
        <v>2020</v>
      </c>
      <c r="C518" s="28" t="s">
        <v>166</v>
      </c>
      <c r="D518" s="28" t="s">
        <v>45</v>
      </c>
      <c r="E518" s="28" t="s">
        <v>222</v>
      </c>
      <c r="F518" s="28" t="s">
        <v>142</v>
      </c>
      <c r="G518" s="28" t="s">
        <v>148</v>
      </c>
      <c r="H518" s="28" t="s">
        <v>168</v>
      </c>
      <c r="I518" s="29" t="n">
        <v>3088300</v>
      </c>
      <c r="J518" s="29" t="n">
        <v>2316225</v>
      </c>
      <c r="K518" s="28" t="n">
        <v>4.5</v>
      </c>
      <c r="L518" s="28" t="n">
        <v>300</v>
      </c>
      <c r="M518" s="28" t="n">
        <v>20</v>
      </c>
    </row>
    <row r="519" customFormat="false" ht="15" hidden="false" customHeight="false" outlineLevel="0" collapsed="false">
      <c r="A519" s="27" t="n">
        <v>44095</v>
      </c>
      <c r="B519" s="28" t="n">
        <v>2020</v>
      </c>
      <c r="C519" s="28" t="s">
        <v>145</v>
      </c>
      <c r="D519" s="28" t="s">
        <v>48</v>
      </c>
      <c r="E519" s="28" t="s">
        <v>346</v>
      </c>
      <c r="F519" s="28" t="s">
        <v>147</v>
      </c>
      <c r="G519" s="28" t="s">
        <v>148</v>
      </c>
      <c r="H519" s="28" t="s">
        <v>165</v>
      </c>
      <c r="I519" s="29" t="n">
        <v>300000</v>
      </c>
      <c r="J519" s="29" t="n">
        <v>150000</v>
      </c>
      <c r="K519" s="28" t="n">
        <v>4.25</v>
      </c>
      <c r="L519" s="28" t="n">
        <v>84</v>
      </c>
      <c r="M519" s="28" t="n">
        <v>3</v>
      </c>
    </row>
    <row r="520" customFormat="false" ht="15" hidden="false" customHeight="false" outlineLevel="0" collapsed="false">
      <c r="A520" s="27" t="n">
        <v>44096</v>
      </c>
      <c r="B520" s="28" t="n">
        <v>2020</v>
      </c>
      <c r="C520" s="28" t="s">
        <v>160</v>
      </c>
      <c r="D520" s="28" t="s">
        <v>44</v>
      </c>
      <c r="E520" s="28" t="s">
        <v>343</v>
      </c>
      <c r="F520" s="28" t="s">
        <v>147</v>
      </c>
      <c r="G520" s="28" t="s">
        <v>148</v>
      </c>
      <c r="H520" s="28" t="s">
        <v>438</v>
      </c>
      <c r="I520" s="29" t="n">
        <v>200000</v>
      </c>
      <c r="J520" s="29" t="n">
        <v>100000</v>
      </c>
      <c r="K520" s="28" t="n">
        <v>6</v>
      </c>
      <c r="L520" s="28" t="n">
        <v>120</v>
      </c>
      <c r="M520" s="28" t="n">
        <v>90</v>
      </c>
    </row>
    <row r="521" customFormat="false" ht="15" hidden="false" customHeight="false" outlineLevel="0" collapsed="false">
      <c r="A521" s="27" t="n">
        <v>44096</v>
      </c>
      <c r="B521" s="28" t="n">
        <v>2020</v>
      </c>
      <c r="C521" s="28" t="s">
        <v>522</v>
      </c>
      <c r="D521" s="28" t="s">
        <v>55</v>
      </c>
      <c r="E521" s="28" t="s">
        <v>426</v>
      </c>
      <c r="F521" s="28" t="s">
        <v>283</v>
      </c>
      <c r="G521" s="28" t="s">
        <v>148</v>
      </c>
      <c r="H521" s="28" t="s">
        <v>495</v>
      </c>
      <c r="I521" s="29" t="n">
        <v>650000</v>
      </c>
      <c r="J521" s="29" t="n">
        <v>487500</v>
      </c>
      <c r="K521" s="28" t="n">
        <v>4.25</v>
      </c>
      <c r="L521" s="28" t="n">
        <v>38</v>
      </c>
      <c r="M521" s="28" t="n">
        <v>0</v>
      </c>
    </row>
    <row r="522" customFormat="false" ht="15" hidden="false" customHeight="false" outlineLevel="0" collapsed="false">
      <c r="A522" s="27" t="n">
        <v>44096</v>
      </c>
      <c r="B522" s="28" t="n">
        <v>2020</v>
      </c>
      <c r="C522" s="28" t="s">
        <v>522</v>
      </c>
      <c r="D522" s="28" t="s">
        <v>55</v>
      </c>
      <c r="E522" s="28" t="s">
        <v>426</v>
      </c>
      <c r="F522" s="28" t="s">
        <v>194</v>
      </c>
      <c r="G522" s="28" t="s">
        <v>148</v>
      </c>
      <c r="H522" s="28" t="s">
        <v>495</v>
      </c>
      <c r="I522" s="29" t="n">
        <v>1067000</v>
      </c>
      <c r="J522" s="29" t="n">
        <v>800250</v>
      </c>
      <c r="K522" s="28" t="n">
        <v>5.25</v>
      </c>
      <c r="L522" s="28" t="n">
        <v>120</v>
      </c>
      <c r="M522" s="28" t="n">
        <v>0</v>
      </c>
    </row>
    <row r="523" customFormat="false" ht="15" hidden="false" customHeight="false" outlineLevel="0" collapsed="false">
      <c r="A523" s="27" t="n">
        <v>44096</v>
      </c>
      <c r="B523" s="28" t="n">
        <v>2020</v>
      </c>
      <c r="C523" s="28" t="s">
        <v>292</v>
      </c>
      <c r="D523" s="28" t="s">
        <v>48</v>
      </c>
      <c r="E523" s="28" t="s">
        <v>210</v>
      </c>
      <c r="F523" s="28" t="s">
        <v>142</v>
      </c>
      <c r="G523" s="28" t="s">
        <v>148</v>
      </c>
      <c r="H523" s="28" t="s">
        <v>171</v>
      </c>
      <c r="I523" s="29" t="n">
        <v>350000</v>
      </c>
      <c r="J523" s="29" t="n">
        <v>262500</v>
      </c>
      <c r="K523" s="28" t="n">
        <v>6</v>
      </c>
      <c r="L523" s="28" t="n">
        <v>120</v>
      </c>
      <c r="M523" s="28" t="n">
        <v>1</v>
      </c>
    </row>
    <row r="524" customFormat="false" ht="15" hidden="false" customHeight="false" outlineLevel="0" collapsed="false">
      <c r="A524" s="27" t="n">
        <v>44096</v>
      </c>
      <c r="B524" s="28" t="n">
        <v>2020</v>
      </c>
      <c r="C524" s="28" t="s">
        <v>175</v>
      </c>
      <c r="D524" s="28" t="s">
        <v>47</v>
      </c>
      <c r="E524" s="28" t="s">
        <v>284</v>
      </c>
      <c r="F524" s="28" t="s">
        <v>142</v>
      </c>
      <c r="G524" s="28" t="s">
        <v>441</v>
      </c>
      <c r="H524" s="28" t="s">
        <v>523</v>
      </c>
      <c r="I524" s="29" t="n">
        <v>853500</v>
      </c>
      <c r="J524" s="29" t="n">
        <v>640125</v>
      </c>
      <c r="K524" s="28" t="n">
        <v>5</v>
      </c>
      <c r="L524" s="28" t="n">
        <v>300</v>
      </c>
      <c r="M524" s="28" t="n">
        <v>6</v>
      </c>
    </row>
    <row r="525" customFormat="false" ht="15" hidden="false" customHeight="false" outlineLevel="0" collapsed="false">
      <c r="A525" s="27" t="n">
        <v>44096</v>
      </c>
      <c r="B525" s="28" t="n">
        <v>2020</v>
      </c>
      <c r="C525" s="28" t="s">
        <v>157</v>
      </c>
      <c r="D525" s="28" t="s">
        <v>49</v>
      </c>
      <c r="E525" s="28" t="s">
        <v>524</v>
      </c>
      <c r="F525" s="28" t="s">
        <v>142</v>
      </c>
      <c r="G525" s="28" t="s">
        <v>148</v>
      </c>
      <c r="H525" s="28" t="s">
        <v>306</v>
      </c>
      <c r="I525" s="29" t="n">
        <v>5000000</v>
      </c>
      <c r="J525" s="29" t="n">
        <v>3500000</v>
      </c>
      <c r="K525" s="28" t="n">
        <v>4.75</v>
      </c>
      <c r="L525" s="28" t="n">
        <v>12</v>
      </c>
      <c r="M525" s="28" t="n">
        <v>0</v>
      </c>
    </row>
    <row r="526" customFormat="false" ht="15" hidden="false" customHeight="false" outlineLevel="0" collapsed="false">
      <c r="A526" s="27" t="n">
        <v>44096</v>
      </c>
      <c r="B526" s="28" t="n">
        <v>2020</v>
      </c>
      <c r="C526" s="28" t="s">
        <v>522</v>
      </c>
      <c r="D526" s="28" t="s">
        <v>55</v>
      </c>
      <c r="E526" s="28" t="s">
        <v>426</v>
      </c>
      <c r="F526" s="28" t="s">
        <v>194</v>
      </c>
      <c r="G526" s="28" t="s">
        <v>152</v>
      </c>
      <c r="H526" s="28" t="s">
        <v>495</v>
      </c>
      <c r="I526" s="29" t="n">
        <v>1277200</v>
      </c>
      <c r="J526" s="29" t="n">
        <v>957900</v>
      </c>
      <c r="K526" s="28" t="n">
        <v>5.25</v>
      </c>
      <c r="L526" s="28" t="n">
        <v>120</v>
      </c>
      <c r="M526" s="28" t="n">
        <v>0</v>
      </c>
    </row>
    <row r="527" customFormat="false" ht="15" hidden="false" customHeight="false" outlineLevel="0" collapsed="false">
      <c r="A527" s="27" t="n">
        <v>44096</v>
      </c>
      <c r="B527" s="28" t="n">
        <v>2020</v>
      </c>
      <c r="C527" s="28" t="s">
        <v>522</v>
      </c>
      <c r="D527" s="28" t="s">
        <v>55</v>
      </c>
      <c r="E527" s="28" t="s">
        <v>426</v>
      </c>
      <c r="F527" s="28" t="s">
        <v>283</v>
      </c>
      <c r="G527" s="28" t="s">
        <v>148</v>
      </c>
      <c r="H527" s="28" t="s">
        <v>495</v>
      </c>
      <c r="I527" s="29" t="n">
        <v>100000</v>
      </c>
      <c r="J527" s="29" t="n">
        <v>75000</v>
      </c>
      <c r="K527" s="28" t="n">
        <v>4.25</v>
      </c>
      <c r="L527" s="28" t="n">
        <v>38</v>
      </c>
      <c r="M527" s="28" t="n">
        <v>0</v>
      </c>
    </row>
    <row r="528" customFormat="false" ht="15" hidden="false" customHeight="false" outlineLevel="0" collapsed="false">
      <c r="A528" s="27" t="n">
        <v>44096</v>
      </c>
      <c r="B528" s="28" t="n">
        <v>2020</v>
      </c>
      <c r="C528" s="28" t="s">
        <v>160</v>
      </c>
      <c r="D528" s="28" t="s">
        <v>44</v>
      </c>
      <c r="E528" s="28" t="s">
        <v>343</v>
      </c>
      <c r="F528" s="28" t="s">
        <v>142</v>
      </c>
      <c r="G528" s="28" t="s">
        <v>441</v>
      </c>
      <c r="H528" s="28" t="s">
        <v>438</v>
      </c>
      <c r="I528" s="29" t="n">
        <v>2771000</v>
      </c>
      <c r="J528" s="29" t="n">
        <v>2078250</v>
      </c>
      <c r="K528" s="28" t="n">
        <v>5.5</v>
      </c>
      <c r="L528" s="28" t="n">
        <v>300</v>
      </c>
      <c r="M528" s="28" t="n">
        <v>90</v>
      </c>
    </row>
    <row r="529" customFormat="false" ht="15" hidden="false" customHeight="false" outlineLevel="0" collapsed="false">
      <c r="A529" s="27" t="n">
        <v>44097</v>
      </c>
      <c r="B529" s="28" t="n">
        <v>2020</v>
      </c>
      <c r="C529" s="28" t="s">
        <v>172</v>
      </c>
      <c r="D529" s="28" t="s">
        <v>43</v>
      </c>
      <c r="E529" s="28" t="s">
        <v>525</v>
      </c>
      <c r="F529" s="28" t="s">
        <v>142</v>
      </c>
      <c r="G529" s="28" t="s">
        <v>143</v>
      </c>
      <c r="H529" s="28" t="s">
        <v>526</v>
      </c>
      <c r="I529" s="29" t="n">
        <v>1150000</v>
      </c>
      <c r="J529" s="29" t="n">
        <v>862500</v>
      </c>
      <c r="K529" s="28" t="n">
        <v>6</v>
      </c>
      <c r="L529" s="28" t="n">
        <v>120</v>
      </c>
      <c r="M529" s="28" t="n">
        <v>1</v>
      </c>
    </row>
    <row r="530" customFormat="false" ht="15" hidden="false" customHeight="false" outlineLevel="0" collapsed="false">
      <c r="A530" s="27" t="n">
        <v>44097</v>
      </c>
      <c r="B530" s="28" t="n">
        <v>2020</v>
      </c>
      <c r="C530" s="28" t="s">
        <v>527</v>
      </c>
      <c r="D530" s="28" t="s">
        <v>42</v>
      </c>
      <c r="E530" s="28" t="s">
        <v>247</v>
      </c>
      <c r="F530" s="28" t="s">
        <v>142</v>
      </c>
      <c r="G530" s="28" t="s">
        <v>152</v>
      </c>
      <c r="H530" s="28" t="s">
        <v>326</v>
      </c>
      <c r="I530" s="29" t="n">
        <v>2305000</v>
      </c>
      <c r="J530" s="29" t="n">
        <v>1728750</v>
      </c>
      <c r="K530" s="28" t="n">
        <v>5.5</v>
      </c>
      <c r="L530" s="28" t="n">
        <v>300</v>
      </c>
      <c r="M530" s="28" t="n">
        <v>2</v>
      </c>
    </row>
    <row r="531" customFormat="false" ht="15" hidden="false" customHeight="false" outlineLevel="0" collapsed="false">
      <c r="A531" s="27" t="n">
        <v>44098</v>
      </c>
      <c r="B531" s="28" t="n">
        <v>2020</v>
      </c>
      <c r="C531" s="28" t="s">
        <v>528</v>
      </c>
      <c r="D531" s="28" t="s">
        <v>43</v>
      </c>
      <c r="E531" s="28" t="s">
        <v>529</v>
      </c>
      <c r="F531" s="28" t="s">
        <v>142</v>
      </c>
      <c r="G531" s="28" t="s">
        <v>152</v>
      </c>
      <c r="H531" s="28" t="s">
        <v>211</v>
      </c>
      <c r="I531" s="29" t="n">
        <v>1390000</v>
      </c>
      <c r="J531" s="29" t="n">
        <v>1042500</v>
      </c>
      <c r="K531" s="28" t="n">
        <v>6</v>
      </c>
      <c r="L531" s="28" t="n">
        <v>120</v>
      </c>
      <c r="M531" s="28" t="n">
        <v>10</v>
      </c>
    </row>
    <row r="532" customFormat="false" ht="15" hidden="false" customHeight="false" outlineLevel="0" collapsed="false">
      <c r="A532" s="27" t="n">
        <v>44102</v>
      </c>
      <c r="B532" s="28" t="n">
        <v>2020</v>
      </c>
      <c r="C532" s="28" t="s">
        <v>530</v>
      </c>
      <c r="D532" s="28" t="s">
        <v>44</v>
      </c>
      <c r="E532" s="28" t="s">
        <v>161</v>
      </c>
      <c r="F532" s="28" t="s">
        <v>142</v>
      </c>
      <c r="G532" s="28" t="s">
        <v>143</v>
      </c>
      <c r="H532" s="28" t="s">
        <v>211</v>
      </c>
      <c r="I532" s="29" t="n">
        <v>369300</v>
      </c>
      <c r="J532" s="29" t="n">
        <v>276975</v>
      </c>
      <c r="K532" s="28" t="n">
        <v>5.25</v>
      </c>
      <c r="L532" s="28" t="n">
        <v>169</v>
      </c>
      <c r="M532" s="28" t="n">
        <v>10</v>
      </c>
    </row>
    <row r="533" customFormat="false" ht="15" hidden="false" customHeight="false" outlineLevel="0" collapsed="false">
      <c r="A533" s="27" t="n">
        <v>44102</v>
      </c>
      <c r="B533" s="28" t="n">
        <v>2020</v>
      </c>
      <c r="C533" s="28" t="s">
        <v>312</v>
      </c>
      <c r="D533" s="28" t="s">
        <v>48</v>
      </c>
      <c r="E533" s="28" t="s">
        <v>498</v>
      </c>
      <c r="F533" s="28" t="s">
        <v>194</v>
      </c>
      <c r="G533" s="28" t="s">
        <v>148</v>
      </c>
      <c r="H533" s="28" t="s">
        <v>396</v>
      </c>
      <c r="I533" s="29" t="n">
        <v>50000</v>
      </c>
      <c r="J533" s="29" t="n">
        <v>42500</v>
      </c>
      <c r="K533" s="28" t="n">
        <v>5.5</v>
      </c>
      <c r="L533" s="28" t="n">
        <v>12</v>
      </c>
      <c r="M533" s="28" t="n">
        <v>7</v>
      </c>
    </row>
    <row r="534" customFormat="false" ht="15" hidden="false" customHeight="false" outlineLevel="0" collapsed="false">
      <c r="A534" s="27" t="n">
        <v>44102</v>
      </c>
      <c r="B534" s="28" t="n">
        <v>2020</v>
      </c>
      <c r="C534" s="28" t="s">
        <v>418</v>
      </c>
      <c r="D534" s="28" t="s">
        <v>51</v>
      </c>
      <c r="E534" s="28" t="s">
        <v>531</v>
      </c>
      <c r="F534" s="28" t="s">
        <v>142</v>
      </c>
      <c r="G534" s="28" t="s">
        <v>148</v>
      </c>
      <c r="H534" s="28" t="s">
        <v>419</v>
      </c>
      <c r="I534" s="29" t="n">
        <v>679000</v>
      </c>
      <c r="J534" s="29" t="n">
        <v>509250</v>
      </c>
      <c r="K534" s="28" t="n">
        <v>2.5</v>
      </c>
      <c r="L534" s="28" t="n">
        <v>269</v>
      </c>
      <c r="M534" s="28" t="n">
        <v>16</v>
      </c>
    </row>
    <row r="535" customFormat="false" ht="15" hidden="false" customHeight="false" outlineLevel="0" collapsed="false">
      <c r="A535" s="27" t="n">
        <v>44102</v>
      </c>
      <c r="B535" s="28" t="n">
        <v>2020</v>
      </c>
      <c r="C535" s="28" t="s">
        <v>166</v>
      </c>
      <c r="D535" s="28" t="s">
        <v>46</v>
      </c>
      <c r="E535" s="28" t="s">
        <v>276</v>
      </c>
      <c r="F535" s="28" t="s">
        <v>142</v>
      </c>
      <c r="G535" s="28" t="s">
        <v>143</v>
      </c>
      <c r="H535" s="28" t="s">
        <v>211</v>
      </c>
      <c r="I535" s="29" t="n">
        <v>228000</v>
      </c>
      <c r="J535" s="29" t="n">
        <v>171000</v>
      </c>
      <c r="K535" s="28" t="n">
        <v>5.75</v>
      </c>
      <c r="L535" s="28" t="n">
        <v>120</v>
      </c>
      <c r="M535" s="28" t="n">
        <v>11</v>
      </c>
    </row>
    <row r="536" customFormat="false" ht="15" hidden="false" customHeight="false" outlineLevel="0" collapsed="false">
      <c r="A536" s="27" t="n">
        <v>44102</v>
      </c>
      <c r="B536" s="28" t="n">
        <v>2020</v>
      </c>
      <c r="C536" s="28" t="s">
        <v>172</v>
      </c>
      <c r="D536" s="28" t="s">
        <v>44</v>
      </c>
      <c r="E536" s="28" t="s">
        <v>355</v>
      </c>
      <c r="F536" s="28" t="s">
        <v>142</v>
      </c>
      <c r="G536" s="28" t="s">
        <v>152</v>
      </c>
      <c r="H536" s="28" t="s">
        <v>191</v>
      </c>
      <c r="I536" s="29" t="n">
        <v>658800</v>
      </c>
      <c r="J536" s="29" t="n">
        <v>494100</v>
      </c>
      <c r="K536" s="28" t="n">
        <v>4.25</v>
      </c>
      <c r="L536" s="28" t="n">
        <v>120</v>
      </c>
      <c r="M536" s="28" t="n">
        <v>5</v>
      </c>
    </row>
    <row r="537" customFormat="false" ht="15" hidden="false" customHeight="false" outlineLevel="0" collapsed="false">
      <c r="A537" s="27" t="n">
        <v>44103</v>
      </c>
      <c r="B537" s="28" t="n">
        <v>2020</v>
      </c>
      <c r="C537" s="28" t="s">
        <v>172</v>
      </c>
      <c r="D537" s="28" t="s">
        <v>49</v>
      </c>
      <c r="E537" s="28" t="s">
        <v>532</v>
      </c>
      <c r="F537" s="28" t="s">
        <v>194</v>
      </c>
      <c r="G537" s="28" t="s">
        <v>148</v>
      </c>
      <c r="H537" s="28" t="s">
        <v>533</v>
      </c>
      <c r="I537" s="29" t="n">
        <v>350000</v>
      </c>
      <c r="J537" s="29" t="n">
        <v>262500</v>
      </c>
      <c r="K537" s="28" t="n">
        <v>6</v>
      </c>
      <c r="L537" s="28" t="n">
        <v>83</v>
      </c>
      <c r="M537" s="28" t="n">
        <v>4</v>
      </c>
    </row>
    <row r="538" customFormat="false" ht="15" hidden="false" customHeight="false" outlineLevel="0" collapsed="false">
      <c r="A538" s="27" t="n">
        <v>44104</v>
      </c>
      <c r="B538" s="28" t="n">
        <v>2020</v>
      </c>
      <c r="C538" s="28" t="s">
        <v>169</v>
      </c>
      <c r="D538" s="28" t="s">
        <v>48</v>
      </c>
      <c r="E538" s="28" t="s">
        <v>295</v>
      </c>
      <c r="F538" s="28" t="s">
        <v>147</v>
      </c>
      <c r="G538" s="28" t="s">
        <v>148</v>
      </c>
      <c r="H538" s="28" t="s">
        <v>159</v>
      </c>
      <c r="I538" s="29" t="n">
        <v>275000</v>
      </c>
      <c r="J538" s="29" t="n">
        <v>137500</v>
      </c>
      <c r="K538" s="28" t="n">
        <v>7.75</v>
      </c>
      <c r="L538" s="28" t="n">
        <v>120</v>
      </c>
      <c r="M538" s="28" t="n">
        <v>13</v>
      </c>
    </row>
    <row r="539" customFormat="false" ht="15" hidden="false" customHeight="false" outlineLevel="0" collapsed="false">
      <c r="A539" s="27" t="n">
        <v>44104</v>
      </c>
      <c r="B539" s="28" t="n">
        <v>2020</v>
      </c>
      <c r="C539" s="28" t="s">
        <v>272</v>
      </c>
      <c r="D539" s="28" t="s">
        <v>45</v>
      </c>
      <c r="E539" s="28" t="s">
        <v>202</v>
      </c>
      <c r="F539" s="28" t="s">
        <v>147</v>
      </c>
      <c r="G539" s="28" t="s">
        <v>148</v>
      </c>
      <c r="H539" s="28" t="s">
        <v>205</v>
      </c>
      <c r="I539" s="29" t="n">
        <v>35000</v>
      </c>
      <c r="J539" s="29" t="n">
        <v>17500</v>
      </c>
      <c r="K539" s="28" t="n">
        <v>8.74</v>
      </c>
      <c r="L539" s="28" t="n">
        <v>60</v>
      </c>
      <c r="M539" s="28" t="n">
        <v>2</v>
      </c>
    </row>
    <row r="540" customFormat="false" ht="15" hidden="false" customHeight="false" outlineLevel="0" collapsed="false">
      <c r="A540" s="27" t="n">
        <v>44104</v>
      </c>
      <c r="B540" s="28" t="n">
        <v>2020</v>
      </c>
      <c r="C540" s="28" t="s">
        <v>201</v>
      </c>
      <c r="D540" s="28" t="s">
        <v>48</v>
      </c>
      <c r="E540" s="28" t="s">
        <v>212</v>
      </c>
      <c r="F540" s="28" t="s">
        <v>142</v>
      </c>
      <c r="G540" s="28" t="s">
        <v>148</v>
      </c>
      <c r="H540" s="28" t="s">
        <v>171</v>
      </c>
      <c r="I540" s="29" t="n">
        <v>100000</v>
      </c>
      <c r="J540" s="29" t="n">
        <v>85000</v>
      </c>
      <c r="K540" s="28" t="n">
        <v>6</v>
      </c>
      <c r="L540" s="28" t="n">
        <v>120</v>
      </c>
      <c r="M540" s="28" t="n">
        <v>3</v>
      </c>
    </row>
    <row r="541" customFormat="false" ht="15" hidden="false" customHeight="false" outlineLevel="0" collapsed="false">
      <c r="A541" s="27" t="n">
        <v>44104</v>
      </c>
      <c r="B541" s="28" t="n">
        <v>2020</v>
      </c>
      <c r="C541" s="28" t="s">
        <v>344</v>
      </c>
      <c r="D541" s="28" t="s">
        <v>48</v>
      </c>
      <c r="E541" s="28" t="s">
        <v>212</v>
      </c>
      <c r="F541" s="28" t="s">
        <v>147</v>
      </c>
      <c r="G541" s="28" t="s">
        <v>148</v>
      </c>
      <c r="H541" s="28" t="s">
        <v>338</v>
      </c>
      <c r="I541" s="29" t="n">
        <v>250000</v>
      </c>
      <c r="J541" s="29" t="n">
        <v>125000</v>
      </c>
      <c r="K541" s="28" t="n">
        <v>6.1</v>
      </c>
      <c r="L541" s="28" t="n">
        <v>84</v>
      </c>
      <c r="M541" s="28" t="n">
        <v>2</v>
      </c>
    </row>
    <row r="542" customFormat="false" ht="15" hidden="false" customHeight="false" outlineLevel="0" collapsed="false">
      <c r="A542" s="27" t="n">
        <v>44105</v>
      </c>
      <c r="B542" s="28" t="n">
        <v>2021</v>
      </c>
      <c r="C542" s="28" t="s">
        <v>534</v>
      </c>
      <c r="D542" s="28" t="s">
        <v>60</v>
      </c>
      <c r="E542" s="28" t="s">
        <v>535</v>
      </c>
      <c r="F542" s="28" t="s">
        <v>142</v>
      </c>
      <c r="G542" s="28" t="s">
        <v>143</v>
      </c>
      <c r="H542" s="28" t="s">
        <v>536</v>
      </c>
      <c r="I542" s="29" t="n">
        <v>1701000</v>
      </c>
      <c r="J542" s="29" t="n">
        <v>1275750</v>
      </c>
      <c r="K542" s="28" t="n">
        <v>6</v>
      </c>
      <c r="L542" s="28" t="n">
        <v>300</v>
      </c>
      <c r="M542" s="28" t="n">
        <v>17</v>
      </c>
    </row>
    <row r="543" customFormat="false" ht="15" hidden="false" customHeight="false" outlineLevel="0" collapsed="false">
      <c r="A543" s="27" t="n">
        <v>44106</v>
      </c>
      <c r="B543" s="28" t="n">
        <v>2021</v>
      </c>
      <c r="C543" s="28" t="s">
        <v>196</v>
      </c>
      <c r="D543" s="28" t="s">
        <v>50</v>
      </c>
      <c r="E543" s="28" t="s">
        <v>174</v>
      </c>
      <c r="F543" s="28" t="s">
        <v>142</v>
      </c>
      <c r="G543" s="28" t="s">
        <v>143</v>
      </c>
      <c r="H543" s="28" t="s">
        <v>287</v>
      </c>
      <c r="I543" s="29" t="n">
        <v>150000</v>
      </c>
      <c r="J543" s="29" t="n">
        <v>127500</v>
      </c>
      <c r="K543" s="28" t="n">
        <v>6</v>
      </c>
      <c r="L543" s="28" t="n">
        <v>120</v>
      </c>
      <c r="M543" s="28" t="n">
        <v>4</v>
      </c>
    </row>
    <row r="544" customFormat="false" ht="15" hidden="false" customHeight="false" outlineLevel="0" collapsed="false">
      <c r="A544" s="27" t="n">
        <v>44106</v>
      </c>
      <c r="B544" s="28" t="n">
        <v>2021</v>
      </c>
      <c r="C544" s="28" t="s">
        <v>172</v>
      </c>
      <c r="D544" s="28" t="s">
        <v>48</v>
      </c>
      <c r="E544" s="28" t="s">
        <v>342</v>
      </c>
      <c r="F544" s="28" t="s">
        <v>142</v>
      </c>
      <c r="G544" s="28" t="s">
        <v>143</v>
      </c>
      <c r="H544" s="28" t="s">
        <v>153</v>
      </c>
      <c r="I544" s="29" t="n">
        <v>175000</v>
      </c>
      <c r="J544" s="29" t="n">
        <v>131250</v>
      </c>
      <c r="K544" s="28" t="n">
        <v>5.75</v>
      </c>
      <c r="L544" s="28" t="n">
        <v>120</v>
      </c>
      <c r="M544" s="28" t="n">
        <v>8</v>
      </c>
    </row>
    <row r="545" customFormat="false" ht="15" hidden="false" customHeight="false" outlineLevel="0" collapsed="false">
      <c r="A545" s="27" t="n">
        <v>44107</v>
      </c>
      <c r="B545" s="28" t="n">
        <v>2021</v>
      </c>
      <c r="C545" s="28" t="s">
        <v>491</v>
      </c>
      <c r="D545" s="28" t="s">
        <v>46</v>
      </c>
      <c r="E545" s="28" t="s">
        <v>262</v>
      </c>
      <c r="F545" s="28" t="s">
        <v>147</v>
      </c>
      <c r="G545" s="28" t="s">
        <v>441</v>
      </c>
      <c r="H545" s="28" t="s">
        <v>537</v>
      </c>
      <c r="I545" s="29" t="n">
        <v>57600</v>
      </c>
      <c r="J545" s="29" t="n">
        <v>28800</v>
      </c>
      <c r="K545" s="28" t="n">
        <v>4.75</v>
      </c>
      <c r="L545" s="28" t="n">
        <v>180</v>
      </c>
      <c r="M545" s="28" t="n">
        <v>1</v>
      </c>
    </row>
    <row r="546" customFormat="false" ht="15" hidden="false" customHeight="false" outlineLevel="0" collapsed="false">
      <c r="A546" s="27" t="n">
        <v>44107</v>
      </c>
      <c r="B546" s="28" t="n">
        <v>2021</v>
      </c>
      <c r="C546" s="28" t="s">
        <v>491</v>
      </c>
      <c r="D546" s="28" t="s">
        <v>46</v>
      </c>
      <c r="E546" s="28" t="s">
        <v>262</v>
      </c>
      <c r="F546" s="28" t="s">
        <v>147</v>
      </c>
      <c r="G546" s="28" t="s">
        <v>143</v>
      </c>
      <c r="H546" s="28" t="s">
        <v>537</v>
      </c>
      <c r="I546" s="29" t="n">
        <v>27900</v>
      </c>
      <c r="J546" s="29" t="n">
        <v>13950</v>
      </c>
      <c r="K546" s="28" t="n">
        <v>5.5</v>
      </c>
      <c r="L546" s="28" t="n">
        <v>84</v>
      </c>
      <c r="M546" s="28" t="n">
        <v>1</v>
      </c>
    </row>
    <row r="547" customFormat="false" ht="15" hidden="false" customHeight="false" outlineLevel="0" collapsed="false">
      <c r="A547" s="27" t="n">
        <v>44109</v>
      </c>
      <c r="B547" s="28" t="n">
        <v>2021</v>
      </c>
      <c r="C547" s="28" t="s">
        <v>312</v>
      </c>
      <c r="D547" s="28" t="s">
        <v>42</v>
      </c>
      <c r="E547" s="28" t="s">
        <v>180</v>
      </c>
      <c r="F547" s="28" t="s">
        <v>142</v>
      </c>
      <c r="G547" s="28" t="s">
        <v>143</v>
      </c>
      <c r="H547" s="28" t="s">
        <v>404</v>
      </c>
      <c r="I547" s="29" t="n">
        <v>1804000</v>
      </c>
      <c r="J547" s="29" t="n">
        <v>1353000</v>
      </c>
      <c r="K547" s="28" t="n">
        <v>4.95</v>
      </c>
      <c r="L547" s="28" t="n">
        <v>300</v>
      </c>
      <c r="M547" s="28" t="n">
        <v>58</v>
      </c>
    </row>
    <row r="548" customFormat="false" ht="15" hidden="false" customHeight="false" outlineLevel="0" collapsed="false">
      <c r="A548" s="27" t="n">
        <v>44111</v>
      </c>
      <c r="B548" s="28" t="n">
        <v>2021</v>
      </c>
      <c r="C548" s="28" t="s">
        <v>169</v>
      </c>
      <c r="D548" s="28" t="s">
        <v>56</v>
      </c>
      <c r="E548" s="28" t="s">
        <v>185</v>
      </c>
      <c r="F548" s="28" t="s">
        <v>142</v>
      </c>
      <c r="G548" s="28" t="s">
        <v>441</v>
      </c>
      <c r="H548" s="28" t="s">
        <v>168</v>
      </c>
      <c r="I548" s="29" t="n">
        <v>537500</v>
      </c>
      <c r="J548" s="29" t="n">
        <v>403125</v>
      </c>
      <c r="K548" s="28" t="n">
        <v>3</v>
      </c>
      <c r="L548" s="28" t="n">
        <v>300</v>
      </c>
      <c r="M548" s="28" t="n">
        <v>11</v>
      </c>
    </row>
    <row r="549" customFormat="false" ht="15" hidden="false" customHeight="false" outlineLevel="0" collapsed="false">
      <c r="A549" s="27" t="n">
        <v>44111</v>
      </c>
      <c r="B549" s="28" t="n">
        <v>2021</v>
      </c>
      <c r="C549" s="28" t="s">
        <v>206</v>
      </c>
      <c r="D549" s="28" t="s">
        <v>46</v>
      </c>
      <c r="E549" s="28" t="s">
        <v>538</v>
      </c>
      <c r="F549" s="28" t="s">
        <v>142</v>
      </c>
      <c r="G549" s="28" t="s">
        <v>143</v>
      </c>
      <c r="H549" s="28" t="s">
        <v>382</v>
      </c>
      <c r="I549" s="29" t="n">
        <v>296900</v>
      </c>
      <c r="J549" s="29" t="n">
        <v>222675</v>
      </c>
      <c r="K549" s="28" t="n">
        <v>6</v>
      </c>
      <c r="L549" s="28" t="n">
        <v>120</v>
      </c>
      <c r="M549" s="28" t="n">
        <v>8</v>
      </c>
    </row>
    <row r="550" customFormat="false" ht="15" hidden="false" customHeight="false" outlineLevel="0" collapsed="false">
      <c r="A550" s="27" t="n">
        <v>44112</v>
      </c>
      <c r="B550" s="28" t="n">
        <v>2021</v>
      </c>
      <c r="C550" s="28" t="s">
        <v>203</v>
      </c>
      <c r="D550" s="28" t="s">
        <v>43</v>
      </c>
      <c r="E550" s="28" t="s">
        <v>539</v>
      </c>
      <c r="F550" s="28" t="s">
        <v>142</v>
      </c>
      <c r="G550" s="28" t="s">
        <v>148</v>
      </c>
      <c r="H550" s="28" t="s">
        <v>229</v>
      </c>
      <c r="I550" s="29" t="n">
        <v>95000</v>
      </c>
      <c r="J550" s="29" t="n">
        <v>80750</v>
      </c>
      <c r="K550" s="28" t="n">
        <v>6</v>
      </c>
      <c r="L550" s="28" t="n">
        <v>120</v>
      </c>
      <c r="M550" s="28" t="n">
        <v>2</v>
      </c>
    </row>
    <row r="551" customFormat="false" ht="15" hidden="false" customHeight="false" outlineLevel="0" collapsed="false">
      <c r="A551" s="27" t="n">
        <v>44112</v>
      </c>
      <c r="B551" s="28" t="n">
        <v>2021</v>
      </c>
      <c r="C551" s="28" t="s">
        <v>332</v>
      </c>
      <c r="D551" s="28" t="s">
        <v>50</v>
      </c>
      <c r="E551" s="28" t="s">
        <v>370</v>
      </c>
      <c r="F551" s="28" t="s">
        <v>147</v>
      </c>
      <c r="G551" s="28" t="s">
        <v>148</v>
      </c>
      <c r="H551" s="28" t="s">
        <v>168</v>
      </c>
      <c r="I551" s="29" t="n">
        <v>100000</v>
      </c>
      <c r="J551" s="29" t="n">
        <v>50000</v>
      </c>
      <c r="K551" s="28" t="n">
        <v>5.25</v>
      </c>
      <c r="L551" s="28" t="n">
        <v>120</v>
      </c>
      <c r="M551" s="28" t="n">
        <v>16</v>
      </c>
    </row>
    <row r="552" customFormat="false" ht="15" hidden="false" customHeight="false" outlineLevel="0" collapsed="false">
      <c r="A552" s="27" t="n">
        <v>44112</v>
      </c>
      <c r="B552" s="28" t="n">
        <v>2021</v>
      </c>
      <c r="C552" s="28" t="s">
        <v>172</v>
      </c>
      <c r="D552" s="28" t="s">
        <v>42</v>
      </c>
      <c r="E552" s="28" t="s">
        <v>164</v>
      </c>
      <c r="F552" s="28" t="s">
        <v>147</v>
      </c>
      <c r="G552" s="28" t="s">
        <v>148</v>
      </c>
      <c r="H552" s="28" t="s">
        <v>159</v>
      </c>
      <c r="I552" s="29" t="n">
        <v>100000</v>
      </c>
      <c r="J552" s="29" t="n">
        <v>50000</v>
      </c>
      <c r="K552" s="28" t="n">
        <v>6.25</v>
      </c>
      <c r="L552" s="28" t="n">
        <v>91</v>
      </c>
      <c r="M552" s="28" t="n">
        <v>9</v>
      </c>
    </row>
    <row r="553" customFormat="false" ht="15" hidden="false" customHeight="false" outlineLevel="0" collapsed="false">
      <c r="A553" s="27" t="n">
        <v>44112</v>
      </c>
      <c r="B553" s="28" t="n">
        <v>2021</v>
      </c>
      <c r="C553" s="28" t="s">
        <v>540</v>
      </c>
      <c r="D553" s="28" t="s">
        <v>43</v>
      </c>
      <c r="E553" s="28" t="s">
        <v>264</v>
      </c>
      <c r="F553" s="28" t="s">
        <v>142</v>
      </c>
      <c r="G553" s="28" t="s">
        <v>152</v>
      </c>
      <c r="H553" s="28" t="s">
        <v>314</v>
      </c>
      <c r="I553" s="29" t="n">
        <v>1220000</v>
      </c>
      <c r="J553" s="29" t="n">
        <v>915000</v>
      </c>
      <c r="K553" s="28" t="n">
        <v>5</v>
      </c>
      <c r="L553" s="28" t="n">
        <v>262</v>
      </c>
      <c r="M553" s="28" t="n">
        <v>11</v>
      </c>
    </row>
    <row r="554" customFormat="false" ht="15" hidden="false" customHeight="false" outlineLevel="0" collapsed="false">
      <c r="A554" s="27" t="n">
        <v>44118</v>
      </c>
      <c r="B554" s="28" t="n">
        <v>2021</v>
      </c>
      <c r="C554" s="28" t="s">
        <v>216</v>
      </c>
      <c r="D554" s="28" t="s">
        <v>48</v>
      </c>
      <c r="E554" s="28" t="s">
        <v>210</v>
      </c>
      <c r="F554" s="28" t="s">
        <v>142</v>
      </c>
      <c r="G554" s="28" t="s">
        <v>152</v>
      </c>
      <c r="H554" s="28" t="s">
        <v>144</v>
      </c>
      <c r="I554" s="29" t="n">
        <v>380000</v>
      </c>
      <c r="J554" s="29" t="n">
        <v>285000</v>
      </c>
      <c r="K554" s="28" t="n">
        <v>6</v>
      </c>
      <c r="L554" s="28" t="n">
        <v>120</v>
      </c>
      <c r="M554" s="28" t="n">
        <v>6</v>
      </c>
    </row>
    <row r="555" customFormat="false" ht="15" hidden="false" customHeight="false" outlineLevel="0" collapsed="false">
      <c r="A555" s="27" t="n">
        <v>44118</v>
      </c>
      <c r="B555" s="28" t="n">
        <v>2021</v>
      </c>
      <c r="C555" s="28" t="s">
        <v>160</v>
      </c>
      <c r="D555" s="28" t="s">
        <v>43</v>
      </c>
      <c r="E555" s="28" t="s">
        <v>541</v>
      </c>
      <c r="F555" s="28" t="s">
        <v>142</v>
      </c>
      <c r="G555" s="28" t="s">
        <v>148</v>
      </c>
      <c r="H555" s="28" t="s">
        <v>248</v>
      </c>
      <c r="I555" s="29" t="n">
        <v>144500</v>
      </c>
      <c r="J555" s="29" t="n">
        <v>122825</v>
      </c>
      <c r="K555" s="28" t="n">
        <v>4.25</v>
      </c>
      <c r="L555" s="28" t="n">
        <v>180</v>
      </c>
      <c r="M555" s="28" t="n">
        <v>8</v>
      </c>
    </row>
    <row r="556" customFormat="false" ht="15" hidden="false" customHeight="false" outlineLevel="0" collapsed="false">
      <c r="A556" s="27" t="n">
        <v>44118</v>
      </c>
      <c r="B556" s="28" t="n">
        <v>2021</v>
      </c>
      <c r="C556" s="28" t="s">
        <v>216</v>
      </c>
      <c r="D556" s="28" t="s">
        <v>48</v>
      </c>
      <c r="E556" s="28" t="s">
        <v>210</v>
      </c>
      <c r="F556" s="28" t="s">
        <v>147</v>
      </c>
      <c r="G556" s="28" t="s">
        <v>152</v>
      </c>
      <c r="H556" s="28" t="s">
        <v>144</v>
      </c>
      <c r="I556" s="29" t="n">
        <v>150000</v>
      </c>
      <c r="J556" s="29" t="n">
        <v>75000</v>
      </c>
      <c r="K556" s="28" t="n">
        <v>6</v>
      </c>
      <c r="L556" s="28" t="n">
        <v>120</v>
      </c>
      <c r="M556" s="28" t="n">
        <v>6</v>
      </c>
    </row>
    <row r="557" customFormat="false" ht="15" hidden="false" customHeight="false" outlineLevel="0" collapsed="false">
      <c r="A557" s="27" t="n">
        <v>44118</v>
      </c>
      <c r="B557" s="28" t="n">
        <v>2021</v>
      </c>
      <c r="C557" s="28" t="s">
        <v>198</v>
      </c>
      <c r="D557" s="28" t="s">
        <v>42</v>
      </c>
      <c r="E557" s="28" t="s">
        <v>164</v>
      </c>
      <c r="F557" s="28" t="s">
        <v>147</v>
      </c>
      <c r="G557" s="28" t="s">
        <v>441</v>
      </c>
      <c r="H557" s="28" t="s">
        <v>168</v>
      </c>
      <c r="I557" s="29" t="n">
        <v>10000</v>
      </c>
      <c r="J557" s="29" t="n">
        <v>5000</v>
      </c>
      <c r="K557" s="28" t="n">
        <v>9.25</v>
      </c>
      <c r="L557" s="28" t="n">
        <v>120</v>
      </c>
      <c r="M557" s="28" t="n">
        <v>0</v>
      </c>
    </row>
    <row r="558" customFormat="false" ht="15" hidden="false" customHeight="false" outlineLevel="0" collapsed="false">
      <c r="A558" s="27" t="n">
        <v>44120</v>
      </c>
      <c r="B558" s="28" t="n">
        <v>2021</v>
      </c>
      <c r="C558" s="28" t="s">
        <v>145</v>
      </c>
      <c r="D558" s="28" t="s">
        <v>50</v>
      </c>
      <c r="E558" s="28" t="s">
        <v>366</v>
      </c>
      <c r="F558" s="28" t="s">
        <v>142</v>
      </c>
      <c r="G558" s="28" t="s">
        <v>143</v>
      </c>
      <c r="H558" s="28" t="s">
        <v>287</v>
      </c>
      <c r="I558" s="29" t="n">
        <v>150000</v>
      </c>
      <c r="J558" s="29" t="n">
        <v>127500</v>
      </c>
      <c r="K558" s="28" t="n">
        <v>6</v>
      </c>
      <c r="L558" s="28" t="n">
        <v>120</v>
      </c>
      <c r="M558" s="28" t="n">
        <v>4</v>
      </c>
    </row>
    <row r="559" customFormat="false" ht="15" hidden="false" customHeight="false" outlineLevel="0" collapsed="false">
      <c r="A559" s="27" t="n">
        <v>44123</v>
      </c>
      <c r="B559" s="28" t="n">
        <v>2021</v>
      </c>
      <c r="C559" s="28" t="s">
        <v>504</v>
      </c>
      <c r="D559" s="28" t="s">
        <v>45</v>
      </c>
      <c r="E559" s="28" t="s">
        <v>202</v>
      </c>
      <c r="F559" s="28" t="s">
        <v>194</v>
      </c>
      <c r="G559" s="28" t="s">
        <v>143</v>
      </c>
      <c r="H559" s="28" t="s">
        <v>195</v>
      </c>
      <c r="I559" s="29" t="n">
        <v>15000</v>
      </c>
      <c r="J559" s="29" t="n">
        <v>12750</v>
      </c>
      <c r="K559" s="28" t="n">
        <v>6.5</v>
      </c>
      <c r="L559" s="28" t="n">
        <v>140</v>
      </c>
      <c r="M559" s="28" t="n">
        <v>1</v>
      </c>
    </row>
    <row r="560" customFormat="false" ht="15" hidden="false" customHeight="false" outlineLevel="0" collapsed="false">
      <c r="A560" s="27" t="n">
        <v>44124</v>
      </c>
      <c r="B560" s="28" t="n">
        <v>2021</v>
      </c>
      <c r="C560" s="28" t="s">
        <v>169</v>
      </c>
      <c r="D560" s="28" t="s">
        <v>43</v>
      </c>
      <c r="E560" s="28" t="s">
        <v>542</v>
      </c>
      <c r="F560" s="28" t="s">
        <v>142</v>
      </c>
      <c r="G560" s="28" t="s">
        <v>143</v>
      </c>
      <c r="H560" s="28" t="s">
        <v>453</v>
      </c>
      <c r="I560" s="29" t="n">
        <v>73100</v>
      </c>
      <c r="J560" s="29" t="n">
        <v>62135</v>
      </c>
      <c r="K560" s="28" t="n">
        <v>6</v>
      </c>
      <c r="L560" s="28" t="n">
        <v>66</v>
      </c>
      <c r="M560" s="28" t="n">
        <v>2</v>
      </c>
    </row>
    <row r="561" customFormat="false" ht="15" hidden="false" customHeight="false" outlineLevel="0" collapsed="false">
      <c r="A561" s="27" t="n">
        <v>44124</v>
      </c>
      <c r="B561" s="28" t="n">
        <v>2021</v>
      </c>
      <c r="C561" s="28" t="s">
        <v>235</v>
      </c>
      <c r="D561" s="28" t="s">
        <v>47</v>
      </c>
      <c r="E561" s="28" t="s">
        <v>543</v>
      </c>
      <c r="F561" s="28" t="s">
        <v>147</v>
      </c>
      <c r="G561" s="28" t="s">
        <v>148</v>
      </c>
      <c r="H561" s="28" t="s">
        <v>220</v>
      </c>
      <c r="I561" s="29" t="n">
        <v>107000</v>
      </c>
      <c r="J561" s="29" t="n">
        <v>53500</v>
      </c>
      <c r="K561" s="28" t="n">
        <v>6</v>
      </c>
      <c r="L561" s="28" t="n">
        <v>120</v>
      </c>
      <c r="M561" s="28" t="n">
        <v>7</v>
      </c>
    </row>
    <row r="562" customFormat="false" ht="15" hidden="false" customHeight="false" outlineLevel="0" collapsed="false">
      <c r="A562" s="27" t="n">
        <v>44125</v>
      </c>
      <c r="B562" s="28" t="n">
        <v>2021</v>
      </c>
      <c r="C562" s="28" t="s">
        <v>172</v>
      </c>
      <c r="D562" s="28" t="s">
        <v>48</v>
      </c>
      <c r="E562" s="28" t="s">
        <v>436</v>
      </c>
      <c r="F562" s="28" t="s">
        <v>147</v>
      </c>
      <c r="G562" s="28" t="s">
        <v>148</v>
      </c>
      <c r="H562" s="28" t="s">
        <v>159</v>
      </c>
      <c r="I562" s="29" t="n">
        <v>500000</v>
      </c>
      <c r="J562" s="29" t="n">
        <v>250000</v>
      </c>
      <c r="K562" s="28" t="n">
        <v>7.75</v>
      </c>
      <c r="L562" s="28" t="n">
        <v>120</v>
      </c>
      <c r="M562" s="28" t="n">
        <v>4</v>
      </c>
    </row>
    <row r="563" customFormat="false" ht="15" hidden="false" customHeight="false" outlineLevel="0" collapsed="false">
      <c r="A563" s="27" t="n">
        <v>44125</v>
      </c>
      <c r="B563" s="28" t="n">
        <v>2021</v>
      </c>
      <c r="C563" s="28" t="s">
        <v>172</v>
      </c>
      <c r="D563" s="28" t="s">
        <v>46</v>
      </c>
      <c r="E563" s="28" t="s">
        <v>262</v>
      </c>
      <c r="F563" s="28" t="s">
        <v>283</v>
      </c>
      <c r="G563" s="28" t="s">
        <v>148</v>
      </c>
      <c r="H563" s="28" t="s">
        <v>433</v>
      </c>
      <c r="I563" s="29" t="n">
        <v>240000</v>
      </c>
      <c r="J563" s="29" t="n">
        <v>180000</v>
      </c>
      <c r="K563" s="28" t="n">
        <v>6.5</v>
      </c>
      <c r="L563" s="28" t="n">
        <v>120</v>
      </c>
      <c r="M563" s="28" t="n">
        <v>41</v>
      </c>
    </row>
    <row r="564" customFormat="false" ht="15" hidden="false" customHeight="false" outlineLevel="0" collapsed="false">
      <c r="A564" s="27" t="n">
        <v>44125</v>
      </c>
      <c r="B564" s="28" t="n">
        <v>2021</v>
      </c>
      <c r="C564" s="28" t="s">
        <v>504</v>
      </c>
      <c r="D564" s="28" t="s">
        <v>45</v>
      </c>
      <c r="E564" s="28" t="s">
        <v>222</v>
      </c>
      <c r="F564" s="28" t="s">
        <v>142</v>
      </c>
      <c r="G564" s="28" t="s">
        <v>143</v>
      </c>
      <c r="H564" s="28" t="s">
        <v>165</v>
      </c>
      <c r="I564" s="29" t="n">
        <v>742000</v>
      </c>
      <c r="J564" s="29" t="n">
        <v>556500</v>
      </c>
      <c r="K564" s="28" t="n">
        <v>5.5</v>
      </c>
      <c r="L564" s="28" t="n">
        <v>120</v>
      </c>
      <c r="M564" s="28" t="n">
        <v>17</v>
      </c>
    </row>
    <row r="565" customFormat="false" ht="15" hidden="false" customHeight="false" outlineLevel="0" collapsed="false">
      <c r="A565" s="27" t="n">
        <v>44126</v>
      </c>
      <c r="B565" s="28" t="n">
        <v>2021</v>
      </c>
      <c r="C565" s="28" t="s">
        <v>172</v>
      </c>
      <c r="D565" s="28" t="s">
        <v>52</v>
      </c>
      <c r="E565" s="28" t="s">
        <v>468</v>
      </c>
      <c r="F565" s="28" t="s">
        <v>142</v>
      </c>
      <c r="G565" s="28" t="s">
        <v>441</v>
      </c>
      <c r="H565" s="28" t="s">
        <v>200</v>
      </c>
      <c r="I565" s="29" t="n">
        <v>243000</v>
      </c>
      <c r="J565" s="29" t="n">
        <v>182250</v>
      </c>
      <c r="K565" s="28" t="n">
        <v>6</v>
      </c>
      <c r="L565" s="28" t="n">
        <v>120</v>
      </c>
      <c r="M565" s="28" t="n">
        <v>38</v>
      </c>
    </row>
    <row r="566" customFormat="false" ht="15" hidden="false" customHeight="false" outlineLevel="0" collapsed="false">
      <c r="A566" s="27" t="n">
        <v>44126</v>
      </c>
      <c r="B566" s="28" t="n">
        <v>2021</v>
      </c>
      <c r="C566" s="28" t="s">
        <v>166</v>
      </c>
      <c r="D566" s="28" t="s">
        <v>48</v>
      </c>
      <c r="E566" s="28" t="s">
        <v>182</v>
      </c>
      <c r="F566" s="28" t="s">
        <v>142</v>
      </c>
      <c r="G566" s="28" t="s">
        <v>148</v>
      </c>
      <c r="H566" s="28" t="s">
        <v>200</v>
      </c>
      <c r="I566" s="29" t="n">
        <v>438000</v>
      </c>
      <c r="J566" s="29" t="n">
        <v>328500</v>
      </c>
      <c r="K566" s="28" t="n">
        <v>6</v>
      </c>
      <c r="L566" s="28" t="n">
        <v>63</v>
      </c>
      <c r="M566" s="28" t="n">
        <v>26</v>
      </c>
    </row>
    <row r="567" customFormat="false" ht="15" hidden="false" customHeight="false" outlineLevel="0" collapsed="false">
      <c r="A567" s="27" t="n">
        <v>44126</v>
      </c>
      <c r="B567" s="28" t="n">
        <v>2021</v>
      </c>
      <c r="C567" s="28" t="s">
        <v>423</v>
      </c>
      <c r="D567" s="28" t="s">
        <v>42</v>
      </c>
      <c r="E567" s="28" t="s">
        <v>247</v>
      </c>
      <c r="F567" s="28" t="s">
        <v>142</v>
      </c>
      <c r="G567" s="28" t="s">
        <v>152</v>
      </c>
      <c r="H567" s="28" t="s">
        <v>326</v>
      </c>
      <c r="I567" s="29" t="n">
        <v>1000000</v>
      </c>
      <c r="J567" s="29" t="n">
        <v>750000</v>
      </c>
      <c r="K567" s="28" t="n">
        <v>5.5</v>
      </c>
      <c r="L567" s="28" t="n">
        <v>300</v>
      </c>
      <c r="M567" s="28" t="n">
        <v>13</v>
      </c>
    </row>
    <row r="568" customFormat="false" ht="15" hidden="false" customHeight="false" outlineLevel="0" collapsed="false">
      <c r="A568" s="27" t="n">
        <v>44127</v>
      </c>
      <c r="B568" s="28" t="n">
        <v>2021</v>
      </c>
      <c r="C568" s="28" t="s">
        <v>166</v>
      </c>
      <c r="D568" s="28" t="s">
        <v>43</v>
      </c>
      <c r="E568" s="28" t="s">
        <v>539</v>
      </c>
      <c r="F568" s="28" t="s">
        <v>147</v>
      </c>
      <c r="G568" s="28" t="s">
        <v>148</v>
      </c>
      <c r="H568" s="28" t="s">
        <v>159</v>
      </c>
      <c r="I568" s="29" t="n">
        <v>65000</v>
      </c>
      <c r="J568" s="29" t="n">
        <v>32500</v>
      </c>
      <c r="K568" s="28" t="n">
        <v>4.5</v>
      </c>
      <c r="L568" s="28" t="n">
        <v>60</v>
      </c>
      <c r="M568" s="28" t="n">
        <v>0</v>
      </c>
    </row>
    <row r="569" customFormat="false" ht="15" hidden="false" customHeight="false" outlineLevel="0" collapsed="false">
      <c r="A569" s="27" t="n">
        <v>44127</v>
      </c>
      <c r="B569" s="28" t="n">
        <v>2021</v>
      </c>
      <c r="C569" s="28" t="s">
        <v>169</v>
      </c>
      <c r="D569" s="28" t="s">
        <v>42</v>
      </c>
      <c r="E569" s="28" t="s">
        <v>180</v>
      </c>
      <c r="F569" s="28" t="s">
        <v>142</v>
      </c>
      <c r="G569" s="28" t="s">
        <v>148</v>
      </c>
      <c r="H569" s="28" t="s">
        <v>179</v>
      </c>
      <c r="I569" s="29" t="n">
        <v>375000</v>
      </c>
      <c r="J569" s="29" t="n">
        <v>281250</v>
      </c>
      <c r="K569" s="28" t="n">
        <v>6</v>
      </c>
      <c r="L569" s="28" t="n">
        <v>180</v>
      </c>
      <c r="M569" s="28" t="n">
        <v>22</v>
      </c>
    </row>
    <row r="570" customFormat="false" ht="15" hidden="false" customHeight="false" outlineLevel="0" collapsed="false">
      <c r="A570" s="27" t="n">
        <v>44127</v>
      </c>
      <c r="B570" s="28" t="n">
        <v>2021</v>
      </c>
      <c r="C570" s="28" t="s">
        <v>172</v>
      </c>
      <c r="D570" s="28" t="s">
        <v>48</v>
      </c>
      <c r="E570" s="28" t="s">
        <v>295</v>
      </c>
      <c r="F570" s="28" t="s">
        <v>147</v>
      </c>
      <c r="G570" s="28" t="s">
        <v>143</v>
      </c>
      <c r="H570" s="28" t="s">
        <v>159</v>
      </c>
      <c r="I570" s="29" t="n">
        <v>100000</v>
      </c>
      <c r="J570" s="29" t="n">
        <v>50000</v>
      </c>
      <c r="K570" s="28" t="n">
        <v>7.75</v>
      </c>
      <c r="L570" s="28" t="n">
        <v>120</v>
      </c>
      <c r="M570" s="28" t="n">
        <v>7</v>
      </c>
    </row>
    <row r="571" customFormat="false" ht="15" hidden="false" customHeight="false" outlineLevel="0" collapsed="false">
      <c r="A571" s="27" t="n">
        <v>44128</v>
      </c>
      <c r="B571" s="28" t="n">
        <v>2021</v>
      </c>
      <c r="C571" s="28" t="s">
        <v>140</v>
      </c>
      <c r="D571" s="28" t="s">
        <v>47</v>
      </c>
      <c r="E571" s="28" t="s">
        <v>398</v>
      </c>
      <c r="F571" s="28" t="s">
        <v>147</v>
      </c>
      <c r="G571" s="28" t="s">
        <v>441</v>
      </c>
      <c r="H571" s="28" t="s">
        <v>168</v>
      </c>
      <c r="I571" s="29" t="n">
        <v>10000</v>
      </c>
      <c r="J571" s="29" t="n">
        <v>5000</v>
      </c>
      <c r="K571" s="28" t="n">
        <v>9.25</v>
      </c>
      <c r="L571" s="28" t="n">
        <v>120</v>
      </c>
      <c r="M571" s="28" t="n">
        <v>0</v>
      </c>
    </row>
    <row r="572" customFormat="false" ht="15" hidden="false" customHeight="false" outlineLevel="0" collapsed="false">
      <c r="A572" s="27" t="n">
        <v>44130</v>
      </c>
      <c r="B572" s="28" t="n">
        <v>2021</v>
      </c>
      <c r="C572" s="28" t="s">
        <v>150</v>
      </c>
      <c r="D572" s="28" t="s">
        <v>43</v>
      </c>
      <c r="E572" s="28" t="s">
        <v>190</v>
      </c>
      <c r="F572" s="28" t="s">
        <v>147</v>
      </c>
      <c r="G572" s="28" t="s">
        <v>143</v>
      </c>
      <c r="H572" s="28" t="s">
        <v>449</v>
      </c>
      <c r="I572" s="29" t="n">
        <v>73200</v>
      </c>
      <c r="J572" s="29" t="n">
        <v>36600</v>
      </c>
      <c r="K572" s="28" t="n">
        <v>5.25</v>
      </c>
      <c r="L572" s="28" t="n">
        <v>72</v>
      </c>
      <c r="M572" s="28" t="n">
        <v>5</v>
      </c>
    </row>
    <row r="573" customFormat="false" ht="15" hidden="false" customHeight="false" outlineLevel="0" collapsed="false">
      <c r="A573" s="27" t="n">
        <v>44130</v>
      </c>
      <c r="B573" s="28" t="n">
        <v>2021</v>
      </c>
      <c r="C573" s="28" t="s">
        <v>249</v>
      </c>
      <c r="D573" s="28" t="s">
        <v>48</v>
      </c>
      <c r="E573" s="28" t="s">
        <v>544</v>
      </c>
      <c r="F573" s="28" t="s">
        <v>147</v>
      </c>
      <c r="G573" s="28" t="s">
        <v>441</v>
      </c>
      <c r="H573" s="28" t="s">
        <v>168</v>
      </c>
      <c r="I573" s="29" t="n">
        <v>10000</v>
      </c>
      <c r="J573" s="29" t="n">
        <v>5000</v>
      </c>
      <c r="K573" s="28" t="n">
        <v>9.25</v>
      </c>
      <c r="L573" s="28" t="n">
        <v>100</v>
      </c>
      <c r="M573" s="28" t="n">
        <v>0</v>
      </c>
    </row>
    <row r="574" customFormat="false" ht="15" hidden="false" customHeight="false" outlineLevel="0" collapsed="false">
      <c r="A574" s="27" t="n">
        <v>44131</v>
      </c>
      <c r="B574" s="28" t="n">
        <v>2021</v>
      </c>
      <c r="C574" s="28" t="s">
        <v>140</v>
      </c>
      <c r="D574" s="28" t="s">
        <v>45</v>
      </c>
      <c r="E574" s="28" t="s">
        <v>222</v>
      </c>
      <c r="F574" s="28" t="s">
        <v>147</v>
      </c>
      <c r="G574" s="28" t="s">
        <v>441</v>
      </c>
      <c r="H574" s="28" t="s">
        <v>168</v>
      </c>
      <c r="I574" s="29" t="n">
        <v>10000</v>
      </c>
      <c r="J574" s="29" t="n">
        <v>5000</v>
      </c>
      <c r="K574" s="28" t="n">
        <v>8.75</v>
      </c>
      <c r="L574" s="28" t="n">
        <v>120</v>
      </c>
      <c r="M574" s="28" t="n">
        <v>3</v>
      </c>
    </row>
    <row r="575" customFormat="false" ht="15" hidden="false" customHeight="false" outlineLevel="0" collapsed="false">
      <c r="A575" s="27" t="n">
        <v>44131</v>
      </c>
      <c r="B575" s="28" t="n">
        <v>2021</v>
      </c>
      <c r="C575" s="28" t="s">
        <v>230</v>
      </c>
      <c r="D575" s="28" t="s">
        <v>50</v>
      </c>
      <c r="E575" s="28" t="s">
        <v>193</v>
      </c>
      <c r="F575" s="28" t="s">
        <v>147</v>
      </c>
      <c r="G575" s="28" t="s">
        <v>148</v>
      </c>
      <c r="H575" s="28" t="s">
        <v>220</v>
      </c>
      <c r="I575" s="29" t="n">
        <v>100000</v>
      </c>
      <c r="J575" s="29" t="n">
        <v>50000</v>
      </c>
      <c r="K575" s="28" t="n">
        <v>7</v>
      </c>
      <c r="L575" s="28" t="n">
        <v>72</v>
      </c>
      <c r="M575" s="28" t="n">
        <v>7</v>
      </c>
    </row>
    <row r="576" customFormat="false" ht="15" hidden="false" customHeight="false" outlineLevel="0" collapsed="false">
      <c r="A576" s="27" t="n">
        <v>44131</v>
      </c>
      <c r="B576" s="28" t="n">
        <v>2021</v>
      </c>
      <c r="C576" s="28" t="s">
        <v>166</v>
      </c>
      <c r="D576" s="28" t="s">
        <v>51</v>
      </c>
      <c r="E576" s="28" t="s">
        <v>239</v>
      </c>
      <c r="F576" s="28" t="s">
        <v>142</v>
      </c>
      <c r="G576" s="28" t="s">
        <v>441</v>
      </c>
      <c r="H576" s="28" t="s">
        <v>382</v>
      </c>
      <c r="I576" s="29" t="n">
        <v>439000</v>
      </c>
      <c r="J576" s="29" t="n">
        <v>329250</v>
      </c>
      <c r="K576" s="28" t="n">
        <v>6</v>
      </c>
      <c r="L576" s="28" t="n">
        <v>123</v>
      </c>
      <c r="M576" s="28" t="n">
        <v>28</v>
      </c>
    </row>
    <row r="577" customFormat="false" ht="15" hidden="false" customHeight="false" outlineLevel="0" collapsed="false">
      <c r="A577" s="27" t="n">
        <v>44131</v>
      </c>
      <c r="B577" s="28" t="n">
        <v>2021</v>
      </c>
      <c r="C577" s="28" t="s">
        <v>166</v>
      </c>
      <c r="D577" s="28" t="s">
        <v>43</v>
      </c>
      <c r="E577" s="28" t="s">
        <v>525</v>
      </c>
      <c r="F577" s="28" t="s">
        <v>142</v>
      </c>
      <c r="G577" s="28" t="s">
        <v>143</v>
      </c>
      <c r="H577" s="28" t="s">
        <v>287</v>
      </c>
      <c r="I577" s="29" t="n">
        <v>125000</v>
      </c>
      <c r="J577" s="29" t="n">
        <v>106250</v>
      </c>
      <c r="K577" s="28" t="n">
        <v>6</v>
      </c>
      <c r="L577" s="28" t="n">
        <v>120</v>
      </c>
      <c r="M577" s="28" t="n">
        <v>1</v>
      </c>
    </row>
    <row r="578" customFormat="false" ht="15" hidden="false" customHeight="false" outlineLevel="0" collapsed="false">
      <c r="A578" s="27" t="n">
        <v>44132</v>
      </c>
      <c r="B578" s="28" t="n">
        <v>2021</v>
      </c>
      <c r="C578" s="28" t="s">
        <v>140</v>
      </c>
      <c r="D578" s="28" t="s">
        <v>43</v>
      </c>
      <c r="E578" s="28" t="s">
        <v>245</v>
      </c>
      <c r="F578" s="28" t="s">
        <v>142</v>
      </c>
      <c r="G578" s="28" t="s">
        <v>148</v>
      </c>
      <c r="H578" s="28" t="s">
        <v>165</v>
      </c>
      <c r="I578" s="29" t="n">
        <v>1676500</v>
      </c>
      <c r="J578" s="29" t="n">
        <v>1257375</v>
      </c>
      <c r="K578" s="28" t="n">
        <v>5.5</v>
      </c>
      <c r="L578" s="28" t="n">
        <v>120</v>
      </c>
      <c r="M578" s="28" t="n">
        <v>22</v>
      </c>
    </row>
    <row r="579" customFormat="false" ht="15" hidden="false" customHeight="false" outlineLevel="0" collapsed="false">
      <c r="A579" s="27" t="n">
        <v>44132</v>
      </c>
      <c r="B579" s="28" t="n">
        <v>2021</v>
      </c>
      <c r="C579" s="28" t="s">
        <v>198</v>
      </c>
      <c r="D579" s="28" t="s">
        <v>45</v>
      </c>
      <c r="E579" s="28" t="s">
        <v>480</v>
      </c>
      <c r="F579" s="28" t="s">
        <v>142</v>
      </c>
      <c r="G579" s="28" t="s">
        <v>148</v>
      </c>
      <c r="H579" s="28" t="s">
        <v>211</v>
      </c>
      <c r="I579" s="29" t="n">
        <v>350000</v>
      </c>
      <c r="J579" s="29" t="n">
        <v>262500</v>
      </c>
      <c r="K579" s="28" t="n">
        <v>6</v>
      </c>
      <c r="L579" s="28" t="n">
        <v>120</v>
      </c>
      <c r="M579" s="28" t="n">
        <v>25</v>
      </c>
    </row>
    <row r="580" customFormat="false" ht="15" hidden="false" customHeight="false" outlineLevel="0" collapsed="false">
      <c r="A580" s="27" t="n">
        <v>44132</v>
      </c>
      <c r="B580" s="28" t="n">
        <v>2021</v>
      </c>
      <c r="C580" s="28" t="s">
        <v>510</v>
      </c>
      <c r="D580" s="28" t="s">
        <v>47</v>
      </c>
      <c r="E580" s="28" t="s">
        <v>489</v>
      </c>
      <c r="F580" s="28" t="s">
        <v>147</v>
      </c>
      <c r="G580" s="28" t="s">
        <v>441</v>
      </c>
      <c r="H580" s="28" t="s">
        <v>266</v>
      </c>
      <c r="I580" s="29" t="n">
        <v>200000</v>
      </c>
      <c r="J580" s="29" t="n">
        <v>180000</v>
      </c>
      <c r="K580" s="28" t="n">
        <v>5</v>
      </c>
      <c r="L580" s="28" t="n">
        <v>72</v>
      </c>
      <c r="M580" s="28" t="n">
        <v>10</v>
      </c>
    </row>
    <row r="581" customFormat="false" ht="15" hidden="false" customHeight="false" outlineLevel="0" collapsed="false">
      <c r="A581" s="27" t="n">
        <v>44133</v>
      </c>
      <c r="B581" s="28" t="n">
        <v>2021</v>
      </c>
      <c r="C581" s="28" t="s">
        <v>540</v>
      </c>
      <c r="D581" s="28" t="s">
        <v>47</v>
      </c>
      <c r="E581" s="28" t="s">
        <v>545</v>
      </c>
      <c r="F581" s="28" t="s">
        <v>142</v>
      </c>
      <c r="G581" s="28" t="s">
        <v>148</v>
      </c>
      <c r="H581" s="28" t="s">
        <v>382</v>
      </c>
      <c r="I581" s="29" t="n">
        <v>599700</v>
      </c>
      <c r="J581" s="29" t="n">
        <v>449775</v>
      </c>
      <c r="K581" s="28" t="n">
        <v>5.75</v>
      </c>
      <c r="L581" s="28" t="n">
        <v>120</v>
      </c>
      <c r="M581" s="28" t="n">
        <v>0</v>
      </c>
    </row>
    <row r="582" customFormat="false" ht="15" hidden="false" customHeight="false" outlineLevel="0" collapsed="false">
      <c r="A582" s="27" t="n">
        <v>44133</v>
      </c>
      <c r="B582" s="28" t="n">
        <v>2021</v>
      </c>
      <c r="C582" s="28" t="s">
        <v>546</v>
      </c>
      <c r="D582" s="28" t="s">
        <v>51</v>
      </c>
      <c r="E582" s="28" t="s">
        <v>547</v>
      </c>
      <c r="F582" s="28" t="s">
        <v>142</v>
      </c>
      <c r="G582" s="28" t="s">
        <v>441</v>
      </c>
      <c r="H582" s="28" t="s">
        <v>291</v>
      </c>
      <c r="I582" s="29" t="n">
        <v>320000</v>
      </c>
      <c r="J582" s="29" t="n">
        <v>240000</v>
      </c>
      <c r="K582" s="28" t="n">
        <v>4.5</v>
      </c>
      <c r="L582" s="28" t="n">
        <v>180</v>
      </c>
      <c r="M582" s="28" t="n">
        <v>5</v>
      </c>
    </row>
    <row r="583" customFormat="false" ht="15" hidden="false" customHeight="false" outlineLevel="0" collapsed="false">
      <c r="A583" s="27" t="n">
        <v>44133</v>
      </c>
      <c r="B583" s="28" t="n">
        <v>2021</v>
      </c>
      <c r="C583" s="28" t="s">
        <v>353</v>
      </c>
      <c r="D583" s="28" t="s">
        <v>48</v>
      </c>
      <c r="E583" s="28" t="s">
        <v>358</v>
      </c>
      <c r="F583" s="28" t="s">
        <v>142</v>
      </c>
      <c r="G583" s="28" t="s">
        <v>143</v>
      </c>
      <c r="H583" s="28" t="s">
        <v>144</v>
      </c>
      <c r="I583" s="29" t="n">
        <v>1900000</v>
      </c>
      <c r="J583" s="29" t="n">
        <v>1425000</v>
      </c>
      <c r="K583" s="28" t="n">
        <v>4.25</v>
      </c>
      <c r="L583" s="28" t="n">
        <v>306</v>
      </c>
      <c r="M583" s="28" t="n">
        <v>12</v>
      </c>
    </row>
    <row r="584" customFormat="false" ht="15" hidden="false" customHeight="false" outlineLevel="0" collapsed="false">
      <c r="A584" s="27" t="n">
        <v>44134</v>
      </c>
      <c r="B584" s="28" t="n">
        <v>2021</v>
      </c>
      <c r="C584" s="28" t="s">
        <v>235</v>
      </c>
      <c r="D584" s="28" t="s">
        <v>43</v>
      </c>
      <c r="E584" s="28" t="s">
        <v>317</v>
      </c>
      <c r="F584" s="28" t="s">
        <v>283</v>
      </c>
      <c r="G584" s="28" t="s">
        <v>143</v>
      </c>
      <c r="H584" s="28" t="s">
        <v>433</v>
      </c>
      <c r="I584" s="29" t="n">
        <v>100000</v>
      </c>
      <c r="J584" s="29" t="n">
        <v>85000</v>
      </c>
      <c r="K584" s="28" t="n">
        <v>6.5</v>
      </c>
      <c r="L584" s="28" t="n">
        <v>120</v>
      </c>
      <c r="M584" s="28" t="n">
        <v>12</v>
      </c>
    </row>
    <row r="585" customFormat="false" ht="15" hidden="false" customHeight="false" outlineLevel="0" collapsed="false">
      <c r="A585" s="27" t="n">
        <v>44134</v>
      </c>
      <c r="B585" s="28" t="n">
        <v>2021</v>
      </c>
      <c r="C585" s="28" t="s">
        <v>172</v>
      </c>
      <c r="D585" s="28" t="s">
        <v>45</v>
      </c>
      <c r="E585" s="28" t="s">
        <v>480</v>
      </c>
      <c r="F585" s="28" t="s">
        <v>142</v>
      </c>
      <c r="G585" s="28" t="s">
        <v>152</v>
      </c>
      <c r="H585" s="28" t="s">
        <v>299</v>
      </c>
      <c r="I585" s="29" t="n">
        <v>3300000</v>
      </c>
      <c r="J585" s="29" t="n">
        <v>2475000</v>
      </c>
      <c r="K585" s="28" t="n">
        <v>5.75</v>
      </c>
      <c r="L585" s="28" t="n">
        <v>300</v>
      </c>
      <c r="M585" s="28" t="n">
        <v>100</v>
      </c>
    </row>
    <row r="586" customFormat="false" ht="15" hidden="false" customHeight="false" outlineLevel="0" collapsed="false">
      <c r="A586" s="27" t="n">
        <v>44137</v>
      </c>
      <c r="B586" s="28" t="n">
        <v>2021</v>
      </c>
      <c r="C586" s="28" t="s">
        <v>243</v>
      </c>
      <c r="D586" s="28" t="s">
        <v>48</v>
      </c>
      <c r="E586" s="28" t="s">
        <v>277</v>
      </c>
      <c r="F586" s="28" t="s">
        <v>142</v>
      </c>
      <c r="G586" s="28" t="s">
        <v>143</v>
      </c>
      <c r="H586" s="28" t="s">
        <v>179</v>
      </c>
      <c r="I586" s="29" t="n">
        <v>20000</v>
      </c>
      <c r="J586" s="29" t="n">
        <v>17000</v>
      </c>
      <c r="K586" s="28" t="n">
        <v>6</v>
      </c>
      <c r="L586" s="28" t="n">
        <v>120</v>
      </c>
      <c r="M586" s="28" t="n">
        <v>1</v>
      </c>
    </row>
    <row r="587" customFormat="false" ht="15" hidden="false" customHeight="false" outlineLevel="0" collapsed="false">
      <c r="A587" s="27" t="n">
        <v>44138</v>
      </c>
      <c r="B587" s="28" t="n">
        <v>2021</v>
      </c>
      <c r="C587" s="28" t="s">
        <v>166</v>
      </c>
      <c r="D587" s="28" t="s">
        <v>42</v>
      </c>
      <c r="E587" s="28" t="s">
        <v>164</v>
      </c>
      <c r="F587" s="28" t="s">
        <v>147</v>
      </c>
      <c r="G587" s="28" t="s">
        <v>441</v>
      </c>
      <c r="H587" s="28" t="s">
        <v>159</v>
      </c>
      <c r="I587" s="29" t="n">
        <v>31500</v>
      </c>
      <c r="J587" s="29" t="n">
        <v>15750</v>
      </c>
      <c r="K587" s="28" t="n">
        <v>6</v>
      </c>
      <c r="L587" s="28" t="n">
        <v>60</v>
      </c>
      <c r="M587" s="28" t="n">
        <v>12</v>
      </c>
    </row>
    <row r="588" customFormat="false" ht="15" hidden="false" customHeight="false" outlineLevel="0" collapsed="false">
      <c r="A588" s="27" t="n">
        <v>44138</v>
      </c>
      <c r="B588" s="28" t="n">
        <v>2021</v>
      </c>
      <c r="C588" s="28" t="s">
        <v>169</v>
      </c>
      <c r="D588" s="28" t="s">
        <v>45</v>
      </c>
      <c r="E588" s="28" t="s">
        <v>548</v>
      </c>
      <c r="F588" s="28" t="s">
        <v>194</v>
      </c>
      <c r="G588" s="28" t="s">
        <v>148</v>
      </c>
      <c r="H588" s="28" t="s">
        <v>374</v>
      </c>
      <c r="I588" s="29" t="n">
        <v>5000000</v>
      </c>
      <c r="J588" s="29" t="n">
        <v>3750000</v>
      </c>
      <c r="K588" s="28" t="n">
        <v>5.25</v>
      </c>
      <c r="L588" s="28" t="n">
        <v>120</v>
      </c>
      <c r="M588" s="28" t="n">
        <v>24</v>
      </c>
    </row>
    <row r="589" customFormat="false" ht="15" hidden="false" customHeight="false" outlineLevel="0" collapsed="false">
      <c r="A589" s="27" t="n">
        <v>44139</v>
      </c>
      <c r="B589" s="28" t="n">
        <v>2021</v>
      </c>
      <c r="C589" s="28" t="s">
        <v>303</v>
      </c>
      <c r="D589" s="28" t="s">
        <v>42</v>
      </c>
      <c r="E589" s="28" t="s">
        <v>180</v>
      </c>
      <c r="F589" s="28" t="s">
        <v>142</v>
      </c>
      <c r="G589" s="28" t="s">
        <v>152</v>
      </c>
      <c r="H589" s="28" t="s">
        <v>494</v>
      </c>
      <c r="I589" s="29" t="n">
        <v>663300</v>
      </c>
      <c r="J589" s="29" t="n">
        <v>497475</v>
      </c>
      <c r="K589" s="28" t="n">
        <v>6.75</v>
      </c>
      <c r="L589" s="28" t="n">
        <v>120</v>
      </c>
      <c r="M589" s="28" t="n">
        <v>5</v>
      </c>
    </row>
    <row r="590" customFormat="false" ht="15" hidden="false" customHeight="false" outlineLevel="0" collapsed="false">
      <c r="A590" s="27" t="n">
        <v>44139</v>
      </c>
      <c r="B590" s="28" t="n">
        <v>2021</v>
      </c>
      <c r="C590" s="28" t="s">
        <v>303</v>
      </c>
      <c r="D590" s="28" t="s">
        <v>42</v>
      </c>
      <c r="E590" s="28" t="s">
        <v>180</v>
      </c>
      <c r="F590" s="28" t="s">
        <v>147</v>
      </c>
      <c r="G590" s="28" t="s">
        <v>152</v>
      </c>
      <c r="H590" s="28" t="s">
        <v>494</v>
      </c>
      <c r="I590" s="29" t="n">
        <v>50000</v>
      </c>
      <c r="J590" s="29" t="n">
        <v>25000</v>
      </c>
      <c r="K590" s="28" t="n">
        <v>6</v>
      </c>
      <c r="L590" s="28" t="n">
        <v>120</v>
      </c>
      <c r="M590" s="28" t="n">
        <v>5</v>
      </c>
    </row>
    <row r="591" customFormat="false" ht="15" hidden="false" customHeight="false" outlineLevel="0" collapsed="false">
      <c r="A591" s="27" t="n">
        <v>44139</v>
      </c>
      <c r="B591" s="28" t="n">
        <v>2021</v>
      </c>
      <c r="C591" s="28" t="s">
        <v>549</v>
      </c>
      <c r="D591" s="28" t="s">
        <v>50</v>
      </c>
      <c r="E591" s="28" t="s">
        <v>370</v>
      </c>
      <c r="F591" s="28" t="s">
        <v>142</v>
      </c>
      <c r="G591" s="28" t="s">
        <v>143</v>
      </c>
      <c r="H591" s="28" t="s">
        <v>287</v>
      </c>
      <c r="I591" s="29" t="n">
        <v>80000</v>
      </c>
      <c r="J591" s="29" t="n">
        <v>68000</v>
      </c>
      <c r="K591" s="28" t="n">
        <v>6</v>
      </c>
      <c r="L591" s="28" t="n">
        <v>120</v>
      </c>
      <c r="M591" s="28" t="n">
        <v>2</v>
      </c>
    </row>
    <row r="592" customFormat="false" ht="15" hidden="false" customHeight="false" outlineLevel="0" collapsed="false">
      <c r="A592" s="27" t="n">
        <v>44142</v>
      </c>
      <c r="B592" s="28" t="n">
        <v>2021</v>
      </c>
      <c r="C592" s="28" t="s">
        <v>169</v>
      </c>
      <c r="D592" s="28" t="s">
        <v>46</v>
      </c>
      <c r="E592" s="28" t="s">
        <v>186</v>
      </c>
      <c r="F592" s="28" t="s">
        <v>147</v>
      </c>
      <c r="G592" s="28" t="s">
        <v>441</v>
      </c>
      <c r="H592" s="28" t="s">
        <v>168</v>
      </c>
      <c r="I592" s="29" t="n">
        <v>10000</v>
      </c>
      <c r="J592" s="29" t="n">
        <v>5000</v>
      </c>
      <c r="K592" s="28" t="n">
        <v>9.25</v>
      </c>
      <c r="L592" s="28" t="n">
        <v>120</v>
      </c>
      <c r="M592" s="28" t="n">
        <v>0</v>
      </c>
    </row>
    <row r="593" customFormat="false" ht="15" hidden="false" customHeight="false" outlineLevel="0" collapsed="false">
      <c r="A593" s="27" t="n">
        <v>44144</v>
      </c>
      <c r="B593" s="28" t="n">
        <v>2021</v>
      </c>
      <c r="C593" s="28" t="s">
        <v>318</v>
      </c>
      <c r="D593" s="28" t="s">
        <v>47</v>
      </c>
      <c r="E593" s="28" t="s">
        <v>550</v>
      </c>
      <c r="F593" s="28" t="s">
        <v>283</v>
      </c>
      <c r="G593" s="28" t="s">
        <v>148</v>
      </c>
      <c r="H593" s="28" t="s">
        <v>306</v>
      </c>
      <c r="I593" s="29" t="n">
        <v>750000</v>
      </c>
      <c r="J593" s="29" t="n">
        <v>562500</v>
      </c>
      <c r="K593" s="28" t="n">
        <v>3.75</v>
      </c>
      <c r="L593" s="28" t="n">
        <v>60</v>
      </c>
      <c r="M593" s="28" t="n">
        <v>8</v>
      </c>
    </row>
    <row r="594" customFormat="false" ht="15" hidden="false" customHeight="false" outlineLevel="0" collapsed="false">
      <c r="A594" s="27" t="n">
        <v>44144</v>
      </c>
      <c r="B594" s="28" t="n">
        <v>2021</v>
      </c>
      <c r="C594" s="28" t="s">
        <v>166</v>
      </c>
      <c r="D594" s="28" t="s">
        <v>57</v>
      </c>
      <c r="E594" s="28" t="s">
        <v>551</v>
      </c>
      <c r="F594" s="28" t="s">
        <v>147</v>
      </c>
      <c r="G594" s="28" t="s">
        <v>441</v>
      </c>
      <c r="H594" s="28" t="s">
        <v>168</v>
      </c>
      <c r="I594" s="29" t="n">
        <v>10000</v>
      </c>
      <c r="J594" s="29" t="n">
        <v>5000</v>
      </c>
      <c r="K594" s="28" t="n">
        <v>7.75</v>
      </c>
      <c r="L594" s="28" t="n">
        <v>120</v>
      </c>
      <c r="M594" s="28" t="n">
        <v>0</v>
      </c>
    </row>
    <row r="595" customFormat="false" ht="15" hidden="false" customHeight="false" outlineLevel="0" collapsed="false">
      <c r="A595" s="27" t="n">
        <v>44144</v>
      </c>
      <c r="B595" s="28" t="n">
        <v>2021</v>
      </c>
      <c r="C595" s="28" t="s">
        <v>172</v>
      </c>
      <c r="D595" s="28" t="s">
        <v>43</v>
      </c>
      <c r="E595" s="28" t="s">
        <v>525</v>
      </c>
      <c r="F595" s="28" t="s">
        <v>142</v>
      </c>
      <c r="G595" s="28" t="s">
        <v>143</v>
      </c>
      <c r="H595" s="28" t="s">
        <v>526</v>
      </c>
      <c r="I595" s="29" t="n">
        <v>196000</v>
      </c>
      <c r="J595" s="29" t="n">
        <v>147000</v>
      </c>
      <c r="K595" s="28" t="n">
        <v>6</v>
      </c>
      <c r="L595" s="28" t="n">
        <v>120</v>
      </c>
      <c r="M595" s="28" t="n">
        <v>1</v>
      </c>
    </row>
    <row r="596" customFormat="false" ht="15" hidden="false" customHeight="false" outlineLevel="0" collapsed="false">
      <c r="A596" s="27" t="n">
        <v>44145</v>
      </c>
      <c r="B596" s="28" t="n">
        <v>2021</v>
      </c>
      <c r="C596" s="28" t="s">
        <v>173</v>
      </c>
      <c r="D596" s="28" t="s">
        <v>55</v>
      </c>
      <c r="E596" s="28" t="s">
        <v>552</v>
      </c>
      <c r="F596" s="28" t="s">
        <v>142</v>
      </c>
      <c r="G596" s="28" t="s">
        <v>148</v>
      </c>
      <c r="H596" s="28" t="s">
        <v>306</v>
      </c>
      <c r="I596" s="29" t="n">
        <v>400000</v>
      </c>
      <c r="J596" s="29" t="n">
        <v>360000</v>
      </c>
      <c r="K596" s="28" t="n">
        <v>5.75</v>
      </c>
      <c r="L596" s="28" t="n">
        <v>19</v>
      </c>
      <c r="M596" s="28" t="n">
        <v>10</v>
      </c>
    </row>
    <row r="597" customFormat="false" ht="15" hidden="false" customHeight="false" outlineLevel="0" collapsed="false">
      <c r="A597" s="27" t="n">
        <v>44147</v>
      </c>
      <c r="B597" s="28" t="n">
        <v>2021</v>
      </c>
      <c r="C597" s="28" t="s">
        <v>292</v>
      </c>
      <c r="D597" s="28" t="s">
        <v>56</v>
      </c>
      <c r="E597" s="28" t="s">
        <v>464</v>
      </c>
      <c r="F597" s="28" t="s">
        <v>147</v>
      </c>
      <c r="G597" s="28" t="s">
        <v>143</v>
      </c>
      <c r="H597" s="28" t="s">
        <v>482</v>
      </c>
      <c r="I597" s="29" t="n">
        <v>75000</v>
      </c>
      <c r="J597" s="29" t="n">
        <v>37500</v>
      </c>
      <c r="K597" s="28" t="n">
        <v>6.39</v>
      </c>
      <c r="L597" s="28" t="n">
        <v>60</v>
      </c>
      <c r="M597" s="28" t="n">
        <v>1</v>
      </c>
    </row>
    <row r="598" customFormat="false" ht="15" hidden="false" customHeight="false" outlineLevel="0" collapsed="false">
      <c r="A598" s="27" t="n">
        <v>44147</v>
      </c>
      <c r="B598" s="28" t="n">
        <v>2021</v>
      </c>
      <c r="C598" s="28" t="s">
        <v>540</v>
      </c>
      <c r="D598" s="28" t="s">
        <v>57</v>
      </c>
      <c r="E598" s="28" t="s">
        <v>553</v>
      </c>
      <c r="F598" s="28" t="s">
        <v>142</v>
      </c>
      <c r="G598" s="28" t="s">
        <v>148</v>
      </c>
      <c r="H598" s="28" t="s">
        <v>171</v>
      </c>
      <c r="I598" s="29" t="n">
        <v>130000</v>
      </c>
      <c r="J598" s="29" t="n">
        <v>110500</v>
      </c>
      <c r="K598" s="28" t="n">
        <v>6</v>
      </c>
      <c r="L598" s="28" t="n">
        <v>120</v>
      </c>
      <c r="M598" s="28" t="n">
        <v>1</v>
      </c>
    </row>
    <row r="599" customFormat="false" ht="15" hidden="false" customHeight="false" outlineLevel="0" collapsed="false">
      <c r="A599" s="27" t="n">
        <v>44147</v>
      </c>
      <c r="B599" s="28" t="n">
        <v>2021</v>
      </c>
      <c r="C599" s="28" t="s">
        <v>163</v>
      </c>
      <c r="D599" s="28" t="s">
        <v>45</v>
      </c>
      <c r="E599" s="28" t="s">
        <v>554</v>
      </c>
      <c r="F599" s="28" t="s">
        <v>142</v>
      </c>
      <c r="G599" s="28" t="s">
        <v>143</v>
      </c>
      <c r="H599" s="28" t="s">
        <v>287</v>
      </c>
      <c r="I599" s="29" t="n">
        <v>120000</v>
      </c>
      <c r="J599" s="29" t="n">
        <v>102000</v>
      </c>
      <c r="K599" s="28" t="n">
        <v>6</v>
      </c>
      <c r="L599" s="28" t="n">
        <v>120</v>
      </c>
      <c r="M599" s="28" t="n">
        <v>3</v>
      </c>
    </row>
    <row r="600" customFormat="false" ht="15" hidden="false" customHeight="false" outlineLevel="0" collapsed="false">
      <c r="A600" s="27" t="n">
        <v>44148</v>
      </c>
      <c r="B600" s="28" t="n">
        <v>2021</v>
      </c>
      <c r="C600" s="28" t="s">
        <v>318</v>
      </c>
      <c r="D600" s="28" t="s">
        <v>47</v>
      </c>
      <c r="E600" s="28" t="s">
        <v>550</v>
      </c>
      <c r="F600" s="28" t="s">
        <v>142</v>
      </c>
      <c r="G600" s="28" t="s">
        <v>148</v>
      </c>
      <c r="H600" s="28" t="s">
        <v>306</v>
      </c>
      <c r="I600" s="29" t="n">
        <v>426000</v>
      </c>
      <c r="J600" s="29" t="n">
        <v>319500</v>
      </c>
      <c r="K600" s="28" t="n">
        <v>4.75</v>
      </c>
      <c r="L600" s="28" t="n">
        <v>120</v>
      </c>
      <c r="M600" s="28" t="n">
        <v>8</v>
      </c>
    </row>
    <row r="601" customFormat="false" ht="15" hidden="false" customHeight="false" outlineLevel="0" collapsed="false">
      <c r="A601" s="27" t="n">
        <v>44151</v>
      </c>
      <c r="B601" s="28" t="n">
        <v>2021</v>
      </c>
      <c r="C601" s="28" t="s">
        <v>169</v>
      </c>
      <c r="D601" s="28" t="s">
        <v>48</v>
      </c>
      <c r="E601" s="28" t="s">
        <v>362</v>
      </c>
      <c r="F601" s="28" t="s">
        <v>147</v>
      </c>
      <c r="G601" s="28" t="s">
        <v>148</v>
      </c>
      <c r="H601" s="28" t="s">
        <v>159</v>
      </c>
      <c r="I601" s="29" t="n">
        <v>100000</v>
      </c>
      <c r="J601" s="29" t="n">
        <v>50000</v>
      </c>
      <c r="K601" s="28" t="n">
        <v>6.5</v>
      </c>
      <c r="L601" s="28" t="n">
        <v>120</v>
      </c>
      <c r="M601" s="28" t="n">
        <v>0</v>
      </c>
    </row>
    <row r="602" customFormat="false" ht="15" hidden="false" customHeight="false" outlineLevel="0" collapsed="false">
      <c r="A602" s="27" t="n">
        <v>44152</v>
      </c>
      <c r="B602" s="28" t="n">
        <v>2021</v>
      </c>
      <c r="C602" s="28" t="s">
        <v>206</v>
      </c>
      <c r="D602" s="28" t="s">
        <v>43</v>
      </c>
      <c r="E602" s="28" t="s">
        <v>555</v>
      </c>
      <c r="F602" s="28" t="s">
        <v>147</v>
      </c>
      <c r="G602" s="28" t="s">
        <v>148</v>
      </c>
      <c r="H602" s="28" t="s">
        <v>159</v>
      </c>
      <c r="I602" s="29" t="n">
        <v>60000</v>
      </c>
      <c r="J602" s="29" t="n">
        <v>30000</v>
      </c>
      <c r="K602" s="28" t="n">
        <v>7.75</v>
      </c>
      <c r="L602" s="28" t="n">
        <v>120</v>
      </c>
      <c r="M602" s="28" t="n">
        <v>7</v>
      </c>
    </row>
    <row r="603" customFormat="false" ht="15" hidden="false" customHeight="false" outlineLevel="0" collapsed="false">
      <c r="A603" s="27" t="n">
        <v>44153</v>
      </c>
      <c r="B603" s="28" t="n">
        <v>2021</v>
      </c>
      <c r="C603" s="28" t="s">
        <v>166</v>
      </c>
      <c r="D603" s="28" t="s">
        <v>44</v>
      </c>
      <c r="E603" s="28" t="s">
        <v>556</v>
      </c>
      <c r="F603" s="28" t="s">
        <v>142</v>
      </c>
      <c r="G603" s="28" t="s">
        <v>148</v>
      </c>
      <c r="H603" s="28" t="s">
        <v>275</v>
      </c>
      <c r="I603" s="29" t="n">
        <v>538000</v>
      </c>
      <c r="J603" s="29" t="n">
        <v>403500</v>
      </c>
      <c r="K603" s="28" t="n">
        <v>6</v>
      </c>
      <c r="L603" s="28" t="n">
        <v>300</v>
      </c>
      <c r="M603" s="28" t="n">
        <v>1</v>
      </c>
    </row>
    <row r="604" customFormat="false" ht="15" hidden="false" customHeight="false" outlineLevel="0" collapsed="false">
      <c r="A604" s="27" t="n">
        <v>44153</v>
      </c>
      <c r="B604" s="28" t="n">
        <v>2021</v>
      </c>
      <c r="C604" s="28" t="s">
        <v>201</v>
      </c>
      <c r="D604" s="28" t="s">
        <v>47</v>
      </c>
      <c r="E604" s="28" t="s">
        <v>557</v>
      </c>
      <c r="F604" s="28" t="s">
        <v>147</v>
      </c>
      <c r="G604" s="28" t="s">
        <v>441</v>
      </c>
      <c r="H604" s="28" t="s">
        <v>271</v>
      </c>
      <c r="I604" s="29" t="n">
        <v>94000</v>
      </c>
      <c r="J604" s="29" t="n">
        <v>47000</v>
      </c>
      <c r="K604" s="28" t="n">
        <v>4.25</v>
      </c>
      <c r="L604" s="28" t="n">
        <v>60</v>
      </c>
      <c r="M604" s="28" t="n">
        <v>2</v>
      </c>
    </row>
    <row r="605" customFormat="false" ht="15" hidden="false" customHeight="false" outlineLevel="0" collapsed="false">
      <c r="A605" s="27" t="n">
        <v>44153</v>
      </c>
      <c r="B605" s="28" t="n">
        <v>2021</v>
      </c>
      <c r="C605" s="28" t="s">
        <v>504</v>
      </c>
      <c r="D605" s="28" t="s">
        <v>48</v>
      </c>
      <c r="E605" s="28" t="s">
        <v>358</v>
      </c>
      <c r="F605" s="28" t="s">
        <v>142</v>
      </c>
      <c r="G605" s="28" t="s">
        <v>143</v>
      </c>
      <c r="H605" s="28" t="s">
        <v>494</v>
      </c>
      <c r="I605" s="29" t="n">
        <v>1802600</v>
      </c>
      <c r="J605" s="29" t="n">
        <v>1351950</v>
      </c>
      <c r="K605" s="28" t="n">
        <v>6</v>
      </c>
      <c r="L605" s="28" t="n">
        <v>307</v>
      </c>
      <c r="M605" s="28" t="n">
        <v>11</v>
      </c>
    </row>
    <row r="606" customFormat="false" ht="15" hidden="false" customHeight="false" outlineLevel="0" collapsed="false">
      <c r="A606" s="27" t="n">
        <v>44153</v>
      </c>
      <c r="B606" s="28" t="n">
        <v>2021</v>
      </c>
      <c r="C606" s="28" t="s">
        <v>272</v>
      </c>
      <c r="D606" s="28" t="s">
        <v>48</v>
      </c>
      <c r="E606" s="28" t="s">
        <v>182</v>
      </c>
      <c r="F606" s="28" t="s">
        <v>194</v>
      </c>
      <c r="G606" s="28" t="s">
        <v>143</v>
      </c>
      <c r="H606" s="28" t="s">
        <v>255</v>
      </c>
      <c r="I606" s="29" t="n">
        <v>100000</v>
      </c>
      <c r="J606" s="29" t="n">
        <v>85000</v>
      </c>
      <c r="K606" s="28" t="n">
        <v>6</v>
      </c>
      <c r="L606" s="28" t="n">
        <v>120</v>
      </c>
      <c r="M606" s="28" t="n">
        <v>3</v>
      </c>
    </row>
    <row r="607" customFormat="false" ht="15" hidden="false" customHeight="false" outlineLevel="0" collapsed="false">
      <c r="A607" s="27" t="n">
        <v>44154</v>
      </c>
      <c r="B607" s="28" t="n">
        <v>2021</v>
      </c>
      <c r="C607" s="28" t="s">
        <v>265</v>
      </c>
      <c r="D607" s="28" t="s">
        <v>46</v>
      </c>
      <c r="E607" s="28" t="s">
        <v>259</v>
      </c>
      <c r="F607" s="28" t="s">
        <v>147</v>
      </c>
      <c r="G607" s="28" t="s">
        <v>143</v>
      </c>
      <c r="H607" s="28" t="s">
        <v>266</v>
      </c>
      <c r="I607" s="29" t="n">
        <v>80000</v>
      </c>
      <c r="J607" s="29" t="n">
        <v>40000</v>
      </c>
      <c r="K607" s="28" t="n">
        <v>4.75</v>
      </c>
      <c r="L607" s="28" t="n">
        <v>240</v>
      </c>
      <c r="M607" s="28" t="n">
        <v>1</v>
      </c>
    </row>
    <row r="608" customFormat="false" ht="15" hidden="false" customHeight="false" outlineLevel="0" collapsed="false">
      <c r="A608" s="27" t="n">
        <v>44154</v>
      </c>
      <c r="B608" s="28" t="n">
        <v>2021</v>
      </c>
      <c r="C608" s="28" t="s">
        <v>172</v>
      </c>
      <c r="D608" s="28" t="s">
        <v>46</v>
      </c>
      <c r="E608" s="28" t="s">
        <v>259</v>
      </c>
      <c r="F608" s="28" t="s">
        <v>147</v>
      </c>
      <c r="G608" s="28" t="s">
        <v>148</v>
      </c>
      <c r="H608" s="28" t="s">
        <v>159</v>
      </c>
      <c r="I608" s="29" t="n">
        <v>169500</v>
      </c>
      <c r="J608" s="29" t="n">
        <v>84750</v>
      </c>
      <c r="K608" s="28" t="n">
        <v>5.5</v>
      </c>
      <c r="L608" s="28" t="n">
        <v>84</v>
      </c>
      <c r="M608" s="28" t="n">
        <v>8</v>
      </c>
    </row>
    <row r="609" customFormat="false" ht="15" hidden="false" customHeight="false" outlineLevel="0" collapsed="false">
      <c r="A609" s="27" t="n">
        <v>44154</v>
      </c>
      <c r="B609" s="28" t="n">
        <v>2021</v>
      </c>
      <c r="C609" s="28" t="s">
        <v>172</v>
      </c>
      <c r="D609" s="28" t="s">
        <v>46</v>
      </c>
      <c r="E609" s="28" t="s">
        <v>259</v>
      </c>
      <c r="F609" s="28" t="s">
        <v>147</v>
      </c>
      <c r="G609" s="28" t="s">
        <v>148</v>
      </c>
      <c r="H609" s="28" t="s">
        <v>159</v>
      </c>
      <c r="I609" s="29" t="n">
        <v>25000</v>
      </c>
      <c r="J609" s="29" t="n">
        <v>12500</v>
      </c>
      <c r="K609" s="28" t="n">
        <v>5.5</v>
      </c>
      <c r="L609" s="28" t="n">
        <v>120</v>
      </c>
      <c r="M609" s="28" t="n">
        <v>8</v>
      </c>
    </row>
    <row r="610" customFormat="false" ht="15" hidden="false" customHeight="false" outlineLevel="0" collapsed="false">
      <c r="A610" s="27" t="n">
        <v>44155</v>
      </c>
      <c r="B610" s="28" t="n">
        <v>2021</v>
      </c>
      <c r="C610" s="28" t="s">
        <v>558</v>
      </c>
      <c r="D610" s="28" t="s">
        <v>54</v>
      </c>
      <c r="E610" s="28" t="s">
        <v>236</v>
      </c>
      <c r="F610" s="28" t="s">
        <v>142</v>
      </c>
      <c r="G610" s="28" t="s">
        <v>152</v>
      </c>
      <c r="H610" s="28" t="s">
        <v>287</v>
      </c>
      <c r="I610" s="29" t="n">
        <v>603000</v>
      </c>
      <c r="J610" s="29" t="n">
        <v>452250</v>
      </c>
      <c r="K610" s="28" t="n">
        <v>6</v>
      </c>
      <c r="L610" s="28" t="n">
        <v>120</v>
      </c>
      <c r="M610" s="28" t="n">
        <v>10</v>
      </c>
    </row>
    <row r="611" customFormat="false" ht="15" hidden="false" customHeight="false" outlineLevel="0" collapsed="false">
      <c r="A611" s="27" t="n">
        <v>44158</v>
      </c>
      <c r="B611" s="28" t="n">
        <v>2021</v>
      </c>
      <c r="C611" s="28" t="s">
        <v>312</v>
      </c>
      <c r="D611" s="28" t="s">
        <v>42</v>
      </c>
      <c r="E611" s="28" t="s">
        <v>180</v>
      </c>
      <c r="F611" s="28" t="s">
        <v>142</v>
      </c>
      <c r="G611" s="28" t="s">
        <v>148</v>
      </c>
      <c r="H611" s="28" t="s">
        <v>559</v>
      </c>
      <c r="I611" s="29" t="n">
        <v>1776000</v>
      </c>
      <c r="J611" s="29" t="n">
        <v>1332000</v>
      </c>
      <c r="K611" s="28" t="n">
        <v>5.75</v>
      </c>
      <c r="L611" s="28" t="n">
        <v>300</v>
      </c>
      <c r="M611" s="28" t="n">
        <v>25</v>
      </c>
    </row>
    <row r="612" customFormat="false" ht="15" hidden="false" customHeight="false" outlineLevel="0" collapsed="false">
      <c r="A612" s="27" t="n">
        <v>44159</v>
      </c>
      <c r="B612" s="28" t="n">
        <v>2021</v>
      </c>
      <c r="C612" s="28" t="s">
        <v>172</v>
      </c>
      <c r="D612" s="28" t="s">
        <v>46</v>
      </c>
      <c r="E612" s="28" t="s">
        <v>262</v>
      </c>
      <c r="F612" s="28" t="s">
        <v>142</v>
      </c>
      <c r="G612" s="28" t="s">
        <v>143</v>
      </c>
      <c r="H612" s="28" t="s">
        <v>153</v>
      </c>
      <c r="I612" s="29" t="n">
        <v>285100</v>
      </c>
      <c r="J612" s="29" t="n">
        <v>213825</v>
      </c>
      <c r="K612" s="28" t="n">
        <v>5.75</v>
      </c>
      <c r="L612" s="28" t="n">
        <v>120</v>
      </c>
      <c r="M612" s="28" t="n">
        <v>12</v>
      </c>
    </row>
    <row r="613" customFormat="false" ht="15" hidden="false" customHeight="false" outlineLevel="0" collapsed="false">
      <c r="A613" s="27" t="n">
        <v>44160</v>
      </c>
      <c r="B613" s="28" t="n">
        <v>2021</v>
      </c>
      <c r="C613" s="28" t="s">
        <v>172</v>
      </c>
      <c r="D613" s="28" t="s">
        <v>44</v>
      </c>
      <c r="E613" s="28" t="s">
        <v>167</v>
      </c>
      <c r="F613" s="28" t="s">
        <v>142</v>
      </c>
      <c r="G613" s="28" t="s">
        <v>148</v>
      </c>
      <c r="H613" s="28" t="s">
        <v>374</v>
      </c>
      <c r="I613" s="29" t="n">
        <v>255000</v>
      </c>
      <c r="J613" s="29" t="n">
        <v>191250</v>
      </c>
      <c r="K613" s="28" t="n">
        <v>5.25</v>
      </c>
      <c r="L613" s="28" t="n">
        <v>300</v>
      </c>
      <c r="M613" s="28" t="n">
        <v>100</v>
      </c>
    </row>
    <row r="614" customFormat="false" ht="15" hidden="false" customHeight="false" outlineLevel="0" collapsed="false">
      <c r="A614" s="27" t="n">
        <v>44160</v>
      </c>
      <c r="B614" s="28" t="n">
        <v>2021</v>
      </c>
      <c r="C614" s="28" t="s">
        <v>140</v>
      </c>
      <c r="D614" s="28" t="s">
        <v>46</v>
      </c>
      <c r="E614" s="28" t="s">
        <v>262</v>
      </c>
      <c r="F614" s="28" t="s">
        <v>142</v>
      </c>
      <c r="G614" s="28" t="s">
        <v>148</v>
      </c>
      <c r="H614" s="28" t="s">
        <v>299</v>
      </c>
      <c r="I614" s="29" t="n">
        <v>878000</v>
      </c>
      <c r="J614" s="29" t="n">
        <v>658500</v>
      </c>
      <c r="K614" s="28" t="n">
        <v>6</v>
      </c>
      <c r="L614" s="28" t="n">
        <v>178</v>
      </c>
      <c r="M614" s="28" t="n">
        <v>7</v>
      </c>
    </row>
    <row r="615" customFormat="false" ht="15" hidden="false" customHeight="false" outlineLevel="0" collapsed="false">
      <c r="A615" s="27" t="n">
        <v>44165</v>
      </c>
      <c r="B615" s="28" t="n">
        <v>2021</v>
      </c>
      <c r="C615" s="28" t="s">
        <v>272</v>
      </c>
      <c r="D615" s="28" t="s">
        <v>45</v>
      </c>
      <c r="E615" s="28" t="s">
        <v>430</v>
      </c>
      <c r="F615" s="28" t="s">
        <v>147</v>
      </c>
      <c r="G615" s="28" t="s">
        <v>441</v>
      </c>
      <c r="H615" s="28" t="s">
        <v>168</v>
      </c>
      <c r="I615" s="29" t="n">
        <v>15000</v>
      </c>
      <c r="J615" s="29" t="n">
        <v>7500</v>
      </c>
      <c r="K615" s="28" t="n">
        <v>5</v>
      </c>
      <c r="L615" s="28" t="n">
        <v>120</v>
      </c>
      <c r="M615" s="28" t="n">
        <v>14</v>
      </c>
    </row>
    <row r="616" customFormat="false" ht="15" hidden="false" customHeight="false" outlineLevel="0" collapsed="false">
      <c r="A616" s="27" t="n">
        <v>44166</v>
      </c>
      <c r="B616" s="28" t="n">
        <v>2021</v>
      </c>
      <c r="C616" s="28" t="s">
        <v>172</v>
      </c>
      <c r="D616" s="28" t="s">
        <v>44</v>
      </c>
      <c r="E616" s="28" t="s">
        <v>161</v>
      </c>
      <c r="F616" s="28" t="s">
        <v>194</v>
      </c>
      <c r="G616" s="28" t="s">
        <v>148</v>
      </c>
      <c r="H616" s="28" t="s">
        <v>278</v>
      </c>
      <c r="I616" s="29" t="n">
        <v>665000</v>
      </c>
      <c r="J616" s="29" t="n">
        <v>498750</v>
      </c>
      <c r="K616" s="28" t="n">
        <v>5</v>
      </c>
      <c r="L616" s="28" t="n">
        <v>126</v>
      </c>
      <c r="M616" s="28" t="n">
        <v>12</v>
      </c>
    </row>
    <row r="617" customFormat="false" ht="15" hidden="false" customHeight="false" outlineLevel="0" collapsed="false">
      <c r="A617" s="27" t="n">
        <v>44166</v>
      </c>
      <c r="B617" s="28" t="n">
        <v>2021</v>
      </c>
      <c r="C617" s="28" t="s">
        <v>560</v>
      </c>
      <c r="D617" s="28" t="s">
        <v>42</v>
      </c>
      <c r="E617" s="28" t="s">
        <v>180</v>
      </c>
      <c r="F617" s="28" t="s">
        <v>142</v>
      </c>
      <c r="G617" s="28" t="s">
        <v>143</v>
      </c>
      <c r="H617" s="28" t="s">
        <v>561</v>
      </c>
      <c r="I617" s="29" t="n">
        <v>401400</v>
      </c>
      <c r="J617" s="29" t="n">
        <v>301050</v>
      </c>
      <c r="K617" s="28" t="n">
        <v>5.5</v>
      </c>
      <c r="L617" s="28" t="n">
        <v>70</v>
      </c>
      <c r="M617" s="28" t="n">
        <v>15</v>
      </c>
    </row>
    <row r="618" customFormat="false" ht="15" hidden="false" customHeight="false" outlineLevel="0" collapsed="false">
      <c r="A618" s="27" t="n">
        <v>44168</v>
      </c>
      <c r="B618" s="28" t="n">
        <v>2021</v>
      </c>
      <c r="C618" s="28" t="s">
        <v>169</v>
      </c>
      <c r="D618" s="28" t="s">
        <v>51</v>
      </c>
      <c r="E618" s="28" t="s">
        <v>239</v>
      </c>
      <c r="F618" s="28" t="s">
        <v>142</v>
      </c>
      <c r="G618" s="28" t="s">
        <v>441</v>
      </c>
      <c r="H618" s="28" t="s">
        <v>275</v>
      </c>
      <c r="I618" s="29" t="n">
        <v>1210000</v>
      </c>
      <c r="J618" s="29" t="n">
        <v>907500</v>
      </c>
      <c r="K618" s="28" t="n">
        <v>6</v>
      </c>
      <c r="L618" s="28" t="n">
        <v>300</v>
      </c>
      <c r="M618" s="28" t="n">
        <v>8</v>
      </c>
    </row>
    <row r="619" customFormat="false" ht="15" hidden="false" customHeight="false" outlineLevel="0" collapsed="false">
      <c r="A619" s="27" t="n">
        <v>44168</v>
      </c>
      <c r="B619" s="28" t="n">
        <v>2021</v>
      </c>
      <c r="C619" s="28" t="s">
        <v>172</v>
      </c>
      <c r="D619" s="28" t="s">
        <v>43</v>
      </c>
      <c r="E619" s="28" t="s">
        <v>562</v>
      </c>
      <c r="F619" s="28" t="s">
        <v>194</v>
      </c>
      <c r="G619" s="28" t="s">
        <v>152</v>
      </c>
      <c r="H619" s="28" t="s">
        <v>168</v>
      </c>
      <c r="I619" s="29" t="n">
        <v>388400</v>
      </c>
      <c r="J619" s="29" t="n">
        <v>291300</v>
      </c>
      <c r="K619" s="28" t="n">
        <v>3.95</v>
      </c>
      <c r="L619" s="28" t="n">
        <v>120</v>
      </c>
      <c r="M619" s="28" t="n">
        <v>5</v>
      </c>
    </row>
    <row r="620" customFormat="false" ht="15" hidden="false" customHeight="false" outlineLevel="0" collapsed="false">
      <c r="A620" s="27" t="n">
        <v>44168</v>
      </c>
      <c r="B620" s="28" t="n">
        <v>2021</v>
      </c>
      <c r="C620" s="28" t="s">
        <v>312</v>
      </c>
      <c r="D620" s="28" t="s">
        <v>42</v>
      </c>
      <c r="E620" s="28" t="s">
        <v>180</v>
      </c>
      <c r="F620" s="28" t="s">
        <v>147</v>
      </c>
      <c r="G620" s="28" t="s">
        <v>148</v>
      </c>
      <c r="H620" s="28" t="s">
        <v>449</v>
      </c>
      <c r="I620" s="29" t="n">
        <v>243700</v>
      </c>
      <c r="J620" s="29" t="n">
        <v>121850</v>
      </c>
      <c r="K620" s="28" t="n">
        <v>5.25</v>
      </c>
      <c r="L620" s="28" t="n">
        <v>62</v>
      </c>
      <c r="M620" s="28" t="n">
        <v>17</v>
      </c>
    </row>
    <row r="621" customFormat="false" ht="15" hidden="false" customHeight="false" outlineLevel="0" collapsed="false">
      <c r="A621" s="27" t="n">
        <v>44168</v>
      </c>
      <c r="B621" s="28" t="n">
        <v>2021</v>
      </c>
      <c r="C621" s="28" t="s">
        <v>172</v>
      </c>
      <c r="D621" s="28" t="s">
        <v>51</v>
      </c>
      <c r="E621" s="28" t="s">
        <v>239</v>
      </c>
      <c r="F621" s="28" t="s">
        <v>147</v>
      </c>
      <c r="G621" s="28" t="s">
        <v>148</v>
      </c>
      <c r="H621" s="28" t="s">
        <v>168</v>
      </c>
      <c r="I621" s="29" t="n">
        <v>9900</v>
      </c>
      <c r="J621" s="29" t="n">
        <v>4950</v>
      </c>
      <c r="K621" s="28" t="n">
        <v>7.75</v>
      </c>
      <c r="L621" s="28" t="n">
        <v>120</v>
      </c>
      <c r="M621" s="28" t="n">
        <v>2</v>
      </c>
    </row>
    <row r="622" customFormat="false" ht="15" hidden="false" customHeight="false" outlineLevel="0" collapsed="false">
      <c r="A622" s="27" t="n">
        <v>44168</v>
      </c>
      <c r="B622" s="28" t="n">
        <v>2021</v>
      </c>
      <c r="C622" s="28" t="s">
        <v>328</v>
      </c>
      <c r="D622" s="28" t="s">
        <v>43</v>
      </c>
      <c r="E622" s="28" t="s">
        <v>219</v>
      </c>
      <c r="F622" s="28" t="s">
        <v>142</v>
      </c>
      <c r="G622" s="28" t="s">
        <v>148</v>
      </c>
      <c r="H622" s="28" t="s">
        <v>314</v>
      </c>
      <c r="I622" s="29" t="n">
        <v>1169000</v>
      </c>
      <c r="J622" s="29" t="n">
        <v>876750</v>
      </c>
      <c r="K622" s="28" t="n">
        <v>4.25</v>
      </c>
      <c r="L622" s="28" t="n">
        <v>300</v>
      </c>
      <c r="M622" s="28" t="n">
        <v>5</v>
      </c>
    </row>
    <row r="623" customFormat="false" ht="15" hidden="false" customHeight="false" outlineLevel="0" collapsed="false">
      <c r="A623" s="27" t="n">
        <v>44169</v>
      </c>
      <c r="B623" s="28" t="n">
        <v>2021</v>
      </c>
      <c r="C623" s="28" t="s">
        <v>166</v>
      </c>
      <c r="D623" s="28" t="s">
        <v>42</v>
      </c>
      <c r="E623" s="28" t="s">
        <v>180</v>
      </c>
      <c r="F623" s="28" t="s">
        <v>142</v>
      </c>
      <c r="G623" s="28" t="s">
        <v>143</v>
      </c>
      <c r="H623" s="28" t="s">
        <v>561</v>
      </c>
      <c r="I623" s="29" t="n">
        <v>402000</v>
      </c>
      <c r="J623" s="29" t="n">
        <v>301500</v>
      </c>
      <c r="K623" s="28" t="n">
        <v>5.5</v>
      </c>
      <c r="L623" s="28" t="n">
        <v>126</v>
      </c>
      <c r="M623" s="28" t="n">
        <v>2</v>
      </c>
    </row>
    <row r="624" customFormat="false" ht="15" hidden="false" customHeight="false" outlineLevel="0" collapsed="false">
      <c r="A624" s="27" t="n">
        <v>44172</v>
      </c>
      <c r="B624" s="28" t="n">
        <v>2021</v>
      </c>
      <c r="C624" s="28" t="s">
        <v>169</v>
      </c>
      <c r="D624" s="28" t="s">
        <v>48</v>
      </c>
      <c r="E624" s="28" t="s">
        <v>212</v>
      </c>
      <c r="F624" s="28" t="s">
        <v>142</v>
      </c>
      <c r="G624" s="28" t="s">
        <v>148</v>
      </c>
      <c r="H624" s="28" t="s">
        <v>211</v>
      </c>
      <c r="I624" s="29" t="n">
        <v>350000</v>
      </c>
      <c r="J624" s="29" t="n">
        <v>262500</v>
      </c>
      <c r="K624" s="28" t="n">
        <v>6</v>
      </c>
      <c r="L624" s="28" t="n">
        <v>92</v>
      </c>
      <c r="M624" s="28" t="n">
        <v>0</v>
      </c>
    </row>
    <row r="625" customFormat="false" ht="15" hidden="false" customHeight="false" outlineLevel="0" collapsed="false">
      <c r="A625" s="27" t="n">
        <v>44172</v>
      </c>
      <c r="B625" s="28" t="n">
        <v>2021</v>
      </c>
      <c r="C625" s="28" t="s">
        <v>172</v>
      </c>
      <c r="D625" s="28" t="s">
        <v>42</v>
      </c>
      <c r="E625" s="28" t="s">
        <v>164</v>
      </c>
      <c r="F625" s="28" t="s">
        <v>147</v>
      </c>
      <c r="G625" s="28" t="s">
        <v>148</v>
      </c>
      <c r="H625" s="28" t="s">
        <v>159</v>
      </c>
      <c r="I625" s="29" t="n">
        <v>25000</v>
      </c>
      <c r="J625" s="29" t="n">
        <v>12500</v>
      </c>
      <c r="K625" s="28" t="n">
        <v>9.75</v>
      </c>
      <c r="L625" s="28" t="n">
        <v>120</v>
      </c>
      <c r="M625" s="28" t="n">
        <v>0</v>
      </c>
    </row>
    <row r="626" customFormat="false" ht="15" hidden="false" customHeight="false" outlineLevel="0" collapsed="false">
      <c r="A626" s="27" t="n">
        <v>44173</v>
      </c>
      <c r="B626" s="28" t="n">
        <v>2021</v>
      </c>
      <c r="C626" s="28" t="s">
        <v>169</v>
      </c>
      <c r="D626" s="28" t="s">
        <v>43</v>
      </c>
      <c r="E626" s="28" t="s">
        <v>245</v>
      </c>
      <c r="F626" s="28" t="s">
        <v>147</v>
      </c>
      <c r="G626" s="28" t="s">
        <v>152</v>
      </c>
      <c r="H626" s="28" t="s">
        <v>372</v>
      </c>
      <c r="I626" s="29" t="n">
        <v>75000</v>
      </c>
      <c r="J626" s="29" t="n">
        <v>37500</v>
      </c>
      <c r="K626" s="28" t="n">
        <v>7.75</v>
      </c>
      <c r="L626" s="28" t="n">
        <v>60</v>
      </c>
      <c r="M626" s="28" t="n">
        <v>5</v>
      </c>
    </row>
    <row r="627" customFormat="false" ht="15" hidden="false" customHeight="false" outlineLevel="0" collapsed="false">
      <c r="A627" s="27" t="n">
        <v>44173</v>
      </c>
      <c r="B627" s="28" t="n">
        <v>2021</v>
      </c>
      <c r="C627" s="28" t="s">
        <v>169</v>
      </c>
      <c r="D627" s="28" t="s">
        <v>43</v>
      </c>
      <c r="E627" s="28" t="s">
        <v>245</v>
      </c>
      <c r="F627" s="28" t="s">
        <v>147</v>
      </c>
      <c r="G627" s="28" t="s">
        <v>152</v>
      </c>
      <c r="H627" s="28" t="s">
        <v>372</v>
      </c>
      <c r="I627" s="29" t="n">
        <v>325000</v>
      </c>
      <c r="J627" s="29" t="n">
        <v>162500</v>
      </c>
      <c r="K627" s="28" t="n">
        <v>5.5</v>
      </c>
      <c r="L627" s="28" t="n">
        <v>120</v>
      </c>
      <c r="M627" s="28" t="n">
        <v>5</v>
      </c>
    </row>
    <row r="628" customFormat="false" ht="15" hidden="false" customHeight="false" outlineLevel="0" collapsed="false">
      <c r="A628" s="27" t="n">
        <v>44173</v>
      </c>
      <c r="B628" s="28" t="n">
        <v>2021</v>
      </c>
      <c r="C628" s="28" t="s">
        <v>203</v>
      </c>
      <c r="D628" s="28" t="s">
        <v>44</v>
      </c>
      <c r="E628" s="28" t="s">
        <v>141</v>
      </c>
      <c r="F628" s="28" t="s">
        <v>142</v>
      </c>
      <c r="G628" s="28" t="s">
        <v>143</v>
      </c>
      <c r="H628" s="28" t="s">
        <v>191</v>
      </c>
      <c r="I628" s="29" t="n">
        <v>3000000</v>
      </c>
      <c r="J628" s="29" t="n">
        <v>2250000</v>
      </c>
      <c r="K628" s="28" t="n">
        <v>3.75</v>
      </c>
      <c r="L628" s="28" t="n">
        <v>312</v>
      </c>
      <c r="M628" s="28" t="n">
        <v>26</v>
      </c>
    </row>
    <row r="629" customFormat="false" ht="15" hidden="false" customHeight="false" outlineLevel="0" collapsed="false">
      <c r="A629" s="27" t="n">
        <v>44173</v>
      </c>
      <c r="B629" s="28" t="n">
        <v>2021</v>
      </c>
      <c r="C629" s="28" t="s">
        <v>169</v>
      </c>
      <c r="D629" s="28" t="s">
        <v>42</v>
      </c>
      <c r="E629" s="28" t="s">
        <v>180</v>
      </c>
      <c r="F629" s="28" t="s">
        <v>142</v>
      </c>
      <c r="G629" s="28" t="s">
        <v>143</v>
      </c>
      <c r="H629" s="28" t="s">
        <v>291</v>
      </c>
      <c r="I629" s="29" t="n">
        <v>420000</v>
      </c>
      <c r="J629" s="29" t="n">
        <v>315000</v>
      </c>
      <c r="K629" s="28" t="n">
        <v>4</v>
      </c>
      <c r="L629" s="28" t="n">
        <v>72</v>
      </c>
      <c r="M629" s="28" t="n">
        <v>7</v>
      </c>
    </row>
    <row r="630" customFormat="false" ht="15" hidden="false" customHeight="false" outlineLevel="0" collapsed="false">
      <c r="A630" s="27" t="n">
        <v>44173</v>
      </c>
      <c r="B630" s="28" t="n">
        <v>2021</v>
      </c>
      <c r="C630" s="28" t="s">
        <v>332</v>
      </c>
      <c r="D630" s="28" t="s">
        <v>46</v>
      </c>
      <c r="E630" s="28" t="s">
        <v>298</v>
      </c>
      <c r="F630" s="28" t="s">
        <v>194</v>
      </c>
      <c r="G630" s="28" t="s">
        <v>143</v>
      </c>
      <c r="H630" s="28" t="s">
        <v>255</v>
      </c>
      <c r="I630" s="29" t="n">
        <v>1426000</v>
      </c>
      <c r="J630" s="29" t="n">
        <v>1069500</v>
      </c>
      <c r="K630" s="28" t="n">
        <v>4.25</v>
      </c>
      <c r="L630" s="28" t="n">
        <v>300</v>
      </c>
      <c r="M630" s="28" t="n">
        <v>3</v>
      </c>
    </row>
    <row r="631" customFormat="false" ht="15" hidden="false" customHeight="false" outlineLevel="0" collapsed="false">
      <c r="A631" s="27" t="n">
        <v>44173</v>
      </c>
      <c r="B631" s="28" t="n">
        <v>2021</v>
      </c>
      <c r="C631" s="28" t="s">
        <v>169</v>
      </c>
      <c r="D631" s="28" t="s">
        <v>43</v>
      </c>
      <c r="E631" s="28" t="s">
        <v>245</v>
      </c>
      <c r="F631" s="28" t="s">
        <v>147</v>
      </c>
      <c r="G631" s="28" t="s">
        <v>148</v>
      </c>
      <c r="H631" s="28" t="s">
        <v>372</v>
      </c>
      <c r="I631" s="29" t="n">
        <v>315000</v>
      </c>
      <c r="J631" s="29" t="n">
        <v>157500</v>
      </c>
      <c r="K631" s="28" t="n">
        <v>4.5</v>
      </c>
      <c r="L631" s="28" t="n">
        <v>120</v>
      </c>
      <c r="M631" s="28" t="n">
        <v>5</v>
      </c>
    </row>
    <row r="632" customFormat="false" ht="15" hidden="false" customHeight="false" outlineLevel="0" collapsed="false">
      <c r="A632" s="27" t="n">
        <v>44175</v>
      </c>
      <c r="B632" s="28" t="n">
        <v>2021</v>
      </c>
      <c r="C632" s="28" t="s">
        <v>344</v>
      </c>
      <c r="D632" s="28" t="s">
        <v>47</v>
      </c>
      <c r="E632" s="28" t="s">
        <v>284</v>
      </c>
      <c r="F632" s="28" t="s">
        <v>142</v>
      </c>
      <c r="G632" s="28" t="s">
        <v>148</v>
      </c>
      <c r="H632" s="28" t="s">
        <v>291</v>
      </c>
      <c r="I632" s="29" t="n">
        <v>340000</v>
      </c>
      <c r="J632" s="29" t="n">
        <v>255000</v>
      </c>
      <c r="K632" s="28" t="n">
        <v>3.25</v>
      </c>
      <c r="L632" s="28" t="n">
        <v>84</v>
      </c>
      <c r="M632" s="28" t="n">
        <v>11</v>
      </c>
    </row>
    <row r="633" customFormat="false" ht="15" hidden="false" customHeight="false" outlineLevel="0" collapsed="false">
      <c r="A633" s="27" t="n">
        <v>44175</v>
      </c>
      <c r="B633" s="28" t="n">
        <v>2021</v>
      </c>
      <c r="C633" s="28" t="s">
        <v>166</v>
      </c>
      <c r="D633" s="28" t="s">
        <v>45</v>
      </c>
      <c r="E633" s="28" t="s">
        <v>480</v>
      </c>
      <c r="F633" s="28" t="s">
        <v>142</v>
      </c>
      <c r="G633" s="28" t="s">
        <v>148</v>
      </c>
      <c r="H633" s="28" t="s">
        <v>168</v>
      </c>
      <c r="I633" s="29" t="n">
        <v>765000</v>
      </c>
      <c r="J633" s="29" t="n">
        <v>573750</v>
      </c>
      <c r="K633" s="28" t="n">
        <v>4.25</v>
      </c>
      <c r="L633" s="28" t="n">
        <v>300</v>
      </c>
      <c r="M633" s="28" t="n">
        <v>6</v>
      </c>
    </row>
    <row r="634" customFormat="false" ht="15" hidden="false" customHeight="false" outlineLevel="0" collapsed="false">
      <c r="A634" s="27" t="n">
        <v>44176</v>
      </c>
      <c r="B634" s="28" t="n">
        <v>2021</v>
      </c>
      <c r="C634" s="28" t="s">
        <v>515</v>
      </c>
      <c r="D634" s="28" t="s">
        <v>53</v>
      </c>
      <c r="E634" s="28" t="s">
        <v>412</v>
      </c>
      <c r="F634" s="28" t="s">
        <v>142</v>
      </c>
      <c r="G634" s="28" t="s">
        <v>152</v>
      </c>
      <c r="H634" s="28" t="s">
        <v>144</v>
      </c>
      <c r="I634" s="29" t="n">
        <v>1105000</v>
      </c>
      <c r="J634" s="29" t="n">
        <v>828750</v>
      </c>
      <c r="K634" s="28" t="n">
        <v>4.95</v>
      </c>
      <c r="L634" s="28" t="n">
        <v>300</v>
      </c>
      <c r="M634" s="28" t="n">
        <v>3</v>
      </c>
    </row>
    <row r="635" customFormat="false" ht="15" hidden="false" customHeight="false" outlineLevel="0" collapsed="false">
      <c r="A635" s="27" t="n">
        <v>44177</v>
      </c>
      <c r="B635" s="28" t="n">
        <v>2021</v>
      </c>
      <c r="C635" s="28" t="s">
        <v>198</v>
      </c>
      <c r="D635" s="28" t="s">
        <v>42</v>
      </c>
      <c r="E635" s="28" t="s">
        <v>180</v>
      </c>
      <c r="F635" s="28" t="s">
        <v>147</v>
      </c>
      <c r="G635" s="28" t="s">
        <v>148</v>
      </c>
      <c r="H635" s="28" t="s">
        <v>200</v>
      </c>
      <c r="I635" s="29" t="n">
        <v>25000</v>
      </c>
      <c r="J635" s="29" t="n">
        <v>12500</v>
      </c>
      <c r="K635" s="28" t="n">
        <v>9.75</v>
      </c>
      <c r="L635" s="28" t="n">
        <v>120</v>
      </c>
      <c r="M635" s="28" t="n">
        <v>7</v>
      </c>
    </row>
    <row r="636" customFormat="false" ht="15" hidden="false" customHeight="false" outlineLevel="0" collapsed="false">
      <c r="A636" s="27" t="n">
        <v>44179</v>
      </c>
      <c r="B636" s="28" t="n">
        <v>2021</v>
      </c>
      <c r="C636" s="28" t="s">
        <v>387</v>
      </c>
      <c r="D636" s="28" t="s">
        <v>47</v>
      </c>
      <c r="E636" s="28" t="s">
        <v>563</v>
      </c>
      <c r="F636" s="28" t="s">
        <v>283</v>
      </c>
      <c r="G636" s="28" t="s">
        <v>148</v>
      </c>
      <c r="H636" s="28" t="s">
        <v>306</v>
      </c>
      <c r="I636" s="29" t="n">
        <v>2500000</v>
      </c>
      <c r="J636" s="29" t="n">
        <v>1875000</v>
      </c>
      <c r="K636" s="28" t="n">
        <v>3.75</v>
      </c>
      <c r="L636" s="28" t="n">
        <v>120</v>
      </c>
      <c r="M636" s="28" t="n">
        <v>50</v>
      </c>
    </row>
    <row r="637" customFormat="false" ht="15" hidden="false" customHeight="false" outlineLevel="0" collapsed="false">
      <c r="A637" s="27" t="n">
        <v>44179</v>
      </c>
      <c r="B637" s="28" t="n">
        <v>2021</v>
      </c>
      <c r="C637" s="28" t="s">
        <v>292</v>
      </c>
      <c r="D637" s="28" t="s">
        <v>52</v>
      </c>
      <c r="E637" s="28" t="s">
        <v>468</v>
      </c>
      <c r="F637" s="28" t="s">
        <v>142</v>
      </c>
      <c r="G637" s="28" t="s">
        <v>143</v>
      </c>
      <c r="H637" s="28" t="s">
        <v>165</v>
      </c>
      <c r="I637" s="29" t="n">
        <v>332000</v>
      </c>
      <c r="J637" s="29" t="n">
        <v>249000</v>
      </c>
      <c r="K637" s="28" t="n">
        <v>5.99</v>
      </c>
      <c r="L637" s="28" t="n">
        <v>120</v>
      </c>
      <c r="M637" s="28" t="n">
        <v>6</v>
      </c>
    </row>
    <row r="638" customFormat="false" ht="15" hidden="false" customHeight="false" outlineLevel="0" collapsed="false">
      <c r="A638" s="27" t="n">
        <v>44179</v>
      </c>
      <c r="B638" s="28" t="n">
        <v>2021</v>
      </c>
      <c r="C638" s="28" t="s">
        <v>379</v>
      </c>
      <c r="D638" s="28" t="s">
        <v>55</v>
      </c>
      <c r="E638" s="28" t="s">
        <v>564</v>
      </c>
      <c r="F638" s="28" t="s">
        <v>142</v>
      </c>
      <c r="G638" s="28" t="s">
        <v>148</v>
      </c>
      <c r="H638" s="28" t="s">
        <v>165</v>
      </c>
      <c r="I638" s="29" t="n">
        <v>1466600</v>
      </c>
      <c r="J638" s="29" t="n">
        <v>1099950</v>
      </c>
      <c r="K638" s="28" t="n">
        <v>5.25</v>
      </c>
      <c r="L638" s="28" t="n">
        <v>300</v>
      </c>
      <c r="M638" s="28" t="n">
        <v>70</v>
      </c>
    </row>
    <row r="639" customFormat="false" ht="15" hidden="false" customHeight="false" outlineLevel="0" collapsed="false">
      <c r="A639" s="27" t="n">
        <v>44179</v>
      </c>
      <c r="B639" s="28" t="n">
        <v>2021</v>
      </c>
      <c r="C639" s="28" t="s">
        <v>166</v>
      </c>
      <c r="D639" s="28" t="s">
        <v>42</v>
      </c>
      <c r="E639" s="28" t="s">
        <v>226</v>
      </c>
      <c r="F639" s="28" t="s">
        <v>147</v>
      </c>
      <c r="G639" s="28" t="s">
        <v>441</v>
      </c>
      <c r="H639" s="28" t="s">
        <v>291</v>
      </c>
      <c r="I639" s="29" t="n">
        <v>100000</v>
      </c>
      <c r="J639" s="29" t="n">
        <v>50000</v>
      </c>
      <c r="K639" s="28" t="n">
        <v>5.5</v>
      </c>
      <c r="L639" s="28" t="n">
        <v>60</v>
      </c>
      <c r="M639" s="28" t="n">
        <v>9</v>
      </c>
    </row>
    <row r="640" customFormat="false" ht="15" hidden="false" customHeight="false" outlineLevel="0" collapsed="false">
      <c r="A640" s="27" t="n">
        <v>44179</v>
      </c>
      <c r="B640" s="28" t="n">
        <v>2021</v>
      </c>
      <c r="C640" s="28" t="s">
        <v>565</v>
      </c>
      <c r="D640" s="28" t="s">
        <v>56</v>
      </c>
      <c r="E640" s="28" t="s">
        <v>207</v>
      </c>
      <c r="F640" s="28" t="s">
        <v>142</v>
      </c>
      <c r="G640" s="28" t="s">
        <v>148</v>
      </c>
      <c r="H640" s="28" t="s">
        <v>165</v>
      </c>
      <c r="I640" s="29" t="n">
        <v>996000</v>
      </c>
      <c r="J640" s="29" t="n">
        <v>747000</v>
      </c>
      <c r="K640" s="28" t="n">
        <v>5.75</v>
      </c>
      <c r="L640" s="28" t="n">
        <v>120</v>
      </c>
      <c r="M640" s="28" t="n">
        <v>0</v>
      </c>
    </row>
    <row r="641" customFormat="false" ht="15" hidden="false" customHeight="false" outlineLevel="0" collapsed="false">
      <c r="A641" s="27" t="n">
        <v>44180</v>
      </c>
      <c r="B641" s="28" t="n">
        <v>2021</v>
      </c>
      <c r="C641" s="28" t="s">
        <v>198</v>
      </c>
      <c r="D641" s="28" t="s">
        <v>48</v>
      </c>
      <c r="E641" s="28" t="s">
        <v>566</v>
      </c>
      <c r="F641" s="28" t="s">
        <v>147</v>
      </c>
      <c r="G641" s="28" t="s">
        <v>148</v>
      </c>
      <c r="H641" s="28" t="s">
        <v>291</v>
      </c>
      <c r="I641" s="29" t="n">
        <v>23500</v>
      </c>
      <c r="J641" s="29" t="n">
        <v>11750</v>
      </c>
      <c r="K641" s="28" t="n">
        <v>7.4</v>
      </c>
      <c r="L641" s="28" t="n">
        <v>60</v>
      </c>
      <c r="M641" s="28" t="n">
        <v>2</v>
      </c>
    </row>
    <row r="642" customFormat="false" ht="15" hidden="false" customHeight="false" outlineLevel="0" collapsed="false">
      <c r="A642" s="27" t="n">
        <v>44180</v>
      </c>
      <c r="B642" s="28" t="n">
        <v>2021</v>
      </c>
      <c r="C642" s="28" t="s">
        <v>145</v>
      </c>
      <c r="D642" s="28" t="s">
        <v>48</v>
      </c>
      <c r="E642" s="28" t="s">
        <v>212</v>
      </c>
      <c r="F642" s="28" t="s">
        <v>147</v>
      </c>
      <c r="G642" s="28" t="s">
        <v>148</v>
      </c>
      <c r="H642" s="28" t="s">
        <v>159</v>
      </c>
      <c r="I642" s="29" t="n">
        <v>95000</v>
      </c>
      <c r="J642" s="29" t="n">
        <v>47500</v>
      </c>
      <c r="K642" s="28" t="n">
        <v>7.75</v>
      </c>
      <c r="L642" s="28" t="n">
        <v>119</v>
      </c>
      <c r="M642" s="28" t="n">
        <v>1</v>
      </c>
    </row>
    <row r="643" customFormat="false" ht="15" hidden="false" customHeight="false" outlineLevel="0" collapsed="false">
      <c r="A643" s="27" t="n">
        <v>44180</v>
      </c>
      <c r="B643" s="28" t="n">
        <v>2021</v>
      </c>
      <c r="C643" s="28" t="s">
        <v>387</v>
      </c>
      <c r="D643" s="28" t="s">
        <v>51</v>
      </c>
      <c r="E643" s="28" t="s">
        <v>567</v>
      </c>
      <c r="F643" s="28" t="s">
        <v>142</v>
      </c>
      <c r="G643" s="28" t="s">
        <v>143</v>
      </c>
      <c r="H643" s="28" t="s">
        <v>314</v>
      </c>
      <c r="I643" s="29" t="n">
        <v>1618000</v>
      </c>
      <c r="J643" s="29" t="n">
        <v>1213500</v>
      </c>
      <c r="K643" s="28" t="n">
        <v>5.25</v>
      </c>
      <c r="L643" s="28" t="n">
        <v>300</v>
      </c>
      <c r="M643" s="28" t="n">
        <v>44</v>
      </c>
    </row>
    <row r="644" customFormat="false" ht="15" hidden="false" customHeight="false" outlineLevel="0" collapsed="false">
      <c r="A644" s="27" t="n">
        <v>44181</v>
      </c>
      <c r="B644" s="28" t="n">
        <v>2021</v>
      </c>
      <c r="C644" s="28" t="s">
        <v>169</v>
      </c>
      <c r="D644" s="28" t="s">
        <v>42</v>
      </c>
      <c r="E644" s="28" t="s">
        <v>242</v>
      </c>
      <c r="F644" s="28" t="s">
        <v>147</v>
      </c>
      <c r="G644" s="28" t="s">
        <v>143</v>
      </c>
      <c r="H644" s="28" t="s">
        <v>159</v>
      </c>
      <c r="I644" s="29" t="n">
        <v>250000</v>
      </c>
      <c r="J644" s="29" t="n">
        <v>125000</v>
      </c>
      <c r="K644" s="28" t="n">
        <v>5.5</v>
      </c>
      <c r="L644" s="28" t="n">
        <v>67</v>
      </c>
      <c r="M644" s="28" t="n">
        <v>2</v>
      </c>
    </row>
    <row r="645" customFormat="false" ht="15" hidden="false" customHeight="false" outlineLevel="0" collapsed="false">
      <c r="A645" s="27" t="n">
        <v>44181</v>
      </c>
      <c r="B645" s="28" t="n">
        <v>2021</v>
      </c>
      <c r="C645" s="28" t="s">
        <v>568</v>
      </c>
      <c r="D645" s="28" t="s">
        <v>44</v>
      </c>
      <c r="E645" s="28" t="s">
        <v>569</v>
      </c>
      <c r="F645" s="28" t="s">
        <v>147</v>
      </c>
      <c r="G645" s="28" t="s">
        <v>143</v>
      </c>
      <c r="H645" s="28" t="s">
        <v>266</v>
      </c>
      <c r="I645" s="29" t="n">
        <v>142500</v>
      </c>
      <c r="J645" s="29" t="n">
        <v>71250</v>
      </c>
      <c r="K645" s="28" t="n">
        <v>4.5</v>
      </c>
      <c r="L645" s="28" t="n">
        <v>243</v>
      </c>
      <c r="M645" s="28" t="n">
        <v>9</v>
      </c>
    </row>
    <row r="646" customFormat="false" ht="15" hidden="false" customHeight="false" outlineLevel="0" collapsed="false">
      <c r="A646" s="27" t="n">
        <v>44181</v>
      </c>
      <c r="B646" s="28" t="n">
        <v>2021</v>
      </c>
      <c r="C646" s="28" t="s">
        <v>365</v>
      </c>
      <c r="D646" s="28" t="s">
        <v>46</v>
      </c>
      <c r="E646" s="28" t="s">
        <v>262</v>
      </c>
      <c r="F646" s="28" t="s">
        <v>142</v>
      </c>
      <c r="G646" s="28" t="s">
        <v>441</v>
      </c>
      <c r="H646" s="28" t="s">
        <v>306</v>
      </c>
      <c r="I646" s="29" t="n">
        <v>53200</v>
      </c>
      <c r="J646" s="29" t="n">
        <v>39900</v>
      </c>
      <c r="K646" s="28" t="n">
        <v>5.25</v>
      </c>
      <c r="L646" s="28" t="n">
        <v>84</v>
      </c>
      <c r="M646" s="28" t="n">
        <v>4</v>
      </c>
    </row>
    <row r="647" customFormat="false" ht="15" hidden="false" customHeight="false" outlineLevel="0" collapsed="false">
      <c r="A647" s="27" t="n">
        <v>44181</v>
      </c>
      <c r="B647" s="28" t="n">
        <v>2021</v>
      </c>
      <c r="C647" s="28" t="s">
        <v>206</v>
      </c>
      <c r="D647" s="28" t="s">
        <v>48</v>
      </c>
      <c r="E647" s="28" t="s">
        <v>182</v>
      </c>
      <c r="F647" s="28" t="s">
        <v>147</v>
      </c>
      <c r="G647" s="28" t="s">
        <v>441</v>
      </c>
      <c r="H647" s="28" t="s">
        <v>205</v>
      </c>
      <c r="I647" s="29" t="n">
        <v>25000</v>
      </c>
      <c r="J647" s="29" t="n">
        <v>12500</v>
      </c>
      <c r="K647" s="28" t="n">
        <v>9.04</v>
      </c>
      <c r="L647" s="28" t="n">
        <v>120</v>
      </c>
      <c r="M647" s="28" t="n">
        <v>2</v>
      </c>
    </row>
    <row r="648" customFormat="false" ht="15" hidden="false" customHeight="false" outlineLevel="0" collapsed="false">
      <c r="A648" s="27" t="n">
        <v>44181</v>
      </c>
      <c r="B648" s="28" t="n">
        <v>2021</v>
      </c>
      <c r="C648" s="28" t="s">
        <v>365</v>
      </c>
      <c r="D648" s="28" t="s">
        <v>46</v>
      </c>
      <c r="E648" s="28" t="s">
        <v>262</v>
      </c>
      <c r="F648" s="28" t="s">
        <v>142</v>
      </c>
      <c r="G648" s="28" t="s">
        <v>441</v>
      </c>
      <c r="H648" s="28" t="s">
        <v>306</v>
      </c>
      <c r="I648" s="29" t="n">
        <v>225000</v>
      </c>
      <c r="J648" s="29" t="n">
        <v>168750</v>
      </c>
      <c r="K648" s="28" t="n">
        <v>5.25</v>
      </c>
      <c r="L648" s="28" t="n">
        <v>240</v>
      </c>
      <c r="M648" s="28" t="n">
        <v>4</v>
      </c>
    </row>
    <row r="649" customFormat="false" ht="15" hidden="false" customHeight="false" outlineLevel="0" collapsed="false">
      <c r="A649" s="27" t="n">
        <v>44183</v>
      </c>
      <c r="B649" s="28" t="n">
        <v>2021</v>
      </c>
      <c r="C649" s="28" t="s">
        <v>488</v>
      </c>
      <c r="D649" s="28" t="s">
        <v>54</v>
      </c>
      <c r="E649" s="28" t="s">
        <v>236</v>
      </c>
      <c r="F649" s="28" t="s">
        <v>142</v>
      </c>
      <c r="G649" s="28" t="s">
        <v>152</v>
      </c>
      <c r="H649" s="28" t="s">
        <v>144</v>
      </c>
      <c r="I649" s="29" t="n">
        <v>210000</v>
      </c>
      <c r="J649" s="29" t="n">
        <v>157500</v>
      </c>
      <c r="K649" s="28" t="n">
        <v>5.99</v>
      </c>
      <c r="L649" s="28" t="n">
        <v>120</v>
      </c>
      <c r="M649" s="28" t="n">
        <v>2</v>
      </c>
    </row>
    <row r="650" customFormat="false" ht="15" hidden="false" customHeight="false" outlineLevel="0" collapsed="false">
      <c r="A650" s="27" t="n">
        <v>44183</v>
      </c>
      <c r="B650" s="28" t="n">
        <v>2021</v>
      </c>
      <c r="C650" s="28" t="s">
        <v>166</v>
      </c>
      <c r="D650" s="28" t="s">
        <v>52</v>
      </c>
      <c r="E650" s="28" t="s">
        <v>258</v>
      </c>
      <c r="F650" s="28" t="s">
        <v>147</v>
      </c>
      <c r="G650" s="28" t="s">
        <v>441</v>
      </c>
      <c r="H650" s="28" t="s">
        <v>168</v>
      </c>
      <c r="I650" s="29" t="n">
        <v>12500</v>
      </c>
      <c r="J650" s="29" t="n">
        <v>6250</v>
      </c>
      <c r="K650" s="28" t="n">
        <v>9.25</v>
      </c>
      <c r="L650" s="28" t="n">
        <v>69</v>
      </c>
      <c r="M650" s="28" t="n">
        <v>0</v>
      </c>
    </row>
    <row r="651" customFormat="false" ht="15" hidden="false" customHeight="false" outlineLevel="0" collapsed="false">
      <c r="A651" s="27" t="n">
        <v>44183</v>
      </c>
      <c r="B651" s="28" t="n">
        <v>2021</v>
      </c>
      <c r="C651" s="28" t="s">
        <v>166</v>
      </c>
      <c r="D651" s="28" t="s">
        <v>51</v>
      </c>
      <c r="E651" s="28" t="s">
        <v>239</v>
      </c>
      <c r="F651" s="28" t="s">
        <v>194</v>
      </c>
      <c r="G651" s="28" t="s">
        <v>143</v>
      </c>
      <c r="H651" s="28" t="s">
        <v>211</v>
      </c>
      <c r="I651" s="29" t="n">
        <v>245000</v>
      </c>
      <c r="J651" s="29" t="n">
        <v>183750</v>
      </c>
      <c r="K651" s="28" t="n">
        <v>6</v>
      </c>
      <c r="L651" s="28" t="n">
        <v>120</v>
      </c>
      <c r="M651" s="28" t="n">
        <v>10</v>
      </c>
    </row>
    <row r="652" customFormat="false" ht="15" hidden="false" customHeight="false" outlineLevel="0" collapsed="false">
      <c r="A652" s="27" t="n">
        <v>44188</v>
      </c>
      <c r="B652" s="28" t="n">
        <v>2021</v>
      </c>
      <c r="C652" s="28" t="s">
        <v>166</v>
      </c>
      <c r="D652" s="28" t="s">
        <v>48</v>
      </c>
      <c r="E652" s="28" t="s">
        <v>362</v>
      </c>
      <c r="F652" s="28" t="s">
        <v>147</v>
      </c>
      <c r="G652" s="28" t="s">
        <v>441</v>
      </c>
      <c r="H652" s="28" t="s">
        <v>205</v>
      </c>
      <c r="I652" s="29" t="n">
        <v>25000</v>
      </c>
      <c r="J652" s="29" t="n">
        <v>12500</v>
      </c>
      <c r="K652" s="28" t="n">
        <v>8.74</v>
      </c>
      <c r="L652" s="28" t="n">
        <v>42</v>
      </c>
      <c r="M652" s="28" t="n">
        <v>5</v>
      </c>
    </row>
    <row r="653" customFormat="false" ht="15" hidden="false" customHeight="false" outlineLevel="0" collapsed="false">
      <c r="A653" s="27" t="n">
        <v>44189</v>
      </c>
      <c r="B653" s="28" t="n">
        <v>2021</v>
      </c>
      <c r="C653" s="28" t="s">
        <v>166</v>
      </c>
      <c r="D653" s="28" t="s">
        <v>47</v>
      </c>
      <c r="E653" s="28" t="s">
        <v>305</v>
      </c>
      <c r="F653" s="28" t="s">
        <v>147</v>
      </c>
      <c r="G653" s="28" t="s">
        <v>441</v>
      </c>
      <c r="H653" s="28" t="s">
        <v>159</v>
      </c>
      <c r="I653" s="29" t="n">
        <v>5000</v>
      </c>
      <c r="J653" s="29" t="n">
        <v>2500</v>
      </c>
      <c r="K653" s="28" t="n">
        <v>9.75</v>
      </c>
      <c r="L653" s="28" t="n">
        <v>120</v>
      </c>
      <c r="M653" s="28" t="n">
        <v>1</v>
      </c>
    </row>
    <row r="654" customFormat="false" ht="15" hidden="false" customHeight="false" outlineLevel="0" collapsed="false">
      <c r="A654" s="27" t="n">
        <v>44193</v>
      </c>
      <c r="B654" s="28" t="n">
        <v>2021</v>
      </c>
      <c r="C654" s="28" t="s">
        <v>166</v>
      </c>
      <c r="D654" s="28" t="s">
        <v>56</v>
      </c>
      <c r="E654" s="28" t="s">
        <v>464</v>
      </c>
      <c r="F654" s="28" t="s">
        <v>142</v>
      </c>
      <c r="G654" s="28" t="s">
        <v>441</v>
      </c>
      <c r="H654" s="28" t="s">
        <v>570</v>
      </c>
      <c r="I654" s="29" t="n">
        <v>240000</v>
      </c>
      <c r="J654" s="29" t="n">
        <v>216000</v>
      </c>
      <c r="K654" s="28" t="n">
        <v>6</v>
      </c>
      <c r="L654" s="28" t="n">
        <v>300</v>
      </c>
      <c r="M654" s="28" t="n">
        <v>3</v>
      </c>
    </row>
    <row r="655" customFormat="false" ht="15" hidden="false" customHeight="false" outlineLevel="0" collapsed="false">
      <c r="A655" s="27" t="n">
        <v>44193</v>
      </c>
      <c r="B655" s="28" t="n">
        <v>2021</v>
      </c>
      <c r="C655" s="28" t="s">
        <v>571</v>
      </c>
      <c r="D655" s="28" t="s">
        <v>46</v>
      </c>
      <c r="E655" s="28" t="s">
        <v>361</v>
      </c>
      <c r="F655" s="28" t="s">
        <v>142</v>
      </c>
      <c r="G655" s="28" t="s">
        <v>441</v>
      </c>
      <c r="H655" s="28" t="s">
        <v>165</v>
      </c>
      <c r="I655" s="29" t="n">
        <v>431000</v>
      </c>
      <c r="J655" s="29" t="n">
        <v>387900</v>
      </c>
      <c r="K655" s="28" t="n">
        <v>5.99</v>
      </c>
      <c r="L655" s="28" t="n">
        <v>120</v>
      </c>
      <c r="M655" s="28" t="n">
        <v>2</v>
      </c>
    </row>
    <row r="656" customFormat="false" ht="15" hidden="false" customHeight="false" outlineLevel="0" collapsed="false">
      <c r="A656" s="27" t="n">
        <v>44193</v>
      </c>
      <c r="B656" s="28" t="n">
        <v>2021</v>
      </c>
      <c r="C656" s="28" t="s">
        <v>145</v>
      </c>
      <c r="D656" s="28" t="s">
        <v>43</v>
      </c>
      <c r="E656" s="28" t="s">
        <v>317</v>
      </c>
      <c r="F656" s="28" t="s">
        <v>147</v>
      </c>
      <c r="G656" s="28" t="s">
        <v>441</v>
      </c>
      <c r="H656" s="28" t="s">
        <v>168</v>
      </c>
      <c r="I656" s="29" t="n">
        <v>20000</v>
      </c>
      <c r="J656" s="29" t="n">
        <v>15000</v>
      </c>
      <c r="K656" s="28" t="n">
        <v>8.75</v>
      </c>
      <c r="L656" s="28" t="n">
        <v>120</v>
      </c>
      <c r="M656" s="28" t="n">
        <v>10</v>
      </c>
    </row>
    <row r="657" customFormat="false" ht="15" hidden="false" customHeight="false" outlineLevel="0" collapsed="false">
      <c r="A657" s="27" t="n">
        <v>44194</v>
      </c>
      <c r="B657" s="28" t="n">
        <v>2021</v>
      </c>
      <c r="C657" s="28" t="s">
        <v>163</v>
      </c>
      <c r="D657" s="28" t="s">
        <v>45</v>
      </c>
      <c r="E657" s="28" t="s">
        <v>202</v>
      </c>
      <c r="F657" s="28" t="s">
        <v>142</v>
      </c>
      <c r="G657" s="28" t="s">
        <v>152</v>
      </c>
      <c r="H657" s="28" t="s">
        <v>227</v>
      </c>
      <c r="I657" s="29" t="n">
        <v>239000</v>
      </c>
      <c r="J657" s="29" t="n">
        <v>215100</v>
      </c>
      <c r="K657" s="28" t="n">
        <v>6</v>
      </c>
      <c r="L657" s="28" t="n">
        <v>109</v>
      </c>
      <c r="M657" s="28" t="n">
        <v>4</v>
      </c>
    </row>
    <row r="658" customFormat="false" ht="15" hidden="false" customHeight="false" outlineLevel="0" collapsed="false">
      <c r="A658" s="27" t="n">
        <v>44196</v>
      </c>
      <c r="B658" s="28" t="n">
        <v>2021</v>
      </c>
      <c r="C658" s="28" t="s">
        <v>198</v>
      </c>
      <c r="D658" s="28" t="s">
        <v>53</v>
      </c>
      <c r="E658" s="28" t="s">
        <v>371</v>
      </c>
      <c r="F658" s="28" t="s">
        <v>147</v>
      </c>
      <c r="G658" s="28" t="s">
        <v>148</v>
      </c>
      <c r="H658" s="28" t="s">
        <v>372</v>
      </c>
      <c r="I658" s="29" t="n">
        <v>100000</v>
      </c>
      <c r="J658" s="29" t="n">
        <v>50000</v>
      </c>
      <c r="K658" s="28" t="n">
        <v>4.25</v>
      </c>
      <c r="L658" s="28" t="n">
        <v>63</v>
      </c>
      <c r="M658" s="28" t="n">
        <v>21</v>
      </c>
    </row>
    <row r="659" customFormat="false" ht="15" hidden="false" customHeight="false" outlineLevel="0" collapsed="false">
      <c r="A659" s="27" t="n">
        <v>44202</v>
      </c>
      <c r="B659" s="28" t="n">
        <v>2021</v>
      </c>
      <c r="C659" s="28" t="s">
        <v>444</v>
      </c>
      <c r="D659" s="28" t="s">
        <v>42</v>
      </c>
      <c r="E659" s="28" t="s">
        <v>247</v>
      </c>
      <c r="F659" s="28" t="s">
        <v>194</v>
      </c>
      <c r="G659" s="28" t="s">
        <v>441</v>
      </c>
      <c r="H659" s="28" t="s">
        <v>572</v>
      </c>
      <c r="I659" s="29" t="n">
        <v>1142000</v>
      </c>
      <c r="J659" s="29" t="n">
        <v>1027800</v>
      </c>
      <c r="K659" s="28" t="n">
        <v>5.75</v>
      </c>
      <c r="L659" s="28" t="n">
        <v>300</v>
      </c>
      <c r="M659" s="28" t="n">
        <v>9</v>
      </c>
    </row>
    <row r="660" customFormat="false" ht="15" hidden="false" customHeight="false" outlineLevel="0" collapsed="false">
      <c r="A660" s="27" t="n">
        <v>44203</v>
      </c>
      <c r="B660" s="28" t="n">
        <v>2021</v>
      </c>
      <c r="C660" s="28" t="s">
        <v>216</v>
      </c>
      <c r="D660" s="28" t="s">
        <v>46</v>
      </c>
      <c r="E660" s="28" t="s">
        <v>259</v>
      </c>
      <c r="F660" s="28" t="s">
        <v>142</v>
      </c>
      <c r="G660" s="28" t="s">
        <v>148</v>
      </c>
      <c r="H660" s="28" t="s">
        <v>573</v>
      </c>
      <c r="I660" s="29" t="n">
        <v>567000</v>
      </c>
      <c r="J660" s="29" t="n">
        <v>510300</v>
      </c>
      <c r="K660" s="28" t="n">
        <v>5.5</v>
      </c>
      <c r="L660" s="28" t="n">
        <v>300</v>
      </c>
      <c r="M660" s="28" t="n">
        <v>5</v>
      </c>
    </row>
    <row r="661" customFormat="false" ht="15" hidden="false" customHeight="false" outlineLevel="0" collapsed="false">
      <c r="A661" s="27" t="n">
        <v>44203</v>
      </c>
      <c r="B661" s="28" t="n">
        <v>2021</v>
      </c>
      <c r="C661" s="28" t="s">
        <v>198</v>
      </c>
      <c r="D661" s="28" t="s">
        <v>44</v>
      </c>
      <c r="E661" s="28" t="s">
        <v>297</v>
      </c>
      <c r="F661" s="28" t="s">
        <v>147</v>
      </c>
      <c r="G661" s="28" t="s">
        <v>148</v>
      </c>
      <c r="H661" s="28" t="s">
        <v>574</v>
      </c>
      <c r="I661" s="29" t="n">
        <v>200000</v>
      </c>
      <c r="J661" s="29" t="n">
        <v>100000</v>
      </c>
      <c r="K661" s="28" t="n">
        <v>4.75</v>
      </c>
      <c r="L661" s="28" t="n">
        <v>120</v>
      </c>
      <c r="M661" s="28" t="n">
        <v>9</v>
      </c>
    </row>
    <row r="662" customFormat="false" ht="15" hidden="false" customHeight="false" outlineLevel="0" collapsed="false">
      <c r="A662" s="27" t="n">
        <v>44211</v>
      </c>
      <c r="B662" s="28" t="n">
        <v>2021</v>
      </c>
      <c r="C662" s="28" t="s">
        <v>172</v>
      </c>
      <c r="D662" s="28" t="s">
        <v>49</v>
      </c>
      <c r="E662" s="28" t="s">
        <v>575</v>
      </c>
      <c r="F662" s="28" t="s">
        <v>147</v>
      </c>
      <c r="G662" s="28" t="s">
        <v>143</v>
      </c>
      <c r="H662" s="28" t="s">
        <v>278</v>
      </c>
      <c r="I662" s="29" t="n">
        <v>100000</v>
      </c>
      <c r="J662" s="29" t="n">
        <v>50000</v>
      </c>
      <c r="K662" s="28" t="n">
        <v>6</v>
      </c>
      <c r="L662" s="28" t="n">
        <v>36</v>
      </c>
      <c r="M662" s="28" t="n">
        <v>10</v>
      </c>
    </row>
    <row r="663" customFormat="false" ht="15" hidden="false" customHeight="false" outlineLevel="0" collapsed="false">
      <c r="A663" s="27" t="n">
        <v>44216</v>
      </c>
      <c r="B663" s="28" t="n">
        <v>2021</v>
      </c>
      <c r="C663" s="28" t="s">
        <v>172</v>
      </c>
      <c r="D663" s="28" t="s">
        <v>48</v>
      </c>
      <c r="E663" s="28" t="s">
        <v>295</v>
      </c>
      <c r="F663" s="28" t="s">
        <v>142</v>
      </c>
      <c r="G663" s="28" t="s">
        <v>148</v>
      </c>
      <c r="H663" s="28" t="s">
        <v>200</v>
      </c>
      <c r="I663" s="29" t="n">
        <v>40000</v>
      </c>
      <c r="J663" s="29" t="n">
        <v>36000</v>
      </c>
      <c r="K663" s="28" t="n">
        <v>2.75</v>
      </c>
      <c r="L663" s="28" t="n">
        <v>120</v>
      </c>
      <c r="M663" s="28" t="n">
        <v>1</v>
      </c>
    </row>
    <row r="664" customFormat="false" ht="15" hidden="false" customHeight="false" outlineLevel="0" collapsed="false">
      <c r="A664" s="27" t="n">
        <v>44216</v>
      </c>
      <c r="B664" s="28" t="n">
        <v>2021</v>
      </c>
      <c r="C664" s="28" t="s">
        <v>169</v>
      </c>
      <c r="D664" s="28" t="s">
        <v>45</v>
      </c>
      <c r="E664" s="28" t="s">
        <v>202</v>
      </c>
      <c r="F664" s="28" t="s">
        <v>147</v>
      </c>
      <c r="G664" s="28" t="s">
        <v>148</v>
      </c>
      <c r="H664" s="28" t="s">
        <v>159</v>
      </c>
      <c r="I664" s="29" t="n">
        <v>10000</v>
      </c>
      <c r="J664" s="29" t="n">
        <v>5000</v>
      </c>
      <c r="K664" s="28" t="n">
        <v>9.75</v>
      </c>
      <c r="L664" s="28" t="n">
        <v>75</v>
      </c>
      <c r="M664" s="28" t="n">
        <v>6</v>
      </c>
    </row>
    <row r="665" customFormat="false" ht="15" hidden="false" customHeight="false" outlineLevel="0" collapsed="false">
      <c r="A665" s="27" t="n">
        <v>44221</v>
      </c>
      <c r="B665" s="28" t="n">
        <v>2021</v>
      </c>
      <c r="C665" s="28" t="s">
        <v>209</v>
      </c>
      <c r="D665" s="28" t="s">
        <v>47</v>
      </c>
      <c r="E665" s="28" t="s">
        <v>576</v>
      </c>
      <c r="F665" s="28" t="s">
        <v>147</v>
      </c>
      <c r="G665" s="28" t="s">
        <v>143</v>
      </c>
      <c r="H665" s="28" t="s">
        <v>255</v>
      </c>
      <c r="I665" s="29" t="n">
        <v>350000</v>
      </c>
      <c r="J665" s="29" t="n">
        <v>262500</v>
      </c>
      <c r="K665" s="28" t="n">
        <v>6</v>
      </c>
      <c r="L665" s="28" t="n">
        <v>120</v>
      </c>
      <c r="M665" s="28" t="n">
        <v>12</v>
      </c>
    </row>
    <row r="666" customFormat="false" ht="15" hidden="false" customHeight="false" outlineLevel="0" collapsed="false">
      <c r="A666" s="27" t="n">
        <v>44223</v>
      </c>
      <c r="B666" s="28" t="n">
        <v>2021</v>
      </c>
      <c r="C666" s="28" t="s">
        <v>310</v>
      </c>
      <c r="D666" s="28" t="s">
        <v>54</v>
      </c>
      <c r="E666" s="28" t="s">
        <v>155</v>
      </c>
      <c r="F666" s="28" t="s">
        <v>283</v>
      </c>
      <c r="G666" s="28" t="s">
        <v>148</v>
      </c>
      <c r="H666" s="28" t="s">
        <v>306</v>
      </c>
      <c r="I666" s="29" t="n">
        <v>300000</v>
      </c>
      <c r="J666" s="29" t="n">
        <v>225000</v>
      </c>
      <c r="K666" s="28" t="n">
        <v>4.75</v>
      </c>
      <c r="L666" s="28" t="n">
        <v>12</v>
      </c>
      <c r="M666" s="28" t="n">
        <v>3</v>
      </c>
    </row>
    <row r="667" customFormat="false" ht="15" hidden="false" customHeight="false" outlineLevel="0" collapsed="false">
      <c r="A667" s="27" t="n">
        <v>44224</v>
      </c>
      <c r="B667" s="28" t="n">
        <v>2021</v>
      </c>
      <c r="C667" s="28" t="s">
        <v>166</v>
      </c>
      <c r="D667" s="28" t="s">
        <v>45</v>
      </c>
      <c r="E667" s="28" t="s">
        <v>480</v>
      </c>
      <c r="F667" s="28" t="s">
        <v>147</v>
      </c>
      <c r="G667" s="28" t="s">
        <v>148</v>
      </c>
      <c r="H667" s="28" t="s">
        <v>165</v>
      </c>
      <c r="I667" s="29" t="n">
        <v>150000</v>
      </c>
      <c r="J667" s="29" t="n">
        <v>75000</v>
      </c>
      <c r="K667" s="28" t="n">
        <v>5.25</v>
      </c>
      <c r="L667" s="28" t="n">
        <v>84</v>
      </c>
      <c r="M667" s="28" t="n">
        <v>2</v>
      </c>
    </row>
    <row r="668" customFormat="false" ht="15" hidden="false" customHeight="false" outlineLevel="0" collapsed="false">
      <c r="A668" s="27" t="n">
        <v>44224</v>
      </c>
      <c r="B668" s="28" t="n">
        <v>2021</v>
      </c>
      <c r="C668" s="28" t="s">
        <v>209</v>
      </c>
      <c r="D668" s="28" t="s">
        <v>45</v>
      </c>
      <c r="E668" s="28" t="s">
        <v>222</v>
      </c>
      <c r="F668" s="28" t="s">
        <v>147</v>
      </c>
      <c r="G668" s="28" t="s">
        <v>148</v>
      </c>
      <c r="H668" s="28" t="s">
        <v>495</v>
      </c>
      <c r="I668" s="29" t="n">
        <v>25000</v>
      </c>
      <c r="J668" s="29" t="n">
        <v>12500</v>
      </c>
      <c r="K668" s="28" t="n">
        <v>5.25</v>
      </c>
      <c r="L668" s="28" t="n">
        <v>60</v>
      </c>
      <c r="M668" s="28" t="n">
        <v>0</v>
      </c>
    </row>
    <row r="669" customFormat="false" ht="15" hidden="false" customHeight="false" outlineLevel="0" collapsed="false">
      <c r="A669" s="27" t="n">
        <v>44228</v>
      </c>
      <c r="B669" s="28" t="n">
        <v>2021</v>
      </c>
      <c r="C669" s="28" t="s">
        <v>166</v>
      </c>
      <c r="D669" s="28" t="s">
        <v>43</v>
      </c>
      <c r="E669" s="28" t="s">
        <v>217</v>
      </c>
      <c r="F669" s="28" t="s">
        <v>142</v>
      </c>
      <c r="G669" s="28" t="s">
        <v>148</v>
      </c>
      <c r="H669" s="28" t="s">
        <v>269</v>
      </c>
      <c r="I669" s="29" t="n">
        <v>2057000</v>
      </c>
      <c r="J669" s="29" t="n">
        <v>1851300</v>
      </c>
      <c r="K669" s="28" t="n">
        <v>5.25</v>
      </c>
      <c r="L669" s="28" t="n">
        <v>300</v>
      </c>
      <c r="M669" s="28" t="n">
        <v>8</v>
      </c>
    </row>
    <row r="670" customFormat="false" ht="15" hidden="false" customHeight="false" outlineLevel="0" collapsed="false">
      <c r="A670" s="27" t="n">
        <v>44228</v>
      </c>
      <c r="B670" s="28" t="n">
        <v>2021</v>
      </c>
      <c r="C670" s="28" t="s">
        <v>571</v>
      </c>
      <c r="D670" s="28" t="s">
        <v>42</v>
      </c>
      <c r="E670" s="28" t="s">
        <v>180</v>
      </c>
      <c r="F670" s="28" t="s">
        <v>142</v>
      </c>
      <c r="G670" s="28" t="s">
        <v>441</v>
      </c>
      <c r="H670" s="28" t="s">
        <v>200</v>
      </c>
      <c r="I670" s="29" t="n">
        <v>105000</v>
      </c>
      <c r="J670" s="29" t="n">
        <v>94500</v>
      </c>
      <c r="K670" s="28" t="n">
        <v>6</v>
      </c>
      <c r="L670" s="28" t="n">
        <v>123</v>
      </c>
      <c r="M670" s="28" t="n">
        <v>12</v>
      </c>
    </row>
    <row r="671" customFormat="false" ht="15" hidden="false" customHeight="false" outlineLevel="0" collapsed="false">
      <c r="A671" s="27" t="n">
        <v>44228</v>
      </c>
      <c r="B671" s="28" t="n">
        <v>2021</v>
      </c>
      <c r="C671" s="28" t="s">
        <v>230</v>
      </c>
      <c r="D671" s="28" t="s">
        <v>48</v>
      </c>
      <c r="E671" s="28" t="s">
        <v>401</v>
      </c>
      <c r="F671" s="28" t="s">
        <v>142</v>
      </c>
      <c r="G671" s="28" t="s">
        <v>152</v>
      </c>
      <c r="H671" s="28" t="s">
        <v>144</v>
      </c>
      <c r="I671" s="29" t="n">
        <v>680000</v>
      </c>
      <c r="J671" s="29" t="n">
        <v>612000</v>
      </c>
      <c r="K671" s="28" t="n">
        <v>6</v>
      </c>
      <c r="L671" s="28" t="n">
        <v>120</v>
      </c>
      <c r="M671" s="28" t="n">
        <v>1</v>
      </c>
    </row>
    <row r="672" customFormat="false" ht="15" hidden="false" customHeight="false" outlineLevel="0" collapsed="false">
      <c r="A672" s="27" t="n">
        <v>44228</v>
      </c>
      <c r="B672" s="28" t="n">
        <v>2021</v>
      </c>
      <c r="C672" s="28" t="s">
        <v>206</v>
      </c>
      <c r="D672" s="28" t="s">
        <v>48</v>
      </c>
      <c r="E672" s="28" t="s">
        <v>362</v>
      </c>
      <c r="F672" s="28" t="s">
        <v>142</v>
      </c>
      <c r="G672" s="28" t="s">
        <v>148</v>
      </c>
      <c r="H672" s="28" t="s">
        <v>281</v>
      </c>
      <c r="I672" s="29" t="n">
        <v>1553000</v>
      </c>
      <c r="J672" s="29" t="n">
        <v>1397700</v>
      </c>
      <c r="K672" s="28" t="n">
        <v>5.75</v>
      </c>
      <c r="L672" s="28" t="n">
        <v>300</v>
      </c>
      <c r="M672" s="28" t="n">
        <v>32</v>
      </c>
    </row>
    <row r="673" customFormat="false" ht="15" hidden="false" customHeight="false" outlineLevel="0" collapsed="false">
      <c r="A673" s="27" t="n">
        <v>44228</v>
      </c>
      <c r="B673" s="28" t="n">
        <v>2021</v>
      </c>
      <c r="C673" s="28" t="s">
        <v>196</v>
      </c>
      <c r="D673" s="28" t="s">
        <v>48</v>
      </c>
      <c r="E673" s="28" t="s">
        <v>362</v>
      </c>
      <c r="F673" s="28" t="s">
        <v>142</v>
      </c>
      <c r="G673" s="28" t="s">
        <v>148</v>
      </c>
      <c r="H673" s="28" t="s">
        <v>159</v>
      </c>
      <c r="I673" s="29" t="n">
        <v>100000</v>
      </c>
      <c r="J673" s="29" t="n">
        <v>50000</v>
      </c>
      <c r="K673" s="28" t="n">
        <v>5.25</v>
      </c>
      <c r="L673" s="28" t="n">
        <v>6</v>
      </c>
      <c r="M673" s="28" t="n">
        <v>3</v>
      </c>
    </row>
    <row r="674" customFormat="false" ht="15" hidden="false" customHeight="false" outlineLevel="0" collapsed="false">
      <c r="A674" s="27" t="n">
        <v>44228</v>
      </c>
      <c r="B674" s="28" t="n">
        <v>2021</v>
      </c>
      <c r="C674" s="28" t="s">
        <v>196</v>
      </c>
      <c r="D674" s="28" t="s">
        <v>46</v>
      </c>
      <c r="E674" s="28" t="s">
        <v>146</v>
      </c>
      <c r="F674" s="28" t="s">
        <v>142</v>
      </c>
      <c r="G674" s="28" t="s">
        <v>441</v>
      </c>
      <c r="H674" s="28" t="s">
        <v>577</v>
      </c>
      <c r="I674" s="29" t="n">
        <v>533000</v>
      </c>
      <c r="J674" s="29" t="n">
        <v>479700</v>
      </c>
      <c r="K674" s="28" t="n">
        <v>5.75</v>
      </c>
      <c r="L674" s="28" t="n">
        <v>90</v>
      </c>
      <c r="M674" s="28" t="n">
        <v>16</v>
      </c>
    </row>
    <row r="675" customFormat="false" ht="15" hidden="false" customHeight="false" outlineLevel="0" collapsed="false">
      <c r="A675" s="27" t="n">
        <v>44229</v>
      </c>
      <c r="B675" s="28" t="n">
        <v>2021</v>
      </c>
      <c r="C675" s="28" t="s">
        <v>216</v>
      </c>
      <c r="D675" s="28" t="s">
        <v>42</v>
      </c>
      <c r="E675" s="28" t="s">
        <v>247</v>
      </c>
      <c r="F675" s="28" t="s">
        <v>142</v>
      </c>
      <c r="G675" s="28" t="s">
        <v>441</v>
      </c>
      <c r="H675" s="28" t="s">
        <v>516</v>
      </c>
      <c r="I675" s="29" t="n">
        <v>5000000</v>
      </c>
      <c r="J675" s="29" t="n">
        <v>3750000</v>
      </c>
      <c r="K675" s="28" t="n">
        <v>5</v>
      </c>
      <c r="L675" s="28" t="n">
        <v>306</v>
      </c>
      <c r="M675" s="28" t="n">
        <v>13</v>
      </c>
    </row>
    <row r="676" customFormat="false" ht="15" hidden="false" customHeight="false" outlineLevel="0" collapsed="false">
      <c r="A676" s="27" t="n">
        <v>44229</v>
      </c>
      <c r="B676" s="28" t="n">
        <v>2021</v>
      </c>
      <c r="C676" s="28" t="s">
        <v>160</v>
      </c>
      <c r="D676" s="28" t="s">
        <v>44</v>
      </c>
      <c r="E676" s="28" t="s">
        <v>578</v>
      </c>
      <c r="F676" s="28" t="s">
        <v>147</v>
      </c>
      <c r="G676" s="28" t="s">
        <v>441</v>
      </c>
      <c r="H676" s="28" t="s">
        <v>168</v>
      </c>
      <c r="I676" s="29" t="n">
        <v>9500</v>
      </c>
      <c r="J676" s="29" t="n">
        <v>7125</v>
      </c>
      <c r="K676" s="28" t="n">
        <v>7.75</v>
      </c>
      <c r="L676" s="28" t="n">
        <v>120</v>
      </c>
      <c r="M676" s="28" t="n">
        <v>0</v>
      </c>
    </row>
    <row r="677" customFormat="false" ht="15" hidden="false" customHeight="false" outlineLevel="0" collapsed="false">
      <c r="A677" s="27" t="n">
        <v>44229</v>
      </c>
      <c r="B677" s="28" t="n">
        <v>2021</v>
      </c>
      <c r="C677" s="28" t="s">
        <v>368</v>
      </c>
      <c r="D677" s="28" t="s">
        <v>43</v>
      </c>
      <c r="E677" s="28" t="s">
        <v>264</v>
      </c>
      <c r="F677" s="28" t="s">
        <v>142</v>
      </c>
      <c r="G677" s="28" t="s">
        <v>152</v>
      </c>
      <c r="H677" s="28" t="s">
        <v>579</v>
      </c>
      <c r="I677" s="29" t="n">
        <v>634600</v>
      </c>
      <c r="J677" s="29" t="n">
        <v>571140</v>
      </c>
      <c r="K677" s="28" t="n">
        <v>5.75</v>
      </c>
      <c r="L677" s="28" t="n">
        <v>120</v>
      </c>
      <c r="M677" s="28" t="n">
        <v>9</v>
      </c>
    </row>
    <row r="678" customFormat="false" ht="15" hidden="false" customHeight="false" outlineLevel="0" collapsed="false">
      <c r="A678" s="27" t="n">
        <v>44229</v>
      </c>
      <c r="B678" s="28" t="n">
        <v>2021</v>
      </c>
      <c r="C678" s="28" t="s">
        <v>344</v>
      </c>
      <c r="D678" s="28" t="s">
        <v>46</v>
      </c>
      <c r="E678" s="28" t="s">
        <v>580</v>
      </c>
      <c r="F678" s="28" t="s">
        <v>142</v>
      </c>
      <c r="G678" s="28" t="s">
        <v>143</v>
      </c>
      <c r="H678" s="28" t="s">
        <v>382</v>
      </c>
      <c r="I678" s="29" t="n">
        <v>350000</v>
      </c>
      <c r="J678" s="29" t="n">
        <v>315000</v>
      </c>
      <c r="K678" s="28" t="n">
        <v>6</v>
      </c>
      <c r="L678" s="28" t="n">
        <v>124</v>
      </c>
      <c r="M678" s="28" t="n">
        <v>12</v>
      </c>
    </row>
    <row r="679" customFormat="false" ht="15" hidden="false" customHeight="false" outlineLevel="0" collapsed="false">
      <c r="A679" s="27" t="n">
        <v>44229</v>
      </c>
      <c r="B679" s="28" t="n">
        <v>2021</v>
      </c>
      <c r="C679" s="28" t="s">
        <v>423</v>
      </c>
      <c r="D679" s="28" t="s">
        <v>46</v>
      </c>
      <c r="E679" s="28" t="s">
        <v>262</v>
      </c>
      <c r="F679" s="28" t="s">
        <v>147</v>
      </c>
      <c r="G679" s="28" t="s">
        <v>143</v>
      </c>
      <c r="H679" s="28" t="s">
        <v>220</v>
      </c>
      <c r="I679" s="29" t="n">
        <v>530000</v>
      </c>
      <c r="J679" s="29" t="n">
        <v>265000</v>
      </c>
      <c r="K679" s="28" t="n">
        <v>4</v>
      </c>
      <c r="L679" s="28" t="n">
        <v>120</v>
      </c>
      <c r="M679" s="28" t="n">
        <v>8</v>
      </c>
    </row>
    <row r="680" customFormat="false" ht="15" hidden="false" customHeight="false" outlineLevel="0" collapsed="false">
      <c r="A680" s="27" t="n">
        <v>44230</v>
      </c>
      <c r="B680" s="28" t="n">
        <v>2021</v>
      </c>
      <c r="C680" s="28" t="s">
        <v>558</v>
      </c>
      <c r="D680" s="28" t="s">
        <v>43</v>
      </c>
      <c r="E680" s="28" t="s">
        <v>581</v>
      </c>
      <c r="F680" s="28" t="s">
        <v>142</v>
      </c>
      <c r="G680" s="28" t="s">
        <v>441</v>
      </c>
      <c r="H680" s="28" t="s">
        <v>165</v>
      </c>
      <c r="I680" s="29" t="n">
        <v>2357000</v>
      </c>
      <c r="J680" s="29" t="n">
        <v>2121300</v>
      </c>
      <c r="K680" s="28" t="n">
        <v>3.99</v>
      </c>
      <c r="L680" s="28" t="n">
        <v>240</v>
      </c>
      <c r="M680" s="28" t="n">
        <v>10</v>
      </c>
    </row>
    <row r="681" customFormat="false" ht="15" hidden="false" customHeight="false" outlineLevel="0" collapsed="false">
      <c r="A681" s="27" t="n">
        <v>44231</v>
      </c>
      <c r="B681" s="28" t="n">
        <v>2021</v>
      </c>
      <c r="C681" s="28" t="s">
        <v>166</v>
      </c>
      <c r="D681" s="28" t="s">
        <v>46</v>
      </c>
      <c r="E681" s="28" t="s">
        <v>298</v>
      </c>
      <c r="F681" s="28" t="s">
        <v>147</v>
      </c>
      <c r="G681" s="28" t="s">
        <v>148</v>
      </c>
      <c r="H681" s="28" t="s">
        <v>159</v>
      </c>
      <c r="I681" s="29" t="n">
        <v>50000</v>
      </c>
      <c r="J681" s="29" t="n">
        <v>37500</v>
      </c>
      <c r="K681" s="28" t="n">
        <v>7.75</v>
      </c>
      <c r="L681" s="28" t="n">
        <v>120</v>
      </c>
      <c r="M681" s="28" t="n">
        <v>25</v>
      </c>
    </row>
    <row r="682" customFormat="false" ht="15" hidden="false" customHeight="false" outlineLevel="0" collapsed="false">
      <c r="A682" s="27" t="n">
        <v>44231</v>
      </c>
      <c r="B682" s="28" t="n">
        <v>2021</v>
      </c>
      <c r="C682" s="28" t="s">
        <v>263</v>
      </c>
      <c r="D682" s="28" t="s">
        <v>48</v>
      </c>
      <c r="E682" s="28" t="s">
        <v>309</v>
      </c>
      <c r="F682" s="28" t="s">
        <v>147</v>
      </c>
      <c r="G682" s="28" t="s">
        <v>441</v>
      </c>
      <c r="H682" s="28" t="s">
        <v>168</v>
      </c>
      <c r="I682" s="29" t="n">
        <v>15000</v>
      </c>
      <c r="J682" s="29" t="n">
        <v>7500</v>
      </c>
      <c r="K682" s="28" t="n">
        <v>9.25</v>
      </c>
      <c r="L682" s="28" t="n">
        <v>120</v>
      </c>
      <c r="M682" s="28" t="n">
        <v>0</v>
      </c>
    </row>
    <row r="683" customFormat="false" ht="15" hidden="false" customHeight="false" outlineLevel="0" collapsed="false">
      <c r="A683" s="27" t="n">
        <v>44232</v>
      </c>
      <c r="B683" s="28" t="n">
        <v>2021</v>
      </c>
      <c r="C683" s="28" t="s">
        <v>169</v>
      </c>
      <c r="D683" s="28" t="s">
        <v>50</v>
      </c>
      <c r="E683" s="28" t="s">
        <v>582</v>
      </c>
      <c r="F683" s="28" t="s">
        <v>147</v>
      </c>
      <c r="G683" s="28" t="s">
        <v>148</v>
      </c>
      <c r="H683" s="28" t="s">
        <v>372</v>
      </c>
      <c r="I683" s="29" t="n">
        <v>35000</v>
      </c>
      <c r="J683" s="29" t="n">
        <v>24500</v>
      </c>
      <c r="K683" s="28" t="n">
        <v>4.25</v>
      </c>
      <c r="L683" s="28" t="n">
        <v>60</v>
      </c>
      <c r="M683" s="28" t="n">
        <v>29</v>
      </c>
    </row>
    <row r="684" customFormat="false" ht="15" hidden="false" customHeight="false" outlineLevel="0" collapsed="false">
      <c r="A684" s="27" t="n">
        <v>44232</v>
      </c>
      <c r="B684" s="28" t="n">
        <v>2021</v>
      </c>
      <c r="C684" s="28" t="s">
        <v>172</v>
      </c>
      <c r="D684" s="28" t="s">
        <v>48</v>
      </c>
      <c r="E684" s="28" t="s">
        <v>182</v>
      </c>
      <c r="F684" s="28" t="s">
        <v>142</v>
      </c>
      <c r="G684" s="28" t="s">
        <v>152</v>
      </c>
      <c r="H684" s="28" t="s">
        <v>227</v>
      </c>
      <c r="I684" s="29" t="n">
        <v>2000000</v>
      </c>
      <c r="J684" s="29" t="n">
        <v>1800000</v>
      </c>
      <c r="K684" s="28" t="n">
        <v>5.75</v>
      </c>
      <c r="L684" s="28" t="n">
        <v>120</v>
      </c>
      <c r="M684" s="28" t="n">
        <v>17</v>
      </c>
    </row>
    <row r="685" customFormat="false" ht="15" hidden="false" customHeight="false" outlineLevel="0" collapsed="false">
      <c r="A685" s="27" t="n">
        <v>44235</v>
      </c>
      <c r="B685" s="28" t="n">
        <v>2021</v>
      </c>
      <c r="C685" s="28" t="s">
        <v>172</v>
      </c>
      <c r="D685" s="28" t="s">
        <v>48</v>
      </c>
      <c r="E685" s="28" t="s">
        <v>182</v>
      </c>
      <c r="F685" s="28" t="s">
        <v>147</v>
      </c>
      <c r="G685" s="28" t="s">
        <v>148</v>
      </c>
      <c r="H685" s="28" t="s">
        <v>227</v>
      </c>
      <c r="I685" s="29" t="n">
        <v>250000</v>
      </c>
      <c r="J685" s="29" t="n">
        <v>225000</v>
      </c>
      <c r="K685" s="28" t="n">
        <v>5.25</v>
      </c>
      <c r="L685" s="28" t="n">
        <v>120</v>
      </c>
      <c r="M685" s="28" t="n">
        <v>17</v>
      </c>
    </row>
    <row r="686" customFormat="false" ht="15" hidden="false" customHeight="false" outlineLevel="0" collapsed="false">
      <c r="A686" s="27" t="n">
        <v>44235</v>
      </c>
      <c r="B686" s="28" t="n">
        <v>2021</v>
      </c>
      <c r="C686" s="28" t="s">
        <v>303</v>
      </c>
      <c r="D686" s="28" t="s">
        <v>42</v>
      </c>
      <c r="E686" s="28" t="s">
        <v>164</v>
      </c>
      <c r="F686" s="28" t="s">
        <v>142</v>
      </c>
      <c r="G686" s="28" t="s">
        <v>143</v>
      </c>
      <c r="H686" s="28" t="s">
        <v>165</v>
      </c>
      <c r="I686" s="29" t="n">
        <v>545000</v>
      </c>
      <c r="J686" s="29" t="n">
        <v>490500</v>
      </c>
      <c r="K686" s="28" t="n">
        <v>5.25</v>
      </c>
      <c r="L686" s="28" t="n">
        <v>120</v>
      </c>
      <c r="M686" s="28" t="n">
        <v>40</v>
      </c>
    </row>
    <row r="687" customFormat="false" ht="15" hidden="false" customHeight="false" outlineLevel="0" collapsed="false">
      <c r="A687" s="27" t="n">
        <v>44235</v>
      </c>
      <c r="B687" s="28" t="n">
        <v>2021</v>
      </c>
      <c r="C687" s="28" t="s">
        <v>203</v>
      </c>
      <c r="D687" s="28" t="s">
        <v>46</v>
      </c>
      <c r="E687" s="28" t="s">
        <v>298</v>
      </c>
      <c r="F687" s="28" t="s">
        <v>142</v>
      </c>
      <c r="G687" s="28" t="s">
        <v>148</v>
      </c>
      <c r="H687" s="28" t="s">
        <v>200</v>
      </c>
      <c r="I687" s="29" t="n">
        <v>76000</v>
      </c>
      <c r="J687" s="29" t="n">
        <v>68400</v>
      </c>
      <c r="K687" s="28" t="n">
        <v>6</v>
      </c>
      <c r="L687" s="28" t="n">
        <v>300</v>
      </c>
      <c r="M687" s="28" t="n">
        <v>1</v>
      </c>
    </row>
    <row r="688" customFormat="false" ht="15" hidden="false" customHeight="false" outlineLevel="0" collapsed="false">
      <c r="A688" s="27" t="n">
        <v>44235</v>
      </c>
      <c r="B688" s="28" t="n">
        <v>2021</v>
      </c>
      <c r="C688" s="28" t="s">
        <v>172</v>
      </c>
      <c r="D688" s="28" t="s">
        <v>45</v>
      </c>
      <c r="E688" s="28" t="s">
        <v>202</v>
      </c>
      <c r="F688" s="28" t="s">
        <v>142</v>
      </c>
      <c r="G688" s="28" t="s">
        <v>148</v>
      </c>
      <c r="H688" s="28" t="s">
        <v>523</v>
      </c>
      <c r="I688" s="29" t="n">
        <v>1901000</v>
      </c>
      <c r="J688" s="29" t="n">
        <v>1710900</v>
      </c>
      <c r="K688" s="28" t="n">
        <v>5.75</v>
      </c>
      <c r="L688" s="28" t="n">
        <v>120</v>
      </c>
      <c r="M688" s="28" t="n">
        <v>11</v>
      </c>
    </row>
    <row r="689" customFormat="false" ht="15" hidden="false" customHeight="false" outlineLevel="0" collapsed="false">
      <c r="A689" s="27" t="n">
        <v>44235</v>
      </c>
      <c r="B689" s="28" t="n">
        <v>2021</v>
      </c>
      <c r="C689" s="28" t="s">
        <v>172</v>
      </c>
      <c r="D689" s="28" t="s">
        <v>48</v>
      </c>
      <c r="E689" s="28" t="s">
        <v>182</v>
      </c>
      <c r="F689" s="28" t="s">
        <v>147</v>
      </c>
      <c r="G689" s="28" t="s">
        <v>148</v>
      </c>
      <c r="H689" s="28" t="s">
        <v>227</v>
      </c>
      <c r="I689" s="29" t="n">
        <v>200000</v>
      </c>
      <c r="J689" s="29" t="n">
        <v>150000</v>
      </c>
      <c r="K689" s="28" t="n">
        <v>5.25</v>
      </c>
      <c r="L689" s="28" t="n">
        <v>120</v>
      </c>
      <c r="M689" s="28" t="n">
        <v>17</v>
      </c>
    </row>
    <row r="690" customFormat="false" ht="15" hidden="false" customHeight="false" outlineLevel="0" collapsed="false">
      <c r="A690" s="27" t="n">
        <v>44236</v>
      </c>
      <c r="B690" s="28" t="n">
        <v>2021</v>
      </c>
      <c r="C690" s="28" t="s">
        <v>206</v>
      </c>
      <c r="D690" s="28" t="s">
        <v>46</v>
      </c>
      <c r="E690" s="28" t="s">
        <v>262</v>
      </c>
      <c r="F690" s="28" t="s">
        <v>142</v>
      </c>
      <c r="G690" s="28" t="s">
        <v>148</v>
      </c>
      <c r="H690" s="28" t="s">
        <v>211</v>
      </c>
      <c r="I690" s="29" t="n">
        <v>170000</v>
      </c>
      <c r="J690" s="29" t="n">
        <v>153000</v>
      </c>
      <c r="K690" s="28" t="n">
        <v>6</v>
      </c>
      <c r="L690" s="28" t="n">
        <v>120</v>
      </c>
      <c r="M690" s="28" t="n">
        <v>5</v>
      </c>
    </row>
    <row r="691" customFormat="false" ht="15" hidden="false" customHeight="false" outlineLevel="0" collapsed="false">
      <c r="A691" s="27" t="n">
        <v>44237</v>
      </c>
      <c r="B691" s="28" t="n">
        <v>2021</v>
      </c>
      <c r="C691" s="28" t="s">
        <v>353</v>
      </c>
      <c r="D691" s="28" t="s">
        <v>43</v>
      </c>
      <c r="E691" s="28" t="s">
        <v>583</v>
      </c>
      <c r="F691" s="28" t="s">
        <v>142</v>
      </c>
      <c r="G691" s="28" t="s">
        <v>143</v>
      </c>
      <c r="H691" s="28" t="s">
        <v>561</v>
      </c>
      <c r="I691" s="29" t="n">
        <v>618400</v>
      </c>
      <c r="J691" s="29" t="n">
        <v>556560</v>
      </c>
      <c r="K691" s="28" t="n">
        <v>5.25</v>
      </c>
      <c r="L691" s="28" t="n">
        <v>94</v>
      </c>
      <c r="M691" s="28" t="n">
        <v>40</v>
      </c>
    </row>
    <row r="692" customFormat="false" ht="15" hidden="false" customHeight="false" outlineLevel="0" collapsed="false">
      <c r="A692" s="27" t="n">
        <v>44237</v>
      </c>
      <c r="B692" s="28" t="n">
        <v>2021</v>
      </c>
      <c r="C692" s="28" t="s">
        <v>206</v>
      </c>
      <c r="D692" s="28" t="s">
        <v>49</v>
      </c>
      <c r="E692" s="28" t="s">
        <v>584</v>
      </c>
      <c r="F692" s="28" t="s">
        <v>147</v>
      </c>
      <c r="G692" s="28" t="s">
        <v>148</v>
      </c>
      <c r="H692" s="28" t="s">
        <v>205</v>
      </c>
      <c r="I692" s="29" t="n">
        <v>100000</v>
      </c>
      <c r="J692" s="29" t="n">
        <v>75000</v>
      </c>
      <c r="K692" s="28" t="n">
        <v>6.75</v>
      </c>
      <c r="L692" s="28" t="n">
        <v>120</v>
      </c>
      <c r="M692" s="28" t="n">
        <v>3</v>
      </c>
    </row>
    <row r="693" customFormat="false" ht="15" hidden="false" customHeight="false" outlineLevel="0" collapsed="false">
      <c r="A693" s="27" t="n">
        <v>44237</v>
      </c>
      <c r="B693" s="28" t="n">
        <v>2021</v>
      </c>
      <c r="C693" s="28" t="s">
        <v>145</v>
      </c>
      <c r="D693" s="28" t="s">
        <v>48</v>
      </c>
      <c r="E693" s="28" t="s">
        <v>342</v>
      </c>
      <c r="F693" s="28" t="s">
        <v>147</v>
      </c>
      <c r="G693" s="28" t="s">
        <v>148</v>
      </c>
      <c r="H693" s="28" t="s">
        <v>159</v>
      </c>
      <c r="I693" s="29" t="n">
        <v>20000</v>
      </c>
      <c r="J693" s="29" t="n">
        <v>15000</v>
      </c>
      <c r="K693" s="28" t="n">
        <v>9.75</v>
      </c>
      <c r="L693" s="28" t="n">
        <v>120</v>
      </c>
      <c r="M693" s="28" t="n">
        <v>0</v>
      </c>
    </row>
    <row r="694" customFormat="false" ht="15" hidden="false" customHeight="false" outlineLevel="0" collapsed="false">
      <c r="A694" s="27" t="n">
        <v>44237</v>
      </c>
      <c r="B694" s="28" t="n">
        <v>2021</v>
      </c>
      <c r="C694" s="28" t="s">
        <v>332</v>
      </c>
      <c r="D694" s="28" t="s">
        <v>54</v>
      </c>
      <c r="E694" s="28" t="s">
        <v>155</v>
      </c>
      <c r="F694" s="28" t="s">
        <v>147</v>
      </c>
      <c r="G694" s="28" t="s">
        <v>148</v>
      </c>
      <c r="H694" s="28" t="s">
        <v>205</v>
      </c>
      <c r="I694" s="29" t="n">
        <v>30000</v>
      </c>
      <c r="J694" s="29" t="n">
        <v>22500</v>
      </c>
      <c r="K694" s="28" t="n">
        <v>8.46</v>
      </c>
      <c r="L694" s="28" t="n">
        <v>103</v>
      </c>
      <c r="M694" s="28" t="n">
        <v>0</v>
      </c>
    </row>
    <row r="695" customFormat="false" ht="15" hidden="false" customHeight="false" outlineLevel="0" collapsed="false">
      <c r="A695" s="27" t="n">
        <v>44237</v>
      </c>
      <c r="B695" s="28" t="n">
        <v>2021</v>
      </c>
      <c r="C695" s="28" t="s">
        <v>316</v>
      </c>
      <c r="D695" s="28" t="s">
        <v>42</v>
      </c>
      <c r="E695" s="28" t="s">
        <v>176</v>
      </c>
      <c r="F695" s="28" t="s">
        <v>194</v>
      </c>
      <c r="G695" s="28" t="s">
        <v>143</v>
      </c>
      <c r="H695" s="28" t="s">
        <v>195</v>
      </c>
      <c r="I695" s="29" t="n">
        <v>90000</v>
      </c>
      <c r="J695" s="29" t="n">
        <v>81000</v>
      </c>
      <c r="K695" s="28" t="n">
        <v>5.25</v>
      </c>
      <c r="L695" s="28" t="n">
        <v>120</v>
      </c>
      <c r="M695" s="28" t="n">
        <v>3</v>
      </c>
    </row>
    <row r="696" customFormat="false" ht="15" hidden="false" customHeight="false" outlineLevel="0" collapsed="false">
      <c r="A696" s="27" t="n">
        <v>44237</v>
      </c>
      <c r="B696" s="28" t="n">
        <v>2021</v>
      </c>
      <c r="C696" s="28" t="s">
        <v>163</v>
      </c>
      <c r="D696" s="28" t="s">
        <v>43</v>
      </c>
      <c r="E696" s="28" t="s">
        <v>517</v>
      </c>
      <c r="F696" s="28" t="s">
        <v>142</v>
      </c>
      <c r="G696" s="28" t="s">
        <v>143</v>
      </c>
      <c r="H696" s="28" t="s">
        <v>382</v>
      </c>
      <c r="I696" s="29" t="n">
        <v>550100</v>
      </c>
      <c r="J696" s="29" t="n">
        <v>495090</v>
      </c>
      <c r="K696" s="28" t="n">
        <v>6</v>
      </c>
      <c r="L696" s="28" t="n">
        <v>126</v>
      </c>
      <c r="M696" s="28" t="n">
        <v>30</v>
      </c>
    </row>
    <row r="697" customFormat="false" ht="15" hidden="false" customHeight="false" outlineLevel="0" collapsed="false">
      <c r="A697" s="27" t="n">
        <v>44238</v>
      </c>
      <c r="B697" s="28" t="n">
        <v>2021</v>
      </c>
      <c r="C697" s="28" t="s">
        <v>243</v>
      </c>
      <c r="D697" s="28" t="s">
        <v>48</v>
      </c>
      <c r="E697" s="28" t="s">
        <v>170</v>
      </c>
      <c r="F697" s="28" t="s">
        <v>142</v>
      </c>
      <c r="G697" s="28" t="s">
        <v>148</v>
      </c>
      <c r="H697" s="28" t="s">
        <v>523</v>
      </c>
      <c r="I697" s="29" t="n">
        <v>3404000</v>
      </c>
      <c r="J697" s="29" t="n">
        <v>3063600</v>
      </c>
      <c r="K697" s="28" t="n">
        <v>6</v>
      </c>
      <c r="L697" s="28" t="n">
        <v>239</v>
      </c>
      <c r="M697" s="28" t="n">
        <v>52</v>
      </c>
    </row>
    <row r="698" customFormat="false" ht="15" hidden="false" customHeight="false" outlineLevel="0" collapsed="false">
      <c r="A698" s="27" t="n">
        <v>44238</v>
      </c>
      <c r="B698" s="28" t="n">
        <v>2021</v>
      </c>
      <c r="C698" s="28" t="s">
        <v>172</v>
      </c>
      <c r="D698" s="28" t="s">
        <v>45</v>
      </c>
      <c r="E698" s="28" t="s">
        <v>345</v>
      </c>
      <c r="F698" s="28" t="s">
        <v>147</v>
      </c>
      <c r="G698" s="28" t="s">
        <v>148</v>
      </c>
      <c r="H698" s="28" t="s">
        <v>159</v>
      </c>
      <c r="I698" s="29" t="n">
        <v>100000</v>
      </c>
      <c r="J698" s="29" t="n">
        <v>75000</v>
      </c>
      <c r="K698" s="28" t="n">
        <v>7.75</v>
      </c>
      <c r="L698" s="28" t="n">
        <v>120</v>
      </c>
      <c r="M698" s="28" t="n">
        <v>12</v>
      </c>
    </row>
    <row r="699" customFormat="false" ht="15" hidden="false" customHeight="false" outlineLevel="0" collapsed="false">
      <c r="A699" s="27" t="n">
        <v>44239</v>
      </c>
      <c r="B699" s="28" t="n">
        <v>2021</v>
      </c>
      <c r="C699" s="28" t="s">
        <v>172</v>
      </c>
      <c r="D699" s="28" t="s">
        <v>48</v>
      </c>
      <c r="E699" s="28" t="s">
        <v>498</v>
      </c>
      <c r="F699" s="28" t="s">
        <v>147</v>
      </c>
      <c r="G699" s="28" t="s">
        <v>148</v>
      </c>
      <c r="H699" s="28" t="s">
        <v>159</v>
      </c>
      <c r="I699" s="29" t="n">
        <v>30000</v>
      </c>
      <c r="J699" s="29" t="n">
        <v>22500</v>
      </c>
      <c r="K699" s="28" t="n">
        <v>9.75</v>
      </c>
      <c r="L699" s="28" t="n">
        <v>80</v>
      </c>
      <c r="M699" s="28" t="n">
        <v>2</v>
      </c>
    </row>
    <row r="700" customFormat="false" ht="15" hidden="false" customHeight="false" outlineLevel="0" collapsed="false">
      <c r="A700" s="27" t="n">
        <v>44243</v>
      </c>
      <c r="B700" s="28" t="n">
        <v>2021</v>
      </c>
      <c r="C700" s="28" t="s">
        <v>169</v>
      </c>
      <c r="D700" s="28" t="s">
        <v>48</v>
      </c>
      <c r="E700" s="28" t="s">
        <v>212</v>
      </c>
      <c r="F700" s="28" t="s">
        <v>142</v>
      </c>
      <c r="G700" s="28" t="s">
        <v>148</v>
      </c>
      <c r="H700" s="28" t="s">
        <v>144</v>
      </c>
      <c r="I700" s="29" t="n">
        <v>5000000</v>
      </c>
      <c r="J700" s="29" t="n">
        <v>3750000</v>
      </c>
      <c r="K700" s="28" t="n">
        <v>6</v>
      </c>
      <c r="L700" s="28" t="n">
        <v>84</v>
      </c>
      <c r="M700" s="28" t="n">
        <v>38</v>
      </c>
    </row>
    <row r="701" customFormat="false" ht="15" hidden="false" customHeight="false" outlineLevel="0" collapsed="false">
      <c r="A701" s="27" t="n">
        <v>44243</v>
      </c>
      <c r="B701" s="28" t="n">
        <v>2021</v>
      </c>
      <c r="C701" s="28" t="s">
        <v>145</v>
      </c>
      <c r="D701" s="28" t="s">
        <v>50</v>
      </c>
      <c r="E701" s="28" t="s">
        <v>585</v>
      </c>
      <c r="F701" s="28" t="s">
        <v>142</v>
      </c>
      <c r="G701" s="28" t="s">
        <v>143</v>
      </c>
      <c r="H701" s="28" t="s">
        <v>287</v>
      </c>
      <c r="I701" s="29" t="n">
        <v>150000</v>
      </c>
      <c r="J701" s="29" t="n">
        <v>135000</v>
      </c>
      <c r="K701" s="28" t="n">
        <v>6</v>
      </c>
      <c r="L701" s="28" t="n">
        <v>87</v>
      </c>
      <c r="M701" s="28" t="n">
        <v>7</v>
      </c>
    </row>
    <row r="702" customFormat="false" ht="15" hidden="false" customHeight="false" outlineLevel="0" collapsed="false">
      <c r="A702" s="27" t="n">
        <v>44243</v>
      </c>
      <c r="B702" s="28" t="n">
        <v>2021</v>
      </c>
      <c r="C702" s="28" t="s">
        <v>166</v>
      </c>
      <c r="D702" s="28" t="s">
        <v>47</v>
      </c>
      <c r="E702" s="28" t="s">
        <v>305</v>
      </c>
      <c r="F702" s="28" t="s">
        <v>142</v>
      </c>
      <c r="G702" s="28" t="s">
        <v>441</v>
      </c>
      <c r="H702" s="28" t="s">
        <v>187</v>
      </c>
      <c r="I702" s="29" t="n">
        <v>487400</v>
      </c>
      <c r="J702" s="29" t="n">
        <v>438660</v>
      </c>
      <c r="K702" s="28" t="n">
        <v>5.25</v>
      </c>
      <c r="L702" s="28" t="n">
        <v>120</v>
      </c>
      <c r="M702" s="28" t="n">
        <v>20</v>
      </c>
    </row>
    <row r="703" customFormat="false" ht="15" hidden="false" customHeight="false" outlineLevel="0" collapsed="false">
      <c r="A703" s="27" t="n">
        <v>44244</v>
      </c>
      <c r="B703" s="28" t="n">
        <v>2021</v>
      </c>
      <c r="C703" s="28" t="s">
        <v>175</v>
      </c>
      <c r="D703" s="28" t="s">
        <v>46</v>
      </c>
      <c r="E703" s="28" t="s">
        <v>538</v>
      </c>
      <c r="F703" s="28" t="s">
        <v>147</v>
      </c>
      <c r="G703" s="28" t="s">
        <v>148</v>
      </c>
      <c r="H703" s="28" t="s">
        <v>159</v>
      </c>
      <c r="I703" s="29" t="n">
        <v>25000</v>
      </c>
      <c r="J703" s="29" t="n">
        <v>18750</v>
      </c>
      <c r="K703" s="28" t="n">
        <v>9.75</v>
      </c>
      <c r="L703" s="28" t="n">
        <v>120</v>
      </c>
      <c r="M703" s="28" t="n">
        <v>1</v>
      </c>
    </row>
    <row r="704" customFormat="false" ht="15" hidden="false" customHeight="false" outlineLevel="0" collapsed="false">
      <c r="A704" s="27" t="n">
        <v>44244</v>
      </c>
      <c r="B704" s="28" t="n">
        <v>2021</v>
      </c>
      <c r="C704" s="28" t="s">
        <v>172</v>
      </c>
      <c r="D704" s="28" t="s">
        <v>57</v>
      </c>
      <c r="E704" s="28" t="s">
        <v>586</v>
      </c>
      <c r="F704" s="28" t="s">
        <v>142</v>
      </c>
      <c r="G704" s="28" t="s">
        <v>441</v>
      </c>
      <c r="H704" s="28" t="s">
        <v>438</v>
      </c>
      <c r="I704" s="29" t="n">
        <v>686000</v>
      </c>
      <c r="J704" s="29" t="n">
        <v>617400</v>
      </c>
      <c r="K704" s="28" t="n">
        <v>5.5</v>
      </c>
      <c r="L704" s="28" t="n">
        <v>120</v>
      </c>
      <c r="M704" s="28" t="n">
        <v>8</v>
      </c>
    </row>
    <row r="705" customFormat="false" ht="15" hidden="false" customHeight="false" outlineLevel="0" collapsed="false">
      <c r="A705" s="27" t="n">
        <v>44245</v>
      </c>
      <c r="B705" s="28" t="n">
        <v>2021</v>
      </c>
      <c r="C705" s="28" t="s">
        <v>201</v>
      </c>
      <c r="D705" s="28" t="s">
        <v>46</v>
      </c>
      <c r="E705" s="28" t="s">
        <v>406</v>
      </c>
      <c r="F705" s="28" t="s">
        <v>142</v>
      </c>
      <c r="G705" s="28" t="s">
        <v>148</v>
      </c>
      <c r="H705" s="28" t="s">
        <v>171</v>
      </c>
      <c r="I705" s="29" t="n">
        <v>350000</v>
      </c>
      <c r="J705" s="29" t="n">
        <v>315000</v>
      </c>
      <c r="K705" s="28" t="n">
        <v>6</v>
      </c>
      <c r="L705" s="28" t="n">
        <v>120</v>
      </c>
      <c r="M705" s="28" t="n">
        <v>16</v>
      </c>
    </row>
    <row r="706" customFormat="false" ht="15" hidden="false" customHeight="false" outlineLevel="0" collapsed="false">
      <c r="A706" s="27" t="n">
        <v>44245</v>
      </c>
      <c r="B706" s="28" t="n">
        <v>2021</v>
      </c>
      <c r="C706" s="28" t="s">
        <v>409</v>
      </c>
      <c r="D706" s="28" t="s">
        <v>42</v>
      </c>
      <c r="E706" s="28" t="s">
        <v>164</v>
      </c>
      <c r="F706" s="28" t="s">
        <v>142</v>
      </c>
      <c r="G706" s="28" t="s">
        <v>441</v>
      </c>
      <c r="H706" s="28" t="s">
        <v>587</v>
      </c>
      <c r="I706" s="29" t="n">
        <v>453100</v>
      </c>
      <c r="J706" s="29" t="n">
        <v>407790</v>
      </c>
      <c r="K706" s="28" t="n">
        <v>6</v>
      </c>
      <c r="L706" s="28" t="n">
        <v>120</v>
      </c>
      <c r="M706" s="28" t="n">
        <v>12</v>
      </c>
    </row>
    <row r="707" customFormat="false" ht="15" hidden="false" customHeight="false" outlineLevel="0" collapsed="false">
      <c r="A707" s="27" t="n">
        <v>44249</v>
      </c>
      <c r="B707" s="28" t="n">
        <v>2021</v>
      </c>
      <c r="C707" s="28" t="s">
        <v>172</v>
      </c>
      <c r="D707" s="28" t="s">
        <v>43</v>
      </c>
      <c r="E707" s="28" t="s">
        <v>245</v>
      </c>
      <c r="F707" s="28" t="s">
        <v>147</v>
      </c>
      <c r="G707" s="28" t="s">
        <v>148</v>
      </c>
      <c r="H707" s="28" t="s">
        <v>159</v>
      </c>
      <c r="I707" s="29" t="n">
        <v>111600</v>
      </c>
      <c r="J707" s="29" t="n">
        <v>83700</v>
      </c>
      <c r="K707" s="28" t="n">
        <v>5.5</v>
      </c>
      <c r="L707" s="28" t="n">
        <v>60</v>
      </c>
      <c r="M707" s="28" t="n">
        <v>1</v>
      </c>
    </row>
    <row r="708" customFormat="false" ht="15" hidden="false" customHeight="false" outlineLevel="0" collapsed="false">
      <c r="A708" s="27" t="n">
        <v>44249</v>
      </c>
      <c r="B708" s="28" t="n">
        <v>2021</v>
      </c>
      <c r="C708" s="28" t="s">
        <v>172</v>
      </c>
      <c r="D708" s="28" t="s">
        <v>48</v>
      </c>
      <c r="E708" s="28" t="s">
        <v>342</v>
      </c>
      <c r="F708" s="28" t="s">
        <v>147</v>
      </c>
      <c r="G708" s="28" t="s">
        <v>441</v>
      </c>
      <c r="H708" s="28" t="s">
        <v>168</v>
      </c>
      <c r="I708" s="29" t="n">
        <v>5000</v>
      </c>
      <c r="J708" s="29" t="n">
        <v>3750</v>
      </c>
      <c r="K708" s="28" t="n">
        <v>7.75</v>
      </c>
      <c r="L708" s="28" t="n">
        <v>120</v>
      </c>
      <c r="M708" s="28" t="n">
        <v>5</v>
      </c>
    </row>
    <row r="709" customFormat="false" ht="15" hidden="false" customHeight="false" outlineLevel="0" collapsed="false">
      <c r="A709" s="27" t="n">
        <v>44250</v>
      </c>
      <c r="B709" s="28" t="n">
        <v>2021</v>
      </c>
      <c r="C709" s="28" t="s">
        <v>169</v>
      </c>
      <c r="D709" s="28" t="s">
        <v>43</v>
      </c>
      <c r="E709" s="28" t="s">
        <v>588</v>
      </c>
      <c r="F709" s="28" t="s">
        <v>142</v>
      </c>
      <c r="G709" s="28" t="s">
        <v>143</v>
      </c>
      <c r="H709" s="28" t="s">
        <v>453</v>
      </c>
      <c r="I709" s="29" t="n">
        <v>100000</v>
      </c>
      <c r="J709" s="29" t="n">
        <v>90000</v>
      </c>
      <c r="K709" s="28" t="n">
        <v>6</v>
      </c>
      <c r="L709" s="28" t="n">
        <v>66</v>
      </c>
      <c r="M709" s="28" t="n">
        <v>3</v>
      </c>
    </row>
    <row r="710" customFormat="false" ht="15" hidden="false" customHeight="false" outlineLevel="0" collapsed="false">
      <c r="A710" s="27" t="n">
        <v>44250</v>
      </c>
      <c r="B710" s="28" t="n">
        <v>2021</v>
      </c>
      <c r="C710" s="28" t="s">
        <v>172</v>
      </c>
      <c r="D710" s="28" t="s">
        <v>48</v>
      </c>
      <c r="E710" s="28" t="s">
        <v>212</v>
      </c>
      <c r="F710" s="28" t="s">
        <v>142</v>
      </c>
      <c r="G710" s="28" t="s">
        <v>148</v>
      </c>
      <c r="H710" s="28" t="s">
        <v>171</v>
      </c>
      <c r="I710" s="29" t="n">
        <v>350000</v>
      </c>
      <c r="J710" s="29" t="n">
        <v>315000</v>
      </c>
      <c r="K710" s="28" t="n">
        <v>6</v>
      </c>
      <c r="L710" s="28" t="n">
        <v>120</v>
      </c>
      <c r="M710" s="28" t="n">
        <v>20</v>
      </c>
    </row>
    <row r="711" customFormat="false" ht="15" hidden="false" customHeight="false" outlineLevel="0" collapsed="false">
      <c r="A711" s="27" t="n">
        <v>44250</v>
      </c>
      <c r="B711" s="28" t="n">
        <v>2021</v>
      </c>
      <c r="C711" s="28" t="s">
        <v>288</v>
      </c>
      <c r="D711" s="28" t="s">
        <v>45</v>
      </c>
      <c r="E711" s="28" t="s">
        <v>202</v>
      </c>
      <c r="F711" s="28" t="s">
        <v>283</v>
      </c>
      <c r="G711" s="28" t="s">
        <v>148</v>
      </c>
      <c r="H711" s="28" t="s">
        <v>306</v>
      </c>
      <c r="I711" s="29" t="n">
        <v>250000</v>
      </c>
      <c r="J711" s="29" t="n">
        <v>187500</v>
      </c>
      <c r="K711" s="28" t="n">
        <v>4.75</v>
      </c>
      <c r="L711" s="28" t="n">
        <v>12</v>
      </c>
      <c r="M711" s="28" t="n">
        <v>0</v>
      </c>
    </row>
    <row r="712" customFormat="false" ht="15" hidden="false" customHeight="false" outlineLevel="0" collapsed="false">
      <c r="A712" s="27" t="n">
        <v>44251</v>
      </c>
      <c r="B712" s="28" t="n">
        <v>2021</v>
      </c>
      <c r="C712" s="28" t="s">
        <v>198</v>
      </c>
      <c r="D712" s="28" t="s">
        <v>44</v>
      </c>
      <c r="E712" s="28" t="s">
        <v>297</v>
      </c>
      <c r="F712" s="28" t="s">
        <v>147</v>
      </c>
      <c r="G712" s="28" t="s">
        <v>148</v>
      </c>
      <c r="H712" s="28" t="s">
        <v>574</v>
      </c>
      <c r="I712" s="29" t="n">
        <v>50000</v>
      </c>
      <c r="J712" s="29" t="n">
        <v>25000</v>
      </c>
      <c r="K712" s="28" t="n">
        <v>5</v>
      </c>
      <c r="L712" s="28" t="n">
        <v>84</v>
      </c>
      <c r="M712" s="28" t="n">
        <v>8</v>
      </c>
    </row>
    <row r="713" customFormat="false" ht="15" hidden="false" customHeight="false" outlineLevel="0" collapsed="false">
      <c r="A713" s="27" t="n">
        <v>44251</v>
      </c>
      <c r="B713" s="28" t="n">
        <v>2021</v>
      </c>
      <c r="C713" s="28" t="s">
        <v>203</v>
      </c>
      <c r="D713" s="28" t="s">
        <v>49</v>
      </c>
      <c r="E713" s="28" t="s">
        <v>454</v>
      </c>
      <c r="F713" s="28" t="s">
        <v>142</v>
      </c>
      <c r="G713" s="28" t="s">
        <v>148</v>
      </c>
      <c r="H713" s="28" t="s">
        <v>168</v>
      </c>
      <c r="I713" s="29" t="n">
        <v>2614000</v>
      </c>
      <c r="J713" s="29" t="n">
        <v>2352600</v>
      </c>
      <c r="K713" s="28" t="n">
        <v>3.95</v>
      </c>
      <c r="L713" s="28" t="n">
        <v>120</v>
      </c>
      <c r="M713" s="28" t="n">
        <v>7</v>
      </c>
    </row>
    <row r="714" customFormat="false" ht="15" hidden="false" customHeight="false" outlineLevel="0" collapsed="false">
      <c r="A714" s="27" t="n">
        <v>44251</v>
      </c>
      <c r="B714" s="28" t="n">
        <v>2021</v>
      </c>
      <c r="C714" s="28" t="s">
        <v>393</v>
      </c>
      <c r="D714" s="28" t="s">
        <v>42</v>
      </c>
      <c r="E714" s="28" t="s">
        <v>247</v>
      </c>
      <c r="F714" s="28" t="s">
        <v>142</v>
      </c>
      <c r="G714" s="28" t="s">
        <v>152</v>
      </c>
      <c r="H714" s="28" t="s">
        <v>326</v>
      </c>
      <c r="I714" s="29" t="n">
        <v>3070000</v>
      </c>
      <c r="J714" s="29" t="n">
        <v>2763000</v>
      </c>
      <c r="K714" s="28" t="n">
        <v>5.5</v>
      </c>
      <c r="L714" s="28" t="n">
        <v>300</v>
      </c>
      <c r="M714" s="28" t="n">
        <v>16</v>
      </c>
    </row>
    <row r="715" customFormat="false" ht="15" hidden="false" customHeight="false" outlineLevel="0" collapsed="false">
      <c r="A715" s="27" t="n">
        <v>44252</v>
      </c>
      <c r="B715" s="28" t="n">
        <v>2021</v>
      </c>
      <c r="C715" s="28" t="s">
        <v>384</v>
      </c>
      <c r="D715" s="28" t="s">
        <v>51</v>
      </c>
      <c r="E715" s="28" t="s">
        <v>319</v>
      </c>
      <c r="F715" s="28" t="s">
        <v>142</v>
      </c>
      <c r="G715" s="28" t="s">
        <v>143</v>
      </c>
      <c r="H715" s="28" t="s">
        <v>453</v>
      </c>
      <c r="I715" s="29" t="n">
        <v>515600</v>
      </c>
      <c r="J715" s="29" t="n">
        <v>464040</v>
      </c>
      <c r="K715" s="28" t="n">
        <v>6</v>
      </c>
      <c r="L715" s="28" t="n">
        <v>84</v>
      </c>
      <c r="M715" s="28" t="n">
        <v>12</v>
      </c>
    </row>
    <row r="716" customFormat="false" ht="15" hidden="false" customHeight="false" outlineLevel="0" collapsed="false">
      <c r="A716" s="27" t="n">
        <v>44252</v>
      </c>
      <c r="B716" s="28" t="n">
        <v>2021</v>
      </c>
      <c r="C716" s="28" t="s">
        <v>265</v>
      </c>
      <c r="D716" s="28" t="s">
        <v>53</v>
      </c>
      <c r="E716" s="28" t="s">
        <v>589</v>
      </c>
      <c r="F716" s="28" t="s">
        <v>147</v>
      </c>
      <c r="G716" s="28" t="s">
        <v>143</v>
      </c>
      <c r="H716" s="28" t="s">
        <v>266</v>
      </c>
      <c r="I716" s="29" t="n">
        <v>119400</v>
      </c>
      <c r="J716" s="29" t="n">
        <v>89550</v>
      </c>
      <c r="K716" s="28" t="n">
        <v>4.75</v>
      </c>
      <c r="L716" s="28" t="n">
        <v>84</v>
      </c>
      <c r="M716" s="28" t="n">
        <v>2</v>
      </c>
    </row>
    <row r="717" customFormat="false" ht="15" hidden="false" customHeight="false" outlineLevel="0" collapsed="false">
      <c r="A717" s="27" t="n">
        <v>44253</v>
      </c>
      <c r="B717" s="28" t="n">
        <v>2021</v>
      </c>
      <c r="C717" s="28" t="s">
        <v>310</v>
      </c>
      <c r="D717" s="28" t="s">
        <v>50</v>
      </c>
      <c r="E717" s="28" t="s">
        <v>193</v>
      </c>
      <c r="F717" s="28" t="s">
        <v>142</v>
      </c>
      <c r="G717" s="28" t="s">
        <v>441</v>
      </c>
      <c r="H717" s="28" t="s">
        <v>306</v>
      </c>
      <c r="I717" s="29" t="n">
        <v>145000</v>
      </c>
      <c r="J717" s="29" t="n">
        <v>123250</v>
      </c>
      <c r="K717" s="28" t="n">
        <v>4.75</v>
      </c>
      <c r="L717" s="28" t="n">
        <v>60</v>
      </c>
      <c r="M717" s="28" t="n">
        <v>9</v>
      </c>
    </row>
    <row r="718" customFormat="false" ht="15" hidden="false" customHeight="false" outlineLevel="0" collapsed="false">
      <c r="A718" s="27" t="n">
        <v>44253</v>
      </c>
      <c r="B718" s="28" t="n">
        <v>2021</v>
      </c>
      <c r="C718" s="28" t="s">
        <v>375</v>
      </c>
      <c r="D718" s="28" t="s">
        <v>57</v>
      </c>
      <c r="E718" s="28" t="s">
        <v>551</v>
      </c>
      <c r="F718" s="28" t="s">
        <v>147</v>
      </c>
      <c r="G718" s="28" t="s">
        <v>441</v>
      </c>
      <c r="H718" s="28" t="s">
        <v>168</v>
      </c>
      <c r="I718" s="29" t="n">
        <v>15000</v>
      </c>
      <c r="J718" s="29" t="n">
        <v>11250</v>
      </c>
      <c r="K718" s="28" t="n">
        <v>8.75</v>
      </c>
      <c r="L718" s="28" t="n">
        <v>120</v>
      </c>
      <c r="M718" s="28" t="n">
        <v>0</v>
      </c>
    </row>
    <row r="719" customFormat="false" ht="15" hidden="false" customHeight="false" outlineLevel="0" collapsed="false">
      <c r="A719" s="27" t="n">
        <v>44256</v>
      </c>
      <c r="B719" s="28" t="n">
        <v>2021</v>
      </c>
      <c r="C719" s="28" t="s">
        <v>166</v>
      </c>
      <c r="D719" s="28" t="s">
        <v>44</v>
      </c>
      <c r="E719" s="28" t="s">
        <v>297</v>
      </c>
      <c r="F719" s="28" t="s">
        <v>147</v>
      </c>
      <c r="G719" s="28" t="s">
        <v>441</v>
      </c>
      <c r="H719" s="28" t="s">
        <v>159</v>
      </c>
      <c r="I719" s="29" t="n">
        <v>50000</v>
      </c>
      <c r="J719" s="29" t="n">
        <v>37500</v>
      </c>
      <c r="K719" s="28" t="n">
        <v>4.5</v>
      </c>
      <c r="L719" s="28" t="n">
        <v>120</v>
      </c>
      <c r="M719" s="28" t="n">
        <v>5</v>
      </c>
    </row>
    <row r="720" customFormat="false" ht="15" hidden="false" customHeight="false" outlineLevel="0" collapsed="false">
      <c r="A720" s="27" t="n">
        <v>44257</v>
      </c>
      <c r="B720" s="28" t="n">
        <v>2021</v>
      </c>
      <c r="C720" s="28" t="s">
        <v>166</v>
      </c>
      <c r="D720" s="28" t="s">
        <v>54</v>
      </c>
      <c r="E720" s="28" t="s">
        <v>590</v>
      </c>
      <c r="F720" s="28" t="s">
        <v>142</v>
      </c>
      <c r="G720" s="28" t="s">
        <v>148</v>
      </c>
      <c r="H720" s="28" t="s">
        <v>494</v>
      </c>
      <c r="I720" s="29" t="n">
        <v>111800</v>
      </c>
      <c r="J720" s="29" t="n">
        <v>100620</v>
      </c>
      <c r="K720" s="28" t="n">
        <v>6</v>
      </c>
      <c r="L720" s="28" t="n">
        <v>120</v>
      </c>
      <c r="M720" s="28" t="n">
        <v>8</v>
      </c>
    </row>
    <row r="721" customFormat="false" ht="15" hidden="false" customHeight="false" outlineLevel="0" collapsed="false">
      <c r="A721" s="27" t="n">
        <v>44257</v>
      </c>
      <c r="B721" s="28" t="n">
        <v>2021</v>
      </c>
      <c r="C721" s="28" t="s">
        <v>160</v>
      </c>
      <c r="D721" s="28" t="s">
        <v>46</v>
      </c>
      <c r="E721" s="28" t="s">
        <v>262</v>
      </c>
      <c r="F721" s="28" t="s">
        <v>142</v>
      </c>
      <c r="G721" s="28" t="s">
        <v>152</v>
      </c>
      <c r="H721" s="28" t="s">
        <v>159</v>
      </c>
      <c r="I721" s="29" t="n">
        <v>270000</v>
      </c>
      <c r="J721" s="29" t="n">
        <v>243000</v>
      </c>
      <c r="K721" s="28" t="n">
        <v>6</v>
      </c>
      <c r="L721" s="28" t="n">
        <v>126</v>
      </c>
      <c r="M721" s="28" t="n">
        <v>4</v>
      </c>
    </row>
    <row r="722" customFormat="false" ht="15" hidden="false" customHeight="false" outlineLevel="0" collapsed="false">
      <c r="A722" s="27" t="n">
        <v>44258</v>
      </c>
      <c r="B722" s="28" t="n">
        <v>2021</v>
      </c>
      <c r="C722" s="28" t="s">
        <v>160</v>
      </c>
      <c r="D722" s="28" t="s">
        <v>49</v>
      </c>
      <c r="E722" s="28" t="s">
        <v>532</v>
      </c>
      <c r="F722" s="28" t="s">
        <v>142</v>
      </c>
      <c r="G722" s="28" t="s">
        <v>148</v>
      </c>
      <c r="H722" s="28" t="s">
        <v>494</v>
      </c>
      <c r="I722" s="29" t="n">
        <v>349500</v>
      </c>
      <c r="J722" s="29" t="n">
        <v>314550</v>
      </c>
      <c r="K722" s="28" t="n">
        <v>6.75</v>
      </c>
      <c r="L722" s="28" t="n">
        <v>120</v>
      </c>
      <c r="M722" s="28" t="n">
        <v>4</v>
      </c>
    </row>
    <row r="723" customFormat="false" ht="15" hidden="false" customHeight="false" outlineLevel="0" collapsed="false">
      <c r="A723" s="27" t="n">
        <v>44258</v>
      </c>
      <c r="B723" s="28" t="n">
        <v>2021</v>
      </c>
      <c r="C723" s="28" t="s">
        <v>316</v>
      </c>
      <c r="D723" s="28" t="s">
        <v>43</v>
      </c>
      <c r="E723" s="28" t="s">
        <v>219</v>
      </c>
      <c r="F723" s="28" t="s">
        <v>142</v>
      </c>
      <c r="G723" s="28" t="s">
        <v>152</v>
      </c>
      <c r="H723" s="28" t="s">
        <v>326</v>
      </c>
      <c r="I723" s="29" t="n">
        <v>667000</v>
      </c>
      <c r="J723" s="29" t="n">
        <v>600300</v>
      </c>
      <c r="K723" s="28" t="n">
        <v>5.5</v>
      </c>
      <c r="L723" s="28" t="n">
        <v>299</v>
      </c>
      <c r="M723" s="28" t="n">
        <v>6</v>
      </c>
    </row>
    <row r="724" customFormat="false" ht="15" hidden="false" customHeight="false" outlineLevel="0" collapsed="false">
      <c r="A724" s="27" t="n">
        <v>44258</v>
      </c>
      <c r="B724" s="28" t="n">
        <v>2021</v>
      </c>
      <c r="C724" s="28" t="s">
        <v>166</v>
      </c>
      <c r="D724" s="28" t="s">
        <v>45</v>
      </c>
      <c r="E724" s="28" t="s">
        <v>222</v>
      </c>
      <c r="F724" s="28" t="s">
        <v>147</v>
      </c>
      <c r="G724" s="28" t="s">
        <v>148</v>
      </c>
      <c r="H724" s="28" t="s">
        <v>159</v>
      </c>
      <c r="I724" s="29" t="n">
        <v>25000</v>
      </c>
      <c r="J724" s="29" t="n">
        <v>18750</v>
      </c>
      <c r="K724" s="28" t="n">
        <v>9.75</v>
      </c>
      <c r="L724" s="28" t="n">
        <v>120</v>
      </c>
      <c r="M724" s="28" t="n">
        <v>2</v>
      </c>
    </row>
    <row r="725" customFormat="false" ht="15" hidden="false" customHeight="false" outlineLevel="0" collapsed="false">
      <c r="A725" s="27" t="n">
        <v>44258</v>
      </c>
      <c r="B725" s="28" t="n">
        <v>2021</v>
      </c>
      <c r="C725" s="28" t="s">
        <v>160</v>
      </c>
      <c r="D725" s="28" t="s">
        <v>49</v>
      </c>
      <c r="E725" s="28" t="s">
        <v>532</v>
      </c>
      <c r="F725" s="28" t="s">
        <v>147</v>
      </c>
      <c r="G725" s="28" t="s">
        <v>148</v>
      </c>
      <c r="H725" s="28" t="s">
        <v>494</v>
      </c>
      <c r="I725" s="29" t="n">
        <v>75000</v>
      </c>
      <c r="J725" s="29" t="n">
        <v>56250</v>
      </c>
      <c r="K725" s="28" t="n">
        <v>6</v>
      </c>
      <c r="L725" s="28" t="n">
        <v>120</v>
      </c>
      <c r="M725" s="28" t="n">
        <v>4</v>
      </c>
    </row>
    <row r="726" customFormat="false" ht="15" hidden="false" customHeight="false" outlineLevel="0" collapsed="false">
      <c r="A726" s="27" t="n">
        <v>44259</v>
      </c>
      <c r="B726" s="28" t="n">
        <v>2021</v>
      </c>
      <c r="C726" s="28" t="s">
        <v>235</v>
      </c>
      <c r="D726" s="28" t="s">
        <v>42</v>
      </c>
      <c r="E726" s="28" t="s">
        <v>180</v>
      </c>
      <c r="F726" s="28" t="s">
        <v>147</v>
      </c>
      <c r="G726" s="28" t="s">
        <v>152</v>
      </c>
      <c r="H726" s="28" t="s">
        <v>281</v>
      </c>
      <c r="I726" s="29" t="n">
        <v>25000</v>
      </c>
      <c r="J726" s="29" t="n">
        <v>12500</v>
      </c>
      <c r="K726" s="28" t="n">
        <v>6</v>
      </c>
      <c r="L726" s="28" t="n">
        <v>120</v>
      </c>
      <c r="M726" s="28" t="n">
        <v>10</v>
      </c>
    </row>
    <row r="727" customFormat="false" ht="15" hidden="false" customHeight="false" outlineLevel="0" collapsed="false">
      <c r="A727" s="27" t="n">
        <v>44259</v>
      </c>
      <c r="B727" s="28" t="n">
        <v>2021</v>
      </c>
      <c r="C727" s="28" t="s">
        <v>235</v>
      </c>
      <c r="D727" s="28" t="s">
        <v>42</v>
      </c>
      <c r="E727" s="28" t="s">
        <v>180</v>
      </c>
      <c r="F727" s="28" t="s">
        <v>142</v>
      </c>
      <c r="G727" s="28" t="s">
        <v>441</v>
      </c>
      <c r="H727" s="28" t="s">
        <v>281</v>
      </c>
      <c r="I727" s="29" t="n">
        <v>722400</v>
      </c>
      <c r="J727" s="29" t="n">
        <v>650160</v>
      </c>
      <c r="K727" s="28" t="n">
        <v>6</v>
      </c>
      <c r="L727" s="28" t="n">
        <v>300</v>
      </c>
      <c r="M727" s="28" t="n">
        <v>10</v>
      </c>
    </row>
    <row r="728" customFormat="false" ht="15" hidden="false" customHeight="false" outlineLevel="0" collapsed="false">
      <c r="A728" s="27" t="n">
        <v>44259</v>
      </c>
      <c r="B728" s="28" t="n">
        <v>2021</v>
      </c>
      <c r="C728" s="28" t="s">
        <v>213</v>
      </c>
      <c r="D728" s="28" t="s">
        <v>44</v>
      </c>
      <c r="E728" s="28" t="s">
        <v>355</v>
      </c>
      <c r="F728" s="28" t="s">
        <v>142</v>
      </c>
      <c r="G728" s="28" t="s">
        <v>143</v>
      </c>
      <c r="H728" s="28" t="s">
        <v>306</v>
      </c>
      <c r="I728" s="29" t="n">
        <v>40000</v>
      </c>
      <c r="J728" s="29" t="n">
        <v>34000</v>
      </c>
      <c r="K728" s="28" t="n">
        <v>6.5</v>
      </c>
      <c r="L728" s="28" t="n">
        <v>60</v>
      </c>
      <c r="M728" s="28" t="n">
        <v>1</v>
      </c>
    </row>
    <row r="729" customFormat="false" ht="15" hidden="false" customHeight="false" outlineLevel="0" collapsed="false">
      <c r="A729" s="27" t="n">
        <v>44259</v>
      </c>
      <c r="B729" s="28" t="n">
        <v>2021</v>
      </c>
      <c r="C729" s="28" t="s">
        <v>203</v>
      </c>
      <c r="D729" s="28" t="s">
        <v>45</v>
      </c>
      <c r="E729" s="28" t="s">
        <v>202</v>
      </c>
      <c r="F729" s="28" t="s">
        <v>147</v>
      </c>
      <c r="G729" s="28" t="s">
        <v>441</v>
      </c>
      <c r="H729" s="28" t="s">
        <v>168</v>
      </c>
      <c r="I729" s="29" t="n">
        <v>5000</v>
      </c>
      <c r="J729" s="29" t="n">
        <v>3750</v>
      </c>
      <c r="K729" s="28" t="n">
        <v>9.75</v>
      </c>
      <c r="L729" s="28" t="n">
        <v>120</v>
      </c>
      <c r="M729" s="28" t="n">
        <v>0</v>
      </c>
    </row>
    <row r="730" customFormat="false" ht="15" hidden="false" customHeight="false" outlineLevel="0" collapsed="false">
      <c r="A730" s="27" t="n">
        <v>44260</v>
      </c>
      <c r="B730" s="28" t="n">
        <v>2021</v>
      </c>
      <c r="C730" s="28" t="s">
        <v>409</v>
      </c>
      <c r="D730" s="28" t="s">
        <v>53</v>
      </c>
      <c r="E730" s="28" t="s">
        <v>371</v>
      </c>
      <c r="F730" s="28" t="s">
        <v>142</v>
      </c>
      <c r="G730" s="28" t="s">
        <v>148</v>
      </c>
      <c r="H730" s="28" t="s">
        <v>179</v>
      </c>
      <c r="I730" s="29" t="n">
        <v>306400</v>
      </c>
      <c r="J730" s="29" t="n">
        <v>275760</v>
      </c>
      <c r="K730" s="28" t="n">
        <v>4.5</v>
      </c>
      <c r="L730" s="28" t="n">
        <v>300</v>
      </c>
      <c r="M730" s="28" t="n">
        <v>2</v>
      </c>
    </row>
    <row r="731" customFormat="false" ht="15" hidden="false" customHeight="false" outlineLevel="0" collapsed="false">
      <c r="A731" s="27" t="n">
        <v>44262</v>
      </c>
      <c r="B731" s="28" t="n">
        <v>2021</v>
      </c>
      <c r="C731" s="28" t="s">
        <v>488</v>
      </c>
      <c r="D731" s="28" t="s">
        <v>42</v>
      </c>
      <c r="E731" s="28" t="s">
        <v>247</v>
      </c>
      <c r="F731" s="28" t="s">
        <v>142</v>
      </c>
      <c r="G731" s="28" t="s">
        <v>143</v>
      </c>
      <c r="H731" s="28" t="s">
        <v>516</v>
      </c>
      <c r="I731" s="29" t="n">
        <v>1336100</v>
      </c>
      <c r="J731" s="29" t="n">
        <v>1202490</v>
      </c>
      <c r="K731" s="28" t="n">
        <v>5.25</v>
      </c>
      <c r="L731" s="28" t="n">
        <v>300</v>
      </c>
      <c r="M731" s="28" t="n">
        <v>13</v>
      </c>
    </row>
    <row r="732" customFormat="false" ht="15" hidden="false" customHeight="false" outlineLevel="0" collapsed="false">
      <c r="A732" s="27" t="n">
        <v>44262</v>
      </c>
      <c r="B732" s="28" t="n">
        <v>2021</v>
      </c>
      <c r="C732" s="28" t="s">
        <v>488</v>
      </c>
      <c r="D732" s="28" t="s">
        <v>42</v>
      </c>
      <c r="E732" s="28" t="s">
        <v>247</v>
      </c>
      <c r="F732" s="28" t="s">
        <v>142</v>
      </c>
      <c r="G732" s="28" t="s">
        <v>143</v>
      </c>
      <c r="H732" s="28" t="s">
        <v>516</v>
      </c>
      <c r="I732" s="29" t="n">
        <v>2153600</v>
      </c>
      <c r="J732" s="29" t="n">
        <v>1938240</v>
      </c>
      <c r="K732" s="28" t="n">
        <v>5.25</v>
      </c>
      <c r="L732" s="28" t="n">
        <v>300</v>
      </c>
      <c r="M732" s="28" t="n">
        <v>14</v>
      </c>
    </row>
    <row r="733" customFormat="false" ht="15" hidden="false" customHeight="false" outlineLevel="0" collapsed="false">
      <c r="A733" s="27" t="n">
        <v>44263</v>
      </c>
      <c r="B733" s="28" t="n">
        <v>2021</v>
      </c>
      <c r="C733" s="28" t="s">
        <v>488</v>
      </c>
      <c r="D733" s="28" t="s">
        <v>42</v>
      </c>
      <c r="E733" s="28" t="s">
        <v>180</v>
      </c>
      <c r="F733" s="28" t="s">
        <v>142</v>
      </c>
      <c r="G733" s="28" t="s">
        <v>143</v>
      </c>
      <c r="H733" s="28" t="s">
        <v>299</v>
      </c>
      <c r="I733" s="29" t="n">
        <v>2445000</v>
      </c>
      <c r="J733" s="29" t="n">
        <v>2200500</v>
      </c>
      <c r="K733" s="28" t="n">
        <v>6</v>
      </c>
      <c r="L733" s="28" t="n">
        <v>267</v>
      </c>
      <c r="M733" s="28" t="n">
        <v>32</v>
      </c>
    </row>
    <row r="734" customFormat="false" ht="15" hidden="false" customHeight="false" outlineLevel="0" collapsed="false">
      <c r="A734" s="27" t="n">
        <v>44263</v>
      </c>
      <c r="B734" s="28" t="n">
        <v>2021</v>
      </c>
      <c r="C734" s="28" t="s">
        <v>172</v>
      </c>
      <c r="D734" s="28" t="s">
        <v>42</v>
      </c>
      <c r="E734" s="28" t="s">
        <v>180</v>
      </c>
      <c r="F734" s="28" t="s">
        <v>142</v>
      </c>
      <c r="G734" s="28" t="s">
        <v>152</v>
      </c>
      <c r="H734" s="28" t="s">
        <v>523</v>
      </c>
      <c r="I734" s="29" t="n">
        <v>379000</v>
      </c>
      <c r="J734" s="29" t="n">
        <v>341100</v>
      </c>
      <c r="K734" s="28" t="n">
        <v>6</v>
      </c>
      <c r="L734" s="28" t="n">
        <v>120</v>
      </c>
      <c r="M734" s="28" t="n">
        <v>5</v>
      </c>
    </row>
    <row r="735" customFormat="false" ht="15" hidden="false" customHeight="false" outlineLevel="0" collapsed="false">
      <c r="A735" s="27" t="n">
        <v>44263</v>
      </c>
      <c r="B735" s="28" t="n">
        <v>2021</v>
      </c>
      <c r="C735" s="28" t="s">
        <v>163</v>
      </c>
      <c r="D735" s="28" t="s">
        <v>42</v>
      </c>
      <c r="E735" s="28" t="s">
        <v>247</v>
      </c>
      <c r="F735" s="28" t="s">
        <v>142</v>
      </c>
      <c r="G735" s="28" t="s">
        <v>152</v>
      </c>
      <c r="H735" s="28" t="s">
        <v>211</v>
      </c>
      <c r="I735" s="29" t="n">
        <v>4350000</v>
      </c>
      <c r="J735" s="29" t="n">
        <v>3749700</v>
      </c>
      <c r="K735" s="28" t="n">
        <v>5.5</v>
      </c>
      <c r="L735" s="28" t="n">
        <v>300</v>
      </c>
      <c r="M735" s="28" t="n">
        <v>12</v>
      </c>
    </row>
    <row r="736" customFormat="false" ht="15" hidden="false" customHeight="false" outlineLevel="0" collapsed="false">
      <c r="A736" s="27" t="n">
        <v>44264</v>
      </c>
      <c r="B736" s="28" t="n">
        <v>2021</v>
      </c>
      <c r="C736" s="28" t="s">
        <v>591</v>
      </c>
      <c r="D736" s="28" t="s">
        <v>50</v>
      </c>
      <c r="E736" s="28" t="s">
        <v>389</v>
      </c>
      <c r="F736" s="28" t="s">
        <v>142</v>
      </c>
      <c r="G736" s="28" t="s">
        <v>148</v>
      </c>
      <c r="H736" s="28" t="s">
        <v>165</v>
      </c>
      <c r="I736" s="29" t="n">
        <v>895000</v>
      </c>
      <c r="J736" s="29" t="n">
        <v>805500</v>
      </c>
      <c r="K736" s="28" t="n">
        <v>3.99</v>
      </c>
      <c r="L736" s="28" t="n">
        <v>120</v>
      </c>
      <c r="M736" s="28" t="n">
        <v>2</v>
      </c>
    </row>
    <row r="737" customFormat="false" ht="15" hidden="false" customHeight="false" outlineLevel="0" collapsed="false">
      <c r="A737" s="27" t="n">
        <v>44264</v>
      </c>
      <c r="B737" s="28" t="n">
        <v>2021</v>
      </c>
      <c r="C737" s="28" t="s">
        <v>145</v>
      </c>
      <c r="D737" s="28" t="s">
        <v>48</v>
      </c>
      <c r="E737" s="28" t="s">
        <v>295</v>
      </c>
      <c r="F737" s="28" t="s">
        <v>147</v>
      </c>
      <c r="G737" s="28" t="s">
        <v>148</v>
      </c>
      <c r="H737" s="28" t="s">
        <v>205</v>
      </c>
      <c r="I737" s="29" t="n">
        <v>110000</v>
      </c>
      <c r="J737" s="29" t="n">
        <v>82500</v>
      </c>
      <c r="K737" s="28" t="n">
        <v>5</v>
      </c>
      <c r="L737" s="28" t="n">
        <v>120</v>
      </c>
      <c r="M737" s="28" t="n">
        <v>2</v>
      </c>
    </row>
    <row r="738" customFormat="false" ht="15" hidden="false" customHeight="false" outlineLevel="0" collapsed="false">
      <c r="A738" s="27" t="n">
        <v>44264</v>
      </c>
      <c r="B738" s="28" t="n">
        <v>2021</v>
      </c>
      <c r="C738" s="28" t="s">
        <v>172</v>
      </c>
      <c r="D738" s="28" t="s">
        <v>44</v>
      </c>
      <c r="E738" s="28" t="s">
        <v>297</v>
      </c>
      <c r="F738" s="28" t="s">
        <v>142</v>
      </c>
      <c r="G738" s="28" t="s">
        <v>148</v>
      </c>
      <c r="H738" s="28" t="s">
        <v>592</v>
      </c>
      <c r="I738" s="29" t="n">
        <v>300000</v>
      </c>
      <c r="J738" s="29" t="n">
        <v>270000</v>
      </c>
      <c r="K738" s="28" t="n">
        <v>4.25</v>
      </c>
      <c r="L738" s="28" t="n">
        <v>300</v>
      </c>
      <c r="M738" s="28" t="n">
        <v>6</v>
      </c>
    </row>
    <row r="739" customFormat="false" ht="15" hidden="false" customHeight="false" outlineLevel="0" collapsed="false">
      <c r="A739" s="27" t="n">
        <v>44264</v>
      </c>
      <c r="B739" s="28" t="n">
        <v>2021</v>
      </c>
      <c r="C739" s="28" t="s">
        <v>169</v>
      </c>
      <c r="D739" s="28" t="s">
        <v>56</v>
      </c>
      <c r="E739" s="28" t="s">
        <v>471</v>
      </c>
      <c r="F739" s="28" t="s">
        <v>142</v>
      </c>
      <c r="G739" s="28" t="s">
        <v>148</v>
      </c>
      <c r="H739" s="28" t="s">
        <v>275</v>
      </c>
      <c r="I739" s="29" t="n">
        <v>165000</v>
      </c>
      <c r="J739" s="29" t="n">
        <v>148500</v>
      </c>
      <c r="K739" s="28" t="n">
        <v>6</v>
      </c>
      <c r="L739" s="28" t="n">
        <v>120</v>
      </c>
      <c r="M739" s="28" t="n">
        <v>0</v>
      </c>
    </row>
    <row r="740" customFormat="false" ht="15" hidden="false" customHeight="false" outlineLevel="0" collapsed="false">
      <c r="A740" s="27" t="n">
        <v>44265</v>
      </c>
      <c r="B740" s="28" t="n">
        <v>2021</v>
      </c>
      <c r="C740" s="28" t="s">
        <v>272</v>
      </c>
      <c r="D740" s="28" t="s">
        <v>48</v>
      </c>
      <c r="E740" s="28" t="s">
        <v>362</v>
      </c>
      <c r="F740" s="28" t="s">
        <v>142</v>
      </c>
      <c r="G740" s="28" t="s">
        <v>148</v>
      </c>
      <c r="H740" s="28" t="s">
        <v>275</v>
      </c>
      <c r="I740" s="29" t="n">
        <v>100000</v>
      </c>
      <c r="J740" s="29" t="n">
        <v>90000</v>
      </c>
      <c r="K740" s="28" t="n">
        <v>6</v>
      </c>
      <c r="L740" s="28" t="n">
        <v>120</v>
      </c>
      <c r="M740" s="28" t="n">
        <v>3</v>
      </c>
    </row>
    <row r="741" customFormat="false" ht="15" hidden="false" customHeight="false" outlineLevel="0" collapsed="false">
      <c r="A741" s="27" t="n">
        <v>44265</v>
      </c>
      <c r="B741" s="28" t="n">
        <v>2021</v>
      </c>
      <c r="C741" s="28" t="s">
        <v>145</v>
      </c>
      <c r="D741" s="28" t="s">
        <v>45</v>
      </c>
      <c r="E741" s="28" t="s">
        <v>593</v>
      </c>
      <c r="F741" s="28" t="s">
        <v>142</v>
      </c>
      <c r="G741" s="28" t="s">
        <v>148</v>
      </c>
      <c r="H741" s="28" t="s">
        <v>211</v>
      </c>
      <c r="I741" s="29" t="n">
        <v>350000</v>
      </c>
      <c r="J741" s="29" t="n">
        <v>315000</v>
      </c>
      <c r="K741" s="28" t="n">
        <v>6</v>
      </c>
      <c r="L741" s="28" t="n">
        <v>120</v>
      </c>
      <c r="M741" s="28" t="n">
        <v>5</v>
      </c>
    </row>
    <row r="742" customFormat="false" ht="15" hidden="false" customHeight="false" outlineLevel="0" collapsed="false">
      <c r="A742" s="27" t="n">
        <v>44265</v>
      </c>
      <c r="B742" s="28" t="n">
        <v>2021</v>
      </c>
      <c r="C742" s="28" t="s">
        <v>163</v>
      </c>
      <c r="D742" s="28" t="s">
        <v>44</v>
      </c>
      <c r="E742" s="28" t="s">
        <v>556</v>
      </c>
      <c r="F742" s="28" t="s">
        <v>147</v>
      </c>
      <c r="G742" s="28" t="s">
        <v>148</v>
      </c>
      <c r="H742" s="28" t="s">
        <v>200</v>
      </c>
      <c r="I742" s="29" t="n">
        <v>25000</v>
      </c>
      <c r="J742" s="29" t="n">
        <v>18750</v>
      </c>
      <c r="K742" s="28" t="n">
        <v>9.75</v>
      </c>
      <c r="L742" s="28" t="n">
        <v>120</v>
      </c>
      <c r="M742" s="28" t="n">
        <v>22</v>
      </c>
    </row>
    <row r="743" customFormat="false" ht="15" hidden="false" customHeight="false" outlineLevel="0" collapsed="false">
      <c r="A743" s="27" t="n">
        <v>44265</v>
      </c>
      <c r="B743" s="28" t="n">
        <v>2021</v>
      </c>
      <c r="C743" s="28" t="s">
        <v>196</v>
      </c>
      <c r="D743" s="28" t="s">
        <v>48</v>
      </c>
      <c r="E743" s="28" t="s">
        <v>594</v>
      </c>
      <c r="F743" s="28" t="s">
        <v>142</v>
      </c>
      <c r="G743" s="28" t="s">
        <v>148</v>
      </c>
      <c r="H743" s="28" t="s">
        <v>278</v>
      </c>
      <c r="I743" s="29" t="n">
        <v>350000</v>
      </c>
      <c r="J743" s="29" t="n">
        <v>315000</v>
      </c>
      <c r="K743" s="28" t="n">
        <v>6</v>
      </c>
      <c r="L743" s="28" t="n">
        <v>120</v>
      </c>
      <c r="M743" s="28" t="n">
        <v>7</v>
      </c>
    </row>
    <row r="744" customFormat="false" ht="15" hidden="false" customHeight="false" outlineLevel="0" collapsed="false">
      <c r="A744" s="27" t="n">
        <v>44265</v>
      </c>
      <c r="B744" s="28" t="n">
        <v>2021</v>
      </c>
      <c r="C744" s="28" t="s">
        <v>172</v>
      </c>
      <c r="D744" s="28" t="s">
        <v>42</v>
      </c>
      <c r="E744" s="28" t="s">
        <v>242</v>
      </c>
      <c r="F744" s="28" t="s">
        <v>142</v>
      </c>
      <c r="G744" s="28" t="s">
        <v>148</v>
      </c>
      <c r="H744" s="28" t="s">
        <v>416</v>
      </c>
      <c r="I744" s="29" t="n">
        <v>445000</v>
      </c>
      <c r="J744" s="29" t="n">
        <v>400500</v>
      </c>
      <c r="K744" s="28" t="n">
        <v>5.75</v>
      </c>
      <c r="L744" s="28" t="n">
        <v>126</v>
      </c>
      <c r="M744" s="28" t="n">
        <v>70</v>
      </c>
    </row>
    <row r="745" customFormat="false" ht="15" hidden="false" customHeight="false" outlineLevel="0" collapsed="false">
      <c r="A745" s="27" t="n">
        <v>44267</v>
      </c>
      <c r="B745" s="28" t="n">
        <v>2021</v>
      </c>
      <c r="C745" s="28" t="s">
        <v>243</v>
      </c>
      <c r="D745" s="28" t="s">
        <v>46</v>
      </c>
      <c r="E745" s="28" t="s">
        <v>262</v>
      </c>
      <c r="F745" s="28" t="s">
        <v>142</v>
      </c>
      <c r="G745" s="28" t="s">
        <v>152</v>
      </c>
      <c r="H745" s="28" t="s">
        <v>144</v>
      </c>
      <c r="I745" s="29" t="n">
        <v>525000</v>
      </c>
      <c r="J745" s="29" t="n">
        <v>472500</v>
      </c>
      <c r="K745" s="28" t="n">
        <v>5.75</v>
      </c>
      <c r="L745" s="28" t="n">
        <v>120</v>
      </c>
      <c r="M745" s="28" t="n">
        <v>7</v>
      </c>
    </row>
    <row r="746" customFormat="false" ht="15" hidden="false" customHeight="false" outlineLevel="0" collapsed="false">
      <c r="A746" s="27" t="n">
        <v>44270</v>
      </c>
      <c r="B746" s="28" t="n">
        <v>2021</v>
      </c>
      <c r="C746" s="28" t="s">
        <v>163</v>
      </c>
      <c r="D746" s="28" t="s">
        <v>43</v>
      </c>
      <c r="E746" s="28" t="s">
        <v>317</v>
      </c>
      <c r="F746" s="28" t="s">
        <v>142</v>
      </c>
      <c r="G746" s="28" t="s">
        <v>148</v>
      </c>
      <c r="H746" s="28" t="s">
        <v>501</v>
      </c>
      <c r="I746" s="29" t="n">
        <v>810000</v>
      </c>
      <c r="J746" s="29" t="n">
        <v>729000</v>
      </c>
      <c r="K746" s="28" t="n">
        <v>5.75</v>
      </c>
      <c r="L746" s="28" t="n">
        <v>300</v>
      </c>
      <c r="M746" s="28" t="n">
        <v>4</v>
      </c>
    </row>
    <row r="747" customFormat="false" ht="15" hidden="false" customHeight="false" outlineLevel="0" collapsed="false">
      <c r="A747" s="27" t="n">
        <v>44270</v>
      </c>
      <c r="B747" s="28" t="n">
        <v>2021</v>
      </c>
      <c r="C747" s="28" t="s">
        <v>163</v>
      </c>
      <c r="D747" s="28" t="s">
        <v>43</v>
      </c>
      <c r="E747" s="28" t="s">
        <v>317</v>
      </c>
      <c r="F747" s="28" t="s">
        <v>283</v>
      </c>
      <c r="G747" s="28" t="s">
        <v>148</v>
      </c>
      <c r="H747" s="28" t="s">
        <v>501</v>
      </c>
      <c r="I747" s="29" t="n">
        <v>350000</v>
      </c>
      <c r="J747" s="29" t="n">
        <v>315000</v>
      </c>
      <c r="K747" s="28" t="n">
        <v>5.75</v>
      </c>
      <c r="L747" s="28" t="n">
        <v>120</v>
      </c>
      <c r="M747" s="28" t="n">
        <v>4</v>
      </c>
    </row>
    <row r="748" customFormat="false" ht="15" hidden="false" customHeight="false" outlineLevel="0" collapsed="false">
      <c r="A748" s="27" t="n">
        <v>44270</v>
      </c>
      <c r="B748" s="28" t="n">
        <v>2021</v>
      </c>
      <c r="C748" s="28" t="s">
        <v>169</v>
      </c>
      <c r="D748" s="28" t="s">
        <v>43</v>
      </c>
      <c r="E748" s="28" t="s">
        <v>317</v>
      </c>
      <c r="F748" s="28" t="s">
        <v>147</v>
      </c>
      <c r="G748" s="28" t="s">
        <v>441</v>
      </c>
      <c r="H748" s="28" t="s">
        <v>205</v>
      </c>
      <c r="I748" s="29" t="n">
        <v>15000</v>
      </c>
      <c r="J748" s="29" t="n">
        <v>11250</v>
      </c>
      <c r="K748" s="28" t="n">
        <v>8.25</v>
      </c>
      <c r="L748" s="28" t="n">
        <v>120</v>
      </c>
      <c r="M748" s="28" t="n">
        <v>0</v>
      </c>
    </row>
    <row r="749" customFormat="false" ht="15" hidden="false" customHeight="false" outlineLevel="0" collapsed="false">
      <c r="A749" s="27" t="n">
        <v>44270</v>
      </c>
      <c r="B749" s="28" t="n">
        <v>2021</v>
      </c>
      <c r="C749" s="28" t="s">
        <v>230</v>
      </c>
      <c r="D749" s="28" t="s">
        <v>47</v>
      </c>
      <c r="E749" s="28" t="s">
        <v>595</v>
      </c>
      <c r="F749" s="28" t="s">
        <v>142</v>
      </c>
      <c r="G749" s="28" t="s">
        <v>148</v>
      </c>
      <c r="H749" s="28" t="s">
        <v>299</v>
      </c>
      <c r="I749" s="29" t="n">
        <v>574800</v>
      </c>
      <c r="J749" s="29" t="n">
        <v>517320</v>
      </c>
      <c r="K749" s="28" t="n">
        <v>5.25</v>
      </c>
      <c r="L749" s="28" t="n">
        <v>300</v>
      </c>
      <c r="M749" s="28" t="n">
        <v>4</v>
      </c>
    </row>
    <row r="750" customFormat="false" ht="15" hidden="false" customHeight="false" outlineLevel="0" collapsed="false">
      <c r="A750" s="27" t="n">
        <v>44271</v>
      </c>
      <c r="B750" s="28" t="n">
        <v>2021</v>
      </c>
      <c r="C750" s="28" t="s">
        <v>560</v>
      </c>
      <c r="D750" s="28" t="s">
        <v>43</v>
      </c>
      <c r="E750" s="28" t="s">
        <v>596</v>
      </c>
      <c r="F750" s="28" t="s">
        <v>147</v>
      </c>
      <c r="G750" s="28" t="s">
        <v>441</v>
      </c>
      <c r="H750" s="28" t="s">
        <v>168</v>
      </c>
      <c r="I750" s="29" t="n">
        <v>15000</v>
      </c>
      <c r="J750" s="29" t="n">
        <v>11250</v>
      </c>
      <c r="K750" s="28" t="n">
        <v>7.75</v>
      </c>
      <c r="L750" s="28" t="n">
        <v>120</v>
      </c>
      <c r="M750" s="28" t="n">
        <v>5</v>
      </c>
    </row>
    <row r="751" customFormat="false" ht="15" hidden="false" customHeight="false" outlineLevel="0" collapsed="false">
      <c r="A751" s="27" t="n">
        <v>44271</v>
      </c>
      <c r="B751" s="28" t="n">
        <v>2021</v>
      </c>
      <c r="C751" s="28" t="s">
        <v>166</v>
      </c>
      <c r="D751" s="28" t="s">
        <v>43</v>
      </c>
      <c r="E751" s="28" t="s">
        <v>350</v>
      </c>
      <c r="F751" s="28" t="s">
        <v>147</v>
      </c>
      <c r="G751" s="28" t="s">
        <v>148</v>
      </c>
      <c r="H751" s="28" t="s">
        <v>191</v>
      </c>
      <c r="I751" s="29" t="n">
        <v>100000</v>
      </c>
      <c r="J751" s="29" t="n">
        <v>75000</v>
      </c>
      <c r="K751" s="28" t="n">
        <v>6.25</v>
      </c>
      <c r="L751" s="28" t="n">
        <v>120</v>
      </c>
      <c r="M751" s="28" t="n">
        <v>8</v>
      </c>
    </row>
    <row r="752" customFormat="false" ht="15" hidden="false" customHeight="false" outlineLevel="0" collapsed="false">
      <c r="A752" s="27" t="n">
        <v>44272</v>
      </c>
      <c r="B752" s="28" t="n">
        <v>2021</v>
      </c>
      <c r="C752" s="28" t="s">
        <v>166</v>
      </c>
      <c r="D752" s="28" t="s">
        <v>43</v>
      </c>
      <c r="E752" s="28" t="s">
        <v>581</v>
      </c>
      <c r="F752" s="28" t="s">
        <v>142</v>
      </c>
      <c r="G752" s="28" t="s">
        <v>148</v>
      </c>
      <c r="H752" s="28" t="s">
        <v>200</v>
      </c>
      <c r="I752" s="29" t="n">
        <v>928800</v>
      </c>
      <c r="J752" s="29" t="n">
        <v>835920</v>
      </c>
      <c r="K752" s="28" t="n">
        <v>6</v>
      </c>
      <c r="L752" s="28" t="n">
        <v>300</v>
      </c>
      <c r="M752" s="28" t="n">
        <v>10</v>
      </c>
    </row>
    <row r="753" customFormat="false" ht="15" hidden="false" customHeight="false" outlineLevel="0" collapsed="false">
      <c r="A753" s="27" t="n">
        <v>44272</v>
      </c>
      <c r="B753" s="28" t="n">
        <v>2021</v>
      </c>
      <c r="C753" s="28" t="s">
        <v>203</v>
      </c>
      <c r="D753" s="28" t="s">
        <v>50</v>
      </c>
      <c r="E753" s="28" t="s">
        <v>597</v>
      </c>
      <c r="F753" s="28" t="s">
        <v>142</v>
      </c>
      <c r="G753" s="28" t="s">
        <v>143</v>
      </c>
      <c r="H753" s="28" t="s">
        <v>287</v>
      </c>
      <c r="I753" s="29" t="n">
        <v>150000</v>
      </c>
      <c r="J753" s="29" t="n">
        <v>135000</v>
      </c>
      <c r="K753" s="28" t="n">
        <v>6</v>
      </c>
      <c r="L753" s="28" t="n">
        <v>72</v>
      </c>
      <c r="M753" s="28" t="n">
        <v>6</v>
      </c>
    </row>
    <row r="754" customFormat="false" ht="15" hidden="false" customHeight="false" outlineLevel="0" collapsed="false">
      <c r="A754" s="27" t="n">
        <v>44272</v>
      </c>
      <c r="B754" s="28" t="n">
        <v>2021</v>
      </c>
      <c r="C754" s="28" t="s">
        <v>166</v>
      </c>
      <c r="D754" s="28" t="s">
        <v>50</v>
      </c>
      <c r="E754" s="28" t="s">
        <v>466</v>
      </c>
      <c r="F754" s="28" t="s">
        <v>142</v>
      </c>
      <c r="G754" s="28" t="s">
        <v>143</v>
      </c>
      <c r="H754" s="28" t="s">
        <v>287</v>
      </c>
      <c r="I754" s="29" t="n">
        <v>150000</v>
      </c>
      <c r="J754" s="29" t="n">
        <v>135000</v>
      </c>
      <c r="K754" s="28" t="n">
        <v>6</v>
      </c>
      <c r="L754" s="28" t="n">
        <v>95</v>
      </c>
      <c r="M754" s="28" t="n">
        <v>1</v>
      </c>
    </row>
    <row r="755" customFormat="false" ht="15" hidden="false" customHeight="false" outlineLevel="0" collapsed="false">
      <c r="A755" s="27" t="n">
        <v>44273</v>
      </c>
      <c r="B755" s="28" t="n">
        <v>2021</v>
      </c>
      <c r="C755" s="28" t="s">
        <v>206</v>
      </c>
      <c r="D755" s="28" t="s">
        <v>48</v>
      </c>
      <c r="E755" s="28" t="s">
        <v>210</v>
      </c>
      <c r="F755" s="28" t="s">
        <v>142</v>
      </c>
      <c r="G755" s="28" t="s">
        <v>148</v>
      </c>
      <c r="H755" s="28" t="s">
        <v>229</v>
      </c>
      <c r="I755" s="29" t="n">
        <v>50000</v>
      </c>
      <c r="J755" s="29" t="n">
        <v>45000</v>
      </c>
      <c r="K755" s="28" t="n">
        <v>6</v>
      </c>
      <c r="L755" s="28" t="n">
        <v>120</v>
      </c>
      <c r="M755" s="28" t="n">
        <v>0</v>
      </c>
    </row>
    <row r="756" customFormat="false" ht="15" hidden="false" customHeight="false" outlineLevel="0" collapsed="false">
      <c r="A756" s="27" t="n">
        <v>44273</v>
      </c>
      <c r="B756" s="28" t="n">
        <v>2021</v>
      </c>
      <c r="C756" s="28" t="s">
        <v>206</v>
      </c>
      <c r="D756" s="28" t="s">
        <v>46</v>
      </c>
      <c r="E756" s="28" t="s">
        <v>262</v>
      </c>
      <c r="F756" s="28" t="s">
        <v>142</v>
      </c>
      <c r="G756" s="28" t="s">
        <v>143</v>
      </c>
      <c r="H756" s="28" t="s">
        <v>275</v>
      </c>
      <c r="I756" s="29" t="n">
        <v>900000</v>
      </c>
      <c r="J756" s="29" t="n">
        <v>810000</v>
      </c>
      <c r="K756" s="28" t="n">
        <v>6</v>
      </c>
      <c r="L756" s="28" t="n">
        <v>250</v>
      </c>
      <c r="M756" s="28" t="n">
        <v>10</v>
      </c>
    </row>
    <row r="757" customFormat="false" ht="15" hidden="false" customHeight="false" outlineLevel="0" collapsed="false">
      <c r="A757" s="27" t="n">
        <v>44274</v>
      </c>
      <c r="B757" s="28" t="n">
        <v>2021</v>
      </c>
      <c r="C757" s="28" t="s">
        <v>172</v>
      </c>
      <c r="D757" s="28" t="s">
        <v>45</v>
      </c>
      <c r="E757" s="28" t="s">
        <v>253</v>
      </c>
      <c r="F757" s="28" t="s">
        <v>142</v>
      </c>
      <c r="G757" s="28" t="s">
        <v>148</v>
      </c>
      <c r="H757" s="28" t="s">
        <v>165</v>
      </c>
      <c r="I757" s="29" t="n">
        <v>3020000</v>
      </c>
      <c r="J757" s="29" t="n">
        <v>2718000</v>
      </c>
      <c r="K757" s="28" t="n">
        <v>4.25</v>
      </c>
      <c r="L757" s="28" t="n">
        <v>120</v>
      </c>
      <c r="M757" s="28" t="n">
        <v>112</v>
      </c>
    </row>
    <row r="758" customFormat="false" ht="15" hidden="false" customHeight="false" outlineLevel="0" collapsed="false">
      <c r="A758" s="27" t="n">
        <v>44277</v>
      </c>
      <c r="B758" s="28" t="n">
        <v>2021</v>
      </c>
      <c r="C758" s="28" t="s">
        <v>169</v>
      </c>
      <c r="D758" s="28" t="s">
        <v>44</v>
      </c>
      <c r="E758" s="28" t="s">
        <v>167</v>
      </c>
      <c r="F758" s="28" t="s">
        <v>142</v>
      </c>
      <c r="G758" s="28" t="s">
        <v>143</v>
      </c>
      <c r="H758" s="28" t="s">
        <v>287</v>
      </c>
      <c r="I758" s="29" t="n">
        <v>150000</v>
      </c>
      <c r="J758" s="29" t="n">
        <v>135000</v>
      </c>
      <c r="K758" s="28" t="n">
        <v>6</v>
      </c>
      <c r="L758" s="28" t="n">
        <v>120</v>
      </c>
      <c r="M758" s="28" t="n">
        <v>22</v>
      </c>
    </row>
    <row r="759" customFormat="false" ht="15" hidden="false" customHeight="false" outlineLevel="0" collapsed="false">
      <c r="A759" s="27" t="n">
        <v>44278</v>
      </c>
      <c r="B759" s="28" t="n">
        <v>2021</v>
      </c>
      <c r="C759" s="28" t="s">
        <v>201</v>
      </c>
      <c r="D759" s="28" t="s">
        <v>47</v>
      </c>
      <c r="E759" s="28" t="s">
        <v>429</v>
      </c>
      <c r="F759" s="28" t="s">
        <v>194</v>
      </c>
      <c r="G759" s="28" t="s">
        <v>148</v>
      </c>
      <c r="H759" s="28" t="s">
        <v>291</v>
      </c>
      <c r="I759" s="29" t="n">
        <v>3500000</v>
      </c>
      <c r="J759" s="29" t="n">
        <v>3150000</v>
      </c>
      <c r="K759" s="28" t="n">
        <v>5.25</v>
      </c>
      <c r="L759" s="28" t="n">
        <v>37</v>
      </c>
      <c r="M759" s="28" t="n">
        <v>5</v>
      </c>
    </row>
    <row r="760" customFormat="false" ht="15" hidden="false" customHeight="false" outlineLevel="0" collapsed="false">
      <c r="A760" s="27" t="n">
        <v>44278</v>
      </c>
      <c r="B760" s="28" t="n">
        <v>2021</v>
      </c>
      <c r="C760" s="28" t="s">
        <v>540</v>
      </c>
      <c r="D760" s="28" t="s">
        <v>45</v>
      </c>
      <c r="E760" s="28" t="s">
        <v>480</v>
      </c>
      <c r="F760" s="28" t="s">
        <v>147</v>
      </c>
      <c r="G760" s="28" t="s">
        <v>148</v>
      </c>
      <c r="H760" s="28" t="s">
        <v>351</v>
      </c>
      <c r="I760" s="29" t="n">
        <v>75000</v>
      </c>
      <c r="J760" s="29" t="n">
        <v>56250</v>
      </c>
      <c r="K760" s="28" t="n">
        <v>1</v>
      </c>
      <c r="L760" s="28" t="n">
        <v>60</v>
      </c>
      <c r="M760" s="28" t="n">
        <v>10</v>
      </c>
    </row>
    <row r="761" customFormat="false" ht="15" hidden="false" customHeight="false" outlineLevel="0" collapsed="false">
      <c r="A761" s="27" t="n">
        <v>44279</v>
      </c>
      <c r="B761" s="28" t="n">
        <v>2021</v>
      </c>
      <c r="C761" s="28" t="s">
        <v>368</v>
      </c>
      <c r="D761" s="28" t="s">
        <v>46</v>
      </c>
      <c r="E761" s="28" t="s">
        <v>361</v>
      </c>
      <c r="F761" s="28" t="s">
        <v>142</v>
      </c>
      <c r="G761" s="28" t="s">
        <v>148</v>
      </c>
      <c r="H761" s="28" t="s">
        <v>287</v>
      </c>
      <c r="I761" s="29" t="n">
        <v>150000</v>
      </c>
      <c r="J761" s="29" t="n">
        <v>135000</v>
      </c>
      <c r="K761" s="28" t="n">
        <v>6</v>
      </c>
      <c r="L761" s="28" t="n">
        <v>120</v>
      </c>
      <c r="M761" s="28" t="n">
        <v>7</v>
      </c>
    </row>
    <row r="762" customFormat="false" ht="15" hidden="false" customHeight="false" outlineLevel="0" collapsed="false">
      <c r="A762" s="27" t="n">
        <v>44279</v>
      </c>
      <c r="B762" s="28" t="n">
        <v>2021</v>
      </c>
      <c r="C762" s="28" t="s">
        <v>500</v>
      </c>
      <c r="D762" s="28" t="s">
        <v>52</v>
      </c>
      <c r="E762" s="28" t="s">
        <v>258</v>
      </c>
      <c r="F762" s="28" t="s">
        <v>147</v>
      </c>
      <c r="G762" s="28" t="s">
        <v>441</v>
      </c>
      <c r="H762" s="28" t="s">
        <v>168</v>
      </c>
      <c r="I762" s="29" t="n">
        <v>10000</v>
      </c>
      <c r="J762" s="29" t="n">
        <v>7500</v>
      </c>
      <c r="K762" s="28" t="n">
        <v>8.75</v>
      </c>
      <c r="L762" s="28" t="n">
        <v>120</v>
      </c>
      <c r="M762" s="28" t="n">
        <v>0</v>
      </c>
    </row>
    <row r="763" customFormat="false" ht="15" hidden="false" customHeight="false" outlineLevel="0" collapsed="false">
      <c r="A763" s="27" t="n">
        <v>44279</v>
      </c>
      <c r="B763" s="28" t="n">
        <v>2021</v>
      </c>
      <c r="C763" s="28" t="s">
        <v>172</v>
      </c>
      <c r="D763" s="28" t="s">
        <v>42</v>
      </c>
      <c r="E763" s="28" t="s">
        <v>164</v>
      </c>
      <c r="F763" s="28" t="s">
        <v>147</v>
      </c>
      <c r="G763" s="28" t="s">
        <v>148</v>
      </c>
      <c r="H763" s="28" t="s">
        <v>205</v>
      </c>
      <c r="I763" s="29" t="n">
        <v>80000</v>
      </c>
      <c r="J763" s="29" t="n">
        <v>60000</v>
      </c>
      <c r="K763" s="28" t="n">
        <v>5.17</v>
      </c>
      <c r="L763" s="28" t="n">
        <v>60</v>
      </c>
      <c r="M763" s="28" t="n">
        <v>2</v>
      </c>
    </row>
    <row r="764" customFormat="false" ht="15" hidden="false" customHeight="false" outlineLevel="0" collapsed="false">
      <c r="A764" s="27" t="n">
        <v>44280</v>
      </c>
      <c r="B764" s="28" t="n">
        <v>2021</v>
      </c>
      <c r="C764" s="28" t="s">
        <v>169</v>
      </c>
      <c r="D764" s="28" t="s">
        <v>45</v>
      </c>
      <c r="E764" s="28" t="s">
        <v>222</v>
      </c>
      <c r="F764" s="28" t="s">
        <v>147</v>
      </c>
      <c r="G764" s="28" t="s">
        <v>148</v>
      </c>
      <c r="H764" s="28" t="s">
        <v>372</v>
      </c>
      <c r="I764" s="29" t="n">
        <v>750000</v>
      </c>
      <c r="J764" s="29" t="n">
        <v>375000</v>
      </c>
      <c r="K764" s="28" t="n">
        <v>4.75</v>
      </c>
      <c r="L764" s="28" t="n">
        <v>84</v>
      </c>
      <c r="M764" s="28" t="n">
        <v>5</v>
      </c>
    </row>
    <row r="765" customFormat="false" ht="15" hidden="false" customHeight="false" outlineLevel="0" collapsed="false">
      <c r="A765" s="27" t="n">
        <v>44280</v>
      </c>
      <c r="B765" s="28" t="n">
        <v>2021</v>
      </c>
      <c r="C765" s="28" t="s">
        <v>166</v>
      </c>
      <c r="D765" s="28" t="s">
        <v>44</v>
      </c>
      <c r="E765" s="28" t="s">
        <v>392</v>
      </c>
      <c r="F765" s="28" t="s">
        <v>147</v>
      </c>
      <c r="G765" s="28" t="s">
        <v>152</v>
      </c>
      <c r="H765" s="28" t="s">
        <v>278</v>
      </c>
      <c r="I765" s="29" t="n">
        <v>423500</v>
      </c>
      <c r="J765" s="29" t="n">
        <v>211750</v>
      </c>
      <c r="K765" s="28" t="n">
        <v>5</v>
      </c>
      <c r="L765" s="28" t="n">
        <v>72</v>
      </c>
      <c r="M765" s="28" t="n">
        <v>19</v>
      </c>
    </row>
    <row r="766" customFormat="false" ht="15" hidden="false" customHeight="false" outlineLevel="0" collapsed="false">
      <c r="A766" s="27" t="n">
        <v>44280</v>
      </c>
      <c r="B766" s="28" t="n">
        <v>2021</v>
      </c>
      <c r="C766" s="28" t="s">
        <v>252</v>
      </c>
      <c r="D766" s="28" t="s">
        <v>44</v>
      </c>
      <c r="E766" s="28" t="s">
        <v>167</v>
      </c>
      <c r="F766" s="28" t="s">
        <v>142</v>
      </c>
      <c r="G766" s="28" t="s">
        <v>148</v>
      </c>
      <c r="H766" s="28" t="s">
        <v>494</v>
      </c>
      <c r="I766" s="29" t="n">
        <v>1312000</v>
      </c>
      <c r="J766" s="29" t="n">
        <v>1180800</v>
      </c>
      <c r="K766" s="28" t="n">
        <v>5.75</v>
      </c>
      <c r="L766" s="28" t="n">
        <v>300</v>
      </c>
      <c r="M766" s="28" t="n">
        <v>20</v>
      </c>
    </row>
    <row r="767" customFormat="false" ht="15" hidden="false" customHeight="false" outlineLevel="0" collapsed="false">
      <c r="A767" s="27" t="n">
        <v>44280</v>
      </c>
      <c r="B767" s="28" t="n">
        <v>2021</v>
      </c>
      <c r="C767" s="28" t="s">
        <v>318</v>
      </c>
      <c r="D767" s="28" t="s">
        <v>49</v>
      </c>
      <c r="E767" s="28" t="s">
        <v>475</v>
      </c>
      <c r="F767" s="28" t="s">
        <v>147</v>
      </c>
      <c r="G767" s="28" t="s">
        <v>441</v>
      </c>
      <c r="H767" s="28" t="s">
        <v>168</v>
      </c>
      <c r="I767" s="29" t="n">
        <v>7500</v>
      </c>
      <c r="J767" s="29" t="n">
        <v>5625</v>
      </c>
      <c r="K767" s="28" t="n">
        <v>8.75</v>
      </c>
      <c r="L767" s="28" t="n">
        <v>120</v>
      </c>
      <c r="M767" s="28" t="n">
        <v>0</v>
      </c>
    </row>
    <row r="768" customFormat="false" ht="15" hidden="false" customHeight="false" outlineLevel="0" collapsed="false">
      <c r="A768" s="27" t="n">
        <v>44281</v>
      </c>
      <c r="B768" s="28" t="n">
        <v>2021</v>
      </c>
      <c r="C768" s="28" t="s">
        <v>169</v>
      </c>
      <c r="D768" s="28" t="s">
        <v>46</v>
      </c>
      <c r="E768" s="28" t="s">
        <v>406</v>
      </c>
      <c r="F768" s="28" t="s">
        <v>142</v>
      </c>
      <c r="G768" s="28" t="s">
        <v>143</v>
      </c>
      <c r="H768" s="28" t="s">
        <v>453</v>
      </c>
      <c r="I768" s="29" t="n">
        <v>3925000</v>
      </c>
      <c r="J768" s="29" t="n">
        <v>3532500</v>
      </c>
      <c r="K768" s="28" t="n">
        <v>6</v>
      </c>
      <c r="L768" s="28" t="n">
        <v>300</v>
      </c>
      <c r="M768" s="28" t="n">
        <v>37</v>
      </c>
    </row>
    <row r="769" customFormat="false" ht="15" hidden="false" customHeight="false" outlineLevel="0" collapsed="false">
      <c r="A769" s="27" t="n">
        <v>44281</v>
      </c>
      <c r="B769" s="28" t="n">
        <v>2021</v>
      </c>
      <c r="C769" s="28" t="s">
        <v>145</v>
      </c>
      <c r="D769" s="28" t="s">
        <v>60</v>
      </c>
      <c r="E769" s="28" t="s">
        <v>352</v>
      </c>
      <c r="F769" s="28" t="s">
        <v>147</v>
      </c>
      <c r="G769" s="28" t="s">
        <v>441</v>
      </c>
      <c r="H769" s="28" t="s">
        <v>168</v>
      </c>
      <c r="I769" s="29" t="n">
        <v>15000</v>
      </c>
      <c r="J769" s="29" t="n">
        <v>11250</v>
      </c>
      <c r="K769" s="28" t="n">
        <v>8.25</v>
      </c>
      <c r="L769" s="28" t="n">
        <v>120</v>
      </c>
      <c r="M769" s="28" t="n">
        <v>7</v>
      </c>
    </row>
    <row r="770" customFormat="false" ht="15" hidden="false" customHeight="false" outlineLevel="0" collapsed="false">
      <c r="A770" s="27" t="n">
        <v>44281</v>
      </c>
      <c r="B770" s="28" t="n">
        <v>2021</v>
      </c>
      <c r="C770" s="28" t="s">
        <v>172</v>
      </c>
      <c r="D770" s="28" t="s">
        <v>49</v>
      </c>
      <c r="E770" s="28" t="s">
        <v>598</v>
      </c>
      <c r="F770" s="28" t="s">
        <v>283</v>
      </c>
      <c r="G770" s="28" t="s">
        <v>148</v>
      </c>
      <c r="H770" s="28" t="s">
        <v>374</v>
      </c>
      <c r="I770" s="29" t="n">
        <v>3165000</v>
      </c>
      <c r="J770" s="29" t="n">
        <v>2848500</v>
      </c>
      <c r="K770" s="28" t="n">
        <v>6</v>
      </c>
      <c r="L770" s="28" t="n">
        <v>120</v>
      </c>
      <c r="M770" s="28" t="n">
        <v>20</v>
      </c>
    </row>
    <row r="771" customFormat="false" ht="15" hidden="false" customHeight="false" outlineLevel="0" collapsed="false">
      <c r="A771" s="27" t="n">
        <v>44283</v>
      </c>
      <c r="B771" s="28" t="n">
        <v>2021</v>
      </c>
      <c r="C771" s="28" t="s">
        <v>560</v>
      </c>
      <c r="D771" s="28" t="s">
        <v>52</v>
      </c>
      <c r="E771" s="28" t="s">
        <v>599</v>
      </c>
      <c r="F771" s="28" t="s">
        <v>142</v>
      </c>
      <c r="G771" s="28" t="s">
        <v>143</v>
      </c>
      <c r="H771" s="28" t="s">
        <v>438</v>
      </c>
      <c r="I771" s="29" t="n">
        <v>285000</v>
      </c>
      <c r="J771" s="29" t="n">
        <v>256500</v>
      </c>
      <c r="K771" s="28" t="n">
        <v>5.5</v>
      </c>
      <c r="L771" s="28" t="n">
        <v>126</v>
      </c>
      <c r="M771" s="28" t="n">
        <v>14</v>
      </c>
    </row>
    <row r="772" customFormat="false" ht="15" hidden="false" customHeight="false" outlineLevel="0" collapsed="false">
      <c r="A772" s="27" t="n">
        <v>44284</v>
      </c>
      <c r="B772" s="28" t="n">
        <v>2021</v>
      </c>
      <c r="C772" s="28" t="s">
        <v>423</v>
      </c>
      <c r="D772" s="28" t="s">
        <v>46</v>
      </c>
      <c r="E772" s="28" t="s">
        <v>406</v>
      </c>
      <c r="F772" s="28" t="s">
        <v>147</v>
      </c>
      <c r="G772" s="28" t="s">
        <v>143</v>
      </c>
      <c r="H772" s="28" t="s">
        <v>494</v>
      </c>
      <c r="I772" s="29" t="n">
        <v>100000</v>
      </c>
      <c r="J772" s="29" t="n">
        <v>75000</v>
      </c>
      <c r="K772" s="28" t="n">
        <v>6</v>
      </c>
      <c r="L772" s="28" t="n">
        <v>120</v>
      </c>
      <c r="M772" s="28" t="n">
        <v>2</v>
      </c>
    </row>
    <row r="773" customFormat="false" ht="15" hidden="false" customHeight="false" outlineLevel="0" collapsed="false">
      <c r="A773" s="27" t="n">
        <v>44284</v>
      </c>
      <c r="B773" s="28" t="n">
        <v>2021</v>
      </c>
      <c r="C773" s="28" t="s">
        <v>384</v>
      </c>
      <c r="D773" s="28" t="s">
        <v>51</v>
      </c>
      <c r="E773" s="28" t="s">
        <v>531</v>
      </c>
      <c r="F773" s="28" t="s">
        <v>142</v>
      </c>
      <c r="G773" s="28" t="s">
        <v>148</v>
      </c>
      <c r="H773" s="28" t="s">
        <v>179</v>
      </c>
      <c r="I773" s="29" t="n">
        <v>100000</v>
      </c>
      <c r="J773" s="29" t="n">
        <v>90000</v>
      </c>
      <c r="K773" s="28" t="n">
        <v>6</v>
      </c>
      <c r="L773" s="28" t="n">
        <v>89</v>
      </c>
      <c r="M773" s="28" t="n">
        <v>0</v>
      </c>
    </row>
    <row r="774" customFormat="false" ht="15" hidden="false" customHeight="false" outlineLevel="0" collapsed="false">
      <c r="A774" s="27" t="n">
        <v>44285</v>
      </c>
      <c r="B774" s="28" t="n">
        <v>2021</v>
      </c>
      <c r="C774" s="28" t="s">
        <v>213</v>
      </c>
      <c r="D774" s="28" t="s">
        <v>45</v>
      </c>
      <c r="E774" s="28" t="s">
        <v>253</v>
      </c>
      <c r="F774" s="28" t="s">
        <v>142</v>
      </c>
      <c r="G774" s="28" t="s">
        <v>143</v>
      </c>
      <c r="H774" s="28" t="s">
        <v>287</v>
      </c>
      <c r="I774" s="29" t="n">
        <v>150000</v>
      </c>
      <c r="J774" s="29" t="n">
        <v>135000</v>
      </c>
      <c r="K774" s="28" t="n">
        <v>6</v>
      </c>
      <c r="L774" s="28" t="n">
        <v>120</v>
      </c>
      <c r="M774" s="28" t="n">
        <v>5</v>
      </c>
    </row>
    <row r="775" customFormat="false" ht="15" hidden="false" customHeight="false" outlineLevel="0" collapsed="false">
      <c r="A775" s="27" t="n">
        <v>44285</v>
      </c>
      <c r="B775" s="28" t="n">
        <v>2021</v>
      </c>
      <c r="C775" s="28" t="s">
        <v>172</v>
      </c>
      <c r="D775" s="28" t="s">
        <v>48</v>
      </c>
      <c r="E775" s="28" t="s">
        <v>346</v>
      </c>
      <c r="F775" s="28" t="s">
        <v>147</v>
      </c>
      <c r="G775" s="28" t="s">
        <v>148</v>
      </c>
      <c r="H775" s="28" t="s">
        <v>278</v>
      </c>
      <c r="I775" s="29" t="n">
        <v>851000</v>
      </c>
      <c r="J775" s="29" t="n">
        <v>425500</v>
      </c>
      <c r="K775" s="28" t="n">
        <v>1.25</v>
      </c>
      <c r="L775" s="28" t="n">
        <v>120</v>
      </c>
      <c r="M775" s="28" t="n">
        <v>141</v>
      </c>
    </row>
    <row r="776" customFormat="false" ht="15" hidden="false" customHeight="false" outlineLevel="0" collapsed="false">
      <c r="A776" s="27" t="n">
        <v>44285</v>
      </c>
      <c r="B776" s="28" t="n">
        <v>2021</v>
      </c>
      <c r="C776" s="28" t="s">
        <v>172</v>
      </c>
      <c r="D776" s="28" t="s">
        <v>56</v>
      </c>
      <c r="E776" s="28" t="s">
        <v>471</v>
      </c>
      <c r="F776" s="28" t="s">
        <v>147</v>
      </c>
      <c r="G776" s="28" t="s">
        <v>148</v>
      </c>
      <c r="H776" s="28" t="s">
        <v>159</v>
      </c>
      <c r="I776" s="29" t="n">
        <v>25000</v>
      </c>
      <c r="J776" s="29" t="n">
        <v>18750</v>
      </c>
      <c r="K776" s="28" t="n">
        <v>9.75</v>
      </c>
      <c r="L776" s="28" t="n">
        <v>120</v>
      </c>
      <c r="M776" s="28" t="n">
        <v>0</v>
      </c>
    </row>
    <row r="777" customFormat="false" ht="15" hidden="false" customHeight="false" outlineLevel="0" collapsed="false">
      <c r="A777" s="27" t="n">
        <v>44285</v>
      </c>
      <c r="B777" s="28" t="n">
        <v>2021</v>
      </c>
      <c r="C777" s="28" t="s">
        <v>169</v>
      </c>
      <c r="D777" s="28" t="s">
        <v>49</v>
      </c>
      <c r="E777" s="28" t="s">
        <v>600</v>
      </c>
      <c r="F777" s="28" t="s">
        <v>142</v>
      </c>
      <c r="G777" s="28" t="s">
        <v>148</v>
      </c>
      <c r="H777" s="28" t="s">
        <v>287</v>
      </c>
      <c r="I777" s="29" t="n">
        <v>150000</v>
      </c>
      <c r="J777" s="29" t="n">
        <v>135000</v>
      </c>
      <c r="K777" s="28" t="n">
        <v>6</v>
      </c>
      <c r="L777" s="28" t="n">
        <v>120</v>
      </c>
      <c r="M777" s="28" t="n">
        <v>5</v>
      </c>
    </row>
    <row r="778" customFormat="false" ht="15" hidden="false" customHeight="false" outlineLevel="0" collapsed="false">
      <c r="A778" s="27" t="n">
        <v>44286</v>
      </c>
      <c r="B778" s="28" t="n">
        <v>2021</v>
      </c>
      <c r="C778" s="28" t="s">
        <v>163</v>
      </c>
      <c r="D778" s="28" t="s">
        <v>46</v>
      </c>
      <c r="E778" s="28" t="s">
        <v>259</v>
      </c>
      <c r="F778" s="28" t="s">
        <v>147</v>
      </c>
      <c r="G778" s="28" t="s">
        <v>441</v>
      </c>
      <c r="H778" s="28" t="s">
        <v>168</v>
      </c>
      <c r="I778" s="29" t="n">
        <v>5000</v>
      </c>
      <c r="J778" s="29" t="n">
        <v>3750</v>
      </c>
      <c r="K778" s="28" t="n">
        <v>8.75</v>
      </c>
      <c r="L778" s="28" t="n">
        <v>120</v>
      </c>
      <c r="M778" s="28" t="n">
        <v>0</v>
      </c>
    </row>
    <row r="779" customFormat="false" ht="15" hidden="false" customHeight="false" outlineLevel="0" collapsed="false">
      <c r="A779" s="27" t="n">
        <v>44287</v>
      </c>
      <c r="B779" s="28" t="n">
        <v>2021</v>
      </c>
      <c r="C779" s="28" t="s">
        <v>196</v>
      </c>
      <c r="D779" s="28" t="s">
        <v>45</v>
      </c>
      <c r="E779" s="28" t="s">
        <v>601</v>
      </c>
      <c r="F779" s="28" t="s">
        <v>142</v>
      </c>
      <c r="G779" s="28" t="s">
        <v>148</v>
      </c>
      <c r="H779" s="28" t="s">
        <v>149</v>
      </c>
      <c r="I779" s="29" t="n">
        <v>190000</v>
      </c>
      <c r="J779" s="29" t="n">
        <v>171000</v>
      </c>
      <c r="K779" s="28" t="n">
        <v>5</v>
      </c>
      <c r="L779" s="28" t="n">
        <v>120</v>
      </c>
      <c r="M779" s="28" t="n">
        <v>8</v>
      </c>
    </row>
    <row r="780" customFormat="false" ht="15" hidden="false" customHeight="false" outlineLevel="0" collapsed="false">
      <c r="A780" s="27" t="n">
        <v>44287</v>
      </c>
      <c r="B780" s="28" t="n">
        <v>2021</v>
      </c>
      <c r="C780" s="28" t="s">
        <v>172</v>
      </c>
      <c r="D780" s="28" t="s">
        <v>46</v>
      </c>
      <c r="E780" s="28" t="s">
        <v>276</v>
      </c>
      <c r="F780" s="28" t="s">
        <v>147</v>
      </c>
      <c r="G780" s="28" t="s">
        <v>148</v>
      </c>
      <c r="H780" s="28" t="s">
        <v>159</v>
      </c>
      <c r="I780" s="29" t="n">
        <v>57500</v>
      </c>
      <c r="J780" s="29" t="n">
        <v>43125</v>
      </c>
      <c r="K780" s="28" t="n">
        <v>6.25</v>
      </c>
      <c r="L780" s="28" t="n">
        <v>60</v>
      </c>
      <c r="M780" s="28" t="n">
        <v>0</v>
      </c>
    </row>
    <row r="781" customFormat="false" ht="15" hidden="false" customHeight="false" outlineLevel="0" collapsed="false">
      <c r="A781" s="27" t="n">
        <v>44288</v>
      </c>
      <c r="B781" s="28" t="n">
        <v>2021</v>
      </c>
      <c r="C781" s="28" t="s">
        <v>166</v>
      </c>
      <c r="D781" s="28" t="s">
        <v>46</v>
      </c>
      <c r="E781" s="28" t="s">
        <v>262</v>
      </c>
      <c r="F781" s="28" t="s">
        <v>142</v>
      </c>
      <c r="G781" s="28" t="s">
        <v>143</v>
      </c>
      <c r="H781" s="28" t="s">
        <v>215</v>
      </c>
      <c r="I781" s="29" t="n">
        <v>1450000</v>
      </c>
      <c r="J781" s="29" t="n">
        <v>1305000</v>
      </c>
      <c r="K781" s="28" t="n">
        <v>4.5</v>
      </c>
      <c r="L781" s="28" t="n">
        <v>240</v>
      </c>
      <c r="M781" s="28" t="n">
        <v>4</v>
      </c>
    </row>
    <row r="782" customFormat="false" ht="15" hidden="false" customHeight="false" outlineLevel="0" collapsed="false">
      <c r="A782" s="27" t="n">
        <v>44288</v>
      </c>
      <c r="B782" s="28" t="n">
        <v>2021</v>
      </c>
      <c r="C782" s="28" t="s">
        <v>145</v>
      </c>
      <c r="D782" s="28" t="s">
        <v>48</v>
      </c>
      <c r="E782" s="28" t="s">
        <v>602</v>
      </c>
      <c r="F782" s="28" t="s">
        <v>147</v>
      </c>
      <c r="G782" s="28" t="s">
        <v>441</v>
      </c>
      <c r="H782" s="28" t="s">
        <v>159</v>
      </c>
      <c r="I782" s="29" t="n">
        <v>25000</v>
      </c>
      <c r="J782" s="29" t="n">
        <v>18750</v>
      </c>
      <c r="K782" s="28" t="n">
        <v>9.75</v>
      </c>
      <c r="L782" s="28" t="n">
        <v>120</v>
      </c>
      <c r="M782" s="28" t="n">
        <v>2</v>
      </c>
    </row>
    <row r="783" customFormat="false" ht="15" hidden="false" customHeight="false" outlineLevel="0" collapsed="false">
      <c r="A783" s="27" t="n">
        <v>44288</v>
      </c>
      <c r="B783" s="28" t="n">
        <v>2021</v>
      </c>
      <c r="C783" s="28" t="s">
        <v>257</v>
      </c>
      <c r="D783" s="28" t="s">
        <v>47</v>
      </c>
      <c r="E783" s="28" t="s">
        <v>151</v>
      </c>
      <c r="F783" s="28" t="s">
        <v>142</v>
      </c>
      <c r="G783" s="28" t="s">
        <v>152</v>
      </c>
      <c r="H783" s="28" t="s">
        <v>374</v>
      </c>
      <c r="I783" s="29" t="n">
        <v>130000</v>
      </c>
      <c r="J783" s="29" t="n">
        <v>117000</v>
      </c>
      <c r="K783" s="28" t="n">
        <v>5.5</v>
      </c>
      <c r="L783" s="28" t="n">
        <v>85</v>
      </c>
      <c r="M783" s="28" t="n">
        <v>2</v>
      </c>
    </row>
    <row r="784" customFormat="false" ht="15" hidden="false" customHeight="false" outlineLevel="0" collapsed="false">
      <c r="A784" s="27" t="n">
        <v>44291</v>
      </c>
      <c r="B784" s="28" t="n">
        <v>2021</v>
      </c>
      <c r="C784" s="28" t="s">
        <v>172</v>
      </c>
      <c r="D784" s="28" t="s">
        <v>48</v>
      </c>
      <c r="E784" s="28" t="s">
        <v>362</v>
      </c>
      <c r="F784" s="28" t="s">
        <v>194</v>
      </c>
      <c r="G784" s="28" t="s">
        <v>441</v>
      </c>
      <c r="H784" s="28" t="s">
        <v>278</v>
      </c>
      <c r="I784" s="29" t="n">
        <v>507000</v>
      </c>
      <c r="J784" s="29" t="n">
        <v>456300</v>
      </c>
      <c r="K784" s="28" t="n">
        <v>6</v>
      </c>
      <c r="L784" s="28" t="n">
        <v>120</v>
      </c>
      <c r="M784" s="28" t="n">
        <v>10</v>
      </c>
    </row>
    <row r="785" customFormat="false" ht="15" hidden="false" customHeight="false" outlineLevel="0" collapsed="false">
      <c r="A785" s="27" t="n">
        <v>44292</v>
      </c>
      <c r="B785" s="28" t="n">
        <v>2021</v>
      </c>
      <c r="C785" s="28" t="s">
        <v>140</v>
      </c>
      <c r="D785" s="28" t="s">
        <v>44</v>
      </c>
      <c r="E785" s="28" t="s">
        <v>348</v>
      </c>
      <c r="F785" s="28" t="s">
        <v>147</v>
      </c>
      <c r="G785" s="28" t="s">
        <v>441</v>
      </c>
      <c r="H785" s="28" t="s">
        <v>168</v>
      </c>
      <c r="I785" s="29" t="n">
        <v>10000</v>
      </c>
      <c r="J785" s="29" t="n">
        <v>7500</v>
      </c>
      <c r="K785" s="28" t="n">
        <v>7.75</v>
      </c>
      <c r="L785" s="28" t="n">
        <v>120</v>
      </c>
      <c r="M785" s="28" t="n">
        <v>0</v>
      </c>
    </row>
    <row r="786" customFormat="false" ht="15" hidden="false" customHeight="false" outlineLevel="0" collapsed="false">
      <c r="A786" s="27" t="n">
        <v>44292</v>
      </c>
      <c r="B786" s="28" t="n">
        <v>2021</v>
      </c>
      <c r="C786" s="28" t="s">
        <v>203</v>
      </c>
      <c r="D786" s="28" t="s">
        <v>42</v>
      </c>
      <c r="E786" s="28" t="s">
        <v>247</v>
      </c>
      <c r="F786" s="28" t="s">
        <v>142</v>
      </c>
      <c r="G786" s="28" t="s">
        <v>148</v>
      </c>
      <c r="H786" s="28" t="s">
        <v>326</v>
      </c>
      <c r="I786" s="29" t="n">
        <v>2100000</v>
      </c>
      <c r="J786" s="29" t="n">
        <v>1890000</v>
      </c>
      <c r="K786" s="28" t="n">
        <v>5.25</v>
      </c>
      <c r="L786" s="28" t="n">
        <v>300</v>
      </c>
      <c r="M786" s="28" t="n">
        <v>3</v>
      </c>
    </row>
    <row r="787" customFormat="false" ht="15" hidden="false" customHeight="false" outlineLevel="0" collapsed="false">
      <c r="A787" s="27" t="n">
        <v>44293</v>
      </c>
      <c r="B787" s="28" t="n">
        <v>2021</v>
      </c>
      <c r="C787" s="28" t="s">
        <v>172</v>
      </c>
      <c r="D787" s="28" t="s">
        <v>46</v>
      </c>
      <c r="E787" s="28" t="s">
        <v>315</v>
      </c>
      <c r="F787" s="28" t="s">
        <v>142</v>
      </c>
      <c r="G787" s="28" t="s">
        <v>143</v>
      </c>
      <c r="H787" s="28" t="s">
        <v>287</v>
      </c>
      <c r="I787" s="29" t="n">
        <v>100000</v>
      </c>
      <c r="J787" s="29" t="n">
        <v>90000</v>
      </c>
      <c r="K787" s="28" t="n">
        <v>6</v>
      </c>
      <c r="L787" s="28" t="n">
        <v>120</v>
      </c>
      <c r="M787" s="28" t="n">
        <v>21</v>
      </c>
    </row>
    <row r="788" customFormat="false" ht="15" hidden="false" customHeight="false" outlineLevel="0" collapsed="false">
      <c r="A788" s="27" t="n">
        <v>44293</v>
      </c>
      <c r="B788" s="28" t="n">
        <v>2021</v>
      </c>
      <c r="C788" s="28" t="s">
        <v>540</v>
      </c>
      <c r="D788" s="28" t="s">
        <v>46</v>
      </c>
      <c r="E788" s="28" t="s">
        <v>386</v>
      </c>
      <c r="F788" s="28" t="s">
        <v>147</v>
      </c>
      <c r="G788" s="28" t="s">
        <v>143</v>
      </c>
      <c r="H788" s="28" t="s">
        <v>351</v>
      </c>
      <c r="I788" s="29" t="n">
        <v>370000</v>
      </c>
      <c r="J788" s="29" t="n">
        <v>185000</v>
      </c>
      <c r="K788" s="28" t="n">
        <v>4.5</v>
      </c>
      <c r="L788" s="28" t="n">
        <v>240</v>
      </c>
      <c r="M788" s="28" t="n">
        <v>1</v>
      </c>
    </row>
    <row r="789" customFormat="false" ht="15" hidden="false" customHeight="false" outlineLevel="0" collapsed="false">
      <c r="A789" s="27" t="n">
        <v>44294</v>
      </c>
      <c r="B789" s="28" t="n">
        <v>2021</v>
      </c>
      <c r="C789" s="28" t="s">
        <v>163</v>
      </c>
      <c r="D789" s="28" t="s">
        <v>53</v>
      </c>
      <c r="E789" s="28" t="s">
        <v>589</v>
      </c>
      <c r="F789" s="28" t="s">
        <v>147</v>
      </c>
      <c r="G789" s="28" t="s">
        <v>148</v>
      </c>
      <c r="H789" s="28" t="s">
        <v>162</v>
      </c>
      <c r="I789" s="29" t="n">
        <v>111900</v>
      </c>
      <c r="J789" s="29" t="n">
        <v>83925</v>
      </c>
      <c r="K789" s="28" t="n">
        <v>3.5</v>
      </c>
      <c r="L789" s="28" t="n">
        <v>84</v>
      </c>
      <c r="M789" s="28" t="n">
        <v>1</v>
      </c>
    </row>
    <row r="790" customFormat="false" ht="15" hidden="false" customHeight="false" outlineLevel="0" collapsed="false">
      <c r="A790" s="27" t="n">
        <v>44295</v>
      </c>
      <c r="B790" s="28" t="n">
        <v>2021</v>
      </c>
      <c r="C790" s="28" t="s">
        <v>172</v>
      </c>
      <c r="D790" s="28" t="s">
        <v>53</v>
      </c>
      <c r="E790" s="28" t="s">
        <v>437</v>
      </c>
      <c r="F790" s="28" t="s">
        <v>147</v>
      </c>
      <c r="G790" s="28" t="s">
        <v>148</v>
      </c>
      <c r="H790" s="28" t="s">
        <v>205</v>
      </c>
      <c r="I790" s="29" t="n">
        <v>10000</v>
      </c>
      <c r="J790" s="29" t="n">
        <v>7500</v>
      </c>
      <c r="K790" s="28" t="n">
        <v>8.46</v>
      </c>
      <c r="L790" s="28" t="n">
        <v>120</v>
      </c>
      <c r="M790" s="28" t="n">
        <v>4</v>
      </c>
    </row>
    <row r="791" customFormat="false" ht="15" hidden="false" customHeight="false" outlineLevel="0" collapsed="false">
      <c r="A791" s="27" t="n">
        <v>44295</v>
      </c>
      <c r="B791" s="28" t="n">
        <v>2021</v>
      </c>
      <c r="C791" s="28" t="s">
        <v>203</v>
      </c>
      <c r="D791" s="28" t="s">
        <v>43</v>
      </c>
      <c r="E791" s="28" t="s">
        <v>189</v>
      </c>
      <c r="F791" s="28" t="s">
        <v>147</v>
      </c>
      <c r="G791" s="28" t="s">
        <v>148</v>
      </c>
      <c r="H791" s="28" t="s">
        <v>281</v>
      </c>
      <c r="I791" s="29" t="n">
        <v>563200</v>
      </c>
      <c r="J791" s="29" t="n">
        <v>281600</v>
      </c>
      <c r="K791" s="28" t="n">
        <v>5</v>
      </c>
      <c r="L791" s="28" t="n">
        <v>300</v>
      </c>
      <c r="M791" s="28" t="n">
        <v>4</v>
      </c>
    </row>
    <row r="792" customFormat="false" ht="15" hidden="false" customHeight="false" outlineLevel="0" collapsed="false">
      <c r="A792" s="27" t="n">
        <v>44298</v>
      </c>
      <c r="B792" s="28" t="n">
        <v>2021</v>
      </c>
      <c r="C792" s="28" t="s">
        <v>203</v>
      </c>
      <c r="D792" s="28" t="s">
        <v>42</v>
      </c>
      <c r="E792" s="28" t="s">
        <v>164</v>
      </c>
      <c r="F792" s="28" t="s">
        <v>147</v>
      </c>
      <c r="G792" s="28" t="s">
        <v>148</v>
      </c>
      <c r="H792" s="28" t="s">
        <v>372</v>
      </c>
      <c r="I792" s="29" t="n">
        <v>423000</v>
      </c>
      <c r="J792" s="29" t="n">
        <v>211500</v>
      </c>
      <c r="K792" s="28" t="n">
        <v>5</v>
      </c>
      <c r="L792" s="28" t="n">
        <v>72</v>
      </c>
      <c r="M792" s="28" t="n">
        <v>81</v>
      </c>
    </row>
    <row r="793" customFormat="false" ht="15" hidden="false" customHeight="false" outlineLevel="0" collapsed="false">
      <c r="A793" s="27" t="n">
        <v>44298</v>
      </c>
      <c r="B793" s="28" t="n">
        <v>2021</v>
      </c>
      <c r="C793" s="28" t="s">
        <v>172</v>
      </c>
      <c r="D793" s="28" t="s">
        <v>46</v>
      </c>
      <c r="E793" s="28" t="s">
        <v>262</v>
      </c>
      <c r="F793" s="28" t="s">
        <v>147</v>
      </c>
      <c r="G793" s="28" t="s">
        <v>441</v>
      </c>
      <c r="H793" s="28" t="s">
        <v>159</v>
      </c>
      <c r="I793" s="29" t="n">
        <v>50000</v>
      </c>
      <c r="J793" s="29" t="n">
        <v>37500</v>
      </c>
      <c r="K793" s="28" t="n">
        <v>7.75</v>
      </c>
      <c r="L793" s="28" t="n">
        <v>109</v>
      </c>
      <c r="M793" s="28" t="n">
        <v>5</v>
      </c>
    </row>
    <row r="794" customFormat="false" ht="15" hidden="false" customHeight="false" outlineLevel="0" collapsed="false">
      <c r="A794" s="27" t="n">
        <v>44298</v>
      </c>
      <c r="B794" s="28" t="n">
        <v>2021</v>
      </c>
      <c r="C794" s="28" t="s">
        <v>172</v>
      </c>
      <c r="D794" s="28" t="s">
        <v>46</v>
      </c>
      <c r="E794" s="28" t="s">
        <v>262</v>
      </c>
      <c r="F794" s="28" t="s">
        <v>147</v>
      </c>
      <c r="G794" s="28" t="s">
        <v>441</v>
      </c>
      <c r="H794" s="28" t="s">
        <v>159</v>
      </c>
      <c r="I794" s="29" t="n">
        <v>50000</v>
      </c>
      <c r="J794" s="29" t="n">
        <v>37500</v>
      </c>
      <c r="K794" s="28" t="n">
        <v>6.25</v>
      </c>
      <c r="L794" s="28" t="n">
        <v>60</v>
      </c>
      <c r="M794" s="28" t="n">
        <v>5</v>
      </c>
    </row>
    <row r="795" customFormat="false" ht="15" hidden="false" customHeight="false" outlineLevel="0" collapsed="false">
      <c r="A795" s="27" t="n">
        <v>44298</v>
      </c>
      <c r="B795" s="28" t="n">
        <v>2021</v>
      </c>
      <c r="C795" s="28" t="s">
        <v>603</v>
      </c>
      <c r="D795" s="28" t="s">
        <v>44</v>
      </c>
      <c r="E795" s="28" t="s">
        <v>297</v>
      </c>
      <c r="F795" s="28" t="s">
        <v>142</v>
      </c>
      <c r="G795" s="28" t="s">
        <v>143</v>
      </c>
      <c r="H795" s="28" t="s">
        <v>494</v>
      </c>
      <c r="I795" s="29" t="n">
        <v>475000</v>
      </c>
      <c r="J795" s="29" t="n">
        <v>427500</v>
      </c>
      <c r="K795" s="28" t="n">
        <v>6</v>
      </c>
      <c r="L795" s="28" t="n">
        <v>123</v>
      </c>
      <c r="M795" s="28" t="n">
        <v>14</v>
      </c>
    </row>
    <row r="796" customFormat="false" ht="15" hidden="false" customHeight="false" outlineLevel="0" collapsed="false">
      <c r="A796" s="27" t="n">
        <v>44298</v>
      </c>
      <c r="B796" s="28" t="n">
        <v>2021</v>
      </c>
      <c r="C796" s="28" t="s">
        <v>172</v>
      </c>
      <c r="D796" s="28" t="s">
        <v>52</v>
      </c>
      <c r="E796" s="28" t="s">
        <v>604</v>
      </c>
      <c r="F796" s="28" t="s">
        <v>194</v>
      </c>
      <c r="G796" s="28" t="s">
        <v>441</v>
      </c>
      <c r="H796" s="28" t="s">
        <v>605</v>
      </c>
      <c r="I796" s="29" t="n">
        <v>250000</v>
      </c>
      <c r="J796" s="29" t="n">
        <v>225000</v>
      </c>
      <c r="K796" s="28" t="n">
        <v>4.75</v>
      </c>
      <c r="L796" s="28" t="n">
        <v>84</v>
      </c>
      <c r="M796" s="28" t="n">
        <v>4</v>
      </c>
    </row>
    <row r="797" customFormat="false" ht="15" hidden="false" customHeight="false" outlineLevel="0" collapsed="false">
      <c r="A797" s="27" t="n">
        <v>44300</v>
      </c>
      <c r="B797" s="28" t="n">
        <v>2021</v>
      </c>
      <c r="C797" s="28" t="s">
        <v>169</v>
      </c>
      <c r="D797" s="28" t="s">
        <v>56</v>
      </c>
      <c r="E797" s="28" t="s">
        <v>296</v>
      </c>
      <c r="F797" s="28" t="s">
        <v>142</v>
      </c>
      <c r="G797" s="28" t="s">
        <v>143</v>
      </c>
      <c r="H797" s="28" t="s">
        <v>179</v>
      </c>
      <c r="I797" s="29" t="n">
        <v>20000</v>
      </c>
      <c r="J797" s="29" t="n">
        <v>18000</v>
      </c>
      <c r="K797" s="28" t="n">
        <v>6</v>
      </c>
      <c r="L797" s="28" t="n">
        <v>84</v>
      </c>
      <c r="M797" s="28" t="n">
        <v>5</v>
      </c>
    </row>
    <row r="798" customFormat="false" ht="15" hidden="false" customHeight="false" outlineLevel="0" collapsed="false">
      <c r="A798" s="27" t="n">
        <v>44300</v>
      </c>
      <c r="B798" s="28" t="n">
        <v>2021</v>
      </c>
      <c r="C798" s="28" t="s">
        <v>169</v>
      </c>
      <c r="D798" s="28" t="s">
        <v>54</v>
      </c>
      <c r="E798" s="28" t="s">
        <v>236</v>
      </c>
      <c r="F798" s="28" t="s">
        <v>142</v>
      </c>
      <c r="G798" s="28" t="s">
        <v>148</v>
      </c>
      <c r="H798" s="28" t="s">
        <v>501</v>
      </c>
      <c r="I798" s="29" t="n">
        <v>665000</v>
      </c>
      <c r="J798" s="29" t="n">
        <v>598500</v>
      </c>
      <c r="K798" s="28" t="n">
        <v>6</v>
      </c>
      <c r="L798" s="28" t="n">
        <v>121</v>
      </c>
      <c r="M798" s="28" t="n">
        <v>10</v>
      </c>
    </row>
    <row r="799" customFormat="false" ht="15" hidden="false" customHeight="false" outlineLevel="0" collapsed="false">
      <c r="A799" s="27" t="n">
        <v>44300</v>
      </c>
      <c r="B799" s="28" t="n">
        <v>2021</v>
      </c>
      <c r="C799" s="28" t="s">
        <v>213</v>
      </c>
      <c r="D799" s="28" t="s">
        <v>48</v>
      </c>
      <c r="E799" s="28" t="s">
        <v>566</v>
      </c>
      <c r="F799" s="28" t="s">
        <v>147</v>
      </c>
      <c r="G799" s="28" t="s">
        <v>441</v>
      </c>
      <c r="H799" s="28" t="s">
        <v>168</v>
      </c>
      <c r="I799" s="29" t="n">
        <v>12500</v>
      </c>
      <c r="J799" s="29" t="n">
        <v>9375</v>
      </c>
      <c r="K799" s="28" t="n">
        <v>7.75</v>
      </c>
      <c r="L799" s="28" t="n">
        <v>120</v>
      </c>
      <c r="M799" s="28" t="n">
        <v>0</v>
      </c>
    </row>
    <row r="800" customFormat="false" ht="15" hidden="false" customHeight="false" outlineLevel="0" collapsed="false">
      <c r="A800" s="27" t="n">
        <v>44300</v>
      </c>
      <c r="B800" s="28" t="n">
        <v>2021</v>
      </c>
      <c r="C800" s="28" t="s">
        <v>163</v>
      </c>
      <c r="D800" s="28" t="s">
        <v>46</v>
      </c>
      <c r="E800" s="28" t="s">
        <v>259</v>
      </c>
      <c r="F800" s="28" t="s">
        <v>142</v>
      </c>
      <c r="G800" s="28" t="s">
        <v>441</v>
      </c>
      <c r="H800" s="28" t="s">
        <v>281</v>
      </c>
      <c r="I800" s="29" t="n">
        <v>987000</v>
      </c>
      <c r="J800" s="29" t="n">
        <v>888300</v>
      </c>
      <c r="K800" s="28" t="n">
        <v>5.25</v>
      </c>
      <c r="L800" s="28" t="n">
        <v>308</v>
      </c>
      <c r="M800" s="28" t="n">
        <v>5</v>
      </c>
    </row>
    <row r="801" customFormat="false" ht="15" hidden="false" customHeight="false" outlineLevel="0" collapsed="false">
      <c r="A801" s="27" t="n">
        <v>44300</v>
      </c>
      <c r="B801" s="28" t="n">
        <v>2021</v>
      </c>
      <c r="C801" s="28" t="s">
        <v>166</v>
      </c>
      <c r="D801" s="28" t="s">
        <v>48</v>
      </c>
      <c r="E801" s="28" t="s">
        <v>210</v>
      </c>
      <c r="F801" s="28" t="s">
        <v>194</v>
      </c>
      <c r="G801" s="28" t="s">
        <v>143</v>
      </c>
      <c r="H801" s="28" t="s">
        <v>320</v>
      </c>
      <c r="I801" s="29" t="n">
        <v>150000</v>
      </c>
      <c r="J801" s="29" t="n">
        <v>135000</v>
      </c>
      <c r="K801" s="28" t="n">
        <v>5.25</v>
      </c>
      <c r="L801" s="28" t="n">
        <v>84</v>
      </c>
      <c r="M801" s="28" t="n">
        <v>11</v>
      </c>
    </row>
    <row r="802" customFormat="false" ht="15" hidden="false" customHeight="false" outlineLevel="0" collapsed="false">
      <c r="A802" s="27" t="n">
        <v>44301</v>
      </c>
      <c r="B802" s="28" t="n">
        <v>2021</v>
      </c>
      <c r="C802" s="28" t="s">
        <v>150</v>
      </c>
      <c r="D802" s="28" t="s">
        <v>52</v>
      </c>
      <c r="E802" s="28" t="s">
        <v>258</v>
      </c>
      <c r="F802" s="28" t="s">
        <v>147</v>
      </c>
      <c r="G802" s="28" t="s">
        <v>441</v>
      </c>
      <c r="H802" s="28" t="s">
        <v>449</v>
      </c>
      <c r="I802" s="29" t="n">
        <v>240000</v>
      </c>
      <c r="J802" s="29" t="n">
        <v>180000</v>
      </c>
      <c r="K802" s="28" t="n">
        <v>4.25</v>
      </c>
      <c r="L802" s="28" t="n">
        <v>84</v>
      </c>
      <c r="M802" s="28" t="n">
        <v>9</v>
      </c>
    </row>
    <row r="803" customFormat="false" ht="15" hidden="false" customHeight="false" outlineLevel="0" collapsed="false">
      <c r="A803" s="27" t="n">
        <v>44301</v>
      </c>
      <c r="B803" s="28" t="n">
        <v>2021</v>
      </c>
      <c r="C803" s="28" t="s">
        <v>169</v>
      </c>
      <c r="D803" s="28" t="s">
        <v>43</v>
      </c>
      <c r="E803" s="28" t="s">
        <v>317</v>
      </c>
      <c r="F803" s="28" t="s">
        <v>147</v>
      </c>
      <c r="G803" s="28" t="s">
        <v>441</v>
      </c>
      <c r="H803" s="28" t="s">
        <v>168</v>
      </c>
      <c r="I803" s="29" t="n">
        <v>10000</v>
      </c>
      <c r="J803" s="29" t="n">
        <v>7500</v>
      </c>
      <c r="K803" s="28" t="n">
        <v>8.25</v>
      </c>
      <c r="L803" s="28" t="n">
        <v>120</v>
      </c>
      <c r="M803" s="28" t="n">
        <v>0</v>
      </c>
    </row>
    <row r="804" customFormat="false" ht="15" hidden="false" customHeight="false" outlineLevel="0" collapsed="false">
      <c r="A804" s="27" t="n">
        <v>44302</v>
      </c>
      <c r="B804" s="28" t="n">
        <v>2021</v>
      </c>
      <c r="C804" s="28" t="s">
        <v>166</v>
      </c>
      <c r="D804" s="28" t="s">
        <v>48</v>
      </c>
      <c r="E804" s="28" t="s">
        <v>210</v>
      </c>
      <c r="F804" s="28" t="s">
        <v>142</v>
      </c>
      <c r="G804" s="28" t="s">
        <v>148</v>
      </c>
      <c r="H804" s="28" t="s">
        <v>275</v>
      </c>
      <c r="I804" s="29" t="n">
        <v>175000</v>
      </c>
      <c r="J804" s="29" t="n">
        <v>157500</v>
      </c>
      <c r="K804" s="28" t="n">
        <v>6</v>
      </c>
      <c r="L804" s="28" t="n">
        <v>69</v>
      </c>
      <c r="M804" s="28" t="n">
        <v>1</v>
      </c>
    </row>
    <row r="805" customFormat="false" ht="15" hidden="false" customHeight="false" outlineLevel="0" collapsed="false">
      <c r="A805" s="27" t="n">
        <v>44302</v>
      </c>
      <c r="B805" s="28" t="n">
        <v>2021</v>
      </c>
      <c r="C805" s="28" t="s">
        <v>203</v>
      </c>
      <c r="D805" s="28" t="s">
        <v>42</v>
      </c>
      <c r="E805" s="28" t="s">
        <v>247</v>
      </c>
      <c r="F805" s="28" t="s">
        <v>142</v>
      </c>
      <c r="G805" s="28" t="s">
        <v>148</v>
      </c>
      <c r="H805" s="28" t="s">
        <v>326</v>
      </c>
      <c r="I805" s="29" t="n">
        <v>1370000</v>
      </c>
      <c r="J805" s="29" t="n">
        <v>1027500</v>
      </c>
      <c r="K805" s="28" t="n">
        <v>5.5</v>
      </c>
      <c r="L805" s="28" t="n">
        <v>300</v>
      </c>
      <c r="M805" s="28" t="n">
        <v>11</v>
      </c>
    </row>
    <row r="806" customFormat="false" ht="15" hidden="false" customHeight="false" outlineLevel="0" collapsed="false">
      <c r="A806" s="27" t="n">
        <v>44306</v>
      </c>
      <c r="B806" s="28" t="n">
        <v>2021</v>
      </c>
      <c r="C806" s="28" t="s">
        <v>166</v>
      </c>
      <c r="D806" s="28" t="s">
        <v>43</v>
      </c>
      <c r="E806" s="28" t="s">
        <v>606</v>
      </c>
      <c r="F806" s="28" t="s">
        <v>147</v>
      </c>
      <c r="G806" s="28" t="s">
        <v>148</v>
      </c>
      <c r="H806" s="28" t="s">
        <v>159</v>
      </c>
      <c r="I806" s="29" t="n">
        <v>50000</v>
      </c>
      <c r="J806" s="29" t="n">
        <v>37500</v>
      </c>
      <c r="K806" s="28" t="n">
        <v>7.75</v>
      </c>
      <c r="L806" s="28" t="n">
        <v>112</v>
      </c>
      <c r="M806" s="28" t="n">
        <v>4</v>
      </c>
    </row>
    <row r="807" customFormat="false" ht="15" hidden="false" customHeight="false" outlineLevel="0" collapsed="false">
      <c r="A807" s="27" t="n">
        <v>44306</v>
      </c>
      <c r="B807" s="28" t="n">
        <v>2021</v>
      </c>
      <c r="C807" s="28" t="s">
        <v>607</v>
      </c>
      <c r="D807" s="28" t="s">
        <v>42</v>
      </c>
      <c r="E807" s="28" t="s">
        <v>247</v>
      </c>
      <c r="F807" s="28" t="s">
        <v>194</v>
      </c>
      <c r="G807" s="28" t="s">
        <v>148</v>
      </c>
      <c r="H807" s="28" t="s">
        <v>572</v>
      </c>
      <c r="I807" s="29" t="n">
        <v>1266000</v>
      </c>
      <c r="J807" s="29" t="n">
        <v>1139400</v>
      </c>
      <c r="K807" s="28" t="n">
        <v>5.5</v>
      </c>
      <c r="L807" s="28" t="n">
        <v>300</v>
      </c>
      <c r="M807" s="28" t="n">
        <v>4</v>
      </c>
    </row>
    <row r="808" customFormat="false" ht="15" hidden="false" customHeight="false" outlineLevel="0" collapsed="false">
      <c r="A808" s="27" t="n">
        <v>44306</v>
      </c>
      <c r="B808" s="28" t="n">
        <v>2021</v>
      </c>
      <c r="C808" s="28" t="s">
        <v>608</v>
      </c>
      <c r="D808" s="28" t="s">
        <v>48</v>
      </c>
      <c r="E808" s="28" t="s">
        <v>210</v>
      </c>
      <c r="F808" s="28" t="s">
        <v>147</v>
      </c>
      <c r="G808" s="28" t="s">
        <v>148</v>
      </c>
      <c r="H808" s="28" t="s">
        <v>354</v>
      </c>
      <c r="I808" s="29" t="n">
        <v>82900</v>
      </c>
      <c r="J808" s="29" t="n">
        <v>62175</v>
      </c>
      <c r="K808" s="28" t="n">
        <v>5.5</v>
      </c>
      <c r="L808" s="28" t="n">
        <v>120</v>
      </c>
      <c r="M808" s="28" t="n">
        <v>1</v>
      </c>
    </row>
    <row r="809" customFormat="false" ht="15" hidden="false" customHeight="false" outlineLevel="0" collapsed="false">
      <c r="A809" s="27" t="n">
        <v>44307</v>
      </c>
      <c r="B809" s="28" t="n">
        <v>2021</v>
      </c>
      <c r="C809" s="28" t="s">
        <v>172</v>
      </c>
      <c r="D809" s="28" t="s">
        <v>56</v>
      </c>
      <c r="E809" s="28" t="s">
        <v>609</v>
      </c>
      <c r="F809" s="28" t="s">
        <v>147</v>
      </c>
      <c r="G809" s="28" t="s">
        <v>148</v>
      </c>
      <c r="H809" s="28" t="s">
        <v>494</v>
      </c>
      <c r="I809" s="29" t="n">
        <v>100000</v>
      </c>
      <c r="J809" s="29" t="n">
        <v>75000</v>
      </c>
      <c r="K809" s="28" t="n">
        <v>5.05</v>
      </c>
      <c r="L809" s="28" t="n">
        <v>120</v>
      </c>
      <c r="M809" s="28" t="n">
        <v>27</v>
      </c>
    </row>
    <row r="810" customFormat="false" ht="15" hidden="false" customHeight="false" outlineLevel="0" collapsed="false">
      <c r="A810" s="27" t="n">
        <v>44307</v>
      </c>
      <c r="B810" s="28" t="n">
        <v>2021</v>
      </c>
      <c r="C810" s="28" t="s">
        <v>172</v>
      </c>
      <c r="D810" s="28" t="s">
        <v>56</v>
      </c>
      <c r="E810" s="28" t="s">
        <v>609</v>
      </c>
      <c r="F810" s="28" t="s">
        <v>142</v>
      </c>
      <c r="G810" s="28" t="s">
        <v>148</v>
      </c>
      <c r="H810" s="28" t="s">
        <v>494</v>
      </c>
      <c r="I810" s="29" t="n">
        <v>2710000</v>
      </c>
      <c r="J810" s="29" t="n">
        <v>2439000</v>
      </c>
      <c r="K810" s="28" t="n">
        <v>5.05</v>
      </c>
      <c r="L810" s="28" t="n">
        <v>300</v>
      </c>
      <c r="M810" s="28" t="n">
        <v>4</v>
      </c>
    </row>
    <row r="811" customFormat="false" ht="15" hidden="false" customHeight="false" outlineLevel="0" collapsed="false">
      <c r="A811" s="27" t="n">
        <v>44308</v>
      </c>
      <c r="B811" s="28" t="n">
        <v>2021</v>
      </c>
      <c r="C811" s="28" t="s">
        <v>169</v>
      </c>
      <c r="D811" s="28" t="s">
        <v>43</v>
      </c>
      <c r="E811" s="28" t="s">
        <v>317</v>
      </c>
      <c r="F811" s="28" t="s">
        <v>142</v>
      </c>
      <c r="G811" s="28" t="s">
        <v>441</v>
      </c>
      <c r="H811" s="28" t="s">
        <v>388</v>
      </c>
      <c r="I811" s="29" t="n">
        <v>1128000</v>
      </c>
      <c r="J811" s="29" t="n">
        <v>1015200</v>
      </c>
      <c r="K811" s="28" t="n">
        <v>6</v>
      </c>
      <c r="L811" s="28" t="n">
        <v>120</v>
      </c>
      <c r="M811" s="28" t="n">
        <v>2</v>
      </c>
    </row>
    <row r="812" customFormat="false" ht="15" hidden="false" customHeight="false" outlineLevel="0" collapsed="false">
      <c r="A812" s="27" t="n">
        <v>44308</v>
      </c>
      <c r="B812" s="28" t="n">
        <v>2021</v>
      </c>
      <c r="C812" s="28" t="s">
        <v>568</v>
      </c>
      <c r="D812" s="28" t="s">
        <v>46</v>
      </c>
      <c r="E812" s="28" t="s">
        <v>519</v>
      </c>
      <c r="F812" s="28" t="s">
        <v>147</v>
      </c>
      <c r="G812" s="28" t="s">
        <v>148</v>
      </c>
      <c r="H812" s="28" t="s">
        <v>266</v>
      </c>
      <c r="I812" s="29" t="n">
        <v>160600</v>
      </c>
      <c r="J812" s="29" t="n">
        <v>120450</v>
      </c>
      <c r="K812" s="28" t="n">
        <v>4.75</v>
      </c>
      <c r="L812" s="28" t="n">
        <v>240</v>
      </c>
      <c r="M812" s="28" t="n">
        <v>2</v>
      </c>
    </row>
    <row r="813" customFormat="false" ht="15" hidden="false" customHeight="false" outlineLevel="0" collapsed="false">
      <c r="A813" s="27" t="n">
        <v>44309</v>
      </c>
      <c r="B813" s="28" t="n">
        <v>2021</v>
      </c>
      <c r="C813" s="28" t="s">
        <v>145</v>
      </c>
      <c r="D813" s="28" t="s">
        <v>46</v>
      </c>
      <c r="E813" s="28" t="s">
        <v>315</v>
      </c>
      <c r="F813" s="28" t="s">
        <v>142</v>
      </c>
      <c r="G813" s="28" t="s">
        <v>152</v>
      </c>
      <c r="H813" s="28" t="s">
        <v>144</v>
      </c>
      <c r="I813" s="29" t="n">
        <v>675000</v>
      </c>
      <c r="J813" s="29" t="n">
        <v>607500</v>
      </c>
      <c r="K813" s="28" t="n">
        <v>5.3</v>
      </c>
      <c r="L813" s="28" t="n">
        <v>120</v>
      </c>
      <c r="M813" s="28" t="n">
        <v>12</v>
      </c>
    </row>
    <row r="814" customFormat="false" ht="15" hidden="false" customHeight="false" outlineLevel="0" collapsed="false">
      <c r="A814" s="27" t="n">
        <v>44309</v>
      </c>
      <c r="B814" s="28" t="n">
        <v>2021</v>
      </c>
      <c r="C814" s="28" t="s">
        <v>166</v>
      </c>
      <c r="D814" s="28" t="s">
        <v>48</v>
      </c>
      <c r="E814" s="28" t="s">
        <v>295</v>
      </c>
      <c r="F814" s="28" t="s">
        <v>142</v>
      </c>
      <c r="G814" s="28" t="s">
        <v>441</v>
      </c>
      <c r="H814" s="28" t="s">
        <v>278</v>
      </c>
      <c r="I814" s="29" t="n">
        <v>250000</v>
      </c>
      <c r="J814" s="29" t="n">
        <v>225000</v>
      </c>
      <c r="K814" s="28" t="n">
        <v>6</v>
      </c>
      <c r="L814" s="28" t="n">
        <v>120</v>
      </c>
      <c r="M814" s="28" t="n">
        <v>32</v>
      </c>
    </row>
    <row r="815" customFormat="false" ht="15" hidden="false" customHeight="false" outlineLevel="0" collapsed="false">
      <c r="A815" s="27" t="n">
        <v>44309</v>
      </c>
      <c r="B815" s="28" t="n">
        <v>2021</v>
      </c>
      <c r="C815" s="28" t="s">
        <v>384</v>
      </c>
      <c r="D815" s="28" t="s">
        <v>43</v>
      </c>
      <c r="E815" s="28" t="s">
        <v>496</v>
      </c>
      <c r="F815" s="28" t="s">
        <v>194</v>
      </c>
      <c r="G815" s="28" t="s">
        <v>148</v>
      </c>
      <c r="H815" s="28" t="s">
        <v>610</v>
      </c>
      <c r="I815" s="29" t="n">
        <v>1485500</v>
      </c>
      <c r="J815" s="29" t="n">
        <v>1336950</v>
      </c>
      <c r="K815" s="28" t="n">
        <v>5</v>
      </c>
      <c r="L815" s="28" t="n">
        <v>300</v>
      </c>
      <c r="M815" s="28" t="n">
        <v>10</v>
      </c>
    </row>
    <row r="816" customFormat="false" ht="15" hidden="false" customHeight="false" outlineLevel="0" collapsed="false">
      <c r="A816" s="27" t="n">
        <v>44309</v>
      </c>
      <c r="B816" s="28" t="n">
        <v>2021</v>
      </c>
      <c r="C816" s="28" t="s">
        <v>196</v>
      </c>
      <c r="D816" s="28" t="s">
        <v>46</v>
      </c>
      <c r="E816" s="28" t="s">
        <v>231</v>
      </c>
      <c r="F816" s="28" t="s">
        <v>142</v>
      </c>
      <c r="G816" s="28" t="s">
        <v>143</v>
      </c>
      <c r="H816" s="28" t="s">
        <v>463</v>
      </c>
      <c r="I816" s="29" t="n">
        <v>398000</v>
      </c>
      <c r="J816" s="29" t="n">
        <v>358200</v>
      </c>
      <c r="K816" s="28" t="n">
        <v>6</v>
      </c>
      <c r="L816" s="28" t="n">
        <v>123</v>
      </c>
      <c r="M816" s="28" t="n">
        <v>4</v>
      </c>
    </row>
    <row r="817" customFormat="false" ht="15" hidden="false" customHeight="false" outlineLevel="0" collapsed="false">
      <c r="A817" s="27" t="n">
        <v>44310</v>
      </c>
      <c r="B817" s="28" t="n">
        <v>2021</v>
      </c>
      <c r="C817" s="28" t="s">
        <v>172</v>
      </c>
      <c r="D817" s="28" t="s">
        <v>44</v>
      </c>
      <c r="E817" s="28" t="s">
        <v>161</v>
      </c>
      <c r="F817" s="28" t="s">
        <v>142</v>
      </c>
      <c r="G817" s="28" t="s">
        <v>148</v>
      </c>
      <c r="H817" s="28" t="s">
        <v>579</v>
      </c>
      <c r="I817" s="29" t="n">
        <v>368000</v>
      </c>
      <c r="J817" s="29" t="n">
        <v>331200</v>
      </c>
      <c r="K817" s="28" t="n">
        <v>4.75</v>
      </c>
      <c r="L817" s="28" t="n">
        <v>120</v>
      </c>
      <c r="M817" s="28" t="n">
        <v>2</v>
      </c>
    </row>
    <row r="818" customFormat="false" ht="15" hidden="false" customHeight="false" outlineLevel="0" collapsed="false">
      <c r="A818" s="27" t="n">
        <v>44312</v>
      </c>
      <c r="B818" s="28" t="n">
        <v>2021</v>
      </c>
      <c r="C818" s="28" t="s">
        <v>243</v>
      </c>
      <c r="D818" s="28" t="s">
        <v>45</v>
      </c>
      <c r="E818" s="28" t="s">
        <v>611</v>
      </c>
      <c r="F818" s="28" t="s">
        <v>142</v>
      </c>
      <c r="G818" s="28" t="s">
        <v>148</v>
      </c>
      <c r="H818" s="28" t="s">
        <v>457</v>
      </c>
      <c r="I818" s="29" t="n">
        <v>649500</v>
      </c>
      <c r="J818" s="29" t="n">
        <v>584550</v>
      </c>
      <c r="K818" s="28" t="n">
        <v>5.5</v>
      </c>
      <c r="L818" s="28" t="n">
        <v>300</v>
      </c>
      <c r="M818" s="28" t="n">
        <v>9</v>
      </c>
    </row>
    <row r="819" customFormat="false" ht="15" hidden="false" customHeight="false" outlineLevel="0" collapsed="false">
      <c r="A819" s="27" t="n">
        <v>44312</v>
      </c>
      <c r="B819" s="28" t="n">
        <v>2021</v>
      </c>
      <c r="C819" s="28" t="s">
        <v>172</v>
      </c>
      <c r="D819" s="28" t="s">
        <v>51</v>
      </c>
      <c r="E819" s="28" t="s">
        <v>239</v>
      </c>
      <c r="F819" s="28" t="s">
        <v>142</v>
      </c>
      <c r="G819" s="28" t="s">
        <v>143</v>
      </c>
      <c r="H819" s="28" t="s">
        <v>299</v>
      </c>
      <c r="I819" s="29" t="n">
        <v>607300</v>
      </c>
      <c r="J819" s="29" t="n">
        <v>546570</v>
      </c>
      <c r="K819" s="28" t="n">
        <v>5.25</v>
      </c>
      <c r="L819" s="28" t="n">
        <v>124</v>
      </c>
      <c r="M819" s="28" t="n">
        <v>8</v>
      </c>
    </row>
    <row r="820" customFormat="false" ht="15" hidden="false" customHeight="false" outlineLevel="0" collapsed="false">
      <c r="A820" s="27" t="n">
        <v>44313</v>
      </c>
      <c r="B820" s="28" t="n">
        <v>2021</v>
      </c>
      <c r="C820" s="28" t="s">
        <v>515</v>
      </c>
      <c r="D820" s="28" t="s">
        <v>53</v>
      </c>
      <c r="E820" s="28" t="s">
        <v>412</v>
      </c>
      <c r="F820" s="28" t="s">
        <v>142</v>
      </c>
      <c r="G820" s="28" t="s">
        <v>148</v>
      </c>
      <c r="H820" s="28" t="s">
        <v>144</v>
      </c>
      <c r="I820" s="29" t="n">
        <v>575000</v>
      </c>
      <c r="J820" s="29" t="n">
        <v>517500</v>
      </c>
      <c r="K820" s="28" t="n">
        <v>4.95</v>
      </c>
      <c r="L820" s="28" t="n">
        <v>316</v>
      </c>
      <c r="M820" s="28" t="n">
        <v>0</v>
      </c>
    </row>
    <row r="821" customFormat="false" ht="15" hidden="false" customHeight="false" outlineLevel="0" collapsed="false">
      <c r="A821" s="27" t="n">
        <v>44314</v>
      </c>
      <c r="B821" s="28" t="n">
        <v>2021</v>
      </c>
      <c r="C821" s="28" t="s">
        <v>196</v>
      </c>
      <c r="D821" s="28" t="s">
        <v>44</v>
      </c>
      <c r="E821" s="28" t="s">
        <v>141</v>
      </c>
      <c r="F821" s="28" t="s">
        <v>142</v>
      </c>
      <c r="G821" s="28" t="s">
        <v>143</v>
      </c>
      <c r="H821" s="28" t="s">
        <v>325</v>
      </c>
      <c r="I821" s="29" t="n">
        <v>2453000</v>
      </c>
      <c r="J821" s="29" t="n">
        <v>2207700</v>
      </c>
      <c r="K821" s="28" t="n">
        <v>4.5</v>
      </c>
      <c r="L821" s="28" t="n">
        <v>120</v>
      </c>
      <c r="M821" s="28" t="n">
        <v>44</v>
      </c>
    </row>
    <row r="822" customFormat="false" ht="15" hidden="false" customHeight="false" outlineLevel="0" collapsed="false">
      <c r="A822" s="27" t="n">
        <v>44314</v>
      </c>
      <c r="B822" s="28" t="n">
        <v>2021</v>
      </c>
      <c r="C822" s="28" t="s">
        <v>252</v>
      </c>
      <c r="D822" s="28" t="s">
        <v>48</v>
      </c>
      <c r="E822" s="28" t="s">
        <v>401</v>
      </c>
      <c r="F822" s="28" t="s">
        <v>147</v>
      </c>
      <c r="G822" s="28" t="s">
        <v>148</v>
      </c>
      <c r="H822" s="28" t="s">
        <v>205</v>
      </c>
      <c r="I822" s="29" t="n">
        <v>25000</v>
      </c>
      <c r="J822" s="29" t="n">
        <v>18750</v>
      </c>
      <c r="K822" s="28" t="n">
        <v>8.46</v>
      </c>
      <c r="L822" s="28" t="n">
        <v>72</v>
      </c>
      <c r="M822" s="28" t="n">
        <v>7</v>
      </c>
    </row>
    <row r="823" customFormat="false" ht="15" hidden="false" customHeight="false" outlineLevel="0" collapsed="false">
      <c r="A823" s="27" t="n">
        <v>44314</v>
      </c>
      <c r="B823" s="28" t="n">
        <v>2021</v>
      </c>
      <c r="C823" s="28" t="s">
        <v>450</v>
      </c>
      <c r="D823" s="28" t="s">
        <v>42</v>
      </c>
      <c r="E823" s="28" t="s">
        <v>178</v>
      </c>
      <c r="F823" s="28" t="s">
        <v>142</v>
      </c>
      <c r="G823" s="28" t="s">
        <v>143</v>
      </c>
      <c r="H823" s="28" t="s">
        <v>159</v>
      </c>
      <c r="I823" s="29" t="n">
        <v>616000</v>
      </c>
      <c r="J823" s="29" t="n">
        <v>554400</v>
      </c>
      <c r="K823" s="28" t="n">
        <v>5</v>
      </c>
      <c r="L823" s="28" t="n">
        <v>288</v>
      </c>
      <c r="M823" s="28" t="n">
        <v>8</v>
      </c>
    </row>
    <row r="824" customFormat="false" ht="15" hidden="false" customHeight="false" outlineLevel="0" collapsed="false">
      <c r="A824" s="27" t="n">
        <v>44314</v>
      </c>
      <c r="B824" s="28" t="n">
        <v>2021</v>
      </c>
      <c r="C824" s="28" t="s">
        <v>450</v>
      </c>
      <c r="D824" s="28" t="s">
        <v>42</v>
      </c>
      <c r="E824" s="28" t="s">
        <v>178</v>
      </c>
      <c r="F824" s="28" t="s">
        <v>147</v>
      </c>
      <c r="G824" s="28" t="s">
        <v>143</v>
      </c>
      <c r="H824" s="28" t="s">
        <v>159</v>
      </c>
      <c r="I824" s="29" t="n">
        <v>25000</v>
      </c>
      <c r="J824" s="29" t="n">
        <v>18750</v>
      </c>
      <c r="K824" s="28" t="n">
        <v>4.5</v>
      </c>
      <c r="L824" s="28" t="n">
        <v>120</v>
      </c>
      <c r="M824" s="28" t="n">
        <v>8</v>
      </c>
    </row>
    <row r="825" customFormat="false" ht="15" hidden="false" customHeight="false" outlineLevel="0" collapsed="false">
      <c r="A825" s="27" t="n">
        <v>44315</v>
      </c>
      <c r="B825" s="28" t="n">
        <v>2021</v>
      </c>
      <c r="C825" s="28" t="s">
        <v>249</v>
      </c>
      <c r="D825" s="28" t="s">
        <v>52</v>
      </c>
      <c r="E825" s="28" t="s">
        <v>250</v>
      </c>
      <c r="F825" s="28" t="s">
        <v>147</v>
      </c>
      <c r="G825" s="28" t="s">
        <v>148</v>
      </c>
      <c r="H825" s="28" t="s">
        <v>251</v>
      </c>
      <c r="I825" s="29" t="n">
        <v>30000</v>
      </c>
      <c r="J825" s="29" t="n">
        <v>15000</v>
      </c>
      <c r="K825" s="28" t="n">
        <v>6.5</v>
      </c>
      <c r="L825" s="28" t="n">
        <v>60</v>
      </c>
      <c r="M825" s="28" t="n">
        <v>5</v>
      </c>
    </row>
    <row r="826" customFormat="false" ht="15" hidden="false" customHeight="false" outlineLevel="0" collapsed="false">
      <c r="A826" s="27" t="n">
        <v>44315</v>
      </c>
      <c r="B826" s="28" t="n">
        <v>2021</v>
      </c>
      <c r="C826" s="28" t="s">
        <v>160</v>
      </c>
      <c r="D826" s="28" t="s">
        <v>49</v>
      </c>
      <c r="E826" s="28" t="s">
        <v>612</v>
      </c>
      <c r="F826" s="28" t="s">
        <v>147</v>
      </c>
      <c r="G826" s="28" t="s">
        <v>152</v>
      </c>
      <c r="H826" s="28" t="s">
        <v>281</v>
      </c>
      <c r="I826" s="29" t="n">
        <v>229500</v>
      </c>
      <c r="J826" s="29" t="n">
        <v>172125</v>
      </c>
      <c r="K826" s="28" t="n">
        <v>5.75</v>
      </c>
      <c r="L826" s="28" t="n">
        <v>120</v>
      </c>
      <c r="M826" s="28" t="n">
        <v>10</v>
      </c>
    </row>
    <row r="827" customFormat="false" ht="15" hidden="false" customHeight="false" outlineLevel="0" collapsed="false">
      <c r="A827" s="27" t="n">
        <v>44316</v>
      </c>
      <c r="B827" s="28" t="n">
        <v>2021</v>
      </c>
      <c r="C827" s="28" t="s">
        <v>196</v>
      </c>
      <c r="D827" s="28" t="s">
        <v>49</v>
      </c>
      <c r="E827" s="28" t="s">
        <v>613</v>
      </c>
      <c r="F827" s="28" t="s">
        <v>147</v>
      </c>
      <c r="G827" s="28" t="s">
        <v>441</v>
      </c>
      <c r="H827" s="28" t="s">
        <v>168</v>
      </c>
      <c r="I827" s="29" t="n">
        <v>15000</v>
      </c>
      <c r="J827" s="29" t="n">
        <v>11250</v>
      </c>
      <c r="K827" s="28" t="n">
        <v>7.75</v>
      </c>
      <c r="L827" s="28" t="n">
        <v>120</v>
      </c>
      <c r="M827" s="28" t="n">
        <v>0</v>
      </c>
    </row>
    <row r="828" customFormat="false" ht="15" hidden="false" customHeight="false" outlineLevel="0" collapsed="false">
      <c r="A828" s="27" t="n">
        <v>44320</v>
      </c>
      <c r="B828" s="28" t="n">
        <v>2021</v>
      </c>
      <c r="C828" s="28" t="s">
        <v>169</v>
      </c>
      <c r="D828" s="28" t="s">
        <v>45</v>
      </c>
      <c r="E828" s="28" t="s">
        <v>202</v>
      </c>
      <c r="F828" s="28" t="s">
        <v>142</v>
      </c>
      <c r="G828" s="28" t="s">
        <v>143</v>
      </c>
      <c r="H828" s="28" t="s">
        <v>287</v>
      </c>
      <c r="I828" s="29" t="n">
        <v>150000</v>
      </c>
      <c r="J828" s="29" t="n">
        <v>135000</v>
      </c>
      <c r="K828" s="28" t="n">
        <v>6</v>
      </c>
      <c r="L828" s="28" t="n">
        <v>95</v>
      </c>
      <c r="M828" s="28" t="n">
        <v>3</v>
      </c>
    </row>
    <row r="829" customFormat="false" ht="15" hidden="false" customHeight="false" outlineLevel="0" collapsed="false">
      <c r="A829" s="27" t="n">
        <v>44320</v>
      </c>
      <c r="B829" s="28" t="n">
        <v>2021</v>
      </c>
      <c r="C829" s="28" t="s">
        <v>203</v>
      </c>
      <c r="D829" s="28" t="s">
        <v>43</v>
      </c>
      <c r="E829" s="28" t="s">
        <v>614</v>
      </c>
      <c r="F829" s="28" t="s">
        <v>142</v>
      </c>
      <c r="G829" s="28" t="s">
        <v>148</v>
      </c>
      <c r="H829" s="28" t="s">
        <v>281</v>
      </c>
      <c r="I829" s="29" t="n">
        <v>1434500</v>
      </c>
      <c r="J829" s="29" t="n">
        <v>1291050</v>
      </c>
      <c r="K829" s="28" t="n">
        <v>5.4</v>
      </c>
      <c r="L829" s="28" t="n">
        <v>120</v>
      </c>
      <c r="M829" s="28" t="n">
        <v>4</v>
      </c>
    </row>
    <row r="830" customFormat="false" ht="15" hidden="false" customHeight="false" outlineLevel="0" collapsed="false">
      <c r="A830" s="27" t="n">
        <v>44320</v>
      </c>
      <c r="B830" s="28" t="n">
        <v>2021</v>
      </c>
      <c r="C830" s="28" t="s">
        <v>213</v>
      </c>
      <c r="D830" s="28" t="s">
        <v>42</v>
      </c>
      <c r="E830" s="28" t="s">
        <v>178</v>
      </c>
      <c r="F830" s="28" t="s">
        <v>142</v>
      </c>
      <c r="G830" s="28" t="s">
        <v>143</v>
      </c>
      <c r="H830" s="28" t="s">
        <v>314</v>
      </c>
      <c r="I830" s="29" t="n">
        <v>784000</v>
      </c>
      <c r="J830" s="29" t="n">
        <v>705600</v>
      </c>
      <c r="K830" s="28" t="n">
        <v>4.25</v>
      </c>
      <c r="L830" s="28" t="n">
        <v>300</v>
      </c>
      <c r="M830" s="28" t="n">
        <v>4</v>
      </c>
    </row>
    <row r="831" customFormat="false" ht="15" hidden="false" customHeight="false" outlineLevel="0" collapsed="false">
      <c r="A831" s="27" t="n">
        <v>44321</v>
      </c>
      <c r="B831" s="28" t="n">
        <v>2021</v>
      </c>
      <c r="C831" s="28" t="s">
        <v>172</v>
      </c>
      <c r="D831" s="28" t="s">
        <v>48</v>
      </c>
      <c r="E831" s="28" t="s">
        <v>615</v>
      </c>
      <c r="F831" s="28" t="s">
        <v>142</v>
      </c>
      <c r="G831" s="28" t="s">
        <v>148</v>
      </c>
      <c r="H831" s="28" t="s">
        <v>215</v>
      </c>
      <c r="I831" s="29" t="n">
        <v>270000</v>
      </c>
      <c r="J831" s="29" t="n">
        <v>243000</v>
      </c>
      <c r="K831" s="28" t="n">
        <v>4.5</v>
      </c>
      <c r="L831" s="28" t="n">
        <v>300</v>
      </c>
      <c r="M831" s="28" t="n">
        <v>6</v>
      </c>
    </row>
    <row r="832" customFormat="false" ht="15" hidden="false" customHeight="false" outlineLevel="0" collapsed="false">
      <c r="A832" s="27" t="n">
        <v>44321</v>
      </c>
      <c r="B832" s="28" t="n">
        <v>2021</v>
      </c>
      <c r="C832" s="28" t="s">
        <v>163</v>
      </c>
      <c r="D832" s="28" t="s">
        <v>50</v>
      </c>
      <c r="E832" s="28" t="s">
        <v>389</v>
      </c>
      <c r="F832" s="28" t="s">
        <v>142</v>
      </c>
      <c r="G832" s="28" t="s">
        <v>148</v>
      </c>
      <c r="H832" s="28" t="s">
        <v>211</v>
      </c>
      <c r="I832" s="29" t="n">
        <v>650000</v>
      </c>
      <c r="J832" s="29" t="n">
        <v>585000</v>
      </c>
      <c r="K832" s="28" t="n">
        <v>5.25</v>
      </c>
      <c r="L832" s="28" t="n">
        <v>300</v>
      </c>
      <c r="M832" s="28" t="n">
        <v>5</v>
      </c>
    </row>
    <row r="833" customFormat="false" ht="15" hidden="false" customHeight="false" outlineLevel="0" collapsed="false">
      <c r="A833" s="27" t="n">
        <v>44321</v>
      </c>
      <c r="B833" s="28" t="n">
        <v>2021</v>
      </c>
      <c r="C833" s="28" t="s">
        <v>209</v>
      </c>
      <c r="D833" s="28" t="s">
        <v>51</v>
      </c>
      <c r="E833" s="28" t="s">
        <v>239</v>
      </c>
      <c r="F833" s="28" t="s">
        <v>194</v>
      </c>
      <c r="G833" s="28" t="s">
        <v>143</v>
      </c>
      <c r="H833" s="28" t="s">
        <v>495</v>
      </c>
      <c r="I833" s="29" t="n">
        <v>30000</v>
      </c>
      <c r="J833" s="29" t="n">
        <v>27000</v>
      </c>
      <c r="K833" s="28" t="n">
        <v>6</v>
      </c>
      <c r="L833" s="28" t="n">
        <v>47</v>
      </c>
      <c r="M833" s="28" t="n">
        <v>3</v>
      </c>
    </row>
    <row r="834" customFormat="false" ht="15" hidden="false" customHeight="false" outlineLevel="0" collapsed="false">
      <c r="A834" s="27" t="n">
        <v>44322</v>
      </c>
      <c r="B834" s="28" t="n">
        <v>2021</v>
      </c>
      <c r="C834" s="28" t="s">
        <v>316</v>
      </c>
      <c r="D834" s="28" t="s">
        <v>46</v>
      </c>
      <c r="E834" s="28" t="s">
        <v>422</v>
      </c>
      <c r="F834" s="28" t="s">
        <v>142</v>
      </c>
      <c r="G834" s="28" t="s">
        <v>152</v>
      </c>
      <c r="H834" s="28" t="s">
        <v>457</v>
      </c>
      <c r="I834" s="29" t="n">
        <v>1100000</v>
      </c>
      <c r="J834" s="29" t="n">
        <v>990000</v>
      </c>
      <c r="K834" s="28" t="n">
        <v>6</v>
      </c>
      <c r="L834" s="28" t="n">
        <v>300</v>
      </c>
      <c r="M834" s="28" t="n">
        <v>51</v>
      </c>
    </row>
    <row r="835" customFormat="false" ht="15" hidden="false" customHeight="false" outlineLevel="0" collapsed="false">
      <c r="A835" s="27" t="n">
        <v>44322</v>
      </c>
      <c r="B835" s="28" t="n">
        <v>2021</v>
      </c>
      <c r="C835" s="28" t="s">
        <v>172</v>
      </c>
      <c r="D835" s="28" t="s">
        <v>45</v>
      </c>
      <c r="E835" s="28" t="s">
        <v>202</v>
      </c>
      <c r="F835" s="28" t="s">
        <v>142</v>
      </c>
      <c r="G835" s="28" t="s">
        <v>143</v>
      </c>
      <c r="H835" s="28" t="s">
        <v>287</v>
      </c>
      <c r="I835" s="29" t="n">
        <v>65000</v>
      </c>
      <c r="J835" s="29" t="n">
        <v>58500</v>
      </c>
      <c r="K835" s="28" t="n">
        <v>6</v>
      </c>
      <c r="L835" s="28" t="n">
        <v>120</v>
      </c>
      <c r="M835" s="28" t="n">
        <v>3</v>
      </c>
    </row>
    <row r="836" customFormat="false" ht="15" hidden="false" customHeight="false" outlineLevel="0" collapsed="false">
      <c r="A836" s="27" t="n">
        <v>44322</v>
      </c>
      <c r="B836" s="28" t="n">
        <v>2021</v>
      </c>
      <c r="C836" s="28" t="s">
        <v>169</v>
      </c>
      <c r="D836" s="28" t="s">
        <v>43</v>
      </c>
      <c r="E836" s="28" t="s">
        <v>224</v>
      </c>
      <c r="F836" s="28" t="s">
        <v>142</v>
      </c>
      <c r="G836" s="28" t="s">
        <v>148</v>
      </c>
      <c r="H836" s="28" t="s">
        <v>382</v>
      </c>
      <c r="I836" s="29" t="n">
        <v>498600</v>
      </c>
      <c r="J836" s="29" t="n">
        <v>448740</v>
      </c>
      <c r="K836" s="28" t="n">
        <v>5</v>
      </c>
      <c r="L836" s="28" t="n">
        <v>300</v>
      </c>
      <c r="M836" s="28" t="n">
        <v>10</v>
      </c>
    </row>
    <row r="837" customFormat="false" ht="15" hidden="false" customHeight="false" outlineLevel="0" collapsed="false">
      <c r="A837" s="27" t="n">
        <v>44323</v>
      </c>
      <c r="B837" s="28" t="n">
        <v>2021</v>
      </c>
      <c r="C837" s="28" t="s">
        <v>213</v>
      </c>
      <c r="D837" s="28" t="s">
        <v>43</v>
      </c>
      <c r="E837" s="28" t="s">
        <v>616</v>
      </c>
      <c r="F837" s="28" t="s">
        <v>147</v>
      </c>
      <c r="G837" s="28" t="s">
        <v>441</v>
      </c>
      <c r="H837" s="28" t="s">
        <v>168</v>
      </c>
      <c r="I837" s="29" t="n">
        <v>5000</v>
      </c>
      <c r="J837" s="29" t="n">
        <v>3750</v>
      </c>
      <c r="K837" s="28" t="n">
        <v>9.25</v>
      </c>
      <c r="L837" s="28" t="n">
        <v>120</v>
      </c>
      <c r="M837" s="28" t="n">
        <v>27</v>
      </c>
    </row>
    <row r="838" customFormat="false" ht="15" hidden="false" customHeight="false" outlineLevel="0" collapsed="false">
      <c r="A838" s="27" t="n">
        <v>44323</v>
      </c>
      <c r="B838" s="28" t="n">
        <v>2021</v>
      </c>
      <c r="C838" s="28" t="s">
        <v>169</v>
      </c>
      <c r="D838" s="28" t="s">
        <v>46</v>
      </c>
      <c r="E838" s="28" t="s">
        <v>298</v>
      </c>
      <c r="F838" s="28" t="s">
        <v>147</v>
      </c>
      <c r="G838" s="28" t="s">
        <v>143</v>
      </c>
      <c r="H838" s="28" t="s">
        <v>159</v>
      </c>
      <c r="I838" s="29" t="n">
        <v>20000</v>
      </c>
      <c r="J838" s="29" t="n">
        <v>15000</v>
      </c>
      <c r="K838" s="28" t="n">
        <v>9.75</v>
      </c>
      <c r="L838" s="28" t="n">
        <v>120</v>
      </c>
      <c r="M838" s="28" t="n">
        <v>10</v>
      </c>
    </row>
    <row r="839" customFormat="false" ht="15" hidden="false" customHeight="false" outlineLevel="0" collapsed="false">
      <c r="A839" s="27" t="n">
        <v>44323</v>
      </c>
      <c r="B839" s="28" t="n">
        <v>2021</v>
      </c>
      <c r="C839" s="28" t="s">
        <v>169</v>
      </c>
      <c r="D839" s="28" t="s">
        <v>46</v>
      </c>
      <c r="E839" s="28" t="s">
        <v>298</v>
      </c>
      <c r="F839" s="28" t="s">
        <v>147</v>
      </c>
      <c r="G839" s="28" t="s">
        <v>143</v>
      </c>
      <c r="H839" s="28" t="s">
        <v>159</v>
      </c>
      <c r="I839" s="29" t="n">
        <v>60000</v>
      </c>
      <c r="J839" s="29" t="n">
        <v>45000</v>
      </c>
      <c r="K839" s="28" t="n">
        <v>6.25</v>
      </c>
      <c r="L839" s="28" t="n">
        <v>60</v>
      </c>
      <c r="M839" s="28" t="n">
        <v>10</v>
      </c>
    </row>
    <row r="840" customFormat="false" ht="15" hidden="false" customHeight="false" outlineLevel="0" collapsed="false">
      <c r="A840" s="27" t="n">
        <v>44327</v>
      </c>
      <c r="B840" s="28" t="n">
        <v>2021</v>
      </c>
      <c r="C840" s="28" t="s">
        <v>172</v>
      </c>
      <c r="D840" s="28" t="s">
        <v>42</v>
      </c>
      <c r="E840" s="28" t="s">
        <v>180</v>
      </c>
      <c r="F840" s="28" t="s">
        <v>147</v>
      </c>
      <c r="G840" s="28" t="s">
        <v>148</v>
      </c>
      <c r="H840" s="28" t="s">
        <v>205</v>
      </c>
      <c r="I840" s="29" t="n">
        <v>50000</v>
      </c>
      <c r="J840" s="29" t="n">
        <v>37500</v>
      </c>
      <c r="K840" s="28" t="n">
        <v>8.46</v>
      </c>
      <c r="L840" s="28" t="n">
        <v>120</v>
      </c>
      <c r="M840" s="28" t="n">
        <v>3</v>
      </c>
    </row>
    <row r="841" customFormat="false" ht="15" hidden="false" customHeight="false" outlineLevel="0" collapsed="false">
      <c r="A841" s="27" t="n">
        <v>44327</v>
      </c>
      <c r="B841" s="28" t="n">
        <v>2021</v>
      </c>
      <c r="C841" s="28" t="s">
        <v>303</v>
      </c>
      <c r="D841" s="28" t="s">
        <v>56</v>
      </c>
      <c r="E841" s="28" t="s">
        <v>609</v>
      </c>
      <c r="F841" s="28" t="s">
        <v>142</v>
      </c>
      <c r="G841" s="28" t="s">
        <v>152</v>
      </c>
      <c r="H841" s="28" t="s">
        <v>457</v>
      </c>
      <c r="I841" s="29" t="n">
        <v>1775000</v>
      </c>
      <c r="J841" s="29" t="n">
        <v>1597500</v>
      </c>
      <c r="K841" s="28" t="n">
        <v>5.75</v>
      </c>
      <c r="L841" s="28" t="n">
        <v>300</v>
      </c>
      <c r="M841" s="28" t="n">
        <v>20</v>
      </c>
    </row>
    <row r="842" customFormat="false" ht="15" hidden="false" customHeight="false" outlineLevel="0" collapsed="false">
      <c r="A842" s="27" t="n">
        <v>44328</v>
      </c>
      <c r="B842" s="28" t="n">
        <v>2021</v>
      </c>
      <c r="C842" s="28" t="s">
        <v>166</v>
      </c>
      <c r="D842" s="28" t="s">
        <v>49</v>
      </c>
      <c r="E842" s="28" t="s">
        <v>617</v>
      </c>
      <c r="F842" s="28" t="s">
        <v>147</v>
      </c>
      <c r="G842" s="28" t="s">
        <v>148</v>
      </c>
      <c r="H842" s="28" t="s">
        <v>159</v>
      </c>
      <c r="I842" s="29" t="n">
        <v>76300</v>
      </c>
      <c r="J842" s="29" t="n">
        <v>57225</v>
      </c>
      <c r="K842" s="28" t="n">
        <v>7.25</v>
      </c>
      <c r="L842" s="28" t="n">
        <v>60</v>
      </c>
      <c r="M842" s="28" t="n">
        <v>2</v>
      </c>
    </row>
    <row r="843" customFormat="false" ht="15" hidden="false" customHeight="false" outlineLevel="0" collapsed="false">
      <c r="A843" s="27" t="n">
        <v>44328</v>
      </c>
      <c r="B843" s="28" t="n">
        <v>2021</v>
      </c>
      <c r="C843" s="28" t="s">
        <v>172</v>
      </c>
      <c r="D843" s="28" t="s">
        <v>51</v>
      </c>
      <c r="E843" s="28" t="s">
        <v>239</v>
      </c>
      <c r="F843" s="28" t="s">
        <v>142</v>
      </c>
      <c r="G843" s="28" t="s">
        <v>441</v>
      </c>
      <c r="H843" s="28" t="s">
        <v>229</v>
      </c>
      <c r="I843" s="29" t="n">
        <v>496000</v>
      </c>
      <c r="J843" s="29" t="n">
        <v>446400</v>
      </c>
      <c r="K843" s="28" t="n">
        <v>6</v>
      </c>
      <c r="L843" s="28" t="n">
        <v>120</v>
      </c>
      <c r="M843" s="28" t="n">
        <v>25</v>
      </c>
    </row>
    <row r="844" customFormat="false" ht="15" hidden="false" customHeight="false" outlineLevel="0" collapsed="false">
      <c r="A844" s="27" t="n">
        <v>44328</v>
      </c>
      <c r="B844" s="28" t="n">
        <v>2021</v>
      </c>
      <c r="C844" s="28" t="s">
        <v>198</v>
      </c>
      <c r="D844" s="28" t="s">
        <v>42</v>
      </c>
      <c r="E844" s="28" t="s">
        <v>247</v>
      </c>
      <c r="F844" s="28" t="s">
        <v>142</v>
      </c>
      <c r="G844" s="28" t="s">
        <v>148</v>
      </c>
      <c r="H844" s="28" t="s">
        <v>275</v>
      </c>
      <c r="I844" s="29" t="n">
        <v>296000</v>
      </c>
      <c r="J844" s="29" t="n">
        <v>266400</v>
      </c>
      <c r="K844" s="28" t="n">
        <v>6</v>
      </c>
      <c r="L844" s="28" t="n">
        <v>300</v>
      </c>
      <c r="M844" s="28" t="n">
        <v>2</v>
      </c>
    </row>
    <row r="845" customFormat="false" ht="15" hidden="false" customHeight="false" outlineLevel="0" collapsed="false">
      <c r="A845" s="27" t="n">
        <v>44329</v>
      </c>
      <c r="B845" s="28" t="n">
        <v>2021</v>
      </c>
      <c r="C845" s="28" t="s">
        <v>353</v>
      </c>
      <c r="D845" s="28" t="s">
        <v>43</v>
      </c>
      <c r="E845" s="28" t="s">
        <v>435</v>
      </c>
      <c r="F845" s="28" t="s">
        <v>194</v>
      </c>
      <c r="G845" s="28" t="s">
        <v>143</v>
      </c>
      <c r="H845" s="28" t="s">
        <v>618</v>
      </c>
      <c r="I845" s="29" t="n">
        <v>360000</v>
      </c>
      <c r="J845" s="29" t="n">
        <v>324000</v>
      </c>
      <c r="K845" s="28" t="n">
        <v>6</v>
      </c>
      <c r="L845" s="28" t="n">
        <v>120</v>
      </c>
      <c r="M845" s="28" t="n">
        <v>4</v>
      </c>
    </row>
    <row r="846" customFormat="false" ht="15" hidden="false" customHeight="false" outlineLevel="0" collapsed="false">
      <c r="A846" s="27" t="n">
        <v>44329</v>
      </c>
      <c r="B846" s="28" t="n">
        <v>2021</v>
      </c>
      <c r="C846" s="28" t="s">
        <v>308</v>
      </c>
      <c r="D846" s="28" t="s">
        <v>45</v>
      </c>
      <c r="E846" s="28" t="s">
        <v>222</v>
      </c>
      <c r="F846" s="28" t="s">
        <v>142</v>
      </c>
      <c r="G846" s="28" t="s">
        <v>152</v>
      </c>
      <c r="H846" s="28" t="s">
        <v>281</v>
      </c>
      <c r="I846" s="29" t="n">
        <v>2690000</v>
      </c>
      <c r="J846" s="29" t="n">
        <v>2421000</v>
      </c>
      <c r="K846" s="28" t="n">
        <v>5.25</v>
      </c>
      <c r="L846" s="28" t="n">
        <v>175</v>
      </c>
      <c r="M846" s="28" t="n">
        <v>30</v>
      </c>
    </row>
    <row r="847" customFormat="false" ht="15" hidden="false" customHeight="false" outlineLevel="0" collapsed="false">
      <c r="A847" s="27" t="n">
        <v>44329</v>
      </c>
      <c r="B847" s="28" t="n">
        <v>2021</v>
      </c>
      <c r="C847" s="28" t="s">
        <v>308</v>
      </c>
      <c r="D847" s="28" t="s">
        <v>45</v>
      </c>
      <c r="E847" s="28" t="s">
        <v>222</v>
      </c>
      <c r="F847" s="28" t="s">
        <v>147</v>
      </c>
      <c r="G847" s="28" t="s">
        <v>148</v>
      </c>
      <c r="H847" s="28" t="s">
        <v>281</v>
      </c>
      <c r="I847" s="29" t="n">
        <v>250000</v>
      </c>
      <c r="J847" s="29" t="n">
        <v>125000</v>
      </c>
      <c r="K847" s="28" t="n">
        <v>5.25</v>
      </c>
      <c r="L847" s="28" t="n">
        <v>120</v>
      </c>
      <c r="M847" s="28" t="n">
        <v>30</v>
      </c>
    </row>
    <row r="848" customFormat="false" ht="15" hidden="false" customHeight="false" outlineLevel="0" collapsed="false">
      <c r="A848" s="27" t="n">
        <v>44330</v>
      </c>
      <c r="B848" s="28" t="n">
        <v>2021</v>
      </c>
      <c r="C848" s="28" t="s">
        <v>201</v>
      </c>
      <c r="D848" s="28" t="s">
        <v>48</v>
      </c>
      <c r="E848" s="28" t="s">
        <v>212</v>
      </c>
      <c r="F848" s="28" t="s">
        <v>142</v>
      </c>
      <c r="G848" s="28" t="s">
        <v>148</v>
      </c>
      <c r="H848" s="28" t="s">
        <v>171</v>
      </c>
      <c r="I848" s="29" t="n">
        <v>125000</v>
      </c>
      <c r="J848" s="29" t="n">
        <v>112500</v>
      </c>
      <c r="K848" s="28" t="n">
        <v>6</v>
      </c>
      <c r="L848" s="28" t="n">
        <v>120</v>
      </c>
      <c r="M848" s="28" t="n">
        <v>3</v>
      </c>
    </row>
    <row r="849" customFormat="false" ht="15" hidden="false" customHeight="false" outlineLevel="0" collapsed="false">
      <c r="A849" s="27" t="n">
        <v>44333</v>
      </c>
      <c r="B849" s="28" t="n">
        <v>2021</v>
      </c>
      <c r="C849" s="28" t="s">
        <v>206</v>
      </c>
      <c r="D849" s="28" t="s">
        <v>43</v>
      </c>
      <c r="E849" s="28" t="s">
        <v>517</v>
      </c>
      <c r="F849" s="28" t="s">
        <v>142</v>
      </c>
      <c r="G849" s="28" t="s">
        <v>148</v>
      </c>
      <c r="H849" s="28" t="s">
        <v>592</v>
      </c>
      <c r="I849" s="29" t="n">
        <v>2000000</v>
      </c>
      <c r="J849" s="29" t="n">
        <v>1800000</v>
      </c>
      <c r="K849" s="28" t="n">
        <v>4</v>
      </c>
      <c r="L849" s="28" t="n">
        <v>300</v>
      </c>
      <c r="M849" s="28" t="n">
        <v>5</v>
      </c>
    </row>
    <row r="850" customFormat="false" ht="15" hidden="false" customHeight="false" outlineLevel="0" collapsed="false">
      <c r="A850" s="27" t="n">
        <v>44333</v>
      </c>
      <c r="B850" s="28" t="n">
        <v>2021</v>
      </c>
      <c r="C850" s="28" t="s">
        <v>172</v>
      </c>
      <c r="D850" s="28" t="s">
        <v>44</v>
      </c>
      <c r="E850" s="28" t="s">
        <v>339</v>
      </c>
      <c r="F850" s="28" t="s">
        <v>142</v>
      </c>
      <c r="G850" s="28" t="s">
        <v>148</v>
      </c>
      <c r="H850" s="28" t="s">
        <v>501</v>
      </c>
      <c r="I850" s="29" t="n">
        <v>435000</v>
      </c>
      <c r="J850" s="29" t="n">
        <v>391500</v>
      </c>
      <c r="K850" s="28" t="n">
        <v>6</v>
      </c>
      <c r="L850" s="28" t="n">
        <v>300</v>
      </c>
      <c r="M850" s="28" t="n">
        <v>5</v>
      </c>
    </row>
    <row r="851" customFormat="false" ht="15" hidden="false" customHeight="false" outlineLevel="0" collapsed="false">
      <c r="A851" s="27" t="n">
        <v>44333</v>
      </c>
      <c r="B851" s="28" t="n">
        <v>2021</v>
      </c>
      <c r="C851" s="28" t="s">
        <v>203</v>
      </c>
      <c r="D851" s="28" t="s">
        <v>42</v>
      </c>
      <c r="E851" s="28" t="s">
        <v>164</v>
      </c>
      <c r="F851" s="28" t="s">
        <v>147</v>
      </c>
      <c r="G851" s="28" t="s">
        <v>143</v>
      </c>
      <c r="H851" s="28" t="s">
        <v>281</v>
      </c>
      <c r="I851" s="29" t="n">
        <v>184000</v>
      </c>
      <c r="J851" s="29" t="n">
        <v>138000</v>
      </c>
      <c r="K851" s="28" t="n">
        <v>5.5</v>
      </c>
      <c r="L851" s="28" t="n">
        <v>84</v>
      </c>
      <c r="M851" s="28" t="n">
        <v>5</v>
      </c>
    </row>
    <row r="852" customFormat="false" ht="15" hidden="false" customHeight="false" outlineLevel="0" collapsed="false">
      <c r="A852" s="27" t="n">
        <v>44334</v>
      </c>
      <c r="B852" s="28" t="n">
        <v>2021</v>
      </c>
      <c r="C852" s="28" t="s">
        <v>172</v>
      </c>
      <c r="D852" s="28" t="s">
        <v>44</v>
      </c>
      <c r="E852" s="28" t="s">
        <v>301</v>
      </c>
      <c r="F852" s="28" t="s">
        <v>147</v>
      </c>
      <c r="G852" s="28" t="s">
        <v>148</v>
      </c>
      <c r="H852" s="28" t="s">
        <v>191</v>
      </c>
      <c r="I852" s="29" t="n">
        <v>25000</v>
      </c>
      <c r="J852" s="29" t="n">
        <v>18750</v>
      </c>
      <c r="K852" s="28" t="n">
        <v>7.15</v>
      </c>
      <c r="L852" s="28" t="n">
        <v>72</v>
      </c>
      <c r="M852" s="28" t="n">
        <v>10</v>
      </c>
    </row>
    <row r="853" customFormat="false" ht="15" hidden="false" customHeight="false" outlineLevel="0" collapsed="false">
      <c r="A853" s="27" t="n">
        <v>44334</v>
      </c>
      <c r="B853" s="28" t="n">
        <v>2021</v>
      </c>
      <c r="C853" s="28" t="s">
        <v>235</v>
      </c>
      <c r="D853" s="28" t="s">
        <v>42</v>
      </c>
      <c r="E853" s="28" t="s">
        <v>247</v>
      </c>
      <c r="F853" s="28" t="s">
        <v>142</v>
      </c>
      <c r="G853" s="28" t="s">
        <v>152</v>
      </c>
      <c r="H853" s="28" t="s">
        <v>289</v>
      </c>
      <c r="I853" s="29" t="n">
        <v>4535000</v>
      </c>
      <c r="J853" s="29" t="n">
        <v>3749991.5</v>
      </c>
      <c r="K853" s="28" t="n">
        <v>5.25</v>
      </c>
      <c r="L853" s="28" t="n">
        <v>300</v>
      </c>
      <c r="M853" s="28" t="n">
        <v>28</v>
      </c>
    </row>
    <row r="854" customFormat="false" ht="15" hidden="false" customHeight="false" outlineLevel="0" collapsed="false">
      <c r="A854" s="27" t="n">
        <v>44334</v>
      </c>
      <c r="B854" s="28" t="n">
        <v>2021</v>
      </c>
      <c r="C854" s="28" t="s">
        <v>488</v>
      </c>
      <c r="D854" s="28" t="s">
        <v>43</v>
      </c>
      <c r="E854" s="28" t="s">
        <v>219</v>
      </c>
      <c r="F854" s="28" t="s">
        <v>142</v>
      </c>
      <c r="G854" s="28" t="s">
        <v>152</v>
      </c>
      <c r="H854" s="28" t="s">
        <v>269</v>
      </c>
      <c r="I854" s="29" t="n">
        <v>1099000</v>
      </c>
      <c r="J854" s="29" t="n">
        <v>989100</v>
      </c>
      <c r="K854" s="28" t="n">
        <v>5.5</v>
      </c>
      <c r="L854" s="28" t="n">
        <v>300</v>
      </c>
      <c r="M854" s="28" t="n">
        <v>12</v>
      </c>
    </row>
    <row r="855" customFormat="false" ht="15" hidden="false" customHeight="false" outlineLevel="0" collapsed="false">
      <c r="A855" s="27" t="n">
        <v>44335</v>
      </c>
      <c r="B855" s="28" t="n">
        <v>2021</v>
      </c>
      <c r="C855" s="28" t="s">
        <v>145</v>
      </c>
      <c r="D855" s="28" t="s">
        <v>46</v>
      </c>
      <c r="E855" s="28" t="s">
        <v>298</v>
      </c>
      <c r="F855" s="28" t="s">
        <v>142</v>
      </c>
      <c r="G855" s="28" t="s">
        <v>152</v>
      </c>
      <c r="H855" s="28" t="s">
        <v>494</v>
      </c>
      <c r="I855" s="29" t="n">
        <v>1591600</v>
      </c>
      <c r="J855" s="29" t="n">
        <v>1432440</v>
      </c>
      <c r="K855" s="28" t="n">
        <v>6.75</v>
      </c>
      <c r="L855" s="28" t="n">
        <v>120</v>
      </c>
      <c r="M855" s="28" t="n">
        <v>9</v>
      </c>
    </row>
    <row r="856" customFormat="false" ht="15" hidden="false" customHeight="false" outlineLevel="0" collapsed="false">
      <c r="A856" s="27" t="n">
        <v>44335</v>
      </c>
      <c r="B856" s="28" t="n">
        <v>2021</v>
      </c>
      <c r="C856" s="28" t="s">
        <v>145</v>
      </c>
      <c r="D856" s="28" t="s">
        <v>46</v>
      </c>
      <c r="E856" s="28" t="s">
        <v>298</v>
      </c>
      <c r="F856" s="28" t="s">
        <v>147</v>
      </c>
      <c r="G856" s="28" t="s">
        <v>152</v>
      </c>
      <c r="H856" s="28" t="s">
        <v>494</v>
      </c>
      <c r="I856" s="29" t="n">
        <v>100000</v>
      </c>
      <c r="J856" s="29" t="n">
        <v>75000</v>
      </c>
      <c r="K856" s="28" t="n">
        <v>6</v>
      </c>
      <c r="L856" s="28" t="n">
        <v>120</v>
      </c>
      <c r="M856" s="28" t="n">
        <v>9</v>
      </c>
    </row>
    <row r="857" customFormat="false" ht="15" hidden="false" customHeight="false" outlineLevel="0" collapsed="false">
      <c r="A857" s="27" t="n">
        <v>44335</v>
      </c>
      <c r="B857" s="28" t="n">
        <v>2021</v>
      </c>
      <c r="C857" s="28" t="s">
        <v>160</v>
      </c>
      <c r="D857" s="28" t="s">
        <v>50</v>
      </c>
      <c r="E857" s="28" t="s">
        <v>193</v>
      </c>
      <c r="F857" s="28" t="s">
        <v>142</v>
      </c>
      <c r="G857" s="28" t="s">
        <v>143</v>
      </c>
      <c r="H857" s="28" t="s">
        <v>168</v>
      </c>
      <c r="I857" s="29" t="n">
        <v>1301000</v>
      </c>
      <c r="J857" s="29" t="n">
        <v>1170900</v>
      </c>
      <c r="K857" s="28" t="n">
        <v>5</v>
      </c>
      <c r="L857" s="28" t="n">
        <v>120</v>
      </c>
      <c r="M857" s="28" t="n">
        <v>21</v>
      </c>
    </row>
    <row r="858" customFormat="false" ht="15" hidden="false" customHeight="false" outlineLevel="0" collapsed="false">
      <c r="A858" s="27" t="n">
        <v>44335</v>
      </c>
      <c r="B858" s="28" t="n">
        <v>2021</v>
      </c>
      <c r="C858" s="28" t="s">
        <v>166</v>
      </c>
      <c r="D858" s="28" t="s">
        <v>46</v>
      </c>
      <c r="E858" s="28" t="s">
        <v>259</v>
      </c>
      <c r="F858" s="28" t="s">
        <v>142</v>
      </c>
      <c r="G858" s="28" t="s">
        <v>148</v>
      </c>
      <c r="H858" s="28" t="s">
        <v>619</v>
      </c>
      <c r="I858" s="29" t="n">
        <v>309700</v>
      </c>
      <c r="J858" s="29" t="n">
        <v>278730</v>
      </c>
      <c r="K858" s="28" t="n">
        <v>5.75</v>
      </c>
      <c r="L858" s="28" t="n">
        <v>300</v>
      </c>
      <c r="M858" s="28" t="n">
        <v>4</v>
      </c>
    </row>
    <row r="859" customFormat="false" ht="15" hidden="false" customHeight="false" outlineLevel="0" collapsed="false">
      <c r="A859" s="27" t="n">
        <v>44336</v>
      </c>
      <c r="B859" s="28" t="n">
        <v>2021</v>
      </c>
      <c r="C859" s="28" t="s">
        <v>312</v>
      </c>
      <c r="D859" s="28" t="s">
        <v>49</v>
      </c>
      <c r="E859" s="28" t="s">
        <v>454</v>
      </c>
      <c r="F859" s="28" t="s">
        <v>142</v>
      </c>
      <c r="G859" s="28" t="s">
        <v>148</v>
      </c>
      <c r="H859" s="28" t="s">
        <v>404</v>
      </c>
      <c r="I859" s="29" t="n">
        <v>470000</v>
      </c>
      <c r="J859" s="29" t="n">
        <v>423000</v>
      </c>
      <c r="K859" s="28" t="n">
        <v>5</v>
      </c>
      <c r="L859" s="28" t="n">
        <v>124</v>
      </c>
      <c r="M859" s="28" t="n">
        <v>9</v>
      </c>
    </row>
    <row r="860" customFormat="false" ht="15" hidden="false" customHeight="false" outlineLevel="0" collapsed="false">
      <c r="A860" s="27" t="n">
        <v>44337</v>
      </c>
      <c r="B860" s="28" t="n">
        <v>2021</v>
      </c>
      <c r="C860" s="28" t="s">
        <v>172</v>
      </c>
      <c r="D860" s="28" t="s">
        <v>49</v>
      </c>
      <c r="E860" s="28" t="s">
        <v>475</v>
      </c>
      <c r="F860" s="28" t="s">
        <v>147</v>
      </c>
      <c r="G860" s="28" t="s">
        <v>441</v>
      </c>
      <c r="H860" s="28" t="s">
        <v>620</v>
      </c>
      <c r="I860" s="29" t="n">
        <v>100000</v>
      </c>
      <c r="J860" s="29" t="n">
        <v>75000</v>
      </c>
      <c r="K860" s="28" t="n">
        <v>6</v>
      </c>
      <c r="L860" s="28" t="n">
        <v>120</v>
      </c>
      <c r="M860" s="28" t="n">
        <v>3</v>
      </c>
    </row>
    <row r="861" customFormat="false" ht="15" hidden="false" customHeight="false" outlineLevel="0" collapsed="false">
      <c r="A861" s="27" t="n">
        <v>44339</v>
      </c>
      <c r="B861" s="28" t="n">
        <v>2021</v>
      </c>
      <c r="C861" s="28" t="s">
        <v>140</v>
      </c>
      <c r="D861" s="28" t="s">
        <v>45</v>
      </c>
      <c r="E861" s="28" t="s">
        <v>222</v>
      </c>
      <c r="F861" s="28" t="s">
        <v>142</v>
      </c>
      <c r="G861" s="28" t="s">
        <v>441</v>
      </c>
      <c r="H861" s="28" t="s">
        <v>165</v>
      </c>
      <c r="I861" s="29" t="n">
        <v>3871000</v>
      </c>
      <c r="J861" s="29" t="n">
        <v>3483900</v>
      </c>
      <c r="K861" s="28" t="n">
        <v>4.99</v>
      </c>
      <c r="L861" s="28" t="n">
        <v>120</v>
      </c>
      <c r="M861" s="28" t="n">
        <v>45</v>
      </c>
    </row>
    <row r="862" customFormat="false" ht="15" hidden="false" customHeight="false" outlineLevel="0" collapsed="false">
      <c r="A862" s="27" t="n">
        <v>44340</v>
      </c>
      <c r="B862" s="28" t="n">
        <v>2021</v>
      </c>
      <c r="C862" s="28" t="s">
        <v>450</v>
      </c>
      <c r="D862" s="28" t="s">
        <v>42</v>
      </c>
      <c r="E862" s="28" t="s">
        <v>247</v>
      </c>
      <c r="F862" s="28" t="s">
        <v>142</v>
      </c>
      <c r="G862" s="28" t="s">
        <v>152</v>
      </c>
      <c r="H862" s="28" t="s">
        <v>326</v>
      </c>
      <c r="I862" s="29" t="n">
        <v>1815000</v>
      </c>
      <c r="J862" s="29" t="n">
        <v>1633500</v>
      </c>
      <c r="K862" s="28" t="n">
        <v>5.75</v>
      </c>
      <c r="L862" s="28" t="n">
        <v>300</v>
      </c>
      <c r="M862" s="28" t="n">
        <v>13</v>
      </c>
    </row>
    <row r="863" customFormat="false" ht="15" hidden="false" customHeight="false" outlineLevel="0" collapsed="false">
      <c r="A863" s="27" t="n">
        <v>44340</v>
      </c>
      <c r="B863" s="28" t="n">
        <v>2021</v>
      </c>
      <c r="C863" s="28" t="s">
        <v>328</v>
      </c>
      <c r="D863" s="28" t="s">
        <v>48</v>
      </c>
      <c r="E863" s="28" t="s">
        <v>358</v>
      </c>
      <c r="F863" s="28" t="s">
        <v>142</v>
      </c>
      <c r="G863" s="28" t="s">
        <v>152</v>
      </c>
      <c r="H863" s="28" t="s">
        <v>416</v>
      </c>
      <c r="I863" s="29" t="n">
        <v>1000000</v>
      </c>
      <c r="J863" s="29" t="n">
        <v>900000</v>
      </c>
      <c r="K863" s="28" t="n">
        <v>6</v>
      </c>
      <c r="L863" s="28" t="n">
        <v>180</v>
      </c>
      <c r="M863" s="28" t="n">
        <v>14</v>
      </c>
    </row>
    <row r="864" customFormat="false" ht="15" hidden="false" customHeight="false" outlineLevel="0" collapsed="false">
      <c r="A864" s="27" t="n">
        <v>44340</v>
      </c>
      <c r="B864" s="28" t="n">
        <v>2021</v>
      </c>
      <c r="C864" s="28" t="s">
        <v>160</v>
      </c>
      <c r="D864" s="28" t="s">
        <v>44</v>
      </c>
      <c r="E864" s="28" t="s">
        <v>141</v>
      </c>
      <c r="F864" s="28" t="s">
        <v>142</v>
      </c>
      <c r="G864" s="28" t="s">
        <v>148</v>
      </c>
      <c r="H864" s="28" t="s">
        <v>621</v>
      </c>
      <c r="I864" s="29" t="n">
        <v>1016000</v>
      </c>
      <c r="J864" s="29" t="n">
        <v>914400</v>
      </c>
      <c r="K864" s="28" t="n">
        <v>6</v>
      </c>
      <c r="L864" s="28" t="n">
        <v>120</v>
      </c>
      <c r="M864" s="28" t="n">
        <v>75</v>
      </c>
    </row>
    <row r="865" customFormat="false" ht="15" hidden="false" customHeight="false" outlineLevel="0" collapsed="false">
      <c r="A865" s="27" t="n">
        <v>44340</v>
      </c>
      <c r="B865" s="28" t="n">
        <v>2021</v>
      </c>
      <c r="C865" s="28" t="s">
        <v>344</v>
      </c>
      <c r="D865" s="28" t="s">
        <v>48</v>
      </c>
      <c r="E865" s="28" t="s">
        <v>210</v>
      </c>
      <c r="F865" s="28" t="s">
        <v>147</v>
      </c>
      <c r="G865" s="28" t="s">
        <v>148</v>
      </c>
      <c r="H865" s="28" t="s">
        <v>281</v>
      </c>
      <c r="I865" s="29" t="n">
        <v>100000</v>
      </c>
      <c r="J865" s="29" t="n">
        <v>75000</v>
      </c>
      <c r="K865" s="28" t="n">
        <v>5.5</v>
      </c>
      <c r="L865" s="28" t="n">
        <v>84</v>
      </c>
      <c r="M865" s="28" t="n">
        <v>9</v>
      </c>
    </row>
    <row r="866" customFormat="false" ht="15" hidden="false" customHeight="false" outlineLevel="0" collapsed="false">
      <c r="A866" s="27" t="n">
        <v>44340</v>
      </c>
      <c r="B866" s="28" t="n">
        <v>2021</v>
      </c>
      <c r="C866" s="28" t="s">
        <v>169</v>
      </c>
      <c r="D866" s="28" t="s">
        <v>48</v>
      </c>
      <c r="E866" s="28" t="s">
        <v>182</v>
      </c>
      <c r="F866" s="28" t="s">
        <v>147</v>
      </c>
      <c r="G866" s="28" t="s">
        <v>148</v>
      </c>
      <c r="H866" s="28" t="s">
        <v>159</v>
      </c>
      <c r="I866" s="29" t="n">
        <v>225000</v>
      </c>
      <c r="J866" s="29" t="n">
        <v>168750</v>
      </c>
      <c r="K866" s="28" t="n">
        <v>5.5</v>
      </c>
      <c r="L866" s="28" t="n">
        <v>120</v>
      </c>
      <c r="M866" s="28" t="n">
        <v>20</v>
      </c>
    </row>
    <row r="867" customFormat="false" ht="15" hidden="false" customHeight="false" outlineLevel="0" collapsed="false">
      <c r="A867" s="27" t="n">
        <v>44341</v>
      </c>
      <c r="B867" s="28" t="n">
        <v>2021</v>
      </c>
      <c r="C867" s="28" t="s">
        <v>172</v>
      </c>
      <c r="D867" s="28" t="s">
        <v>48</v>
      </c>
      <c r="E867" s="28" t="s">
        <v>170</v>
      </c>
      <c r="F867" s="28" t="s">
        <v>147</v>
      </c>
      <c r="G867" s="28" t="s">
        <v>143</v>
      </c>
      <c r="H867" s="28" t="s">
        <v>205</v>
      </c>
      <c r="I867" s="29" t="n">
        <v>10000</v>
      </c>
      <c r="J867" s="29" t="n">
        <v>7500</v>
      </c>
      <c r="K867" s="28" t="n">
        <v>9.75</v>
      </c>
      <c r="L867" s="28" t="n">
        <v>120</v>
      </c>
      <c r="M867" s="28" t="n">
        <v>1</v>
      </c>
    </row>
    <row r="868" customFormat="false" ht="15" hidden="false" customHeight="false" outlineLevel="0" collapsed="false">
      <c r="A868" s="27" t="n">
        <v>44341</v>
      </c>
      <c r="B868" s="28" t="n">
        <v>2021</v>
      </c>
      <c r="C868" s="28" t="s">
        <v>263</v>
      </c>
      <c r="D868" s="28" t="s">
        <v>43</v>
      </c>
      <c r="E868" s="28" t="s">
        <v>509</v>
      </c>
      <c r="F868" s="28" t="s">
        <v>142</v>
      </c>
      <c r="G868" s="28" t="s">
        <v>143</v>
      </c>
      <c r="H868" s="28" t="s">
        <v>363</v>
      </c>
      <c r="I868" s="29" t="n">
        <v>450000</v>
      </c>
      <c r="J868" s="29" t="n">
        <v>405000</v>
      </c>
      <c r="K868" s="28" t="n">
        <v>5.75</v>
      </c>
      <c r="L868" s="28" t="n">
        <v>120</v>
      </c>
      <c r="M868" s="28" t="n">
        <v>10</v>
      </c>
    </row>
    <row r="869" customFormat="false" ht="15" hidden="false" customHeight="false" outlineLevel="0" collapsed="false">
      <c r="A869" s="27" t="n">
        <v>44341</v>
      </c>
      <c r="B869" s="28" t="n">
        <v>2021</v>
      </c>
      <c r="C869" s="28" t="s">
        <v>172</v>
      </c>
      <c r="D869" s="28" t="s">
        <v>45</v>
      </c>
      <c r="E869" s="28" t="s">
        <v>222</v>
      </c>
      <c r="F869" s="28" t="s">
        <v>142</v>
      </c>
      <c r="G869" s="28" t="s">
        <v>148</v>
      </c>
      <c r="H869" s="28" t="s">
        <v>619</v>
      </c>
      <c r="I869" s="29" t="n">
        <v>1049700</v>
      </c>
      <c r="J869" s="29" t="n">
        <v>944730</v>
      </c>
      <c r="K869" s="28" t="n">
        <v>6</v>
      </c>
      <c r="L869" s="28" t="n">
        <v>300</v>
      </c>
      <c r="M869" s="28" t="n">
        <v>21</v>
      </c>
    </row>
    <row r="870" customFormat="false" ht="15" hidden="false" customHeight="false" outlineLevel="0" collapsed="false">
      <c r="A870" s="27" t="n">
        <v>44341</v>
      </c>
      <c r="B870" s="28" t="n">
        <v>2021</v>
      </c>
      <c r="C870" s="28" t="s">
        <v>418</v>
      </c>
      <c r="D870" s="28" t="s">
        <v>53</v>
      </c>
      <c r="E870" s="28" t="s">
        <v>589</v>
      </c>
      <c r="F870" s="28" t="s">
        <v>142</v>
      </c>
      <c r="G870" s="28" t="s">
        <v>441</v>
      </c>
      <c r="H870" s="28" t="s">
        <v>211</v>
      </c>
      <c r="I870" s="29" t="n">
        <v>450000</v>
      </c>
      <c r="J870" s="29" t="n">
        <v>405000</v>
      </c>
      <c r="K870" s="28" t="n">
        <v>6</v>
      </c>
      <c r="L870" s="28" t="n">
        <v>252</v>
      </c>
      <c r="M870" s="28" t="n">
        <v>9</v>
      </c>
    </row>
    <row r="871" customFormat="false" ht="15" hidden="false" customHeight="false" outlineLevel="0" collapsed="false">
      <c r="A871" s="27" t="n">
        <v>44341</v>
      </c>
      <c r="B871" s="28" t="n">
        <v>2021</v>
      </c>
      <c r="C871" s="28" t="s">
        <v>418</v>
      </c>
      <c r="D871" s="28" t="s">
        <v>53</v>
      </c>
      <c r="E871" s="28" t="s">
        <v>589</v>
      </c>
      <c r="F871" s="28" t="s">
        <v>142</v>
      </c>
      <c r="G871" s="28" t="s">
        <v>441</v>
      </c>
      <c r="H871" s="28" t="s">
        <v>211</v>
      </c>
      <c r="I871" s="29" t="n">
        <v>1819000</v>
      </c>
      <c r="J871" s="29" t="n">
        <v>1637100</v>
      </c>
      <c r="K871" s="28" t="n">
        <v>6</v>
      </c>
      <c r="L871" s="28" t="n">
        <v>119</v>
      </c>
      <c r="M871" s="28" t="n">
        <v>9</v>
      </c>
    </row>
    <row r="872" customFormat="false" ht="15" hidden="false" customHeight="false" outlineLevel="0" collapsed="false">
      <c r="A872" s="27" t="n">
        <v>44341</v>
      </c>
      <c r="B872" s="28" t="n">
        <v>2021</v>
      </c>
      <c r="C872" s="28" t="s">
        <v>163</v>
      </c>
      <c r="D872" s="28" t="s">
        <v>49</v>
      </c>
      <c r="E872" s="28" t="s">
        <v>622</v>
      </c>
      <c r="F872" s="28" t="s">
        <v>142</v>
      </c>
      <c r="G872" s="28" t="s">
        <v>148</v>
      </c>
      <c r="H872" s="28" t="s">
        <v>162</v>
      </c>
      <c r="I872" s="29" t="n">
        <v>500000</v>
      </c>
      <c r="J872" s="29" t="n">
        <v>450000</v>
      </c>
      <c r="K872" s="28" t="n">
        <v>4</v>
      </c>
      <c r="L872" s="28" t="n">
        <v>60</v>
      </c>
      <c r="M872" s="28" t="n">
        <v>1</v>
      </c>
    </row>
    <row r="873" customFormat="false" ht="15" hidden="false" customHeight="false" outlineLevel="0" collapsed="false">
      <c r="A873" s="27" t="n">
        <v>44341</v>
      </c>
      <c r="B873" s="28" t="n">
        <v>2021</v>
      </c>
      <c r="C873" s="28" t="s">
        <v>169</v>
      </c>
      <c r="D873" s="28" t="s">
        <v>51</v>
      </c>
      <c r="E873" s="28" t="s">
        <v>239</v>
      </c>
      <c r="F873" s="28" t="s">
        <v>142</v>
      </c>
      <c r="G873" s="28" t="s">
        <v>148</v>
      </c>
      <c r="H873" s="28" t="s">
        <v>144</v>
      </c>
      <c r="I873" s="29" t="n">
        <v>400000</v>
      </c>
      <c r="J873" s="29" t="n">
        <v>360000</v>
      </c>
      <c r="K873" s="28" t="n">
        <v>5.25</v>
      </c>
      <c r="L873" s="28" t="n">
        <v>120</v>
      </c>
      <c r="M873" s="28" t="n">
        <v>20</v>
      </c>
    </row>
    <row r="874" customFormat="false" ht="15" hidden="false" customHeight="false" outlineLevel="0" collapsed="false">
      <c r="A874" s="27" t="n">
        <v>44341</v>
      </c>
      <c r="B874" s="28" t="n">
        <v>2021</v>
      </c>
      <c r="C874" s="28" t="s">
        <v>172</v>
      </c>
      <c r="D874" s="28" t="s">
        <v>50</v>
      </c>
      <c r="E874" s="28" t="s">
        <v>466</v>
      </c>
      <c r="F874" s="28" t="s">
        <v>142</v>
      </c>
      <c r="G874" s="28" t="s">
        <v>143</v>
      </c>
      <c r="H874" s="28" t="s">
        <v>287</v>
      </c>
      <c r="I874" s="29" t="n">
        <v>150000</v>
      </c>
      <c r="J874" s="29" t="n">
        <v>135000</v>
      </c>
      <c r="K874" s="28" t="n">
        <v>6</v>
      </c>
      <c r="L874" s="28" t="n">
        <v>120</v>
      </c>
      <c r="M874" s="28" t="n">
        <v>4</v>
      </c>
    </row>
    <row r="875" customFormat="false" ht="15" hidden="false" customHeight="false" outlineLevel="0" collapsed="false">
      <c r="A875" s="27" t="n">
        <v>44342</v>
      </c>
      <c r="B875" s="28" t="n">
        <v>2021</v>
      </c>
      <c r="C875" s="28" t="s">
        <v>265</v>
      </c>
      <c r="D875" s="28" t="s">
        <v>47</v>
      </c>
      <c r="E875" s="28" t="s">
        <v>458</v>
      </c>
      <c r="F875" s="28" t="s">
        <v>142</v>
      </c>
      <c r="G875" s="28" t="s">
        <v>148</v>
      </c>
      <c r="H875" s="28" t="s">
        <v>306</v>
      </c>
      <c r="I875" s="29" t="n">
        <v>2300000</v>
      </c>
      <c r="J875" s="29" t="n">
        <v>1725000</v>
      </c>
      <c r="K875" s="28" t="n">
        <v>4.35</v>
      </c>
      <c r="L875" s="28" t="n">
        <v>120</v>
      </c>
      <c r="M875" s="28" t="n">
        <v>16</v>
      </c>
    </row>
    <row r="876" customFormat="false" ht="15" hidden="false" customHeight="false" outlineLevel="0" collapsed="false">
      <c r="A876" s="27" t="n">
        <v>44343</v>
      </c>
      <c r="B876" s="28" t="n">
        <v>2021</v>
      </c>
      <c r="C876" s="28" t="s">
        <v>203</v>
      </c>
      <c r="D876" s="28" t="s">
        <v>46</v>
      </c>
      <c r="E876" s="28" t="s">
        <v>259</v>
      </c>
      <c r="F876" s="28" t="s">
        <v>142</v>
      </c>
      <c r="G876" s="28" t="s">
        <v>148</v>
      </c>
      <c r="H876" s="28" t="s">
        <v>338</v>
      </c>
      <c r="I876" s="29" t="n">
        <v>90000</v>
      </c>
      <c r="J876" s="29" t="n">
        <v>81000</v>
      </c>
      <c r="K876" s="28" t="n">
        <v>5.5</v>
      </c>
      <c r="L876" s="28" t="n">
        <v>63</v>
      </c>
      <c r="M876" s="28" t="n">
        <v>12</v>
      </c>
    </row>
    <row r="877" customFormat="false" ht="15" hidden="false" customHeight="false" outlineLevel="0" collapsed="false">
      <c r="A877" s="27" t="n">
        <v>44343</v>
      </c>
      <c r="B877" s="28" t="n">
        <v>2021</v>
      </c>
      <c r="C877" s="28" t="s">
        <v>203</v>
      </c>
      <c r="D877" s="28" t="s">
        <v>46</v>
      </c>
      <c r="E877" s="28" t="s">
        <v>580</v>
      </c>
      <c r="F877" s="28" t="s">
        <v>142</v>
      </c>
      <c r="G877" s="28" t="s">
        <v>152</v>
      </c>
      <c r="H877" s="28" t="s">
        <v>144</v>
      </c>
      <c r="I877" s="29" t="n">
        <v>1700000</v>
      </c>
      <c r="J877" s="29" t="n">
        <v>1530000</v>
      </c>
      <c r="K877" s="28" t="n">
        <v>5.5</v>
      </c>
      <c r="L877" s="28" t="n">
        <v>120</v>
      </c>
      <c r="M877" s="28" t="n">
        <v>4</v>
      </c>
    </row>
    <row r="878" customFormat="false" ht="15" hidden="false" customHeight="false" outlineLevel="0" collapsed="false">
      <c r="A878" s="27" t="n">
        <v>44344</v>
      </c>
      <c r="B878" s="28" t="n">
        <v>2021</v>
      </c>
      <c r="C878" s="28" t="s">
        <v>203</v>
      </c>
      <c r="D878" s="28" t="s">
        <v>43</v>
      </c>
      <c r="E878" s="28" t="s">
        <v>517</v>
      </c>
      <c r="F878" s="28" t="s">
        <v>142</v>
      </c>
      <c r="G878" s="28" t="s">
        <v>152</v>
      </c>
      <c r="H878" s="28" t="s">
        <v>281</v>
      </c>
      <c r="I878" s="29" t="n">
        <v>674800</v>
      </c>
      <c r="J878" s="29" t="n">
        <v>607320</v>
      </c>
      <c r="K878" s="28" t="n">
        <v>5.25</v>
      </c>
      <c r="L878" s="28" t="n">
        <v>120</v>
      </c>
      <c r="M878" s="28" t="n">
        <v>4</v>
      </c>
    </row>
    <row r="879" customFormat="false" ht="15" hidden="false" customHeight="false" outlineLevel="0" collapsed="false">
      <c r="A879" s="27" t="n">
        <v>44348</v>
      </c>
      <c r="B879" s="28" t="n">
        <v>2021</v>
      </c>
      <c r="C879" s="28" t="s">
        <v>540</v>
      </c>
      <c r="D879" s="28" t="s">
        <v>43</v>
      </c>
      <c r="E879" s="28" t="s">
        <v>350</v>
      </c>
      <c r="F879" s="28" t="s">
        <v>142</v>
      </c>
      <c r="G879" s="28" t="s">
        <v>152</v>
      </c>
      <c r="H879" s="28" t="s">
        <v>144</v>
      </c>
      <c r="I879" s="29" t="n">
        <v>2300000</v>
      </c>
      <c r="J879" s="29" t="n">
        <v>2070000</v>
      </c>
      <c r="K879" s="28" t="n">
        <v>5</v>
      </c>
      <c r="L879" s="28" t="n">
        <v>120</v>
      </c>
      <c r="M879" s="28" t="n">
        <v>8</v>
      </c>
    </row>
    <row r="880" customFormat="false" ht="15" hidden="false" customHeight="false" outlineLevel="0" collapsed="false">
      <c r="A880" s="27" t="n">
        <v>44348</v>
      </c>
      <c r="B880" s="28" t="n">
        <v>2021</v>
      </c>
      <c r="C880" s="28" t="s">
        <v>140</v>
      </c>
      <c r="D880" s="28" t="s">
        <v>47</v>
      </c>
      <c r="E880" s="28" t="s">
        <v>623</v>
      </c>
      <c r="F880" s="28" t="s">
        <v>147</v>
      </c>
      <c r="G880" s="28" t="s">
        <v>148</v>
      </c>
      <c r="H880" s="28" t="s">
        <v>354</v>
      </c>
      <c r="I880" s="29" t="n">
        <v>80000</v>
      </c>
      <c r="J880" s="29" t="n">
        <v>60000</v>
      </c>
      <c r="K880" s="28" t="n">
        <v>1.75</v>
      </c>
      <c r="L880" s="28" t="n">
        <v>120</v>
      </c>
      <c r="M880" s="28" t="n">
        <v>5</v>
      </c>
    </row>
    <row r="881" customFormat="false" ht="15" hidden="false" customHeight="false" outlineLevel="0" collapsed="false">
      <c r="A881" s="27" t="n">
        <v>44348</v>
      </c>
      <c r="B881" s="28" t="n">
        <v>2021</v>
      </c>
      <c r="C881" s="28" t="s">
        <v>300</v>
      </c>
      <c r="D881" s="28" t="s">
        <v>42</v>
      </c>
      <c r="E881" s="28" t="s">
        <v>247</v>
      </c>
      <c r="F881" s="28" t="s">
        <v>142</v>
      </c>
      <c r="G881" s="28" t="s">
        <v>441</v>
      </c>
      <c r="H881" s="28" t="s">
        <v>211</v>
      </c>
      <c r="I881" s="29" t="n">
        <v>1950000</v>
      </c>
      <c r="J881" s="29" t="n">
        <v>1365000</v>
      </c>
      <c r="K881" s="28" t="n">
        <v>5.25</v>
      </c>
      <c r="L881" s="28" t="n">
        <v>300</v>
      </c>
      <c r="M881" s="28" t="n">
        <v>4</v>
      </c>
    </row>
    <row r="882" customFormat="false" ht="15" hidden="false" customHeight="false" outlineLevel="0" collapsed="false">
      <c r="A882" s="27" t="n">
        <v>44348</v>
      </c>
      <c r="B882" s="28" t="n">
        <v>2021</v>
      </c>
      <c r="C882" s="28" t="s">
        <v>300</v>
      </c>
      <c r="D882" s="28" t="s">
        <v>42</v>
      </c>
      <c r="E882" s="28" t="s">
        <v>247</v>
      </c>
      <c r="F882" s="28" t="s">
        <v>142</v>
      </c>
      <c r="G882" s="28" t="s">
        <v>441</v>
      </c>
      <c r="H882" s="28" t="s">
        <v>211</v>
      </c>
      <c r="I882" s="29" t="n">
        <v>1161000</v>
      </c>
      <c r="J882" s="29" t="n">
        <v>812700</v>
      </c>
      <c r="K882" s="28" t="n">
        <v>5.25</v>
      </c>
      <c r="L882" s="28" t="n">
        <v>300</v>
      </c>
      <c r="M882" s="28" t="n">
        <v>4</v>
      </c>
    </row>
    <row r="883" customFormat="false" ht="15" hidden="false" customHeight="false" outlineLevel="0" collapsed="false">
      <c r="A883" s="27" t="n">
        <v>44348</v>
      </c>
      <c r="B883" s="28" t="n">
        <v>2021</v>
      </c>
      <c r="C883" s="28" t="s">
        <v>172</v>
      </c>
      <c r="D883" s="28" t="s">
        <v>42</v>
      </c>
      <c r="E883" s="28" t="s">
        <v>164</v>
      </c>
      <c r="F883" s="28" t="s">
        <v>142</v>
      </c>
      <c r="G883" s="28" t="s">
        <v>148</v>
      </c>
      <c r="H883" s="28" t="s">
        <v>149</v>
      </c>
      <c r="I883" s="29" t="n">
        <v>560000</v>
      </c>
      <c r="J883" s="29" t="n">
        <v>504000</v>
      </c>
      <c r="K883" s="28" t="n">
        <v>5.25</v>
      </c>
      <c r="L883" s="28" t="n">
        <v>120</v>
      </c>
      <c r="M883" s="28" t="n">
        <v>13</v>
      </c>
    </row>
    <row r="884" customFormat="false" ht="15" hidden="false" customHeight="false" outlineLevel="0" collapsed="false">
      <c r="A884" s="27" t="n">
        <v>44349</v>
      </c>
      <c r="B884" s="28" t="n">
        <v>2021</v>
      </c>
      <c r="C884" s="28" t="s">
        <v>166</v>
      </c>
      <c r="D884" s="28" t="s">
        <v>45</v>
      </c>
      <c r="E884" s="28" t="s">
        <v>199</v>
      </c>
      <c r="F884" s="28" t="s">
        <v>147</v>
      </c>
      <c r="G884" s="28" t="s">
        <v>148</v>
      </c>
      <c r="H884" s="28" t="s">
        <v>159</v>
      </c>
      <c r="I884" s="29" t="n">
        <v>100000</v>
      </c>
      <c r="J884" s="29" t="n">
        <v>75000</v>
      </c>
      <c r="K884" s="28" t="n">
        <v>7</v>
      </c>
      <c r="L884" s="28" t="n">
        <v>120</v>
      </c>
      <c r="M884" s="28" t="n">
        <v>6</v>
      </c>
    </row>
    <row r="885" customFormat="false" ht="15" hidden="false" customHeight="false" outlineLevel="0" collapsed="false">
      <c r="A885" s="27" t="n">
        <v>44350</v>
      </c>
      <c r="B885" s="28" t="n">
        <v>2021</v>
      </c>
      <c r="C885" s="28" t="s">
        <v>203</v>
      </c>
      <c r="D885" s="28" t="s">
        <v>48</v>
      </c>
      <c r="E885" s="28" t="s">
        <v>342</v>
      </c>
      <c r="F885" s="28" t="s">
        <v>142</v>
      </c>
      <c r="G885" s="28" t="s">
        <v>441</v>
      </c>
      <c r="H885" s="28" t="s">
        <v>275</v>
      </c>
      <c r="I885" s="29" t="n">
        <v>1623500</v>
      </c>
      <c r="J885" s="29" t="n">
        <v>1461150</v>
      </c>
      <c r="K885" s="28" t="n">
        <v>5</v>
      </c>
      <c r="L885" s="28" t="n">
        <v>300</v>
      </c>
      <c r="M885" s="28" t="n">
        <v>8</v>
      </c>
    </row>
    <row r="886" customFormat="false" ht="15" hidden="false" customHeight="false" outlineLevel="0" collapsed="false">
      <c r="A886" s="27" t="n">
        <v>44350</v>
      </c>
      <c r="B886" s="28" t="n">
        <v>2021</v>
      </c>
      <c r="C886" s="28" t="s">
        <v>160</v>
      </c>
      <c r="D886" s="28" t="s">
        <v>52</v>
      </c>
      <c r="E886" s="28" t="s">
        <v>624</v>
      </c>
      <c r="F886" s="28" t="s">
        <v>147</v>
      </c>
      <c r="G886" s="28" t="s">
        <v>441</v>
      </c>
      <c r="H886" s="28" t="s">
        <v>168</v>
      </c>
      <c r="I886" s="29" t="n">
        <v>10000</v>
      </c>
      <c r="J886" s="29" t="n">
        <v>7500</v>
      </c>
      <c r="K886" s="28" t="n">
        <v>9.25</v>
      </c>
      <c r="L886" s="28" t="n">
        <v>120</v>
      </c>
      <c r="M886" s="28" t="n">
        <v>0</v>
      </c>
    </row>
    <row r="887" customFormat="false" ht="15" hidden="false" customHeight="false" outlineLevel="0" collapsed="false">
      <c r="A887" s="27" t="n">
        <v>44351</v>
      </c>
      <c r="B887" s="28" t="n">
        <v>2021</v>
      </c>
      <c r="C887" s="28" t="s">
        <v>201</v>
      </c>
      <c r="D887" s="28" t="s">
        <v>45</v>
      </c>
      <c r="E887" s="28" t="s">
        <v>202</v>
      </c>
      <c r="F887" s="28" t="s">
        <v>142</v>
      </c>
      <c r="G887" s="28" t="s">
        <v>143</v>
      </c>
      <c r="H887" s="28" t="s">
        <v>287</v>
      </c>
      <c r="I887" s="29" t="n">
        <v>150000</v>
      </c>
      <c r="J887" s="29" t="n">
        <v>135000</v>
      </c>
      <c r="K887" s="28" t="n">
        <v>6</v>
      </c>
      <c r="L887" s="28" t="n">
        <v>120</v>
      </c>
      <c r="M887" s="28" t="n">
        <v>5</v>
      </c>
    </row>
    <row r="888" customFormat="false" ht="15" hidden="false" customHeight="false" outlineLevel="0" collapsed="false">
      <c r="A888" s="27" t="n">
        <v>44351</v>
      </c>
      <c r="B888" s="28" t="n">
        <v>2021</v>
      </c>
      <c r="C888" s="28" t="s">
        <v>206</v>
      </c>
      <c r="D888" s="28" t="s">
        <v>56</v>
      </c>
      <c r="E888" s="28" t="s">
        <v>609</v>
      </c>
      <c r="F888" s="28" t="s">
        <v>142</v>
      </c>
      <c r="G888" s="28" t="s">
        <v>148</v>
      </c>
      <c r="H888" s="28" t="s">
        <v>579</v>
      </c>
      <c r="I888" s="29" t="n">
        <v>5000000</v>
      </c>
      <c r="J888" s="29" t="n">
        <v>3750000</v>
      </c>
      <c r="K888" s="28" t="n">
        <v>5.5</v>
      </c>
      <c r="L888" s="28" t="n">
        <v>306</v>
      </c>
      <c r="M888" s="28" t="n">
        <v>23</v>
      </c>
    </row>
    <row r="889" customFormat="false" ht="15" hidden="false" customHeight="false" outlineLevel="0" collapsed="false">
      <c r="A889" s="27" t="n">
        <v>44351</v>
      </c>
      <c r="B889" s="28" t="n">
        <v>2021</v>
      </c>
      <c r="C889" s="28" t="s">
        <v>540</v>
      </c>
      <c r="D889" s="28" t="s">
        <v>45</v>
      </c>
      <c r="E889" s="28" t="s">
        <v>345</v>
      </c>
      <c r="F889" s="28" t="s">
        <v>283</v>
      </c>
      <c r="G889" s="28" t="s">
        <v>148</v>
      </c>
      <c r="H889" s="28" t="s">
        <v>306</v>
      </c>
      <c r="I889" s="29" t="n">
        <v>5000000</v>
      </c>
      <c r="J889" s="29" t="n">
        <v>3750000</v>
      </c>
      <c r="K889" s="28" t="n">
        <v>4</v>
      </c>
      <c r="L889" s="28" t="n">
        <v>60</v>
      </c>
      <c r="M889" s="28" t="n">
        <v>6</v>
      </c>
    </row>
    <row r="890" customFormat="false" ht="15" hidden="false" customHeight="false" outlineLevel="0" collapsed="false">
      <c r="A890" s="27" t="n">
        <v>44354</v>
      </c>
      <c r="B890" s="28" t="n">
        <v>2021</v>
      </c>
      <c r="C890" s="28" t="s">
        <v>163</v>
      </c>
      <c r="D890" s="28" t="s">
        <v>44</v>
      </c>
      <c r="E890" s="28" t="s">
        <v>348</v>
      </c>
      <c r="F890" s="28" t="s">
        <v>142</v>
      </c>
      <c r="G890" s="28" t="s">
        <v>143</v>
      </c>
      <c r="H890" s="28" t="s">
        <v>536</v>
      </c>
      <c r="I890" s="29" t="n">
        <v>1385200</v>
      </c>
      <c r="J890" s="29" t="n">
        <v>1246680</v>
      </c>
      <c r="K890" s="28" t="n">
        <v>5</v>
      </c>
      <c r="L890" s="28" t="n">
        <v>129</v>
      </c>
      <c r="M890" s="28" t="n">
        <v>48</v>
      </c>
    </row>
    <row r="891" customFormat="false" ht="15" hidden="false" customHeight="false" outlineLevel="0" collapsed="false">
      <c r="A891" s="27" t="n">
        <v>44354</v>
      </c>
      <c r="B891" s="28" t="n">
        <v>2021</v>
      </c>
      <c r="C891" s="28" t="s">
        <v>140</v>
      </c>
      <c r="D891" s="28" t="s">
        <v>44</v>
      </c>
      <c r="E891" s="28" t="s">
        <v>167</v>
      </c>
      <c r="F891" s="28" t="s">
        <v>142</v>
      </c>
      <c r="G891" s="28" t="s">
        <v>152</v>
      </c>
      <c r="H891" s="28" t="s">
        <v>625</v>
      </c>
      <c r="I891" s="29" t="n">
        <v>1272000</v>
      </c>
      <c r="J891" s="29" t="n">
        <v>1144800</v>
      </c>
      <c r="K891" s="28" t="n">
        <v>5.45</v>
      </c>
      <c r="L891" s="28" t="n">
        <v>120</v>
      </c>
      <c r="M891" s="28" t="n">
        <v>124</v>
      </c>
    </row>
    <row r="892" customFormat="false" ht="15" hidden="false" customHeight="false" outlineLevel="0" collapsed="false">
      <c r="A892" s="27" t="n">
        <v>44354</v>
      </c>
      <c r="B892" s="28" t="n">
        <v>2021</v>
      </c>
      <c r="C892" s="28" t="s">
        <v>140</v>
      </c>
      <c r="D892" s="28" t="s">
        <v>44</v>
      </c>
      <c r="E892" s="28" t="s">
        <v>167</v>
      </c>
      <c r="F892" s="28" t="s">
        <v>147</v>
      </c>
      <c r="G892" s="28" t="s">
        <v>441</v>
      </c>
      <c r="H892" s="28" t="s">
        <v>625</v>
      </c>
      <c r="I892" s="29" t="n">
        <v>150000</v>
      </c>
      <c r="J892" s="29" t="n">
        <v>112500</v>
      </c>
      <c r="K892" s="28" t="n">
        <v>5.25</v>
      </c>
      <c r="L892" s="28" t="n">
        <v>120</v>
      </c>
      <c r="M892" s="28" t="n">
        <v>100</v>
      </c>
    </row>
    <row r="893" customFormat="false" ht="15" hidden="false" customHeight="false" outlineLevel="0" collapsed="false">
      <c r="A893" s="27" t="n">
        <v>44355</v>
      </c>
      <c r="B893" s="28" t="n">
        <v>2021</v>
      </c>
      <c r="C893" s="28" t="s">
        <v>172</v>
      </c>
      <c r="D893" s="28" t="s">
        <v>44</v>
      </c>
      <c r="E893" s="28" t="s">
        <v>167</v>
      </c>
      <c r="F893" s="28" t="s">
        <v>142</v>
      </c>
      <c r="G893" s="28" t="s">
        <v>148</v>
      </c>
      <c r="H893" s="28" t="s">
        <v>248</v>
      </c>
      <c r="I893" s="29" t="n">
        <v>280000</v>
      </c>
      <c r="J893" s="29" t="n">
        <v>252000</v>
      </c>
      <c r="K893" s="28" t="n">
        <v>4.75</v>
      </c>
      <c r="L893" s="28" t="n">
        <v>300</v>
      </c>
      <c r="M893" s="28" t="n">
        <v>1</v>
      </c>
    </row>
    <row r="894" customFormat="false" ht="15" hidden="false" customHeight="false" outlineLevel="0" collapsed="false">
      <c r="A894" s="27" t="n">
        <v>44355</v>
      </c>
      <c r="B894" s="28" t="n">
        <v>2021</v>
      </c>
      <c r="C894" s="28" t="s">
        <v>209</v>
      </c>
      <c r="D894" s="28" t="s">
        <v>48</v>
      </c>
      <c r="E894" s="28" t="s">
        <v>362</v>
      </c>
      <c r="F894" s="28" t="s">
        <v>142</v>
      </c>
      <c r="G894" s="28" t="s">
        <v>148</v>
      </c>
      <c r="H894" s="28" t="s">
        <v>165</v>
      </c>
      <c r="I894" s="29" t="n">
        <v>1453600</v>
      </c>
      <c r="J894" s="29" t="n">
        <v>1308240</v>
      </c>
      <c r="K894" s="28" t="n">
        <v>3.95</v>
      </c>
      <c r="L894" s="28" t="n">
        <v>300</v>
      </c>
      <c r="M894" s="28" t="n">
        <v>50</v>
      </c>
    </row>
    <row r="895" customFormat="false" ht="15" hidden="false" customHeight="false" outlineLevel="0" collapsed="false">
      <c r="A895" s="27" t="n">
        <v>44356</v>
      </c>
      <c r="B895" s="28" t="n">
        <v>2021</v>
      </c>
      <c r="C895" s="28" t="s">
        <v>172</v>
      </c>
      <c r="D895" s="28" t="s">
        <v>48</v>
      </c>
      <c r="E895" s="28" t="s">
        <v>602</v>
      </c>
      <c r="F895" s="28" t="s">
        <v>147</v>
      </c>
      <c r="G895" s="28" t="s">
        <v>143</v>
      </c>
      <c r="H895" s="28" t="s">
        <v>211</v>
      </c>
      <c r="I895" s="29" t="n">
        <v>25000</v>
      </c>
      <c r="J895" s="29" t="n">
        <v>18750</v>
      </c>
      <c r="K895" s="28" t="n">
        <v>6</v>
      </c>
      <c r="L895" s="28" t="n">
        <v>120</v>
      </c>
      <c r="M895" s="28" t="n">
        <v>100</v>
      </c>
    </row>
    <row r="896" customFormat="false" ht="15" hidden="false" customHeight="false" outlineLevel="0" collapsed="false">
      <c r="A896" s="27" t="n">
        <v>44356</v>
      </c>
      <c r="B896" s="28" t="n">
        <v>2021</v>
      </c>
      <c r="C896" s="28" t="s">
        <v>312</v>
      </c>
      <c r="D896" s="28" t="s">
        <v>43</v>
      </c>
      <c r="E896" s="28" t="s">
        <v>588</v>
      </c>
      <c r="F896" s="28" t="s">
        <v>142</v>
      </c>
      <c r="G896" s="28" t="s">
        <v>148</v>
      </c>
      <c r="H896" s="28" t="s">
        <v>306</v>
      </c>
      <c r="I896" s="29" t="n">
        <v>213000</v>
      </c>
      <c r="J896" s="29" t="n">
        <v>159750</v>
      </c>
      <c r="K896" s="28" t="n">
        <v>4.95</v>
      </c>
      <c r="L896" s="28" t="n">
        <v>120</v>
      </c>
      <c r="M896" s="28" t="n">
        <v>10</v>
      </c>
    </row>
    <row r="897" customFormat="false" ht="15" hidden="false" customHeight="false" outlineLevel="0" collapsed="false">
      <c r="A897" s="27" t="n">
        <v>44356</v>
      </c>
      <c r="B897" s="28" t="n">
        <v>2021</v>
      </c>
      <c r="C897" s="28" t="s">
        <v>172</v>
      </c>
      <c r="D897" s="28" t="s">
        <v>48</v>
      </c>
      <c r="E897" s="28" t="s">
        <v>602</v>
      </c>
      <c r="F897" s="28" t="s">
        <v>142</v>
      </c>
      <c r="G897" s="28" t="s">
        <v>152</v>
      </c>
      <c r="H897" s="28" t="s">
        <v>211</v>
      </c>
      <c r="I897" s="29" t="n">
        <v>349000</v>
      </c>
      <c r="J897" s="29" t="n">
        <v>314100</v>
      </c>
      <c r="K897" s="28" t="n">
        <v>6</v>
      </c>
      <c r="L897" s="28" t="n">
        <v>120</v>
      </c>
      <c r="M897" s="28" t="n">
        <v>102</v>
      </c>
    </row>
    <row r="898" customFormat="false" ht="15" hidden="false" customHeight="false" outlineLevel="0" collapsed="false">
      <c r="A898" s="27" t="n">
        <v>44357</v>
      </c>
      <c r="B898" s="28" t="n">
        <v>2021</v>
      </c>
      <c r="C898" s="28" t="s">
        <v>292</v>
      </c>
      <c r="D898" s="28" t="s">
        <v>50</v>
      </c>
      <c r="E898" s="28" t="s">
        <v>389</v>
      </c>
      <c r="F898" s="28" t="s">
        <v>147</v>
      </c>
      <c r="G898" s="28" t="s">
        <v>152</v>
      </c>
      <c r="H898" s="28" t="s">
        <v>626</v>
      </c>
      <c r="I898" s="29" t="n">
        <v>100000</v>
      </c>
      <c r="J898" s="29" t="n">
        <v>50000</v>
      </c>
      <c r="K898" s="28" t="n">
        <v>6.75</v>
      </c>
      <c r="L898" s="28" t="n">
        <v>84</v>
      </c>
      <c r="M898" s="28" t="n">
        <v>1</v>
      </c>
    </row>
    <row r="899" customFormat="false" ht="15" hidden="false" customHeight="false" outlineLevel="0" collapsed="false">
      <c r="A899" s="27" t="n">
        <v>44357</v>
      </c>
      <c r="B899" s="28" t="n">
        <v>2021</v>
      </c>
      <c r="C899" s="28" t="s">
        <v>172</v>
      </c>
      <c r="D899" s="28" t="s">
        <v>42</v>
      </c>
      <c r="E899" s="28" t="s">
        <v>164</v>
      </c>
      <c r="F899" s="28" t="s">
        <v>142</v>
      </c>
      <c r="G899" s="28" t="s">
        <v>143</v>
      </c>
      <c r="H899" s="28" t="s">
        <v>215</v>
      </c>
      <c r="I899" s="29" t="n">
        <v>1100000</v>
      </c>
      <c r="J899" s="29" t="n">
        <v>990000</v>
      </c>
      <c r="K899" s="28" t="n">
        <v>4.75</v>
      </c>
      <c r="L899" s="28" t="n">
        <v>120</v>
      </c>
      <c r="M899" s="28" t="n">
        <v>52</v>
      </c>
    </row>
    <row r="900" customFormat="false" ht="15" hidden="false" customHeight="false" outlineLevel="0" collapsed="false">
      <c r="A900" s="27" t="n">
        <v>44357</v>
      </c>
      <c r="B900" s="28" t="n">
        <v>2021</v>
      </c>
      <c r="C900" s="28" t="s">
        <v>172</v>
      </c>
      <c r="D900" s="28" t="s">
        <v>48</v>
      </c>
      <c r="E900" s="28" t="s">
        <v>362</v>
      </c>
      <c r="F900" s="28" t="s">
        <v>147</v>
      </c>
      <c r="G900" s="28" t="s">
        <v>148</v>
      </c>
      <c r="H900" s="28" t="s">
        <v>227</v>
      </c>
      <c r="I900" s="29" t="n">
        <v>25000</v>
      </c>
      <c r="J900" s="29" t="n">
        <v>18750</v>
      </c>
      <c r="K900" s="28" t="n">
        <v>9.75</v>
      </c>
      <c r="L900" s="28" t="n">
        <v>120</v>
      </c>
      <c r="M900" s="28" t="n">
        <v>2</v>
      </c>
    </row>
    <row r="901" customFormat="false" ht="15" hidden="false" customHeight="false" outlineLevel="0" collapsed="false">
      <c r="A901" s="27" t="n">
        <v>44357</v>
      </c>
      <c r="B901" s="28" t="n">
        <v>2021</v>
      </c>
      <c r="C901" s="28" t="s">
        <v>163</v>
      </c>
      <c r="D901" s="28" t="s">
        <v>44</v>
      </c>
      <c r="E901" s="28" t="s">
        <v>141</v>
      </c>
      <c r="F901" s="28" t="s">
        <v>142</v>
      </c>
      <c r="G901" s="28" t="s">
        <v>148</v>
      </c>
      <c r="H901" s="28" t="s">
        <v>457</v>
      </c>
      <c r="I901" s="29" t="n">
        <v>4125000</v>
      </c>
      <c r="J901" s="29" t="n">
        <v>3176250</v>
      </c>
      <c r="K901" s="28" t="n">
        <v>4.75</v>
      </c>
      <c r="L901" s="28" t="n">
        <v>300</v>
      </c>
      <c r="M901" s="28" t="n">
        <v>30</v>
      </c>
    </row>
    <row r="902" customFormat="false" ht="15" hidden="false" customHeight="false" outlineLevel="0" collapsed="false">
      <c r="A902" s="27" t="n">
        <v>44357</v>
      </c>
      <c r="B902" s="28" t="n">
        <v>2021</v>
      </c>
      <c r="C902" s="28" t="s">
        <v>249</v>
      </c>
      <c r="D902" s="28" t="s">
        <v>47</v>
      </c>
      <c r="E902" s="28" t="s">
        <v>373</v>
      </c>
      <c r="F902" s="28" t="s">
        <v>147</v>
      </c>
      <c r="G902" s="28" t="s">
        <v>143</v>
      </c>
      <c r="H902" s="28" t="s">
        <v>495</v>
      </c>
      <c r="I902" s="29" t="n">
        <v>100000</v>
      </c>
      <c r="J902" s="29" t="n">
        <v>75000</v>
      </c>
      <c r="K902" s="28" t="n">
        <v>4.75</v>
      </c>
      <c r="L902" s="28" t="n">
        <v>120</v>
      </c>
      <c r="M902" s="28" t="n">
        <v>4</v>
      </c>
    </row>
    <row r="903" customFormat="false" ht="15" hidden="false" customHeight="false" outlineLevel="0" collapsed="false">
      <c r="A903" s="27" t="n">
        <v>44358</v>
      </c>
      <c r="B903" s="28" t="n">
        <v>2021</v>
      </c>
      <c r="C903" s="28" t="s">
        <v>172</v>
      </c>
      <c r="D903" s="28" t="s">
        <v>44</v>
      </c>
      <c r="E903" s="28" t="s">
        <v>167</v>
      </c>
      <c r="F903" s="28" t="s">
        <v>142</v>
      </c>
      <c r="G903" s="28" t="s">
        <v>148</v>
      </c>
      <c r="H903" s="28" t="s">
        <v>200</v>
      </c>
      <c r="I903" s="29" t="n">
        <v>1600000</v>
      </c>
      <c r="J903" s="29" t="n">
        <v>1440000</v>
      </c>
      <c r="K903" s="28" t="n">
        <v>6</v>
      </c>
      <c r="L903" s="28" t="n">
        <v>120</v>
      </c>
      <c r="M903" s="28" t="n">
        <v>120</v>
      </c>
    </row>
    <row r="904" customFormat="false" ht="15" hidden="false" customHeight="false" outlineLevel="0" collapsed="false">
      <c r="A904" s="27" t="n">
        <v>44358</v>
      </c>
      <c r="B904" s="28" t="n">
        <v>2021</v>
      </c>
      <c r="C904" s="28" t="s">
        <v>169</v>
      </c>
      <c r="D904" s="28" t="s">
        <v>45</v>
      </c>
      <c r="E904" s="28" t="s">
        <v>356</v>
      </c>
      <c r="F904" s="28" t="s">
        <v>142</v>
      </c>
      <c r="G904" s="28" t="s">
        <v>143</v>
      </c>
      <c r="H904" s="28" t="s">
        <v>287</v>
      </c>
      <c r="I904" s="29" t="n">
        <v>150000</v>
      </c>
      <c r="J904" s="29" t="n">
        <v>135000</v>
      </c>
      <c r="K904" s="28" t="n">
        <v>6</v>
      </c>
      <c r="L904" s="28" t="n">
        <v>120</v>
      </c>
      <c r="M904" s="28" t="n">
        <v>5</v>
      </c>
    </row>
    <row r="905" customFormat="false" ht="15" hidden="false" customHeight="false" outlineLevel="0" collapsed="false">
      <c r="A905" s="27" t="n">
        <v>44358</v>
      </c>
      <c r="B905" s="28" t="n">
        <v>2021</v>
      </c>
      <c r="C905" s="28" t="s">
        <v>163</v>
      </c>
      <c r="D905" s="28" t="s">
        <v>42</v>
      </c>
      <c r="E905" s="28" t="s">
        <v>180</v>
      </c>
      <c r="F905" s="28" t="s">
        <v>147</v>
      </c>
      <c r="G905" s="28" t="s">
        <v>441</v>
      </c>
      <c r="H905" s="28" t="s">
        <v>220</v>
      </c>
      <c r="I905" s="29" t="n">
        <v>222100</v>
      </c>
      <c r="J905" s="29" t="n">
        <v>166575</v>
      </c>
      <c r="K905" s="28" t="n">
        <v>5.25</v>
      </c>
      <c r="L905" s="28" t="n">
        <v>120</v>
      </c>
      <c r="M905" s="28" t="n">
        <v>19</v>
      </c>
    </row>
    <row r="906" customFormat="false" ht="15" hidden="false" customHeight="false" outlineLevel="0" collapsed="false">
      <c r="A906" s="27" t="n">
        <v>44358</v>
      </c>
      <c r="B906" s="28" t="n">
        <v>2021</v>
      </c>
      <c r="C906" s="28" t="s">
        <v>166</v>
      </c>
      <c r="D906" s="28" t="s">
        <v>52</v>
      </c>
      <c r="E906" s="28" t="s">
        <v>599</v>
      </c>
      <c r="F906" s="28" t="s">
        <v>147</v>
      </c>
      <c r="G906" s="28" t="s">
        <v>148</v>
      </c>
      <c r="H906" s="28" t="s">
        <v>168</v>
      </c>
      <c r="I906" s="29" t="n">
        <v>5000</v>
      </c>
      <c r="J906" s="29" t="n">
        <v>3750</v>
      </c>
      <c r="K906" s="28" t="n">
        <v>9.25</v>
      </c>
      <c r="L906" s="28" t="n">
        <v>120</v>
      </c>
      <c r="M906" s="28" t="n">
        <v>0</v>
      </c>
    </row>
    <row r="907" customFormat="false" ht="15" hidden="false" customHeight="false" outlineLevel="0" collapsed="false">
      <c r="A907" s="27" t="n">
        <v>44359</v>
      </c>
      <c r="B907" s="28" t="n">
        <v>2021</v>
      </c>
      <c r="C907" s="28" t="s">
        <v>332</v>
      </c>
      <c r="D907" s="28" t="s">
        <v>43</v>
      </c>
      <c r="E907" s="28" t="s">
        <v>614</v>
      </c>
      <c r="F907" s="28" t="s">
        <v>147</v>
      </c>
      <c r="G907" s="28" t="s">
        <v>148</v>
      </c>
      <c r="H907" s="28" t="s">
        <v>495</v>
      </c>
      <c r="I907" s="29" t="n">
        <v>250000</v>
      </c>
      <c r="J907" s="29" t="n">
        <v>187500</v>
      </c>
      <c r="K907" s="28" t="n">
        <v>4.25</v>
      </c>
      <c r="L907" s="28" t="n">
        <v>120</v>
      </c>
      <c r="M907" s="28" t="n">
        <v>0</v>
      </c>
    </row>
    <row r="908" customFormat="false" ht="15" hidden="false" customHeight="false" outlineLevel="0" collapsed="false">
      <c r="A908" s="27" t="n">
        <v>44361</v>
      </c>
      <c r="B908" s="28" t="n">
        <v>2021</v>
      </c>
      <c r="C908" s="28" t="s">
        <v>243</v>
      </c>
      <c r="D908" s="28" t="s">
        <v>56</v>
      </c>
      <c r="E908" s="28" t="s">
        <v>237</v>
      </c>
      <c r="F908" s="28" t="s">
        <v>142</v>
      </c>
      <c r="G908" s="28" t="s">
        <v>143</v>
      </c>
      <c r="H908" s="28" t="s">
        <v>179</v>
      </c>
      <c r="I908" s="29" t="n">
        <v>244000</v>
      </c>
      <c r="J908" s="29" t="n">
        <v>219600</v>
      </c>
      <c r="K908" s="28" t="n">
        <v>6</v>
      </c>
      <c r="L908" s="28" t="n">
        <v>120</v>
      </c>
      <c r="M908" s="28" t="n">
        <v>10</v>
      </c>
    </row>
    <row r="909" customFormat="false" ht="15" hidden="false" customHeight="false" outlineLevel="0" collapsed="false">
      <c r="A909" s="27" t="n">
        <v>44361</v>
      </c>
      <c r="B909" s="28" t="n">
        <v>2021</v>
      </c>
      <c r="C909" s="28" t="s">
        <v>230</v>
      </c>
      <c r="D909" s="28" t="s">
        <v>45</v>
      </c>
      <c r="E909" s="28" t="s">
        <v>493</v>
      </c>
      <c r="F909" s="28" t="s">
        <v>142</v>
      </c>
      <c r="G909" s="28" t="s">
        <v>148</v>
      </c>
      <c r="H909" s="28" t="s">
        <v>165</v>
      </c>
      <c r="I909" s="29" t="n">
        <v>1804000</v>
      </c>
      <c r="J909" s="29" t="n">
        <v>1623600</v>
      </c>
      <c r="K909" s="28" t="n">
        <v>4.49</v>
      </c>
      <c r="L909" s="28" t="n">
        <v>300</v>
      </c>
      <c r="M909" s="28" t="n">
        <v>8</v>
      </c>
    </row>
    <row r="910" customFormat="false" ht="15" hidden="false" customHeight="false" outlineLevel="0" collapsed="false">
      <c r="A910" s="27" t="n">
        <v>44361</v>
      </c>
      <c r="B910" s="28" t="n">
        <v>2021</v>
      </c>
      <c r="C910" s="28" t="s">
        <v>166</v>
      </c>
      <c r="D910" s="28" t="s">
        <v>48</v>
      </c>
      <c r="E910" s="28" t="s">
        <v>362</v>
      </c>
      <c r="F910" s="28" t="s">
        <v>147</v>
      </c>
      <c r="G910" s="28" t="s">
        <v>148</v>
      </c>
      <c r="H910" s="28" t="s">
        <v>144</v>
      </c>
      <c r="I910" s="29" t="n">
        <v>350000</v>
      </c>
      <c r="J910" s="29" t="n">
        <v>262500</v>
      </c>
      <c r="K910" s="28" t="n">
        <v>5.25</v>
      </c>
      <c r="L910" s="28" t="n">
        <v>120</v>
      </c>
      <c r="M910" s="28" t="n">
        <v>30</v>
      </c>
    </row>
    <row r="911" customFormat="false" ht="15" hidden="false" customHeight="false" outlineLevel="0" collapsed="false">
      <c r="A911" s="27" t="n">
        <v>44362</v>
      </c>
      <c r="B911" s="28" t="n">
        <v>2021</v>
      </c>
      <c r="C911" s="28" t="s">
        <v>560</v>
      </c>
      <c r="D911" s="28" t="s">
        <v>46</v>
      </c>
      <c r="E911" s="28" t="s">
        <v>262</v>
      </c>
      <c r="F911" s="28" t="s">
        <v>142</v>
      </c>
      <c r="G911" s="28" t="s">
        <v>148</v>
      </c>
      <c r="H911" s="28" t="s">
        <v>165</v>
      </c>
      <c r="I911" s="29" t="n">
        <v>637000</v>
      </c>
      <c r="J911" s="29" t="n">
        <v>573300</v>
      </c>
      <c r="K911" s="28" t="n">
        <v>4.49</v>
      </c>
      <c r="L911" s="28" t="n">
        <v>300</v>
      </c>
      <c r="M911" s="28" t="n">
        <v>1</v>
      </c>
    </row>
    <row r="912" customFormat="false" ht="15" hidden="false" customHeight="false" outlineLevel="0" collapsed="false">
      <c r="A912" s="27" t="n">
        <v>44362</v>
      </c>
      <c r="B912" s="28" t="n">
        <v>2021</v>
      </c>
      <c r="C912" s="28" t="s">
        <v>249</v>
      </c>
      <c r="D912" s="28" t="s">
        <v>47</v>
      </c>
      <c r="E912" s="28" t="s">
        <v>373</v>
      </c>
      <c r="F912" s="28" t="s">
        <v>194</v>
      </c>
      <c r="G912" s="28" t="s">
        <v>143</v>
      </c>
      <c r="H912" s="28" t="s">
        <v>495</v>
      </c>
      <c r="I912" s="29" t="n">
        <v>202100</v>
      </c>
      <c r="J912" s="29" t="n">
        <v>181890</v>
      </c>
      <c r="K912" s="28" t="n">
        <v>5</v>
      </c>
      <c r="L912" s="28" t="n">
        <v>120</v>
      </c>
      <c r="M912" s="28" t="n">
        <v>4</v>
      </c>
    </row>
    <row r="913" customFormat="false" ht="15" hidden="false" customHeight="false" outlineLevel="0" collapsed="false">
      <c r="A913" s="27" t="n">
        <v>44363</v>
      </c>
      <c r="B913" s="28" t="n">
        <v>2021</v>
      </c>
      <c r="C913" s="28" t="s">
        <v>163</v>
      </c>
      <c r="D913" s="28" t="s">
        <v>49</v>
      </c>
      <c r="E913" s="28" t="s">
        <v>454</v>
      </c>
      <c r="F913" s="28" t="s">
        <v>147</v>
      </c>
      <c r="G913" s="28" t="s">
        <v>148</v>
      </c>
      <c r="H913" s="28" t="s">
        <v>338</v>
      </c>
      <c r="I913" s="29" t="n">
        <v>75000</v>
      </c>
      <c r="J913" s="29" t="n">
        <v>56250</v>
      </c>
      <c r="K913" s="28" t="n">
        <v>5.25</v>
      </c>
      <c r="L913" s="28" t="n">
        <v>84</v>
      </c>
      <c r="M913" s="28" t="n">
        <v>3</v>
      </c>
    </row>
    <row r="914" customFormat="false" ht="15" hidden="false" customHeight="false" outlineLevel="0" collapsed="false">
      <c r="A914" s="27" t="n">
        <v>44363</v>
      </c>
      <c r="B914" s="28" t="n">
        <v>2021</v>
      </c>
      <c r="C914" s="28" t="s">
        <v>172</v>
      </c>
      <c r="D914" s="28" t="s">
        <v>45</v>
      </c>
      <c r="E914" s="28" t="s">
        <v>280</v>
      </c>
      <c r="F914" s="28" t="s">
        <v>147</v>
      </c>
      <c r="G914" s="28" t="s">
        <v>441</v>
      </c>
      <c r="H914" s="28" t="s">
        <v>168</v>
      </c>
      <c r="I914" s="29" t="n">
        <v>10000</v>
      </c>
      <c r="J914" s="29" t="n">
        <v>7500</v>
      </c>
      <c r="K914" s="28" t="n">
        <v>8.75</v>
      </c>
      <c r="L914" s="28" t="n">
        <v>120</v>
      </c>
      <c r="M914" s="28" t="n">
        <v>2</v>
      </c>
    </row>
    <row r="915" customFormat="false" ht="15" hidden="false" customHeight="false" outlineLevel="0" collapsed="false">
      <c r="A915" s="27" t="n">
        <v>44364</v>
      </c>
      <c r="B915" s="28" t="n">
        <v>2021</v>
      </c>
      <c r="C915" s="28" t="s">
        <v>169</v>
      </c>
      <c r="D915" s="28" t="s">
        <v>44</v>
      </c>
      <c r="E915" s="28" t="s">
        <v>141</v>
      </c>
      <c r="F915" s="28" t="s">
        <v>142</v>
      </c>
      <c r="G915" s="28" t="s">
        <v>143</v>
      </c>
      <c r="H915" s="28" t="s">
        <v>376</v>
      </c>
      <c r="I915" s="29" t="n">
        <v>680000</v>
      </c>
      <c r="J915" s="29" t="n">
        <v>612000</v>
      </c>
      <c r="K915" s="28" t="n">
        <v>5.25</v>
      </c>
      <c r="L915" s="28" t="n">
        <v>126</v>
      </c>
      <c r="M915" s="28" t="n">
        <v>37</v>
      </c>
    </row>
    <row r="916" customFormat="false" ht="15" hidden="false" customHeight="false" outlineLevel="0" collapsed="false">
      <c r="A916" s="27" t="n">
        <v>44364</v>
      </c>
      <c r="B916" s="28" t="n">
        <v>2021</v>
      </c>
      <c r="C916" s="28" t="s">
        <v>627</v>
      </c>
      <c r="D916" s="28" t="s">
        <v>48</v>
      </c>
      <c r="E916" s="28" t="s">
        <v>295</v>
      </c>
      <c r="F916" s="28" t="s">
        <v>142</v>
      </c>
      <c r="G916" s="28" t="s">
        <v>148</v>
      </c>
      <c r="H916" s="28" t="s">
        <v>229</v>
      </c>
      <c r="I916" s="29" t="n">
        <v>165000</v>
      </c>
      <c r="J916" s="29" t="n">
        <v>148500</v>
      </c>
      <c r="K916" s="28" t="n">
        <v>6</v>
      </c>
      <c r="L916" s="28" t="n">
        <v>120</v>
      </c>
      <c r="M916" s="28" t="n">
        <v>2</v>
      </c>
    </row>
    <row r="917" customFormat="false" ht="15" hidden="false" customHeight="false" outlineLevel="0" collapsed="false">
      <c r="A917" s="27" t="n">
        <v>44365</v>
      </c>
      <c r="B917" s="28" t="n">
        <v>2021</v>
      </c>
      <c r="C917" s="28" t="s">
        <v>312</v>
      </c>
      <c r="D917" s="28" t="s">
        <v>46</v>
      </c>
      <c r="E917" s="28" t="s">
        <v>186</v>
      </c>
      <c r="F917" s="28" t="s">
        <v>142</v>
      </c>
      <c r="G917" s="28" t="s">
        <v>152</v>
      </c>
      <c r="H917" s="28" t="s">
        <v>314</v>
      </c>
      <c r="I917" s="29" t="n">
        <v>830000</v>
      </c>
      <c r="J917" s="29" t="n">
        <v>747000</v>
      </c>
      <c r="K917" s="28" t="n">
        <v>5.25</v>
      </c>
      <c r="L917" s="28" t="n">
        <v>300</v>
      </c>
      <c r="M917" s="28" t="n">
        <v>14</v>
      </c>
    </row>
    <row r="918" customFormat="false" ht="15" hidden="false" customHeight="false" outlineLevel="0" collapsed="false">
      <c r="A918" s="27" t="n">
        <v>44365</v>
      </c>
      <c r="B918" s="28" t="n">
        <v>2021</v>
      </c>
      <c r="C918" s="28" t="s">
        <v>163</v>
      </c>
      <c r="D918" s="28" t="s">
        <v>43</v>
      </c>
      <c r="E918" s="28" t="s">
        <v>628</v>
      </c>
      <c r="F918" s="28" t="s">
        <v>142</v>
      </c>
      <c r="G918" s="28" t="s">
        <v>143</v>
      </c>
      <c r="H918" s="28" t="s">
        <v>374</v>
      </c>
      <c r="I918" s="29" t="n">
        <v>520000</v>
      </c>
      <c r="J918" s="29" t="n">
        <v>468000</v>
      </c>
      <c r="K918" s="28" t="n">
        <v>2.75</v>
      </c>
      <c r="L918" s="28" t="n">
        <v>120</v>
      </c>
      <c r="M918" s="28" t="n">
        <v>21</v>
      </c>
    </row>
    <row r="919" customFormat="false" ht="15" hidden="false" customHeight="false" outlineLevel="0" collapsed="false">
      <c r="A919" s="27" t="n">
        <v>44367</v>
      </c>
      <c r="B919" s="28" t="n">
        <v>2021</v>
      </c>
      <c r="C919" s="28" t="s">
        <v>243</v>
      </c>
      <c r="D919" s="28" t="s">
        <v>47</v>
      </c>
      <c r="E919" s="28" t="s">
        <v>629</v>
      </c>
      <c r="F919" s="28" t="s">
        <v>142</v>
      </c>
      <c r="G919" s="28" t="s">
        <v>148</v>
      </c>
      <c r="H919" s="28" t="s">
        <v>200</v>
      </c>
      <c r="I919" s="29" t="n">
        <v>500000</v>
      </c>
      <c r="J919" s="29" t="n">
        <v>450000</v>
      </c>
      <c r="K919" s="28" t="n">
        <v>6</v>
      </c>
      <c r="L919" s="28" t="n">
        <v>120</v>
      </c>
      <c r="M919" s="28" t="n">
        <v>3</v>
      </c>
    </row>
    <row r="920" customFormat="false" ht="15" hidden="false" customHeight="false" outlineLevel="0" collapsed="false">
      <c r="A920" s="27" t="n">
        <v>44368</v>
      </c>
      <c r="B920" s="28" t="n">
        <v>2021</v>
      </c>
      <c r="C920" s="28" t="s">
        <v>324</v>
      </c>
      <c r="D920" s="28" t="s">
        <v>42</v>
      </c>
      <c r="E920" s="28" t="s">
        <v>247</v>
      </c>
      <c r="F920" s="28" t="s">
        <v>142</v>
      </c>
      <c r="G920" s="28" t="s">
        <v>152</v>
      </c>
      <c r="H920" s="28" t="s">
        <v>289</v>
      </c>
      <c r="I920" s="29" t="n">
        <v>1358500</v>
      </c>
      <c r="J920" s="29" t="n">
        <v>1222650</v>
      </c>
      <c r="K920" s="28" t="n">
        <v>5.25</v>
      </c>
      <c r="L920" s="28" t="n">
        <v>300</v>
      </c>
      <c r="M920" s="28" t="n">
        <v>6</v>
      </c>
    </row>
    <row r="921" customFormat="false" ht="15" hidden="false" customHeight="false" outlineLevel="0" collapsed="false">
      <c r="A921" s="27" t="n">
        <v>44369</v>
      </c>
      <c r="B921" s="28" t="n">
        <v>2021</v>
      </c>
      <c r="C921" s="28" t="s">
        <v>172</v>
      </c>
      <c r="D921" s="28" t="s">
        <v>48</v>
      </c>
      <c r="E921" s="28" t="s">
        <v>362</v>
      </c>
      <c r="F921" s="28" t="s">
        <v>142</v>
      </c>
      <c r="G921" s="28" t="s">
        <v>148</v>
      </c>
      <c r="H921" s="28" t="s">
        <v>229</v>
      </c>
      <c r="I921" s="29" t="n">
        <v>350000</v>
      </c>
      <c r="J921" s="29" t="n">
        <v>315000</v>
      </c>
      <c r="K921" s="28" t="n">
        <v>6</v>
      </c>
      <c r="L921" s="28" t="n">
        <v>120</v>
      </c>
      <c r="M921" s="28" t="n">
        <v>2</v>
      </c>
    </row>
    <row r="922" customFormat="false" ht="15" hidden="false" customHeight="false" outlineLevel="0" collapsed="false">
      <c r="A922" s="27" t="n">
        <v>44369</v>
      </c>
      <c r="B922" s="28" t="n">
        <v>2021</v>
      </c>
      <c r="C922" s="28" t="s">
        <v>169</v>
      </c>
      <c r="D922" s="28" t="s">
        <v>44</v>
      </c>
      <c r="E922" s="28" t="s">
        <v>141</v>
      </c>
      <c r="F922" s="28" t="s">
        <v>142</v>
      </c>
      <c r="G922" s="28" t="s">
        <v>143</v>
      </c>
      <c r="H922" s="28" t="s">
        <v>144</v>
      </c>
      <c r="I922" s="29" t="n">
        <v>800000</v>
      </c>
      <c r="J922" s="29" t="n">
        <v>720000</v>
      </c>
      <c r="K922" s="28" t="n">
        <v>5.25</v>
      </c>
      <c r="L922" s="28" t="n">
        <v>123</v>
      </c>
      <c r="M922" s="28" t="n">
        <v>37</v>
      </c>
    </row>
    <row r="923" customFormat="false" ht="15" hidden="false" customHeight="false" outlineLevel="0" collapsed="false">
      <c r="A923" s="27" t="n">
        <v>44369</v>
      </c>
      <c r="B923" s="28" t="n">
        <v>2021</v>
      </c>
      <c r="C923" s="28" t="s">
        <v>627</v>
      </c>
      <c r="D923" s="28" t="s">
        <v>51</v>
      </c>
      <c r="E923" s="28" t="s">
        <v>319</v>
      </c>
      <c r="F923" s="28" t="s">
        <v>147</v>
      </c>
      <c r="G923" s="28" t="s">
        <v>143</v>
      </c>
      <c r="H923" s="28" t="s">
        <v>494</v>
      </c>
      <c r="I923" s="29" t="n">
        <v>50000</v>
      </c>
      <c r="J923" s="29" t="n">
        <v>37500</v>
      </c>
      <c r="K923" s="28" t="n">
        <v>6</v>
      </c>
      <c r="L923" s="28" t="n">
        <v>120</v>
      </c>
      <c r="M923" s="28" t="n">
        <v>3</v>
      </c>
    </row>
    <row r="924" customFormat="false" ht="15" hidden="false" customHeight="false" outlineLevel="0" collapsed="false">
      <c r="A924" s="27" t="n">
        <v>44370</v>
      </c>
      <c r="B924" s="28" t="n">
        <v>2021</v>
      </c>
      <c r="C924" s="28" t="s">
        <v>206</v>
      </c>
      <c r="D924" s="28" t="s">
        <v>50</v>
      </c>
      <c r="E924" s="28" t="s">
        <v>466</v>
      </c>
      <c r="F924" s="28" t="s">
        <v>142</v>
      </c>
      <c r="G924" s="28" t="s">
        <v>148</v>
      </c>
      <c r="H924" s="28" t="s">
        <v>171</v>
      </c>
      <c r="I924" s="29" t="n">
        <v>350000</v>
      </c>
      <c r="J924" s="29" t="n">
        <v>315000</v>
      </c>
      <c r="K924" s="28" t="n">
        <v>6</v>
      </c>
      <c r="L924" s="28" t="n">
        <v>120</v>
      </c>
      <c r="M924" s="28" t="n">
        <v>2</v>
      </c>
    </row>
    <row r="925" customFormat="false" ht="15" hidden="false" customHeight="false" outlineLevel="0" collapsed="false">
      <c r="A925" s="27" t="n">
        <v>44370</v>
      </c>
      <c r="B925" s="28" t="n">
        <v>2021</v>
      </c>
      <c r="C925" s="28" t="s">
        <v>172</v>
      </c>
      <c r="D925" s="28" t="s">
        <v>50</v>
      </c>
      <c r="E925" s="28" t="s">
        <v>466</v>
      </c>
      <c r="F925" s="28" t="s">
        <v>147</v>
      </c>
      <c r="G925" s="28" t="s">
        <v>441</v>
      </c>
      <c r="H925" s="28" t="s">
        <v>191</v>
      </c>
      <c r="I925" s="29" t="n">
        <v>50000</v>
      </c>
      <c r="J925" s="29" t="n">
        <v>37500</v>
      </c>
      <c r="K925" s="28" t="n">
        <v>7.75</v>
      </c>
      <c r="L925" s="28" t="n">
        <v>120</v>
      </c>
      <c r="M925" s="28" t="n">
        <v>18</v>
      </c>
    </row>
    <row r="926" customFormat="false" ht="15" hidden="false" customHeight="false" outlineLevel="0" collapsed="false">
      <c r="A926" s="27" t="n">
        <v>44370</v>
      </c>
      <c r="B926" s="28" t="n">
        <v>2021</v>
      </c>
      <c r="C926" s="28" t="s">
        <v>169</v>
      </c>
      <c r="D926" s="28" t="s">
        <v>44</v>
      </c>
      <c r="E926" s="28" t="s">
        <v>485</v>
      </c>
      <c r="F926" s="28" t="s">
        <v>142</v>
      </c>
      <c r="G926" s="28" t="s">
        <v>143</v>
      </c>
      <c r="H926" s="28" t="s">
        <v>287</v>
      </c>
      <c r="I926" s="29" t="n">
        <v>150000</v>
      </c>
      <c r="J926" s="29" t="n">
        <v>135000</v>
      </c>
      <c r="K926" s="28" t="n">
        <v>6</v>
      </c>
      <c r="L926" s="28" t="n">
        <v>120</v>
      </c>
      <c r="M926" s="28" t="n">
        <v>6</v>
      </c>
    </row>
    <row r="927" customFormat="false" ht="15" hidden="false" customHeight="false" outlineLevel="0" collapsed="false">
      <c r="A927" s="27" t="n">
        <v>44371</v>
      </c>
      <c r="B927" s="28" t="n">
        <v>2021</v>
      </c>
      <c r="C927" s="28" t="s">
        <v>243</v>
      </c>
      <c r="D927" s="28" t="s">
        <v>46</v>
      </c>
      <c r="E927" s="28" t="s">
        <v>406</v>
      </c>
      <c r="F927" s="28" t="s">
        <v>194</v>
      </c>
      <c r="G927" s="28" t="s">
        <v>441</v>
      </c>
      <c r="H927" s="28" t="s">
        <v>215</v>
      </c>
      <c r="I927" s="29" t="n">
        <v>765000</v>
      </c>
      <c r="J927" s="29" t="n">
        <v>688500</v>
      </c>
      <c r="K927" s="28" t="n">
        <v>4.5</v>
      </c>
      <c r="L927" s="28" t="n">
        <v>300</v>
      </c>
      <c r="M927" s="28" t="n">
        <v>8</v>
      </c>
    </row>
    <row r="928" customFormat="false" ht="15" hidden="false" customHeight="false" outlineLevel="0" collapsed="false">
      <c r="A928" s="27" t="n">
        <v>44371</v>
      </c>
      <c r="B928" s="28" t="n">
        <v>2021</v>
      </c>
      <c r="C928" s="28" t="s">
        <v>408</v>
      </c>
      <c r="D928" s="28" t="s">
        <v>50</v>
      </c>
      <c r="E928" s="28" t="s">
        <v>630</v>
      </c>
      <c r="F928" s="28" t="s">
        <v>147</v>
      </c>
      <c r="G928" s="28" t="s">
        <v>148</v>
      </c>
      <c r="H928" s="28" t="s">
        <v>391</v>
      </c>
      <c r="I928" s="29" t="n">
        <v>17900</v>
      </c>
      <c r="J928" s="29" t="n">
        <v>13425</v>
      </c>
      <c r="K928" s="28" t="n">
        <v>4.6</v>
      </c>
      <c r="L928" s="28" t="n">
        <v>36</v>
      </c>
      <c r="M928" s="28" t="n">
        <v>0</v>
      </c>
    </row>
    <row r="929" customFormat="false" ht="15" hidden="false" customHeight="false" outlineLevel="0" collapsed="false">
      <c r="A929" s="27" t="n">
        <v>44371</v>
      </c>
      <c r="B929" s="28" t="n">
        <v>2021</v>
      </c>
      <c r="C929" s="28" t="s">
        <v>300</v>
      </c>
      <c r="D929" s="28" t="s">
        <v>42</v>
      </c>
      <c r="E929" s="28" t="s">
        <v>247</v>
      </c>
      <c r="F929" s="28" t="s">
        <v>142</v>
      </c>
      <c r="G929" s="28" t="s">
        <v>441</v>
      </c>
      <c r="H929" s="28" t="s">
        <v>275</v>
      </c>
      <c r="I929" s="29" t="n">
        <v>2631000</v>
      </c>
      <c r="J929" s="29" t="n">
        <v>2367900</v>
      </c>
      <c r="K929" s="28" t="n">
        <v>4.5</v>
      </c>
      <c r="L929" s="28" t="n">
        <v>300</v>
      </c>
      <c r="M929" s="28" t="n">
        <v>15</v>
      </c>
    </row>
    <row r="930" customFormat="false" ht="15" hidden="false" customHeight="false" outlineLevel="0" collapsed="false">
      <c r="A930" s="27" t="n">
        <v>44371</v>
      </c>
      <c r="B930" s="28" t="n">
        <v>2021</v>
      </c>
      <c r="C930" s="28" t="s">
        <v>201</v>
      </c>
      <c r="D930" s="28" t="s">
        <v>42</v>
      </c>
      <c r="E930" s="28" t="s">
        <v>180</v>
      </c>
      <c r="F930" s="28" t="s">
        <v>142</v>
      </c>
      <c r="G930" s="28" t="s">
        <v>143</v>
      </c>
      <c r="H930" s="28" t="s">
        <v>431</v>
      </c>
      <c r="I930" s="29" t="n">
        <v>275000</v>
      </c>
      <c r="J930" s="29" t="n">
        <v>247500</v>
      </c>
      <c r="K930" s="28" t="n">
        <v>6</v>
      </c>
      <c r="L930" s="28" t="n">
        <v>120</v>
      </c>
      <c r="M930" s="28" t="n">
        <v>20</v>
      </c>
    </row>
    <row r="931" customFormat="false" ht="15" hidden="false" customHeight="false" outlineLevel="0" collapsed="false">
      <c r="A931" s="27" t="n">
        <v>44371</v>
      </c>
      <c r="B931" s="28" t="n">
        <v>2021</v>
      </c>
      <c r="C931" s="28" t="s">
        <v>203</v>
      </c>
      <c r="D931" s="28" t="s">
        <v>42</v>
      </c>
      <c r="E931" s="28" t="s">
        <v>247</v>
      </c>
      <c r="F931" s="28" t="s">
        <v>142</v>
      </c>
      <c r="G931" s="28" t="s">
        <v>152</v>
      </c>
      <c r="H931" s="28" t="s">
        <v>269</v>
      </c>
      <c r="I931" s="29" t="n">
        <v>2545000</v>
      </c>
      <c r="J931" s="29" t="n">
        <v>2290500</v>
      </c>
      <c r="K931" s="28" t="n">
        <v>5.25</v>
      </c>
      <c r="L931" s="28" t="n">
        <v>300</v>
      </c>
      <c r="M931" s="28" t="n">
        <v>6</v>
      </c>
    </row>
    <row r="932" customFormat="false" ht="15" hidden="false" customHeight="false" outlineLevel="0" collapsed="false">
      <c r="A932" s="27" t="n">
        <v>44371</v>
      </c>
      <c r="B932" s="28" t="n">
        <v>2021</v>
      </c>
      <c r="C932" s="28" t="s">
        <v>172</v>
      </c>
      <c r="D932" s="28" t="s">
        <v>44</v>
      </c>
      <c r="E932" s="28" t="s">
        <v>297</v>
      </c>
      <c r="F932" s="28" t="s">
        <v>142</v>
      </c>
      <c r="G932" s="28" t="s">
        <v>441</v>
      </c>
      <c r="H932" s="28" t="s">
        <v>457</v>
      </c>
      <c r="I932" s="29" t="n">
        <v>550000</v>
      </c>
      <c r="J932" s="29" t="n">
        <v>495000</v>
      </c>
      <c r="K932" s="28" t="n">
        <v>5.25</v>
      </c>
      <c r="L932" s="28" t="n">
        <v>300</v>
      </c>
      <c r="M932" s="28" t="n">
        <v>10</v>
      </c>
    </row>
    <row r="933" customFormat="false" ht="15" hidden="false" customHeight="false" outlineLevel="0" collapsed="false">
      <c r="A933" s="27" t="n">
        <v>44372</v>
      </c>
      <c r="B933" s="28" t="n">
        <v>2021</v>
      </c>
      <c r="C933" s="28" t="s">
        <v>238</v>
      </c>
      <c r="D933" s="28" t="s">
        <v>50</v>
      </c>
      <c r="E933" s="28" t="s">
        <v>461</v>
      </c>
      <c r="F933" s="28" t="s">
        <v>147</v>
      </c>
      <c r="G933" s="28" t="s">
        <v>441</v>
      </c>
      <c r="H933" s="28" t="s">
        <v>168</v>
      </c>
      <c r="I933" s="29" t="n">
        <v>5000</v>
      </c>
      <c r="J933" s="29" t="n">
        <v>3750</v>
      </c>
      <c r="K933" s="28" t="n">
        <v>9.25</v>
      </c>
      <c r="L933" s="28" t="n">
        <v>120</v>
      </c>
      <c r="M933" s="28" t="n">
        <v>0</v>
      </c>
    </row>
    <row r="934" customFormat="false" ht="15" hidden="false" customHeight="false" outlineLevel="0" collapsed="false">
      <c r="A934" s="27" t="n">
        <v>44372</v>
      </c>
      <c r="B934" s="28" t="n">
        <v>2021</v>
      </c>
      <c r="C934" s="28" t="s">
        <v>203</v>
      </c>
      <c r="D934" s="28" t="s">
        <v>43</v>
      </c>
      <c r="E934" s="28" t="s">
        <v>628</v>
      </c>
      <c r="F934" s="28" t="s">
        <v>142</v>
      </c>
      <c r="G934" s="28" t="s">
        <v>143</v>
      </c>
      <c r="H934" s="28" t="s">
        <v>227</v>
      </c>
      <c r="I934" s="29" t="n">
        <v>263700</v>
      </c>
      <c r="J934" s="29" t="n">
        <v>237330</v>
      </c>
      <c r="K934" s="28" t="n">
        <v>6</v>
      </c>
      <c r="L934" s="28" t="n">
        <v>120</v>
      </c>
      <c r="M934" s="28" t="n">
        <v>7</v>
      </c>
    </row>
    <row r="935" customFormat="false" ht="15" hidden="false" customHeight="false" outlineLevel="0" collapsed="false">
      <c r="A935" s="27" t="n">
        <v>44375</v>
      </c>
      <c r="B935" s="28" t="n">
        <v>2021</v>
      </c>
      <c r="C935" s="28" t="s">
        <v>312</v>
      </c>
      <c r="D935" s="28" t="s">
        <v>47</v>
      </c>
      <c r="E935" s="28" t="s">
        <v>623</v>
      </c>
      <c r="F935" s="28" t="s">
        <v>142</v>
      </c>
      <c r="G935" s="28" t="s">
        <v>152</v>
      </c>
      <c r="H935" s="28" t="s">
        <v>314</v>
      </c>
      <c r="I935" s="29" t="n">
        <v>1190000</v>
      </c>
      <c r="J935" s="29" t="n">
        <v>1071000</v>
      </c>
      <c r="K935" s="28" t="n">
        <v>4.25</v>
      </c>
      <c r="L935" s="28" t="n">
        <v>300</v>
      </c>
      <c r="M935" s="28" t="n">
        <v>14</v>
      </c>
    </row>
    <row r="936" customFormat="false" ht="15" hidden="false" customHeight="false" outlineLevel="0" collapsed="false">
      <c r="A936" s="27" t="n">
        <v>44375</v>
      </c>
      <c r="B936" s="28" t="n">
        <v>2021</v>
      </c>
      <c r="C936" s="28" t="s">
        <v>206</v>
      </c>
      <c r="D936" s="28" t="s">
        <v>48</v>
      </c>
      <c r="E936" s="28" t="s">
        <v>631</v>
      </c>
      <c r="F936" s="28" t="s">
        <v>142</v>
      </c>
      <c r="G936" s="28" t="s">
        <v>148</v>
      </c>
      <c r="H936" s="28" t="s">
        <v>165</v>
      </c>
      <c r="I936" s="29" t="n">
        <v>1645000</v>
      </c>
      <c r="J936" s="29" t="n">
        <v>1480500</v>
      </c>
      <c r="K936" s="28" t="n">
        <v>4.5</v>
      </c>
      <c r="L936" s="28" t="n">
        <v>300</v>
      </c>
      <c r="M936" s="28" t="n">
        <v>2</v>
      </c>
    </row>
    <row r="937" customFormat="false" ht="15" hidden="false" customHeight="false" outlineLevel="0" collapsed="false">
      <c r="A937" s="27" t="n">
        <v>44376</v>
      </c>
      <c r="B937" s="28" t="n">
        <v>2021</v>
      </c>
      <c r="C937" s="28" t="s">
        <v>318</v>
      </c>
      <c r="D937" s="28" t="s">
        <v>50</v>
      </c>
      <c r="E937" s="28" t="s">
        <v>193</v>
      </c>
      <c r="F937" s="28" t="s">
        <v>147</v>
      </c>
      <c r="G937" s="28" t="s">
        <v>152</v>
      </c>
      <c r="H937" s="28" t="s">
        <v>482</v>
      </c>
      <c r="I937" s="29" t="n">
        <v>135000</v>
      </c>
      <c r="J937" s="29" t="n">
        <v>101250</v>
      </c>
      <c r="K937" s="28" t="n">
        <v>6.75</v>
      </c>
      <c r="L937" s="28" t="n">
        <v>84</v>
      </c>
      <c r="M937" s="28" t="n">
        <v>6</v>
      </c>
    </row>
    <row r="938" customFormat="false" ht="15" hidden="false" customHeight="false" outlineLevel="0" collapsed="false">
      <c r="A938" s="27" t="n">
        <v>44376</v>
      </c>
      <c r="B938" s="28" t="n">
        <v>2021</v>
      </c>
      <c r="C938" s="28" t="s">
        <v>235</v>
      </c>
      <c r="D938" s="28" t="s">
        <v>46</v>
      </c>
      <c r="E938" s="28" t="s">
        <v>386</v>
      </c>
      <c r="F938" s="28" t="s">
        <v>142</v>
      </c>
      <c r="G938" s="28" t="s">
        <v>148</v>
      </c>
      <c r="H938" s="28" t="s">
        <v>162</v>
      </c>
      <c r="I938" s="29" t="n">
        <v>277000</v>
      </c>
      <c r="J938" s="29" t="n">
        <v>249300</v>
      </c>
      <c r="K938" s="28" t="n">
        <v>1</v>
      </c>
      <c r="L938" s="28" t="n">
        <v>288</v>
      </c>
      <c r="M938" s="28" t="n">
        <v>4</v>
      </c>
    </row>
    <row r="939" customFormat="false" ht="15" hidden="false" customHeight="false" outlineLevel="0" collapsed="false">
      <c r="A939" s="27" t="n">
        <v>44376</v>
      </c>
      <c r="B939" s="28" t="n">
        <v>2021</v>
      </c>
      <c r="C939" s="28" t="s">
        <v>172</v>
      </c>
      <c r="D939" s="28" t="s">
        <v>49</v>
      </c>
      <c r="E939" s="28" t="s">
        <v>475</v>
      </c>
      <c r="F939" s="28" t="s">
        <v>147</v>
      </c>
      <c r="G939" s="28" t="s">
        <v>441</v>
      </c>
      <c r="H939" s="28" t="s">
        <v>168</v>
      </c>
      <c r="I939" s="29" t="n">
        <v>5000</v>
      </c>
      <c r="J939" s="29" t="n">
        <v>3750</v>
      </c>
      <c r="K939" s="28" t="n">
        <v>7.75</v>
      </c>
      <c r="L939" s="28" t="n">
        <v>120</v>
      </c>
      <c r="M939" s="28" t="n">
        <v>0</v>
      </c>
    </row>
    <row r="940" customFormat="false" ht="15" hidden="false" customHeight="false" outlineLevel="0" collapsed="false">
      <c r="A940" s="27" t="n">
        <v>44376</v>
      </c>
      <c r="B940" s="28" t="n">
        <v>2021</v>
      </c>
      <c r="C940" s="28" t="s">
        <v>353</v>
      </c>
      <c r="D940" s="28" t="s">
        <v>45</v>
      </c>
      <c r="E940" s="28" t="s">
        <v>336</v>
      </c>
      <c r="F940" s="28" t="s">
        <v>147</v>
      </c>
      <c r="G940" s="28" t="s">
        <v>148</v>
      </c>
      <c r="H940" s="28" t="s">
        <v>205</v>
      </c>
      <c r="I940" s="29" t="n">
        <v>45000</v>
      </c>
      <c r="J940" s="29" t="n">
        <v>33750</v>
      </c>
      <c r="K940" s="28" t="n">
        <v>7.05</v>
      </c>
      <c r="L940" s="28" t="n">
        <v>120</v>
      </c>
      <c r="M940" s="28" t="n">
        <v>1</v>
      </c>
    </row>
    <row r="941" customFormat="false" ht="15" hidden="false" customHeight="false" outlineLevel="0" collapsed="false">
      <c r="A941" s="27" t="n">
        <v>44377</v>
      </c>
      <c r="B941" s="28" t="n">
        <v>2021</v>
      </c>
      <c r="C941" s="28" t="s">
        <v>360</v>
      </c>
      <c r="D941" s="28" t="s">
        <v>42</v>
      </c>
      <c r="E941" s="28" t="s">
        <v>632</v>
      </c>
      <c r="F941" s="28" t="s">
        <v>142</v>
      </c>
      <c r="G941" s="28" t="s">
        <v>148</v>
      </c>
      <c r="H941" s="28" t="s">
        <v>306</v>
      </c>
      <c r="I941" s="29" t="n">
        <v>137700</v>
      </c>
      <c r="J941" s="29" t="n">
        <v>117045</v>
      </c>
      <c r="K941" s="28" t="n">
        <v>4.8</v>
      </c>
      <c r="L941" s="28" t="n">
        <v>180</v>
      </c>
      <c r="M941" s="28" t="n">
        <v>2</v>
      </c>
    </row>
    <row r="942" customFormat="false" ht="15" hidden="false" customHeight="false" outlineLevel="0" collapsed="false">
      <c r="A942" s="27" t="n">
        <v>44377</v>
      </c>
      <c r="B942" s="28" t="n">
        <v>2021</v>
      </c>
      <c r="C942" s="28" t="s">
        <v>166</v>
      </c>
      <c r="D942" s="28" t="s">
        <v>52</v>
      </c>
      <c r="E942" s="28" t="s">
        <v>599</v>
      </c>
      <c r="F942" s="28" t="s">
        <v>147</v>
      </c>
      <c r="G942" s="28" t="s">
        <v>143</v>
      </c>
      <c r="H942" s="28" t="s">
        <v>633</v>
      </c>
      <c r="I942" s="29" t="n">
        <v>150000</v>
      </c>
      <c r="J942" s="29" t="n">
        <v>112500</v>
      </c>
      <c r="K942" s="28" t="n">
        <v>6</v>
      </c>
      <c r="L942" s="28" t="n">
        <v>120</v>
      </c>
      <c r="M942" s="28" t="n">
        <v>18</v>
      </c>
    </row>
    <row r="943" customFormat="false" ht="15" hidden="false" customHeight="false" outlineLevel="0" collapsed="false">
      <c r="A943" s="27" t="n">
        <v>44378</v>
      </c>
      <c r="B943" s="28" t="n">
        <v>2021</v>
      </c>
      <c r="C943" s="28" t="s">
        <v>172</v>
      </c>
      <c r="D943" s="28" t="s">
        <v>42</v>
      </c>
      <c r="E943" s="28" t="s">
        <v>180</v>
      </c>
      <c r="F943" s="28" t="s">
        <v>142</v>
      </c>
      <c r="G943" s="28" t="s">
        <v>143</v>
      </c>
      <c r="H943" s="28" t="s">
        <v>438</v>
      </c>
      <c r="I943" s="29" t="n">
        <v>315500</v>
      </c>
      <c r="J943" s="29" t="n">
        <v>283950</v>
      </c>
      <c r="K943" s="28" t="n">
        <v>5.75</v>
      </c>
      <c r="L943" s="28" t="n">
        <v>124</v>
      </c>
      <c r="M943" s="28" t="n">
        <v>15</v>
      </c>
    </row>
    <row r="944" customFormat="false" ht="15" hidden="false" customHeight="false" outlineLevel="0" collapsed="false">
      <c r="A944" s="27" t="n">
        <v>44378</v>
      </c>
      <c r="B944" s="28" t="n">
        <v>2021</v>
      </c>
      <c r="C944" s="28" t="s">
        <v>166</v>
      </c>
      <c r="D944" s="28" t="s">
        <v>49</v>
      </c>
      <c r="E944" s="28" t="s">
        <v>475</v>
      </c>
      <c r="F944" s="28" t="s">
        <v>147</v>
      </c>
      <c r="G944" s="28" t="s">
        <v>148</v>
      </c>
      <c r="H944" s="28" t="s">
        <v>159</v>
      </c>
      <c r="I944" s="29" t="n">
        <v>55000</v>
      </c>
      <c r="J944" s="29" t="n">
        <v>41250</v>
      </c>
      <c r="K944" s="28" t="n">
        <v>7</v>
      </c>
      <c r="L944" s="28" t="n">
        <v>74</v>
      </c>
      <c r="M944" s="28" t="n">
        <v>5</v>
      </c>
    </row>
    <row r="945" customFormat="false" ht="15" hidden="false" customHeight="false" outlineLevel="0" collapsed="false">
      <c r="A945" s="27" t="n">
        <v>44379</v>
      </c>
      <c r="B945" s="28" t="n">
        <v>2021</v>
      </c>
      <c r="C945" s="28" t="s">
        <v>203</v>
      </c>
      <c r="D945" s="28" t="s">
        <v>42</v>
      </c>
      <c r="E945" s="28" t="s">
        <v>164</v>
      </c>
      <c r="F945" s="28" t="s">
        <v>142</v>
      </c>
      <c r="G945" s="28" t="s">
        <v>441</v>
      </c>
      <c r="H945" s="28" t="s">
        <v>205</v>
      </c>
      <c r="I945" s="29" t="n">
        <v>667000</v>
      </c>
      <c r="J945" s="29" t="n">
        <v>600300</v>
      </c>
      <c r="K945" s="28" t="n">
        <v>5</v>
      </c>
      <c r="L945" s="28" t="n">
        <v>127</v>
      </c>
      <c r="M945" s="28" t="n">
        <v>31</v>
      </c>
    </row>
    <row r="946" customFormat="false" ht="15" hidden="false" customHeight="false" outlineLevel="0" collapsed="false">
      <c r="A946" s="27" t="n">
        <v>44379</v>
      </c>
      <c r="B946" s="28" t="n">
        <v>2021</v>
      </c>
      <c r="C946" s="28" t="s">
        <v>203</v>
      </c>
      <c r="D946" s="28" t="s">
        <v>42</v>
      </c>
      <c r="E946" s="28" t="s">
        <v>247</v>
      </c>
      <c r="F946" s="28" t="s">
        <v>142</v>
      </c>
      <c r="G946" s="28" t="s">
        <v>441</v>
      </c>
      <c r="H946" s="28" t="s">
        <v>275</v>
      </c>
      <c r="I946" s="29" t="n">
        <v>625000</v>
      </c>
      <c r="J946" s="29" t="n">
        <v>562500</v>
      </c>
      <c r="K946" s="28" t="n">
        <v>6</v>
      </c>
      <c r="L946" s="28" t="n">
        <v>300</v>
      </c>
      <c r="M946" s="28" t="n">
        <v>4</v>
      </c>
    </row>
    <row r="947" customFormat="false" ht="15" hidden="false" customHeight="false" outlineLevel="0" collapsed="false">
      <c r="A947" s="27" t="n">
        <v>44379</v>
      </c>
      <c r="B947" s="28" t="n">
        <v>2021</v>
      </c>
      <c r="C947" s="28" t="s">
        <v>166</v>
      </c>
      <c r="D947" s="28" t="s">
        <v>56</v>
      </c>
      <c r="E947" s="28" t="s">
        <v>296</v>
      </c>
      <c r="F947" s="28" t="s">
        <v>142</v>
      </c>
      <c r="G947" s="28" t="s">
        <v>148</v>
      </c>
      <c r="H947" s="28" t="s">
        <v>634</v>
      </c>
      <c r="I947" s="29" t="n">
        <v>775000</v>
      </c>
      <c r="J947" s="29" t="n">
        <v>697500</v>
      </c>
      <c r="K947" s="28" t="n">
        <v>4.75</v>
      </c>
      <c r="L947" s="28" t="n">
        <v>300</v>
      </c>
      <c r="M947" s="28" t="n">
        <v>4</v>
      </c>
    </row>
    <row r="948" customFormat="false" ht="15" hidden="false" customHeight="false" outlineLevel="0" collapsed="false">
      <c r="A948" s="27" t="n">
        <v>44383</v>
      </c>
      <c r="B948" s="28" t="n">
        <v>2021</v>
      </c>
      <c r="C948" s="28" t="s">
        <v>163</v>
      </c>
      <c r="D948" s="28" t="s">
        <v>49</v>
      </c>
      <c r="E948" s="28" t="s">
        <v>635</v>
      </c>
      <c r="F948" s="28" t="s">
        <v>142</v>
      </c>
      <c r="G948" s="28" t="s">
        <v>148</v>
      </c>
      <c r="H948" s="28" t="s">
        <v>494</v>
      </c>
      <c r="I948" s="29" t="n">
        <v>420000</v>
      </c>
      <c r="J948" s="29" t="n">
        <v>378000</v>
      </c>
      <c r="K948" s="28" t="n">
        <v>5.25</v>
      </c>
      <c r="L948" s="28" t="n">
        <v>120</v>
      </c>
      <c r="M948" s="28" t="n">
        <v>3</v>
      </c>
    </row>
    <row r="949" customFormat="false" ht="15" hidden="false" customHeight="false" outlineLevel="0" collapsed="false">
      <c r="A949" s="27" t="n">
        <v>44383</v>
      </c>
      <c r="B949" s="28" t="n">
        <v>2021</v>
      </c>
      <c r="C949" s="28" t="s">
        <v>636</v>
      </c>
      <c r="D949" s="28" t="s">
        <v>42</v>
      </c>
      <c r="E949" s="28" t="s">
        <v>164</v>
      </c>
      <c r="F949" s="28" t="s">
        <v>142</v>
      </c>
      <c r="G949" s="28" t="s">
        <v>148</v>
      </c>
      <c r="H949" s="28" t="s">
        <v>431</v>
      </c>
      <c r="I949" s="29" t="n">
        <v>370000</v>
      </c>
      <c r="J949" s="29" t="n">
        <v>333000</v>
      </c>
      <c r="K949" s="28" t="n">
        <v>6</v>
      </c>
      <c r="L949" s="28" t="n">
        <v>300</v>
      </c>
      <c r="M949" s="28" t="n">
        <v>7</v>
      </c>
    </row>
    <row r="950" customFormat="false" ht="15" hidden="false" customHeight="false" outlineLevel="0" collapsed="false">
      <c r="A950" s="27" t="n">
        <v>44384</v>
      </c>
      <c r="B950" s="28" t="n">
        <v>2021</v>
      </c>
      <c r="C950" s="28" t="s">
        <v>206</v>
      </c>
      <c r="D950" s="28" t="s">
        <v>48</v>
      </c>
      <c r="E950" s="28" t="s">
        <v>362</v>
      </c>
      <c r="F950" s="28" t="s">
        <v>142</v>
      </c>
      <c r="G950" s="28" t="s">
        <v>148</v>
      </c>
      <c r="H950" s="28" t="s">
        <v>171</v>
      </c>
      <c r="I950" s="29" t="n">
        <v>150000</v>
      </c>
      <c r="J950" s="29" t="n">
        <v>135000</v>
      </c>
      <c r="K950" s="28" t="n">
        <v>6</v>
      </c>
      <c r="L950" s="28" t="n">
        <v>120</v>
      </c>
      <c r="M950" s="28" t="n">
        <v>4</v>
      </c>
    </row>
    <row r="951" customFormat="false" ht="15" hidden="false" customHeight="false" outlineLevel="0" collapsed="false">
      <c r="A951" s="27" t="n">
        <v>44385</v>
      </c>
      <c r="B951" s="28" t="n">
        <v>2021</v>
      </c>
      <c r="C951" s="28" t="s">
        <v>172</v>
      </c>
      <c r="D951" s="28" t="s">
        <v>45</v>
      </c>
      <c r="E951" s="28" t="s">
        <v>253</v>
      </c>
      <c r="F951" s="28" t="s">
        <v>147</v>
      </c>
      <c r="G951" s="28" t="s">
        <v>148</v>
      </c>
      <c r="H951" s="28" t="s">
        <v>159</v>
      </c>
      <c r="I951" s="29" t="n">
        <v>120000</v>
      </c>
      <c r="J951" s="29" t="n">
        <v>90000</v>
      </c>
      <c r="K951" s="28" t="n">
        <v>5.25</v>
      </c>
      <c r="L951" s="28" t="n">
        <v>51</v>
      </c>
      <c r="M951" s="28" t="n">
        <v>6</v>
      </c>
    </row>
    <row r="952" customFormat="false" ht="15" hidden="false" customHeight="false" outlineLevel="0" collapsed="false">
      <c r="A952" s="27" t="n">
        <v>44385</v>
      </c>
      <c r="B952" s="28" t="n">
        <v>2021</v>
      </c>
      <c r="C952" s="28" t="s">
        <v>169</v>
      </c>
      <c r="D952" s="28" t="s">
        <v>48</v>
      </c>
      <c r="E952" s="28" t="s">
        <v>277</v>
      </c>
      <c r="F952" s="28" t="s">
        <v>147</v>
      </c>
      <c r="G952" s="28" t="s">
        <v>143</v>
      </c>
      <c r="H952" s="28" t="s">
        <v>159</v>
      </c>
      <c r="I952" s="29" t="n">
        <v>100000</v>
      </c>
      <c r="J952" s="29" t="n">
        <v>75000</v>
      </c>
      <c r="K952" s="28" t="n">
        <v>6.25</v>
      </c>
      <c r="L952" s="28" t="n">
        <v>60</v>
      </c>
      <c r="M952" s="28" t="n">
        <v>6</v>
      </c>
    </row>
    <row r="953" customFormat="false" ht="15" hidden="false" customHeight="false" outlineLevel="0" collapsed="false">
      <c r="A953" s="27" t="n">
        <v>44386</v>
      </c>
      <c r="B953" s="28" t="n">
        <v>2021</v>
      </c>
      <c r="C953" s="28" t="s">
        <v>172</v>
      </c>
      <c r="D953" s="28" t="s">
        <v>45</v>
      </c>
      <c r="E953" s="28" t="s">
        <v>345</v>
      </c>
      <c r="F953" s="28" t="s">
        <v>142</v>
      </c>
      <c r="G953" s="28" t="s">
        <v>148</v>
      </c>
      <c r="H953" s="28" t="s">
        <v>171</v>
      </c>
      <c r="I953" s="29" t="n">
        <v>350000</v>
      </c>
      <c r="J953" s="29" t="n">
        <v>315000</v>
      </c>
      <c r="K953" s="28" t="n">
        <v>6</v>
      </c>
      <c r="L953" s="28" t="n">
        <v>120</v>
      </c>
      <c r="M953" s="28" t="n">
        <v>2</v>
      </c>
    </row>
    <row r="954" customFormat="false" ht="15" hidden="false" customHeight="false" outlineLevel="0" collapsed="false">
      <c r="A954" s="27" t="n">
        <v>44386</v>
      </c>
      <c r="B954" s="28" t="n">
        <v>2021</v>
      </c>
      <c r="C954" s="28" t="s">
        <v>166</v>
      </c>
      <c r="D954" s="28" t="s">
        <v>47</v>
      </c>
      <c r="E954" s="28" t="s">
        <v>595</v>
      </c>
      <c r="F954" s="28" t="s">
        <v>147</v>
      </c>
      <c r="G954" s="28" t="s">
        <v>441</v>
      </c>
      <c r="H954" s="28" t="s">
        <v>168</v>
      </c>
      <c r="I954" s="29" t="n">
        <v>10000</v>
      </c>
      <c r="J954" s="29" t="n">
        <v>7500</v>
      </c>
      <c r="K954" s="28" t="n">
        <v>8.25</v>
      </c>
      <c r="L954" s="28" t="n">
        <v>120</v>
      </c>
      <c r="M954" s="28" t="n">
        <v>0</v>
      </c>
    </row>
    <row r="955" customFormat="false" ht="15" hidden="false" customHeight="false" outlineLevel="0" collapsed="false">
      <c r="A955" s="27" t="n">
        <v>44386</v>
      </c>
      <c r="B955" s="28" t="n">
        <v>2021</v>
      </c>
      <c r="C955" s="28" t="s">
        <v>169</v>
      </c>
      <c r="D955" s="28" t="s">
        <v>45</v>
      </c>
      <c r="E955" s="28" t="s">
        <v>253</v>
      </c>
      <c r="F955" s="28" t="s">
        <v>147</v>
      </c>
      <c r="G955" s="28" t="s">
        <v>148</v>
      </c>
      <c r="H955" s="28" t="s">
        <v>159</v>
      </c>
      <c r="I955" s="29" t="n">
        <v>100000</v>
      </c>
      <c r="J955" s="29" t="n">
        <v>75000</v>
      </c>
      <c r="K955" s="28" t="n">
        <v>7.75</v>
      </c>
      <c r="L955" s="28" t="n">
        <v>88</v>
      </c>
      <c r="M955" s="28" t="n">
        <v>0</v>
      </c>
    </row>
    <row r="956" customFormat="false" ht="15" hidden="false" customHeight="false" outlineLevel="0" collapsed="false">
      <c r="A956" s="27" t="n">
        <v>44389</v>
      </c>
      <c r="B956" s="28" t="n">
        <v>2021</v>
      </c>
      <c r="C956" s="28" t="s">
        <v>140</v>
      </c>
      <c r="D956" s="28" t="s">
        <v>45</v>
      </c>
      <c r="E956" s="28" t="s">
        <v>202</v>
      </c>
      <c r="F956" s="28" t="s">
        <v>142</v>
      </c>
      <c r="G956" s="28" t="s">
        <v>152</v>
      </c>
      <c r="H956" s="28" t="s">
        <v>227</v>
      </c>
      <c r="I956" s="29" t="n">
        <v>633200</v>
      </c>
      <c r="J956" s="29" t="n">
        <v>569880</v>
      </c>
      <c r="K956" s="28" t="n">
        <v>6</v>
      </c>
      <c r="L956" s="28" t="n">
        <v>120</v>
      </c>
      <c r="M956" s="28" t="n">
        <v>28</v>
      </c>
    </row>
    <row r="957" customFormat="false" ht="15" hidden="false" customHeight="false" outlineLevel="0" collapsed="false">
      <c r="A957" s="27" t="n">
        <v>44390</v>
      </c>
      <c r="B957" s="28" t="n">
        <v>2021</v>
      </c>
      <c r="C957" s="28" t="s">
        <v>560</v>
      </c>
      <c r="D957" s="28" t="s">
        <v>42</v>
      </c>
      <c r="E957" s="28" t="s">
        <v>247</v>
      </c>
      <c r="F957" s="28" t="s">
        <v>142</v>
      </c>
      <c r="G957" s="28" t="s">
        <v>148</v>
      </c>
      <c r="H957" s="28" t="s">
        <v>326</v>
      </c>
      <c r="I957" s="29" t="n">
        <v>1425000</v>
      </c>
      <c r="J957" s="29" t="n">
        <v>1068750</v>
      </c>
      <c r="K957" s="28" t="n">
        <v>5.5</v>
      </c>
      <c r="L957" s="28" t="n">
        <v>300</v>
      </c>
      <c r="M957" s="28" t="n">
        <v>4</v>
      </c>
    </row>
    <row r="958" customFormat="false" ht="15" hidden="false" customHeight="false" outlineLevel="0" collapsed="false">
      <c r="A958" s="27" t="n">
        <v>44390</v>
      </c>
      <c r="B958" s="28" t="n">
        <v>2021</v>
      </c>
      <c r="C958" s="28" t="s">
        <v>169</v>
      </c>
      <c r="D958" s="28" t="s">
        <v>46</v>
      </c>
      <c r="E958" s="28" t="s">
        <v>273</v>
      </c>
      <c r="F958" s="28" t="s">
        <v>142</v>
      </c>
      <c r="G958" s="28" t="s">
        <v>143</v>
      </c>
      <c r="H958" s="28" t="s">
        <v>382</v>
      </c>
      <c r="I958" s="29" t="n">
        <v>190500</v>
      </c>
      <c r="J958" s="29" t="n">
        <v>171450</v>
      </c>
      <c r="K958" s="28" t="n">
        <v>2.75</v>
      </c>
      <c r="L958" s="28" t="n">
        <v>124</v>
      </c>
      <c r="M958" s="28" t="n">
        <v>13</v>
      </c>
    </row>
    <row r="959" customFormat="false" ht="15" hidden="false" customHeight="false" outlineLevel="0" collapsed="false">
      <c r="A959" s="27" t="n">
        <v>44390</v>
      </c>
      <c r="B959" s="28" t="n">
        <v>2021</v>
      </c>
      <c r="C959" s="28" t="s">
        <v>145</v>
      </c>
      <c r="D959" s="28" t="s">
        <v>42</v>
      </c>
      <c r="E959" s="28" t="s">
        <v>242</v>
      </c>
      <c r="F959" s="28" t="s">
        <v>142</v>
      </c>
      <c r="G959" s="28" t="s">
        <v>148</v>
      </c>
      <c r="H959" s="28" t="s">
        <v>248</v>
      </c>
      <c r="I959" s="29" t="n">
        <v>225000</v>
      </c>
      <c r="J959" s="29" t="n">
        <v>202500</v>
      </c>
      <c r="K959" s="28" t="n">
        <v>5.25</v>
      </c>
      <c r="L959" s="28" t="n">
        <v>84</v>
      </c>
      <c r="M959" s="28" t="n">
        <v>6</v>
      </c>
    </row>
    <row r="960" customFormat="false" ht="15" hidden="false" customHeight="false" outlineLevel="0" collapsed="false">
      <c r="A960" s="27" t="n">
        <v>44390</v>
      </c>
      <c r="B960" s="28" t="n">
        <v>2021</v>
      </c>
      <c r="C960" s="28" t="s">
        <v>163</v>
      </c>
      <c r="D960" s="28" t="s">
        <v>43</v>
      </c>
      <c r="E960" s="28" t="s">
        <v>637</v>
      </c>
      <c r="F960" s="28" t="s">
        <v>142</v>
      </c>
      <c r="G960" s="28" t="s">
        <v>148</v>
      </c>
      <c r="H960" s="28" t="s">
        <v>211</v>
      </c>
      <c r="I960" s="29" t="n">
        <v>200000</v>
      </c>
      <c r="J960" s="29" t="n">
        <v>180000</v>
      </c>
      <c r="K960" s="28" t="n">
        <v>6</v>
      </c>
      <c r="L960" s="28" t="n">
        <v>120</v>
      </c>
      <c r="M960" s="28" t="n">
        <v>4</v>
      </c>
    </row>
    <row r="961" customFormat="false" ht="15" hidden="false" customHeight="false" outlineLevel="0" collapsed="false">
      <c r="A961" s="27" t="n">
        <v>44391</v>
      </c>
      <c r="B961" s="28" t="n">
        <v>2021</v>
      </c>
      <c r="C961" s="28" t="s">
        <v>150</v>
      </c>
      <c r="D961" s="28" t="s">
        <v>46</v>
      </c>
      <c r="E961" s="28" t="s">
        <v>262</v>
      </c>
      <c r="F961" s="28" t="s">
        <v>142</v>
      </c>
      <c r="G961" s="28" t="s">
        <v>152</v>
      </c>
      <c r="H961" s="28" t="s">
        <v>314</v>
      </c>
      <c r="I961" s="29" t="n">
        <v>785000</v>
      </c>
      <c r="J961" s="29" t="n">
        <v>706500</v>
      </c>
      <c r="K961" s="28" t="n">
        <v>5.5</v>
      </c>
      <c r="L961" s="28" t="n">
        <v>120</v>
      </c>
      <c r="M961" s="28" t="n">
        <v>10</v>
      </c>
    </row>
    <row r="962" customFormat="false" ht="15" hidden="false" customHeight="false" outlineLevel="0" collapsed="false">
      <c r="A962" s="27" t="n">
        <v>44391</v>
      </c>
      <c r="B962" s="28" t="n">
        <v>2021</v>
      </c>
      <c r="C962" s="28" t="s">
        <v>504</v>
      </c>
      <c r="D962" s="28" t="s">
        <v>43</v>
      </c>
      <c r="E962" s="28" t="s">
        <v>217</v>
      </c>
      <c r="F962" s="28" t="s">
        <v>142</v>
      </c>
      <c r="G962" s="28" t="s">
        <v>148</v>
      </c>
      <c r="H962" s="28" t="s">
        <v>165</v>
      </c>
      <c r="I962" s="29" t="n">
        <v>257000</v>
      </c>
      <c r="J962" s="29" t="n">
        <v>231300</v>
      </c>
      <c r="K962" s="28" t="n">
        <v>6</v>
      </c>
      <c r="L962" s="28" t="n">
        <v>300</v>
      </c>
      <c r="M962" s="28" t="n">
        <v>6</v>
      </c>
    </row>
    <row r="963" customFormat="false" ht="15" hidden="false" customHeight="false" outlineLevel="0" collapsed="false">
      <c r="A963" s="27" t="n">
        <v>44391</v>
      </c>
      <c r="B963" s="28" t="n">
        <v>2021</v>
      </c>
      <c r="C963" s="28" t="s">
        <v>140</v>
      </c>
      <c r="D963" s="28" t="s">
        <v>42</v>
      </c>
      <c r="E963" s="28" t="s">
        <v>247</v>
      </c>
      <c r="F963" s="28" t="s">
        <v>142</v>
      </c>
      <c r="G963" s="28" t="s">
        <v>148</v>
      </c>
      <c r="H963" s="28" t="s">
        <v>269</v>
      </c>
      <c r="I963" s="29" t="n">
        <v>1768400</v>
      </c>
      <c r="J963" s="29" t="n">
        <v>1591560</v>
      </c>
      <c r="K963" s="28" t="n">
        <v>5.25</v>
      </c>
      <c r="L963" s="28" t="n">
        <v>300</v>
      </c>
      <c r="M963" s="28" t="n">
        <v>25</v>
      </c>
    </row>
    <row r="964" customFormat="false" ht="15" hidden="false" customHeight="false" outlineLevel="0" collapsed="false">
      <c r="A964" s="27" t="n">
        <v>44391</v>
      </c>
      <c r="B964" s="28" t="n">
        <v>2021</v>
      </c>
      <c r="C964" s="28" t="s">
        <v>169</v>
      </c>
      <c r="D964" s="28" t="s">
        <v>53</v>
      </c>
      <c r="E964" s="28" t="s">
        <v>638</v>
      </c>
      <c r="F964" s="28" t="s">
        <v>142</v>
      </c>
      <c r="G964" s="28" t="s">
        <v>143</v>
      </c>
      <c r="H964" s="28" t="s">
        <v>382</v>
      </c>
      <c r="I964" s="29" t="n">
        <v>990500</v>
      </c>
      <c r="J964" s="29" t="n">
        <v>891450</v>
      </c>
      <c r="K964" s="28" t="n">
        <v>6</v>
      </c>
      <c r="L964" s="28" t="n">
        <v>121</v>
      </c>
      <c r="M964" s="28" t="n">
        <v>8</v>
      </c>
    </row>
    <row r="965" customFormat="false" ht="15" hidden="false" customHeight="false" outlineLevel="0" collapsed="false">
      <c r="A965" s="27" t="n">
        <v>44392</v>
      </c>
      <c r="B965" s="28" t="n">
        <v>2021</v>
      </c>
      <c r="C965" s="28" t="s">
        <v>172</v>
      </c>
      <c r="D965" s="28" t="s">
        <v>46</v>
      </c>
      <c r="E965" s="28" t="s">
        <v>639</v>
      </c>
      <c r="F965" s="28" t="s">
        <v>147</v>
      </c>
      <c r="G965" s="28" t="s">
        <v>148</v>
      </c>
      <c r="H965" s="28" t="s">
        <v>191</v>
      </c>
      <c r="I965" s="29" t="n">
        <v>25000</v>
      </c>
      <c r="J965" s="29" t="n">
        <v>18750</v>
      </c>
      <c r="K965" s="28" t="n">
        <v>8.65</v>
      </c>
      <c r="L965" s="28" t="n">
        <v>116</v>
      </c>
      <c r="M965" s="28" t="n">
        <v>10</v>
      </c>
    </row>
    <row r="966" customFormat="false" ht="15" hidden="false" customHeight="false" outlineLevel="0" collapsed="false">
      <c r="A966" s="27" t="n">
        <v>44393</v>
      </c>
      <c r="B966" s="28" t="n">
        <v>2021</v>
      </c>
      <c r="C966" s="28" t="s">
        <v>169</v>
      </c>
      <c r="D966" s="28" t="s">
        <v>42</v>
      </c>
      <c r="E966" s="28" t="s">
        <v>180</v>
      </c>
      <c r="F966" s="28" t="s">
        <v>142</v>
      </c>
      <c r="G966" s="28" t="s">
        <v>148</v>
      </c>
      <c r="H966" s="28" t="s">
        <v>453</v>
      </c>
      <c r="I966" s="29" t="n">
        <v>230000</v>
      </c>
      <c r="J966" s="29" t="n">
        <v>207000</v>
      </c>
      <c r="K966" s="28" t="n">
        <v>6</v>
      </c>
      <c r="L966" s="28" t="n">
        <v>90</v>
      </c>
      <c r="M966" s="28" t="n">
        <v>30</v>
      </c>
    </row>
    <row r="967" customFormat="false" ht="15" hidden="false" customHeight="false" outlineLevel="0" collapsed="false">
      <c r="A967" s="27" t="n">
        <v>44394</v>
      </c>
      <c r="B967" s="28" t="n">
        <v>2021</v>
      </c>
      <c r="C967" s="28" t="s">
        <v>272</v>
      </c>
      <c r="D967" s="28" t="s">
        <v>43</v>
      </c>
      <c r="E967" s="28" t="s">
        <v>219</v>
      </c>
      <c r="F967" s="28" t="s">
        <v>194</v>
      </c>
      <c r="G967" s="28" t="s">
        <v>152</v>
      </c>
      <c r="H967" s="28" t="s">
        <v>255</v>
      </c>
      <c r="I967" s="29" t="n">
        <v>2700000</v>
      </c>
      <c r="J967" s="29" t="n">
        <v>2430000</v>
      </c>
      <c r="K967" s="28" t="n">
        <v>6</v>
      </c>
      <c r="L967" s="28" t="n">
        <v>300</v>
      </c>
      <c r="M967" s="28" t="n">
        <v>4</v>
      </c>
    </row>
    <row r="968" customFormat="false" ht="15" hidden="false" customHeight="false" outlineLevel="0" collapsed="false">
      <c r="A968" s="27" t="n">
        <v>44397</v>
      </c>
      <c r="B968" s="28" t="n">
        <v>2021</v>
      </c>
      <c r="C968" s="28" t="s">
        <v>160</v>
      </c>
      <c r="D968" s="28" t="s">
        <v>44</v>
      </c>
      <c r="E968" s="28" t="s">
        <v>485</v>
      </c>
      <c r="F968" s="28" t="s">
        <v>142</v>
      </c>
      <c r="G968" s="28" t="s">
        <v>152</v>
      </c>
      <c r="H968" s="28" t="s">
        <v>494</v>
      </c>
      <c r="I968" s="29" t="n">
        <v>4115000</v>
      </c>
      <c r="J968" s="29" t="n">
        <v>3662350</v>
      </c>
      <c r="K968" s="28" t="n">
        <v>6.25</v>
      </c>
      <c r="L968" s="28" t="n">
        <v>120</v>
      </c>
      <c r="M968" s="28" t="n">
        <v>100</v>
      </c>
    </row>
    <row r="969" customFormat="false" ht="15" hidden="false" customHeight="false" outlineLevel="0" collapsed="false">
      <c r="A969" s="27" t="n">
        <v>44398</v>
      </c>
      <c r="B969" s="28" t="n">
        <v>2021</v>
      </c>
      <c r="C969" s="28" t="s">
        <v>163</v>
      </c>
      <c r="D969" s="28" t="s">
        <v>56</v>
      </c>
      <c r="E969" s="28" t="s">
        <v>471</v>
      </c>
      <c r="F969" s="28" t="s">
        <v>147</v>
      </c>
      <c r="G969" s="28" t="s">
        <v>441</v>
      </c>
      <c r="H969" s="28" t="s">
        <v>168</v>
      </c>
      <c r="I969" s="29" t="n">
        <v>10000</v>
      </c>
      <c r="J969" s="29" t="n">
        <v>7500</v>
      </c>
      <c r="K969" s="28" t="n">
        <v>7.75</v>
      </c>
      <c r="L969" s="28" t="n">
        <v>120</v>
      </c>
      <c r="M969" s="28" t="n">
        <v>0</v>
      </c>
    </row>
    <row r="970" customFormat="false" ht="15" hidden="false" customHeight="false" outlineLevel="0" collapsed="false">
      <c r="A970" s="27" t="n">
        <v>44398</v>
      </c>
      <c r="B970" s="28" t="n">
        <v>2021</v>
      </c>
      <c r="C970" s="28" t="s">
        <v>213</v>
      </c>
      <c r="D970" s="28" t="s">
        <v>51</v>
      </c>
      <c r="E970" s="28" t="s">
        <v>335</v>
      </c>
      <c r="F970" s="28" t="s">
        <v>147</v>
      </c>
      <c r="G970" s="28" t="s">
        <v>148</v>
      </c>
      <c r="H970" s="28" t="s">
        <v>266</v>
      </c>
      <c r="I970" s="29" t="n">
        <v>20000</v>
      </c>
      <c r="J970" s="29" t="n">
        <v>15000</v>
      </c>
      <c r="K970" s="28" t="n">
        <v>4.5</v>
      </c>
      <c r="L970" s="28" t="n">
        <v>84</v>
      </c>
      <c r="M970" s="28" t="n">
        <v>7</v>
      </c>
    </row>
    <row r="971" customFormat="false" ht="15" hidden="false" customHeight="false" outlineLevel="0" collapsed="false">
      <c r="A971" s="27" t="n">
        <v>44398</v>
      </c>
      <c r="B971" s="28" t="n">
        <v>2021</v>
      </c>
      <c r="C971" s="28" t="s">
        <v>344</v>
      </c>
      <c r="D971" s="28" t="s">
        <v>46</v>
      </c>
      <c r="E971" s="28" t="s">
        <v>186</v>
      </c>
      <c r="F971" s="28" t="s">
        <v>142</v>
      </c>
      <c r="G971" s="28" t="s">
        <v>148</v>
      </c>
      <c r="H971" s="28" t="s">
        <v>144</v>
      </c>
      <c r="I971" s="29" t="n">
        <v>1275000</v>
      </c>
      <c r="J971" s="29" t="n">
        <v>1147500</v>
      </c>
      <c r="K971" s="28" t="n">
        <v>5.5</v>
      </c>
      <c r="L971" s="28" t="n">
        <v>300</v>
      </c>
      <c r="M971" s="28" t="n">
        <v>7</v>
      </c>
    </row>
    <row r="972" customFormat="false" ht="15" hidden="false" customHeight="false" outlineLevel="0" collapsed="false">
      <c r="A972" s="27" t="n">
        <v>44398</v>
      </c>
      <c r="B972" s="28" t="n">
        <v>2021</v>
      </c>
      <c r="C972" s="28" t="s">
        <v>640</v>
      </c>
      <c r="D972" s="28" t="s">
        <v>42</v>
      </c>
      <c r="E972" s="28" t="s">
        <v>247</v>
      </c>
      <c r="F972" s="28" t="s">
        <v>142</v>
      </c>
      <c r="G972" s="28" t="s">
        <v>441</v>
      </c>
      <c r="H972" s="28" t="s">
        <v>211</v>
      </c>
      <c r="I972" s="29" t="n">
        <v>3250000</v>
      </c>
      <c r="J972" s="29" t="n">
        <v>2925000</v>
      </c>
      <c r="K972" s="28" t="n">
        <v>5.25</v>
      </c>
      <c r="L972" s="28" t="n">
        <v>300</v>
      </c>
      <c r="M972" s="28" t="n">
        <v>12</v>
      </c>
    </row>
    <row r="973" customFormat="false" ht="15" hidden="false" customHeight="false" outlineLevel="0" collapsed="false">
      <c r="A973" s="27" t="n">
        <v>44399</v>
      </c>
      <c r="B973" s="28" t="n">
        <v>2021</v>
      </c>
      <c r="C973" s="28" t="s">
        <v>172</v>
      </c>
      <c r="D973" s="28" t="s">
        <v>49</v>
      </c>
      <c r="E973" s="28" t="s">
        <v>267</v>
      </c>
      <c r="F973" s="28" t="s">
        <v>147</v>
      </c>
      <c r="G973" s="28" t="s">
        <v>148</v>
      </c>
      <c r="H973" s="28" t="s">
        <v>248</v>
      </c>
      <c r="I973" s="29" t="n">
        <v>100000</v>
      </c>
      <c r="J973" s="29" t="n">
        <v>75000</v>
      </c>
      <c r="K973" s="28" t="n">
        <v>5.5</v>
      </c>
      <c r="L973" s="28" t="n">
        <v>60</v>
      </c>
      <c r="M973" s="28" t="n">
        <v>2</v>
      </c>
    </row>
    <row r="974" customFormat="false" ht="15" hidden="false" customHeight="false" outlineLevel="0" collapsed="false">
      <c r="A974" s="27" t="n">
        <v>44399</v>
      </c>
      <c r="B974" s="28" t="n">
        <v>2021</v>
      </c>
      <c r="C974" s="28" t="s">
        <v>310</v>
      </c>
      <c r="D974" s="28" t="s">
        <v>48</v>
      </c>
      <c r="E974" s="28" t="s">
        <v>403</v>
      </c>
      <c r="F974" s="28" t="s">
        <v>283</v>
      </c>
      <c r="G974" s="28" t="s">
        <v>148</v>
      </c>
      <c r="H974" s="28" t="s">
        <v>306</v>
      </c>
      <c r="I974" s="29" t="n">
        <v>25000</v>
      </c>
      <c r="J974" s="29" t="n">
        <v>21250</v>
      </c>
      <c r="K974" s="28" t="n">
        <v>4.25</v>
      </c>
      <c r="L974" s="28" t="n">
        <v>12</v>
      </c>
      <c r="M974" s="28" t="n">
        <v>1</v>
      </c>
    </row>
    <row r="975" customFormat="false" ht="15" hidden="false" customHeight="false" outlineLevel="0" collapsed="false">
      <c r="A975" s="27" t="n">
        <v>44399</v>
      </c>
      <c r="B975" s="28" t="n">
        <v>2021</v>
      </c>
      <c r="C975" s="28" t="s">
        <v>209</v>
      </c>
      <c r="D975" s="28" t="s">
        <v>47</v>
      </c>
      <c r="E975" s="28" t="s">
        <v>576</v>
      </c>
      <c r="F975" s="28" t="s">
        <v>142</v>
      </c>
      <c r="G975" s="28" t="s">
        <v>143</v>
      </c>
      <c r="H975" s="28" t="s">
        <v>255</v>
      </c>
      <c r="I975" s="29" t="n">
        <v>1500000</v>
      </c>
      <c r="J975" s="29" t="n">
        <v>1350000</v>
      </c>
      <c r="K975" s="28" t="n">
        <v>6</v>
      </c>
      <c r="L975" s="28" t="n">
        <v>120</v>
      </c>
      <c r="M975" s="28" t="n">
        <v>28</v>
      </c>
    </row>
    <row r="976" customFormat="false" ht="15" hidden="false" customHeight="false" outlineLevel="0" collapsed="false">
      <c r="A976" s="27" t="n">
        <v>44401</v>
      </c>
      <c r="B976" s="28" t="n">
        <v>2021</v>
      </c>
      <c r="C976" s="28" t="s">
        <v>206</v>
      </c>
      <c r="D976" s="28" t="s">
        <v>43</v>
      </c>
      <c r="E976" s="28" t="s">
        <v>264</v>
      </c>
      <c r="F976" s="28" t="s">
        <v>142</v>
      </c>
      <c r="G976" s="28" t="s">
        <v>152</v>
      </c>
      <c r="H976" s="28" t="s">
        <v>149</v>
      </c>
      <c r="I976" s="29" t="n">
        <v>420000</v>
      </c>
      <c r="J976" s="29" t="n">
        <v>378000</v>
      </c>
      <c r="K976" s="28" t="n">
        <v>5</v>
      </c>
      <c r="L976" s="28" t="n">
        <v>120</v>
      </c>
      <c r="M976" s="28" t="n">
        <v>5</v>
      </c>
    </row>
    <row r="977" customFormat="false" ht="15" hidden="false" customHeight="false" outlineLevel="0" collapsed="false">
      <c r="A977" s="27" t="n">
        <v>44402</v>
      </c>
      <c r="B977" s="28" t="n">
        <v>2021</v>
      </c>
      <c r="C977" s="28" t="s">
        <v>252</v>
      </c>
      <c r="D977" s="28" t="s">
        <v>42</v>
      </c>
      <c r="E977" s="28" t="s">
        <v>180</v>
      </c>
      <c r="F977" s="28" t="s">
        <v>142</v>
      </c>
      <c r="G977" s="28" t="s">
        <v>143</v>
      </c>
      <c r="H977" s="28" t="s">
        <v>523</v>
      </c>
      <c r="I977" s="29" t="n">
        <v>147500</v>
      </c>
      <c r="J977" s="29" t="n">
        <v>132750</v>
      </c>
      <c r="K977" s="28" t="n">
        <v>6</v>
      </c>
      <c r="L977" s="28" t="n">
        <v>120</v>
      </c>
      <c r="M977" s="28" t="n">
        <v>9</v>
      </c>
    </row>
    <row r="978" customFormat="false" ht="15" hidden="false" customHeight="false" outlineLevel="0" collapsed="false">
      <c r="A978" s="27" t="n">
        <v>44402</v>
      </c>
      <c r="B978" s="28" t="n">
        <v>2021</v>
      </c>
      <c r="C978" s="28" t="s">
        <v>169</v>
      </c>
      <c r="D978" s="28" t="s">
        <v>42</v>
      </c>
      <c r="E978" s="28" t="s">
        <v>247</v>
      </c>
      <c r="F978" s="28" t="s">
        <v>142</v>
      </c>
      <c r="G978" s="28" t="s">
        <v>152</v>
      </c>
      <c r="H978" s="28" t="s">
        <v>289</v>
      </c>
      <c r="I978" s="29" t="n">
        <v>4220000</v>
      </c>
      <c r="J978" s="29" t="n">
        <v>3749892</v>
      </c>
      <c r="K978" s="28" t="n">
        <v>5</v>
      </c>
      <c r="L978" s="28" t="n">
        <v>300</v>
      </c>
      <c r="M978" s="28" t="n">
        <v>15</v>
      </c>
    </row>
    <row r="979" customFormat="false" ht="15" hidden="false" customHeight="false" outlineLevel="0" collapsed="false">
      <c r="A979" s="27" t="n">
        <v>44403</v>
      </c>
      <c r="B979" s="28" t="n">
        <v>2021</v>
      </c>
      <c r="C979" s="28" t="s">
        <v>163</v>
      </c>
      <c r="D979" s="28" t="s">
        <v>42</v>
      </c>
      <c r="E979" s="28" t="s">
        <v>242</v>
      </c>
      <c r="F979" s="28" t="s">
        <v>142</v>
      </c>
      <c r="G979" s="28" t="s">
        <v>143</v>
      </c>
      <c r="H979" s="28" t="s">
        <v>382</v>
      </c>
      <c r="I979" s="29" t="n">
        <v>230700</v>
      </c>
      <c r="J979" s="29" t="n">
        <v>207630</v>
      </c>
      <c r="K979" s="28" t="n">
        <v>6</v>
      </c>
      <c r="L979" s="28" t="n">
        <v>124</v>
      </c>
      <c r="M979" s="28" t="n">
        <v>36</v>
      </c>
    </row>
    <row r="980" customFormat="false" ht="15" hidden="false" customHeight="false" outlineLevel="0" collapsed="false">
      <c r="A980" s="27" t="n">
        <v>44403</v>
      </c>
      <c r="B980" s="28" t="n">
        <v>2021</v>
      </c>
      <c r="C980" s="28" t="s">
        <v>393</v>
      </c>
      <c r="D980" s="28" t="s">
        <v>46</v>
      </c>
      <c r="E980" s="28" t="s">
        <v>186</v>
      </c>
      <c r="F980" s="28" t="s">
        <v>142</v>
      </c>
      <c r="G980" s="28" t="s">
        <v>152</v>
      </c>
      <c r="H980" s="28" t="s">
        <v>314</v>
      </c>
      <c r="I980" s="29" t="n">
        <v>1180000</v>
      </c>
      <c r="J980" s="29" t="n">
        <v>1062000</v>
      </c>
      <c r="K980" s="28" t="n">
        <v>4.75</v>
      </c>
      <c r="L980" s="28" t="n">
        <v>300</v>
      </c>
      <c r="M980" s="28" t="n">
        <v>8</v>
      </c>
    </row>
    <row r="981" customFormat="false" ht="15" hidden="false" customHeight="false" outlineLevel="0" collapsed="false">
      <c r="A981" s="27" t="n">
        <v>44403</v>
      </c>
      <c r="B981" s="28" t="n">
        <v>2021</v>
      </c>
      <c r="C981" s="28" t="s">
        <v>163</v>
      </c>
      <c r="D981" s="28" t="s">
        <v>45</v>
      </c>
      <c r="E981" s="28" t="s">
        <v>202</v>
      </c>
      <c r="F981" s="28" t="s">
        <v>147</v>
      </c>
      <c r="G981" s="28" t="s">
        <v>148</v>
      </c>
      <c r="H981" s="28" t="s">
        <v>227</v>
      </c>
      <c r="I981" s="29" t="n">
        <v>20000</v>
      </c>
      <c r="J981" s="29" t="n">
        <v>15000</v>
      </c>
      <c r="K981" s="28" t="n">
        <v>9.75</v>
      </c>
      <c r="L981" s="28" t="n">
        <v>120</v>
      </c>
      <c r="M981" s="28" t="n">
        <v>9</v>
      </c>
    </row>
    <row r="982" customFormat="false" ht="15" hidden="false" customHeight="false" outlineLevel="0" collapsed="false">
      <c r="A982" s="27" t="n">
        <v>44403</v>
      </c>
      <c r="B982" s="28" t="n">
        <v>2021</v>
      </c>
      <c r="C982" s="28" t="s">
        <v>328</v>
      </c>
      <c r="D982" s="28" t="s">
        <v>51</v>
      </c>
      <c r="E982" s="28" t="s">
        <v>239</v>
      </c>
      <c r="F982" s="28" t="s">
        <v>142</v>
      </c>
      <c r="G982" s="28" t="s">
        <v>441</v>
      </c>
      <c r="H982" s="28" t="s">
        <v>314</v>
      </c>
      <c r="I982" s="29" t="n">
        <v>1075000</v>
      </c>
      <c r="J982" s="29" t="n">
        <v>967500</v>
      </c>
      <c r="K982" s="28" t="n">
        <v>4.75</v>
      </c>
      <c r="L982" s="28" t="n">
        <v>314</v>
      </c>
      <c r="M982" s="28" t="n">
        <v>20</v>
      </c>
    </row>
    <row r="983" customFormat="false" ht="15" hidden="false" customHeight="false" outlineLevel="0" collapsed="false">
      <c r="A983" s="27" t="n">
        <v>44403</v>
      </c>
      <c r="B983" s="28" t="n">
        <v>2021</v>
      </c>
      <c r="C983" s="28" t="s">
        <v>169</v>
      </c>
      <c r="D983" s="28" t="s">
        <v>42</v>
      </c>
      <c r="E983" s="28" t="s">
        <v>180</v>
      </c>
      <c r="F983" s="28" t="s">
        <v>142</v>
      </c>
      <c r="G983" s="28" t="s">
        <v>143</v>
      </c>
      <c r="H983" s="28" t="s">
        <v>179</v>
      </c>
      <c r="I983" s="29" t="n">
        <v>469800</v>
      </c>
      <c r="J983" s="29" t="n">
        <v>422820</v>
      </c>
      <c r="K983" s="28" t="n">
        <v>6</v>
      </c>
      <c r="L983" s="28" t="n">
        <v>179</v>
      </c>
      <c r="M983" s="28" t="n">
        <v>30</v>
      </c>
    </row>
    <row r="984" customFormat="false" ht="15" hidden="false" customHeight="false" outlineLevel="0" collapsed="false">
      <c r="A984" s="27" t="n">
        <v>44403</v>
      </c>
      <c r="B984" s="28" t="n">
        <v>2021</v>
      </c>
      <c r="C984" s="28" t="s">
        <v>510</v>
      </c>
      <c r="D984" s="28" t="s">
        <v>47</v>
      </c>
      <c r="E984" s="28" t="s">
        <v>641</v>
      </c>
      <c r="F984" s="28" t="s">
        <v>147</v>
      </c>
      <c r="G984" s="28" t="s">
        <v>148</v>
      </c>
      <c r="H984" s="28" t="s">
        <v>266</v>
      </c>
      <c r="I984" s="29" t="n">
        <v>192000</v>
      </c>
      <c r="J984" s="29" t="n">
        <v>144000</v>
      </c>
      <c r="K984" s="28" t="n">
        <v>4.5</v>
      </c>
      <c r="L984" s="28" t="n">
        <v>240</v>
      </c>
      <c r="M984" s="28" t="n">
        <v>6</v>
      </c>
    </row>
    <row r="985" customFormat="false" ht="15" hidden="false" customHeight="false" outlineLevel="0" collapsed="false">
      <c r="A985" s="27" t="n">
        <v>44403</v>
      </c>
      <c r="B985" s="28" t="n">
        <v>2021</v>
      </c>
      <c r="C985" s="28" t="s">
        <v>393</v>
      </c>
      <c r="D985" s="28" t="s">
        <v>46</v>
      </c>
      <c r="E985" s="28" t="s">
        <v>186</v>
      </c>
      <c r="F985" s="28" t="s">
        <v>147</v>
      </c>
      <c r="G985" s="28" t="s">
        <v>152</v>
      </c>
      <c r="H985" s="28" t="s">
        <v>314</v>
      </c>
      <c r="I985" s="29" t="n">
        <v>100000</v>
      </c>
      <c r="J985" s="29" t="n">
        <v>75000</v>
      </c>
      <c r="K985" s="28" t="n">
        <v>5.25</v>
      </c>
      <c r="L985" s="28" t="n">
        <v>120</v>
      </c>
      <c r="M985" s="28" t="n">
        <v>6</v>
      </c>
    </row>
    <row r="986" customFormat="false" ht="15" hidden="false" customHeight="false" outlineLevel="0" collapsed="false">
      <c r="A986" s="27" t="n">
        <v>44404</v>
      </c>
      <c r="B986" s="28" t="n">
        <v>2021</v>
      </c>
      <c r="C986" s="28" t="s">
        <v>203</v>
      </c>
      <c r="D986" s="28" t="s">
        <v>46</v>
      </c>
      <c r="E986" s="28" t="s">
        <v>642</v>
      </c>
      <c r="F986" s="28" t="s">
        <v>147</v>
      </c>
      <c r="G986" s="28" t="s">
        <v>441</v>
      </c>
      <c r="H986" s="28" t="s">
        <v>494</v>
      </c>
      <c r="I986" s="29" t="n">
        <v>150000</v>
      </c>
      <c r="J986" s="29" t="n">
        <v>97500</v>
      </c>
      <c r="K986" s="28" t="n">
        <v>6</v>
      </c>
      <c r="L986" s="28" t="n">
        <v>120</v>
      </c>
      <c r="M986" s="28" t="n">
        <v>17</v>
      </c>
    </row>
    <row r="987" customFormat="false" ht="15" hidden="false" customHeight="false" outlineLevel="0" collapsed="false">
      <c r="A987" s="27" t="n">
        <v>44404</v>
      </c>
      <c r="B987" s="28" t="n">
        <v>2021</v>
      </c>
      <c r="C987" s="28" t="s">
        <v>163</v>
      </c>
      <c r="D987" s="28" t="s">
        <v>43</v>
      </c>
      <c r="E987" s="28" t="s">
        <v>643</v>
      </c>
      <c r="F987" s="28" t="s">
        <v>142</v>
      </c>
      <c r="G987" s="28" t="s">
        <v>148</v>
      </c>
      <c r="H987" s="28" t="s">
        <v>165</v>
      </c>
      <c r="I987" s="29" t="n">
        <v>350000</v>
      </c>
      <c r="J987" s="29" t="n">
        <v>315000</v>
      </c>
      <c r="K987" s="28" t="n">
        <v>5.25</v>
      </c>
      <c r="L987" s="28" t="n">
        <v>120</v>
      </c>
      <c r="M987" s="28" t="n">
        <v>29</v>
      </c>
    </row>
    <row r="988" customFormat="false" ht="15" hidden="false" customHeight="false" outlineLevel="0" collapsed="false">
      <c r="A988" s="27" t="n">
        <v>44404</v>
      </c>
      <c r="B988" s="28" t="n">
        <v>2021</v>
      </c>
      <c r="C988" s="28" t="s">
        <v>140</v>
      </c>
      <c r="D988" s="28" t="s">
        <v>42</v>
      </c>
      <c r="E988" s="28" t="s">
        <v>242</v>
      </c>
      <c r="F988" s="28" t="s">
        <v>142</v>
      </c>
      <c r="G988" s="28" t="s">
        <v>143</v>
      </c>
      <c r="H988" s="28" t="s">
        <v>644</v>
      </c>
      <c r="I988" s="29" t="n">
        <v>308100</v>
      </c>
      <c r="J988" s="29" t="n">
        <v>277290</v>
      </c>
      <c r="K988" s="28" t="n">
        <v>6</v>
      </c>
      <c r="L988" s="28" t="n">
        <v>120</v>
      </c>
      <c r="M988" s="28" t="n">
        <v>30</v>
      </c>
    </row>
    <row r="989" customFormat="false" ht="15" hidden="false" customHeight="false" outlineLevel="0" collapsed="false">
      <c r="A989" s="27" t="n">
        <v>44405</v>
      </c>
      <c r="B989" s="28" t="n">
        <v>2021</v>
      </c>
      <c r="C989" s="28" t="s">
        <v>203</v>
      </c>
      <c r="D989" s="28" t="s">
        <v>46</v>
      </c>
      <c r="E989" s="28" t="s">
        <v>642</v>
      </c>
      <c r="F989" s="28" t="s">
        <v>142</v>
      </c>
      <c r="G989" s="28" t="s">
        <v>441</v>
      </c>
      <c r="H989" s="28" t="s">
        <v>494</v>
      </c>
      <c r="I989" s="29" t="n">
        <v>4099500</v>
      </c>
      <c r="J989" s="29" t="n">
        <v>3648555</v>
      </c>
      <c r="K989" s="28" t="n">
        <v>6</v>
      </c>
      <c r="L989" s="28" t="n">
        <v>120</v>
      </c>
      <c r="M989" s="28" t="n">
        <v>17</v>
      </c>
    </row>
    <row r="990" customFormat="false" ht="15" hidden="false" customHeight="false" outlineLevel="0" collapsed="false">
      <c r="A990" s="27" t="n">
        <v>44405</v>
      </c>
      <c r="B990" s="28" t="n">
        <v>2021</v>
      </c>
      <c r="C990" s="28" t="s">
        <v>206</v>
      </c>
      <c r="D990" s="28" t="s">
        <v>43</v>
      </c>
      <c r="E990" s="28" t="s">
        <v>197</v>
      </c>
      <c r="F990" s="28" t="s">
        <v>194</v>
      </c>
      <c r="G990" s="28" t="s">
        <v>152</v>
      </c>
      <c r="H990" s="28" t="s">
        <v>645</v>
      </c>
      <c r="I990" s="29" t="n">
        <v>327600</v>
      </c>
      <c r="J990" s="29" t="n">
        <v>294840</v>
      </c>
      <c r="K990" s="28" t="n">
        <v>6</v>
      </c>
      <c r="L990" s="28" t="n">
        <v>120</v>
      </c>
      <c r="M990" s="28" t="n">
        <v>6</v>
      </c>
    </row>
    <row r="991" customFormat="false" ht="15" hidden="false" customHeight="false" outlineLevel="0" collapsed="false">
      <c r="A991" s="27" t="n">
        <v>44405</v>
      </c>
      <c r="B991" s="28" t="n">
        <v>2021</v>
      </c>
      <c r="C991" s="28" t="s">
        <v>154</v>
      </c>
      <c r="D991" s="28" t="s">
        <v>44</v>
      </c>
      <c r="E991" s="28" t="s">
        <v>339</v>
      </c>
      <c r="F991" s="28" t="s">
        <v>142</v>
      </c>
      <c r="G991" s="28" t="s">
        <v>152</v>
      </c>
      <c r="H991" s="28" t="s">
        <v>347</v>
      </c>
      <c r="I991" s="29" t="n">
        <v>300000</v>
      </c>
      <c r="J991" s="29" t="n">
        <v>270000</v>
      </c>
      <c r="K991" s="28" t="n">
        <v>6</v>
      </c>
      <c r="L991" s="28" t="n">
        <v>121</v>
      </c>
      <c r="M991" s="28" t="n">
        <v>5</v>
      </c>
    </row>
    <row r="992" customFormat="false" ht="15" hidden="false" customHeight="false" outlineLevel="0" collapsed="false">
      <c r="A992" s="27" t="n">
        <v>44405</v>
      </c>
      <c r="B992" s="28" t="n">
        <v>2021</v>
      </c>
      <c r="C992" s="28" t="s">
        <v>166</v>
      </c>
      <c r="D992" s="28" t="s">
        <v>45</v>
      </c>
      <c r="E992" s="28" t="s">
        <v>253</v>
      </c>
      <c r="F992" s="28" t="s">
        <v>147</v>
      </c>
      <c r="G992" s="28" t="s">
        <v>148</v>
      </c>
      <c r="H992" s="28" t="s">
        <v>495</v>
      </c>
      <c r="I992" s="29" t="n">
        <v>300000</v>
      </c>
      <c r="J992" s="29" t="n">
        <v>225000</v>
      </c>
      <c r="K992" s="28" t="n">
        <v>4.5</v>
      </c>
      <c r="L992" s="28" t="n">
        <v>114</v>
      </c>
      <c r="M992" s="28" t="n">
        <v>2</v>
      </c>
    </row>
    <row r="993" customFormat="false" ht="15" hidden="false" customHeight="false" outlineLevel="0" collapsed="false">
      <c r="A993" s="27" t="n">
        <v>44405</v>
      </c>
      <c r="B993" s="28" t="n">
        <v>2021</v>
      </c>
      <c r="C993" s="28" t="s">
        <v>169</v>
      </c>
      <c r="D993" s="28" t="s">
        <v>42</v>
      </c>
      <c r="E993" s="28" t="s">
        <v>242</v>
      </c>
      <c r="F993" s="28" t="s">
        <v>142</v>
      </c>
      <c r="G993" s="28" t="s">
        <v>143</v>
      </c>
      <c r="H993" s="28" t="s">
        <v>382</v>
      </c>
      <c r="I993" s="29" t="n">
        <v>296000</v>
      </c>
      <c r="J993" s="29" t="n">
        <v>266400</v>
      </c>
      <c r="K993" s="28" t="n">
        <v>6</v>
      </c>
      <c r="L993" s="28" t="n">
        <v>123</v>
      </c>
      <c r="M993" s="28" t="n">
        <v>14</v>
      </c>
    </row>
    <row r="994" customFormat="false" ht="15" hidden="false" customHeight="false" outlineLevel="0" collapsed="false">
      <c r="A994" s="27" t="n">
        <v>44405</v>
      </c>
      <c r="B994" s="28" t="n">
        <v>2021</v>
      </c>
      <c r="C994" s="28" t="s">
        <v>265</v>
      </c>
      <c r="D994" s="28" t="s">
        <v>50</v>
      </c>
      <c r="E994" s="28" t="s">
        <v>193</v>
      </c>
      <c r="F994" s="28" t="s">
        <v>142</v>
      </c>
      <c r="G994" s="28" t="s">
        <v>148</v>
      </c>
      <c r="H994" s="28" t="s">
        <v>306</v>
      </c>
      <c r="I994" s="29" t="n">
        <v>543400</v>
      </c>
      <c r="J994" s="29" t="n">
        <v>407550</v>
      </c>
      <c r="K994" s="28" t="n">
        <v>4.75</v>
      </c>
      <c r="L994" s="28" t="n">
        <v>60</v>
      </c>
      <c r="M994" s="28" t="n">
        <v>16</v>
      </c>
    </row>
    <row r="995" customFormat="false" ht="15" hidden="false" customHeight="false" outlineLevel="0" collapsed="false">
      <c r="A995" s="27" t="n">
        <v>44406</v>
      </c>
      <c r="B995" s="28" t="n">
        <v>2021</v>
      </c>
      <c r="C995" s="28" t="s">
        <v>169</v>
      </c>
      <c r="D995" s="28" t="s">
        <v>48</v>
      </c>
      <c r="E995" s="28" t="s">
        <v>646</v>
      </c>
      <c r="F995" s="28" t="s">
        <v>147</v>
      </c>
      <c r="G995" s="28" t="s">
        <v>441</v>
      </c>
      <c r="H995" s="28" t="s">
        <v>168</v>
      </c>
      <c r="I995" s="29" t="n">
        <v>15000</v>
      </c>
      <c r="J995" s="29" t="n">
        <v>11250</v>
      </c>
      <c r="K995" s="28" t="n">
        <v>9.25</v>
      </c>
      <c r="L995" s="28" t="n">
        <v>120</v>
      </c>
      <c r="M995" s="28" t="n">
        <v>2</v>
      </c>
    </row>
    <row r="996" customFormat="false" ht="15" hidden="false" customHeight="false" outlineLevel="0" collapsed="false">
      <c r="A996" s="27" t="n">
        <v>44406</v>
      </c>
      <c r="B996" s="28" t="n">
        <v>2021</v>
      </c>
      <c r="C996" s="28" t="s">
        <v>510</v>
      </c>
      <c r="D996" s="28" t="s">
        <v>44</v>
      </c>
      <c r="E996" s="28" t="s">
        <v>343</v>
      </c>
      <c r="F996" s="28" t="s">
        <v>142</v>
      </c>
      <c r="G996" s="28" t="s">
        <v>143</v>
      </c>
      <c r="H996" s="28" t="s">
        <v>644</v>
      </c>
      <c r="I996" s="29" t="n">
        <v>1499400</v>
      </c>
      <c r="J996" s="29" t="n">
        <v>1349460</v>
      </c>
      <c r="K996" s="28" t="n">
        <v>6</v>
      </c>
      <c r="L996" s="28" t="n">
        <v>305</v>
      </c>
      <c r="M996" s="28" t="n">
        <v>32</v>
      </c>
    </row>
    <row r="997" customFormat="false" ht="15" hidden="false" customHeight="false" outlineLevel="0" collapsed="false">
      <c r="A997" s="27" t="n">
        <v>44406</v>
      </c>
      <c r="B997" s="28" t="n">
        <v>2021</v>
      </c>
      <c r="C997" s="28" t="s">
        <v>209</v>
      </c>
      <c r="D997" s="28" t="s">
        <v>42</v>
      </c>
      <c r="E997" s="28" t="s">
        <v>247</v>
      </c>
      <c r="F997" s="28" t="s">
        <v>142</v>
      </c>
      <c r="G997" s="28" t="s">
        <v>441</v>
      </c>
      <c r="H997" s="28" t="s">
        <v>211</v>
      </c>
      <c r="I997" s="29" t="n">
        <v>5000000</v>
      </c>
      <c r="J997" s="29" t="n">
        <v>3750000</v>
      </c>
      <c r="K997" s="28" t="n">
        <v>5</v>
      </c>
      <c r="L997" s="28" t="n">
        <v>299</v>
      </c>
      <c r="M997" s="28" t="n">
        <v>8</v>
      </c>
    </row>
    <row r="998" customFormat="false" ht="15" hidden="false" customHeight="false" outlineLevel="0" collapsed="false">
      <c r="A998" s="27" t="n">
        <v>44406</v>
      </c>
      <c r="B998" s="28" t="n">
        <v>2021</v>
      </c>
      <c r="C998" s="28" t="s">
        <v>206</v>
      </c>
      <c r="D998" s="28" t="s">
        <v>48</v>
      </c>
      <c r="E998" s="28" t="s">
        <v>210</v>
      </c>
      <c r="F998" s="28" t="s">
        <v>142</v>
      </c>
      <c r="G998" s="28" t="s">
        <v>441</v>
      </c>
      <c r="H998" s="28" t="s">
        <v>428</v>
      </c>
      <c r="I998" s="29" t="n">
        <v>2655000</v>
      </c>
      <c r="J998" s="29" t="n">
        <v>2389500</v>
      </c>
      <c r="K998" s="28" t="n">
        <v>4.03</v>
      </c>
      <c r="L998" s="28" t="n">
        <v>300</v>
      </c>
      <c r="M998" s="28" t="n">
        <v>2</v>
      </c>
    </row>
    <row r="999" customFormat="false" ht="15" hidden="false" customHeight="false" outlineLevel="0" collapsed="false">
      <c r="A999" s="27" t="n">
        <v>44406</v>
      </c>
      <c r="B999" s="28" t="n">
        <v>2021</v>
      </c>
      <c r="C999" s="28" t="s">
        <v>140</v>
      </c>
      <c r="D999" s="28" t="s">
        <v>42</v>
      </c>
      <c r="E999" s="28" t="s">
        <v>247</v>
      </c>
      <c r="F999" s="28" t="s">
        <v>142</v>
      </c>
      <c r="G999" s="28" t="s">
        <v>148</v>
      </c>
      <c r="H999" s="28" t="s">
        <v>647</v>
      </c>
      <c r="I999" s="29" t="n">
        <v>1171400</v>
      </c>
      <c r="J999" s="29" t="n">
        <v>1054260</v>
      </c>
      <c r="K999" s="28" t="n">
        <v>4.75</v>
      </c>
      <c r="L999" s="28" t="n">
        <v>300</v>
      </c>
      <c r="M999" s="28" t="n">
        <v>8</v>
      </c>
    </row>
    <row r="1000" customFormat="false" ht="15" hidden="false" customHeight="false" outlineLevel="0" collapsed="false">
      <c r="A1000" s="27" t="n">
        <v>44406</v>
      </c>
      <c r="B1000" s="28" t="n">
        <v>2021</v>
      </c>
      <c r="C1000" s="28" t="s">
        <v>150</v>
      </c>
      <c r="D1000" s="28" t="s">
        <v>43</v>
      </c>
      <c r="E1000" s="28" t="s">
        <v>581</v>
      </c>
      <c r="F1000" s="28" t="s">
        <v>142</v>
      </c>
      <c r="G1000" s="28" t="s">
        <v>152</v>
      </c>
      <c r="H1000" s="28" t="s">
        <v>281</v>
      </c>
      <c r="I1000" s="29" t="n">
        <v>4341000</v>
      </c>
      <c r="J1000" s="29" t="n">
        <v>3733260</v>
      </c>
      <c r="K1000" s="28" t="n">
        <v>5.25</v>
      </c>
      <c r="L1000" s="28" t="n">
        <v>314</v>
      </c>
      <c r="M1000" s="28" t="n">
        <v>19</v>
      </c>
    </row>
    <row r="1001" customFormat="false" ht="15" hidden="false" customHeight="false" outlineLevel="0" collapsed="false">
      <c r="A1001" s="27" t="n">
        <v>44406</v>
      </c>
      <c r="B1001" s="28" t="n">
        <v>2021</v>
      </c>
      <c r="C1001" s="28" t="s">
        <v>528</v>
      </c>
      <c r="D1001" s="28" t="s">
        <v>43</v>
      </c>
      <c r="E1001" s="28" t="s">
        <v>529</v>
      </c>
      <c r="F1001" s="28" t="s">
        <v>142</v>
      </c>
      <c r="G1001" s="28" t="s">
        <v>152</v>
      </c>
      <c r="H1001" s="28" t="s">
        <v>211</v>
      </c>
      <c r="I1001" s="29" t="n">
        <v>2350000</v>
      </c>
      <c r="J1001" s="29" t="n">
        <v>2115000</v>
      </c>
      <c r="K1001" s="28" t="n">
        <v>6</v>
      </c>
      <c r="L1001" s="28" t="n">
        <v>300</v>
      </c>
      <c r="M1001" s="28" t="n">
        <v>10</v>
      </c>
    </row>
    <row r="1002" customFormat="false" ht="15" hidden="false" customHeight="false" outlineLevel="0" collapsed="false">
      <c r="A1002" s="27" t="n">
        <v>44406</v>
      </c>
      <c r="B1002" s="28" t="n">
        <v>2021</v>
      </c>
      <c r="C1002" s="28" t="s">
        <v>232</v>
      </c>
      <c r="D1002" s="28" t="s">
        <v>42</v>
      </c>
      <c r="E1002" s="28" t="s">
        <v>247</v>
      </c>
      <c r="F1002" s="28" t="s">
        <v>142</v>
      </c>
      <c r="G1002" s="28" t="s">
        <v>441</v>
      </c>
      <c r="H1002" s="28" t="s">
        <v>211</v>
      </c>
      <c r="I1002" s="29" t="n">
        <v>2050000</v>
      </c>
      <c r="J1002" s="29" t="n">
        <v>1845000</v>
      </c>
      <c r="K1002" s="28" t="n">
        <v>6</v>
      </c>
      <c r="L1002" s="28" t="n">
        <v>300</v>
      </c>
      <c r="M1002" s="28" t="n">
        <v>4</v>
      </c>
    </row>
    <row r="1003" customFormat="false" ht="15" hidden="false" customHeight="false" outlineLevel="0" collapsed="false">
      <c r="A1003" s="27" t="n">
        <v>44407</v>
      </c>
      <c r="B1003" s="28" t="n">
        <v>2021</v>
      </c>
      <c r="C1003" s="28" t="s">
        <v>160</v>
      </c>
      <c r="D1003" s="28" t="s">
        <v>46</v>
      </c>
      <c r="E1003" s="28" t="s">
        <v>276</v>
      </c>
      <c r="F1003" s="28" t="s">
        <v>147</v>
      </c>
      <c r="G1003" s="28" t="s">
        <v>441</v>
      </c>
      <c r="H1003" s="28" t="s">
        <v>168</v>
      </c>
      <c r="I1003" s="29" t="n">
        <v>9900</v>
      </c>
      <c r="J1003" s="29" t="n">
        <v>7425</v>
      </c>
      <c r="K1003" s="28" t="n">
        <v>7.75</v>
      </c>
      <c r="L1003" s="28" t="n">
        <v>120</v>
      </c>
      <c r="M1003" s="28" t="n">
        <v>0</v>
      </c>
    </row>
    <row r="1004" customFormat="false" ht="15" hidden="false" customHeight="false" outlineLevel="0" collapsed="false">
      <c r="A1004" s="27" t="n">
        <v>44407</v>
      </c>
      <c r="B1004" s="28" t="n">
        <v>2021</v>
      </c>
      <c r="C1004" s="28" t="s">
        <v>183</v>
      </c>
      <c r="D1004" s="28" t="s">
        <v>51</v>
      </c>
      <c r="E1004" s="28" t="s">
        <v>567</v>
      </c>
      <c r="F1004" s="28" t="s">
        <v>194</v>
      </c>
      <c r="G1004" s="28" t="s">
        <v>148</v>
      </c>
      <c r="H1004" s="28" t="s">
        <v>278</v>
      </c>
      <c r="I1004" s="29" t="n">
        <v>275000</v>
      </c>
      <c r="J1004" s="29" t="n">
        <v>247500</v>
      </c>
      <c r="K1004" s="28" t="n">
        <v>6</v>
      </c>
      <c r="L1004" s="28" t="n">
        <v>300</v>
      </c>
      <c r="M1004" s="28" t="n">
        <v>17</v>
      </c>
    </row>
    <row r="1005" customFormat="false" ht="15" hidden="false" customHeight="false" outlineLevel="0" collapsed="false">
      <c r="A1005" s="27" t="n">
        <v>44407</v>
      </c>
      <c r="B1005" s="28" t="n">
        <v>2021</v>
      </c>
      <c r="C1005" s="28" t="s">
        <v>198</v>
      </c>
      <c r="D1005" s="28" t="s">
        <v>45</v>
      </c>
      <c r="E1005" s="28" t="s">
        <v>253</v>
      </c>
      <c r="F1005" s="28" t="s">
        <v>147</v>
      </c>
      <c r="G1005" s="28" t="s">
        <v>148</v>
      </c>
      <c r="H1005" s="28" t="s">
        <v>281</v>
      </c>
      <c r="I1005" s="29" t="n">
        <v>960000</v>
      </c>
      <c r="J1005" s="29" t="n">
        <v>480000</v>
      </c>
      <c r="K1005" s="28" t="n">
        <v>5.25</v>
      </c>
      <c r="L1005" s="28" t="n">
        <v>300</v>
      </c>
      <c r="M1005" s="28" t="n">
        <v>30</v>
      </c>
    </row>
    <row r="1006" customFormat="false" ht="15" hidden="false" customHeight="false" outlineLevel="0" collapsed="false">
      <c r="A1006" s="27" t="n">
        <v>44407</v>
      </c>
      <c r="B1006" s="28" t="n">
        <v>2021</v>
      </c>
      <c r="C1006" s="28" t="s">
        <v>387</v>
      </c>
      <c r="D1006" s="28" t="s">
        <v>43</v>
      </c>
      <c r="E1006" s="28" t="s">
        <v>648</v>
      </c>
      <c r="F1006" s="28" t="s">
        <v>142</v>
      </c>
      <c r="G1006" s="28" t="s">
        <v>441</v>
      </c>
      <c r="H1006" s="28" t="s">
        <v>281</v>
      </c>
      <c r="I1006" s="29" t="n">
        <v>549000</v>
      </c>
      <c r="J1006" s="29" t="n">
        <v>494100</v>
      </c>
      <c r="K1006" s="28" t="n">
        <v>6</v>
      </c>
      <c r="L1006" s="28" t="n">
        <v>120</v>
      </c>
      <c r="M1006" s="28" t="n">
        <v>6</v>
      </c>
    </row>
    <row r="1007" customFormat="false" ht="15" hidden="false" customHeight="false" outlineLevel="0" collapsed="false">
      <c r="A1007" s="27" t="n">
        <v>44409</v>
      </c>
      <c r="B1007" s="28" t="n">
        <v>2021</v>
      </c>
      <c r="C1007" s="28" t="s">
        <v>145</v>
      </c>
      <c r="D1007" s="28" t="s">
        <v>55</v>
      </c>
      <c r="E1007" s="28" t="s">
        <v>649</v>
      </c>
      <c r="F1007" s="28" t="s">
        <v>142</v>
      </c>
      <c r="G1007" s="28" t="s">
        <v>148</v>
      </c>
      <c r="H1007" s="28" t="s">
        <v>159</v>
      </c>
      <c r="I1007" s="29" t="n">
        <v>200000</v>
      </c>
      <c r="J1007" s="29" t="n">
        <v>180000</v>
      </c>
      <c r="K1007" s="28" t="n">
        <v>5.75</v>
      </c>
      <c r="L1007" s="28" t="n">
        <v>90</v>
      </c>
      <c r="M1007" s="28" t="n">
        <v>15</v>
      </c>
    </row>
    <row r="1008" customFormat="false" ht="15" hidden="false" customHeight="false" outlineLevel="0" collapsed="false">
      <c r="A1008" s="27" t="n">
        <v>44409</v>
      </c>
      <c r="B1008" s="28" t="n">
        <v>2021</v>
      </c>
      <c r="C1008" s="28" t="s">
        <v>292</v>
      </c>
      <c r="D1008" s="28" t="s">
        <v>50</v>
      </c>
      <c r="E1008" s="28" t="s">
        <v>650</v>
      </c>
      <c r="F1008" s="28" t="s">
        <v>142</v>
      </c>
      <c r="G1008" s="28" t="s">
        <v>152</v>
      </c>
      <c r="H1008" s="28" t="s">
        <v>153</v>
      </c>
      <c r="I1008" s="29" t="n">
        <v>180600</v>
      </c>
      <c r="J1008" s="29" t="n">
        <v>162540</v>
      </c>
      <c r="K1008" s="28" t="n">
        <v>5.75</v>
      </c>
      <c r="L1008" s="28" t="n">
        <v>120</v>
      </c>
      <c r="M1008" s="28" t="n">
        <v>4</v>
      </c>
    </row>
    <row r="1009" customFormat="false" ht="15" hidden="false" customHeight="false" outlineLevel="0" collapsed="false">
      <c r="A1009" s="27" t="n">
        <v>44410</v>
      </c>
      <c r="B1009" s="28" t="n">
        <v>2021</v>
      </c>
      <c r="C1009" s="28" t="s">
        <v>201</v>
      </c>
      <c r="D1009" s="28" t="s">
        <v>48</v>
      </c>
      <c r="E1009" s="28" t="s">
        <v>295</v>
      </c>
      <c r="F1009" s="28" t="s">
        <v>142</v>
      </c>
      <c r="G1009" s="28" t="s">
        <v>148</v>
      </c>
      <c r="H1009" s="28" t="s">
        <v>561</v>
      </c>
      <c r="I1009" s="29" t="n">
        <v>1539000</v>
      </c>
      <c r="J1009" s="29" t="n">
        <v>1385100</v>
      </c>
      <c r="K1009" s="28" t="n">
        <v>5.5</v>
      </c>
      <c r="L1009" s="28" t="n">
        <v>120</v>
      </c>
      <c r="M1009" s="28" t="n">
        <v>20</v>
      </c>
    </row>
    <row r="1010" customFormat="false" ht="15" hidden="false" customHeight="false" outlineLevel="0" collapsed="false">
      <c r="A1010" s="27" t="n">
        <v>44410</v>
      </c>
      <c r="B1010" s="28" t="n">
        <v>2021</v>
      </c>
      <c r="C1010" s="28" t="s">
        <v>169</v>
      </c>
      <c r="D1010" s="28" t="s">
        <v>44</v>
      </c>
      <c r="E1010" s="28" t="s">
        <v>161</v>
      </c>
      <c r="F1010" s="28" t="s">
        <v>147</v>
      </c>
      <c r="G1010" s="28" t="s">
        <v>148</v>
      </c>
      <c r="H1010" s="28" t="s">
        <v>159</v>
      </c>
      <c r="I1010" s="29" t="n">
        <v>75000</v>
      </c>
      <c r="J1010" s="29" t="n">
        <v>56250</v>
      </c>
      <c r="K1010" s="28" t="n">
        <v>7.75</v>
      </c>
      <c r="L1010" s="28" t="n">
        <v>59</v>
      </c>
      <c r="M1010" s="28" t="n">
        <v>10</v>
      </c>
    </row>
    <row r="1011" customFormat="false" ht="15" hidden="false" customHeight="false" outlineLevel="0" collapsed="false">
      <c r="A1011" s="27" t="n">
        <v>44410</v>
      </c>
      <c r="B1011" s="28" t="n">
        <v>2021</v>
      </c>
      <c r="C1011" s="28" t="s">
        <v>172</v>
      </c>
      <c r="D1011" s="28" t="s">
        <v>49</v>
      </c>
      <c r="E1011" s="28" t="s">
        <v>575</v>
      </c>
      <c r="F1011" s="28" t="s">
        <v>147</v>
      </c>
      <c r="G1011" s="28" t="s">
        <v>143</v>
      </c>
      <c r="H1011" s="28" t="s">
        <v>278</v>
      </c>
      <c r="I1011" s="29" t="n">
        <v>100000</v>
      </c>
      <c r="J1011" s="29" t="n">
        <v>75000</v>
      </c>
      <c r="K1011" s="28" t="n">
        <v>6</v>
      </c>
      <c r="L1011" s="28" t="n">
        <v>36</v>
      </c>
      <c r="M1011" s="28" t="n">
        <v>7</v>
      </c>
    </row>
    <row r="1012" customFormat="false" ht="15" hidden="false" customHeight="false" outlineLevel="0" collapsed="false">
      <c r="A1012" s="27" t="n">
        <v>44411</v>
      </c>
      <c r="B1012" s="28" t="n">
        <v>2021</v>
      </c>
      <c r="C1012" s="28" t="s">
        <v>332</v>
      </c>
      <c r="D1012" s="28" t="s">
        <v>51</v>
      </c>
      <c r="E1012" s="28" t="s">
        <v>651</v>
      </c>
      <c r="F1012" s="28" t="s">
        <v>142</v>
      </c>
      <c r="G1012" s="28" t="s">
        <v>143</v>
      </c>
      <c r="H1012" s="28" t="s">
        <v>208</v>
      </c>
      <c r="I1012" s="29" t="n">
        <v>2007000</v>
      </c>
      <c r="J1012" s="29" t="n">
        <v>1806300</v>
      </c>
      <c r="K1012" s="28" t="n">
        <v>5.5</v>
      </c>
      <c r="L1012" s="28" t="n">
        <v>129</v>
      </c>
      <c r="M1012" s="28" t="n">
        <v>16</v>
      </c>
    </row>
    <row r="1013" customFormat="false" ht="15" hidden="false" customHeight="false" outlineLevel="0" collapsed="false">
      <c r="A1013" s="27" t="n">
        <v>44412</v>
      </c>
      <c r="B1013" s="28" t="n">
        <v>2021</v>
      </c>
      <c r="C1013" s="28" t="s">
        <v>169</v>
      </c>
      <c r="D1013" s="28" t="s">
        <v>48</v>
      </c>
      <c r="E1013" s="28" t="s">
        <v>309</v>
      </c>
      <c r="F1013" s="28" t="s">
        <v>142</v>
      </c>
      <c r="G1013" s="28" t="s">
        <v>148</v>
      </c>
      <c r="H1013" s="28" t="s">
        <v>229</v>
      </c>
      <c r="I1013" s="29" t="n">
        <v>350000</v>
      </c>
      <c r="J1013" s="29" t="n">
        <v>315000</v>
      </c>
      <c r="K1013" s="28" t="n">
        <v>6</v>
      </c>
      <c r="L1013" s="28" t="n">
        <v>120</v>
      </c>
      <c r="M1013" s="28" t="n">
        <v>2</v>
      </c>
    </row>
    <row r="1014" customFormat="false" ht="15" hidden="false" customHeight="false" outlineLevel="0" collapsed="false">
      <c r="A1014" s="27" t="n">
        <v>44412</v>
      </c>
      <c r="B1014" s="28" t="n">
        <v>2021</v>
      </c>
      <c r="C1014" s="28" t="s">
        <v>140</v>
      </c>
      <c r="D1014" s="28" t="s">
        <v>45</v>
      </c>
      <c r="E1014" s="28" t="s">
        <v>222</v>
      </c>
      <c r="F1014" s="28" t="s">
        <v>147</v>
      </c>
      <c r="G1014" s="28" t="s">
        <v>441</v>
      </c>
      <c r="H1014" s="28" t="s">
        <v>168</v>
      </c>
      <c r="I1014" s="29" t="n">
        <v>10000</v>
      </c>
      <c r="J1014" s="29" t="n">
        <v>7500</v>
      </c>
      <c r="K1014" s="28" t="n">
        <v>7.75</v>
      </c>
      <c r="L1014" s="28" t="n">
        <v>120</v>
      </c>
      <c r="M1014" s="28" t="n">
        <v>1</v>
      </c>
    </row>
    <row r="1015" customFormat="false" ht="15" hidden="false" customHeight="false" outlineLevel="0" collapsed="false">
      <c r="A1015" s="27" t="n">
        <v>44412</v>
      </c>
      <c r="B1015" s="28" t="n">
        <v>2021</v>
      </c>
      <c r="C1015" s="28" t="s">
        <v>172</v>
      </c>
      <c r="D1015" s="28" t="s">
        <v>44</v>
      </c>
      <c r="E1015" s="28" t="s">
        <v>652</v>
      </c>
      <c r="F1015" s="28" t="s">
        <v>142</v>
      </c>
      <c r="G1015" s="28" t="s">
        <v>152</v>
      </c>
      <c r="H1015" s="28" t="s">
        <v>376</v>
      </c>
      <c r="I1015" s="29" t="n">
        <v>1800000</v>
      </c>
      <c r="J1015" s="29" t="n">
        <v>1620000</v>
      </c>
      <c r="K1015" s="28" t="n">
        <v>5</v>
      </c>
      <c r="L1015" s="28" t="n">
        <v>300</v>
      </c>
      <c r="M1015" s="28" t="n">
        <v>10</v>
      </c>
    </row>
    <row r="1016" customFormat="false" ht="15" hidden="false" customHeight="false" outlineLevel="0" collapsed="false">
      <c r="A1016" s="27" t="n">
        <v>44412</v>
      </c>
      <c r="B1016" s="28" t="n">
        <v>2021</v>
      </c>
      <c r="C1016" s="28" t="s">
        <v>166</v>
      </c>
      <c r="D1016" s="28" t="s">
        <v>43</v>
      </c>
      <c r="E1016" s="28" t="s">
        <v>350</v>
      </c>
      <c r="F1016" s="28" t="s">
        <v>142</v>
      </c>
      <c r="G1016" s="28" t="s">
        <v>143</v>
      </c>
      <c r="H1016" s="28" t="s">
        <v>382</v>
      </c>
      <c r="I1016" s="29" t="n">
        <v>490500</v>
      </c>
      <c r="J1016" s="29" t="n">
        <v>441450</v>
      </c>
      <c r="K1016" s="28" t="n">
        <v>6</v>
      </c>
      <c r="L1016" s="28" t="n">
        <v>123</v>
      </c>
      <c r="M1016" s="28" t="n">
        <v>8</v>
      </c>
    </row>
    <row r="1017" customFormat="false" ht="15" hidden="false" customHeight="false" outlineLevel="0" collapsed="false">
      <c r="A1017" s="27" t="n">
        <v>44412</v>
      </c>
      <c r="B1017" s="28" t="n">
        <v>2021</v>
      </c>
      <c r="C1017" s="28" t="s">
        <v>206</v>
      </c>
      <c r="D1017" s="28" t="s">
        <v>44</v>
      </c>
      <c r="E1017" s="28" t="s">
        <v>141</v>
      </c>
      <c r="F1017" s="28" t="s">
        <v>142</v>
      </c>
      <c r="G1017" s="28" t="s">
        <v>148</v>
      </c>
      <c r="H1017" s="28" t="s">
        <v>314</v>
      </c>
      <c r="I1017" s="29" t="n">
        <v>1093000</v>
      </c>
      <c r="J1017" s="29" t="n">
        <v>983700</v>
      </c>
      <c r="K1017" s="28" t="n">
        <v>6</v>
      </c>
      <c r="L1017" s="28" t="n">
        <v>126</v>
      </c>
      <c r="M1017" s="28" t="n">
        <v>30</v>
      </c>
    </row>
    <row r="1018" customFormat="false" ht="15" hidden="false" customHeight="false" outlineLevel="0" collapsed="false">
      <c r="A1018" s="27" t="n">
        <v>44412</v>
      </c>
      <c r="B1018" s="28" t="n">
        <v>2021</v>
      </c>
      <c r="C1018" s="28" t="s">
        <v>206</v>
      </c>
      <c r="D1018" s="28" t="s">
        <v>46</v>
      </c>
      <c r="E1018" s="28" t="s">
        <v>276</v>
      </c>
      <c r="F1018" s="28" t="s">
        <v>142</v>
      </c>
      <c r="G1018" s="28" t="s">
        <v>148</v>
      </c>
      <c r="H1018" s="28" t="s">
        <v>281</v>
      </c>
      <c r="I1018" s="29" t="n">
        <v>1814000</v>
      </c>
      <c r="J1018" s="29" t="n">
        <v>1632600</v>
      </c>
      <c r="K1018" s="28" t="n">
        <v>5.5</v>
      </c>
      <c r="L1018" s="28" t="n">
        <v>300</v>
      </c>
      <c r="M1018" s="28" t="n">
        <v>5</v>
      </c>
    </row>
    <row r="1019" customFormat="false" ht="15" hidden="false" customHeight="false" outlineLevel="0" collapsed="false">
      <c r="A1019" s="27" t="n">
        <v>44413</v>
      </c>
      <c r="B1019" s="28" t="n">
        <v>2021</v>
      </c>
      <c r="C1019" s="28" t="s">
        <v>145</v>
      </c>
      <c r="D1019" s="28" t="s">
        <v>48</v>
      </c>
      <c r="E1019" s="28" t="s">
        <v>210</v>
      </c>
      <c r="F1019" s="28" t="s">
        <v>142</v>
      </c>
      <c r="G1019" s="28" t="s">
        <v>148</v>
      </c>
      <c r="H1019" s="28" t="s">
        <v>144</v>
      </c>
      <c r="I1019" s="29" t="n">
        <v>350000</v>
      </c>
      <c r="J1019" s="29" t="n">
        <v>315000</v>
      </c>
      <c r="K1019" s="28" t="n">
        <v>5.75</v>
      </c>
      <c r="L1019" s="28" t="n">
        <v>84</v>
      </c>
      <c r="M1019" s="28" t="n">
        <v>50</v>
      </c>
    </row>
    <row r="1020" customFormat="false" ht="15" hidden="false" customHeight="false" outlineLevel="0" collapsed="false">
      <c r="A1020" s="27" t="n">
        <v>44413</v>
      </c>
      <c r="B1020" s="28" t="n">
        <v>2021</v>
      </c>
      <c r="C1020" s="28" t="s">
        <v>344</v>
      </c>
      <c r="D1020" s="28" t="s">
        <v>45</v>
      </c>
      <c r="E1020" s="28" t="s">
        <v>253</v>
      </c>
      <c r="F1020" s="28" t="s">
        <v>142</v>
      </c>
      <c r="G1020" s="28" t="s">
        <v>152</v>
      </c>
      <c r="H1020" s="28" t="s">
        <v>144</v>
      </c>
      <c r="I1020" s="29" t="n">
        <v>4550000</v>
      </c>
      <c r="J1020" s="29" t="n">
        <v>3749200</v>
      </c>
      <c r="K1020" s="28" t="n">
        <v>5.25</v>
      </c>
      <c r="L1020" s="28" t="n">
        <v>120</v>
      </c>
      <c r="M1020" s="28" t="n">
        <v>40</v>
      </c>
    </row>
    <row r="1021" customFormat="false" ht="15" hidden="false" customHeight="false" outlineLevel="0" collapsed="false">
      <c r="A1021" s="27" t="n">
        <v>44413</v>
      </c>
      <c r="B1021" s="28" t="n">
        <v>2021</v>
      </c>
      <c r="C1021" s="28" t="s">
        <v>172</v>
      </c>
      <c r="D1021" s="28" t="s">
        <v>48</v>
      </c>
      <c r="E1021" s="28" t="s">
        <v>295</v>
      </c>
      <c r="F1021" s="28" t="s">
        <v>142</v>
      </c>
      <c r="G1021" s="28" t="s">
        <v>148</v>
      </c>
      <c r="H1021" s="28" t="s">
        <v>278</v>
      </c>
      <c r="I1021" s="29" t="n">
        <v>200000</v>
      </c>
      <c r="J1021" s="29" t="n">
        <v>180000</v>
      </c>
      <c r="K1021" s="28" t="n">
        <v>6</v>
      </c>
      <c r="L1021" s="28" t="n">
        <v>120</v>
      </c>
      <c r="M1021" s="28" t="n">
        <v>6</v>
      </c>
    </row>
    <row r="1022" customFormat="false" ht="15" hidden="false" customHeight="false" outlineLevel="0" collapsed="false">
      <c r="A1022" s="27" t="n">
        <v>44413</v>
      </c>
      <c r="B1022" s="28" t="n">
        <v>2021</v>
      </c>
      <c r="C1022" s="28" t="s">
        <v>169</v>
      </c>
      <c r="D1022" s="28" t="s">
        <v>46</v>
      </c>
      <c r="E1022" s="28" t="s">
        <v>315</v>
      </c>
      <c r="F1022" s="28" t="s">
        <v>147</v>
      </c>
      <c r="G1022" s="28" t="s">
        <v>148</v>
      </c>
      <c r="H1022" s="28" t="s">
        <v>248</v>
      </c>
      <c r="I1022" s="29" t="n">
        <v>81000</v>
      </c>
      <c r="J1022" s="29" t="n">
        <v>60750</v>
      </c>
      <c r="K1022" s="28" t="n">
        <v>5.5</v>
      </c>
      <c r="L1022" s="28" t="n">
        <v>59</v>
      </c>
      <c r="M1022" s="28" t="n">
        <v>8</v>
      </c>
    </row>
    <row r="1023" customFormat="false" ht="15" hidden="false" customHeight="false" outlineLevel="0" collapsed="false">
      <c r="A1023" s="27" t="n">
        <v>44413</v>
      </c>
      <c r="B1023" s="28" t="n">
        <v>2021</v>
      </c>
      <c r="C1023" s="28" t="s">
        <v>379</v>
      </c>
      <c r="D1023" s="28" t="s">
        <v>53</v>
      </c>
      <c r="E1023" s="28" t="s">
        <v>383</v>
      </c>
      <c r="F1023" s="28" t="s">
        <v>142</v>
      </c>
      <c r="G1023" s="28" t="s">
        <v>441</v>
      </c>
      <c r="H1023" s="28" t="s">
        <v>165</v>
      </c>
      <c r="I1023" s="29" t="n">
        <v>397000</v>
      </c>
      <c r="J1023" s="29" t="n">
        <v>357300</v>
      </c>
      <c r="K1023" s="28" t="n">
        <v>4.5</v>
      </c>
      <c r="L1023" s="28" t="n">
        <v>300</v>
      </c>
      <c r="M1023" s="28" t="n">
        <v>4</v>
      </c>
    </row>
    <row r="1024" customFormat="false" ht="15" hidden="false" customHeight="false" outlineLevel="0" collapsed="false">
      <c r="A1024" s="27" t="n">
        <v>44413</v>
      </c>
      <c r="B1024" s="28" t="n">
        <v>2021</v>
      </c>
      <c r="C1024" s="28" t="s">
        <v>203</v>
      </c>
      <c r="D1024" s="28" t="s">
        <v>54</v>
      </c>
      <c r="E1024" s="28" t="s">
        <v>653</v>
      </c>
      <c r="F1024" s="28" t="s">
        <v>142</v>
      </c>
      <c r="G1024" s="28" t="s">
        <v>148</v>
      </c>
      <c r="H1024" s="28" t="s">
        <v>306</v>
      </c>
      <c r="I1024" s="29" t="n">
        <v>1050000</v>
      </c>
      <c r="J1024" s="29" t="n">
        <v>787500</v>
      </c>
      <c r="K1024" s="28" t="n">
        <v>4.5</v>
      </c>
      <c r="L1024" s="28" t="n">
        <v>84</v>
      </c>
      <c r="M1024" s="28" t="n">
        <v>5</v>
      </c>
    </row>
    <row r="1025" customFormat="false" ht="15" hidden="false" customHeight="false" outlineLevel="0" collapsed="false">
      <c r="A1025" s="27" t="n">
        <v>44414</v>
      </c>
      <c r="B1025" s="28" t="n">
        <v>2021</v>
      </c>
      <c r="C1025" s="28" t="s">
        <v>421</v>
      </c>
      <c r="D1025" s="28" t="s">
        <v>50</v>
      </c>
      <c r="E1025" s="28" t="s">
        <v>370</v>
      </c>
      <c r="F1025" s="28" t="s">
        <v>142</v>
      </c>
      <c r="G1025" s="28" t="s">
        <v>441</v>
      </c>
      <c r="H1025" s="28" t="s">
        <v>306</v>
      </c>
      <c r="I1025" s="29" t="n">
        <v>108000</v>
      </c>
      <c r="J1025" s="29" t="n">
        <v>91800</v>
      </c>
      <c r="K1025" s="28" t="n">
        <v>5</v>
      </c>
      <c r="L1025" s="28" t="n">
        <v>60</v>
      </c>
      <c r="M1025" s="28" t="n">
        <v>6</v>
      </c>
    </row>
    <row r="1026" customFormat="false" ht="15" hidden="false" customHeight="false" outlineLevel="0" collapsed="false">
      <c r="A1026" s="27" t="n">
        <v>44414</v>
      </c>
      <c r="B1026" s="28" t="n">
        <v>2021</v>
      </c>
      <c r="C1026" s="28" t="s">
        <v>530</v>
      </c>
      <c r="D1026" s="28" t="s">
        <v>45</v>
      </c>
      <c r="E1026" s="28" t="s">
        <v>345</v>
      </c>
      <c r="F1026" s="28" t="s">
        <v>142</v>
      </c>
      <c r="G1026" s="28" t="s">
        <v>148</v>
      </c>
      <c r="H1026" s="28" t="s">
        <v>306</v>
      </c>
      <c r="I1026" s="29" t="n">
        <v>150000</v>
      </c>
      <c r="J1026" s="29" t="n">
        <v>127500</v>
      </c>
      <c r="K1026" s="28" t="n">
        <v>5</v>
      </c>
      <c r="L1026" s="28" t="n">
        <v>120</v>
      </c>
      <c r="M1026" s="28" t="n">
        <v>22</v>
      </c>
    </row>
    <row r="1027" customFormat="false" ht="15" hidden="false" customHeight="false" outlineLevel="0" collapsed="false">
      <c r="A1027" s="27" t="n">
        <v>44414</v>
      </c>
      <c r="B1027" s="28" t="n">
        <v>2021</v>
      </c>
      <c r="C1027" s="28" t="s">
        <v>198</v>
      </c>
      <c r="D1027" s="28" t="s">
        <v>47</v>
      </c>
      <c r="E1027" s="28" t="s">
        <v>151</v>
      </c>
      <c r="F1027" s="28" t="s">
        <v>147</v>
      </c>
      <c r="G1027" s="28" t="s">
        <v>148</v>
      </c>
      <c r="H1027" s="28" t="s">
        <v>457</v>
      </c>
      <c r="I1027" s="29" t="n">
        <v>100000</v>
      </c>
      <c r="J1027" s="29" t="n">
        <v>75000</v>
      </c>
      <c r="K1027" s="28" t="n">
        <v>6</v>
      </c>
      <c r="L1027" s="28" t="n">
        <v>96</v>
      </c>
      <c r="M1027" s="28" t="n">
        <v>10</v>
      </c>
    </row>
    <row r="1028" customFormat="false" ht="15" hidden="false" customHeight="false" outlineLevel="0" collapsed="false">
      <c r="A1028" s="27" t="n">
        <v>44414</v>
      </c>
      <c r="B1028" s="28" t="n">
        <v>2021</v>
      </c>
      <c r="C1028" s="28" t="s">
        <v>198</v>
      </c>
      <c r="D1028" s="28" t="s">
        <v>47</v>
      </c>
      <c r="E1028" s="28" t="s">
        <v>151</v>
      </c>
      <c r="F1028" s="28" t="s">
        <v>142</v>
      </c>
      <c r="G1028" s="28" t="s">
        <v>152</v>
      </c>
      <c r="H1028" s="28" t="s">
        <v>457</v>
      </c>
      <c r="I1028" s="29" t="n">
        <v>971000</v>
      </c>
      <c r="J1028" s="29" t="n">
        <v>873900</v>
      </c>
      <c r="K1028" s="28" t="n">
        <v>6</v>
      </c>
      <c r="L1028" s="28" t="n">
        <v>240</v>
      </c>
      <c r="M1028" s="28" t="n">
        <v>10</v>
      </c>
    </row>
    <row r="1029" customFormat="false" ht="15" hidden="false" customHeight="false" outlineLevel="0" collapsed="false">
      <c r="A1029" s="27" t="n">
        <v>44415</v>
      </c>
      <c r="B1029" s="28" t="n">
        <v>2021</v>
      </c>
      <c r="C1029" s="28" t="s">
        <v>175</v>
      </c>
      <c r="D1029" s="28" t="s">
        <v>42</v>
      </c>
      <c r="E1029" s="28" t="s">
        <v>247</v>
      </c>
      <c r="F1029" s="28" t="s">
        <v>142</v>
      </c>
      <c r="G1029" s="28" t="s">
        <v>152</v>
      </c>
      <c r="H1029" s="28" t="s">
        <v>218</v>
      </c>
      <c r="I1029" s="29" t="n">
        <v>2555000</v>
      </c>
      <c r="J1029" s="29" t="n">
        <v>2299500</v>
      </c>
      <c r="K1029" s="28" t="n">
        <v>4.25</v>
      </c>
      <c r="L1029" s="28" t="n">
        <v>300</v>
      </c>
      <c r="M1029" s="28" t="n">
        <v>6</v>
      </c>
    </row>
    <row r="1030" customFormat="false" ht="15" hidden="false" customHeight="false" outlineLevel="0" collapsed="false">
      <c r="A1030" s="27" t="n">
        <v>44417</v>
      </c>
      <c r="B1030" s="28" t="n">
        <v>2021</v>
      </c>
      <c r="C1030" s="28" t="s">
        <v>450</v>
      </c>
      <c r="D1030" s="28" t="s">
        <v>48</v>
      </c>
      <c r="E1030" s="28" t="s">
        <v>403</v>
      </c>
      <c r="F1030" s="28" t="s">
        <v>147</v>
      </c>
      <c r="G1030" s="28" t="s">
        <v>148</v>
      </c>
      <c r="H1030" s="28" t="s">
        <v>320</v>
      </c>
      <c r="I1030" s="29" t="n">
        <v>327500</v>
      </c>
      <c r="J1030" s="29" t="n">
        <v>245625</v>
      </c>
      <c r="K1030" s="28" t="n">
        <v>4</v>
      </c>
      <c r="L1030" s="28" t="n">
        <v>300</v>
      </c>
      <c r="M1030" s="28" t="n">
        <v>1</v>
      </c>
    </row>
    <row r="1031" customFormat="false" ht="15" hidden="false" customHeight="false" outlineLevel="0" collapsed="false">
      <c r="A1031" s="27" t="n">
        <v>44417</v>
      </c>
      <c r="B1031" s="28" t="n">
        <v>2021</v>
      </c>
      <c r="C1031" s="28" t="s">
        <v>467</v>
      </c>
      <c r="D1031" s="28" t="s">
        <v>47</v>
      </c>
      <c r="E1031" s="28" t="s">
        <v>327</v>
      </c>
      <c r="F1031" s="28" t="s">
        <v>142</v>
      </c>
      <c r="G1031" s="28" t="s">
        <v>148</v>
      </c>
      <c r="H1031" s="28" t="s">
        <v>469</v>
      </c>
      <c r="I1031" s="29" t="n">
        <v>544000</v>
      </c>
      <c r="J1031" s="29" t="n">
        <v>489600</v>
      </c>
      <c r="K1031" s="28" t="n">
        <v>4.75</v>
      </c>
      <c r="L1031" s="28" t="n">
        <v>300</v>
      </c>
      <c r="M1031" s="28" t="n">
        <v>2</v>
      </c>
    </row>
    <row r="1032" customFormat="false" ht="15" hidden="false" customHeight="false" outlineLevel="0" collapsed="false">
      <c r="A1032" s="27" t="n">
        <v>44417</v>
      </c>
      <c r="B1032" s="28" t="n">
        <v>2021</v>
      </c>
      <c r="C1032" s="28" t="s">
        <v>421</v>
      </c>
      <c r="D1032" s="28" t="s">
        <v>50</v>
      </c>
      <c r="E1032" s="28" t="s">
        <v>370</v>
      </c>
      <c r="F1032" s="28" t="s">
        <v>283</v>
      </c>
      <c r="G1032" s="28" t="s">
        <v>441</v>
      </c>
      <c r="H1032" s="28" t="s">
        <v>306</v>
      </c>
      <c r="I1032" s="29" t="n">
        <v>150000</v>
      </c>
      <c r="J1032" s="29" t="n">
        <v>127500</v>
      </c>
      <c r="K1032" s="28" t="n">
        <v>4.75</v>
      </c>
      <c r="L1032" s="28" t="n">
        <v>120</v>
      </c>
      <c r="M1032" s="28" t="n">
        <v>6</v>
      </c>
    </row>
    <row r="1033" customFormat="false" ht="15" hidden="false" customHeight="false" outlineLevel="0" collapsed="false">
      <c r="A1033" s="27" t="n">
        <v>44417</v>
      </c>
      <c r="B1033" s="28" t="n">
        <v>2021</v>
      </c>
      <c r="C1033" s="28" t="s">
        <v>203</v>
      </c>
      <c r="D1033" s="28" t="s">
        <v>42</v>
      </c>
      <c r="E1033" s="28" t="s">
        <v>164</v>
      </c>
      <c r="F1033" s="28" t="s">
        <v>142</v>
      </c>
      <c r="G1033" s="28" t="s">
        <v>441</v>
      </c>
      <c r="H1033" s="28" t="s">
        <v>205</v>
      </c>
      <c r="I1033" s="29" t="n">
        <v>390000</v>
      </c>
      <c r="J1033" s="29" t="n">
        <v>351000</v>
      </c>
      <c r="K1033" s="28" t="n">
        <v>5</v>
      </c>
      <c r="L1033" s="28" t="n">
        <v>120</v>
      </c>
      <c r="M1033" s="28" t="n">
        <v>32</v>
      </c>
    </row>
    <row r="1034" customFormat="false" ht="15" hidden="false" customHeight="false" outlineLevel="0" collapsed="false">
      <c r="A1034" s="27" t="n">
        <v>44417</v>
      </c>
      <c r="B1034" s="28" t="n">
        <v>2021</v>
      </c>
      <c r="C1034" s="28" t="s">
        <v>213</v>
      </c>
      <c r="D1034" s="28" t="s">
        <v>57</v>
      </c>
      <c r="E1034" s="28" t="s">
        <v>553</v>
      </c>
      <c r="F1034" s="28" t="s">
        <v>142</v>
      </c>
      <c r="G1034" s="28" t="s">
        <v>152</v>
      </c>
      <c r="H1034" s="28" t="s">
        <v>306</v>
      </c>
      <c r="I1034" s="29" t="n">
        <v>120000</v>
      </c>
      <c r="J1034" s="29" t="n">
        <v>102000</v>
      </c>
      <c r="K1034" s="28" t="n">
        <v>4.75</v>
      </c>
      <c r="L1034" s="28" t="n">
        <v>84</v>
      </c>
      <c r="M1034" s="28" t="n">
        <v>1</v>
      </c>
    </row>
    <row r="1035" customFormat="false" ht="15" hidden="false" customHeight="false" outlineLevel="0" collapsed="false">
      <c r="A1035" s="27" t="n">
        <v>44417</v>
      </c>
      <c r="B1035" s="28" t="n">
        <v>2021</v>
      </c>
      <c r="C1035" s="28" t="s">
        <v>324</v>
      </c>
      <c r="D1035" s="28" t="s">
        <v>54</v>
      </c>
      <c r="E1035" s="28" t="s">
        <v>155</v>
      </c>
      <c r="F1035" s="28" t="s">
        <v>147</v>
      </c>
      <c r="G1035" s="28" t="s">
        <v>441</v>
      </c>
      <c r="H1035" s="28" t="s">
        <v>501</v>
      </c>
      <c r="I1035" s="29" t="n">
        <v>150000</v>
      </c>
      <c r="J1035" s="29" t="n">
        <v>112500</v>
      </c>
      <c r="K1035" s="28" t="n">
        <v>6</v>
      </c>
      <c r="L1035" s="28" t="n">
        <v>120</v>
      </c>
      <c r="M1035" s="28" t="n">
        <v>1</v>
      </c>
    </row>
    <row r="1036" customFormat="false" ht="15" hidden="false" customHeight="false" outlineLevel="0" collapsed="false">
      <c r="A1036" s="27" t="n">
        <v>44418</v>
      </c>
      <c r="B1036" s="28" t="n">
        <v>2021</v>
      </c>
      <c r="C1036" s="28" t="s">
        <v>140</v>
      </c>
      <c r="D1036" s="28" t="s">
        <v>44</v>
      </c>
      <c r="E1036" s="28" t="s">
        <v>141</v>
      </c>
      <c r="F1036" s="28" t="s">
        <v>142</v>
      </c>
      <c r="G1036" s="28" t="s">
        <v>148</v>
      </c>
      <c r="H1036" s="28" t="s">
        <v>494</v>
      </c>
      <c r="I1036" s="29" t="n">
        <v>3092000</v>
      </c>
      <c r="J1036" s="29" t="n">
        <v>2782800</v>
      </c>
      <c r="K1036" s="28" t="n">
        <v>5.5</v>
      </c>
      <c r="L1036" s="28" t="n">
        <v>300</v>
      </c>
      <c r="M1036" s="28" t="n">
        <v>20</v>
      </c>
    </row>
    <row r="1037" customFormat="false" ht="15" hidden="false" customHeight="false" outlineLevel="0" collapsed="false">
      <c r="A1037" s="27" t="n">
        <v>44418</v>
      </c>
      <c r="B1037" s="28" t="n">
        <v>2021</v>
      </c>
      <c r="C1037" s="28" t="s">
        <v>166</v>
      </c>
      <c r="D1037" s="28" t="s">
        <v>48</v>
      </c>
      <c r="E1037" s="28" t="s">
        <v>277</v>
      </c>
      <c r="F1037" s="28" t="s">
        <v>142</v>
      </c>
      <c r="G1037" s="28" t="s">
        <v>148</v>
      </c>
      <c r="H1037" s="28" t="s">
        <v>654</v>
      </c>
      <c r="I1037" s="29" t="n">
        <v>309600</v>
      </c>
      <c r="J1037" s="29" t="n">
        <v>278640</v>
      </c>
      <c r="K1037" s="28" t="n">
        <v>6</v>
      </c>
      <c r="L1037" s="28" t="n">
        <v>120</v>
      </c>
      <c r="M1037" s="28" t="n">
        <v>10</v>
      </c>
    </row>
    <row r="1038" customFormat="false" ht="15" hidden="false" customHeight="false" outlineLevel="0" collapsed="false">
      <c r="A1038" s="27" t="n">
        <v>44418</v>
      </c>
      <c r="B1038" s="28" t="n">
        <v>2021</v>
      </c>
      <c r="C1038" s="28" t="s">
        <v>172</v>
      </c>
      <c r="D1038" s="28" t="s">
        <v>48</v>
      </c>
      <c r="E1038" s="28" t="s">
        <v>210</v>
      </c>
      <c r="F1038" s="28" t="s">
        <v>147</v>
      </c>
      <c r="G1038" s="28" t="s">
        <v>148</v>
      </c>
      <c r="H1038" s="28" t="s">
        <v>428</v>
      </c>
      <c r="I1038" s="29" t="n">
        <v>300000</v>
      </c>
      <c r="J1038" s="29" t="n">
        <v>225000</v>
      </c>
      <c r="K1038" s="28" t="n">
        <v>4.8</v>
      </c>
      <c r="L1038" s="28" t="n">
        <v>120</v>
      </c>
      <c r="M1038" s="28" t="n">
        <v>17</v>
      </c>
    </row>
    <row r="1039" customFormat="false" ht="15" hidden="false" customHeight="false" outlineLevel="0" collapsed="false">
      <c r="A1039" s="27" t="n">
        <v>44418</v>
      </c>
      <c r="B1039" s="28" t="n">
        <v>2021</v>
      </c>
      <c r="C1039" s="28" t="s">
        <v>172</v>
      </c>
      <c r="D1039" s="28" t="s">
        <v>48</v>
      </c>
      <c r="E1039" s="28" t="s">
        <v>170</v>
      </c>
      <c r="F1039" s="28" t="s">
        <v>147</v>
      </c>
      <c r="G1039" s="28" t="s">
        <v>148</v>
      </c>
      <c r="H1039" s="28" t="s">
        <v>159</v>
      </c>
      <c r="I1039" s="29" t="n">
        <v>8000</v>
      </c>
      <c r="J1039" s="29" t="n">
        <v>6000</v>
      </c>
      <c r="K1039" s="28" t="n">
        <v>9.75</v>
      </c>
      <c r="L1039" s="28" t="n">
        <v>120</v>
      </c>
      <c r="M1039" s="28" t="n">
        <v>2</v>
      </c>
    </row>
    <row r="1040" customFormat="false" ht="15" hidden="false" customHeight="false" outlineLevel="0" collapsed="false">
      <c r="A1040" s="27" t="n">
        <v>44418</v>
      </c>
      <c r="B1040" s="28" t="n">
        <v>2021</v>
      </c>
      <c r="C1040" s="28" t="s">
        <v>324</v>
      </c>
      <c r="D1040" s="28" t="s">
        <v>42</v>
      </c>
      <c r="E1040" s="28" t="s">
        <v>247</v>
      </c>
      <c r="F1040" s="28" t="s">
        <v>142</v>
      </c>
      <c r="G1040" s="28" t="s">
        <v>441</v>
      </c>
      <c r="H1040" s="28" t="s">
        <v>326</v>
      </c>
      <c r="I1040" s="29" t="n">
        <v>1770000</v>
      </c>
      <c r="J1040" s="29" t="n">
        <v>1593000</v>
      </c>
      <c r="K1040" s="28" t="n">
        <v>5</v>
      </c>
      <c r="L1040" s="28" t="n">
        <v>300</v>
      </c>
      <c r="M1040" s="28" t="n">
        <v>2</v>
      </c>
    </row>
    <row r="1041" customFormat="false" ht="15" hidden="false" customHeight="false" outlineLevel="0" collapsed="false">
      <c r="A1041" s="27" t="n">
        <v>44419</v>
      </c>
      <c r="B1041" s="28" t="n">
        <v>2021</v>
      </c>
      <c r="C1041" s="28" t="s">
        <v>603</v>
      </c>
      <c r="D1041" s="28" t="s">
        <v>43</v>
      </c>
      <c r="E1041" s="28" t="s">
        <v>224</v>
      </c>
      <c r="F1041" s="28" t="s">
        <v>142</v>
      </c>
      <c r="G1041" s="28" t="s">
        <v>143</v>
      </c>
      <c r="H1041" s="28" t="s">
        <v>211</v>
      </c>
      <c r="I1041" s="29" t="n">
        <v>200000</v>
      </c>
      <c r="J1041" s="29" t="n">
        <v>180000</v>
      </c>
      <c r="K1041" s="28" t="n">
        <v>5.25</v>
      </c>
      <c r="L1041" s="28" t="n">
        <v>120</v>
      </c>
      <c r="M1041" s="28" t="n">
        <v>7</v>
      </c>
    </row>
    <row r="1042" customFormat="false" ht="15" hidden="false" customHeight="false" outlineLevel="0" collapsed="false">
      <c r="A1042" s="27" t="n">
        <v>44419</v>
      </c>
      <c r="B1042" s="28" t="n">
        <v>2021</v>
      </c>
      <c r="C1042" s="28" t="s">
        <v>312</v>
      </c>
      <c r="D1042" s="28" t="s">
        <v>42</v>
      </c>
      <c r="E1042" s="28" t="s">
        <v>180</v>
      </c>
      <c r="F1042" s="28" t="s">
        <v>142</v>
      </c>
      <c r="G1042" s="28" t="s">
        <v>143</v>
      </c>
      <c r="H1042" s="28" t="s">
        <v>536</v>
      </c>
      <c r="I1042" s="29" t="n">
        <v>567000</v>
      </c>
      <c r="J1042" s="29" t="n">
        <v>510300</v>
      </c>
      <c r="K1042" s="28" t="n">
        <v>5.25</v>
      </c>
      <c r="L1042" s="28" t="n">
        <v>128</v>
      </c>
      <c r="M1042" s="28" t="n">
        <v>32</v>
      </c>
    </row>
    <row r="1043" customFormat="false" ht="15" hidden="false" customHeight="false" outlineLevel="0" collapsed="false">
      <c r="A1043" s="27" t="n">
        <v>44420</v>
      </c>
      <c r="B1043" s="28" t="n">
        <v>2021</v>
      </c>
      <c r="C1043" s="28" t="s">
        <v>286</v>
      </c>
      <c r="D1043" s="28" t="s">
        <v>53</v>
      </c>
      <c r="E1043" s="28" t="s">
        <v>638</v>
      </c>
      <c r="F1043" s="28" t="s">
        <v>142</v>
      </c>
      <c r="G1043" s="28" t="s">
        <v>148</v>
      </c>
      <c r="H1043" s="28" t="s">
        <v>144</v>
      </c>
      <c r="I1043" s="29" t="n">
        <v>1955000</v>
      </c>
      <c r="J1043" s="29" t="n">
        <v>1759500</v>
      </c>
      <c r="K1043" s="28" t="n">
        <v>4.75</v>
      </c>
      <c r="L1043" s="28" t="n">
        <v>312</v>
      </c>
      <c r="M1043" s="28" t="n">
        <v>2</v>
      </c>
    </row>
    <row r="1044" customFormat="false" ht="15" hidden="false" customHeight="false" outlineLevel="0" collapsed="false">
      <c r="A1044" s="27" t="n">
        <v>44420</v>
      </c>
      <c r="B1044" s="28" t="n">
        <v>2021</v>
      </c>
      <c r="C1044" s="28" t="s">
        <v>324</v>
      </c>
      <c r="D1044" s="28" t="s">
        <v>42</v>
      </c>
      <c r="E1044" s="28" t="s">
        <v>247</v>
      </c>
      <c r="F1044" s="28" t="s">
        <v>142</v>
      </c>
      <c r="G1044" s="28" t="s">
        <v>148</v>
      </c>
      <c r="H1044" s="28" t="s">
        <v>334</v>
      </c>
      <c r="I1044" s="29" t="n">
        <v>3000000</v>
      </c>
      <c r="J1044" s="29" t="n">
        <v>2700000</v>
      </c>
      <c r="K1044" s="28" t="n">
        <v>5.5</v>
      </c>
      <c r="L1044" s="28" t="n">
        <v>300</v>
      </c>
      <c r="M1044" s="28" t="n">
        <v>14</v>
      </c>
    </row>
    <row r="1045" customFormat="false" ht="15" hidden="false" customHeight="false" outlineLevel="0" collapsed="false">
      <c r="A1045" s="27" t="n">
        <v>44420</v>
      </c>
      <c r="B1045" s="28" t="n">
        <v>2021</v>
      </c>
      <c r="C1045" s="28" t="s">
        <v>318</v>
      </c>
      <c r="D1045" s="28" t="s">
        <v>43</v>
      </c>
      <c r="E1045" s="28" t="s">
        <v>424</v>
      </c>
      <c r="F1045" s="28" t="s">
        <v>142</v>
      </c>
      <c r="G1045" s="28" t="s">
        <v>143</v>
      </c>
      <c r="H1045" s="28" t="s">
        <v>179</v>
      </c>
      <c r="I1045" s="29" t="n">
        <v>126000</v>
      </c>
      <c r="J1045" s="29" t="n">
        <v>113400</v>
      </c>
      <c r="K1045" s="28" t="n">
        <v>5.5</v>
      </c>
      <c r="L1045" s="28" t="n">
        <v>300</v>
      </c>
      <c r="M1045" s="28" t="n">
        <v>6</v>
      </c>
    </row>
    <row r="1046" customFormat="false" ht="15" hidden="false" customHeight="false" outlineLevel="0" collapsed="false">
      <c r="A1046" s="27" t="n">
        <v>44424</v>
      </c>
      <c r="B1046" s="28" t="n">
        <v>2021</v>
      </c>
      <c r="C1046" s="28" t="s">
        <v>203</v>
      </c>
      <c r="D1046" s="28" t="s">
        <v>44</v>
      </c>
      <c r="E1046" s="28" t="s">
        <v>161</v>
      </c>
      <c r="F1046" s="28" t="s">
        <v>147</v>
      </c>
      <c r="G1046" s="28" t="s">
        <v>152</v>
      </c>
      <c r="H1046" s="28" t="s">
        <v>655</v>
      </c>
      <c r="I1046" s="29" t="n">
        <v>339000</v>
      </c>
      <c r="J1046" s="29" t="n">
        <v>169500</v>
      </c>
      <c r="K1046" s="28" t="n">
        <v>4.75</v>
      </c>
      <c r="L1046" s="28" t="n">
        <v>120</v>
      </c>
      <c r="M1046" s="28" t="n">
        <v>14</v>
      </c>
    </row>
    <row r="1047" customFormat="false" ht="15" hidden="false" customHeight="false" outlineLevel="0" collapsed="false">
      <c r="A1047" s="27" t="n">
        <v>44424</v>
      </c>
      <c r="B1047" s="28" t="n">
        <v>2021</v>
      </c>
      <c r="C1047" s="28" t="s">
        <v>172</v>
      </c>
      <c r="D1047" s="28" t="s">
        <v>42</v>
      </c>
      <c r="E1047" s="28" t="s">
        <v>180</v>
      </c>
      <c r="F1047" s="28" t="s">
        <v>147</v>
      </c>
      <c r="G1047" s="28" t="s">
        <v>148</v>
      </c>
      <c r="H1047" s="28" t="s">
        <v>205</v>
      </c>
      <c r="I1047" s="29" t="n">
        <v>45000</v>
      </c>
      <c r="J1047" s="29" t="n">
        <v>33750</v>
      </c>
      <c r="K1047" s="28" t="n">
        <v>9.05</v>
      </c>
      <c r="L1047" s="28" t="n">
        <v>120</v>
      </c>
      <c r="M1047" s="28" t="n">
        <v>4</v>
      </c>
    </row>
    <row r="1048" customFormat="false" ht="15" hidden="false" customHeight="false" outlineLevel="0" collapsed="false">
      <c r="A1048" s="27" t="n">
        <v>44424</v>
      </c>
      <c r="B1048" s="28" t="n">
        <v>2021</v>
      </c>
      <c r="C1048" s="28" t="s">
        <v>196</v>
      </c>
      <c r="D1048" s="28" t="s">
        <v>48</v>
      </c>
      <c r="E1048" s="28" t="s">
        <v>362</v>
      </c>
      <c r="F1048" s="28" t="s">
        <v>147</v>
      </c>
      <c r="G1048" s="28" t="s">
        <v>148</v>
      </c>
      <c r="H1048" s="28" t="s">
        <v>159</v>
      </c>
      <c r="I1048" s="29" t="n">
        <v>50000</v>
      </c>
      <c r="J1048" s="29" t="n">
        <v>37500</v>
      </c>
      <c r="K1048" s="28" t="n">
        <v>5.5</v>
      </c>
      <c r="L1048" s="28" t="n">
        <v>60</v>
      </c>
      <c r="M1048" s="28" t="n">
        <v>3</v>
      </c>
    </row>
    <row r="1049" customFormat="false" ht="15" hidden="false" customHeight="false" outlineLevel="0" collapsed="false">
      <c r="A1049" s="27" t="n">
        <v>44424</v>
      </c>
      <c r="B1049" s="28" t="n">
        <v>2021</v>
      </c>
      <c r="C1049" s="28" t="s">
        <v>206</v>
      </c>
      <c r="D1049" s="28" t="s">
        <v>48</v>
      </c>
      <c r="E1049" s="28" t="s">
        <v>228</v>
      </c>
      <c r="F1049" s="28" t="s">
        <v>142</v>
      </c>
      <c r="G1049" s="28" t="s">
        <v>148</v>
      </c>
      <c r="H1049" s="28" t="s">
        <v>168</v>
      </c>
      <c r="I1049" s="29" t="n">
        <v>695000</v>
      </c>
      <c r="J1049" s="29" t="n">
        <v>625500</v>
      </c>
      <c r="K1049" s="28" t="n">
        <v>5.2</v>
      </c>
      <c r="L1049" s="28" t="n">
        <v>120</v>
      </c>
      <c r="M1049" s="28" t="n">
        <v>13</v>
      </c>
    </row>
    <row r="1050" customFormat="false" ht="15" hidden="false" customHeight="false" outlineLevel="0" collapsed="false">
      <c r="A1050" s="27" t="n">
        <v>44424</v>
      </c>
      <c r="B1050" s="28" t="n">
        <v>2021</v>
      </c>
      <c r="C1050" s="28" t="s">
        <v>344</v>
      </c>
      <c r="D1050" s="28" t="s">
        <v>42</v>
      </c>
      <c r="E1050" s="28" t="s">
        <v>247</v>
      </c>
      <c r="F1050" s="28" t="s">
        <v>142</v>
      </c>
      <c r="G1050" s="28" t="s">
        <v>152</v>
      </c>
      <c r="H1050" s="28" t="s">
        <v>326</v>
      </c>
      <c r="I1050" s="29" t="n">
        <v>1565000</v>
      </c>
      <c r="J1050" s="29" t="n">
        <v>1408500</v>
      </c>
      <c r="K1050" s="28" t="n">
        <v>5.75</v>
      </c>
      <c r="L1050" s="28" t="n">
        <v>300</v>
      </c>
      <c r="M1050" s="28" t="n">
        <v>12</v>
      </c>
    </row>
    <row r="1051" customFormat="false" ht="15" hidden="false" customHeight="false" outlineLevel="0" collapsed="false">
      <c r="A1051" s="27" t="n">
        <v>44424</v>
      </c>
      <c r="B1051" s="28" t="n">
        <v>2021</v>
      </c>
      <c r="C1051" s="28" t="s">
        <v>196</v>
      </c>
      <c r="D1051" s="28" t="s">
        <v>44</v>
      </c>
      <c r="E1051" s="28" t="s">
        <v>294</v>
      </c>
      <c r="F1051" s="28" t="s">
        <v>142</v>
      </c>
      <c r="G1051" s="28" t="s">
        <v>148</v>
      </c>
      <c r="H1051" s="28" t="s">
        <v>191</v>
      </c>
      <c r="I1051" s="29" t="n">
        <v>602800</v>
      </c>
      <c r="J1051" s="29" t="n">
        <v>542520</v>
      </c>
      <c r="K1051" s="28" t="n">
        <v>4</v>
      </c>
      <c r="L1051" s="28" t="n">
        <v>242</v>
      </c>
      <c r="M1051" s="28" t="n">
        <v>6</v>
      </c>
    </row>
    <row r="1052" customFormat="false" ht="15" hidden="false" customHeight="false" outlineLevel="0" collapsed="false">
      <c r="A1052" s="27" t="n">
        <v>44425</v>
      </c>
      <c r="B1052" s="28" t="n">
        <v>2021</v>
      </c>
      <c r="C1052" s="28" t="s">
        <v>303</v>
      </c>
      <c r="D1052" s="28" t="s">
        <v>48</v>
      </c>
      <c r="E1052" s="28" t="s">
        <v>656</v>
      </c>
      <c r="F1052" s="28" t="s">
        <v>142</v>
      </c>
      <c r="G1052" s="28" t="s">
        <v>441</v>
      </c>
      <c r="H1052" s="28" t="s">
        <v>165</v>
      </c>
      <c r="I1052" s="29" t="n">
        <v>720700</v>
      </c>
      <c r="J1052" s="29" t="n">
        <v>648630</v>
      </c>
      <c r="K1052" s="28" t="n">
        <v>6</v>
      </c>
      <c r="L1052" s="28" t="n">
        <v>120</v>
      </c>
      <c r="M1052" s="28" t="n">
        <v>10</v>
      </c>
    </row>
    <row r="1053" customFormat="false" ht="15" hidden="false" customHeight="false" outlineLevel="0" collapsed="false">
      <c r="A1053" s="27" t="n">
        <v>44425</v>
      </c>
      <c r="B1053" s="28" t="n">
        <v>2021</v>
      </c>
      <c r="C1053" s="28" t="s">
        <v>213</v>
      </c>
      <c r="D1053" s="28" t="s">
        <v>47</v>
      </c>
      <c r="E1053" s="28" t="s">
        <v>657</v>
      </c>
      <c r="F1053" s="28" t="s">
        <v>283</v>
      </c>
      <c r="G1053" s="28" t="s">
        <v>148</v>
      </c>
      <c r="H1053" s="28" t="s">
        <v>306</v>
      </c>
      <c r="I1053" s="29" t="n">
        <v>210000</v>
      </c>
      <c r="J1053" s="29" t="n">
        <v>189000</v>
      </c>
      <c r="K1053" s="28" t="n">
        <v>4.5</v>
      </c>
      <c r="L1053" s="28" t="n">
        <v>60</v>
      </c>
      <c r="M1053" s="28" t="n">
        <v>10</v>
      </c>
    </row>
    <row r="1054" customFormat="false" ht="15" hidden="false" customHeight="false" outlineLevel="0" collapsed="false">
      <c r="A1054" s="27" t="n">
        <v>44425</v>
      </c>
      <c r="B1054" s="28" t="n">
        <v>2021</v>
      </c>
      <c r="C1054" s="28" t="s">
        <v>312</v>
      </c>
      <c r="D1054" s="28" t="s">
        <v>46</v>
      </c>
      <c r="E1054" s="28" t="s">
        <v>259</v>
      </c>
      <c r="F1054" s="28" t="s">
        <v>147</v>
      </c>
      <c r="G1054" s="28" t="s">
        <v>148</v>
      </c>
      <c r="H1054" s="28" t="s">
        <v>266</v>
      </c>
      <c r="I1054" s="29" t="n">
        <v>89200</v>
      </c>
      <c r="J1054" s="29" t="n">
        <v>66900</v>
      </c>
      <c r="K1054" s="28" t="n">
        <v>4.5</v>
      </c>
      <c r="L1054" s="28" t="n">
        <v>240</v>
      </c>
      <c r="M1054" s="28" t="n">
        <v>2</v>
      </c>
    </row>
    <row r="1055" customFormat="false" ht="15" hidden="false" customHeight="false" outlineLevel="0" collapsed="false">
      <c r="A1055" s="27" t="n">
        <v>44425</v>
      </c>
      <c r="B1055" s="28" t="n">
        <v>2021</v>
      </c>
      <c r="C1055" s="28" t="s">
        <v>172</v>
      </c>
      <c r="D1055" s="28" t="s">
        <v>50</v>
      </c>
      <c r="E1055" s="28" t="s">
        <v>427</v>
      </c>
      <c r="F1055" s="28" t="s">
        <v>142</v>
      </c>
      <c r="G1055" s="28" t="s">
        <v>143</v>
      </c>
      <c r="H1055" s="28" t="s">
        <v>287</v>
      </c>
      <c r="I1055" s="29" t="n">
        <v>150000</v>
      </c>
      <c r="J1055" s="29" t="n">
        <v>135000</v>
      </c>
      <c r="K1055" s="28" t="n">
        <v>6</v>
      </c>
      <c r="L1055" s="28" t="n">
        <v>120</v>
      </c>
      <c r="M1055" s="28" t="n">
        <v>6</v>
      </c>
    </row>
    <row r="1056" customFormat="false" ht="15" hidden="false" customHeight="false" outlineLevel="0" collapsed="false">
      <c r="A1056" s="27" t="n">
        <v>44425</v>
      </c>
      <c r="B1056" s="28" t="n">
        <v>2021</v>
      </c>
      <c r="C1056" s="28" t="s">
        <v>213</v>
      </c>
      <c r="D1056" s="28" t="s">
        <v>47</v>
      </c>
      <c r="E1056" s="28" t="s">
        <v>657</v>
      </c>
      <c r="F1056" s="28" t="s">
        <v>142</v>
      </c>
      <c r="G1056" s="28" t="s">
        <v>148</v>
      </c>
      <c r="H1056" s="28" t="s">
        <v>306</v>
      </c>
      <c r="I1056" s="29" t="n">
        <v>350000</v>
      </c>
      <c r="J1056" s="29" t="n">
        <v>315000</v>
      </c>
      <c r="K1056" s="28" t="n">
        <v>4.25</v>
      </c>
      <c r="L1056" s="28" t="n">
        <v>47</v>
      </c>
      <c r="M1056" s="28" t="n">
        <v>10</v>
      </c>
    </row>
    <row r="1057" customFormat="false" ht="15" hidden="false" customHeight="false" outlineLevel="0" collapsed="false">
      <c r="A1057" s="27" t="n">
        <v>44425</v>
      </c>
      <c r="B1057" s="28" t="n">
        <v>2021</v>
      </c>
      <c r="C1057" s="28" t="s">
        <v>206</v>
      </c>
      <c r="D1057" s="28" t="s">
        <v>46</v>
      </c>
      <c r="E1057" s="28" t="s">
        <v>276</v>
      </c>
      <c r="F1057" s="28" t="s">
        <v>147</v>
      </c>
      <c r="G1057" s="28" t="s">
        <v>148</v>
      </c>
      <c r="H1057" s="28" t="s">
        <v>281</v>
      </c>
      <c r="I1057" s="29" t="n">
        <v>35000</v>
      </c>
      <c r="J1057" s="29" t="n">
        <v>26250</v>
      </c>
      <c r="K1057" s="28" t="n">
        <v>5.5</v>
      </c>
      <c r="L1057" s="28" t="n">
        <v>120</v>
      </c>
      <c r="M1057" s="28" t="n">
        <v>14</v>
      </c>
    </row>
    <row r="1058" customFormat="false" ht="15" hidden="false" customHeight="false" outlineLevel="0" collapsed="false">
      <c r="A1058" s="27" t="n">
        <v>44425</v>
      </c>
      <c r="B1058" s="28" t="n">
        <v>2021</v>
      </c>
      <c r="C1058" s="28" t="s">
        <v>216</v>
      </c>
      <c r="D1058" s="28" t="s">
        <v>44</v>
      </c>
      <c r="E1058" s="28" t="s">
        <v>167</v>
      </c>
      <c r="F1058" s="28" t="s">
        <v>147</v>
      </c>
      <c r="G1058" s="28" t="s">
        <v>148</v>
      </c>
      <c r="H1058" s="28" t="s">
        <v>587</v>
      </c>
      <c r="I1058" s="29" t="n">
        <v>400000</v>
      </c>
      <c r="J1058" s="29" t="n">
        <v>200000</v>
      </c>
      <c r="K1058" s="28" t="n">
        <v>5</v>
      </c>
      <c r="L1058" s="28" t="n">
        <v>72</v>
      </c>
      <c r="M1058" s="28" t="n">
        <v>43</v>
      </c>
    </row>
    <row r="1059" customFormat="false" ht="15" hidden="false" customHeight="false" outlineLevel="0" collapsed="false">
      <c r="A1059" s="27" t="n">
        <v>44425</v>
      </c>
      <c r="B1059" s="28" t="n">
        <v>2021</v>
      </c>
      <c r="C1059" s="28" t="s">
        <v>243</v>
      </c>
      <c r="D1059" s="28" t="s">
        <v>52</v>
      </c>
      <c r="E1059" s="28" t="s">
        <v>468</v>
      </c>
      <c r="F1059" s="28" t="s">
        <v>194</v>
      </c>
      <c r="G1059" s="28" t="s">
        <v>152</v>
      </c>
      <c r="H1059" s="28" t="s">
        <v>320</v>
      </c>
      <c r="I1059" s="29" t="n">
        <v>1783000</v>
      </c>
      <c r="J1059" s="29" t="n">
        <v>1604700</v>
      </c>
      <c r="K1059" s="28" t="n">
        <v>5.25</v>
      </c>
      <c r="L1059" s="28" t="n">
        <v>107</v>
      </c>
      <c r="M1059" s="28" t="n">
        <v>15</v>
      </c>
    </row>
    <row r="1060" customFormat="false" ht="15" hidden="false" customHeight="false" outlineLevel="0" collapsed="false">
      <c r="A1060" s="27" t="n">
        <v>44425</v>
      </c>
      <c r="B1060" s="28" t="n">
        <v>2021</v>
      </c>
      <c r="C1060" s="28" t="s">
        <v>216</v>
      </c>
      <c r="D1060" s="28" t="s">
        <v>44</v>
      </c>
      <c r="E1060" s="28" t="s">
        <v>167</v>
      </c>
      <c r="F1060" s="28" t="s">
        <v>142</v>
      </c>
      <c r="G1060" s="28" t="s">
        <v>152</v>
      </c>
      <c r="H1060" s="28" t="s">
        <v>587</v>
      </c>
      <c r="I1060" s="29" t="n">
        <v>2500000</v>
      </c>
      <c r="J1060" s="29" t="n">
        <v>2250000</v>
      </c>
      <c r="K1060" s="28" t="n">
        <v>5</v>
      </c>
      <c r="L1060" s="28" t="n">
        <v>120</v>
      </c>
      <c r="M1060" s="28" t="n">
        <v>38</v>
      </c>
    </row>
    <row r="1061" customFormat="false" ht="15" hidden="false" customHeight="false" outlineLevel="0" collapsed="false">
      <c r="A1061" s="27" t="n">
        <v>44425</v>
      </c>
      <c r="B1061" s="28" t="n">
        <v>2021</v>
      </c>
      <c r="C1061" s="28" t="s">
        <v>169</v>
      </c>
      <c r="D1061" s="28" t="s">
        <v>48</v>
      </c>
      <c r="E1061" s="28" t="s">
        <v>594</v>
      </c>
      <c r="F1061" s="28" t="s">
        <v>147</v>
      </c>
      <c r="G1061" s="28" t="s">
        <v>441</v>
      </c>
      <c r="H1061" s="28" t="s">
        <v>205</v>
      </c>
      <c r="I1061" s="29" t="n">
        <v>10000</v>
      </c>
      <c r="J1061" s="29" t="n">
        <v>7500</v>
      </c>
      <c r="K1061" s="28" t="n">
        <v>9.05</v>
      </c>
      <c r="L1061" s="28" t="n">
        <v>96</v>
      </c>
      <c r="M1061" s="28" t="n">
        <v>3</v>
      </c>
    </row>
    <row r="1062" customFormat="false" ht="15" hidden="false" customHeight="false" outlineLevel="0" collapsed="false">
      <c r="A1062" s="27" t="n">
        <v>44426</v>
      </c>
      <c r="B1062" s="28" t="n">
        <v>2021</v>
      </c>
      <c r="C1062" s="28" t="s">
        <v>154</v>
      </c>
      <c r="D1062" s="28" t="s">
        <v>46</v>
      </c>
      <c r="E1062" s="28" t="s">
        <v>519</v>
      </c>
      <c r="F1062" s="28" t="s">
        <v>142</v>
      </c>
      <c r="G1062" s="28" t="s">
        <v>143</v>
      </c>
      <c r="H1062" s="28" t="s">
        <v>658</v>
      </c>
      <c r="I1062" s="29" t="n">
        <v>943000</v>
      </c>
      <c r="J1062" s="29" t="n">
        <v>848700</v>
      </c>
      <c r="K1062" s="28" t="n">
        <v>5.5</v>
      </c>
      <c r="L1062" s="28" t="n">
        <v>304</v>
      </c>
      <c r="M1062" s="28" t="n">
        <v>14</v>
      </c>
    </row>
    <row r="1063" customFormat="false" ht="15" hidden="false" customHeight="false" outlineLevel="0" collapsed="false">
      <c r="A1063" s="27" t="n">
        <v>44426</v>
      </c>
      <c r="B1063" s="28" t="n">
        <v>2021</v>
      </c>
      <c r="C1063" s="28" t="s">
        <v>172</v>
      </c>
      <c r="D1063" s="28" t="s">
        <v>45</v>
      </c>
      <c r="E1063" s="28" t="s">
        <v>356</v>
      </c>
      <c r="F1063" s="28" t="s">
        <v>147</v>
      </c>
      <c r="G1063" s="28" t="s">
        <v>148</v>
      </c>
      <c r="H1063" s="28" t="s">
        <v>205</v>
      </c>
      <c r="I1063" s="29" t="n">
        <v>40000</v>
      </c>
      <c r="J1063" s="29" t="n">
        <v>30000</v>
      </c>
      <c r="K1063" s="28" t="n">
        <v>9.75</v>
      </c>
      <c r="L1063" s="28" t="n">
        <v>120</v>
      </c>
      <c r="M1063" s="28" t="n">
        <v>0</v>
      </c>
    </row>
    <row r="1064" customFormat="false" ht="15" hidden="false" customHeight="false" outlineLevel="0" collapsed="false">
      <c r="A1064" s="27" t="n">
        <v>44426</v>
      </c>
      <c r="B1064" s="28" t="n">
        <v>2021</v>
      </c>
      <c r="C1064" s="28" t="s">
        <v>166</v>
      </c>
      <c r="D1064" s="28" t="s">
        <v>44</v>
      </c>
      <c r="E1064" s="28" t="s">
        <v>167</v>
      </c>
      <c r="F1064" s="28" t="s">
        <v>142</v>
      </c>
      <c r="G1064" s="28" t="s">
        <v>148</v>
      </c>
      <c r="H1064" s="28" t="s">
        <v>275</v>
      </c>
      <c r="I1064" s="29" t="n">
        <v>381000</v>
      </c>
      <c r="J1064" s="29" t="n">
        <v>342900</v>
      </c>
      <c r="K1064" s="28" t="n">
        <v>4.5</v>
      </c>
      <c r="L1064" s="28" t="n">
        <v>300</v>
      </c>
      <c r="M1064" s="28" t="n">
        <v>29</v>
      </c>
    </row>
    <row r="1065" customFormat="false" ht="15" hidden="false" customHeight="false" outlineLevel="0" collapsed="false">
      <c r="A1065" s="27" t="n">
        <v>44426</v>
      </c>
      <c r="B1065" s="28" t="n">
        <v>2021</v>
      </c>
      <c r="C1065" s="28" t="s">
        <v>169</v>
      </c>
      <c r="D1065" s="28" t="s">
        <v>49</v>
      </c>
      <c r="E1065" s="28" t="s">
        <v>659</v>
      </c>
      <c r="F1065" s="28" t="s">
        <v>147</v>
      </c>
      <c r="G1065" s="28" t="s">
        <v>143</v>
      </c>
      <c r="H1065" s="28" t="s">
        <v>205</v>
      </c>
      <c r="I1065" s="29" t="n">
        <v>25000</v>
      </c>
      <c r="J1065" s="29" t="n">
        <v>18750</v>
      </c>
      <c r="K1065" s="28" t="n">
        <v>9.75</v>
      </c>
      <c r="L1065" s="28" t="n">
        <v>120</v>
      </c>
      <c r="M1065" s="28" t="n">
        <v>2</v>
      </c>
    </row>
    <row r="1066" customFormat="false" ht="15" hidden="false" customHeight="false" outlineLevel="0" collapsed="false">
      <c r="A1066" s="27" t="n">
        <v>44426</v>
      </c>
      <c r="B1066" s="28" t="n">
        <v>2021</v>
      </c>
      <c r="C1066" s="28" t="s">
        <v>140</v>
      </c>
      <c r="D1066" s="28" t="s">
        <v>42</v>
      </c>
      <c r="E1066" s="28" t="s">
        <v>164</v>
      </c>
      <c r="F1066" s="28" t="s">
        <v>142</v>
      </c>
      <c r="G1066" s="28" t="s">
        <v>152</v>
      </c>
      <c r="H1066" s="28" t="s">
        <v>281</v>
      </c>
      <c r="I1066" s="29" t="n">
        <v>598600</v>
      </c>
      <c r="J1066" s="29" t="n">
        <v>538740</v>
      </c>
      <c r="K1066" s="28" t="n">
        <v>6</v>
      </c>
      <c r="L1066" s="28" t="n">
        <v>120</v>
      </c>
      <c r="M1066" s="28" t="n">
        <v>16</v>
      </c>
    </row>
    <row r="1067" customFormat="false" ht="15" hidden="false" customHeight="false" outlineLevel="0" collapsed="false">
      <c r="A1067" s="27" t="n">
        <v>44426</v>
      </c>
      <c r="B1067" s="28" t="n">
        <v>2021</v>
      </c>
      <c r="C1067" s="28" t="s">
        <v>172</v>
      </c>
      <c r="D1067" s="28" t="s">
        <v>48</v>
      </c>
      <c r="E1067" s="28" t="s">
        <v>182</v>
      </c>
      <c r="F1067" s="28" t="s">
        <v>147</v>
      </c>
      <c r="G1067" s="28" t="s">
        <v>148</v>
      </c>
      <c r="H1067" s="28" t="s">
        <v>159</v>
      </c>
      <c r="I1067" s="29" t="n">
        <v>200000</v>
      </c>
      <c r="J1067" s="29" t="n">
        <v>150000</v>
      </c>
      <c r="K1067" s="28" t="n">
        <v>5.5</v>
      </c>
      <c r="L1067" s="28" t="n">
        <v>118</v>
      </c>
      <c r="M1067" s="28" t="n">
        <v>80</v>
      </c>
    </row>
    <row r="1068" customFormat="false" ht="15" hidden="false" customHeight="false" outlineLevel="0" collapsed="false">
      <c r="A1068" s="27" t="n">
        <v>44426</v>
      </c>
      <c r="B1068" s="28" t="n">
        <v>2021</v>
      </c>
      <c r="C1068" s="28" t="s">
        <v>540</v>
      </c>
      <c r="D1068" s="28" t="s">
        <v>53</v>
      </c>
      <c r="E1068" s="28" t="s">
        <v>412</v>
      </c>
      <c r="F1068" s="28" t="s">
        <v>142</v>
      </c>
      <c r="G1068" s="28" t="s">
        <v>148</v>
      </c>
      <c r="H1068" s="28" t="s">
        <v>144</v>
      </c>
      <c r="I1068" s="29" t="n">
        <v>1526000</v>
      </c>
      <c r="J1068" s="29" t="n">
        <v>1373400</v>
      </c>
      <c r="K1068" s="28" t="n">
        <v>4.5</v>
      </c>
      <c r="L1068" s="28" t="n">
        <v>300</v>
      </c>
      <c r="M1068" s="28" t="n">
        <v>4</v>
      </c>
    </row>
    <row r="1069" customFormat="false" ht="15" hidden="false" customHeight="false" outlineLevel="0" collapsed="false">
      <c r="A1069" s="27" t="n">
        <v>44426</v>
      </c>
      <c r="B1069" s="28" t="n">
        <v>2021</v>
      </c>
      <c r="C1069" s="28" t="s">
        <v>408</v>
      </c>
      <c r="D1069" s="28" t="s">
        <v>50</v>
      </c>
      <c r="E1069" s="28" t="s">
        <v>630</v>
      </c>
      <c r="F1069" s="28" t="s">
        <v>147</v>
      </c>
      <c r="G1069" s="28" t="s">
        <v>148</v>
      </c>
      <c r="H1069" s="28" t="s">
        <v>391</v>
      </c>
      <c r="I1069" s="29" t="n">
        <v>100000</v>
      </c>
      <c r="J1069" s="29" t="n">
        <v>75000</v>
      </c>
      <c r="K1069" s="28" t="n">
        <v>4.6</v>
      </c>
      <c r="L1069" s="28" t="n">
        <v>71</v>
      </c>
      <c r="M1069" s="28" t="n">
        <v>0</v>
      </c>
    </row>
    <row r="1070" customFormat="false" ht="15" hidden="false" customHeight="false" outlineLevel="0" collapsed="false">
      <c r="A1070" s="27" t="n">
        <v>44427</v>
      </c>
      <c r="B1070" s="28" t="n">
        <v>2021</v>
      </c>
      <c r="C1070" s="28" t="s">
        <v>169</v>
      </c>
      <c r="D1070" s="28" t="s">
        <v>48</v>
      </c>
      <c r="E1070" s="28" t="s">
        <v>342</v>
      </c>
      <c r="F1070" s="28" t="s">
        <v>147</v>
      </c>
      <c r="G1070" s="28" t="s">
        <v>441</v>
      </c>
      <c r="H1070" s="28" t="s">
        <v>168</v>
      </c>
      <c r="I1070" s="29" t="n">
        <v>10000</v>
      </c>
      <c r="J1070" s="29" t="n">
        <v>7500</v>
      </c>
      <c r="K1070" s="28" t="n">
        <v>9.75</v>
      </c>
      <c r="L1070" s="28" t="n">
        <v>120</v>
      </c>
      <c r="M1070" s="28" t="n">
        <v>0</v>
      </c>
    </row>
    <row r="1071" customFormat="false" ht="15" hidden="false" customHeight="false" outlineLevel="0" collapsed="false">
      <c r="A1071" s="27" t="n">
        <v>44427</v>
      </c>
      <c r="B1071" s="28" t="n">
        <v>2021</v>
      </c>
      <c r="C1071" s="28" t="s">
        <v>172</v>
      </c>
      <c r="D1071" s="28" t="s">
        <v>48</v>
      </c>
      <c r="E1071" s="28" t="s">
        <v>304</v>
      </c>
      <c r="F1071" s="28" t="s">
        <v>147</v>
      </c>
      <c r="G1071" s="28" t="s">
        <v>441</v>
      </c>
      <c r="H1071" s="28" t="s">
        <v>168</v>
      </c>
      <c r="I1071" s="29" t="n">
        <v>5000</v>
      </c>
      <c r="J1071" s="29" t="n">
        <v>3750</v>
      </c>
      <c r="K1071" s="28" t="n">
        <v>8.25</v>
      </c>
      <c r="L1071" s="28" t="n">
        <v>120</v>
      </c>
      <c r="M1071" s="28" t="n">
        <v>0</v>
      </c>
    </row>
    <row r="1072" customFormat="false" ht="15" hidden="false" customHeight="false" outlineLevel="0" collapsed="false">
      <c r="A1072" s="27" t="n">
        <v>44427</v>
      </c>
      <c r="B1072" s="28" t="n">
        <v>2021</v>
      </c>
      <c r="C1072" s="28" t="s">
        <v>166</v>
      </c>
      <c r="D1072" s="28" t="s">
        <v>48</v>
      </c>
      <c r="E1072" s="28" t="s">
        <v>656</v>
      </c>
      <c r="F1072" s="28" t="s">
        <v>147</v>
      </c>
      <c r="G1072" s="28" t="s">
        <v>441</v>
      </c>
      <c r="H1072" s="28" t="s">
        <v>159</v>
      </c>
      <c r="I1072" s="29" t="n">
        <v>75000</v>
      </c>
      <c r="J1072" s="29" t="n">
        <v>56250</v>
      </c>
      <c r="K1072" s="28" t="n">
        <v>4.5</v>
      </c>
      <c r="L1072" s="28" t="n">
        <v>120</v>
      </c>
      <c r="M1072" s="28" t="n">
        <v>5</v>
      </c>
    </row>
    <row r="1073" customFormat="false" ht="15" hidden="false" customHeight="false" outlineLevel="0" collapsed="false">
      <c r="A1073" s="27" t="n">
        <v>44428</v>
      </c>
      <c r="B1073" s="28" t="n">
        <v>2021</v>
      </c>
      <c r="C1073" s="28" t="s">
        <v>172</v>
      </c>
      <c r="D1073" s="28" t="s">
        <v>57</v>
      </c>
      <c r="E1073" s="28" t="s">
        <v>660</v>
      </c>
      <c r="F1073" s="28" t="s">
        <v>142</v>
      </c>
      <c r="G1073" s="28" t="s">
        <v>148</v>
      </c>
      <c r="H1073" s="28" t="s">
        <v>144</v>
      </c>
      <c r="I1073" s="29" t="n">
        <v>2250000</v>
      </c>
      <c r="J1073" s="29" t="n">
        <v>2025000</v>
      </c>
      <c r="K1073" s="28" t="n">
        <v>5.5</v>
      </c>
      <c r="L1073" s="28" t="n">
        <v>84</v>
      </c>
      <c r="M1073" s="28" t="n">
        <v>62</v>
      </c>
    </row>
    <row r="1074" customFormat="false" ht="15" hidden="false" customHeight="false" outlineLevel="0" collapsed="false">
      <c r="A1074" s="27" t="n">
        <v>44428</v>
      </c>
      <c r="B1074" s="28" t="n">
        <v>2021</v>
      </c>
      <c r="C1074" s="28" t="s">
        <v>198</v>
      </c>
      <c r="D1074" s="28" t="s">
        <v>43</v>
      </c>
      <c r="E1074" s="28" t="s">
        <v>525</v>
      </c>
      <c r="F1074" s="28" t="s">
        <v>142</v>
      </c>
      <c r="G1074" s="28" t="s">
        <v>143</v>
      </c>
      <c r="H1074" s="28" t="s">
        <v>287</v>
      </c>
      <c r="I1074" s="29" t="n">
        <v>65000</v>
      </c>
      <c r="J1074" s="29" t="n">
        <v>58500</v>
      </c>
      <c r="K1074" s="28" t="n">
        <v>6</v>
      </c>
      <c r="L1074" s="28" t="n">
        <v>120</v>
      </c>
      <c r="M1074" s="28" t="n">
        <v>2</v>
      </c>
    </row>
    <row r="1075" customFormat="false" ht="15" hidden="false" customHeight="false" outlineLevel="0" collapsed="false">
      <c r="A1075" s="27" t="n">
        <v>44428</v>
      </c>
      <c r="B1075" s="28" t="n">
        <v>2021</v>
      </c>
      <c r="C1075" s="28" t="s">
        <v>272</v>
      </c>
      <c r="D1075" s="28" t="s">
        <v>48</v>
      </c>
      <c r="E1075" s="28" t="s">
        <v>277</v>
      </c>
      <c r="F1075" s="28" t="s">
        <v>142</v>
      </c>
      <c r="G1075" s="28" t="s">
        <v>143</v>
      </c>
      <c r="H1075" s="28" t="s">
        <v>291</v>
      </c>
      <c r="I1075" s="29" t="n">
        <v>260000</v>
      </c>
      <c r="J1075" s="29" t="n">
        <v>195000</v>
      </c>
      <c r="K1075" s="28" t="n">
        <v>5.25</v>
      </c>
      <c r="L1075" s="28" t="n">
        <v>120</v>
      </c>
      <c r="M1075" s="28" t="n">
        <v>10</v>
      </c>
    </row>
    <row r="1076" customFormat="false" ht="15" hidden="false" customHeight="false" outlineLevel="0" collapsed="false">
      <c r="A1076" s="27" t="n">
        <v>44428</v>
      </c>
      <c r="B1076" s="28" t="n">
        <v>2021</v>
      </c>
      <c r="C1076" s="28" t="s">
        <v>332</v>
      </c>
      <c r="D1076" s="28" t="s">
        <v>50</v>
      </c>
      <c r="E1076" s="28" t="s">
        <v>366</v>
      </c>
      <c r="F1076" s="28" t="s">
        <v>147</v>
      </c>
      <c r="G1076" s="28" t="s">
        <v>441</v>
      </c>
      <c r="H1076" s="28" t="s">
        <v>205</v>
      </c>
      <c r="I1076" s="29" t="n">
        <v>20700</v>
      </c>
      <c r="J1076" s="29" t="n">
        <v>15525</v>
      </c>
      <c r="K1076" s="28" t="n">
        <v>9.75</v>
      </c>
      <c r="L1076" s="28" t="n">
        <v>36</v>
      </c>
      <c r="M1076" s="28" t="n">
        <v>0</v>
      </c>
    </row>
    <row r="1077" customFormat="false" ht="15" hidden="false" customHeight="false" outlineLevel="0" collapsed="false">
      <c r="A1077" s="27" t="n">
        <v>44429</v>
      </c>
      <c r="B1077" s="28" t="n">
        <v>2021</v>
      </c>
      <c r="C1077" s="28" t="s">
        <v>163</v>
      </c>
      <c r="D1077" s="28" t="s">
        <v>42</v>
      </c>
      <c r="E1077" s="28" t="s">
        <v>247</v>
      </c>
      <c r="F1077" s="28" t="s">
        <v>142</v>
      </c>
      <c r="G1077" s="28" t="s">
        <v>143</v>
      </c>
      <c r="H1077" s="28" t="s">
        <v>661</v>
      </c>
      <c r="I1077" s="29" t="n">
        <v>3300000</v>
      </c>
      <c r="J1077" s="29" t="n">
        <v>2970000</v>
      </c>
      <c r="K1077" s="28" t="n">
        <v>5.25</v>
      </c>
      <c r="L1077" s="28" t="n">
        <v>300</v>
      </c>
      <c r="M1077" s="28" t="n">
        <v>5</v>
      </c>
    </row>
    <row r="1078" customFormat="false" ht="15" hidden="false" customHeight="false" outlineLevel="0" collapsed="false">
      <c r="A1078" s="27" t="n">
        <v>44432</v>
      </c>
      <c r="B1078" s="28" t="n">
        <v>2021</v>
      </c>
      <c r="C1078" s="28" t="s">
        <v>504</v>
      </c>
      <c r="D1078" s="28" t="s">
        <v>43</v>
      </c>
      <c r="E1078" s="28" t="s">
        <v>317</v>
      </c>
      <c r="F1078" s="28" t="s">
        <v>142</v>
      </c>
      <c r="G1078" s="28" t="s">
        <v>148</v>
      </c>
      <c r="H1078" s="28" t="s">
        <v>211</v>
      </c>
      <c r="I1078" s="29" t="n">
        <v>350000</v>
      </c>
      <c r="J1078" s="29" t="n">
        <v>315000</v>
      </c>
      <c r="K1078" s="28" t="n">
        <v>6</v>
      </c>
      <c r="L1078" s="28" t="n">
        <v>120</v>
      </c>
      <c r="M1078" s="28" t="n">
        <v>1</v>
      </c>
    </row>
    <row r="1079" customFormat="false" ht="15" hidden="false" customHeight="false" outlineLevel="0" collapsed="false">
      <c r="A1079" s="27" t="n">
        <v>44432</v>
      </c>
      <c r="B1079" s="28" t="n">
        <v>2021</v>
      </c>
      <c r="C1079" s="28" t="s">
        <v>172</v>
      </c>
      <c r="D1079" s="28" t="s">
        <v>48</v>
      </c>
      <c r="E1079" s="28" t="s">
        <v>346</v>
      </c>
      <c r="F1079" s="28" t="s">
        <v>142</v>
      </c>
      <c r="G1079" s="28" t="s">
        <v>148</v>
      </c>
      <c r="H1079" s="28" t="s">
        <v>162</v>
      </c>
      <c r="I1079" s="29" t="n">
        <v>2000000</v>
      </c>
      <c r="J1079" s="29" t="n">
        <v>1800000</v>
      </c>
      <c r="K1079" s="28" t="n">
        <v>4.25</v>
      </c>
      <c r="L1079" s="28" t="n">
        <v>120</v>
      </c>
      <c r="M1079" s="28" t="n">
        <v>44</v>
      </c>
    </row>
    <row r="1080" customFormat="false" ht="15" hidden="false" customHeight="false" outlineLevel="0" collapsed="false">
      <c r="A1080" s="27" t="n">
        <v>44432</v>
      </c>
      <c r="B1080" s="28" t="n">
        <v>2021</v>
      </c>
      <c r="C1080" s="28" t="s">
        <v>160</v>
      </c>
      <c r="D1080" s="28" t="s">
        <v>45</v>
      </c>
      <c r="E1080" s="28" t="s">
        <v>493</v>
      </c>
      <c r="F1080" s="28" t="s">
        <v>142</v>
      </c>
      <c r="G1080" s="28" t="s">
        <v>152</v>
      </c>
      <c r="H1080" s="28" t="s">
        <v>144</v>
      </c>
      <c r="I1080" s="29" t="n">
        <v>1895000</v>
      </c>
      <c r="J1080" s="29" t="n">
        <v>1705500</v>
      </c>
      <c r="K1080" s="28" t="n">
        <v>5.25</v>
      </c>
      <c r="L1080" s="28" t="n">
        <v>120</v>
      </c>
      <c r="M1080" s="28" t="n">
        <v>15</v>
      </c>
    </row>
    <row r="1081" customFormat="false" ht="15" hidden="false" customHeight="false" outlineLevel="0" collapsed="false">
      <c r="A1081" s="27" t="n">
        <v>44432</v>
      </c>
      <c r="B1081" s="28" t="n">
        <v>2021</v>
      </c>
      <c r="C1081" s="28" t="s">
        <v>160</v>
      </c>
      <c r="D1081" s="28" t="s">
        <v>45</v>
      </c>
      <c r="E1081" s="28" t="s">
        <v>493</v>
      </c>
      <c r="F1081" s="28" t="s">
        <v>147</v>
      </c>
      <c r="G1081" s="28" t="s">
        <v>152</v>
      </c>
      <c r="H1081" s="28" t="s">
        <v>144</v>
      </c>
      <c r="I1081" s="29" t="n">
        <v>250000</v>
      </c>
      <c r="J1081" s="29" t="n">
        <v>187500</v>
      </c>
      <c r="K1081" s="28" t="n">
        <v>5.25</v>
      </c>
      <c r="L1081" s="28" t="n">
        <v>120</v>
      </c>
      <c r="M1081" s="28" t="n">
        <v>2</v>
      </c>
    </row>
    <row r="1082" customFormat="false" ht="15" hidden="false" customHeight="false" outlineLevel="0" collapsed="false">
      <c r="A1082" s="27" t="n">
        <v>44433</v>
      </c>
      <c r="B1082" s="28" t="n">
        <v>2021</v>
      </c>
      <c r="C1082" s="28" t="s">
        <v>160</v>
      </c>
      <c r="D1082" s="28" t="s">
        <v>46</v>
      </c>
      <c r="E1082" s="28" t="s">
        <v>259</v>
      </c>
      <c r="F1082" s="28" t="s">
        <v>142</v>
      </c>
      <c r="G1082" s="28" t="s">
        <v>143</v>
      </c>
      <c r="H1082" s="28" t="s">
        <v>281</v>
      </c>
      <c r="I1082" s="29" t="n">
        <v>104000</v>
      </c>
      <c r="J1082" s="29" t="n">
        <v>78000</v>
      </c>
      <c r="K1082" s="28" t="n">
        <v>7.75</v>
      </c>
      <c r="L1082" s="28" t="n">
        <v>120</v>
      </c>
      <c r="M1082" s="28" t="n">
        <v>6</v>
      </c>
    </row>
    <row r="1083" customFormat="false" ht="15" hidden="false" customHeight="false" outlineLevel="0" collapsed="false">
      <c r="A1083" s="27" t="n">
        <v>44433</v>
      </c>
      <c r="B1083" s="28" t="n">
        <v>2021</v>
      </c>
      <c r="C1083" s="28" t="s">
        <v>203</v>
      </c>
      <c r="D1083" s="28" t="s">
        <v>49</v>
      </c>
      <c r="E1083" s="28" t="s">
        <v>662</v>
      </c>
      <c r="F1083" s="28" t="s">
        <v>142</v>
      </c>
      <c r="G1083" s="28" t="s">
        <v>148</v>
      </c>
      <c r="H1083" s="28" t="s">
        <v>208</v>
      </c>
      <c r="I1083" s="29" t="n">
        <v>765000</v>
      </c>
      <c r="J1083" s="29" t="n">
        <v>688500</v>
      </c>
      <c r="K1083" s="28" t="n">
        <v>5.5</v>
      </c>
      <c r="L1083" s="28" t="n">
        <v>120</v>
      </c>
      <c r="M1083" s="28" t="n">
        <v>4</v>
      </c>
    </row>
    <row r="1084" customFormat="false" ht="15" hidden="false" customHeight="false" outlineLevel="0" collapsed="false">
      <c r="A1084" s="27" t="n">
        <v>44433</v>
      </c>
      <c r="B1084" s="28" t="n">
        <v>2021</v>
      </c>
      <c r="C1084" s="28" t="s">
        <v>166</v>
      </c>
      <c r="D1084" s="28" t="s">
        <v>43</v>
      </c>
      <c r="E1084" s="28" t="s">
        <v>264</v>
      </c>
      <c r="F1084" s="28" t="s">
        <v>147</v>
      </c>
      <c r="G1084" s="28" t="s">
        <v>441</v>
      </c>
      <c r="H1084" s="28" t="s">
        <v>168</v>
      </c>
      <c r="I1084" s="29" t="n">
        <v>10000</v>
      </c>
      <c r="J1084" s="29" t="n">
        <v>7500</v>
      </c>
      <c r="K1084" s="28" t="n">
        <v>8.25</v>
      </c>
      <c r="L1084" s="28" t="n">
        <v>120</v>
      </c>
      <c r="M1084" s="28" t="n">
        <v>0</v>
      </c>
    </row>
    <row r="1085" customFormat="false" ht="15" hidden="false" customHeight="false" outlineLevel="0" collapsed="false">
      <c r="A1085" s="27" t="n">
        <v>44433</v>
      </c>
      <c r="B1085" s="28" t="n">
        <v>2021</v>
      </c>
      <c r="C1085" s="28" t="s">
        <v>328</v>
      </c>
      <c r="D1085" s="28" t="s">
        <v>47</v>
      </c>
      <c r="E1085" s="28" t="s">
        <v>663</v>
      </c>
      <c r="F1085" s="28" t="s">
        <v>147</v>
      </c>
      <c r="G1085" s="28" t="s">
        <v>148</v>
      </c>
      <c r="H1085" s="28" t="s">
        <v>354</v>
      </c>
      <c r="I1085" s="29" t="n">
        <v>350000</v>
      </c>
      <c r="J1085" s="29" t="n">
        <v>262500</v>
      </c>
      <c r="K1085" s="28" t="n">
        <v>4.35</v>
      </c>
      <c r="L1085" s="28" t="n">
        <v>120</v>
      </c>
      <c r="M1085" s="28" t="n">
        <v>15</v>
      </c>
    </row>
    <row r="1086" customFormat="false" ht="15" hidden="false" customHeight="false" outlineLevel="0" collapsed="false">
      <c r="A1086" s="27" t="n">
        <v>44433</v>
      </c>
      <c r="B1086" s="28" t="n">
        <v>2021</v>
      </c>
      <c r="C1086" s="28" t="s">
        <v>160</v>
      </c>
      <c r="D1086" s="28" t="s">
        <v>42</v>
      </c>
      <c r="E1086" s="28" t="s">
        <v>247</v>
      </c>
      <c r="F1086" s="28" t="s">
        <v>142</v>
      </c>
      <c r="G1086" s="28" t="s">
        <v>152</v>
      </c>
      <c r="H1086" s="28" t="s">
        <v>334</v>
      </c>
      <c r="I1086" s="29" t="n">
        <v>4640000</v>
      </c>
      <c r="J1086" s="29" t="n">
        <v>3712000</v>
      </c>
      <c r="K1086" s="28" t="n">
        <v>5.25</v>
      </c>
      <c r="L1086" s="28" t="n">
        <v>300</v>
      </c>
      <c r="M1086" s="28" t="n">
        <v>17</v>
      </c>
    </row>
    <row r="1087" customFormat="false" ht="15" hidden="false" customHeight="false" outlineLevel="0" collapsed="false">
      <c r="A1087" s="27" t="n">
        <v>44434</v>
      </c>
      <c r="B1087" s="28" t="n">
        <v>2021</v>
      </c>
      <c r="C1087" s="28" t="s">
        <v>310</v>
      </c>
      <c r="D1087" s="28" t="s">
        <v>43</v>
      </c>
      <c r="E1087" s="28" t="s">
        <v>274</v>
      </c>
      <c r="F1087" s="28" t="s">
        <v>142</v>
      </c>
      <c r="G1087" s="28" t="s">
        <v>148</v>
      </c>
      <c r="H1087" s="28" t="s">
        <v>306</v>
      </c>
      <c r="I1087" s="29" t="n">
        <v>382500</v>
      </c>
      <c r="J1087" s="29" t="n">
        <v>286875</v>
      </c>
      <c r="K1087" s="28" t="n">
        <v>4.75</v>
      </c>
      <c r="L1087" s="28" t="n">
        <v>240</v>
      </c>
      <c r="M1087" s="28" t="n">
        <v>7</v>
      </c>
    </row>
    <row r="1088" customFormat="false" ht="15" hidden="false" customHeight="false" outlineLevel="0" collapsed="false">
      <c r="A1088" s="27" t="n">
        <v>44434</v>
      </c>
      <c r="B1088" s="28" t="n">
        <v>2021</v>
      </c>
      <c r="C1088" s="28" t="s">
        <v>353</v>
      </c>
      <c r="D1088" s="28" t="s">
        <v>42</v>
      </c>
      <c r="E1088" s="28" t="s">
        <v>180</v>
      </c>
      <c r="F1088" s="28" t="s">
        <v>142</v>
      </c>
      <c r="G1088" s="28" t="s">
        <v>143</v>
      </c>
      <c r="H1088" s="28" t="s">
        <v>291</v>
      </c>
      <c r="I1088" s="29" t="n">
        <v>225000</v>
      </c>
      <c r="J1088" s="29" t="n">
        <v>168750</v>
      </c>
      <c r="K1088" s="28" t="n">
        <v>4.25</v>
      </c>
      <c r="L1088" s="28" t="n">
        <v>60</v>
      </c>
      <c r="M1088" s="28" t="n">
        <v>12</v>
      </c>
    </row>
    <row r="1089" customFormat="false" ht="15" hidden="false" customHeight="false" outlineLevel="0" collapsed="false">
      <c r="A1089" s="27" t="n">
        <v>44434</v>
      </c>
      <c r="B1089" s="28" t="n">
        <v>2021</v>
      </c>
      <c r="C1089" s="28" t="s">
        <v>183</v>
      </c>
      <c r="D1089" s="28" t="s">
        <v>46</v>
      </c>
      <c r="E1089" s="28" t="s">
        <v>386</v>
      </c>
      <c r="F1089" s="28" t="s">
        <v>142</v>
      </c>
      <c r="G1089" s="28" t="s">
        <v>143</v>
      </c>
      <c r="H1089" s="28" t="s">
        <v>664</v>
      </c>
      <c r="I1089" s="29" t="n">
        <v>92200</v>
      </c>
      <c r="J1089" s="29" t="n">
        <v>82980</v>
      </c>
      <c r="K1089" s="28" t="n">
        <v>3.85</v>
      </c>
      <c r="L1089" s="28" t="n">
        <v>84</v>
      </c>
      <c r="M1089" s="28" t="n">
        <v>2</v>
      </c>
    </row>
    <row r="1090" customFormat="false" ht="15" hidden="false" customHeight="false" outlineLevel="0" collapsed="false">
      <c r="A1090" s="27" t="n">
        <v>44434</v>
      </c>
      <c r="B1090" s="28" t="n">
        <v>2021</v>
      </c>
      <c r="C1090" s="28" t="s">
        <v>198</v>
      </c>
      <c r="D1090" s="28" t="s">
        <v>43</v>
      </c>
      <c r="E1090" s="28" t="s">
        <v>245</v>
      </c>
      <c r="F1090" s="28" t="s">
        <v>142</v>
      </c>
      <c r="G1090" s="28" t="s">
        <v>148</v>
      </c>
      <c r="H1090" s="28" t="s">
        <v>494</v>
      </c>
      <c r="I1090" s="29" t="n">
        <v>340000</v>
      </c>
      <c r="J1090" s="29" t="n">
        <v>306000</v>
      </c>
      <c r="K1090" s="28" t="n">
        <v>7</v>
      </c>
      <c r="L1090" s="28" t="n">
        <v>120</v>
      </c>
      <c r="M1090" s="28" t="n">
        <v>5</v>
      </c>
    </row>
    <row r="1091" customFormat="false" ht="15" hidden="false" customHeight="false" outlineLevel="0" collapsed="false">
      <c r="A1091" s="27" t="n">
        <v>44434</v>
      </c>
      <c r="B1091" s="28" t="n">
        <v>2021</v>
      </c>
      <c r="C1091" s="28" t="s">
        <v>324</v>
      </c>
      <c r="D1091" s="28" t="s">
        <v>42</v>
      </c>
      <c r="E1091" s="28" t="s">
        <v>247</v>
      </c>
      <c r="F1091" s="28" t="s">
        <v>142</v>
      </c>
      <c r="G1091" s="28" t="s">
        <v>152</v>
      </c>
      <c r="H1091" s="28" t="s">
        <v>326</v>
      </c>
      <c r="I1091" s="29" t="n">
        <v>4410000</v>
      </c>
      <c r="J1091" s="29" t="n">
        <v>3748500</v>
      </c>
      <c r="K1091" s="28" t="n">
        <v>5.5</v>
      </c>
      <c r="L1091" s="28" t="n">
        <v>300</v>
      </c>
      <c r="M1091" s="28" t="n">
        <v>17</v>
      </c>
    </row>
    <row r="1092" customFormat="false" ht="15" hidden="false" customHeight="false" outlineLevel="0" collapsed="false">
      <c r="A1092" s="27" t="n">
        <v>44435</v>
      </c>
      <c r="B1092" s="28" t="n">
        <v>2021</v>
      </c>
      <c r="C1092" s="28" t="s">
        <v>344</v>
      </c>
      <c r="D1092" s="28" t="s">
        <v>43</v>
      </c>
      <c r="E1092" s="28" t="s">
        <v>665</v>
      </c>
      <c r="F1092" s="28" t="s">
        <v>142</v>
      </c>
      <c r="G1092" s="28" t="s">
        <v>143</v>
      </c>
      <c r="H1092" s="28" t="s">
        <v>561</v>
      </c>
      <c r="I1092" s="29" t="n">
        <v>387700</v>
      </c>
      <c r="J1092" s="29" t="n">
        <v>348930</v>
      </c>
      <c r="K1092" s="28" t="n">
        <v>5.5</v>
      </c>
      <c r="L1092" s="28" t="n">
        <v>126</v>
      </c>
      <c r="M1092" s="28" t="n">
        <v>12</v>
      </c>
    </row>
    <row r="1093" customFormat="false" ht="15" hidden="false" customHeight="false" outlineLevel="0" collapsed="false">
      <c r="A1093" s="27" t="n">
        <v>44435</v>
      </c>
      <c r="B1093" s="28" t="n">
        <v>2021</v>
      </c>
      <c r="C1093" s="28" t="s">
        <v>318</v>
      </c>
      <c r="D1093" s="28" t="s">
        <v>43</v>
      </c>
      <c r="E1093" s="28" t="s">
        <v>219</v>
      </c>
      <c r="F1093" s="28" t="s">
        <v>142</v>
      </c>
      <c r="G1093" s="28" t="s">
        <v>441</v>
      </c>
      <c r="H1093" s="28" t="s">
        <v>382</v>
      </c>
      <c r="I1093" s="29" t="n">
        <v>467100</v>
      </c>
      <c r="J1093" s="29" t="n">
        <v>420390</v>
      </c>
      <c r="K1093" s="28" t="n">
        <v>5.25</v>
      </c>
      <c r="L1093" s="28" t="n">
        <v>180</v>
      </c>
      <c r="M1093" s="28" t="n">
        <v>8</v>
      </c>
    </row>
    <row r="1094" customFormat="false" ht="15" hidden="false" customHeight="false" outlineLevel="0" collapsed="false">
      <c r="A1094" s="27" t="n">
        <v>44435</v>
      </c>
      <c r="B1094" s="28" t="n">
        <v>2021</v>
      </c>
      <c r="C1094" s="28" t="s">
        <v>172</v>
      </c>
      <c r="D1094" s="28" t="s">
        <v>54</v>
      </c>
      <c r="E1094" s="28" t="s">
        <v>666</v>
      </c>
      <c r="F1094" s="28" t="s">
        <v>142</v>
      </c>
      <c r="G1094" s="28" t="s">
        <v>441</v>
      </c>
      <c r="H1094" s="28" t="s">
        <v>200</v>
      </c>
      <c r="I1094" s="29" t="n">
        <v>630000</v>
      </c>
      <c r="J1094" s="29" t="n">
        <v>567000</v>
      </c>
      <c r="K1094" s="28" t="n">
        <v>6</v>
      </c>
      <c r="L1094" s="28" t="n">
        <v>120</v>
      </c>
      <c r="M1094" s="28" t="n">
        <v>7</v>
      </c>
    </row>
    <row r="1095" customFormat="false" ht="15" hidden="false" customHeight="false" outlineLevel="0" collapsed="false">
      <c r="A1095" s="27" t="n">
        <v>44435</v>
      </c>
      <c r="B1095" s="28" t="n">
        <v>2021</v>
      </c>
      <c r="C1095" s="28" t="s">
        <v>292</v>
      </c>
      <c r="D1095" s="28" t="s">
        <v>43</v>
      </c>
      <c r="E1095" s="28" t="s">
        <v>219</v>
      </c>
      <c r="F1095" s="28" t="s">
        <v>147</v>
      </c>
      <c r="G1095" s="28" t="s">
        <v>148</v>
      </c>
      <c r="H1095" s="28" t="s">
        <v>482</v>
      </c>
      <c r="I1095" s="29" t="n">
        <v>150000</v>
      </c>
      <c r="J1095" s="29" t="n">
        <v>112500</v>
      </c>
      <c r="K1095" s="28" t="n">
        <v>5</v>
      </c>
      <c r="L1095" s="28" t="n">
        <v>60</v>
      </c>
      <c r="M1095" s="28" t="n">
        <v>3</v>
      </c>
    </row>
    <row r="1096" customFormat="false" ht="15" hidden="false" customHeight="false" outlineLevel="0" collapsed="false">
      <c r="A1096" s="27" t="n">
        <v>44435</v>
      </c>
      <c r="B1096" s="28" t="n">
        <v>2021</v>
      </c>
      <c r="C1096" s="28" t="s">
        <v>172</v>
      </c>
      <c r="D1096" s="28" t="s">
        <v>54</v>
      </c>
      <c r="E1096" s="28" t="s">
        <v>236</v>
      </c>
      <c r="F1096" s="28" t="s">
        <v>147</v>
      </c>
      <c r="G1096" s="28" t="s">
        <v>441</v>
      </c>
      <c r="H1096" s="28" t="s">
        <v>320</v>
      </c>
      <c r="I1096" s="29" t="n">
        <v>202500</v>
      </c>
      <c r="J1096" s="29" t="n">
        <v>151875</v>
      </c>
      <c r="K1096" s="28" t="n">
        <v>5.75</v>
      </c>
      <c r="L1096" s="28" t="n">
        <v>300</v>
      </c>
      <c r="M1096" s="28" t="n">
        <v>6</v>
      </c>
    </row>
    <row r="1097" customFormat="false" ht="15" hidden="false" customHeight="false" outlineLevel="0" collapsed="false">
      <c r="A1097" s="27" t="n">
        <v>44435</v>
      </c>
      <c r="B1097" s="28" t="n">
        <v>2021</v>
      </c>
      <c r="C1097" s="28" t="s">
        <v>249</v>
      </c>
      <c r="D1097" s="28" t="s">
        <v>43</v>
      </c>
      <c r="E1097" s="28" t="s">
        <v>541</v>
      </c>
      <c r="F1097" s="28" t="s">
        <v>142</v>
      </c>
      <c r="G1097" s="28" t="s">
        <v>148</v>
      </c>
      <c r="H1097" s="28" t="s">
        <v>211</v>
      </c>
      <c r="I1097" s="29" t="n">
        <v>350000</v>
      </c>
      <c r="J1097" s="29" t="n">
        <v>315000</v>
      </c>
      <c r="K1097" s="28" t="n">
        <v>6</v>
      </c>
      <c r="L1097" s="28" t="n">
        <v>120</v>
      </c>
      <c r="M1097" s="28" t="n">
        <v>4</v>
      </c>
    </row>
    <row r="1098" customFormat="false" ht="15" hidden="false" customHeight="false" outlineLevel="0" collapsed="false">
      <c r="A1098" s="27" t="n">
        <v>44435</v>
      </c>
      <c r="B1098" s="28" t="n">
        <v>2021</v>
      </c>
      <c r="C1098" s="28" t="s">
        <v>310</v>
      </c>
      <c r="D1098" s="28" t="s">
        <v>54</v>
      </c>
      <c r="E1098" s="28" t="s">
        <v>236</v>
      </c>
      <c r="F1098" s="28" t="s">
        <v>142</v>
      </c>
      <c r="G1098" s="28" t="s">
        <v>148</v>
      </c>
      <c r="H1098" s="28" t="s">
        <v>667</v>
      </c>
      <c r="I1098" s="29" t="n">
        <v>218000</v>
      </c>
      <c r="J1098" s="29" t="n">
        <v>196200</v>
      </c>
      <c r="K1098" s="28" t="n">
        <v>4.25</v>
      </c>
      <c r="L1098" s="28" t="n">
        <v>299</v>
      </c>
      <c r="M1098" s="28" t="n">
        <v>0</v>
      </c>
    </row>
    <row r="1099" customFormat="false" ht="15" hidden="false" customHeight="false" outlineLevel="0" collapsed="false">
      <c r="A1099" s="27" t="n">
        <v>44437</v>
      </c>
      <c r="B1099" s="28" t="n">
        <v>2021</v>
      </c>
      <c r="C1099" s="28" t="s">
        <v>163</v>
      </c>
      <c r="D1099" s="28" t="s">
        <v>43</v>
      </c>
      <c r="E1099" s="28" t="s">
        <v>317</v>
      </c>
      <c r="F1099" s="28" t="s">
        <v>142</v>
      </c>
      <c r="G1099" s="28" t="s">
        <v>148</v>
      </c>
      <c r="H1099" s="28" t="s">
        <v>200</v>
      </c>
      <c r="I1099" s="29" t="n">
        <v>45000</v>
      </c>
      <c r="J1099" s="29" t="n">
        <v>40500</v>
      </c>
      <c r="K1099" s="28" t="n">
        <v>6</v>
      </c>
      <c r="L1099" s="28" t="n">
        <v>120</v>
      </c>
      <c r="M1099" s="28" t="n">
        <v>0</v>
      </c>
    </row>
    <row r="1100" customFormat="false" ht="15" hidden="false" customHeight="false" outlineLevel="0" collapsed="false">
      <c r="A1100" s="27" t="n">
        <v>44437</v>
      </c>
      <c r="B1100" s="28" t="n">
        <v>2021</v>
      </c>
      <c r="C1100" s="28" t="s">
        <v>172</v>
      </c>
      <c r="D1100" s="28" t="s">
        <v>47</v>
      </c>
      <c r="E1100" s="28" t="s">
        <v>668</v>
      </c>
      <c r="F1100" s="28" t="s">
        <v>194</v>
      </c>
      <c r="G1100" s="28" t="s">
        <v>148</v>
      </c>
      <c r="H1100" s="28" t="s">
        <v>645</v>
      </c>
      <c r="I1100" s="29" t="n">
        <v>213500</v>
      </c>
      <c r="J1100" s="29" t="n">
        <v>192150</v>
      </c>
      <c r="K1100" s="28" t="n">
        <v>6</v>
      </c>
      <c r="L1100" s="28" t="n">
        <v>110</v>
      </c>
      <c r="M1100" s="28" t="n">
        <v>7</v>
      </c>
    </row>
    <row r="1101" customFormat="false" ht="15" hidden="false" customHeight="false" outlineLevel="0" collapsed="false">
      <c r="A1101" s="27" t="n">
        <v>44438</v>
      </c>
      <c r="B1101" s="28" t="n">
        <v>2021</v>
      </c>
      <c r="C1101" s="28" t="s">
        <v>499</v>
      </c>
      <c r="D1101" s="28" t="s">
        <v>42</v>
      </c>
      <c r="E1101" s="28" t="s">
        <v>180</v>
      </c>
      <c r="F1101" s="28" t="s">
        <v>142</v>
      </c>
      <c r="G1101" s="28" t="s">
        <v>143</v>
      </c>
      <c r="H1101" s="28" t="s">
        <v>621</v>
      </c>
      <c r="I1101" s="29" t="n">
        <v>610000</v>
      </c>
      <c r="J1101" s="29" t="n">
        <v>549000</v>
      </c>
      <c r="K1101" s="28" t="n">
        <v>6</v>
      </c>
      <c r="L1101" s="28" t="n">
        <v>126</v>
      </c>
      <c r="M1101" s="28" t="n">
        <v>16</v>
      </c>
    </row>
    <row r="1102" customFormat="false" ht="15" hidden="false" customHeight="false" outlineLevel="0" collapsed="false">
      <c r="A1102" s="27" t="n">
        <v>44438</v>
      </c>
      <c r="B1102" s="28" t="n">
        <v>2021</v>
      </c>
      <c r="C1102" s="28" t="s">
        <v>203</v>
      </c>
      <c r="D1102" s="28" t="s">
        <v>48</v>
      </c>
      <c r="E1102" s="28" t="s">
        <v>277</v>
      </c>
      <c r="F1102" s="28" t="s">
        <v>142</v>
      </c>
      <c r="G1102" s="28" t="s">
        <v>152</v>
      </c>
      <c r="H1102" s="28" t="s">
        <v>281</v>
      </c>
      <c r="I1102" s="29" t="n">
        <v>3228000</v>
      </c>
      <c r="J1102" s="29" t="n">
        <v>2905200</v>
      </c>
      <c r="K1102" s="28" t="n">
        <v>5</v>
      </c>
      <c r="L1102" s="28" t="n">
        <v>144</v>
      </c>
      <c r="M1102" s="28" t="n">
        <v>20</v>
      </c>
    </row>
    <row r="1103" customFormat="false" ht="15" hidden="false" customHeight="false" outlineLevel="0" collapsed="false">
      <c r="A1103" s="27" t="n">
        <v>44438</v>
      </c>
      <c r="B1103" s="28" t="n">
        <v>2021</v>
      </c>
      <c r="C1103" s="28" t="s">
        <v>145</v>
      </c>
      <c r="D1103" s="28" t="s">
        <v>51</v>
      </c>
      <c r="E1103" s="28" t="s">
        <v>239</v>
      </c>
      <c r="F1103" s="28" t="s">
        <v>142</v>
      </c>
      <c r="G1103" s="28" t="s">
        <v>143</v>
      </c>
      <c r="H1103" s="28" t="s">
        <v>144</v>
      </c>
      <c r="I1103" s="29" t="n">
        <v>1550000</v>
      </c>
      <c r="J1103" s="29" t="n">
        <v>1395000</v>
      </c>
      <c r="K1103" s="28" t="n">
        <v>5.75</v>
      </c>
      <c r="L1103" s="28" t="n">
        <v>126</v>
      </c>
      <c r="M1103" s="28" t="n">
        <v>41</v>
      </c>
    </row>
    <row r="1104" customFormat="false" ht="15" hidden="false" customHeight="false" outlineLevel="0" collapsed="false">
      <c r="A1104" s="27" t="n">
        <v>44438</v>
      </c>
      <c r="B1104" s="28" t="n">
        <v>2021</v>
      </c>
      <c r="C1104" s="28" t="s">
        <v>353</v>
      </c>
      <c r="D1104" s="28" t="s">
        <v>54</v>
      </c>
      <c r="E1104" s="28" t="s">
        <v>236</v>
      </c>
      <c r="F1104" s="28" t="s">
        <v>142</v>
      </c>
      <c r="G1104" s="28" t="s">
        <v>152</v>
      </c>
      <c r="H1104" s="28" t="s">
        <v>287</v>
      </c>
      <c r="I1104" s="29" t="n">
        <v>1659000</v>
      </c>
      <c r="J1104" s="29" t="n">
        <v>1493100</v>
      </c>
      <c r="K1104" s="28" t="n">
        <v>6</v>
      </c>
      <c r="L1104" s="28" t="n">
        <v>120</v>
      </c>
      <c r="M1104" s="28" t="n">
        <v>5</v>
      </c>
    </row>
    <row r="1105" customFormat="false" ht="15" hidden="false" customHeight="false" outlineLevel="0" collapsed="false">
      <c r="A1105" s="27" t="n">
        <v>44439</v>
      </c>
      <c r="B1105" s="28" t="n">
        <v>2021</v>
      </c>
      <c r="C1105" s="28" t="s">
        <v>201</v>
      </c>
      <c r="D1105" s="28" t="s">
        <v>49</v>
      </c>
      <c r="E1105" s="28" t="s">
        <v>475</v>
      </c>
      <c r="F1105" s="28" t="s">
        <v>147</v>
      </c>
      <c r="G1105" s="28" t="s">
        <v>148</v>
      </c>
      <c r="H1105" s="28" t="s">
        <v>271</v>
      </c>
      <c r="I1105" s="29" t="n">
        <v>150000</v>
      </c>
      <c r="J1105" s="29" t="n">
        <v>75000</v>
      </c>
      <c r="K1105" s="28" t="n">
        <v>5.25</v>
      </c>
      <c r="L1105" s="28" t="n">
        <v>36</v>
      </c>
      <c r="M1105" s="28" t="n">
        <v>7</v>
      </c>
    </row>
    <row r="1106" customFormat="false" ht="15" hidden="false" customHeight="false" outlineLevel="0" collapsed="false">
      <c r="A1106" s="27" t="n">
        <v>44439</v>
      </c>
      <c r="B1106" s="28" t="n">
        <v>2021</v>
      </c>
      <c r="C1106" s="28" t="s">
        <v>172</v>
      </c>
      <c r="D1106" s="28" t="s">
        <v>44</v>
      </c>
      <c r="E1106" s="28" t="s">
        <v>355</v>
      </c>
      <c r="F1106" s="28" t="s">
        <v>142</v>
      </c>
      <c r="G1106" s="28" t="s">
        <v>148</v>
      </c>
      <c r="H1106" s="28" t="s">
        <v>208</v>
      </c>
      <c r="I1106" s="29" t="n">
        <v>315000</v>
      </c>
      <c r="J1106" s="29" t="n">
        <v>283500</v>
      </c>
      <c r="K1106" s="28" t="n">
        <v>5.75</v>
      </c>
      <c r="L1106" s="28" t="n">
        <v>120</v>
      </c>
      <c r="M1106" s="28" t="n">
        <v>9</v>
      </c>
    </row>
    <row r="1107" customFormat="false" ht="15" hidden="false" customHeight="false" outlineLevel="0" collapsed="false">
      <c r="A1107" s="27" t="n">
        <v>44439</v>
      </c>
      <c r="B1107" s="28" t="n">
        <v>2021</v>
      </c>
      <c r="C1107" s="28" t="s">
        <v>344</v>
      </c>
      <c r="D1107" s="28" t="s">
        <v>45</v>
      </c>
      <c r="E1107" s="28" t="s">
        <v>222</v>
      </c>
      <c r="F1107" s="28" t="s">
        <v>142</v>
      </c>
      <c r="G1107" s="28" t="s">
        <v>152</v>
      </c>
      <c r="H1107" s="28" t="s">
        <v>281</v>
      </c>
      <c r="I1107" s="29" t="n">
        <v>4815500</v>
      </c>
      <c r="J1107" s="29" t="n">
        <v>3749829.85</v>
      </c>
      <c r="K1107" s="28" t="n">
        <v>6</v>
      </c>
      <c r="L1107" s="28" t="n">
        <v>124</v>
      </c>
      <c r="M1107" s="28" t="n">
        <v>55</v>
      </c>
    </row>
    <row r="1108" customFormat="false" ht="15" hidden="false" customHeight="false" outlineLevel="0" collapsed="false">
      <c r="A1108" s="27" t="n">
        <v>44439</v>
      </c>
      <c r="B1108" s="28" t="n">
        <v>2021</v>
      </c>
      <c r="C1108" s="28" t="s">
        <v>188</v>
      </c>
      <c r="D1108" s="28" t="s">
        <v>42</v>
      </c>
      <c r="E1108" s="28" t="s">
        <v>247</v>
      </c>
      <c r="F1108" s="28" t="s">
        <v>142</v>
      </c>
      <c r="G1108" s="28" t="s">
        <v>148</v>
      </c>
      <c r="H1108" s="28" t="s">
        <v>669</v>
      </c>
      <c r="I1108" s="29" t="n">
        <v>532000</v>
      </c>
      <c r="J1108" s="29" t="n">
        <v>478800</v>
      </c>
      <c r="K1108" s="28" t="n">
        <v>4.75</v>
      </c>
      <c r="L1108" s="28" t="n">
        <v>300</v>
      </c>
      <c r="M1108" s="28" t="n">
        <v>2</v>
      </c>
    </row>
    <row r="1109" customFormat="false" ht="15" hidden="false" customHeight="false" outlineLevel="0" collapsed="false">
      <c r="A1109" s="27" t="n">
        <v>44440</v>
      </c>
      <c r="B1109" s="28" t="n">
        <v>2021</v>
      </c>
      <c r="C1109" s="28" t="s">
        <v>235</v>
      </c>
      <c r="D1109" s="28" t="s">
        <v>43</v>
      </c>
      <c r="E1109" s="28" t="s">
        <v>264</v>
      </c>
      <c r="F1109" s="28" t="s">
        <v>142</v>
      </c>
      <c r="G1109" s="28" t="s">
        <v>152</v>
      </c>
      <c r="H1109" s="28" t="s">
        <v>248</v>
      </c>
      <c r="I1109" s="29" t="n">
        <v>154000</v>
      </c>
      <c r="J1109" s="29" t="n">
        <v>138600</v>
      </c>
      <c r="K1109" s="28" t="n">
        <v>5</v>
      </c>
      <c r="L1109" s="28" t="n">
        <v>120</v>
      </c>
      <c r="M1109" s="28" t="n">
        <v>3</v>
      </c>
    </row>
    <row r="1110" customFormat="false" ht="15" hidden="false" customHeight="false" outlineLevel="0" collapsed="false">
      <c r="A1110" s="27" t="n">
        <v>44440</v>
      </c>
      <c r="B1110" s="28" t="n">
        <v>2021</v>
      </c>
      <c r="C1110" s="28" t="s">
        <v>169</v>
      </c>
      <c r="D1110" s="28" t="s">
        <v>54</v>
      </c>
      <c r="E1110" s="28" t="s">
        <v>236</v>
      </c>
      <c r="F1110" s="28" t="s">
        <v>142</v>
      </c>
      <c r="G1110" s="28" t="s">
        <v>148</v>
      </c>
      <c r="H1110" s="28" t="s">
        <v>211</v>
      </c>
      <c r="I1110" s="29" t="n">
        <v>150000</v>
      </c>
      <c r="J1110" s="29" t="n">
        <v>135000</v>
      </c>
      <c r="K1110" s="28" t="n">
        <v>6</v>
      </c>
      <c r="L1110" s="28" t="n">
        <v>120</v>
      </c>
      <c r="M1110" s="28" t="n">
        <v>1</v>
      </c>
    </row>
    <row r="1111" customFormat="false" ht="15" hidden="false" customHeight="false" outlineLevel="0" collapsed="false">
      <c r="A1111" s="27" t="n">
        <v>44440</v>
      </c>
      <c r="B1111" s="28" t="n">
        <v>2021</v>
      </c>
      <c r="C1111" s="28" t="s">
        <v>450</v>
      </c>
      <c r="D1111" s="28" t="s">
        <v>55</v>
      </c>
      <c r="E1111" s="28" t="s">
        <v>670</v>
      </c>
      <c r="F1111" s="28" t="s">
        <v>142</v>
      </c>
      <c r="G1111" s="28" t="s">
        <v>152</v>
      </c>
      <c r="H1111" s="28" t="s">
        <v>486</v>
      </c>
      <c r="I1111" s="29" t="n">
        <v>3000000</v>
      </c>
      <c r="J1111" s="29" t="n">
        <v>2700000</v>
      </c>
      <c r="K1111" s="28" t="n">
        <v>4.4</v>
      </c>
      <c r="L1111" s="28" t="n">
        <v>120</v>
      </c>
      <c r="M1111" s="28" t="n">
        <v>2</v>
      </c>
    </row>
    <row r="1112" customFormat="false" ht="15" hidden="false" customHeight="false" outlineLevel="0" collapsed="false">
      <c r="A1112" s="27" t="n">
        <v>44440</v>
      </c>
      <c r="B1112" s="28" t="n">
        <v>2021</v>
      </c>
      <c r="C1112" s="28" t="s">
        <v>527</v>
      </c>
      <c r="D1112" s="28" t="s">
        <v>42</v>
      </c>
      <c r="E1112" s="28" t="s">
        <v>247</v>
      </c>
      <c r="F1112" s="28" t="s">
        <v>142</v>
      </c>
      <c r="G1112" s="28" t="s">
        <v>152</v>
      </c>
      <c r="H1112" s="28" t="s">
        <v>326</v>
      </c>
      <c r="I1112" s="29" t="n">
        <v>2255000</v>
      </c>
      <c r="J1112" s="29" t="n">
        <v>2029500</v>
      </c>
      <c r="K1112" s="28" t="n">
        <v>5.25</v>
      </c>
      <c r="L1112" s="28" t="n">
        <v>300</v>
      </c>
      <c r="M1112" s="28" t="n">
        <v>12</v>
      </c>
    </row>
    <row r="1113" customFormat="false" ht="15" hidden="false" customHeight="false" outlineLevel="0" collapsed="false">
      <c r="A1113" s="27" t="n">
        <v>44440</v>
      </c>
      <c r="B1113" s="28" t="n">
        <v>2021</v>
      </c>
      <c r="C1113" s="28" t="s">
        <v>379</v>
      </c>
      <c r="D1113" s="28" t="s">
        <v>51</v>
      </c>
      <c r="E1113" s="28" t="s">
        <v>547</v>
      </c>
      <c r="F1113" s="28" t="s">
        <v>142</v>
      </c>
      <c r="G1113" s="28" t="s">
        <v>152</v>
      </c>
      <c r="H1113" s="28" t="s">
        <v>165</v>
      </c>
      <c r="I1113" s="29" t="n">
        <v>2575000</v>
      </c>
      <c r="J1113" s="29" t="n">
        <v>2317500</v>
      </c>
      <c r="K1113" s="28" t="n">
        <v>4.79</v>
      </c>
      <c r="L1113" s="28" t="n">
        <v>225</v>
      </c>
      <c r="M1113" s="28" t="n">
        <v>20</v>
      </c>
    </row>
    <row r="1114" customFormat="false" ht="15" hidden="false" customHeight="false" outlineLevel="0" collapsed="false">
      <c r="A1114" s="27" t="n">
        <v>44441</v>
      </c>
      <c r="B1114" s="28" t="n">
        <v>2021</v>
      </c>
      <c r="C1114" s="28" t="s">
        <v>203</v>
      </c>
      <c r="D1114" s="28" t="s">
        <v>47</v>
      </c>
      <c r="E1114" s="28" t="s">
        <v>671</v>
      </c>
      <c r="F1114" s="28" t="s">
        <v>142</v>
      </c>
      <c r="G1114" s="28" t="s">
        <v>148</v>
      </c>
      <c r="H1114" s="28" t="s">
        <v>281</v>
      </c>
      <c r="I1114" s="29" t="n">
        <v>3000000</v>
      </c>
      <c r="J1114" s="29" t="n">
        <v>2700000</v>
      </c>
      <c r="K1114" s="28" t="n">
        <v>5</v>
      </c>
      <c r="L1114" s="28" t="n">
        <v>120</v>
      </c>
      <c r="M1114" s="28" t="n">
        <v>20</v>
      </c>
    </row>
    <row r="1115" customFormat="false" ht="15" hidden="false" customHeight="false" outlineLevel="0" collapsed="false">
      <c r="A1115" s="27" t="n">
        <v>44441</v>
      </c>
      <c r="B1115" s="28" t="n">
        <v>2021</v>
      </c>
      <c r="C1115" s="28" t="s">
        <v>515</v>
      </c>
      <c r="D1115" s="28" t="s">
        <v>50</v>
      </c>
      <c r="E1115" s="28" t="s">
        <v>389</v>
      </c>
      <c r="F1115" s="28" t="s">
        <v>142</v>
      </c>
      <c r="G1115" s="28" t="s">
        <v>441</v>
      </c>
      <c r="H1115" s="28" t="s">
        <v>165</v>
      </c>
      <c r="I1115" s="29" t="n">
        <v>424000</v>
      </c>
      <c r="J1115" s="29" t="n">
        <v>381600</v>
      </c>
      <c r="K1115" s="28" t="n">
        <v>4.5</v>
      </c>
      <c r="L1115" s="28" t="n">
        <v>300</v>
      </c>
      <c r="M1115" s="28" t="n">
        <v>2</v>
      </c>
    </row>
    <row r="1116" customFormat="false" ht="15" hidden="false" customHeight="false" outlineLevel="0" collapsed="false">
      <c r="A1116" s="27" t="n">
        <v>44442</v>
      </c>
      <c r="B1116" s="28" t="n">
        <v>2021</v>
      </c>
      <c r="C1116" s="28" t="s">
        <v>166</v>
      </c>
      <c r="D1116" s="28" t="s">
        <v>42</v>
      </c>
      <c r="E1116" s="28" t="s">
        <v>247</v>
      </c>
      <c r="F1116" s="28" t="s">
        <v>142</v>
      </c>
      <c r="G1116" s="28" t="s">
        <v>441</v>
      </c>
      <c r="H1116" s="28" t="s">
        <v>211</v>
      </c>
      <c r="I1116" s="29" t="n">
        <v>3950000</v>
      </c>
      <c r="J1116" s="29" t="n">
        <v>3555000</v>
      </c>
      <c r="K1116" s="28" t="n">
        <v>5.5</v>
      </c>
      <c r="L1116" s="28" t="n">
        <v>300</v>
      </c>
      <c r="M1116" s="28" t="n">
        <v>7</v>
      </c>
    </row>
    <row r="1117" customFormat="false" ht="15" hidden="false" customHeight="false" outlineLevel="0" collapsed="false">
      <c r="A1117" s="27" t="n">
        <v>44442</v>
      </c>
      <c r="B1117" s="28" t="n">
        <v>2021</v>
      </c>
      <c r="C1117" s="28" t="s">
        <v>172</v>
      </c>
      <c r="D1117" s="28" t="s">
        <v>45</v>
      </c>
      <c r="E1117" s="28" t="s">
        <v>253</v>
      </c>
      <c r="F1117" s="28" t="s">
        <v>142</v>
      </c>
      <c r="G1117" s="28" t="s">
        <v>148</v>
      </c>
      <c r="H1117" s="28" t="s">
        <v>275</v>
      </c>
      <c r="I1117" s="29" t="n">
        <v>350000</v>
      </c>
      <c r="J1117" s="29" t="n">
        <v>315000</v>
      </c>
      <c r="K1117" s="28" t="n">
        <v>5.5</v>
      </c>
      <c r="L1117" s="28" t="n">
        <v>120</v>
      </c>
      <c r="M1117" s="28" t="n">
        <v>5</v>
      </c>
    </row>
    <row r="1118" customFormat="false" ht="15" hidden="false" customHeight="false" outlineLevel="0" collapsed="false">
      <c r="A1118" s="27" t="n">
        <v>44442</v>
      </c>
      <c r="B1118" s="28" t="n">
        <v>2021</v>
      </c>
      <c r="C1118" s="28" t="s">
        <v>235</v>
      </c>
      <c r="D1118" s="28" t="s">
        <v>46</v>
      </c>
      <c r="E1118" s="28" t="s">
        <v>406</v>
      </c>
      <c r="F1118" s="28" t="s">
        <v>142</v>
      </c>
      <c r="G1118" s="28" t="s">
        <v>148</v>
      </c>
      <c r="H1118" s="28" t="s">
        <v>159</v>
      </c>
      <c r="I1118" s="29" t="n">
        <v>1938600</v>
      </c>
      <c r="J1118" s="29" t="n">
        <v>1744740</v>
      </c>
      <c r="K1118" s="28" t="n">
        <v>5.25</v>
      </c>
      <c r="L1118" s="28" t="n">
        <v>254</v>
      </c>
      <c r="M1118" s="28" t="n">
        <v>7</v>
      </c>
    </row>
    <row r="1119" customFormat="false" ht="15" hidden="false" customHeight="false" outlineLevel="0" collapsed="false">
      <c r="A1119" s="27" t="n">
        <v>44442</v>
      </c>
      <c r="B1119" s="28" t="n">
        <v>2021</v>
      </c>
      <c r="C1119" s="28" t="s">
        <v>209</v>
      </c>
      <c r="D1119" s="28" t="s">
        <v>42</v>
      </c>
      <c r="E1119" s="28" t="s">
        <v>164</v>
      </c>
      <c r="F1119" s="28" t="s">
        <v>147</v>
      </c>
      <c r="G1119" s="28" t="s">
        <v>441</v>
      </c>
      <c r="H1119" s="28" t="s">
        <v>168</v>
      </c>
      <c r="I1119" s="29" t="n">
        <v>10000</v>
      </c>
      <c r="J1119" s="29" t="n">
        <v>7500</v>
      </c>
      <c r="K1119" s="28" t="n">
        <v>9.75</v>
      </c>
      <c r="L1119" s="28" t="n">
        <v>120</v>
      </c>
      <c r="M1119" s="28" t="n">
        <v>4</v>
      </c>
    </row>
    <row r="1120" customFormat="false" ht="15" hidden="false" customHeight="false" outlineLevel="0" collapsed="false">
      <c r="A1120" s="27" t="n">
        <v>44447</v>
      </c>
      <c r="B1120" s="28" t="n">
        <v>2021</v>
      </c>
      <c r="C1120" s="28" t="s">
        <v>166</v>
      </c>
      <c r="D1120" s="28" t="s">
        <v>48</v>
      </c>
      <c r="E1120" s="28" t="s">
        <v>403</v>
      </c>
      <c r="F1120" s="28" t="s">
        <v>142</v>
      </c>
      <c r="G1120" s="28" t="s">
        <v>152</v>
      </c>
      <c r="H1120" s="28" t="s">
        <v>144</v>
      </c>
      <c r="I1120" s="29" t="n">
        <v>580000</v>
      </c>
      <c r="J1120" s="29" t="n">
        <v>522000</v>
      </c>
      <c r="K1120" s="28" t="n">
        <v>5.25</v>
      </c>
      <c r="L1120" s="28" t="n">
        <v>120</v>
      </c>
      <c r="M1120" s="28" t="n">
        <v>9</v>
      </c>
    </row>
    <row r="1121" customFormat="false" ht="15" hidden="false" customHeight="false" outlineLevel="0" collapsed="false">
      <c r="A1121" s="27" t="n">
        <v>44447</v>
      </c>
      <c r="B1121" s="28" t="n">
        <v>2021</v>
      </c>
      <c r="C1121" s="28" t="s">
        <v>344</v>
      </c>
      <c r="D1121" s="28" t="s">
        <v>44</v>
      </c>
      <c r="E1121" s="28" t="s">
        <v>167</v>
      </c>
      <c r="F1121" s="28" t="s">
        <v>147</v>
      </c>
      <c r="G1121" s="28" t="s">
        <v>152</v>
      </c>
      <c r="H1121" s="28" t="s">
        <v>144</v>
      </c>
      <c r="I1121" s="29" t="n">
        <v>50000</v>
      </c>
      <c r="J1121" s="29" t="n">
        <v>37500</v>
      </c>
      <c r="K1121" s="28" t="n">
        <v>6</v>
      </c>
      <c r="L1121" s="28" t="n">
        <v>120</v>
      </c>
      <c r="M1121" s="28" t="n">
        <v>26</v>
      </c>
    </row>
    <row r="1122" customFormat="false" ht="15" hidden="false" customHeight="false" outlineLevel="0" collapsed="false">
      <c r="A1122" s="27" t="n">
        <v>44447</v>
      </c>
      <c r="B1122" s="28" t="n">
        <v>2021</v>
      </c>
      <c r="C1122" s="28" t="s">
        <v>344</v>
      </c>
      <c r="D1122" s="28" t="s">
        <v>44</v>
      </c>
      <c r="E1122" s="28" t="s">
        <v>167</v>
      </c>
      <c r="F1122" s="28" t="s">
        <v>142</v>
      </c>
      <c r="G1122" s="28" t="s">
        <v>152</v>
      </c>
      <c r="H1122" s="28" t="s">
        <v>144</v>
      </c>
      <c r="I1122" s="29" t="n">
        <v>530000</v>
      </c>
      <c r="J1122" s="29" t="n">
        <v>477000</v>
      </c>
      <c r="K1122" s="28" t="n">
        <v>5</v>
      </c>
      <c r="L1122" s="28" t="n">
        <v>120</v>
      </c>
      <c r="M1122" s="28" t="n">
        <v>26</v>
      </c>
    </row>
    <row r="1123" customFormat="false" ht="15" hidden="false" customHeight="false" outlineLevel="0" collapsed="false">
      <c r="A1123" s="27" t="n">
        <v>44447</v>
      </c>
      <c r="B1123" s="28" t="n">
        <v>2021</v>
      </c>
      <c r="C1123" s="28" t="s">
        <v>213</v>
      </c>
      <c r="D1123" s="28" t="s">
        <v>43</v>
      </c>
      <c r="E1123" s="28" t="s">
        <v>665</v>
      </c>
      <c r="F1123" s="28" t="s">
        <v>142</v>
      </c>
      <c r="G1123" s="28" t="s">
        <v>441</v>
      </c>
      <c r="H1123" s="28" t="s">
        <v>561</v>
      </c>
      <c r="I1123" s="29" t="n">
        <v>350000</v>
      </c>
      <c r="J1123" s="29" t="n">
        <v>315000</v>
      </c>
      <c r="K1123" s="28" t="n">
        <v>5.5</v>
      </c>
      <c r="L1123" s="28" t="n">
        <v>126</v>
      </c>
      <c r="M1123" s="28" t="n">
        <v>17</v>
      </c>
    </row>
    <row r="1124" customFormat="false" ht="15" hidden="false" customHeight="false" outlineLevel="0" collapsed="false">
      <c r="A1124" s="27" t="n">
        <v>44447</v>
      </c>
      <c r="B1124" s="28" t="n">
        <v>2021</v>
      </c>
      <c r="C1124" s="28" t="s">
        <v>172</v>
      </c>
      <c r="D1124" s="28" t="s">
        <v>45</v>
      </c>
      <c r="E1124" s="28" t="s">
        <v>336</v>
      </c>
      <c r="F1124" s="28" t="s">
        <v>142</v>
      </c>
      <c r="G1124" s="28" t="s">
        <v>148</v>
      </c>
      <c r="H1124" s="28" t="s">
        <v>211</v>
      </c>
      <c r="I1124" s="29" t="n">
        <v>170000</v>
      </c>
      <c r="J1124" s="29" t="n">
        <v>153000</v>
      </c>
      <c r="K1124" s="28" t="n">
        <v>6</v>
      </c>
      <c r="L1124" s="28" t="n">
        <v>120</v>
      </c>
      <c r="M1124" s="28" t="n">
        <v>11</v>
      </c>
    </row>
    <row r="1125" customFormat="false" ht="15" hidden="false" customHeight="false" outlineLevel="0" collapsed="false">
      <c r="A1125" s="27" t="n">
        <v>44447</v>
      </c>
      <c r="B1125" s="28" t="n">
        <v>2021</v>
      </c>
      <c r="C1125" s="28" t="s">
        <v>172</v>
      </c>
      <c r="D1125" s="28" t="s">
        <v>52</v>
      </c>
      <c r="E1125" s="28" t="s">
        <v>672</v>
      </c>
      <c r="F1125" s="28" t="s">
        <v>147</v>
      </c>
      <c r="G1125" s="28" t="s">
        <v>441</v>
      </c>
      <c r="H1125" s="28" t="s">
        <v>168</v>
      </c>
      <c r="I1125" s="29" t="n">
        <v>5000</v>
      </c>
      <c r="J1125" s="29" t="n">
        <v>3750</v>
      </c>
      <c r="K1125" s="28" t="n">
        <v>8.75</v>
      </c>
      <c r="L1125" s="28" t="n">
        <v>120</v>
      </c>
      <c r="M1125" s="28" t="n">
        <v>0</v>
      </c>
    </row>
    <row r="1126" customFormat="false" ht="15" hidden="false" customHeight="false" outlineLevel="0" collapsed="false">
      <c r="A1126" s="27" t="n">
        <v>44448</v>
      </c>
      <c r="B1126" s="28" t="n">
        <v>2021</v>
      </c>
      <c r="C1126" s="28" t="s">
        <v>145</v>
      </c>
      <c r="D1126" s="28" t="s">
        <v>52</v>
      </c>
      <c r="E1126" s="28" t="s">
        <v>673</v>
      </c>
      <c r="F1126" s="28" t="s">
        <v>142</v>
      </c>
      <c r="G1126" s="28" t="s">
        <v>152</v>
      </c>
      <c r="H1126" s="28" t="s">
        <v>165</v>
      </c>
      <c r="I1126" s="29" t="n">
        <v>738000</v>
      </c>
      <c r="J1126" s="29" t="n">
        <v>664200</v>
      </c>
      <c r="K1126" s="28" t="n">
        <v>4.5</v>
      </c>
      <c r="L1126" s="28" t="n">
        <v>120</v>
      </c>
      <c r="M1126" s="28" t="n">
        <v>10</v>
      </c>
    </row>
    <row r="1127" customFormat="false" ht="15" hidden="false" customHeight="false" outlineLevel="0" collapsed="false">
      <c r="A1127" s="27" t="n">
        <v>44448</v>
      </c>
      <c r="B1127" s="28" t="n">
        <v>2021</v>
      </c>
      <c r="C1127" s="28" t="s">
        <v>540</v>
      </c>
      <c r="D1127" s="28" t="s">
        <v>57</v>
      </c>
      <c r="E1127" s="28" t="s">
        <v>553</v>
      </c>
      <c r="F1127" s="28" t="s">
        <v>142</v>
      </c>
      <c r="G1127" s="28" t="s">
        <v>148</v>
      </c>
      <c r="H1127" s="28" t="s">
        <v>171</v>
      </c>
      <c r="I1127" s="29" t="n">
        <v>85000</v>
      </c>
      <c r="J1127" s="29" t="n">
        <v>76500</v>
      </c>
      <c r="K1127" s="28" t="n">
        <v>6</v>
      </c>
      <c r="L1127" s="28" t="n">
        <v>120</v>
      </c>
      <c r="M1127" s="28" t="n">
        <v>2</v>
      </c>
    </row>
    <row r="1128" customFormat="false" ht="15" hidden="false" customHeight="false" outlineLevel="0" collapsed="false">
      <c r="A1128" s="27" t="n">
        <v>44448</v>
      </c>
      <c r="B1128" s="28" t="n">
        <v>2021</v>
      </c>
      <c r="C1128" s="28" t="s">
        <v>203</v>
      </c>
      <c r="D1128" s="28" t="s">
        <v>52</v>
      </c>
      <c r="E1128" s="28" t="s">
        <v>599</v>
      </c>
      <c r="F1128" s="28" t="s">
        <v>142</v>
      </c>
      <c r="G1128" s="28" t="s">
        <v>441</v>
      </c>
      <c r="H1128" s="28" t="s">
        <v>200</v>
      </c>
      <c r="I1128" s="29" t="n">
        <v>1733000</v>
      </c>
      <c r="J1128" s="29" t="n">
        <v>1559700</v>
      </c>
      <c r="K1128" s="28" t="n">
        <v>6</v>
      </c>
      <c r="L1128" s="28" t="n">
        <v>120</v>
      </c>
      <c r="M1128" s="28" t="n">
        <v>47</v>
      </c>
    </row>
    <row r="1129" customFormat="false" ht="15" hidden="false" customHeight="false" outlineLevel="0" collapsed="false">
      <c r="A1129" s="27" t="n">
        <v>44448</v>
      </c>
      <c r="B1129" s="28" t="n">
        <v>2021</v>
      </c>
      <c r="C1129" s="28" t="s">
        <v>172</v>
      </c>
      <c r="D1129" s="28" t="s">
        <v>54</v>
      </c>
      <c r="E1129" s="28" t="s">
        <v>674</v>
      </c>
      <c r="F1129" s="28" t="s">
        <v>142</v>
      </c>
      <c r="G1129" s="28" t="s">
        <v>148</v>
      </c>
      <c r="H1129" s="28" t="s">
        <v>200</v>
      </c>
      <c r="I1129" s="29" t="n">
        <v>1050000</v>
      </c>
      <c r="J1129" s="29" t="n">
        <v>945000</v>
      </c>
      <c r="K1129" s="28" t="n">
        <v>6</v>
      </c>
      <c r="L1129" s="28" t="n">
        <v>120</v>
      </c>
      <c r="M1129" s="28" t="n">
        <v>15</v>
      </c>
    </row>
    <row r="1130" customFormat="false" ht="15" hidden="false" customHeight="false" outlineLevel="0" collapsed="false">
      <c r="A1130" s="27" t="n">
        <v>44448</v>
      </c>
      <c r="B1130" s="28" t="n">
        <v>2021</v>
      </c>
      <c r="C1130" s="28" t="s">
        <v>344</v>
      </c>
      <c r="D1130" s="28" t="s">
        <v>49</v>
      </c>
      <c r="E1130" s="28" t="s">
        <v>635</v>
      </c>
      <c r="F1130" s="28" t="s">
        <v>142</v>
      </c>
      <c r="G1130" s="28" t="s">
        <v>148</v>
      </c>
      <c r="H1130" s="28" t="s">
        <v>165</v>
      </c>
      <c r="I1130" s="29" t="n">
        <v>2904100</v>
      </c>
      <c r="J1130" s="29" t="n">
        <v>2613690</v>
      </c>
      <c r="K1130" s="28" t="n">
        <v>4.25</v>
      </c>
      <c r="L1130" s="28" t="n">
        <v>120</v>
      </c>
      <c r="M1130" s="28" t="n">
        <v>77</v>
      </c>
    </row>
    <row r="1131" customFormat="false" ht="15" hidden="false" customHeight="false" outlineLevel="0" collapsed="false">
      <c r="A1131" s="27" t="n">
        <v>44448</v>
      </c>
      <c r="B1131" s="28" t="n">
        <v>2021</v>
      </c>
      <c r="C1131" s="28" t="s">
        <v>160</v>
      </c>
      <c r="D1131" s="28" t="s">
        <v>42</v>
      </c>
      <c r="E1131" s="28" t="s">
        <v>247</v>
      </c>
      <c r="F1131" s="28" t="s">
        <v>142</v>
      </c>
      <c r="G1131" s="28" t="s">
        <v>152</v>
      </c>
      <c r="H1131" s="28" t="s">
        <v>512</v>
      </c>
      <c r="I1131" s="29" t="n">
        <v>5000000</v>
      </c>
      <c r="J1131" s="29" t="n">
        <v>3750000</v>
      </c>
      <c r="K1131" s="28" t="n">
        <v>5.5</v>
      </c>
      <c r="L1131" s="28" t="n">
        <v>300</v>
      </c>
      <c r="M1131" s="28" t="n">
        <v>20</v>
      </c>
    </row>
    <row r="1132" customFormat="false" ht="15" hidden="false" customHeight="false" outlineLevel="0" collapsed="false">
      <c r="A1132" s="27" t="n">
        <v>44448</v>
      </c>
      <c r="B1132" s="28" t="n">
        <v>2021</v>
      </c>
      <c r="C1132" s="28" t="s">
        <v>421</v>
      </c>
      <c r="D1132" s="28" t="s">
        <v>44</v>
      </c>
      <c r="E1132" s="28" t="s">
        <v>161</v>
      </c>
      <c r="F1132" s="28" t="s">
        <v>142</v>
      </c>
      <c r="G1132" s="28" t="s">
        <v>148</v>
      </c>
      <c r="H1132" s="28" t="s">
        <v>144</v>
      </c>
      <c r="I1132" s="29" t="n">
        <v>615000</v>
      </c>
      <c r="J1132" s="29" t="n">
        <v>553500</v>
      </c>
      <c r="K1132" s="28" t="n">
        <v>4.5</v>
      </c>
      <c r="L1132" s="28" t="n">
        <v>300</v>
      </c>
      <c r="M1132" s="28" t="n">
        <v>9</v>
      </c>
    </row>
    <row r="1133" customFormat="false" ht="15" hidden="false" customHeight="false" outlineLevel="0" collapsed="false">
      <c r="A1133" s="27" t="n">
        <v>44449</v>
      </c>
      <c r="B1133" s="28" t="n">
        <v>2021</v>
      </c>
      <c r="C1133" s="28" t="s">
        <v>169</v>
      </c>
      <c r="D1133" s="28" t="s">
        <v>46</v>
      </c>
      <c r="E1133" s="28" t="s">
        <v>406</v>
      </c>
      <c r="F1133" s="28" t="s">
        <v>142</v>
      </c>
      <c r="G1133" s="28" t="s">
        <v>441</v>
      </c>
      <c r="H1133" s="28" t="s">
        <v>579</v>
      </c>
      <c r="I1133" s="29" t="n">
        <v>2997400</v>
      </c>
      <c r="J1133" s="29" t="n">
        <v>2697660</v>
      </c>
      <c r="K1133" s="28" t="n">
        <v>5.25</v>
      </c>
      <c r="L1133" s="28" t="n">
        <v>240</v>
      </c>
      <c r="M1133" s="28" t="n">
        <v>4</v>
      </c>
    </row>
    <row r="1134" customFormat="false" ht="15" hidden="false" customHeight="false" outlineLevel="0" collapsed="false">
      <c r="A1134" s="27" t="n">
        <v>44449</v>
      </c>
      <c r="B1134" s="28" t="n">
        <v>2021</v>
      </c>
      <c r="C1134" s="28" t="s">
        <v>157</v>
      </c>
      <c r="D1134" s="28" t="s">
        <v>49</v>
      </c>
      <c r="E1134" s="28" t="s">
        <v>524</v>
      </c>
      <c r="F1134" s="28" t="s">
        <v>283</v>
      </c>
      <c r="G1134" s="28" t="s">
        <v>148</v>
      </c>
      <c r="H1134" s="28" t="s">
        <v>306</v>
      </c>
      <c r="I1134" s="29" t="n">
        <v>5000000</v>
      </c>
      <c r="J1134" s="29" t="n">
        <v>3750000</v>
      </c>
      <c r="K1134" s="28" t="n">
        <v>4.75</v>
      </c>
      <c r="L1134" s="28" t="n">
        <v>120</v>
      </c>
      <c r="M1134" s="28" t="n">
        <v>17</v>
      </c>
    </row>
    <row r="1135" customFormat="false" ht="15" hidden="false" customHeight="false" outlineLevel="0" collapsed="false">
      <c r="A1135" s="27" t="n">
        <v>44449</v>
      </c>
      <c r="B1135" s="28" t="n">
        <v>2021</v>
      </c>
      <c r="C1135" s="28" t="s">
        <v>145</v>
      </c>
      <c r="D1135" s="28" t="s">
        <v>48</v>
      </c>
      <c r="E1135" s="28" t="s">
        <v>277</v>
      </c>
      <c r="F1135" s="28" t="s">
        <v>142</v>
      </c>
      <c r="G1135" s="28" t="s">
        <v>152</v>
      </c>
      <c r="H1135" s="28" t="s">
        <v>144</v>
      </c>
      <c r="I1135" s="29" t="n">
        <v>3500000</v>
      </c>
      <c r="J1135" s="29" t="n">
        <v>3150000</v>
      </c>
      <c r="K1135" s="28" t="n">
        <v>6</v>
      </c>
      <c r="L1135" s="28" t="n">
        <v>84</v>
      </c>
      <c r="M1135" s="28" t="n">
        <v>90</v>
      </c>
    </row>
    <row r="1136" customFormat="false" ht="15" hidden="false" customHeight="false" outlineLevel="0" collapsed="false">
      <c r="A1136" s="27" t="n">
        <v>44449</v>
      </c>
      <c r="B1136" s="28" t="n">
        <v>2021</v>
      </c>
      <c r="C1136" s="28" t="s">
        <v>172</v>
      </c>
      <c r="D1136" s="28" t="s">
        <v>44</v>
      </c>
      <c r="E1136" s="28" t="s">
        <v>256</v>
      </c>
      <c r="F1136" s="28" t="s">
        <v>147</v>
      </c>
      <c r="G1136" s="28" t="s">
        <v>148</v>
      </c>
      <c r="H1136" s="28" t="s">
        <v>159</v>
      </c>
      <c r="I1136" s="29" t="n">
        <v>250000</v>
      </c>
      <c r="J1136" s="29" t="n">
        <v>187500</v>
      </c>
      <c r="K1136" s="28" t="n">
        <v>5.5</v>
      </c>
      <c r="L1136" s="28" t="n">
        <v>119</v>
      </c>
      <c r="M1136" s="28" t="n">
        <v>22</v>
      </c>
    </row>
    <row r="1137" customFormat="false" ht="15" hidden="false" customHeight="false" outlineLevel="0" collapsed="false">
      <c r="A1137" s="27" t="n">
        <v>44449</v>
      </c>
      <c r="B1137" s="28" t="n">
        <v>2021</v>
      </c>
      <c r="C1137" s="28" t="s">
        <v>522</v>
      </c>
      <c r="D1137" s="28" t="s">
        <v>48</v>
      </c>
      <c r="E1137" s="28" t="s">
        <v>170</v>
      </c>
      <c r="F1137" s="28" t="s">
        <v>147</v>
      </c>
      <c r="G1137" s="28" t="s">
        <v>441</v>
      </c>
      <c r="H1137" s="28" t="s">
        <v>320</v>
      </c>
      <c r="I1137" s="29" t="n">
        <v>206000</v>
      </c>
      <c r="J1137" s="29" t="n">
        <v>154500</v>
      </c>
      <c r="K1137" s="28" t="n">
        <v>5.5</v>
      </c>
      <c r="L1137" s="28" t="n">
        <v>120</v>
      </c>
      <c r="M1137" s="28" t="n">
        <v>4</v>
      </c>
    </row>
    <row r="1138" customFormat="false" ht="15" hidden="false" customHeight="false" outlineLevel="0" collapsed="false">
      <c r="A1138" s="27" t="n">
        <v>44449</v>
      </c>
      <c r="B1138" s="28" t="n">
        <v>2021</v>
      </c>
      <c r="C1138" s="28" t="s">
        <v>209</v>
      </c>
      <c r="D1138" s="28" t="s">
        <v>43</v>
      </c>
      <c r="E1138" s="28" t="s">
        <v>264</v>
      </c>
      <c r="F1138" s="28" t="s">
        <v>142</v>
      </c>
      <c r="G1138" s="28" t="s">
        <v>148</v>
      </c>
      <c r="H1138" s="28" t="s">
        <v>200</v>
      </c>
      <c r="I1138" s="29" t="n">
        <v>700000</v>
      </c>
      <c r="J1138" s="29" t="n">
        <v>630000</v>
      </c>
      <c r="K1138" s="28" t="n">
        <v>6</v>
      </c>
      <c r="L1138" s="28" t="n">
        <v>120</v>
      </c>
      <c r="M1138" s="28" t="n">
        <v>26</v>
      </c>
    </row>
    <row r="1139" customFormat="false" ht="15" hidden="false" customHeight="false" outlineLevel="0" collapsed="false">
      <c r="A1139" s="27" t="n">
        <v>44449</v>
      </c>
      <c r="B1139" s="28" t="n">
        <v>2021</v>
      </c>
      <c r="C1139" s="28" t="s">
        <v>160</v>
      </c>
      <c r="D1139" s="28" t="s">
        <v>42</v>
      </c>
      <c r="E1139" s="28" t="s">
        <v>247</v>
      </c>
      <c r="F1139" s="28" t="s">
        <v>142</v>
      </c>
      <c r="G1139" s="28" t="s">
        <v>152</v>
      </c>
      <c r="H1139" s="28" t="s">
        <v>326</v>
      </c>
      <c r="I1139" s="29" t="n">
        <v>5000000</v>
      </c>
      <c r="J1139" s="29" t="n">
        <v>3750000</v>
      </c>
      <c r="K1139" s="28" t="n">
        <v>5</v>
      </c>
      <c r="L1139" s="28" t="n">
        <v>300</v>
      </c>
      <c r="M1139" s="28" t="n">
        <v>20</v>
      </c>
    </row>
    <row r="1140" customFormat="false" ht="15" hidden="false" customHeight="false" outlineLevel="0" collapsed="false">
      <c r="A1140" s="27" t="n">
        <v>44452</v>
      </c>
      <c r="B1140" s="28" t="n">
        <v>2021</v>
      </c>
      <c r="C1140" s="28" t="s">
        <v>145</v>
      </c>
      <c r="D1140" s="28" t="s">
        <v>52</v>
      </c>
      <c r="E1140" s="28" t="s">
        <v>258</v>
      </c>
      <c r="F1140" s="28" t="s">
        <v>147</v>
      </c>
      <c r="G1140" s="28" t="s">
        <v>148</v>
      </c>
      <c r="H1140" s="28" t="s">
        <v>205</v>
      </c>
      <c r="I1140" s="29" t="n">
        <v>20000</v>
      </c>
      <c r="J1140" s="29" t="n">
        <v>15000</v>
      </c>
      <c r="K1140" s="28" t="n">
        <v>9.05</v>
      </c>
      <c r="L1140" s="28" t="n">
        <v>120</v>
      </c>
      <c r="M1140" s="28" t="n">
        <v>2</v>
      </c>
    </row>
    <row r="1141" customFormat="false" ht="15" hidden="false" customHeight="false" outlineLevel="0" collapsed="false">
      <c r="A1141" s="27" t="n">
        <v>44452</v>
      </c>
      <c r="B1141" s="28" t="n">
        <v>2021</v>
      </c>
      <c r="C1141" s="28" t="s">
        <v>203</v>
      </c>
      <c r="D1141" s="28" t="s">
        <v>42</v>
      </c>
      <c r="E1141" s="28" t="s">
        <v>180</v>
      </c>
      <c r="F1141" s="28" t="s">
        <v>142</v>
      </c>
      <c r="G1141" s="28" t="s">
        <v>152</v>
      </c>
      <c r="H1141" s="28" t="s">
        <v>144</v>
      </c>
      <c r="I1141" s="29" t="n">
        <v>862000</v>
      </c>
      <c r="J1141" s="29" t="n">
        <v>775800</v>
      </c>
      <c r="K1141" s="28" t="n">
        <v>5.6</v>
      </c>
      <c r="L1141" s="28" t="n">
        <v>120</v>
      </c>
      <c r="M1141" s="28" t="n">
        <v>21</v>
      </c>
    </row>
    <row r="1142" customFormat="false" ht="15" hidden="false" customHeight="false" outlineLevel="0" collapsed="false">
      <c r="A1142" s="27" t="n">
        <v>44452</v>
      </c>
      <c r="B1142" s="28" t="n">
        <v>2021</v>
      </c>
      <c r="C1142" s="28" t="s">
        <v>166</v>
      </c>
      <c r="D1142" s="28" t="s">
        <v>42</v>
      </c>
      <c r="E1142" s="28" t="s">
        <v>247</v>
      </c>
      <c r="F1142" s="28" t="s">
        <v>142</v>
      </c>
      <c r="G1142" s="28" t="s">
        <v>152</v>
      </c>
      <c r="H1142" s="28" t="s">
        <v>661</v>
      </c>
      <c r="I1142" s="29" t="n">
        <v>4300000</v>
      </c>
      <c r="J1142" s="29" t="n">
        <v>3749600</v>
      </c>
      <c r="K1142" s="28" t="n">
        <v>5.25</v>
      </c>
      <c r="L1142" s="28" t="n">
        <v>300</v>
      </c>
      <c r="M1142" s="28" t="n">
        <v>10</v>
      </c>
    </row>
    <row r="1143" customFormat="false" ht="15" hidden="false" customHeight="false" outlineLevel="0" collapsed="false">
      <c r="A1143" s="27" t="n">
        <v>44452</v>
      </c>
      <c r="B1143" s="28" t="n">
        <v>2021</v>
      </c>
      <c r="C1143" s="28" t="s">
        <v>172</v>
      </c>
      <c r="D1143" s="28" t="s">
        <v>48</v>
      </c>
      <c r="E1143" s="28" t="s">
        <v>210</v>
      </c>
      <c r="F1143" s="28" t="s">
        <v>142</v>
      </c>
      <c r="G1143" s="28" t="s">
        <v>148</v>
      </c>
      <c r="H1143" s="28" t="s">
        <v>200</v>
      </c>
      <c r="I1143" s="29" t="n">
        <v>400000</v>
      </c>
      <c r="J1143" s="29" t="n">
        <v>360000</v>
      </c>
      <c r="K1143" s="28" t="n">
        <v>6</v>
      </c>
      <c r="L1143" s="28" t="n">
        <v>120</v>
      </c>
      <c r="M1143" s="28" t="n">
        <v>15</v>
      </c>
    </row>
    <row r="1144" customFormat="false" ht="15" hidden="false" customHeight="false" outlineLevel="0" collapsed="false">
      <c r="A1144" s="27" t="n">
        <v>44453</v>
      </c>
      <c r="B1144" s="28" t="n">
        <v>2021</v>
      </c>
      <c r="C1144" s="28" t="s">
        <v>675</v>
      </c>
      <c r="D1144" s="28" t="s">
        <v>43</v>
      </c>
      <c r="E1144" s="28" t="s">
        <v>377</v>
      </c>
      <c r="F1144" s="28" t="s">
        <v>142</v>
      </c>
      <c r="G1144" s="28" t="s">
        <v>152</v>
      </c>
      <c r="H1144" s="28" t="s">
        <v>144</v>
      </c>
      <c r="I1144" s="29" t="n">
        <v>5000000</v>
      </c>
      <c r="J1144" s="29" t="n">
        <v>3750000</v>
      </c>
      <c r="K1144" s="28" t="n">
        <v>5.25</v>
      </c>
      <c r="L1144" s="28" t="n">
        <v>300</v>
      </c>
      <c r="M1144" s="28" t="n">
        <v>40</v>
      </c>
    </row>
    <row r="1145" customFormat="false" ht="15" hidden="false" customHeight="false" outlineLevel="0" collapsed="false">
      <c r="A1145" s="27" t="n">
        <v>44453</v>
      </c>
      <c r="B1145" s="28" t="n">
        <v>2021</v>
      </c>
      <c r="C1145" s="28" t="s">
        <v>230</v>
      </c>
      <c r="D1145" s="28" t="s">
        <v>44</v>
      </c>
      <c r="E1145" s="28" t="s">
        <v>355</v>
      </c>
      <c r="F1145" s="28" t="s">
        <v>147</v>
      </c>
      <c r="G1145" s="28" t="s">
        <v>148</v>
      </c>
      <c r="H1145" s="28" t="s">
        <v>354</v>
      </c>
      <c r="I1145" s="29" t="n">
        <v>100000</v>
      </c>
      <c r="J1145" s="29" t="n">
        <v>75000</v>
      </c>
      <c r="K1145" s="28" t="n">
        <v>5</v>
      </c>
      <c r="L1145" s="28" t="n">
        <v>60</v>
      </c>
      <c r="M1145" s="28" t="n">
        <v>5</v>
      </c>
    </row>
    <row r="1146" customFormat="false" ht="15" hidden="false" customHeight="false" outlineLevel="0" collapsed="false">
      <c r="A1146" s="27" t="n">
        <v>44454</v>
      </c>
      <c r="B1146" s="28" t="n">
        <v>2021</v>
      </c>
      <c r="C1146" s="28" t="s">
        <v>203</v>
      </c>
      <c r="D1146" s="28" t="s">
        <v>50</v>
      </c>
      <c r="E1146" s="28" t="s">
        <v>366</v>
      </c>
      <c r="F1146" s="28" t="s">
        <v>142</v>
      </c>
      <c r="G1146" s="28" t="s">
        <v>143</v>
      </c>
      <c r="H1146" s="28" t="s">
        <v>208</v>
      </c>
      <c r="I1146" s="29" t="n">
        <v>870600</v>
      </c>
      <c r="J1146" s="29" t="n">
        <v>783540</v>
      </c>
      <c r="K1146" s="28" t="n">
        <v>5.25</v>
      </c>
      <c r="L1146" s="28" t="n">
        <v>120</v>
      </c>
      <c r="M1146" s="28" t="n">
        <v>1</v>
      </c>
    </row>
    <row r="1147" customFormat="false" ht="15" hidden="false" customHeight="false" outlineLevel="0" collapsed="false">
      <c r="A1147" s="27" t="n">
        <v>44454</v>
      </c>
      <c r="B1147" s="28" t="n">
        <v>2021</v>
      </c>
      <c r="C1147" s="28" t="s">
        <v>209</v>
      </c>
      <c r="D1147" s="28" t="s">
        <v>43</v>
      </c>
      <c r="E1147" s="28" t="s">
        <v>189</v>
      </c>
      <c r="F1147" s="28" t="s">
        <v>194</v>
      </c>
      <c r="G1147" s="28" t="s">
        <v>152</v>
      </c>
      <c r="H1147" s="28" t="s">
        <v>149</v>
      </c>
      <c r="I1147" s="29" t="n">
        <v>375000</v>
      </c>
      <c r="J1147" s="29" t="n">
        <v>337500</v>
      </c>
      <c r="K1147" s="28" t="n">
        <v>5.25</v>
      </c>
      <c r="L1147" s="28" t="n">
        <v>120</v>
      </c>
      <c r="M1147" s="28" t="n">
        <v>6</v>
      </c>
    </row>
    <row r="1148" customFormat="false" ht="15" hidden="false" customHeight="false" outlineLevel="0" collapsed="false">
      <c r="A1148" s="27" t="n">
        <v>44455</v>
      </c>
      <c r="B1148" s="28" t="n">
        <v>2021</v>
      </c>
      <c r="C1148" s="28" t="s">
        <v>192</v>
      </c>
      <c r="D1148" s="28" t="s">
        <v>42</v>
      </c>
      <c r="E1148" s="28" t="s">
        <v>180</v>
      </c>
      <c r="F1148" s="28" t="s">
        <v>142</v>
      </c>
      <c r="G1148" s="28" t="s">
        <v>152</v>
      </c>
      <c r="H1148" s="28" t="s">
        <v>221</v>
      </c>
      <c r="I1148" s="29" t="n">
        <v>265000</v>
      </c>
      <c r="J1148" s="29" t="n">
        <v>238500</v>
      </c>
      <c r="K1148" s="28" t="n">
        <v>6</v>
      </c>
      <c r="L1148" s="28" t="n">
        <v>123</v>
      </c>
      <c r="M1148" s="28" t="n">
        <v>40</v>
      </c>
    </row>
    <row r="1149" customFormat="false" ht="15" hidden="false" customHeight="false" outlineLevel="0" collapsed="false">
      <c r="A1149" s="27" t="n">
        <v>44455</v>
      </c>
      <c r="B1149" s="28" t="n">
        <v>2021</v>
      </c>
      <c r="C1149" s="28" t="s">
        <v>166</v>
      </c>
      <c r="D1149" s="28" t="s">
        <v>48</v>
      </c>
      <c r="E1149" s="28" t="s">
        <v>403</v>
      </c>
      <c r="F1149" s="28" t="s">
        <v>142</v>
      </c>
      <c r="G1149" s="28" t="s">
        <v>152</v>
      </c>
      <c r="H1149" s="28" t="s">
        <v>144</v>
      </c>
      <c r="I1149" s="29" t="n">
        <v>525000</v>
      </c>
      <c r="J1149" s="29" t="n">
        <v>472500</v>
      </c>
      <c r="K1149" s="28" t="n">
        <v>5.15</v>
      </c>
      <c r="L1149" s="28" t="n">
        <v>120</v>
      </c>
      <c r="M1149" s="28" t="n">
        <v>6</v>
      </c>
    </row>
    <row r="1150" customFormat="false" ht="15" hidden="false" customHeight="false" outlineLevel="0" collapsed="false">
      <c r="A1150" s="27" t="n">
        <v>44455</v>
      </c>
      <c r="B1150" s="28" t="n">
        <v>2021</v>
      </c>
      <c r="C1150" s="28" t="s">
        <v>173</v>
      </c>
      <c r="D1150" s="28" t="s">
        <v>56</v>
      </c>
      <c r="E1150" s="28" t="s">
        <v>464</v>
      </c>
      <c r="F1150" s="28" t="s">
        <v>147</v>
      </c>
      <c r="G1150" s="28" t="s">
        <v>441</v>
      </c>
      <c r="H1150" s="28" t="s">
        <v>168</v>
      </c>
      <c r="I1150" s="29" t="n">
        <v>7500</v>
      </c>
      <c r="J1150" s="29" t="n">
        <v>5625</v>
      </c>
      <c r="K1150" s="28" t="n">
        <v>8.75</v>
      </c>
      <c r="L1150" s="28" t="n">
        <v>120</v>
      </c>
      <c r="M1150" s="28" t="n">
        <v>3</v>
      </c>
    </row>
    <row r="1151" customFormat="false" ht="15" hidden="false" customHeight="false" outlineLevel="0" collapsed="false">
      <c r="A1151" s="27" t="n">
        <v>44455</v>
      </c>
      <c r="B1151" s="28" t="n">
        <v>2021</v>
      </c>
      <c r="C1151" s="28" t="s">
        <v>169</v>
      </c>
      <c r="D1151" s="28" t="s">
        <v>43</v>
      </c>
      <c r="E1151" s="28" t="s">
        <v>588</v>
      </c>
      <c r="F1151" s="28" t="s">
        <v>147</v>
      </c>
      <c r="G1151" s="28" t="s">
        <v>143</v>
      </c>
      <c r="H1151" s="28" t="s">
        <v>159</v>
      </c>
      <c r="I1151" s="29" t="n">
        <v>20000</v>
      </c>
      <c r="J1151" s="29" t="n">
        <v>15000</v>
      </c>
      <c r="K1151" s="28" t="n">
        <v>7</v>
      </c>
      <c r="L1151" s="28" t="n">
        <v>120</v>
      </c>
      <c r="M1151" s="28" t="n">
        <v>20</v>
      </c>
    </row>
    <row r="1152" customFormat="false" ht="15" hidden="false" customHeight="false" outlineLevel="0" collapsed="false">
      <c r="A1152" s="27" t="n">
        <v>44455</v>
      </c>
      <c r="B1152" s="28" t="n">
        <v>2021</v>
      </c>
      <c r="C1152" s="28" t="s">
        <v>169</v>
      </c>
      <c r="D1152" s="28" t="s">
        <v>43</v>
      </c>
      <c r="E1152" s="28" t="s">
        <v>588</v>
      </c>
      <c r="F1152" s="28" t="s">
        <v>147</v>
      </c>
      <c r="G1152" s="28" t="s">
        <v>143</v>
      </c>
      <c r="H1152" s="28" t="s">
        <v>159</v>
      </c>
      <c r="I1152" s="29" t="n">
        <v>129000</v>
      </c>
      <c r="J1152" s="29" t="n">
        <v>96750</v>
      </c>
      <c r="K1152" s="28" t="n">
        <v>5.5</v>
      </c>
      <c r="L1152" s="28" t="n">
        <v>90</v>
      </c>
      <c r="M1152" s="28" t="n">
        <v>20</v>
      </c>
    </row>
    <row r="1153" customFormat="false" ht="15" hidden="false" customHeight="false" outlineLevel="0" collapsed="false">
      <c r="A1153" s="27" t="n">
        <v>44458</v>
      </c>
      <c r="B1153" s="28" t="n">
        <v>2021</v>
      </c>
      <c r="C1153" s="28" t="s">
        <v>518</v>
      </c>
      <c r="D1153" s="28" t="s">
        <v>55</v>
      </c>
      <c r="E1153" s="28" t="s">
        <v>676</v>
      </c>
      <c r="F1153" s="28" t="s">
        <v>283</v>
      </c>
      <c r="G1153" s="28" t="s">
        <v>148</v>
      </c>
      <c r="H1153" s="28" t="s">
        <v>306</v>
      </c>
      <c r="I1153" s="29" t="n">
        <v>5000000</v>
      </c>
      <c r="J1153" s="29" t="n">
        <v>3750000</v>
      </c>
      <c r="K1153" s="28" t="n">
        <v>3.25</v>
      </c>
      <c r="L1153" s="28" t="n">
        <v>120</v>
      </c>
      <c r="M1153" s="28" t="n">
        <v>5</v>
      </c>
    </row>
    <row r="1154" customFormat="false" ht="15" hidden="false" customHeight="false" outlineLevel="0" collapsed="false">
      <c r="A1154" s="27" t="n">
        <v>44459</v>
      </c>
      <c r="B1154" s="28" t="n">
        <v>2021</v>
      </c>
      <c r="C1154" s="28" t="s">
        <v>677</v>
      </c>
      <c r="D1154" s="28" t="s">
        <v>51</v>
      </c>
      <c r="E1154" s="28" t="s">
        <v>678</v>
      </c>
      <c r="F1154" s="28" t="s">
        <v>142</v>
      </c>
      <c r="G1154" s="28" t="s">
        <v>441</v>
      </c>
      <c r="H1154" s="28" t="s">
        <v>306</v>
      </c>
      <c r="I1154" s="29" t="n">
        <v>896000</v>
      </c>
      <c r="J1154" s="29" t="n">
        <v>672000</v>
      </c>
      <c r="K1154" s="28" t="n">
        <v>4.75</v>
      </c>
      <c r="L1154" s="28" t="n">
        <v>240</v>
      </c>
      <c r="M1154" s="28" t="n">
        <v>11</v>
      </c>
    </row>
    <row r="1155" customFormat="false" ht="15" hidden="false" customHeight="false" outlineLevel="0" collapsed="false">
      <c r="A1155" s="27" t="n">
        <v>44459</v>
      </c>
      <c r="B1155" s="28" t="n">
        <v>2021</v>
      </c>
      <c r="C1155" s="28" t="s">
        <v>198</v>
      </c>
      <c r="D1155" s="28" t="s">
        <v>43</v>
      </c>
      <c r="E1155" s="28" t="s">
        <v>596</v>
      </c>
      <c r="F1155" s="28" t="s">
        <v>142</v>
      </c>
      <c r="G1155" s="28" t="s">
        <v>148</v>
      </c>
      <c r="H1155" s="28" t="s">
        <v>449</v>
      </c>
      <c r="I1155" s="29" t="n">
        <v>500000</v>
      </c>
      <c r="J1155" s="29" t="n">
        <v>450000</v>
      </c>
      <c r="K1155" s="28" t="n">
        <v>6</v>
      </c>
      <c r="L1155" s="28" t="n">
        <v>120</v>
      </c>
      <c r="M1155" s="28" t="n">
        <v>3</v>
      </c>
    </row>
    <row r="1156" customFormat="false" ht="15" hidden="false" customHeight="false" outlineLevel="0" collapsed="false">
      <c r="A1156" s="27" t="n">
        <v>44459</v>
      </c>
      <c r="B1156" s="28" t="n">
        <v>2021</v>
      </c>
      <c r="C1156" s="28" t="s">
        <v>169</v>
      </c>
      <c r="D1156" s="28" t="s">
        <v>46</v>
      </c>
      <c r="E1156" s="28" t="s">
        <v>259</v>
      </c>
      <c r="F1156" s="28" t="s">
        <v>194</v>
      </c>
      <c r="G1156" s="28" t="s">
        <v>143</v>
      </c>
      <c r="H1156" s="28" t="s">
        <v>679</v>
      </c>
      <c r="I1156" s="29" t="n">
        <v>282900</v>
      </c>
      <c r="J1156" s="29" t="n">
        <v>254610</v>
      </c>
      <c r="K1156" s="28" t="n">
        <v>6</v>
      </c>
      <c r="L1156" s="28" t="n">
        <v>84</v>
      </c>
      <c r="M1156" s="28" t="n">
        <v>19</v>
      </c>
    </row>
    <row r="1157" customFormat="false" ht="15" hidden="false" customHeight="false" outlineLevel="0" collapsed="false">
      <c r="A1157" s="27" t="n">
        <v>44460</v>
      </c>
      <c r="B1157" s="28" t="n">
        <v>2021</v>
      </c>
      <c r="C1157" s="28" t="s">
        <v>173</v>
      </c>
      <c r="D1157" s="28" t="s">
        <v>46</v>
      </c>
      <c r="E1157" s="28" t="s">
        <v>680</v>
      </c>
      <c r="F1157" s="28" t="s">
        <v>142</v>
      </c>
      <c r="G1157" s="28" t="s">
        <v>148</v>
      </c>
      <c r="H1157" s="28" t="s">
        <v>168</v>
      </c>
      <c r="I1157" s="29" t="n">
        <v>327200</v>
      </c>
      <c r="J1157" s="29" t="n">
        <v>294480</v>
      </c>
      <c r="K1157" s="28" t="n">
        <v>5.15</v>
      </c>
      <c r="L1157" s="28" t="n">
        <v>240</v>
      </c>
      <c r="M1157" s="28" t="n">
        <v>6</v>
      </c>
    </row>
    <row r="1158" customFormat="false" ht="15" hidden="false" customHeight="false" outlineLevel="0" collapsed="false">
      <c r="A1158" s="27" t="n">
        <v>44460</v>
      </c>
      <c r="B1158" s="28" t="n">
        <v>2021</v>
      </c>
      <c r="C1158" s="28" t="s">
        <v>312</v>
      </c>
      <c r="D1158" s="28" t="s">
        <v>47</v>
      </c>
      <c r="E1158" s="28" t="s">
        <v>364</v>
      </c>
      <c r="F1158" s="28" t="s">
        <v>142</v>
      </c>
      <c r="G1158" s="28" t="s">
        <v>152</v>
      </c>
      <c r="H1158" s="28" t="s">
        <v>314</v>
      </c>
      <c r="I1158" s="29" t="n">
        <v>3605000</v>
      </c>
      <c r="J1158" s="29" t="n">
        <v>3244500</v>
      </c>
      <c r="K1158" s="28" t="n">
        <v>3.75</v>
      </c>
      <c r="L1158" s="28" t="n">
        <v>120</v>
      </c>
      <c r="M1158" s="28" t="n">
        <v>45</v>
      </c>
    </row>
    <row r="1159" customFormat="false" ht="15" hidden="false" customHeight="false" outlineLevel="0" collapsed="false">
      <c r="A1159" s="27" t="n">
        <v>44460</v>
      </c>
      <c r="B1159" s="28" t="n">
        <v>2021</v>
      </c>
      <c r="C1159" s="28" t="s">
        <v>166</v>
      </c>
      <c r="D1159" s="28" t="s">
        <v>44</v>
      </c>
      <c r="E1159" s="28" t="s">
        <v>141</v>
      </c>
      <c r="F1159" s="28" t="s">
        <v>142</v>
      </c>
      <c r="G1159" s="28" t="s">
        <v>152</v>
      </c>
      <c r="H1159" s="28" t="s">
        <v>269</v>
      </c>
      <c r="I1159" s="29" t="n">
        <v>1102000</v>
      </c>
      <c r="J1159" s="29" t="n">
        <v>991800</v>
      </c>
      <c r="K1159" s="28" t="n">
        <v>5.25</v>
      </c>
      <c r="L1159" s="28" t="n">
        <v>300</v>
      </c>
      <c r="M1159" s="28" t="n">
        <v>5</v>
      </c>
    </row>
    <row r="1160" customFormat="false" ht="15" hidden="false" customHeight="false" outlineLevel="0" collapsed="false">
      <c r="A1160" s="27" t="n">
        <v>44461</v>
      </c>
      <c r="B1160" s="28" t="n">
        <v>2021</v>
      </c>
      <c r="C1160" s="28" t="s">
        <v>160</v>
      </c>
      <c r="D1160" s="28" t="s">
        <v>45</v>
      </c>
      <c r="E1160" s="28" t="s">
        <v>480</v>
      </c>
      <c r="F1160" s="28" t="s">
        <v>142</v>
      </c>
      <c r="G1160" s="28" t="s">
        <v>152</v>
      </c>
      <c r="H1160" s="28" t="s">
        <v>227</v>
      </c>
      <c r="I1160" s="29" t="n">
        <v>3750000</v>
      </c>
      <c r="J1160" s="29" t="n">
        <v>3375000</v>
      </c>
      <c r="K1160" s="28" t="n">
        <v>5.75</v>
      </c>
      <c r="L1160" s="28" t="n">
        <v>120</v>
      </c>
      <c r="M1160" s="28" t="n">
        <v>20</v>
      </c>
    </row>
    <row r="1161" customFormat="false" ht="15" hidden="false" customHeight="false" outlineLevel="0" collapsed="false">
      <c r="A1161" s="27" t="n">
        <v>44461</v>
      </c>
      <c r="B1161" s="28" t="n">
        <v>2021</v>
      </c>
      <c r="C1161" s="28" t="s">
        <v>201</v>
      </c>
      <c r="D1161" s="28" t="s">
        <v>44</v>
      </c>
      <c r="E1161" s="28" t="s">
        <v>161</v>
      </c>
      <c r="F1161" s="28" t="s">
        <v>142</v>
      </c>
      <c r="G1161" s="28" t="s">
        <v>152</v>
      </c>
      <c r="H1161" s="28" t="s">
        <v>287</v>
      </c>
      <c r="I1161" s="29" t="n">
        <v>660000</v>
      </c>
      <c r="J1161" s="29" t="n">
        <v>594000</v>
      </c>
      <c r="K1161" s="28" t="n">
        <v>6</v>
      </c>
      <c r="L1161" s="28" t="n">
        <v>120</v>
      </c>
      <c r="M1161" s="28" t="n">
        <v>10</v>
      </c>
    </row>
    <row r="1162" customFormat="false" ht="15" hidden="false" customHeight="false" outlineLevel="0" collapsed="false">
      <c r="A1162" s="27" t="n">
        <v>44461</v>
      </c>
      <c r="B1162" s="28" t="n">
        <v>2021</v>
      </c>
      <c r="C1162" s="28" t="s">
        <v>160</v>
      </c>
      <c r="D1162" s="28" t="s">
        <v>42</v>
      </c>
      <c r="E1162" s="28" t="s">
        <v>180</v>
      </c>
      <c r="F1162" s="28" t="s">
        <v>142</v>
      </c>
      <c r="G1162" s="28" t="s">
        <v>148</v>
      </c>
      <c r="H1162" s="28" t="s">
        <v>153</v>
      </c>
      <c r="I1162" s="29" t="n">
        <v>422900</v>
      </c>
      <c r="J1162" s="29" t="n">
        <v>380610</v>
      </c>
      <c r="K1162" s="28" t="n">
        <v>5.25</v>
      </c>
      <c r="L1162" s="28" t="n">
        <v>300</v>
      </c>
      <c r="M1162" s="28" t="n">
        <v>8</v>
      </c>
    </row>
    <row r="1163" customFormat="false" ht="15" hidden="false" customHeight="false" outlineLevel="0" collapsed="false">
      <c r="A1163" s="27" t="n">
        <v>44461</v>
      </c>
      <c r="B1163" s="28" t="n">
        <v>2021</v>
      </c>
      <c r="C1163" s="28" t="s">
        <v>160</v>
      </c>
      <c r="D1163" s="28" t="s">
        <v>45</v>
      </c>
      <c r="E1163" s="28" t="s">
        <v>480</v>
      </c>
      <c r="F1163" s="28" t="s">
        <v>147</v>
      </c>
      <c r="G1163" s="28" t="s">
        <v>152</v>
      </c>
      <c r="H1163" s="28" t="s">
        <v>227</v>
      </c>
      <c r="I1163" s="29" t="n">
        <v>750000</v>
      </c>
      <c r="J1163" s="29" t="n">
        <v>375000</v>
      </c>
      <c r="K1163" s="28" t="n">
        <v>5.25</v>
      </c>
      <c r="L1163" s="28" t="n">
        <v>120</v>
      </c>
      <c r="M1163" s="28" t="n">
        <v>20</v>
      </c>
    </row>
    <row r="1164" customFormat="false" ht="15" hidden="false" customHeight="false" outlineLevel="0" collapsed="false">
      <c r="A1164" s="27" t="n">
        <v>44461</v>
      </c>
      <c r="B1164" s="28" t="n">
        <v>2021</v>
      </c>
      <c r="C1164" s="28" t="s">
        <v>243</v>
      </c>
      <c r="D1164" s="28" t="s">
        <v>45</v>
      </c>
      <c r="E1164" s="28" t="s">
        <v>253</v>
      </c>
      <c r="F1164" s="28" t="s">
        <v>142</v>
      </c>
      <c r="G1164" s="28" t="s">
        <v>148</v>
      </c>
      <c r="H1164" s="28" t="s">
        <v>200</v>
      </c>
      <c r="I1164" s="29" t="n">
        <v>365500</v>
      </c>
      <c r="J1164" s="29" t="n">
        <v>328950</v>
      </c>
      <c r="K1164" s="28" t="n">
        <v>6</v>
      </c>
      <c r="L1164" s="28" t="n">
        <v>300</v>
      </c>
      <c r="M1164" s="28" t="n">
        <v>2</v>
      </c>
    </row>
    <row r="1165" customFormat="false" ht="15" hidden="false" customHeight="false" outlineLevel="0" collapsed="false">
      <c r="A1165" s="27" t="n">
        <v>44462</v>
      </c>
      <c r="B1165" s="28" t="n">
        <v>2021</v>
      </c>
      <c r="C1165" s="28" t="s">
        <v>209</v>
      </c>
      <c r="D1165" s="28" t="s">
        <v>45</v>
      </c>
      <c r="E1165" s="28" t="s">
        <v>253</v>
      </c>
      <c r="F1165" s="28" t="s">
        <v>147</v>
      </c>
      <c r="G1165" s="28" t="s">
        <v>152</v>
      </c>
      <c r="H1165" s="28" t="s">
        <v>144</v>
      </c>
      <c r="I1165" s="29" t="n">
        <v>150000</v>
      </c>
      <c r="J1165" s="29" t="n">
        <v>112500</v>
      </c>
      <c r="K1165" s="28" t="n">
        <v>6</v>
      </c>
      <c r="L1165" s="28" t="n">
        <v>120</v>
      </c>
      <c r="M1165" s="28" t="n">
        <v>1</v>
      </c>
    </row>
    <row r="1166" customFormat="false" ht="15" hidden="false" customHeight="false" outlineLevel="0" collapsed="false">
      <c r="A1166" s="27" t="n">
        <v>44462</v>
      </c>
      <c r="B1166" s="28" t="n">
        <v>2021</v>
      </c>
      <c r="C1166" s="28" t="s">
        <v>145</v>
      </c>
      <c r="D1166" s="28" t="s">
        <v>50</v>
      </c>
      <c r="E1166" s="28" t="s">
        <v>507</v>
      </c>
      <c r="F1166" s="28" t="s">
        <v>147</v>
      </c>
      <c r="G1166" s="28" t="s">
        <v>441</v>
      </c>
      <c r="H1166" s="28" t="s">
        <v>168</v>
      </c>
      <c r="I1166" s="29" t="n">
        <v>10000</v>
      </c>
      <c r="J1166" s="29" t="n">
        <v>7500</v>
      </c>
      <c r="K1166" s="28" t="n">
        <v>7.75</v>
      </c>
      <c r="L1166" s="28" t="n">
        <v>120</v>
      </c>
      <c r="M1166" s="28" t="n">
        <v>0</v>
      </c>
    </row>
    <row r="1167" customFormat="false" ht="15" hidden="false" customHeight="false" outlineLevel="0" collapsed="false">
      <c r="A1167" s="27" t="n">
        <v>44462</v>
      </c>
      <c r="B1167" s="28" t="n">
        <v>2021</v>
      </c>
      <c r="C1167" s="28" t="s">
        <v>423</v>
      </c>
      <c r="D1167" s="28" t="s">
        <v>46</v>
      </c>
      <c r="E1167" s="28" t="s">
        <v>276</v>
      </c>
      <c r="F1167" s="28" t="s">
        <v>142</v>
      </c>
      <c r="G1167" s="28" t="s">
        <v>143</v>
      </c>
      <c r="H1167" s="28" t="s">
        <v>334</v>
      </c>
      <c r="I1167" s="29" t="n">
        <v>722000</v>
      </c>
      <c r="J1167" s="29" t="n">
        <v>649800</v>
      </c>
      <c r="K1167" s="28" t="n">
        <v>5.25</v>
      </c>
      <c r="L1167" s="28" t="n">
        <v>300</v>
      </c>
      <c r="M1167" s="28" t="n">
        <v>6</v>
      </c>
    </row>
    <row r="1168" customFormat="false" ht="15" hidden="false" customHeight="false" outlineLevel="0" collapsed="false">
      <c r="A1168" s="27" t="n">
        <v>44462</v>
      </c>
      <c r="B1168" s="28" t="n">
        <v>2021</v>
      </c>
      <c r="C1168" s="28" t="s">
        <v>209</v>
      </c>
      <c r="D1168" s="28" t="s">
        <v>45</v>
      </c>
      <c r="E1168" s="28" t="s">
        <v>253</v>
      </c>
      <c r="F1168" s="28" t="s">
        <v>142</v>
      </c>
      <c r="G1168" s="28" t="s">
        <v>152</v>
      </c>
      <c r="H1168" s="28" t="s">
        <v>144</v>
      </c>
      <c r="I1168" s="29" t="n">
        <v>1990000</v>
      </c>
      <c r="J1168" s="29" t="n">
        <v>1791000</v>
      </c>
      <c r="K1168" s="28" t="n">
        <v>5</v>
      </c>
      <c r="L1168" s="28" t="n">
        <v>300</v>
      </c>
      <c r="M1168" s="28" t="n">
        <v>1</v>
      </c>
    </row>
    <row r="1169" customFormat="false" ht="15" hidden="false" customHeight="false" outlineLevel="0" collapsed="false">
      <c r="A1169" s="27" t="n">
        <v>44462</v>
      </c>
      <c r="B1169" s="28" t="n">
        <v>2021</v>
      </c>
      <c r="C1169" s="28" t="s">
        <v>166</v>
      </c>
      <c r="D1169" s="28" t="s">
        <v>42</v>
      </c>
      <c r="E1169" s="28" t="s">
        <v>180</v>
      </c>
      <c r="F1169" s="28" t="s">
        <v>142</v>
      </c>
      <c r="G1169" s="28" t="s">
        <v>441</v>
      </c>
      <c r="H1169" s="28" t="s">
        <v>211</v>
      </c>
      <c r="I1169" s="29" t="n">
        <v>350000</v>
      </c>
      <c r="J1169" s="29" t="n">
        <v>315000</v>
      </c>
      <c r="K1169" s="28" t="n">
        <v>5.75</v>
      </c>
      <c r="L1169" s="28" t="n">
        <v>126</v>
      </c>
      <c r="M1169" s="28" t="n">
        <v>20</v>
      </c>
    </row>
    <row r="1170" customFormat="false" ht="15" hidden="false" customHeight="false" outlineLevel="0" collapsed="false">
      <c r="A1170" s="27" t="n">
        <v>44462</v>
      </c>
      <c r="B1170" s="28" t="n">
        <v>2021</v>
      </c>
      <c r="C1170" s="28" t="s">
        <v>540</v>
      </c>
      <c r="D1170" s="28" t="s">
        <v>42</v>
      </c>
      <c r="E1170" s="28" t="s">
        <v>242</v>
      </c>
      <c r="F1170" s="28" t="s">
        <v>147</v>
      </c>
      <c r="G1170" s="28" t="s">
        <v>148</v>
      </c>
      <c r="H1170" s="28" t="s">
        <v>246</v>
      </c>
      <c r="I1170" s="29" t="n">
        <v>100000</v>
      </c>
      <c r="J1170" s="29" t="n">
        <v>75000</v>
      </c>
      <c r="K1170" s="28" t="n">
        <v>6.375</v>
      </c>
      <c r="L1170" s="28" t="n">
        <v>120</v>
      </c>
      <c r="M1170" s="28" t="n">
        <v>12</v>
      </c>
    </row>
    <row r="1171" customFormat="false" ht="15" hidden="false" customHeight="false" outlineLevel="0" collapsed="false">
      <c r="A1171" s="27" t="n">
        <v>44462</v>
      </c>
      <c r="B1171" s="28" t="n">
        <v>2021</v>
      </c>
      <c r="C1171" s="28" t="s">
        <v>238</v>
      </c>
      <c r="D1171" s="28" t="s">
        <v>50</v>
      </c>
      <c r="E1171" s="28" t="s">
        <v>427</v>
      </c>
      <c r="F1171" s="28" t="s">
        <v>142</v>
      </c>
      <c r="G1171" s="28" t="s">
        <v>148</v>
      </c>
      <c r="H1171" s="28" t="s">
        <v>221</v>
      </c>
      <c r="I1171" s="29" t="n">
        <v>150000</v>
      </c>
      <c r="J1171" s="29" t="n">
        <v>135000</v>
      </c>
      <c r="K1171" s="28" t="n">
        <v>6</v>
      </c>
      <c r="L1171" s="28" t="n">
        <v>120</v>
      </c>
      <c r="M1171" s="28" t="n">
        <v>20</v>
      </c>
    </row>
    <row r="1172" customFormat="false" ht="15" hidden="false" customHeight="false" outlineLevel="0" collapsed="false">
      <c r="A1172" s="27" t="n">
        <v>44462</v>
      </c>
      <c r="B1172" s="28" t="n">
        <v>2021</v>
      </c>
      <c r="C1172" s="28" t="s">
        <v>140</v>
      </c>
      <c r="D1172" s="28" t="s">
        <v>42</v>
      </c>
      <c r="E1172" s="28" t="s">
        <v>164</v>
      </c>
      <c r="F1172" s="28" t="s">
        <v>147</v>
      </c>
      <c r="G1172" s="28" t="s">
        <v>148</v>
      </c>
      <c r="H1172" s="28" t="s">
        <v>281</v>
      </c>
      <c r="I1172" s="29" t="n">
        <v>25000</v>
      </c>
      <c r="J1172" s="29" t="n">
        <v>12500</v>
      </c>
      <c r="K1172" s="28" t="n">
        <v>6</v>
      </c>
      <c r="L1172" s="28" t="n">
        <v>120</v>
      </c>
      <c r="M1172" s="28" t="n">
        <v>16</v>
      </c>
    </row>
    <row r="1173" customFormat="false" ht="15" hidden="false" customHeight="false" outlineLevel="0" collapsed="false">
      <c r="A1173" s="27" t="n">
        <v>44463</v>
      </c>
      <c r="B1173" s="28" t="n">
        <v>2021</v>
      </c>
      <c r="C1173" s="28" t="s">
        <v>504</v>
      </c>
      <c r="D1173" s="28" t="s">
        <v>45</v>
      </c>
      <c r="E1173" s="28" t="s">
        <v>345</v>
      </c>
      <c r="F1173" s="28" t="s">
        <v>283</v>
      </c>
      <c r="G1173" s="28" t="s">
        <v>148</v>
      </c>
      <c r="H1173" s="28" t="s">
        <v>306</v>
      </c>
      <c r="I1173" s="29" t="n">
        <v>500000</v>
      </c>
      <c r="J1173" s="29" t="n">
        <v>375000</v>
      </c>
      <c r="K1173" s="28" t="n">
        <v>4.75</v>
      </c>
      <c r="L1173" s="28" t="n">
        <v>120</v>
      </c>
      <c r="M1173" s="28" t="n">
        <v>6</v>
      </c>
    </row>
    <row r="1174" customFormat="false" ht="15" hidden="false" customHeight="false" outlineLevel="0" collapsed="false">
      <c r="A1174" s="27" t="n">
        <v>44463</v>
      </c>
      <c r="B1174" s="28" t="n">
        <v>2021</v>
      </c>
      <c r="C1174" s="28" t="s">
        <v>166</v>
      </c>
      <c r="D1174" s="28" t="s">
        <v>48</v>
      </c>
      <c r="E1174" s="28" t="s">
        <v>358</v>
      </c>
      <c r="F1174" s="28" t="s">
        <v>142</v>
      </c>
      <c r="G1174" s="28" t="s">
        <v>148</v>
      </c>
      <c r="H1174" s="28" t="s">
        <v>191</v>
      </c>
      <c r="I1174" s="29" t="n">
        <v>522700</v>
      </c>
      <c r="J1174" s="29" t="n">
        <v>470430</v>
      </c>
      <c r="K1174" s="28" t="n">
        <v>4.33</v>
      </c>
      <c r="L1174" s="28" t="n">
        <v>240</v>
      </c>
      <c r="M1174" s="28" t="n">
        <v>2</v>
      </c>
    </row>
    <row r="1175" customFormat="false" ht="15" hidden="false" customHeight="false" outlineLevel="0" collapsed="false">
      <c r="A1175" s="27" t="n">
        <v>44464</v>
      </c>
      <c r="B1175" s="28" t="n">
        <v>2021</v>
      </c>
      <c r="C1175" s="28" t="s">
        <v>169</v>
      </c>
      <c r="D1175" s="28" t="s">
        <v>48</v>
      </c>
      <c r="E1175" s="28" t="s">
        <v>401</v>
      </c>
      <c r="F1175" s="28" t="s">
        <v>142</v>
      </c>
      <c r="G1175" s="28" t="s">
        <v>152</v>
      </c>
      <c r="H1175" s="28" t="s">
        <v>144</v>
      </c>
      <c r="I1175" s="29" t="n">
        <v>670000</v>
      </c>
      <c r="J1175" s="29" t="n">
        <v>603000</v>
      </c>
      <c r="K1175" s="28" t="n">
        <v>5.3</v>
      </c>
      <c r="L1175" s="28" t="n">
        <v>120</v>
      </c>
      <c r="M1175" s="28" t="n">
        <v>4</v>
      </c>
    </row>
    <row r="1176" customFormat="false" ht="15" hidden="false" customHeight="false" outlineLevel="0" collapsed="false">
      <c r="A1176" s="27" t="n">
        <v>44466</v>
      </c>
      <c r="B1176" s="28" t="n">
        <v>2021</v>
      </c>
      <c r="C1176" s="28" t="s">
        <v>173</v>
      </c>
      <c r="D1176" s="28" t="s">
        <v>43</v>
      </c>
      <c r="E1176" s="28" t="s">
        <v>517</v>
      </c>
      <c r="F1176" s="28" t="s">
        <v>142</v>
      </c>
      <c r="G1176" s="28" t="s">
        <v>143</v>
      </c>
      <c r="H1176" s="28" t="s">
        <v>179</v>
      </c>
      <c r="I1176" s="29" t="n">
        <v>120000</v>
      </c>
      <c r="J1176" s="29" t="n">
        <v>108000</v>
      </c>
      <c r="K1176" s="28" t="n">
        <v>6</v>
      </c>
      <c r="L1176" s="28" t="n">
        <v>84</v>
      </c>
      <c r="M1176" s="28" t="n">
        <v>16</v>
      </c>
    </row>
    <row r="1177" customFormat="false" ht="15" hidden="false" customHeight="false" outlineLevel="0" collapsed="false">
      <c r="A1177" s="27" t="n">
        <v>44466</v>
      </c>
      <c r="B1177" s="28" t="n">
        <v>2021</v>
      </c>
      <c r="C1177" s="28" t="s">
        <v>160</v>
      </c>
      <c r="D1177" s="28" t="s">
        <v>47</v>
      </c>
      <c r="E1177" s="28" t="s">
        <v>305</v>
      </c>
      <c r="F1177" s="28" t="s">
        <v>194</v>
      </c>
      <c r="G1177" s="28" t="s">
        <v>441</v>
      </c>
      <c r="H1177" s="28" t="s">
        <v>372</v>
      </c>
      <c r="I1177" s="29" t="n">
        <v>1080000</v>
      </c>
      <c r="J1177" s="29" t="n">
        <v>972000</v>
      </c>
      <c r="K1177" s="28" t="n">
        <v>5</v>
      </c>
      <c r="L1177" s="28" t="n">
        <v>120</v>
      </c>
      <c r="M1177" s="28" t="n">
        <v>120</v>
      </c>
    </row>
    <row r="1178" customFormat="false" ht="15" hidden="false" customHeight="false" outlineLevel="0" collapsed="false">
      <c r="A1178" s="27" t="n">
        <v>44466</v>
      </c>
      <c r="B1178" s="28" t="n">
        <v>2021</v>
      </c>
      <c r="C1178" s="28" t="s">
        <v>201</v>
      </c>
      <c r="D1178" s="28" t="s">
        <v>45</v>
      </c>
      <c r="E1178" s="28" t="s">
        <v>253</v>
      </c>
      <c r="F1178" s="28" t="s">
        <v>142</v>
      </c>
      <c r="G1178" s="28" t="s">
        <v>148</v>
      </c>
      <c r="H1178" s="28" t="s">
        <v>681</v>
      </c>
      <c r="I1178" s="29" t="n">
        <v>489600</v>
      </c>
      <c r="J1178" s="29" t="n">
        <v>440640</v>
      </c>
      <c r="K1178" s="28" t="n">
        <v>6</v>
      </c>
      <c r="L1178" s="28" t="n">
        <v>120</v>
      </c>
      <c r="M1178" s="28" t="n">
        <v>1</v>
      </c>
    </row>
    <row r="1179" customFormat="false" ht="15" hidden="false" customHeight="false" outlineLevel="0" collapsed="false">
      <c r="A1179" s="27" t="n">
        <v>44466</v>
      </c>
      <c r="B1179" s="28" t="n">
        <v>2021</v>
      </c>
      <c r="C1179" s="28" t="s">
        <v>568</v>
      </c>
      <c r="D1179" s="28" t="s">
        <v>55</v>
      </c>
      <c r="E1179" s="28" t="s">
        <v>676</v>
      </c>
      <c r="F1179" s="28" t="s">
        <v>283</v>
      </c>
      <c r="G1179" s="28" t="s">
        <v>148</v>
      </c>
      <c r="H1179" s="28" t="s">
        <v>306</v>
      </c>
      <c r="I1179" s="29" t="n">
        <v>3500000</v>
      </c>
      <c r="J1179" s="29" t="n">
        <v>2625000</v>
      </c>
      <c r="K1179" s="28" t="n">
        <v>4.25</v>
      </c>
      <c r="L1179" s="28" t="n">
        <v>120</v>
      </c>
      <c r="M1179" s="28" t="n">
        <v>10</v>
      </c>
    </row>
    <row r="1180" customFormat="false" ht="15" hidden="false" customHeight="false" outlineLevel="0" collapsed="false">
      <c r="A1180" s="27" t="n">
        <v>44466</v>
      </c>
      <c r="B1180" s="28" t="n">
        <v>2021</v>
      </c>
      <c r="C1180" s="28" t="s">
        <v>172</v>
      </c>
      <c r="D1180" s="28" t="s">
        <v>48</v>
      </c>
      <c r="E1180" s="28" t="s">
        <v>362</v>
      </c>
      <c r="F1180" s="28" t="s">
        <v>147</v>
      </c>
      <c r="G1180" s="28" t="s">
        <v>148</v>
      </c>
      <c r="H1180" s="28" t="s">
        <v>187</v>
      </c>
      <c r="I1180" s="29" t="n">
        <v>350000</v>
      </c>
      <c r="J1180" s="29" t="n">
        <v>262500</v>
      </c>
      <c r="K1180" s="28" t="n">
        <v>6.75</v>
      </c>
      <c r="L1180" s="28" t="n">
        <v>120</v>
      </c>
      <c r="M1180" s="28" t="n">
        <v>13</v>
      </c>
    </row>
    <row r="1181" customFormat="false" ht="15" hidden="false" customHeight="false" outlineLevel="0" collapsed="false">
      <c r="A1181" s="27" t="n">
        <v>44466</v>
      </c>
      <c r="B1181" s="28" t="n">
        <v>2021</v>
      </c>
      <c r="C1181" s="28" t="s">
        <v>249</v>
      </c>
      <c r="D1181" s="28" t="s">
        <v>47</v>
      </c>
      <c r="E1181" s="28" t="s">
        <v>184</v>
      </c>
      <c r="F1181" s="28" t="s">
        <v>142</v>
      </c>
      <c r="G1181" s="28" t="s">
        <v>148</v>
      </c>
      <c r="H1181" s="28" t="s">
        <v>255</v>
      </c>
      <c r="I1181" s="29" t="n">
        <v>2821000</v>
      </c>
      <c r="J1181" s="29" t="n">
        <v>2538900</v>
      </c>
      <c r="K1181" s="28" t="n">
        <v>5.25</v>
      </c>
      <c r="L1181" s="28" t="n">
        <v>311</v>
      </c>
      <c r="M1181" s="28" t="n">
        <v>15</v>
      </c>
    </row>
    <row r="1182" customFormat="false" ht="15" hidden="false" customHeight="false" outlineLevel="0" collapsed="false">
      <c r="A1182" s="27" t="n">
        <v>44466</v>
      </c>
      <c r="B1182" s="28" t="n">
        <v>2021</v>
      </c>
      <c r="C1182" s="28" t="s">
        <v>558</v>
      </c>
      <c r="D1182" s="28" t="s">
        <v>42</v>
      </c>
      <c r="E1182" s="28" t="s">
        <v>247</v>
      </c>
      <c r="F1182" s="28" t="s">
        <v>142</v>
      </c>
      <c r="G1182" s="28" t="s">
        <v>148</v>
      </c>
      <c r="H1182" s="28" t="s">
        <v>211</v>
      </c>
      <c r="I1182" s="29" t="n">
        <v>2620000</v>
      </c>
      <c r="J1182" s="29" t="n">
        <v>2358000</v>
      </c>
      <c r="K1182" s="28" t="n">
        <v>5</v>
      </c>
      <c r="L1182" s="28" t="n">
        <v>300</v>
      </c>
      <c r="M1182" s="28" t="n">
        <v>10</v>
      </c>
    </row>
    <row r="1183" customFormat="false" ht="15" hidden="false" customHeight="false" outlineLevel="0" collapsed="false">
      <c r="A1183" s="27" t="n">
        <v>44466</v>
      </c>
      <c r="B1183" s="28" t="n">
        <v>2021</v>
      </c>
      <c r="C1183" s="28" t="s">
        <v>318</v>
      </c>
      <c r="D1183" s="28" t="s">
        <v>50</v>
      </c>
      <c r="E1183" s="28" t="s">
        <v>462</v>
      </c>
      <c r="F1183" s="28" t="s">
        <v>142</v>
      </c>
      <c r="G1183" s="28" t="s">
        <v>148</v>
      </c>
      <c r="H1183" s="28" t="s">
        <v>306</v>
      </c>
      <c r="I1183" s="29" t="n">
        <v>2000000</v>
      </c>
      <c r="J1183" s="29" t="n">
        <v>1500000</v>
      </c>
      <c r="K1183" s="28" t="n">
        <v>4.5</v>
      </c>
      <c r="L1183" s="28" t="n">
        <v>120</v>
      </c>
      <c r="M1183" s="28" t="n">
        <v>10</v>
      </c>
    </row>
    <row r="1184" customFormat="false" ht="15" hidden="false" customHeight="false" outlineLevel="0" collapsed="false">
      <c r="A1184" s="27" t="n">
        <v>44466</v>
      </c>
      <c r="B1184" s="28" t="n">
        <v>2021</v>
      </c>
      <c r="C1184" s="28" t="s">
        <v>682</v>
      </c>
      <c r="D1184" s="28" t="s">
        <v>47</v>
      </c>
      <c r="E1184" s="28" t="s">
        <v>489</v>
      </c>
      <c r="F1184" s="28" t="s">
        <v>142</v>
      </c>
      <c r="G1184" s="28" t="s">
        <v>152</v>
      </c>
      <c r="H1184" s="28" t="s">
        <v>144</v>
      </c>
      <c r="I1184" s="29" t="n">
        <v>1177000</v>
      </c>
      <c r="J1184" s="29" t="n">
        <v>1059300</v>
      </c>
      <c r="K1184" s="28" t="n">
        <v>5.7</v>
      </c>
      <c r="L1184" s="28" t="n">
        <v>120</v>
      </c>
      <c r="M1184" s="28" t="n">
        <v>22</v>
      </c>
    </row>
    <row r="1185" customFormat="false" ht="15" hidden="false" customHeight="false" outlineLevel="0" collapsed="false">
      <c r="A1185" s="27" t="n">
        <v>44466</v>
      </c>
      <c r="B1185" s="28" t="n">
        <v>2021</v>
      </c>
      <c r="C1185" s="28" t="s">
        <v>172</v>
      </c>
      <c r="D1185" s="28" t="s">
        <v>56</v>
      </c>
      <c r="E1185" s="28" t="s">
        <v>296</v>
      </c>
      <c r="F1185" s="28" t="s">
        <v>142</v>
      </c>
      <c r="G1185" s="28" t="s">
        <v>148</v>
      </c>
      <c r="H1185" s="28" t="s">
        <v>179</v>
      </c>
      <c r="I1185" s="29" t="n">
        <v>25000</v>
      </c>
      <c r="J1185" s="29" t="n">
        <v>22500</v>
      </c>
      <c r="K1185" s="28" t="n">
        <v>6</v>
      </c>
      <c r="L1185" s="28" t="n">
        <v>85</v>
      </c>
      <c r="M1185" s="28" t="n">
        <v>3</v>
      </c>
    </row>
    <row r="1186" customFormat="false" ht="15" hidden="false" customHeight="false" outlineLevel="0" collapsed="false">
      <c r="A1186" s="27" t="n">
        <v>44466</v>
      </c>
      <c r="B1186" s="28" t="n">
        <v>2021</v>
      </c>
      <c r="C1186" s="28" t="s">
        <v>560</v>
      </c>
      <c r="D1186" s="28" t="s">
        <v>48</v>
      </c>
      <c r="E1186" s="28" t="s">
        <v>304</v>
      </c>
      <c r="F1186" s="28" t="s">
        <v>142</v>
      </c>
      <c r="G1186" s="28" t="s">
        <v>148</v>
      </c>
      <c r="H1186" s="28" t="s">
        <v>200</v>
      </c>
      <c r="I1186" s="29" t="n">
        <v>1685000</v>
      </c>
      <c r="J1186" s="29" t="n">
        <v>1516500</v>
      </c>
      <c r="K1186" s="28" t="n">
        <v>6</v>
      </c>
      <c r="L1186" s="28" t="n">
        <v>299</v>
      </c>
      <c r="M1186" s="28" t="n">
        <v>6</v>
      </c>
    </row>
    <row r="1187" customFormat="false" ht="15" hidden="false" customHeight="false" outlineLevel="0" collapsed="false">
      <c r="A1187" s="27" t="n">
        <v>44466</v>
      </c>
      <c r="B1187" s="28" t="n">
        <v>2021</v>
      </c>
      <c r="C1187" s="28" t="s">
        <v>169</v>
      </c>
      <c r="D1187" s="28" t="s">
        <v>46</v>
      </c>
      <c r="E1187" s="28" t="s">
        <v>259</v>
      </c>
      <c r="F1187" s="28" t="s">
        <v>142</v>
      </c>
      <c r="G1187" s="28" t="s">
        <v>143</v>
      </c>
      <c r="H1187" s="28" t="s">
        <v>382</v>
      </c>
      <c r="I1187" s="29" t="n">
        <v>212100</v>
      </c>
      <c r="J1187" s="29" t="n">
        <v>190890</v>
      </c>
      <c r="K1187" s="28" t="n">
        <v>6</v>
      </c>
      <c r="L1187" s="28" t="n">
        <v>124</v>
      </c>
      <c r="M1187" s="28" t="n">
        <v>9</v>
      </c>
    </row>
    <row r="1188" customFormat="false" ht="15" hidden="false" customHeight="false" outlineLevel="0" collapsed="false">
      <c r="A1188" s="27" t="n">
        <v>44466</v>
      </c>
      <c r="B1188" s="28" t="n">
        <v>2021</v>
      </c>
      <c r="C1188" s="28" t="s">
        <v>166</v>
      </c>
      <c r="D1188" s="28" t="s">
        <v>43</v>
      </c>
      <c r="E1188" s="28" t="s">
        <v>596</v>
      </c>
      <c r="F1188" s="28" t="s">
        <v>142</v>
      </c>
      <c r="G1188" s="28" t="s">
        <v>152</v>
      </c>
      <c r="H1188" s="28" t="s">
        <v>255</v>
      </c>
      <c r="I1188" s="29" t="n">
        <v>770700</v>
      </c>
      <c r="J1188" s="29" t="n">
        <v>693630</v>
      </c>
      <c r="K1188" s="28" t="n">
        <v>5.75</v>
      </c>
      <c r="L1188" s="28" t="n">
        <v>120</v>
      </c>
      <c r="M1188" s="28" t="n">
        <v>5</v>
      </c>
    </row>
    <row r="1189" customFormat="false" ht="15" hidden="false" customHeight="false" outlineLevel="0" collapsed="false">
      <c r="A1189" s="27" t="n">
        <v>44466</v>
      </c>
      <c r="B1189" s="28" t="n">
        <v>2021</v>
      </c>
      <c r="C1189" s="28" t="s">
        <v>169</v>
      </c>
      <c r="D1189" s="28" t="s">
        <v>48</v>
      </c>
      <c r="E1189" s="28" t="s">
        <v>210</v>
      </c>
      <c r="F1189" s="28" t="s">
        <v>147</v>
      </c>
      <c r="G1189" s="28" t="s">
        <v>148</v>
      </c>
      <c r="H1189" s="28" t="s">
        <v>162</v>
      </c>
      <c r="I1189" s="29" t="n">
        <v>350000</v>
      </c>
      <c r="J1189" s="29" t="n">
        <v>262500</v>
      </c>
      <c r="K1189" s="28" t="n">
        <v>1.99</v>
      </c>
      <c r="L1189" s="28" t="n">
        <v>84</v>
      </c>
      <c r="M1189" s="28" t="n">
        <v>2</v>
      </c>
    </row>
    <row r="1190" customFormat="false" ht="15" hidden="false" customHeight="false" outlineLevel="0" collapsed="false">
      <c r="A1190" s="27" t="n">
        <v>44466</v>
      </c>
      <c r="B1190" s="28" t="n">
        <v>2021</v>
      </c>
      <c r="C1190" s="28" t="s">
        <v>169</v>
      </c>
      <c r="D1190" s="28" t="s">
        <v>43</v>
      </c>
      <c r="E1190" s="28" t="s">
        <v>525</v>
      </c>
      <c r="F1190" s="28" t="s">
        <v>142</v>
      </c>
      <c r="G1190" s="28" t="s">
        <v>441</v>
      </c>
      <c r="H1190" s="28" t="s">
        <v>526</v>
      </c>
      <c r="I1190" s="29" t="n">
        <v>297000</v>
      </c>
      <c r="J1190" s="29" t="n">
        <v>267300</v>
      </c>
      <c r="K1190" s="28" t="n">
        <v>6</v>
      </c>
      <c r="L1190" s="28" t="n">
        <v>120</v>
      </c>
      <c r="M1190" s="28" t="n">
        <v>2</v>
      </c>
    </row>
    <row r="1191" customFormat="false" ht="15" hidden="false" customHeight="false" outlineLevel="0" collapsed="false">
      <c r="A1191" s="27" t="n">
        <v>44466</v>
      </c>
      <c r="B1191" s="28" t="n">
        <v>2021</v>
      </c>
      <c r="C1191" s="28" t="s">
        <v>203</v>
      </c>
      <c r="D1191" s="28" t="s">
        <v>49</v>
      </c>
      <c r="E1191" s="28" t="s">
        <v>635</v>
      </c>
      <c r="F1191" s="28" t="s">
        <v>142</v>
      </c>
      <c r="G1191" s="28" t="s">
        <v>148</v>
      </c>
      <c r="H1191" s="28" t="s">
        <v>211</v>
      </c>
      <c r="I1191" s="29" t="n">
        <v>350000</v>
      </c>
      <c r="J1191" s="29" t="n">
        <v>315000</v>
      </c>
      <c r="K1191" s="28" t="n">
        <v>6</v>
      </c>
      <c r="L1191" s="28" t="n">
        <v>120</v>
      </c>
      <c r="M1191" s="28" t="n">
        <v>8</v>
      </c>
    </row>
    <row r="1192" customFormat="false" ht="15" hidden="false" customHeight="false" outlineLevel="0" collapsed="false">
      <c r="A1192" s="27" t="n">
        <v>44466</v>
      </c>
      <c r="B1192" s="28" t="n">
        <v>2021</v>
      </c>
      <c r="C1192" s="28" t="s">
        <v>257</v>
      </c>
      <c r="D1192" s="28" t="s">
        <v>54</v>
      </c>
      <c r="E1192" s="28" t="s">
        <v>683</v>
      </c>
      <c r="F1192" s="28" t="s">
        <v>142</v>
      </c>
      <c r="G1192" s="28" t="s">
        <v>148</v>
      </c>
      <c r="H1192" s="28" t="s">
        <v>165</v>
      </c>
      <c r="I1192" s="29" t="n">
        <v>716000</v>
      </c>
      <c r="J1192" s="29" t="n">
        <v>644400</v>
      </c>
      <c r="K1192" s="28" t="n">
        <v>4.59</v>
      </c>
      <c r="L1192" s="28" t="n">
        <v>300</v>
      </c>
      <c r="M1192" s="28" t="n">
        <v>10</v>
      </c>
    </row>
    <row r="1193" customFormat="false" ht="15" hidden="false" customHeight="false" outlineLevel="0" collapsed="false">
      <c r="A1193" s="27" t="n">
        <v>44466</v>
      </c>
      <c r="B1193" s="28" t="n">
        <v>2021</v>
      </c>
      <c r="C1193" s="28" t="s">
        <v>682</v>
      </c>
      <c r="D1193" s="28" t="s">
        <v>47</v>
      </c>
      <c r="E1193" s="28" t="s">
        <v>489</v>
      </c>
      <c r="F1193" s="28" t="s">
        <v>147</v>
      </c>
      <c r="G1193" s="28" t="s">
        <v>152</v>
      </c>
      <c r="H1193" s="28" t="s">
        <v>144</v>
      </c>
      <c r="I1193" s="29" t="n">
        <v>250000</v>
      </c>
      <c r="J1193" s="29" t="n">
        <v>125000</v>
      </c>
      <c r="K1193" s="28" t="n">
        <v>6</v>
      </c>
      <c r="L1193" s="28" t="n">
        <v>120</v>
      </c>
      <c r="M1193" s="28" t="n">
        <v>22</v>
      </c>
    </row>
    <row r="1194" customFormat="false" ht="15" hidden="false" customHeight="false" outlineLevel="0" collapsed="false">
      <c r="A1194" s="27" t="n">
        <v>44467</v>
      </c>
      <c r="B1194" s="28" t="n">
        <v>2021</v>
      </c>
      <c r="C1194" s="28" t="s">
        <v>169</v>
      </c>
      <c r="D1194" s="28" t="s">
        <v>44</v>
      </c>
      <c r="E1194" s="28" t="s">
        <v>355</v>
      </c>
      <c r="F1194" s="28" t="s">
        <v>142</v>
      </c>
      <c r="G1194" s="28" t="s">
        <v>148</v>
      </c>
      <c r="H1194" s="28" t="s">
        <v>681</v>
      </c>
      <c r="I1194" s="29" t="n">
        <v>724000</v>
      </c>
      <c r="J1194" s="29" t="n">
        <v>651600</v>
      </c>
      <c r="K1194" s="28" t="n">
        <v>4.75</v>
      </c>
      <c r="L1194" s="28" t="n">
        <v>300</v>
      </c>
      <c r="M1194" s="28" t="n">
        <v>6</v>
      </c>
    </row>
    <row r="1195" customFormat="false" ht="15" hidden="false" customHeight="false" outlineLevel="0" collapsed="false">
      <c r="A1195" s="27" t="n">
        <v>44467</v>
      </c>
      <c r="B1195" s="28" t="n">
        <v>2021</v>
      </c>
      <c r="C1195" s="28" t="s">
        <v>172</v>
      </c>
      <c r="D1195" s="28" t="s">
        <v>47</v>
      </c>
      <c r="E1195" s="28" t="s">
        <v>641</v>
      </c>
      <c r="F1195" s="28" t="s">
        <v>194</v>
      </c>
      <c r="G1195" s="28" t="s">
        <v>143</v>
      </c>
      <c r="H1195" s="28" t="s">
        <v>605</v>
      </c>
      <c r="I1195" s="29" t="n">
        <v>1099600</v>
      </c>
      <c r="J1195" s="29" t="n">
        <v>989640</v>
      </c>
      <c r="K1195" s="28" t="n">
        <v>6</v>
      </c>
      <c r="L1195" s="28" t="n">
        <v>96</v>
      </c>
      <c r="M1195" s="28" t="n">
        <v>4</v>
      </c>
    </row>
    <row r="1196" customFormat="false" ht="15" hidden="false" customHeight="false" outlineLevel="0" collapsed="false">
      <c r="A1196" s="27" t="n">
        <v>44467</v>
      </c>
      <c r="B1196" s="28" t="n">
        <v>2021</v>
      </c>
      <c r="C1196" s="28" t="s">
        <v>421</v>
      </c>
      <c r="D1196" s="28" t="s">
        <v>49</v>
      </c>
      <c r="E1196" s="28" t="s">
        <v>617</v>
      </c>
      <c r="F1196" s="28" t="s">
        <v>142</v>
      </c>
      <c r="G1196" s="28" t="s">
        <v>152</v>
      </c>
      <c r="H1196" s="28" t="s">
        <v>281</v>
      </c>
      <c r="I1196" s="29" t="n">
        <v>530000</v>
      </c>
      <c r="J1196" s="29" t="n">
        <v>477000</v>
      </c>
      <c r="K1196" s="28" t="n">
        <v>5.5</v>
      </c>
      <c r="L1196" s="28" t="n">
        <v>120</v>
      </c>
      <c r="M1196" s="28" t="n">
        <v>15</v>
      </c>
    </row>
    <row r="1197" customFormat="false" ht="15" hidden="false" customHeight="false" outlineLevel="0" collapsed="false">
      <c r="A1197" s="27" t="n">
        <v>44468</v>
      </c>
      <c r="B1197" s="28" t="n">
        <v>2021</v>
      </c>
      <c r="C1197" s="28" t="s">
        <v>169</v>
      </c>
      <c r="D1197" s="28" t="s">
        <v>56</v>
      </c>
      <c r="E1197" s="28" t="s">
        <v>296</v>
      </c>
      <c r="F1197" s="28" t="s">
        <v>147</v>
      </c>
      <c r="G1197" s="28" t="s">
        <v>441</v>
      </c>
      <c r="H1197" s="28" t="s">
        <v>205</v>
      </c>
      <c r="I1197" s="29" t="n">
        <v>15000</v>
      </c>
      <c r="J1197" s="29" t="n">
        <v>11250</v>
      </c>
      <c r="K1197" s="28" t="n">
        <v>9.75</v>
      </c>
      <c r="L1197" s="28" t="n">
        <v>99</v>
      </c>
      <c r="M1197" s="28" t="n">
        <v>2</v>
      </c>
    </row>
    <row r="1198" customFormat="false" ht="15" hidden="false" customHeight="false" outlineLevel="0" collapsed="false">
      <c r="A1198" s="27" t="n">
        <v>44469</v>
      </c>
      <c r="B1198" s="28" t="n">
        <v>2021</v>
      </c>
      <c r="C1198" s="28" t="s">
        <v>203</v>
      </c>
      <c r="D1198" s="28" t="s">
        <v>44</v>
      </c>
      <c r="E1198" s="28" t="s">
        <v>167</v>
      </c>
      <c r="F1198" s="28" t="s">
        <v>142</v>
      </c>
      <c r="G1198" s="28" t="s">
        <v>441</v>
      </c>
      <c r="H1198" s="28" t="s">
        <v>494</v>
      </c>
      <c r="I1198" s="29" t="n">
        <v>466900</v>
      </c>
      <c r="J1198" s="29" t="n">
        <v>350175</v>
      </c>
      <c r="K1198" s="28" t="n">
        <v>7</v>
      </c>
      <c r="L1198" s="28" t="n">
        <v>120</v>
      </c>
      <c r="M1198" s="28" t="n">
        <v>26</v>
      </c>
    </row>
    <row r="1199" customFormat="false" ht="15" hidden="false" customHeight="false" outlineLevel="0" collapsed="false">
      <c r="A1199" s="27" t="n">
        <v>44470</v>
      </c>
      <c r="B1199" s="28" t="n">
        <v>2022</v>
      </c>
      <c r="C1199" s="28" t="s">
        <v>353</v>
      </c>
      <c r="D1199" s="28" t="s">
        <v>44</v>
      </c>
      <c r="E1199" s="28" t="s">
        <v>161</v>
      </c>
      <c r="F1199" s="28" t="s">
        <v>142</v>
      </c>
      <c r="G1199" s="28" t="s">
        <v>441</v>
      </c>
      <c r="H1199" s="28" t="s">
        <v>162</v>
      </c>
      <c r="I1199" s="29" t="n">
        <v>298200</v>
      </c>
      <c r="J1199" s="29" t="n">
        <v>223650</v>
      </c>
      <c r="K1199" s="28" t="n">
        <v>3.99</v>
      </c>
      <c r="L1199" s="28" t="n">
        <v>300</v>
      </c>
      <c r="M1199" s="28" t="n">
        <v>5</v>
      </c>
    </row>
    <row r="1200" customFormat="false" ht="15" hidden="false" customHeight="false" outlineLevel="0" collapsed="false">
      <c r="A1200" s="27" t="n">
        <v>44476</v>
      </c>
      <c r="B1200" s="28" t="n">
        <v>2022</v>
      </c>
      <c r="C1200" s="28" t="s">
        <v>318</v>
      </c>
      <c r="D1200" s="28" t="s">
        <v>42</v>
      </c>
      <c r="E1200" s="28" t="s">
        <v>242</v>
      </c>
      <c r="F1200" s="28" t="s">
        <v>147</v>
      </c>
      <c r="G1200" s="28" t="s">
        <v>143</v>
      </c>
      <c r="H1200" s="28" t="s">
        <v>482</v>
      </c>
      <c r="I1200" s="29" t="n">
        <v>200000</v>
      </c>
      <c r="J1200" s="29" t="n">
        <v>100000</v>
      </c>
      <c r="K1200" s="28" t="n">
        <v>5.5</v>
      </c>
      <c r="L1200" s="28" t="n">
        <v>120</v>
      </c>
      <c r="M1200" s="28" t="n">
        <v>20</v>
      </c>
    </row>
    <row r="1201" customFormat="false" ht="15" hidden="false" customHeight="false" outlineLevel="0" collapsed="false">
      <c r="A1201" s="27" t="n">
        <v>44477</v>
      </c>
      <c r="B1201" s="28" t="n">
        <v>2022</v>
      </c>
      <c r="C1201" s="28" t="s">
        <v>160</v>
      </c>
      <c r="D1201" s="28" t="s">
        <v>51</v>
      </c>
      <c r="E1201" s="28" t="s">
        <v>239</v>
      </c>
      <c r="F1201" s="28" t="s">
        <v>142</v>
      </c>
      <c r="G1201" s="28" t="s">
        <v>148</v>
      </c>
      <c r="H1201" s="28" t="s">
        <v>281</v>
      </c>
      <c r="I1201" s="29" t="n">
        <v>297000</v>
      </c>
      <c r="J1201" s="29" t="n">
        <v>222750</v>
      </c>
      <c r="K1201" s="28" t="n">
        <v>5.5</v>
      </c>
      <c r="L1201" s="28" t="n">
        <v>62</v>
      </c>
      <c r="M1201" s="28" t="n">
        <v>14</v>
      </c>
    </row>
    <row r="1202" customFormat="false" ht="15" hidden="false" customHeight="false" outlineLevel="0" collapsed="false">
      <c r="A1202" s="27" t="n">
        <v>44481</v>
      </c>
      <c r="B1202" s="28" t="n">
        <v>2022</v>
      </c>
      <c r="C1202" s="28" t="s">
        <v>150</v>
      </c>
      <c r="D1202" s="28" t="s">
        <v>43</v>
      </c>
      <c r="E1202" s="28" t="s">
        <v>581</v>
      </c>
      <c r="F1202" s="28" t="s">
        <v>142</v>
      </c>
      <c r="G1202" s="28" t="s">
        <v>148</v>
      </c>
      <c r="H1202" s="28" t="s">
        <v>281</v>
      </c>
      <c r="I1202" s="29" t="n">
        <v>20000</v>
      </c>
      <c r="J1202" s="29" t="n">
        <v>15000</v>
      </c>
      <c r="K1202" s="28" t="n">
        <v>5.25</v>
      </c>
      <c r="L1202" s="28" t="n">
        <v>84</v>
      </c>
      <c r="M1202" s="28" t="n">
        <v>19</v>
      </c>
    </row>
    <row r="1203" customFormat="false" ht="15" hidden="false" customHeight="false" outlineLevel="0" collapsed="false">
      <c r="A1203" s="27" t="n">
        <v>44481</v>
      </c>
      <c r="B1203" s="28" t="n">
        <v>2022</v>
      </c>
      <c r="C1203" s="28" t="s">
        <v>252</v>
      </c>
      <c r="D1203" s="28" t="s">
        <v>45</v>
      </c>
      <c r="E1203" s="28" t="s">
        <v>202</v>
      </c>
      <c r="F1203" s="28" t="s">
        <v>147</v>
      </c>
      <c r="G1203" s="28" t="s">
        <v>441</v>
      </c>
      <c r="H1203" s="28" t="s">
        <v>205</v>
      </c>
      <c r="I1203" s="29" t="n">
        <v>25000</v>
      </c>
      <c r="J1203" s="29" t="n">
        <v>12500</v>
      </c>
      <c r="K1203" s="28" t="n">
        <v>9.75</v>
      </c>
      <c r="L1203" s="28" t="n">
        <v>120</v>
      </c>
      <c r="M1203" s="28" t="n">
        <v>3</v>
      </c>
    </row>
    <row r="1204" customFormat="false" ht="15" hidden="false" customHeight="false" outlineLevel="0" collapsed="false">
      <c r="A1204" s="27" t="n">
        <v>44481</v>
      </c>
      <c r="B1204" s="28" t="n">
        <v>2022</v>
      </c>
      <c r="C1204" s="28" t="s">
        <v>169</v>
      </c>
      <c r="D1204" s="28" t="s">
        <v>48</v>
      </c>
      <c r="E1204" s="28" t="s">
        <v>182</v>
      </c>
      <c r="F1204" s="28" t="s">
        <v>147</v>
      </c>
      <c r="G1204" s="28" t="s">
        <v>441</v>
      </c>
      <c r="H1204" s="28" t="s">
        <v>168</v>
      </c>
      <c r="I1204" s="29" t="n">
        <v>10000</v>
      </c>
      <c r="J1204" s="29" t="n">
        <v>5000</v>
      </c>
      <c r="K1204" s="28" t="n">
        <v>7.75</v>
      </c>
      <c r="L1204" s="28" t="n">
        <v>120</v>
      </c>
      <c r="M1204" s="28" t="n">
        <v>1</v>
      </c>
    </row>
    <row r="1205" customFormat="false" ht="15" hidden="false" customHeight="false" outlineLevel="0" collapsed="false">
      <c r="A1205" s="27" t="n">
        <v>44482</v>
      </c>
      <c r="B1205" s="28" t="n">
        <v>2022</v>
      </c>
      <c r="C1205" s="28" t="s">
        <v>172</v>
      </c>
      <c r="D1205" s="28" t="s">
        <v>48</v>
      </c>
      <c r="E1205" s="28" t="s">
        <v>631</v>
      </c>
      <c r="F1205" s="28" t="s">
        <v>147</v>
      </c>
      <c r="G1205" s="28" t="s">
        <v>148</v>
      </c>
      <c r="H1205" s="28" t="s">
        <v>205</v>
      </c>
      <c r="I1205" s="29" t="n">
        <v>20000</v>
      </c>
      <c r="J1205" s="29" t="n">
        <v>10000</v>
      </c>
      <c r="K1205" s="28" t="n">
        <v>5.8</v>
      </c>
      <c r="L1205" s="28" t="n">
        <v>120</v>
      </c>
      <c r="M1205" s="28" t="n">
        <v>1</v>
      </c>
    </row>
    <row r="1206" customFormat="false" ht="15" hidden="false" customHeight="false" outlineLevel="0" collapsed="false">
      <c r="A1206" s="27" t="n">
        <v>44487</v>
      </c>
      <c r="B1206" s="28" t="n">
        <v>2022</v>
      </c>
      <c r="C1206" s="28" t="s">
        <v>411</v>
      </c>
      <c r="D1206" s="28" t="s">
        <v>53</v>
      </c>
      <c r="E1206" s="28" t="s">
        <v>412</v>
      </c>
      <c r="F1206" s="28" t="s">
        <v>142</v>
      </c>
      <c r="G1206" s="28" t="s">
        <v>441</v>
      </c>
      <c r="H1206" s="28" t="s">
        <v>413</v>
      </c>
      <c r="I1206" s="29" t="n">
        <v>617000</v>
      </c>
      <c r="J1206" s="29" t="n">
        <v>462750</v>
      </c>
      <c r="K1206" s="28" t="n">
        <v>4.25</v>
      </c>
      <c r="L1206" s="28" t="n">
        <v>304</v>
      </c>
      <c r="M1206" s="28" t="n">
        <v>0</v>
      </c>
    </row>
    <row r="1207" customFormat="false" ht="15" hidden="false" customHeight="false" outlineLevel="0" collapsed="false">
      <c r="A1207" s="27" t="n">
        <v>44489</v>
      </c>
      <c r="B1207" s="28" t="n">
        <v>2022</v>
      </c>
      <c r="C1207" s="28" t="s">
        <v>209</v>
      </c>
      <c r="D1207" s="28" t="s">
        <v>45</v>
      </c>
      <c r="E1207" s="28" t="s">
        <v>611</v>
      </c>
      <c r="F1207" s="28" t="s">
        <v>147</v>
      </c>
      <c r="G1207" s="28" t="s">
        <v>441</v>
      </c>
      <c r="H1207" s="28" t="s">
        <v>168</v>
      </c>
      <c r="I1207" s="29" t="n">
        <v>10000</v>
      </c>
      <c r="J1207" s="29" t="n">
        <v>5000</v>
      </c>
      <c r="K1207" s="28" t="n">
        <v>9.75</v>
      </c>
      <c r="L1207" s="28" t="n">
        <v>120</v>
      </c>
      <c r="M1207" s="28" t="n">
        <v>0</v>
      </c>
    </row>
    <row r="1208" customFormat="false" ht="15" hidden="false" customHeight="false" outlineLevel="0" collapsed="false">
      <c r="A1208" s="27" t="n">
        <v>44489</v>
      </c>
      <c r="B1208" s="28" t="n">
        <v>2022</v>
      </c>
      <c r="C1208" s="28" t="s">
        <v>421</v>
      </c>
      <c r="D1208" s="28" t="s">
        <v>45</v>
      </c>
      <c r="E1208" s="28" t="s">
        <v>202</v>
      </c>
      <c r="F1208" s="28" t="s">
        <v>142</v>
      </c>
      <c r="G1208" s="28" t="s">
        <v>143</v>
      </c>
      <c r="H1208" s="28" t="s">
        <v>287</v>
      </c>
      <c r="I1208" s="29" t="n">
        <v>150000</v>
      </c>
      <c r="J1208" s="29" t="n">
        <v>127500</v>
      </c>
      <c r="K1208" s="28" t="n">
        <v>6</v>
      </c>
      <c r="L1208" s="28" t="n">
        <v>120</v>
      </c>
      <c r="M1208" s="28" t="n">
        <v>7</v>
      </c>
    </row>
    <row r="1209" customFormat="false" ht="15" hidden="false" customHeight="false" outlineLevel="0" collapsed="false">
      <c r="A1209" s="27" t="n">
        <v>44489</v>
      </c>
      <c r="B1209" s="28" t="n">
        <v>2022</v>
      </c>
      <c r="C1209" s="28" t="s">
        <v>243</v>
      </c>
      <c r="D1209" s="28" t="s">
        <v>43</v>
      </c>
      <c r="E1209" s="28" t="s">
        <v>525</v>
      </c>
      <c r="F1209" s="28" t="s">
        <v>142</v>
      </c>
      <c r="G1209" s="28" t="s">
        <v>143</v>
      </c>
      <c r="H1209" s="28" t="s">
        <v>287</v>
      </c>
      <c r="I1209" s="29" t="n">
        <v>65000</v>
      </c>
      <c r="J1209" s="29" t="n">
        <v>55250</v>
      </c>
      <c r="K1209" s="28" t="n">
        <v>6</v>
      </c>
      <c r="L1209" s="28" t="n">
        <v>120</v>
      </c>
      <c r="M1209" s="28" t="n">
        <v>2</v>
      </c>
    </row>
    <row r="1210" customFormat="false" ht="15" hidden="false" customHeight="false" outlineLevel="0" collapsed="false">
      <c r="A1210" s="27" t="n">
        <v>44490</v>
      </c>
      <c r="B1210" s="28" t="n">
        <v>2022</v>
      </c>
      <c r="C1210" s="28" t="s">
        <v>344</v>
      </c>
      <c r="D1210" s="28" t="s">
        <v>45</v>
      </c>
      <c r="E1210" s="28" t="s">
        <v>611</v>
      </c>
      <c r="F1210" s="28" t="s">
        <v>147</v>
      </c>
      <c r="G1210" s="28" t="s">
        <v>441</v>
      </c>
      <c r="H1210" s="28" t="s">
        <v>159</v>
      </c>
      <c r="I1210" s="29" t="n">
        <v>200000</v>
      </c>
      <c r="J1210" s="29" t="n">
        <v>100000</v>
      </c>
      <c r="K1210" s="28" t="n">
        <v>5.5</v>
      </c>
      <c r="L1210" s="28" t="n">
        <v>123</v>
      </c>
      <c r="M1210" s="28" t="n">
        <v>6</v>
      </c>
    </row>
    <row r="1211" customFormat="false" ht="15" hidden="false" customHeight="false" outlineLevel="0" collapsed="false">
      <c r="A1211" s="27" t="n">
        <v>44490</v>
      </c>
      <c r="B1211" s="28" t="n">
        <v>2022</v>
      </c>
      <c r="C1211" s="28" t="s">
        <v>140</v>
      </c>
      <c r="D1211" s="28" t="s">
        <v>45</v>
      </c>
      <c r="E1211" s="28" t="s">
        <v>493</v>
      </c>
      <c r="F1211" s="28" t="s">
        <v>142</v>
      </c>
      <c r="G1211" s="28" t="s">
        <v>143</v>
      </c>
      <c r="H1211" s="28" t="s">
        <v>287</v>
      </c>
      <c r="I1211" s="29" t="n">
        <v>150000</v>
      </c>
      <c r="J1211" s="29" t="n">
        <v>127500</v>
      </c>
      <c r="K1211" s="28" t="n">
        <v>6</v>
      </c>
      <c r="L1211" s="28" t="n">
        <v>97</v>
      </c>
      <c r="M1211" s="28" t="n">
        <v>5</v>
      </c>
    </row>
    <row r="1212" customFormat="false" ht="15" hidden="false" customHeight="false" outlineLevel="0" collapsed="false">
      <c r="A1212" s="27" t="n">
        <v>44491</v>
      </c>
      <c r="B1212" s="28" t="n">
        <v>2022</v>
      </c>
      <c r="C1212" s="28" t="s">
        <v>203</v>
      </c>
      <c r="D1212" s="28" t="s">
        <v>45</v>
      </c>
      <c r="E1212" s="28" t="s">
        <v>684</v>
      </c>
      <c r="F1212" s="28" t="s">
        <v>147</v>
      </c>
      <c r="G1212" s="28" t="s">
        <v>441</v>
      </c>
      <c r="H1212" s="28" t="s">
        <v>168</v>
      </c>
      <c r="I1212" s="29" t="n">
        <v>15000</v>
      </c>
      <c r="J1212" s="29" t="n">
        <v>7500</v>
      </c>
      <c r="K1212" s="28" t="n">
        <v>9.25</v>
      </c>
      <c r="L1212" s="28" t="n">
        <v>120</v>
      </c>
      <c r="M1212" s="28" t="n">
        <v>0</v>
      </c>
    </row>
    <row r="1213" customFormat="false" ht="15" hidden="false" customHeight="false" outlineLevel="0" collapsed="false">
      <c r="A1213" s="27" t="n">
        <v>44494</v>
      </c>
      <c r="B1213" s="28" t="n">
        <v>2022</v>
      </c>
      <c r="C1213" s="28" t="s">
        <v>172</v>
      </c>
      <c r="D1213" s="28" t="s">
        <v>51</v>
      </c>
      <c r="E1213" s="28" t="s">
        <v>319</v>
      </c>
      <c r="F1213" s="28" t="s">
        <v>142</v>
      </c>
      <c r="G1213" s="28" t="s">
        <v>143</v>
      </c>
      <c r="H1213" s="28" t="s">
        <v>159</v>
      </c>
      <c r="I1213" s="29" t="n">
        <v>1200000</v>
      </c>
      <c r="J1213" s="29" t="n">
        <v>900000</v>
      </c>
      <c r="K1213" s="28" t="n">
        <v>5.5</v>
      </c>
      <c r="L1213" s="28" t="n">
        <v>124</v>
      </c>
      <c r="M1213" s="28" t="n">
        <v>30</v>
      </c>
    </row>
    <row r="1214" customFormat="false" ht="15" hidden="false" customHeight="false" outlineLevel="0" collapsed="false">
      <c r="A1214" s="27" t="n">
        <v>44495</v>
      </c>
      <c r="B1214" s="28" t="n">
        <v>2022</v>
      </c>
      <c r="C1214" s="28" t="s">
        <v>172</v>
      </c>
      <c r="D1214" s="28" t="s">
        <v>48</v>
      </c>
      <c r="E1214" s="28" t="s">
        <v>210</v>
      </c>
      <c r="F1214" s="28" t="s">
        <v>147</v>
      </c>
      <c r="G1214" s="28" t="s">
        <v>148</v>
      </c>
      <c r="H1214" s="28" t="s">
        <v>159</v>
      </c>
      <c r="I1214" s="29" t="n">
        <v>500000</v>
      </c>
      <c r="J1214" s="29" t="n">
        <v>250000</v>
      </c>
      <c r="K1214" s="28" t="n">
        <v>7</v>
      </c>
      <c r="L1214" s="28" t="n">
        <v>120</v>
      </c>
      <c r="M1214" s="28" t="n">
        <v>69</v>
      </c>
    </row>
    <row r="1215" customFormat="false" ht="15" hidden="false" customHeight="false" outlineLevel="0" collapsed="false">
      <c r="A1215" s="27" t="n">
        <v>44495</v>
      </c>
      <c r="B1215" s="28" t="n">
        <v>2022</v>
      </c>
      <c r="C1215" s="28" t="s">
        <v>172</v>
      </c>
      <c r="D1215" s="28" t="s">
        <v>45</v>
      </c>
      <c r="E1215" s="28" t="s">
        <v>202</v>
      </c>
      <c r="F1215" s="28" t="s">
        <v>147</v>
      </c>
      <c r="G1215" s="28" t="s">
        <v>148</v>
      </c>
      <c r="H1215" s="28" t="s">
        <v>205</v>
      </c>
      <c r="I1215" s="29" t="n">
        <v>100000</v>
      </c>
      <c r="J1215" s="29" t="n">
        <v>50000</v>
      </c>
      <c r="K1215" s="28" t="n">
        <v>7.05</v>
      </c>
      <c r="L1215" s="28" t="n">
        <v>120</v>
      </c>
      <c r="M1215" s="28" t="n">
        <v>39</v>
      </c>
    </row>
    <row r="1216" customFormat="false" ht="15" hidden="false" customHeight="false" outlineLevel="0" collapsed="false">
      <c r="A1216" s="27" t="n">
        <v>44495</v>
      </c>
      <c r="B1216" s="28" t="n">
        <v>2022</v>
      </c>
      <c r="C1216" s="28" t="s">
        <v>196</v>
      </c>
      <c r="D1216" s="28" t="s">
        <v>54</v>
      </c>
      <c r="E1216" s="28" t="s">
        <v>155</v>
      </c>
      <c r="F1216" s="28" t="s">
        <v>147</v>
      </c>
      <c r="G1216" s="28" t="s">
        <v>148</v>
      </c>
      <c r="H1216" s="28" t="s">
        <v>278</v>
      </c>
      <c r="I1216" s="29" t="n">
        <v>194000</v>
      </c>
      <c r="J1216" s="29" t="n">
        <v>97000</v>
      </c>
      <c r="K1216" s="28" t="n">
        <v>4.75</v>
      </c>
      <c r="L1216" s="28" t="n">
        <v>300</v>
      </c>
      <c r="M1216" s="28" t="n">
        <v>1</v>
      </c>
    </row>
    <row r="1217" customFormat="false" ht="15" hidden="false" customHeight="false" outlineLevel="0" collapsed="false">
      <c r="A1217" s="27" t="n">
        <v>44496</v>
      </c>
      <c r="B1217" s="28" t="n">
        <v>2022</v>
      </c>
      <c r="C1217" s="28" t="s">
        <v>166</v>
      </c>
      <c r="D1217" s="28" t="s">
        <v>44</v>
      </c>
      <c r="E1217" s="28" t="s">
        <v>297</v>
      </c>
      <c r="F1217" s="28" t="s">
        <v>147</v>
      </c>
      <c r="G1217" s="28" t="s">
        <v>441</v>
      </c>
      <c r="H1217" s="28" t="s">
        <v>191</v>
      </c>
      <c r="I1217" s="29" t="n">
        <v>157500</v>
      </c>
      <c r="J1217" s="29" t="n">
        <v>78750</v>
      </c>
      <c r="K1217" s="28" t="n">
        <v>3.55</v>
      </c>
      <c r="L1217" s="28" t="n">
        <v>180</v>
      </c>
      <c r="M1217" s="28" t="n">
        <v>2</v>
      </c>
    </row>
    <row r="1218" customFormat="false" ht="15" hidden="false" customHeight="false" outlineLevel="0" collapsed="false">
      <c r="A1218" s="27" t="n">
        <v>44496</v>
      </c>
      <c r="B1218" s="28" t="n">
        <v>2022</v>
      </c>
      <c r="C1218" s="28" t="s">
        <v>172</v>
      </c>
      <c r="D1218" s="28" t="s">
        <v>51</v>
      </c>
      <c r="E1218" s="28" t="s">
        <v>319</v>
      </c>
      <c r="F1218" s="28" t="s">
        <v>147</v>
      </c>
      <c r="G1218" s="28" t="s">
        <v>143</v>
      </c>
      <c r="H1218" s="28" t="s">
        <v>159</v>
      </c>
      <c r="I1218" s="29" t="n">
        <v>50000</v>
      </c>
      <c r="J1218" s="29" t="n">
        <v>25000</v>
      </c>
      <c r="K1218" s="28" t="n">
        <v>5.25</v>
      </c>
      <c r="L1218" s="28" t="n">
        <v>120</v>
      </c>
      <c r="M1218" s="28" t="n">
        <v>30</v>
      </c>
    </row>
    <row r="1219" customFormat="false" ht="15" hidden="false" customHeight="false" outlineLevel="0" collapsed="false">
      <c r="A1219" s="27" t="n">
        <v>44496</v>
      </c>
      <c r="B1219" s="28" t="n">
        <v>2022</v>
      </c>
      <c r="C1219" s="28" t="s">
        <v>172</v>
      </c>
      <c r="D1219" s="28" t="s">
        <v>51</v>
      </c>
      <c r="E1219" s="28" t="s">
        <v>319</v>
      </c>
      <c r="F1219" s="28" t="s">
        <v>147</v>
      </c>
      <c r="G1219" s="28" t="s">
        <v>143</v>
      </c>
      <c r="H1219" s="28" t="s">
        <v>159</v>
      </c>
      <c r="I1219" s="29" t="n">
        <v>135000</v>
      </c>
      <c r="J1219" s="29" t="n">
        <v>67500</v>
      </c>
      <c r="K1219" s="28" t="n">
        <v>5.5</v>
      </c>
      <c r="L1219" s="28" t="n">
        <v>54</v>
      </c>
      <c r="M1219" s="28" t="n">
        <v>30</v>
      </c>
    </row>
    <row r="1220" customFormat="false" ht="15" hidden="false" customHeight="false" outlineLevel="0" collapsed="false">
      <c r="A1220" s="27" t="n">
        <v>44497</v>
      </c>
      <c r="B1220" s="28" t="n">
        <v>2022</v>
      </c>
      <c r="C1220" s="28" t="s">
        <v>203</v>
      </c>
      <c r="D1220" s="28" t="s">
        <v>48</v>
      </c>
      <c r="E1220" s="28" t="s">
        <v>498</v>
      </c>
      <c r="F1220" s="28" t="s">
        <v>147</v>
      </c>
      <c r="G1220" s="28" t="s">
        <v>148</v>
      </c>
      <c r="H1220" s="28" t="s">
        <v>281</v>
      </c>
      <c r="I1220" s="29" t="n">
        <v>100000</v>
      </c>
      <c r="J1220" s="29" t="n">
        <v>50000</v>
      </c>
      <c r="K1220" s="28" t="n">
        <v>5.25</v>
      </c>
      <c r="L1220" s="28" t="n">
        <v>120</v>
      </c>
      <c r="M1220" s="28" t="n">
        <v>21</v>
      </c>
    </row>
    <row r="1221" customFormat="false" ht="15" hidden="false" customHeight="false" outlineLevel="0" collapsed="false">
      <c r="A1221" s="27" t="n">
        <v>44497</v>
      </c>
      <c r="B1221" s="28" t="n">
        <v>2022</v>
      </c>
      <c r="C1221" s="28" t="s">
        <v>196</v>
      </c>
      <c r="D1221" s="28" t="s">
        <v>44</v>
      </c>
      <c r="E1221" s="28" t="s">
        <v>167</v>
      </c>
      <c r="F1221" s="28" t="s">
        <v>147</v>
      </c>
      <c r="G1221" s="28" t="s">
        <v>148</v>
      </c>
      <c r="H1221" s="28" t="s">
        <v>144</v>
      </c>
      <c r="I1221" s="29" t="n">
        <v>150000</v>
      </c>
      <c r="J1221" s="29" t="n">
        <v>75000</v>
      </c>
      <c r="K1221" s="28" t="n">
        <v>5.75</v>
      </c>
      <c r="L1221" s="28" t="n">
        <v>120</v>
      </c>
      <c r="M1221" s="28" t="n">
        <v>100</v>
      </c>
    </row>
    <row r="1222" customFormat="false" ht="15" hidden="false" customHeight="false" outlineLevel="0" collapsed="false">
      <c r="A1222" s="27" t="n">
        <v>44497</v>
      </c>
      <c r="B1222" s="28" t="n">
        <v>2022</v>
      </c>
      <c r="C1222" s="28" t="s">
        <v>303</v>
      </c>
      <c r="D1222" s="28" t="s">
        <v>43</v>
      </c>
      <c r="E1222" s="28" t="s">
        <v>685</v>
      </c>
      <c r="F1222" s="28" t="s">
        <v>142</v>
      </c>
      <c r="G1222" s="28" t="s">
        <v>152</v>
      </c>
      <c r="H1222" s="28" t="s">
        <v>431</v>
      </c>
      <c r="I1222" s="29" t="n">
        <v>176000</v>
      </c>
      <c r="J1222" s="29" t="n">
        <v>132000</v>
      </c>
      <c r="K1222" s="28" t="n">
        <v>6</v>
      </c>
      <c r="L1222" s="28" t="n">
        <v>120</v>
      </c>
      <c r="M1222" s="28" t="n">
        <v>2</v>
      </c>
    </row>
    <row r="1223" customFormat="false" ht="15" hidden="false" customHeight="false" outlineLevel="0" collapsed="false">
      <c r="A1223" s="27" t="n">
        <v>44501</v>
      </c>
      <c r="B1223" s="28" t="n">
        <v>2022</v>
      </c>
      <c r="C1223" s="28" t="s">
        <v>198</v>
      </c>
      <c r="D1223" s="28" t="s">
        <v>48</v>
      </c>
      <c r="E1223" s="28" t="s">
        <v>686</v>
      </c>
      <c r="F1223" s="28" t="s">
        <v>142</v>
      </c>
      <c r="G1223" s="28" t="s">
        <v>143</v>
      </c>
      <c r="H1223" s="28" t="s">
        <v>287</v>
      </c>
      <c r="I1223" s="29" t="n">
        <v>150000</v>
      </c>
      <c r="J1223" s="29" t="n">
        <v>127500</v>
      </c>
      <c r="K1223" s="28" t="n">
        <v>6</v>
      </c>
      <c r="L1223" s="28" t="n">
        <v>120</v>
      </c>
      <c r="M1223" s="28" t="n">
        <v>3</v>
      </c>
    </row>
    <row r="1224" customFormat="false" ht="15" hidden="false" customHeight="false" outlineLevel="0" collapsed="false">
      <c r="A1224" s="27" t="n">
        <v>44503</v>
      </c>
      <c r="B1224" s="28" t="n">
        <v>2022</v>
      </c>
      <c r="C1224" s="28" t="s">
        <v>160</v>
      </c>
      <c r="D1224" s="28" t="s">
        <v>45</v>
      </c>
      <c r="E1224" s="28" t="s">
        <v>222</v>
      </c>
      <c r="F1224" s="28" t="s">
        <v>142</v>
      </c>
      <c r="G1224" s="28" t="s">
        <v>148</v>
      </c>
      <c r="H1224" s="28" t="s">
        <v>229</v>
      </c>
      <c r="I1224" s="29" t="n">
        <v>250000</v>
      </c>
      <c r="J1224" s="29" t="n">
        <v>187500</v>
      </c>
      <c r="K1224" s="28" t="n">
        <v>6</v>
      </c>
      <c r="L1224" s="28" t="n">
        <v>120</v>
      </c>
      <c r="M1224" s="28" t="n">
        <v>4</v>
      </c>
    </row>
    <row r="1225" customFormat="false" ht="15" hidden="false" customHeight="false" outlineLevel="0" collapsed="false">
      <c r="A1225" s="27" t="n">
        <v>44503</v>
      </c>
      <c r="B1225" s="28" t="n">
        <v>2022</v>
      </c>
      <c r="C1225" s="28" t="s">
        <v>140</v>
      </c>
      <c r="D1225" s="28" t="s">
        <v>44</v>
      </c>
      <c r="E1225" s="28" t="s">
        <v>167</v>
      </c>
      <c r="F1225" s="28" t="s">
        <v>147</v>
      </c>
      <c r="G1225" s="28" t="s">
        <v>441</v>
      </c>
      <c r="H1225" s="28" t="s">
        <v>625</v>
      </c>
      <c r="I1225" s="29" t="n">
        <v>50000</v>
      </c>
      <c r="J1225" s="29" t="n">
        <v>25000</v>
      </c>
      <c r="K1225" s="28" t="n">
        <v>5.25</v>
      </c>
      <c r="L1225" s="28" t="n">
        <v>60</v>
      </c>
      <c r="M1225" s="28" t="n">
        <v>75</v>
      </c>
    </row>
    <row r="1226" customFormat="false" ht="15" hidden="false" customHeight="false" outlineLevel="0" collapsed="false">
      <c r="A1226" s="27" t="n">
        <v>44504</v>
      </c>
      <c r="B1226" s="28" t="n">
        <v>2022</v>
      </c>
      <c r="C1226" s="28" t="s">
        <v>163</v>
      </c>
      <c r="D1226" s="28" t="s">
        <v>44</v>
      </c>
      <c r="E1226" s="28" t="s">
        <v>167</v>
      </c>
      <c r="F1226" s="28" t="s">
        <v>142</v>
      </c>
      <c r="G1226" s="28" t="s">
        <v>148</v>
      </c>
      <c r="H1226" s="28" t="s">
        <v>229</v>
      </c>
      <c r="I1226" s="29" t="n">
        <v>350000</v>
      </c>
      <c r="J1226" s="29" t="n">
        <v>262500</v>
      </c>
      <c r="K1226" s="28" t="n">
        <v>6</v>
      </c>
      <c r="L1226" s="28" t="n">
        <v>120</v>
      </c>
      <c r="M1226" s="28" t="n">
        <v>5</v>
      </c>
    </row>
    <row r="1227" customFormat="false" ht="15" hidden="false" customHeight="false" outlineLevel="0" collapsed="false">
      <c r="A1227" s="27" t="n">
        <v>44504</v>
      </c>
      <c r="B1227" s="28" t="n">
        <v>2022</v>
      </c>
      <c r="C1227" s="28" t="s">
        <v>201</v>
      </c>
      <c r="D1227" s="28" t="s">
        <v>46</v>
      </c>
      <c r="E1227" s="28" t="s">
        <v>276</v>
      </c>
      <c r="F1227" s="28" t="s">
        <v>147</v>
      </c>
      <c r="G1227" s="28" t="s">
        <v>143</v>
      </c>
      <c r="H1227" s="28" t="s">
        <v>271</v>
      </c>
      <c r="I1227" s="29" t="n">
        <v>24000</v>
      </c>
      <c r="J1227" s="29" t="n">
        <v>12000</v>
      </c>
      <c r="K1227" s="28" t="n">
        <v>5</v>
      </c>
      <c r="L1227" s="28" t="n">
        <v>60</v>
      </c>
      <c r="M1227" s="28" t="n">
        <v>4</v>
      </c>
    </row>
    <row r="1228" customFormat="false" ht="15" hidden="false" customHeight="false" outlineLevel="0" collapsed="false">
      <c r="A1228" s="27" t="n">
        <v>44507</v>
      </c>
      <c r="B1228" s="28" t="n">
        <v>2022</v>
      </c>
      <c r="C1228" s="28" t="s">
        <v>173</v>
      </c>
      <c r="D1228" s="28" t="s">
        <v>50</v>
      </c>
      <c r="E1228" s="28" t="s">
        <v>687</v>
      </c>
      <c r="F1228" s="28" t="s">
        <v>142</v>
      </c>
      <c r="G1228" s="28" t="s">
        <v>143</v>
      </c>
      <c r="H1228" s="28" t="s">
        <v>200</v>
      </c>
      <c r="I1228" s="29" t="n">
        <v>136000</v>
      </c>
      <c r="J1228" s="29" t="n">
        <v>102000</v>
      </c>
      <c r="K1228" s="28" t="n">
        <v>6</v>
      </c>
      <c r="L1228" s="28" t="n">
        <v>124</v>
      </c>
      <c r="M1228" s="28" t="n">
        <v>4</v>
      </c>
    </row>
    <row r="1229" customFormat="false" ht="15" hidden="false" customHeight="false" outlineLevel="0" collapsed="false">
      <c r="A1229" s="27" t="n">
        <v>44508</v>
      </c>
      <c r="B1229" s="28" t="n">
        <v>2022</v>
      </c>
      <c r="C1229" s="28" t="s">
        <v>196</v>
      </c>
      <c r="D1229" s="28" t="s">
        <v>42</v>
      </c>
      <c r="E1229" s="28" t="s">
        <v>164</v>
      </c>
      <c r="F1229" s="28" t="s">
        <v>147</v>
      </c>
      <c r="G1229" s="28" t="s">
        <v>143</v>
      </c>
      <c r="H1229" s="28" t="s">
        <v>159</v>
      </c>
      <c r="I1229" s="29" t="n">
        <v>90000</v>
      </c>
      <c r="J1229" s="29" t="n">
        <v>45000</v>
      </c>
      <c r="K1229" s="28" t="n">
        <v>6.25</v>
      </c>
      <c r="L1229" s="28" t="n">
        <v>59</v>
      </c>
      <c r="M1229" s="28" t="n">
        <v>0</v>
      </c>
    </row>
    <row r="1230" customFormat="false" ht="15" hidden="false" customHeight="false" outlineLevel="0" collapsed="false">
      <c r="A1230" s="27" t="n">
        <v>44509</v>
      </c>
      <c r="B1230" s="28" t="n">
        <v>2022</v>
      </c>
      <c r="C1230" s="28" t="s">
        <v>145</v>
      </c>
      <c r="D1230" s="28" t="s">
        <v>44</v>
      </c>
      <c r="E1230" s="28" t="s">
        <v>294</v>
      </c>
      <c r="F1230" s="28" t="s">
        <v>147</v>
      </c>
      <c r="G1230" s="28" t="s">
        <v>441</v>
      </c>
      <c r="H1230" s="28" t="s">
        <v>191</v>
      </c>
      <c r="I1230" s="29" t="n">
        <v>25000</v>
      </c>
      <c r="J1230" s="29" t="n">
        <v>12500</v>
      </c>
      <c r="K1230" s="28" t="n">
        <v>8.65</v>
      </c>
      <c r="L1230" s="28" t="n">
        <v>120</v>
      </c>
      <c r="M1230" s="28" t="n">
        <v>2</v>
      </c>
    </row>
    <row r="1231" customFormat="false" ht="15" hidden="false" customHeight="false" outlineLevel="0" collapsed="false">
      <c r="A1231" s="27" t="n">
        <v>44509</v>
      </c>
      <c r="B1231" s="28" t="n">
        <v>2022</v>
      </c>
      <c r="C1231" s="28" t="s">
        <v>145</v>
      </c>
      <c r="D1231" s="28" t="s">
        <v>44</v>
      </c>
      <c r="E1231" s="28" t="s">
        <v>294</v>
      </c>
      <c r="F1231" s="28" t="s">
        <v>147</v>
      </c>
      <c r="G1231" s="28" t="s">
        <v>441</v>
      </c>
      <c r="H1231" s="28" t="s">
        <v>191</v>
      </c>
      <c r="I1231" s="29" t="n">
        <v>320000</v>
      </c>
      <c r="J1231" s="29" t="n">
        <v>160000</v>
      </c>
      <c r="K1231" s="28" t="n">
        <v>4.5</v>
      </c>
      <c r="L1231" s="28" t="n">
        <v>120</v>
      </c>
      <c r="M1231" s="28" t="n">
        <v>2</v>
      </c>
    </row>
    <row r="1232" customFormat="false" ht="15" hidden="false" customHeight="false" outlineLevel="0" collapsed="false">
      <c r="A1232" s="27" t="n">
        <v>44510</v>
      </c>
      <c r="B1232" s="28" t="n">
        <v>2022</v>
      </c>
      <c r="C1232" s="28" t="s">
        <v>384</v>
      </c>
      <c r="D1232" s="28" t="s">
        <v>43</v>
      </c>
      <c r="E1232" s="28" t="s">
        <v>245</v>
      </c>
      <c r="F1232" s="28" t="s">
        <v>142</v>
      </c>
      <c r="G1232" s="28" t="s">
        <v>148</v>
      </c>
      <c r="H1232" s="28" t="s">
        <v>211</v>
      </c>
      <c r="I1232" s="29" t="n">
        <v>150000</v>
      </c>
      <c r="J1232" s="29" t="n">
        <v>127500</v>
      </c>
      <c r="K1232" s="28" t="n">
        <v>6</v>
      </c>
      <c r="L1232" s="28" t="n">
        <v>120</v>
      </c>
      <c r="M1232" s="28" t="n">
        <v>2</v>
      </c>
    </row>
    <row r="1233" customFormat="false" ht="15" hidden="false" customHeight="false" outlineLevel="0" collapsed="false">
      <c r="A1233" s="27" t="n">
        <v>44510</v>
      </c>
      <c r="B1233" s="28" t="n">
        <v>2022</v>
      </c>
      <c r="C1233" s="28" t="s">
        <v>203</v>
      </c>
      <c r="D1233" s="28" t="s">
        <v>44</v>
      </c>
      <c r="E1233" s="28" t="s">
        <v>511</v>
      </c>
      <c r="F1233" s="28" t="s">
        <v>142</v>
      </c>
      <c r="G1233" s="28" t="s">
        <v>143</v>
      </c>
      <c r="H1233" s="28" t="s">
        <v>275</v>
      </c>
      <c r="I1233" s="29" t="n">
        <v>250000</v>
      </c>
      <c r="J1233" s="29" t="n">
        <v>187500</v>
      </c>
      <c r="K1233" s="28" t="n">
        <v>6</v>
      </c>
      <c r="L1233" s="28" t="n">
        <v>120</v>
      </c>
      <c r="M1233" s="28" t="n">
        <v>10</v>
      </c>
    </row>
    <row r="1234" customFormat="false" ht="15" hidden="false" customHeight="false" outlineLevel="0" collapsed="false">
      <c r="A1234" s="27" t="n">
        <v>44512</v>
      </c>
      <c r="B1234" s="28" t="n">
        <v>2022</v>
      </c>
      <c r="C1234" s="28" t="s">
        <v>196</v>
      </c>
      <c r="D1234" s="28" t="s">
        <v>42</v>
      </c>
      <c r="E1234" s="28" t="s">
        <v>164</v>
      </c>
      <c r="F1234" s="28" t="s">
        <v>147</v>
      </c>
      <c r="G1234" s="28" t="s">
        <v>441</v>
      </c>
      <c r="H1234" s="28" t="s">
        <v>159</v>
      </c>
      <c r="I1234" s="29" t="n">
        <v>10000</v>
      </c>
      <c r="J1234" s="29" t="n">
        <v>5000</v>
      </c>
      <c r="K1234" s="28" t="n">
        <v>5.5</v>
      </c>
      <c r="L1234" s="28" t="n">
        <v>120</v>
      </c>
      <c r="M1234" s="28" t="n">
        <v>0</v>
      </c>
    </row>
    <row r="1235" customFormat="false" ht="15" hidden="false" customHeight="false" outlineLevel="0" collapsed="false">
      <c r="A1235" s="27" t="n">
        <v>44512</v>
      </c>
      <c r="B1235" s="28" t="n">
        <v>2022</v>
      </c>
      <c r="C1235" s="28" t="s">
        <v>203</v>
      </c>
      <c r="D1235" s="28" t="s">
        <v>46</v>
      </c>
      <c r="E1235" s="28" t="s">
        <v>259</v>
      </c>
      <c r="F1235" s="28" t="s">
        <v>147</v>
      </c>
      <c r="G1235" s="28" t="s">
        <v>441</v>
      </c>
      <c r="H1235" s="28" t="s">
        <v>168</v>
      </c>
      <c r="I1235" s="29" t="n">
        <v>15000</v>
      </c>
      <c r="J1235" s="29" t="n">
        <v>7500</v>
      </c>
      <c r="K1235" s="28" t="n">
        <v>8.75</v>
      </c>
      <c r="L1235" s="28" t="n">
        <v>120</v>
      </c>
      <c r="M1235" s="28" t="n">
        <v>0</v>
      </c>
    </row>
    <row r="1236" customFormat="false" ht="15" hidden="false" customHeight="false" outlineLevel="0" collapsed="false">
      <c r="A1236" s="27" t="n">
        <v>44512</v>
      </c>
      <c r="B1236" s="28" t="n">
        <v>2022</v>
      </c>
      <c r="C1236" s="28" t="s">
        <v>163</v>
      </c>
      <c r="D1236" s="28" t="s">
        <v>46</v>
      </c>
      <c r="E1236" s="28" t="s">
        <v>688</v>
      </c>
      <c r="F1236" s="28" t="s">
        <v>142</v>
      </c>
      <c r="G1236" s="28" t="s">
        <v>143</v>
      </c>
      <c r="H1236" s="28" t="s">
        <v>287</v>
      </c>
      <c r="I1236" s="29" t="n">
        <v>150000</v>
      </c>
      <c r="J1236" s="29" t="n">
        <v>127500</v>
      </c>
      <c r="K1236" s="28" t="n">
        <v>6</v>
      </c>
      <c r="L1236" s="28" t="n">
        <v>94</v>
      </c>
      <c r="M1236" s="28" t="n">
        <v>3</v>
      </c>
    </row>
    <row r="1237" customFormat="false" ht="15" hidden="false" customHeight="false" outlineLevel="0" collapsed="false">
      <c r="A1237" s="27" t="n">
        <v>44515</v>
      </c>
      <c r="B1237" s="28" t="n">
        <v>2022</v>
      </c>
      <c r="C1237" s="28" t="s">
        <v>201</v>
      </c>
      <c r="D1237" s="28" t="s">
        <v>44</v>
      </c>
      <c r="E1237" s="28" t="s">
        <v>355</v>
      </c>
      <c r="F1237" s="28" t="s">
        <v>142</v>
      </c>
      <c r="G1237" s="28" t="s">
        <v>143</v>
      </c>
      <c r="H1237" s="28" t="s">
        <v>291</v>
      </c>
      <c r="I1237" s="29" t="n">
        <v>275000</v>
      </c>
      <c r="J1237" s="29" t="n">
        <v>206250</v>
      </c>
      <c r="K1237" s="28" t="n">
        <v>5.75</v>
      </c>
      <c r="L1237" s="28" t="n">
        <v>84</v>
      </c>
      <c r="M1237" s="28" t="n">
        <v>8</v>
      </c>
    </row>
    <row r="1238" customFormat="false" ht="15" hidden="false" customHeight="false" outlineLevel="0" collapsed="false">
      <c r="A1238" s="27" t="n">
        <v>44516</v>
      </c>
      <c r="B1238" s="28" t="n">
        <v>2022</v>
      </c>
      <c r="C1238" s="28" t="s">
        <v>172</v>
      </c>
      <c r="D1238" s="28" t="s">
        <v>48</v>
      </c>
      <c r="E1238" s="28" t="s">
        <v>295</v>
      </c>
      <c r="F1238" s="28" t="s">
        <v>147</v>
      </c>
      <c r="G1238" s="28" t="s">
        <v>148</v>
      </c>
      <c r="H1238" s="28" t="s">
        <v>159</v>
      </c>
      <c r="I1238" s="29" t="n">
        <v>350000</v>
      </c>
      <c r="J1238" s="29" t="n">
        <v>175000</v>
      </c>
      <c r="K1238" s="28" t="n">
        <v>4.25</v>
      </c>
      <c r="L1238" s="28" t="n">
        <v>119</v>
      </c>
      <c r="M1238" s="28" t="n">
        <v>7</v>
      </c>
    </row>
    <row r="1239" customFormat="false" ht="15" hidden="false" customHeight="false" outlineLevel="0" collapsed="false">
      <c r="A1239" s="27" t="n">
        <v>44516</v>
      </c>
      <c r="B1239" s="28" t="n">
        <v>2022</v>
      </c>
      <c r="C1239" s="28" t="s">
        <v>169</v>
      </c>
      <c r="D1239" s="28" t="s">
        <v>46</v>
      </c>
      <c r="E1239" s="28" t="s">
        <v>259</v>
      </c>
      <c r="F1239" s="28" t="s">
        <v>194</v>
      </c>
      <c r="G1239" s="28" t="s">
        <v>143</v>
      </c>
      <c r="H1239" s="28" t="s">
        <v>679</v>
      </c>
      <c r="I1239" s="29" t="n">
        <v>62100</v>
      </c>
      <c r="J1239" s="29" t="n">
        <v>52785</v>
      </c>
      <c r="K1239" s="28" t="n">
        <v>6</v>
      </c>
      <c r="L1239" s="28" t="n">
        <v>84</v>
      </c>
      <c r="M1239" s="28" t="n">
        <v>19</v>
      </c>
    </row>
    <row r="1240" customFormat="false" ht="15" hidden="false" customHeight="false" outlineLevel="0" collapsed="false">
      <c r="A1240" s="27" t="n">
        <v>44517</v>
      </c>
      <c r="B1240" s="28" t="n">
        <v>2022</v>
      </c>
      <c r="C1240" s="28" t="s">
        <v>488</v>
      </c>
      <c r="D1240" s="28" t="s">
        <v>43</v>
      </c>
      <c r="E1240" s="28" t="s">
        <v>219</v>
      </c>
      <c r="F1240" s="28" t="s">
        <v>142</v>
      </c>
      <c r="G1240" s="28" t="s">
        <v>441</v>
      </c>
      <c r="H1240" s="28" t="s">
        <v>269</v>
      </c>
      <c r="I1240" s="29" t="n">
        <v>658300</v>
      </c>
      <c r="J1240" s="29" t="n">
        <v>493725</v>
      </c>
      <c r="K1240" s="28" t="n">
        <v>5.5</v>
      </c>
      <c r="L1240" s="28" t="n">
        <v>300</v>
      </c>
      <c r="M1240" s="28" t="n">
        <v>4</v>
      </c>
    </row>
    <row r="1241" customFormat="false" ht="15" hidden="false" customHeight="false" outlineLevel="0" collapsed="false">
      <c r="A1241" s="27" t="n">
        <v>44517</v>
      </c>
      <c r="B1241" s="28" t="n">
        <v>2022</v>
      </c>
      <c r="C1241" s="28" t="s">
        <v>310</v>
      </c>
      <c r="D1241" s="28" t="s">
        <v>45</v>
      </c>
      <c r="E1241" s="28" t="s">
        <v>378</v>
      </c>
      <c r="F1241" s="28" t="s">
        <v>283</v>
      </c>
      <c r="G1241" s="28" t="s">
        <v>148</v>
      </c>
      <c r="H1241" s="28" t="s">
        <v>306</v>
      </c>
      <c r="I1241" s="29" t="n">
        <v>75000</v>
      </c>
      <c r="J1241" s="29" t="n">
        <v>56250</v>
      </c>
      <c r="K1241" s="28" t="n">
        <v>5.25</v>
      </c>
      <c r="L1241" s="28" t="n">
        <v>22</v>
      </c>
      <c r="M1241" s="28" t="n">
        <v>5</v>
      </c>
    </row>
    <row r="1242" customFormat="false" ht="15" hidden="false" customHeight="false" outlineLevel="0" collapsed="false">
      <c r="A1242" s="27" t="n">
        <v>44517</v>
      </c>
      <c r="B1242" s="28" t="n">
        <v>2022</v>
      </c>
      <c r="C1242" s="28" t="s">
        <v>196</v>
      </c>
      <c r="D1242" s="28" t="s">
        <v>44</v>
      </c>
      <c r="E1242" s="28" t="s">
        <v>294</v>
      </c>
      <c r="F1242" s="28" t="s">
        <v>194</v>
      </c>
      <c r="G1242" s="28" t="s">
        <v>148</v>
      </c>
      <c r="H1242" s="28" t="s">
        <v>278</v>
      </c>
      <c r="I1242" s="29" t="n">
        <v>257000</v>
      </c>
      <c r="J1242" s="29" t="n">
        <v>192750</v>
      </c>
      <c r="K1242" s="28" t="n">
        <v>4.75</v>
      </c>
      <c r="L1242" s="28" t="n">
        <v>300</v>
      </c>
      <c r="M1242" s="28" t="n">
        <v>3</v>
      </c>
    </row>
    <row r="1243" customFormat="false" ht="15" hidden="false" customHeight="false" outlineLevel="0" collapsed="false">
      <c r="A1243" s="27" t="n">
        <v>44517</v>
      </c>
      <c r="B1243" s="28" t="n">
        <v>2022</v>
      </c>
      <c r="C1243" s="28" t="s">
        <v>166</v>
      </c>
      <c r="D1243" s="28" t="s">
        <v>50</v>
      </c>
      <c r="E1243" s="28" t="s">
        <v>427</v>
      </c>
      <c r="F1243" s="28" t="s">
        <v>142</v>
      </c>
      <c r="G1243" s="28" t="s">
        <v>143</v>
      </c>
      <c r="H1243" s="28" t="s">
        <v>287</v>
      </c>
      <c r="I1243" s="29" t="n">
        <v>150000</v>
      </c>
      <c r="J1243" s="29" t="n">
        <v>127500</v>
      </c>
      <c r="K1243" s="28" t="n">
        <v>6</v>
      </c>
      <c r="L1243" s="28" t="n">
        <v>120</v>
      </c>
      <c r="M1243" s="28" t="n">
        <v>5</v>
      </c>
    </row>
    <row r="1244" customFormat="false" ht="15" hidden="false" customHeight="false" outlineLevel="0" collapsed="false">
      <c r="A1244" s="27" t="n">
        <v>44518</v>
      </c>
      <c r="B1244" s="28" t="n">
        <v>2022</v>
      </c>
      <c r="C1244" s="28" t="s">
        <v>175</v>
      </c>
      <c r="D1244" s="28" t="s">
        <v>43</v>
      </c>
      <c r="E1244" s="28" t="s">
        <v>689</v>
      </c>
      <c r="F1244" s="28" t="s">
        <v>142</v>
      </c>
      <c r="G1244" s="28" t="s">
        <v>148</v>
      </c>
      <c r="H1244" s="28" t="s">
        <v>171</v>
      </c>
      <c r="I1244" s="29" t="n">
        <v>300000</v>
      </c>
      <c r="J1244" s="29" t="n">
        <v>225000</v>
      </c>
      <c r="K1244" s="28" t="n">
        <v>6</v>
      </c>
      <c r="L1244" s="28" t="n">
        <v>120</v>
      </c>
      <c r="M1244" s="28" t="n">
        <v>2</v>
      </c>
    </row>
    <row r="1245" customFormat="false" ht="15" hidden="false" customHeight="false" outlineLevel="0" collapsed="false">
      <c r="A1245" s="27" t="n">
        <v>44518</v>
      </c>
      <c r="B1245" s="28" t="n">
        <v>2022</v>
      </c>
      <c r="C1245" s="28" t="s">
        <v>379</v>
      </c>
      <c r="D1245" s="28" t="s">
        <v>52</v>
      </c>
      <c r="E1245" s="28" t="s">
        <v>690</v>
      </c>
      <c r="F1245" s="28" t="s">
        <v>194</v>
      </c>
      <c r="G1245" s="28" t="s">
        <v>143</v>
      </c>
      <c r="H1245" s="28" t="s">
        <v>195</v>
      </c>
      <c r="I1245" s="29" t="n">
        <v>31500</v>
      </c>
      <c r="J1245" s="29" t="n">
        <v>26775</v>
      </c>
      <c r="K1245" s="28" t="n">
        <v>5.5</v>
      </c>
      <c r="L1245" s="28" t="n">
        <v>60</v>
      </c>
      <c r="M1245" s="28" t="n">
        <v>2</v>
      </c>
    </row>
    <row r="1246" customFormat="false" ht="15" hidden="false" customHeight="false" outlineLevel="0" collapsed="false">
      <c r="A1246" s="27" t="n">
        <v>44518</v>
      </c>
      <c r="B1246" s="28" t="n">
        <v>2022</v>
      </c>
      <c r="C1246" s="28" t="s">
        <v>235</v>
      </c>
      <c r="D1246" s="28" t="s">
        <v>47</v>
      </c>
      <c r="E1246" s="28" t="s">
        <v>691</v>
      </c>
      <c r="F1246" s="28" t="s">
        <v>147</v>
      </c>
      <c r="G1246" s="28" t="s">
        <v>441</v>
      </c>
      <c r="H1246" s="28" t="s">
        <v>168</v>
      </c>
      <c r="I1246" s="29" t="n">
        <v>10000</v>
      </c>
      <c r="J1246" s="29" t="n">
        <v>5000</v>
      </c>
      <c r="K1246" s="28" t="n">
        <v>8.25</v>
      </c>
      <c r="L1246" s="28" t="n">
        <v>120</v>
      </c>
      <c r="M1246" s="28" t="n">
        <v>0</v>
      </c>
    </row>
    <row r="1247" customFormat="false" ht="15" hidden="false" customHeight="false" outlineLevel="0" collapsed="false">
      <c r="A1247" s="27" t="n">
        <v>44518</v>
      </c>
      <c r="B1247" s="28" t="n">
        <v>2022</v>
      </c>
      <c r="C1247" s="28" t="s">
        <v>172</v>
      </c>
      <c r="D1247" s="28" t="s">
        <v>48</v>
      </c>
      <c r="E1247" s="28" t="s">
        <v>295</v>
      </c>
      <c r="F1247" s="28" t="s">
        <v>142</v>
      </c>
      <c r="G1247" s="28" t="s">
        <v>152</v>
      </c>
      <c r="H1247" s="28" t="s">
        <v>621</v>
      </c>
      <c r="I1247" s="29" t="n">
        <v>4563000</v>
      </c>
      <c r="J1247" s="29" t="n">
        <v>3422250</v>
      </c>
      <c r="K1247" s="28" t="n">
        <v>5.75</v>
      </c>
      <c r="L1247" s="28" t="n">
        <v>132</v>
      </c>
      <c r="M1247" s="28" t="n">
        <v>25</v>
      </c>
    </row>
    <row r="1248" customFormat="false" ht="15" hidden="false" customHeight="false" outlineLevel="0" collapsed="false">
      <c r="A1248" s="27" t="n">
        <v>44519</v>
      </c>
      <c r="B1248" s="28" t="n">
        <v>2022</v>
      </c>
      <c r="C1248" s="28" t="s">
        <v>169</v>
      </c>
      <c r="D1248" s="28" t="s">
        <v>48</v>
      </c>
      <c r="E1248" s="28" t="s">
        <v>182</v>
      </c>
      <c r="F1248" s="28" t="s">
        <v>142</v>
      </c>
      <c r="G1248" s="28" t="s">
        <v>148</v>
      </c>
      <c r="H1248" s="28" t="s">
        <v>211</v>
      </c>
      <c r="I1248" s="29" t="n">
        <v>150000</v>
      </c>
      <c r="J1248" s="29" t="n">
        <v>127500</v>
      </c>
      <c r="K1248" s="28" t="n">
        <v>6</v>
      </c>
      <c r="L1248" s="28" t="n">
        <v>120</v>
      </c>
      <c r="M1248" s="28" t="n">
        <v>4</v>
      </c>
    </row>
    <row r="1249" customFormat="false" ht="15" hidden="false" customHeight="false" outlineLevel="0" collapsed="false">
      <c r="A1249" s="27" t="n">
        <v>44522</v>
      </c>
      <c r="B1249" s="28" t="n">
        <v>2022</v>
      </c>
      <c r="C1249" s="28" t="s">
        <v>303</v>
      </c>
      <c r="D1249" s="28" t="s">
        <v>52</v>
      </c>
      <c r="E1249" s="28" t="s">
        <v>468</v>
      </c>
      <c r="F1249" s="28" t="s">
        <v>142</v>
      </c>
      <c r="G1249" s="28" t="s">
        <v>441</v>
      </c>
      <c r="H1249" s="28" t="s">
        <v>269</v>
      </c>
      <c r="I1249" s="29" t="n">
        <v>671800</v>
      </c>
      <c r="J1249" s="29" t="n">
        <v>503850</v>
      </c>
      <c r="K1249" s="28" t="n">
        <v>6</v>
      </c>
      <c r="L1249" s="28" t="n">
        <v>88</v>
      </c>
      <c r="M1249" s="28" t="n">
        <v>14</v>
      </c>
    </row>
    <row r="1250" customFormat="false" ht="15" hidden="false" customHeight="false" outlineLevel="0" collapsed="false">
      <c r="A1250" s="27" t="n">
        <v>44522</v>
      </c>
      <c r="B1250" s="28" t="n">
        <v>2022</v>
      </c>
      <c r="C1250" s="28" t="s">
        <v>303</v>
      </c>
      <c r="D1250" s="28" t="s">
        <v>56</v>
      </c>
      <c r="E1250" s="28" t="s">
        <v>464</v>
      </c>
      <c r="F1250" s="28" t="s">
        <v>142</v>
      </c>
      <c r="G1250" s="28" t="s">
        <v>441</v>
      </c>
      <c r="H1250" s="28" t="s">
        <v>200</v>
      </c>
      <c r="I1250" s="29" t="n">
        <v>40000</v>
      </c>
      <c r="J1250" s="29" t="n">
        <v>34000</v>
      </c>
      <c r="K1250" s="28" t="n">
        <v>6</v>
      </c>
      <c r="L1250" s="28" t="n">
        <v>120</v>
      </c>
      <c r="M1250" s="28" t="n">
        <v>14</v>
      </c>
    </row>
    <row r="1251" customFormat="false" ht="15" hidden="false" customHeight="false" outlineLevel="0" collapsed="false">
      <c r="A1251" s="27" t="n">
        <v>44522</v>
      </c>
      <c r="B1251" s="28" t="n">
        <v>2022</v>
      </c>
      <c r="C1251" s="28" t="s">
        <v>303</v>
      </c>
      <c r="D1251" s="28" t="s">
        <v>52</v>
      </c>
      <c r="E1251" s="28" t="s">
        <v>468</v>
      </c>
      <c r="F1251" s="28" t="s">
        <v>142</v>
      </c>
      <c r="G1251" s="28" t="s">
        <v>441</v>
      </c>
      <c r="H1251" s="28" t="s">
        <v>269</v>
      </c>
      <c r="I1251" s="29" t="n">
        <v>552200</v>
      </c>
      <c r="J1251" s="29" t="n">
        <v>414150</v>
      </c>
      <c r="K1251" s="28" t="n">
        <v>6</v>
      </c>
      <c r="L1251" s="28" t="n">
        <v>88</v>
      </c>
      <c r="M1251" s="28" t="n">
        <v>13</v>
      </c>
    </row>
    <row r="1252" customFormat="false" ht="15" hidden="false" customHeight="false" outlineLevel="0" collapsed="false">
      <c r="A1252" s="27" t="n">
        <v>44523</v>
      </c>
      <c r="B1252" s="28" t="n">
        <v>2022</v>
      </c>
      <c r="C1252" s="28" t="s">
        <v>172</v>
      </c>
      <c r="D1252" s="28" t="s">
        <v>48</v>
      </c>
      <c r="E1252" s="28" t="s">
        <v>362</v>
      </c>
      <c r="F1252" s="28" t="s">
        <v>147</v>
      </c>
      <c r="G1252" s="28" t="s">
        <v>143</v>
      </c>
      <c r="H1252" s="28" t="s">
        <v>278</v>
      </c>
      <c r="I1252" s="29" t="n">
        <v>500000</v>
      </c>
      <c r="J1252" s="29" t="n">
        <v>250000</v>
      </c>
      <c r="K1252" s="28" t="n">
        <v>6</v>
      </c>
      <c r="L1252" s="28" t="n">
        <v>72</v>
      </c>
      <c r="M1252" s="28" t="n">
        <v>5</v>
      </c>
    </row>
    <row r="1253" customFormat="false" ht="15" hidden="false" customHeight="false" outlineLevel="0" collapsed="false">
      <c r="A1253" s="27" t="n">
        <v>44524</v>
      </c>
      <c r="B1253" s="28" t="n">
        <v>2022</v>
      </c>
      <c r="C1253" s="28" t="s">
        <v>203</v>
      </c>
      <c r="D1253" s="28" t="s">
        <v>45</v>
      </c>
      <c r="E1253" s="28" t="s">
        <v>293</v>
      </c>
      <c r="F1253" s="28" t="s">
        <v>142</v>
      </c>
      <c r="G1253" s="28" t="s">
        <v>148</v>
      </c>
      <c r="H1253" s="28" t="s">
        <v>275</v>
      </c>
      <c r="I1253" s="29" t="n">
        <v>100000</v>
      </c>
      <c r="J1253" s="29" t="n">
        <v>85000</v>
      </c>
      <c r="K1253" s="28" t="n">
        <v>6</v>
      </c>
      <c r="L1253" s="28" t="n">
        <v>120</v>
      </c>
      <c r="M1253" s="28" t="n">
        <v>5</v>
      </c>
    </row>
    <row r="1254" customFormat="false" ht="15" hidden="false" customHeight="false" outlineLevel="0" collapsed="false">
      <c r="A1254" s="27" t="n">
        <v>44530</v>
      </c>
      <c r="B1254" s="28" t="n">
        <v>2022</v>
      </c>
      <c r="C1254" s="28" t="s">
        <v>163</v>
      </c>
      <c r="D1254" s="28" t="s">
        <v>42</v>
      </c>
      <c r="E1254" s="28" t="s">
        <v>242</v>
      </c>
      <c r="F1254" s="28" t="s">
        <v>142</v>
      </c>
      <c r="G1254" s="28" t="s">
        <v>143</v>
      </c>
      <c r="H1254" s="28" t="s">
        <v>382</v>
      </c>
      <c r="I1254" s="29" t="n">
        <v>111400</v>
      </c>
      <c r="J1254" s="29" t="n">
        <v>94690</v>
      </c>
      <c r="K1254" s="28" t="n">
        <v>6</v>
      </c>
      <c r="L1254" s="28" t="n">
        <v>120</v>
      </c>
      <c r="M1254" s="28" t="n">
        <v>39</v>
      </c>
    </row>
    <row r="1255" customFormat="false" ht="15" hidden="false" customHeight="false" outlineLevel="0" collapsed="false">
      <c r="A1255" s="27" t="n">
        <v>44531</v>
      </c>
      <c r="B1255" s="28" t="n">
        <v>2022</v>
      </c>
      <c r="C1255" s="28" t="s">
        <v>252</v>
      </c>
      <c r="D1255" s="28" t="s">
        <v>45</v>
      </c>
      <c r="E1255" s="28" t="s">
        <v>356</v>
      </c>
      <c r="F1255" s="28" t="s">
        <v>147</v>
      </c>
      <c r="G1255" s="28" t="s">
        <v>148</v>
      </c>
      <c r="H1255" s="28" t="s">
        <v>159</v>
      </c>
      <c r="I1255" s="29" t="n">
        <v>150000</v>
      </c>
      <c r="J1255" s="29" t="n">
        <v>75000</v>
      </c>
      <c r="K1255" s="28" t="n">
        <v>7</v>
      </c>
      <c r="L1255" s="28" t="n">
        <v>119</v>
      </c>
      <c r="M1255" s="28" t="n">
        <v>26</v>
      </c>
    </row>
    <row r="1256" customFormat="false" ht="15" hidden="false" customHeight="false" outlineLevel="0" collapsed="false">
      <c r="A1256" s="27" t="n">
        <v>44531</v>
      </c>
      <c r="B1256" s="28" t="n">
        <v>2022</v>
      </c>
      <c r="C1256" s="28" t="s">
        <v>213</v>
      </c>
      <c r="D1256" s="28" t="s">
        <v>43</v>
      </c>
      <c r="E1256" s="28" t="s">
        <v>274</v>
      </c>
      <c r="F1256" s="28" t="s">
        <v>142</v>
      </c>
      <c r="G1256" s="28" t="s">
        <v>148</v>
      </c>
      <c r="H1256" s="28" t="s">
        <v>314</v>
      </c>
      <c r="I1256" s="29" t="n">
        <v>3169000</v>
      </c>
      <c r="J1256" s="29" t="n">
        <v>2376750</v>
      </c>
      <c r="K1256" s="28" t="n">
        <v>4.75</v>
      </c>
      <c r="L1256" s="28" t="n">
        <v>300</v>
      </c>
      <c r="M1256" s="28" t="n">
        <v>12</v>
      </c>
    </row>
    <row r="1257" customFormat="false" ht="15" hidden="false" customHeight="false" outlineLevel="0" collapsed="false">
      <c r="A1257" s="27" t="n">
        <v>44531</v>
      </c>
      <c r="B1257" s="28" t="n">
        <v>2022</v>
      </c>
      <c r="C1257" s="28" t="s">
        <v>166</v>
      </c>
      <c r="D1257" s="28" t="s">
        <v>50</v>
      </c>
      <c r="E1257" s="28" t="s">
        <v>389</v>
      </c>
      <c r="F1257" s="28" t="s">
        <v>142</v>
      </c>
      <c r="G1257" s="28" t="s">
        <v>152</v>
      </c>
      <c r="H1257" s="28" t="s">
        <v>144</v>
      </c>
      <c r="I1257" s="29" t="n">
        <v>1100000</v>
      </c>
      <c r="J1257" s="29" t="n">
        <v>825000</v>
      </c>
      <c r="K1257" s="28" t="n">
        <v>6</v>
      </c>
      <c r="L1257" s="28" t="n">
        <v>168</v>
      </c>
      <c r="M1257" s="28" t="n">
        <v>7</v>
      </c>
    </row>
    <row r="1258" customFormat="false" ht="15" hidden="false" customHeight="false" outlineLevel="0" collapsed="false">
      <c r="A1258" s="27" t="n">
        <v>44532</v>
      </c>
      <c r="B1258" s="28" t="n">
        <v>2022</v>
      </c>
      <c r="C1258" s="28" t="s">
        <v>203</v>
      </c>
      <c r="D1258" s="28" t="s">
        <v>52</v>
      </c>
      <c r="E1258" s="28" t="s">
        <v>468</v>
      </c>
      <c r="F1258" s="28" t="s">
        <v>147</v>
      </c>
      <c r="G1258" s="28" t="s">
        <v>143</v>
      </c>
      <c r="H1258" s="28" t="s">
        <v>159</v>
      </c>
      <c r="I1258" s="29" t="n">
        <v>20000</v>
      </c>
      <c r="J1258" s="29" t="n">
        <v>10000</v>
      </c>
      <c r="K1258" s="28" t="n">
        <v>5.75</v>
      </c>
      <c r="L1258" s="28" t="n">
        <v>110</v>
      </c>
      <c r="M1258" s="28" t="n">
        <v>2</v>
      </c>
    </row>
    <row r="1259" customFormat="false" ht="15" hidden="false" customHeight="false" outlineLevel="0" collapsed="false">
      <c r="A1259" s="27" t="n">
        <v>44532</v>
      </c>
      <c r="B1259" s="28" t="n">
        <v>2022</v>
      </c>
      <c r="C1259" s="28" t="s">
        <v>196</v>
      </c>
      <c r="D1259" s="28" t="s">
        <v>42</v>
      </c>
      <c r="E1259" s="28" t="s">
        <v>180</v>
      </c>
      <c r="F1259" s="28" t="s">
        <v>194</v>
      </c>
      <c r="G1259" s="28" t="s">
        <v>152</v>
      </c>
      <c r="H1259" s="28" t="s">
        <v>692</v>
      </c>
      <c r="I1259" s="29" t="n">
        <v>595000</v>
      </c>
      <c r="J1259" s="29" t="n">
        <v>446250</v>
      </c>
      <c r="K1259" s="28" t="n">
        <v>5.75</v>
      </c>
      <c r="L1259" s="28" t="n">
        <v>120</v>
      </c>
      <c r="M1259" s="28" t="n">
        <v>24</v>
      </c>
    </row>
    <row r="1260" customFormat="false" ht="15" hidden="false" customHeight="false" outlineLevel="0" collapsed="false">
      <c r="A1260" s="27" t="n">
        <v>44532</v>
      </c>
      <c r="B1260" s="28" t="n">
        <v>2022</v>
      </c>
      <c r="C1260" s="28" t="s">
        <v>203</v>
      </c>
      <c r="D1260" s="28" t="s">
        <v>52</v>
      </c>
      <c r="E1260" s="28" t="s">
        <v>468</v>
      </c>
      <c r="F1260" s="28" t="s">
        <v>147</v>
      </c>
      <c r="G1260" s="28" t="s">
        <v>143</v>
      </c>
      <c r="H1260" s="28" t="s">
        <v>159</v>
      </c>
      <c r="I1260" s="29" t="n">
        <v>90000</v>
      </c>
      <c r="J1260" s="29" t="n">
        <v>45000</v>
      </c>
      <c r="K1260" s="28" t="n">
        <v>6.25</v>
      </c>
      <c r="L1260" s="28" t="n">
        <v>84</v>
      </c>
      <c r="M1260" s="28" t="n">
        <v>2</v>
      </c>
    </row>
    <row r="1261" customFormat="false" ht="15" hidden="false" customHeight="false" outlineLevel="0" collapsed="false">
      <c r="A1261" s="27" t="n">
        <v>44532</v>
      </c>
      <c r="B1261" s="28" t="n">
        <v>2022</v>
      </c>
      <c r="C1261" s="28" t="s">
        <v>203</v>
      </c>
      <c r="D1261" s="28" t="s">
        <v>48</v>
      </c>
      <c r="E1261" s="28" t="s">
        <v>309</v>
      </c>
      <c r="F1261" s="28" t="s">
        <v>142</v>
      </c>
      <c r="G1261" s="28" t="s">
        <v>148</v>
      </c>
      <c r="H1261" s="28" t="s">
        <v>200</v>
      </c>
      <c r="I1261" s="29" t="n">
        <v>85000</v>
      </c>
      <c r="J1261" s="29" t="n">
        <v>72250</v>
      </c>
      <c r="K1261" s="28" t="n">
        <v>6</v>
      </c>
      <c r="L1261" s="28" t="n">
        <v>120</v>
      </c>
      <c r="M1261" s="28" t="n">
        <v>10</v>
      </c>
    </row>
    <row r="1262" customFormat="false" ht="15" hidden="false" customHeight="false" outlineLevel="0" collapsed="false">
      <c r="A1262" s="27" t="n">
        <v>44532</v>
      </c>
      <c r="B1262" s="28" t="n">
        <v>2022</v>
      </c>
      <c r="C1262" s="28" t="s">
        <v>163</v>
      </c>
      <c r="D1262" s="28" t="s">
        <v>51</v>
      </c>
      <c r="E1262" s="28" t="s">
        <v>239</v>
      </c>
      <c r="F1262" s="28" t="s">
        <v>142</v>
      </c>
      <c r="G1262" s="28" t="s">
        <v>441</v>
      </c>
      <c r="H1262" s="28" t="s">
        <v>200</v>
      </c>
      <c r="I1262" s="29" t="n">
        <v>105000</v>
      </c>
      <c r="J1262" s="29" t="n">
        <v>89250</v>
      </c>
      <c r="K1262" s="28" t="n">
        <v>6</v>
      </c>
      <c r="L1262" s="28" t="n">
        <v>120</v>
      </c>
      <c r="M1262" s="28" t="n">
        <v>20</v>
      </c>
    </row>
    <row r="1263" customFormat="false" ht="15" hidden="false" customHeight="false" outlineLevel="0" collapsed="false">
      <c r="A1263" s="27" t="n">
        <v>44532</v>
      </c>
      <c r="B1263" s="28" t="n">
        <v>2022</v>
      </c>
      <c r="C1263" s="28" t="s">
        <v>160</v>
      </c>
      <c r="D1263" s="28" t="s">
        <v>42</v>
      </c>
      <c r="E1263" s="28" t="s">
        <v>180</v>
      </c>
      <c r="F1263" s="28" t="s">
        <v>142</v>
      </c>
      <c r="G1263" s="28" t="s">
        <v>143</v>
      </c>
      <c r="H1263" s="28" t="s">
        <v>463</v>
      </c>
      <c r="I1263" s="29" t="n">
        <v>424000</v>
      </c>
      <c r="J1263" s="29" t="n">
        <v>318000</v>
      </c>
      <c r="K1263" s="28" t="n">
        <v>6</v>
      </c>
      <c r="L1263" s="28" t="n">
        <v>123</v>
      </c>
      <c r="M1263" s="28" t="n">
        <v>12</v>
      </c>
    </row>
    <row r="1264" customFormat="false" ht="15" hidden="false" customHeight="false" outlineLevel="0" collapsed="false">
      <c r="A1264" s="27" t="n">
        <v>44533</v>
      </c>
      <c r="B1264" s="28" t="n">
        <v>2022</v>
      </c>
      <c r="C1264" s="28" t="s">
        <v>675</v>
      </c>
      <c r="D1264" s="28" t="s">
        <v>42</v>
      </c>
      <c r="E1264" s="28" t="s">
        <v>180</v>
      </c>
      <c r="F1264" s="28" t="s">
        <v>147</v>
      </c>
      <c r="G1264" s="28" t="s">
        <v>143</v>
      </c>
      <c r="H1264" s="28" t="s">
        <v>482</v>
      </c>
      <c r="I1264" s="29" t="n">
        <v>208600</v>
      </c>
      <c r="J1264" s="29" t="n">
        <v>104300</v>
      </c>
      <c r="K1264" s="28" t="n">
        <v>4.24</v>
      </c>
      <c r="L1264" s="28" t="n">
        <v>72</v>
      </c>
      <c r="M1264" s="28" t="n">
        <v>12</v>
      </c>
    </row>
    <row r="1265" customFormat="false" ht="15" hidden="false" customHeight="false" outlineLevel="0" collapsed="false">
      <c r="A1265" s="27" t="n">
        <v>44533</v>
      </c>
      <c r="B1265" s="28" t="n">
        <v>2022</v>
      </c>
      <c r="C1265" s="28" t="s">
        <v>344</v>
      </c>
      <c r="D1265" s="28" t="s">
        <v>47</v>
      </c>
      <c r="E1265" s="28" t="s">
        <v>595</v>
      </c>
      <c r="F1265" s="28" t="s">
        <v>147</v>
      </c>
      <c r="G1265" s="28" t="s">
        <v>148</v>
      </c>
      <c r="H1265" s="28" t="s">
        <v>281</v>
      </c>
      <c r="I1265" s="29" t="n">
        <v>100000</v>
      </c>
      <c r="J1265" s="29" t="n">
        <v>50000</v>
      </c>
      <c r="K1265" s="28" t="n">
        <v>6</v>
      </c>
      <c r="L1265" s="28" t="n">
        <v>120</v>
      </c>
      <c r="M1265" s="28" t="n">
        <v>5</v>
      </c>
    </row>
    <row r="1266" customFormat="false" ht="15" hidden="false" customHeight="false" outlineLevel="0" collapsed="false">
      <c r="A1266" s="27" t="n">
        <v>44533</v>
      </c>
      <c r="B1266" s="28" t="n">
        <v>2022</v>
      </c>
      <c r="C1266" s="28" t="s">
        <v>163</v>
      </c>
      <c r="D1266" s="28" t="s">
        <v>51</v>
      </c>
      <c r="E1266" s="28" t="s">
        <v>531</v>
      </c>
      <c r="F1266" s="28" t="s">
        <v>142</v>
      </c>
      <c r="G1266" s="28" t="s">
        <v>148</v>
      </c>
      <c r="H1266" s="28" t="s">
        <v>200</v>
      </c>
      <c r="I1266" s="29" t="n">
        <v>53000</v>
      </c>
      <c r="J1266" s="29" t="n">
        <v>45050</v>
      </c>
      <c r="K1266" s="28" t="n">
        <v>6</v>
      </c>
      <c r="L1266" s="28" t="n">
        <v>120</v>
      </c>
      <c r="M1266" s="28" t="n">
        <v>6</v>
      </c>
    </row>
    <row r="1267" customFormat="false" ht="15" hidden="false" customHeight="false" outlineLevel="0" collapsed="false">
      <c r="A1267" s="27" t="n">
        <v>44537</v>
      </c>
      <c r="B1267" s="28" t="n">
        <v>2022</v>
      </c>
      <c r="C1267" s="28" t="s">
        <v>310</v>
      </c>
      <c r="D1267" s="28" t="s">
        <v>50</v>
      </c>
      <c r="E1267" s="28" t="s">
        <v>461</v>
      </c>
      <c r="F1267" s="28" t="s">
        <v>142</v>
      </c>
      <c r="G1267" s="28" t="s">
        <v>441</v>
      </c>
      <c r="H1267" s="28" t="s">
        <v>306</v>
      </c>
      <c r="I1267" s="29" t="n">
        <v>100700</v>
      </c>
      <c r="J1267" s="29" t="n">
        <v>85595</v>
      </c>
      <c r="K1267" s="28" t="n">
        <v>4.75</v>
      </c>
      <c r="L1267" s="28" t="n">
        <v>72</v>
      </c>
      <c r="M1267" s="28" t="n">
        <v>5</v>
      </c>
    </row>
    <row r="1268" customFormat="false" ht="15" hidden="false" customHeight="false" outlineLevel="0" collapsed="false">
      <c r="A1268" s="27" t="n">
        <v>44537</v>
      </c>
      <c r="B1268" s="28" t="n">
        <v>2022</v>
      </c>
      <c r="C1268" s="28" t="s">
        <v>522</v>
      </c>
      <c r="D1268" s="28" t="s">
        <v>50</v>
      </c>
      <c r="E1268" s="28" t="s">
        <v>400</v>
      </c>
      <c r="F1268" s="28" t="s">
        <v>147</v>
      </c>
      <c r="G1268" s="28" t="s">
        <v>441</v>
      </c>
      <c r="H1268" s="28" t="s">
        <v>205</v>
      </c>
      <c r="I1268" s="29" t="n">
        <v>25000</v>
      </c>
      <c r="J1268" s="29" t="n">
        <v>12500</v>
      </c>
      <c r="K1268" s="28" t="n">
        <v>9.75</v>
      </c>
      <c r="L1268" s="28" t="n">
        <v>120</v>
      </c>
      <c r="M1268" s="28" t="n">
        <v>8</v>
      </c>
    </row>
    <row r="1269" customFormat="false" ht="15" hidden="false" customHeight="false" outlineLevel="0" collapsed="false">
      <c r="A1269" s="27" t="n">
        <v>44537</v>
      </c>
      <c r="B1269" s="28" t="n">
        <v>2022</v>
      </c>
      <c r="C1269" s="28" t="s">
        <v>166</v>
      </c>
      <c r="D1269" s="28" t="s">
        <v>46</v>
      </c>
      <c r="E1269" s="28" t="s">
        <v>680</v>
      </c>
      <c r="F1269" s="28" t="s">
        <v>283</v>
      </c>
      <c r="G1269" s="28" t="s">
        <v>148</v>
      </c>
      <c r="H1269" s="28" t="s">
        <v>693</v>
      </c>
      <c r="I1269" s="29" t="n">
        <v>100000</v>
      </c>
      <c r="J1269" s="29" t="n">
        <v>85000</v>
      </c>
      <c r="K1269" s="28" t="n">
        <v>8</v>
      </c>
      <c r="L1269" s="28" t="n">
        <v>109</v>
      </c>
      <c r="M1269" s="28" t="n">
        <v>5</v>
      </c>
    </row>
    <row r="1270" customFormat="false" ht="15" hidden="false" customHeight="false" outlineLevel="0" collapsed="false">
      <c r="A1270" s="27" t="n">
        <v>44537</v>
      </c>
      <c r="B1270" s="28" t="n">
        <v>2022</v>
      </c>
      <c r="C1270" s="28" t="s">
        <v>169</v>
      </c>
      <c r="D1270" s="28" t="s">
        <v>43</v>
      </c>
      <c r="E1270" s="28" t="s">
        <v>245</v>
      </c>
      <c r="F1270" s="28" t="s">
        <v>147</v>
      </c>
      <c r="G1270" s="28" t="s">
        <v>441</v>
      </c>
      <c r="H1270" s="28" t="s">
        <v>205</v>
      </c>
      <c r="I1270" s="29" t="n">
        <v>25000</v>
      </c>
      <c r="J1270" s="29" t="n">
        <v>12500</v>
      </c>
      <c r="K1270" s="28" t="n">
        <v>9.75</v>
      </c>
      <c r="L1270" s="28" t="n">
        <v>120</v>
      </c>
      <c r="M1270" s="28" t="n">
        <v>6</v>
      </c>
    </row>
    <row r="1271" customFormat="false" ht="15" hidden="false" customHeight="false" outlineLevel="0" collapsed="false">
      <c r="A1271" s="27" t="n">
        <v>44537</v>
      </c>
      <c r="B1271" s="28" t="n">
        <v>2022</v>
      </c>
      <c r="C1271" s="28" t="s">
        <v>560</v>
      </c>
      <c r="D1271" s="28" t="s">
        <v>42</v>
      </c>
      <c r="E1271" s="28" t="s">
        <v>164</v>
      </c>
      <c r="F1271" s="28" t="s">
        <v>142</v>
      </c>
      <c r="G1271" s="28" t="s">
        <v>148</v>
      </c>
      <c r="H1271" s="28" t="s">
        <v>291</v>
      </c>
      <c r="I1271" s="29" t="n">
        <v>467000</v>
      </c>
      <c r="J1271" s="29" t="n">
        <v>350250</v>
      </c>
      <c r="K1271" s="28" t="n">
        <v>5.25</v>
      </c>
      <c r="L1271" s="28" t="n">
        <v>120</v>
      </c>
      <c r="M1271" s="28" t="n">
        <v>14</v>
      </c>
    </row>
    <row r="1272" customFormat="false" ht="15" hidden="false" customHeight="false" outlineLevel="0" collapsed="false">
      <c r="A1272" s="27" t="n">
        <v>44538</v>
      </c>
      <c r="B1272" s="28" t="n">
        <v>2022</v>
      </c>
      <c r="C1272" s="28" t="s">
        <v>206</v>
      </c>
      <c r="D1272" s="28" t="s">
        <v>47</v>
      </c>
      <c r="E1272" s="28" t="s">
        <v>694</v>
      </c>
      <c r="F1272" s="28" t="s">
        <v>147</v>
      </c>
      <c r="G1272" s="28" t="s">
        <v>143</v>
      </c>
      <c r="H1272" s="28" t="s">
        <v>561</v>
      </c>
      <c r="I1272" s="29" t="n">
        <v>200000</v>
      </c>
      <c r="J1272" s="29" t="n">
        <v>100000</v>
      </c>
      <c r="K1272" s="28" t="n">
        <v>4.25</v>
      </c>
      <c r="L1272" s="28" t="n">
        <v>120</v>
      </c>
      <c r="M1272" s="28" t="n">
        <v>1</v>
      </c>
    </row>
    <row r="1273" customFormat="false" ht="15" hidden="false" customHeight="false" outlineLevel="0" collapsed="false">
      <c r="A1273" s="27" t="n">
        <v>44538</v>
      </c>
      <c r="B1273" s="28" t="n">
        <v>2022</v>
      </c>
      <c r="C1273" s="28" t="s">
        <v>196</v>
      </c>
      <c r="D1273" s="28" t="s">
        <v>42</v>
      </c>
      <c r="E1273" s="28" t="s">
        <v>164</v>
      </c>
      <c r="F1273" s="28" t="s">
        <v>142</v>
      </c>
      <c r="G1273" s="28" t="s">
        <v>143</v>
      </c>
      <c r="H1273" s="28" t="s">
        <v>592</v>
      </c>
      <c r="I1273" s="29" t="n">
        <v>220000</v>
      </c>
      <c r="J1273" s="29" t="n">
        <v>165000</v>
      </c>
      <c r="K1273" s="28" t="n">
        <v>2.25</v>
      </c>
      <c r="L1273" s="28" t="n">
        <v>120</v>
      </c>
      <c r="M1273" s="28" t="n">
        <v>12</v>
      </c>
    </row>
    <row r="1274" customFormat="false" ht="15" hidden="false" customHeight="false" outlineLevel="0" collapsed="false">
      <c r="A1274" s="27" t="n">
        <v>44538</v>
      </c>
      <c r="B1274" s="28" t="n">
        <v>2022</v>
      </c>
      <c r="C1274" s="28" t="s">
        <v>206</v>
      </c>
      <c r="D1274" s="28" t="s">
        <v>47</v>
      </c>
      <c r="E1274" s="28" t="s">
        <v>694</v>
      </c>
      <c r="F1274" s="28" t="s">
        <v>142</v>
      </c>
      <c r="G1274" s="28" t="s">
        <v>143</v>
      </c>
      <c r="H1274" s="28" t="s">
        <v>561</v>
      </c>
      <c r="I1274" s="29" t="n">
        <v>558000</v>
      </c>
      <c r="J1274" s="29" t="n">
        <v>418500</v>
      </c>
      <c r="K1274" s="28" t="n">
        <v>5</v>
      </c>
      <c r="L1274" s="28" t="n">
        <v>120</v>
      </c>
      <c r="M1274" s="28" t="n">
        <v>1</v>
      </c>
    </row>
    <row r="1275" customFormat="false" ht="15" hidden="false" customHeight="false" outlineLevel="0" collapsed="false">
      <c r="A1275" s="27" t="n">
        <v>44538</v>
      </c>
      <c r="B1275" s="28" t="n">
        <v>2022</v>
      </c>
      <c r="C1275" s="28" t="s">
        <v>488</v>
      </c>
      <c r="D1275" s="28" t="s">
        <v>52</v>
      </c>
      <c r="E1275" s="28" t="s">
        <v>258</v>
      </c>
      <c r="F1275" s="28" t="s">
        <v>147</v>
      </c>
      <c r="G1275" s="28" t="s">
        <v>441</v>
      </c>
      <c r="H1275" s="28" t="s">
        <v>457</v>
      </c>
      <c r="I1275" s="29" t="n">
        <v>300000</v>
      </c>
      <c r="J1275" s="29" t="n">
        <v>150000</v>
      </c>
      <c r="K1275" s="28" t="n">
        <v>6</v>
      </c>
      <c r="L1275" s="28" t="n">
        <v>102</v>
      </c>
      <c r="M1275" s="28" t="n">
        <v>33</v>
      </c>
    </row>
    <row r="1276" customFormat="false" ht="15" hidden="false" customHeight="false" outlineLevel="0" collapsed="false">
      <c r="A1276" s="27" t="n">
        <v>44538</v>
      </c>
      <c r="B1276" s="28" t="n">
        <v>2022</v>
      </c>
      <c r="C1276" s="28" t="s">
        <v>488</v>
      </c>
      <c r="D1276" s="28" t="s">
        <v>52</v>
      </c>
      <c r="E1276" s="28" t="s">
        <v>258</v>
      </c>
      <c r="F1276" s="28" t="s">
        <v>142</v>
      </c>
      <c r="G1276" s="28" t="s">
        <v>148</v>
      </c>
      <c r="H1276" s="28" t="s">
        <v>457</v>
      </c>
      <c r="I1276" s="29" t="n">
        <v>556000</v>
      </c>
      <c r="J1276" s="29" t="n">
        <v>417000</v>
      </c>
      <c r="K1276" s="28" t="n">
        <v>6</v>
      </c>
      <c r="L1276" s="28" t="n">
        <v>214</v>
      </c>
      <c r="M1276" s="28" t="n">
        <v>33</v>
      </c>
    </row>
    <row r="1277" customFormat="false" ht="15" hidden="false" customHeight="false" outlineLevel="0" collapsed="false">
      <c r="A1277" s="27" t="n">
        <v>44538</v>
      </c>
      <c r="B1277" s="28" t="n">
        <v>2022</v>
      </c>
      <c r="C1277" s="28" t="s">
        <v>172</v>
      </c>
      <c r="D1277" s="28" t="s">
        <v>49</v>
      </c>
      <c r="E1277" s="28" t="s">
        <v>695</v>
      </c>
      <c r="F1277" s="28" t="s">
        <v>142</v>
      </c>
      <c r="G1277" s="28" t="s">
        <v>441</v>
      </c>
      <c r="H1277" s="28" t="s">
        <v>200</v>
      </c>
      <c r="I1277" s="29" t="n">
        <v>450000</v>
      </c>
      <c r="J1277" s="29" t="n">
        <v>337500</v>
      </c>
      <c r="K1277" s="28" t="n">
        <v>6</v>
      </c>
      <c r="L1277" s="28" t="n">
        <v>96</v>
      </c>
      <c r="M1277" s="28" t="n">
        <v>10</v>
      </c>
    </row>
    <row r="1278" customFormat="false" ht="15" hidden="false" customHeight="false" outlineLevel="0" collapsed="false">
      <c r="A1278" s="27" t="n">
        <v>44538</v>
      </c>
      <c r="B1278" s="28" t="n">
        <v>2022</v>
      </c>
      <c r="C1278" s="28" t="s">
        <v>160</v>
      </c>
      <c r="D1278" s="28" t="s">
        <v>53</v>
      </c>
      <c r="E1278" s="28" t="s">
        <v>323</v>
      </c>
      <c r="F1278" s="28" t="s">
        <v>142</v>
      </c>
      <c r="G1278" s="28" t="s">
        <v>148</v>
      </c>
      <c r="H1278" s="28" t="s">
        <v>449</v>
      </c>
      <c r="I1278" s="29" t="n">
        <v>310000</v>
      </c>
      <c r="J1278" s="29" t="n">
        <v>232500</v>
      </c>
      <c r="K1278" s="28" t="n">
        <v>6</v>
      </c>
      <c r="L1278" s="28" t="n">
        <v>120</v>
      </c>
      <c r="M1278" s="28" t="n">
        <v>8</v>
      </c>
    </row>
    <row r="1279" customFormat="false" ht="15" hidden="false" customHeight="false" outlineLevel="0" collapsed="false">
      <c r="A1279" s="27" t="n">
        <v>44539</v>
      </c>
      <c r="B1279" s="28" t="n">
        <v>2022</v>
      </c>
      <c r="C1279" s="28" t="s">
        <v>206</v>
      </c>
      <c r="D1279" s="28" t="s">
        <v>43</v>
      </c>
      <c r="E1279" s="28" t="s">
        <v>190</v>
      </c>
      <c r="F1279" s="28" t="s">
        <v>147</v>
      </c>
      <c r="G1279" s="28" t="s">
        <v>441</v>
      </c>
      <c r="H1279" s="28" t="s">
        <v>191</v>
      </c>
      <c r="I1279" s="29" t="n">
        <v>20000</v>
      </c>
      <c r="J1279" s="29" t="n">
        <v>10000</v>
      </c>
      <c r="K1279" s="28" t="n">
        <v>8.65</v>
      </c>
      <c r="L1279" s="28" t="n">
        <v>120</v>
      </c>
      <c r="M1279" s="28" t="n">
        <v>0</v>
      </c>
    </row>
    <row r="1280" customFormat="false" ht="15" hidden="false" customHeight="false" outlineLevel="0" collapsed="false">
      <c r="A1280" s="27" t="n">
        <v>44539</v>
      </c>
      <c r="B1280" s="28" t="n">
        <v>2022</v>
      </c>
      <c r="C1280" s="28" t="s">
        <v>332</v>
      </c>
      <c r="D1280" s="28" t="s">
        <v>45</v>
      </c>
      <c r="E1280" s="28" t="s">
        <v>293</v>
      </c>
      <c r="F1280" s="28" t="s">
        <v>147</v>
      </c>
      <c r="G1280" s="28" t="s">
        <v>441</v>
      </c>
      <c r="H1280" s="28" t="s">
        <v>159</v>
      </c>
      <c r="I1280" s="29" t="n">
        <v>300000</v>
      </c>
      <c r="J1280" s="29" t="n">
        <v>150000</v>
      </c>
      <c r="K1280" s="28" t="n">
        <v>5.5</v>
      </c>
      <c r="L1280" s="28" t="n">
        <v>120</v>
      </c>
      <c r="M1280" s="28" t="n">
        <v>5</v>
      </c>
    </row>
    <row r="1281" customFormat="false" ht="15" hidden="false" customHeight="false" outlineLevel="0" collapsed="false">
      <c r="A1281" s="27" t="n">
        <v>44539</v>
      </c>
      <c r="B1281" s="28" t="n">
        <v>2022</v>
      </c>
      <c r="C1281" s="28" t="s">
        <v>192</v>
      </c>
      <c r="D1281" s="28" t="s">
        <v>49</v>
      </c>
      <c r="E1281" s="28" t="s">
        <v>341</v>
      </c>
      <c r="F1281" s="28" t="s">
        <v>194</v>
      </c>
      <c r="G1281" s="28" t="s">
        <v>143</v>
      </c>
      <c r="H1281" s="28" t="s">
        <v>195</v>
      </c>
      <c r="I1281" s="29" t="n">
        <v>62000</v>
      </c>
      <c r="J1281" s="29" t="n">
        <v>52700</v>
      </c>
      <c r="K1281" s="28" t="n">
        <v>6.5</v>
      </c>
      <c r="L1281" s="28" t="n">
        <v>84</v>
      </c>
      <c r="M1281" s="28" t="n">
        <v>4</v>
      </c>
    </row>
    <row r="1282" customFormat="false" ht="15" hidden="false" customHeight="false" outlineLevel="0" collapsed="false">
      <c r="A1282" s="27" t="n">
        <v>44540</v>
      </c>
      <c r="B1282" s="28" t="n">
        <v>2022</v>
      </c>
      <c r="C1282" s="28" t="s">
        <v>140</v>
      </c>
      <c r="D1282" s="28" t="s">
        <v>53</v>
      </c>
      <c r="E1282" s="28" t="s">
        <v>412</v>
      </c>
      <c r="F1282" s="28" t="s">
        <v>142</v>
      </c>
      <c r="G1282" s="28" t="s">
        <v>143</v>
      </c>
      <c r="H1282" s="28" t="s">
        <v>144</v>
      </c>
      <c r="I1282" s="29" t="n">
        <v>1325000</v>
      </c>
      <c r="J1282" s="29" t="n">
        <v>993750</v>
      </c>
      <c r="K1282" s="28" t="n">
        <v>5.25</v>
      </c>
      <c r="L1282" s="28" t="n">
        <v>168</v>
      </c>
      <c r="M1282" s="28" t="n">
        <v>5</v>
      </c>
    </row>
    <row r="1283" customFormat="false" ht="15" hidden="false" customHeight="false" outlineLevel="0" collapsed="false">
      <c r="A1283" s="27" t="n">
        <v>44540</v>
      </c>
      <c r="B1283" s="28" t="n">
        <v>2022</v>
      </c>
      <c r="C1283" s="28" t="s">
        <v>332</v>
      </c>
      <c r="D1283" s="28" t="s">
        <v>47</v>
      </c>
      <c r="E1283" s="28" t="s">
        <v>696</v>
      </c>
      <c r="F1283" s="28" t="s">
        <v>194</v>
      </c>
      <c r="G1283" s="28" t="s">
        <v>152</v>
      </c>
      <c r="H1283" s="28" t="s">
        <v>495</v>
      </c>
      <c r="I1283" s="29" t="n">
        <v>1955000</v>
      </c>
      <c r="J1283" s="29" t="n">
        <v>1466250</v>
      </c>
      <c r="K1283" s="28" t="n">
        <v>4.75</v>
      </c>
      <c r="L1283" s="28" t="n">
        <v>120</v>
      </c>
      <c r="M1283" s="28" t="n">
        <v>27</v>
      </c>
    </row>
    <row r="1284" customFormat="false" ht="15" hidden="false" customHeight="false" outlineLevel="0" collapsed="false">
      <c r="A1284" s="27" t="n">
        <v>44540</v>
      </c>
      <c r="B1284" s="28" t="n">
        <v>2022</v>
      </c>
      <c r="C1284" s="28" t="s">
        <v>316</v>
      </c>
      <c r="D1284" s="28" t="s">
        <v>46</v>
      </c>
      <c r="E1284" s="28" t="s">
        <v>298</v>
      </c>
      <c r="F1284" s="28" t="s">
        <v>194</v>
      </c>
      <c r="G1284" s="28" t="s">
        <v>143</v>
      </c>
      <c r="H1284" s="28" t="s">
        <v>195</v>
      </c>
      <c r="I1284" s="29" t="n">
        <v>30000</v>
      </c>
      <c r="J1284" s="29" t="n">
        <v>25500</v>
      </c>
      <c r="K1284" s="28" t="n">
        <v>6</v>
      </c>
      <c r="L1284" s="28" t="n">
        <v>60</v>
      </c>
      <c r="M1284" s="28" t="n">
        <v>7</v>
      </c>
    </row>
    <row r="1285" customFormat="false" ht="15" hidden="false" customHeight="false" outlineLevel="0" collapsed="false">
      <c r="A1285" s="27" t="n">
        <v>44541</v>
      </c>
      <c r="B1285" s="28" t="n">
        <v>2022</v>
      </c>
      <c r="C1285" s="28" t="s">
        <v>172</v>
      </c>
      <c r="D1285" s="28" t="s">
        <v>54</v>
      </c>
      <c r="E1285" s="28" t="s">
        <v>155</v>
      </c>
      <c r="F1285" s="28" t="s">
        <v>194</v>
      </c>
      <c r="G1285" s="28" t="s">
        <v>148</v>
      </c>
      <c r="H1285" s="28" t="s">
        <v>144</v>
      </c>
      <c r="I1285" s="29" t="n">
        <v>4505100</v>
      </c>
      <c r="J1285" s="29" t="n">
        <v>3378825</v>
      </c>
      <c r="K1285" s="28" t="n">
        <v>5.75</v>
      </c>
      <c r="L1285" s="28" t="n">
        <v>120</v>
      </c>
      <c r="M1285" s="28" t="n">
        <v>7</v>
      </c>
    </row>
    <row r="1286" customFormat="false" ht="15" hidden="false" customHeight="false" outlineLevel="0" collapsed="false">
      <c r="A1286" s="27" t="n">
        <v>44543</v>
      </c>
      <c r="B1286" s="28" t="n">
        <v>2022</v>
      </c>
      <c r="C1286" s="28" t="s">
        <v>196</v>
      </c>
      <c r="D1286" s="28" t="s">
        <v>48</v>
      </c>
      <c r="E1286" s="28" t="s">
        <v>304</v>
      </c>
      <c r="F1286" s="28" t="s">
        <v>142</v>
      </c>
      <c r="G1286" s="28" t="s">
        <v>148</v>
      </c>
      <c r="H1286" s="28" t="s">
        <v>162</v>
      </c>
      <c r="I1286" s="29" t="n">
        <v>267700</v>
      </c>
      <c r="J1286" s="29" t="n">
        <v>200775</v>
      </c>
      <c r="K1286" s="28" t="n">
        <v>1.99</v>
      </c>
      <c r="L1286" s="28" t="n">
        <v>300</v>
      </c>
      <c r="M1286" s="28" t="n">
        <v>4</v>
      </c>
    </row>
    <row r="1287" customFormat="false" ht="15" hidden="false" customHeight="false" outlineLevel="0" collapsed="false">
      <c r="A1287" s="27" t="n">
        <v>44543</v>
      </c>
      <c r="B1287" s="28" t="n">
        <v>2022</v>
      </c>
      <c r="C1287" s="28" t="s">
        <v>166</v>
      </c>
      <c r="D1287" s="28" t="s">
        <v>42</v>
      </c>
      <c r="E1287" s="28" t="s">
        <v>164</v>
      </c>
      <c r="F1287" s="28" t="s">
        <v>142</v>
      </c>
      <c r="G1287" s="28" t="s">
        <v>152</v>
      </c>
      <c r="H1287" s="28" t="s">
        <v>647</v>
      </c>
      <c r="I1287" s="29" t="n">
        <v>5000000</v>
      </c>
      <c r="J1287" s="29" t="n">
        <v>3750000</v>
      </c>
      <c r="K1287" s="28" t="n">
        <v>5.25</v>
      </c>
      <c r="L1287" s="28" t="n">
        <v>300</v>
      </c>
      <c r="M1287" s="28" t="n">
        <v>17</v>
      </c>
    </row>
    <row r="1288" customFormat="false" ht="15" hidden="false" customHeight="false" outlineLevel="0" collapsed="false">
      <c r="A1288" s="27" t="n">
        <v>44544</v>
      </c>
      <c r="B1288" s="28" t="n">
        <v>2022</v>
      </c>
      <c r="C1288" s="28" t="s">
        <v>353</v>
      </c>
      <c r="D1288" s="28" t="s">
        <v>45</v>
      </c>
      <c r="E1288" s="28" t="s">
        <v>202</v>
      </c>
      <c r="F1288" s="28" t="s">
        <v>147</v>
      </c>
      <c r="G1288" s="28" t="s">
        <v>441</v>
      </c>
      <c r="H1288" s="28" t="s">
        <v>168</v>
      </c>
      <c r="I1288" s="29" t="n">
        <v>15000</v>
      </c>
      <c r="J1288" s="29" t="n">
        <v>7500</v>
      </c>
      <c r="K1288" s="28" t="n">
        <v>8.25</v>
      </c>
      <c r="L1288" s="28" t="n">
        <v>120</v>
      </c>
      <c r="M1288" s="28" t="n">
        <v>0</v>
      </c>
    </row>
    <row r="1289" customFormat="false" ht="15" hidden="false" customHeight="false" outlineLevel="0" collapsed="false">
      <c r="A1289" s="27" t="n">
        <v>44544</v>
      </c>
      <c r="B1289" s="28" t="n">
        <v>2022</v>
      </c>
      <c r="C1289" s="28" t="s">
        <v>172</v>
      </c>
      <c r="D1289" s="28" t="s">
        <v>42</v>
      </c>
      <c r="E1289" s="28" t="s">
        <v>164</v>
      </c>
      <c r="F1289" s="28" t="s">
        <v>147</v>
      </c>
      <c r="G1289" s="28" t="s">
        <v>152</v>
      </c>
      <c r="H1289" s="28" t="s">
        <v>248</v>
      </c>
      <c r="I1289" s="29" t="n">
        <v>62500</v>
      </c>
      <c r="J1289" s="29" t="n">
        <v>31250</v>
      </c>
      <c r="K1289" s="28" t="n">
        <v>5.75</v>
      </c>
      <c r="L1289" s="28" t="n">
        <v>23</v>
      </c>
      <c r="M1289" s="28" t="n">
        <v>2</v>
      </c>
    </row>
    <row r="1290" customFormat="false" ht="15" hidden="false" customHeight="false" outlineLevel="0" collapsed="false">
      <c r="A1290" s="27" t="n">
        <v>44544</v>
      </c>
      <c r="B1290" s="28" t="n">
        <v>2022</v>
      </c>
      <c r="C1290" s="28" t="s">
        <v>421</v>
      </c>
      <c r="D1290" s="28" t="s">
        <v>48</v>
      </c>
      <c r="E1290" s="28" t="s">
        <v>358</v>
      </c>
      <c r="F1290" s="28" t="s">
        <v>142</v>
      </c>
      <c r="G1290" s="28" t="s">
        <v>148</v>
      </c>
      <c r="H1290" s="28" t="s">
        <v>314</v>
      </c>
      <c r="I1290" s="29" t="n">
        <v>4541000</v>
      </c>
      <c r="J1290" s="29" t="n">
        <v>3405750</v>
      </c>
      <c r="K1290" s="28" t="n">
        <v>4.25</v>
      </c>
      <c r="L1290" s="28" t="n">
        <v>324</v>
      </c>
      <c r="M1290" s="28" t="n">
        <v>24</v>
      </c>
    </row>
    <row r="1291" customFormat="false" ht="15" hidden="false" customHeight="false" outlineLevel="0" collapsed="false">
      <c r="A1291" s="27" t="n">
        <v>44544</v>
      </c>
      <c r="B1291" s="28" t="n">
        <v>2022</v>
      </c>
      <c r="C1291" s="28" t="s">
        <v>169</v>
      </c>
      <c r="D1291" s="28" t="s">
        <v>42</v>
      </c>
      <c r="E1291" s="28" t="s">
        <v>180</v>
      </c>
      <c r="F1291" s="28" t="s">
        <v>142</v>
      </c>
      <c r="G1291" s="28" t="s">
        <v>143</v>
      </c>
      <c r="H1291" s="28" t="s">
        <v>382</v>
      </c>
      <c r="I1291" s="29" t="n">
        <v>50400</v>
      </c>
      <c r="J1291" s="29" t="n">
        <v>42840</v>
      </c>
      <c r="K1291" s="28" t="n">
        <v>6</v>
      </c>
      <c r="L1291" s="28" t="n">
        <v>123</v>
      </c>
      <c r="M1291" s="28" t="n">
        <v>17</v>
      </c>
    </row>
    <row r="1292" customFormat="false" ht="15" hidden="false" customHeight="false" outlineLevel="0" collapsed="false">
      <c r="A1292" s="27" t="n">
        <v>44546</v>
      </c>
      <c r="B1292" s="28" t="n">
        <v>2022</v>
      </c>
      <c r="C1292" s="28" t="s">
        <v>303</v>
      </c>
      <c r="D1292" s="28" t="s">
        <v>50</v>
      </c>
      <c r="E1292" s="28" t="s">
        <v>329</v>
      </c>
      <c r="F1292" s="28" t="s">
        <v>147</v>
      </c>
      <c r="G1292" s="28" t="s">
        <v>441</v>
      </c>
      <c r="H1292" s="28" t="s">
        <v>168</v>
      </c>
      <c r="I1292" s="29" t="n">
        <v>17500</v>
      </c>
      <c r="J1292" s="29" t="n">
        <v>8750</v>
      </c>
      <c r="K1292" s="28" t="n">
        <v>9.25</v>
      </c>
      <c r="L1292" s="28" t="n">
        <v>120</v>
      </c>
      <c r="M1292" s="28" t="n">
        <v>0</v>
      </c>
    </row>
    <row r="1293" customFormat="false" ht="15" hidden="false" customHeight="false" outlineLevel="0" collapsed="false">
      <c r="A1293" s="27" t="n">
        <v>44546</v>
      </c>
      <c r="B1293" s="28" t="n">
        <v>2022</v>
      </c>
      <c r="C1293" s="28" t="s">
        <v>198</v>
      </c>
      <c r="D1293" s="28" t="s">
        <v>47</v>
      </c>
      <c r="E1293" s="28" t="s">
        <v>697</v>
      </c>
      <c r="F1293" s="28" t="s">
        <v>147</v>
      </c>
      <c r="G1293" s="28" t="s">
        <v>152</v>
      </c>
      <c r="H1293" s="28" t="s">
        <v>495</v>
      </c>
      <c r="I1293" s="29" t="n">
        <v>240100</v>
      </c>
      <c r="J1293" s="29" t="n">
        <v>120050</v>
      </c>
      <c r="K1293" s="28" t="n">
        <v>5.75</v>
      </c>
      <c r="L1293" s="28" t="n">
        <v>120</v>
      </c>
      <c r="M1293" s="28" t="n">
        <v>0</v>
      </c>
    </row>
    <row r="1294" customFormat="false" ht="15" hidden="false" customHeight="false" outlineLevel="0" collapsed="false">
      <c r="A1294" s="27" t="n">
        <v>44546</v>
      </c>
      <c r="B1294" s="28" t="n">
        <v>2022</v>
      </c>
      <c r="C1294" s="28" t="s">
        <v>169</v>
      </c>
      <c r="D1294" s="28" t="s">
        <v>46</v>
      </c>
      <c r="E1294" s="28" t="s">
        <v>146</v>
      </c>
      <c r="F1294" s="28" t="s">
        <v>147</v>
      </c>
      <c r="G1294" s="28" t="s">
        <v>148</v>
      </c>
      <c r="H1294" s="28" t="s">
        <v>248</v>
      </c>
      <c r="I1294" s="29" t="n">
        <v>80000</v>
      </c>
      <c r="J1294" s="29" t="n">
        <v>40000</v>
      </c>
      <c r="K1294" s="28" t="n">
        <v>6</v>
      </c>
      <c r="L1294" s="28" t="n">
        <v>55</v>
      </c>
      <c r="M1294" s="28" t="n">
        <v>4</v>
      </c>
    </row>
    <row r="1295" customFormat="false" ht="15" hidden="false" customHeight="false" outlineLevel="0" collapsed="false">
      <c r="A1295" s="27" t="n">
        <v>44547</v>
      </c>
      <c r="B1295" s="28" t="n">
        <v>2022</v>
      </c>
      <c r="C1295" s="28" t="s">
        <v>163</v>
      </c>
      <c r="D1295" s="28" t="s">
        <v>43</v>
      </c>
      <c r="E1295" s="28" t="s">
        <v>698</v>
      </c>
      <c r="F1295" s="28" t="s">
        <v>147</v>
      </c>
      <c r="G1295" s="28" t="s">
        <v>143</v>
      </c>
      <c r="H1295" s="28" t="s">
        <v>291</v>
      </c>
      <c r="I1295" s="29" t="n">
        <v>70000</v>
      </c>
      <c r="J1295" s="29" t="n">
        <v>35000</v>
      </c>
      <c r="K1295" s="28" t="n">
        <v>5.25</v>
      </c>
      <c r="L1295" s="28" t="n">
        <v>36</v>
      </c>
      <c r="M1295" s="28" t="n">
        <v>4</v>
      </c>
    </row>
    <row r="1296" customFormat="false" ht="15" hidden="false" customHeight="false" outlineLevel="0" collapsed="false">
      <c r="A1296" s="27" t="n">
        <v>44547</v>
      </c>
      <c r="B1296" s="28" t="n">
        <v>2022</v>
      </c>
      <c r="C1296" s="28" t="s">
        <v>423</v>
      </c>
      <c r="D1296" s="28" t="s">
        <v>46</v>
      </c>
      <c r="E1296" s="28" t="s">
        <v>406</v>
      </c>
      <c r="F1296" s="28" t="s">
        <v>142</v>
      </c>
      <c r="G1296" s="28" t="s">
        <v>143</v>
      </c>
      <c r="H1296" s="28" t="s">
        <v>494</v>
      </c>
      <c r="I1296" s="29" t="n">
        <v>3690000</v>
      </c>
      <c r="J1296" s="29" t="n">
        <v>2767500</v>
      </c>
      <c r="K1296" s="28" t="n">
        <v>5.65</v>
      </c>
      <c r="L1296" s="28" t="n">
        <v>300</v>
      </c>
      <c r="M1296" s="28" t="n">
        <v>20</v>
      </c>
    </row>
    <row r="1297" customFormat="false" ht="15" hidden="false" customHeight="false" outlineLevel="0" collapsed="false">
      <c r="A1297" s="27" t="n">
        <v>44547</v>
      </c>
      <c r="B1297" s="28" t="n">
        <v>2022</v>
      </c>
      <c r="C1297" s="28" t="s">
        <v>252</v>
      </c>
      <c r="D1297" s="28" t="s">
        <v>50</v>
      </c>
      <c r="E1297" s="28" t="s">
        <v>400</v>
      </c>
      <c r="F1297" s="28" t="s">
        <v>142</v>
      </c>
      <c r="G1297" s="28" t="s">
        <v>143</v>
      </c>
      <c r="H1297" s="28" t="s">
        <v>287</v>
      </c>
      <c r="I1297" s="29" t="n">
        <v>150000</v>
      </c>
      <c r="J1297" s="29" t="n">
        <v>127500</v>
      </c>
      <c r="K1297" s="28" t="n">
        <v>6</v>
      </c>
      <c r="L1297" s="28" t="n">
        <v>120</v>
      </c>
      <c r="M1297" s="28" t="n">
        <v>4</v>
      </c>
    </row>
    <row r="1298" customFormat="false" ht="15" hidden="false" customHeight="false" outlineLevel="0" collapsed="false">
      <c r="A1298" s="27" t="n">
        <v>44547</v>
      </c>
      <c r="B1298" s="28" t="n">
        <v>2022</v>
      </c>
      <c r="C1298" s="28" t="s">
        <v>163</v>
      </c>
      <c r="D1298" s="28" t="s">
        <v>43</v>
      </c>
      <c r="E1298" s="28" t="s">
        <v>698</v>
      </c>
      <c r="F1298" s="28" t="s">
        <v>142</v>
      </c>
      <c r="G1298" s="28" t="s">
        <v>143</v>
      </c>
      <c r="H1298" s="28" t="s">
        <v>291</v>
      </c>
      <c r="I1298" s="29" t="n">
        <v>235000</v>
      </c>
      <c r="J1298" s="29" t="n">
        <v>176250</v>
      </c>
      <c r="K1298" s="28" t="n">
        <v>5.25</v>
      </c>
      <c r="L1298" s="28" t="n">
        <v>120</v>
      </c>
      <c r="M1298" s="28" t="n">
        <v>4</v>
      </c>
    </row>
    <row r="1299" customFormat="false" ht="15" hidden="false" customHeight="false" outlineLevel="0" collapsed="false">
      <c r="A1299" s="27" t="n">
        <v>44550</v>
      </c>
      <c r="B1299" s="28" t="n">
        <v>2022</v>
      </c>
      <c r="C1299" s="28" t="s">
        <v>172</v>
      </c>
      <c r="D1299" s="28" t="s">
        <v>52</v>
      </c>
      <c r="E1299" s="28" t="s">
        <v>699</v>
      </c>
      <c r="F1299" s="28" t="s">
        <v>147</v>
      </c>
      <c r="G1299" s="28" t="s">
        <v>441</v>
      </c>
      <c r="H1299" s="28" t="s">
        <v>168</v>
      </c>
      <c r="I1299" s="29" t="n">
        <v>15000</v>
      </c>
      <c r="J1299" s="29" t="n">
        <v>7500</v>
      </c>
      <c r="K1299" s="28" t="n">
        <v>8.75</v>
      </c>
      <c r="L1299" s="28" t="n">
        <v>120</v>
      </c>
      <c r="M1299" s="28" t="n">
        <v>0</v>
      </c>
    </row>
    <row r="1300" customFormat="false" ht="15" hidden="false" customHeight="false" outlineLevel="0" collapsed="false">
      <c r="A1300" s="27" t="n">
        <v>44550</v>
      </c>
      <c r="B1300" s="28" t="n">
        <v>2022</v>
      </c>
      <c r="C1300" s="28" t="s">
        <v>344</v>
      </c>
      <c r="D1300" s="28" t="s">
        <v>49</v>
      </c>
      <c r="E1300" s="28" t="s">
        <v>695</v>
      </c>
      <c r="F1300" s="28" t="s">
        <v>147</v>
      </c>
      <c r="G1300" s="28" t="s">
        <v>143</v>
      </c>
      <c r="H1300" s="28" t="s">
        <v>561</v>
      </c>
      <c r="I1300" s="29" t="n">
        <v>25000</v>
      </c>
      <c r="J1300" s="29" t="n">
        <v>12500</v>
      </c>
      <c r="K1300" s="28" t="n">
        <v>5.5</v>
      </c>
      <c r="L1300" s="28" t="n">
        <v>120</v>
      </c>
      <c r="M1300" s="28" t="n">
        <v>9</v>
      </c>
    </row>
    <row r="1301" customFormat="false" ht="15" hidden="false" customHeight="false" outlineLevel="0" collapsed="false">
      <c r="A1301" s="27" t="n">
        <v>44551</v>
      </c>
      <c r="B1301" s="28" t="n">
        <v>2022</v>
      </c>
      <c r="C1301" s="28" t="s">
        <v>145</v>
      </c>
      <c r="D1301" s="28" t="s">
        <v>44</v>
      </c>
      <c r="E1301" s="28" t="s">
        <v>141</v>
      </c>
      <c r="F1301" s="28" t="s">
        <v>147</v>
      </c>
      <c r="G1301" s="28" t="s">
        <v>143</v>
      </c>
      <c r="H1301" s="28" t="s">
        <v>159</v>
      </c>
      <c r="I1301" s="29" t="n">
        <v>150000</v>
      </c>
      <c r="J1301" s="29" t="n">
        <v>75000</v>
      </c>
      <c r="K1301" s="28" t="n">
        <v>5.5</v>
      </c>
      <c r="L1301" s="28" t="n">
        <v>90</v>
      </c>
      <c r="M1301" s="28" t="n">
        <v>20</v>
      </c>
    </row>
    <row r="1302" customFormat="false" ht="15" hidden="false" customHeight="false" outlineLevel="0" collapsed="false">
      <c r="A1302" s="27" t="n">
        <v>44551</v>
      </c>
      <c r="B1302" s="28" t="n">
        <v>2022</v>
      </c>
      <c r="C1302" s="28" t="s">
        <v>172</v>
      </c>
      <c r="D1302" s="28" t="s">
        <v>46</v>
      </c>
      <c r="E1302" s="28" t="s">
        <v>259</v>
      </c>
      <c r="F1302" s="28" t="s">
        <v>147</v>
      </c>
      <c r="G1302" s="28" t="s">
        <v>143</v>
      </c>
      <c r="H1302" s="28" t="s">
        <v>278</v>
      </c>
      <c r="I1302" s="29" t="n">
        <v>60000</v>
      </c>
      <c r="J1302" s="29" t="n">
        <v>30000</v>
      </c>
      <c r="K1302" s="28" t="n">
        <v>4</v>
      </c>
      <c r="L1302" s="28" t="n">
        <v>120</v>
      </c>
      <c r="M1302" s="28" t="n">
        <v>2</v>
      </c>
    </row>
    <row r="1303" customFormat="false" ht="15" hidden="false" customHeight="false" outlineLevel="0" collapsed="false">
      <c r="A1303" s="27" t="n">
        <v>44551</v>
      </c>
      <c r="B1303" s="28" t="n">
        <v>2022</v>
      </c>
      <c r="C1303" s="28" t="s">
        <v>172</v>
      </c>
      <c r="D1303" s="28" t="s">
        <v>43</v>
      </c>
      <c r="E1303" s="28" t="s">
        <v>581</v>
      </c>
      <c r="F1303" s="28" t="s">
        <v>194</v>
      </c>
      <c r="G1303" s="28" t="s">
        <v>148</v>
      </c>
      <c r="H1303" s="28" t="s">
        <v>645</v>
      </c>
      <c r="I1303" s="29" t="n">
        <v>750000</v>
      </c>
      <c r="J1303" s="29" t="n">
        <v>562500</v>
      </c>
      <c r="K1303" s="28" t="n">
        <v>6</v>
      </c>
      <c r="L1303" s="28" t="n">
        <v>118</v>
      </c>
      <c r="M1303" s="28" t="n">
        <v>8</v>
      </c>
    </row>
    <row r="1304" customFormat="false" ht="15" hidden="false" customHeight="false" outlineLevel="0" collapsed="false">
      <c r="A1304" s="27" t="n">
        <v>44552</v>
      </c>
      <c r="B1304" s="28" t="n">
        <v>2022</v>
      </c>
      <c r="C1304" s="28" t="s">
        <v>163</v>
      </c>
      <c r="D1304" s="28" t="s">
        <v>43</v>
      </c>
      <c r="E1304" s="28" t="s">
        <v>317</v>
      </c>
      <c r="F1304" s="28" t="s">
        <v>142</v>
      </c>
      <c r="G1304" s="28" t="s">
        <v>148</v>
      </c>
      <c r="H1304" s="28" t="s">
        <v>501</v>
      </c>
      <c r="I1304" s="29" t="n">
        <v>80000</v>
      </c>
      <c r="J1304" s="29" t="n">
        <v>60000</v>
      </c>
      <c r="K1304" s="28" t="n">
        <v>6</v>
      </c>
      <c r="L1304" s="28" t="n">
        <v>300</v>
      </c>
      <c r="M1304" s="28" t="n">
        <v>4</v>
      </c>
    </row>
    <row r="1305" customFormat="false" ht="15" hidden="false" customHeight="false" outlineLevel="0" collapsed="false">
      <c r="A1305" s="27" t="n">
        <v>44552</v>
      </c>
      <c r="B1305" s="28" t="n">
        <v>2022</v>
      </c>
      <c r="C1305" s="28" t="s">
        <v>310</v>
      </c>
      <c r="D1305" s="28" t="s">
        <v>54</v>
      </c>
      <c r="E1305" s="28" t="s">
        <v>155</v>
      </c>
      <c r="F1305" s="28" t="s">
        <v>142</v>
      </c>
      <c r="G1305" s="28" t="s">
        <v>148</v>
      </c>
      <c r="H1305" s="28" t="s">
        <v>306</v>
      </c>
      <c r="I1305" s="29" t="n">
        <v>350000</v>
      </c>
      <c r="J1305" s="29" t="n">
        <v>262500</v>
      </c>
      <c r="K1305" s="28" t="n">
        <v>4.99</v>
      </c>
      <c r="L1305" s="28" t="n">
        <v>84</v>
      </c>
      <c r="M1305" s="28" t="n">
        <v>3</v>
      </c>
    </row>
    <row r="1306" customFormat="false" ht="15" hidden="false" customHeight="false" outlineLevel="0" collapsed="false">
      <c r="A1306" s="27" t="n">
        <v>44552</v>
      </c>
      <c r="B1306" s="28" t="n">
        <v>2022</v>
      </c>
      <c r="C1306" s="28" t="s">
        <v>411</v>
      </c>
      <c r="D1306" s="28" t="s">
        <v>43</v>
      </c>
      <c r="E1306" s="28" t="s">
        <v>520</v>
      </c>
      <c r="F1306" s="28" t="s">
        <v>142</v>
      </c>
      <c r="G1306" s="28" t="s">
        <v>148</v>
      </c>
      <c r="H1306" s="28" t="s">
        <v>211</v>
      </c>
      <c r="I1306" s="29" t="n">
        <v>125000</v>
      </c>
      <c r="J1306" s="29" t="n">
        <v>106250</v>
      </c>
      <c r="K1306" s="28" t="n">
        <v>6</v>
      </c>
      <c r="L1306" s="28" t="n">
        <v>120</v>
      </c>
      <c r="M1306" s="28" t="n">
        <v>1</v>
      </c>
    </row>
    <row r="1307" customFormat="false" ht="15" hidden="false" customHeight="false" outlineLevel="0" collapsed="false">
      <c r="A1307" s="27" t="n">
        <v>44552</v>
      </c>
      <c r="B1307" s="28" t="n">
        <v>2022</v>
      </c>
      <c r="C1307" s="28" t="s">
        <v>145</v>
      </c>
      <c r="D1307" s="28" t="s">
        <v>50</v>
      </c>
      <c r="E1307" s="28" t="s">
        <v>700</v>
      </c>
      <c r="F1307" s="28" t="s">
        <v>142</v>
      </c>
      <c r="G1307" s="28" t="s">
        <v>143</v>
      </c>
      <c r="H1307" s="28" t="s">
        <v>561</v>
      </c>
      <c r="I1307" s="29" t="n">
        <v>760000</v>
      </c>
      <c r="J1307" s="29" t="n">
        <v>570000</v>
      </c>
      <c r="K1307" s="28" t="n">
        <v>5.5</v>
      </c>
      <c r="L1307" s="28" t="n">
        <v>132</v>
      </c>
      <c r="M1307" s="28" t="n">
        <v>2</v>
      </c>
    </row>
    <row r="1308" customFormat="false" ht="15" hidden="false" customHeight="false" outlineLevel="0" collapsed="false">
      <c r="A1308" s="27" t="n">
        <v>44553</v>
      </c>
      <c r="B1308" s="28" t="n">
        <v>2022</v>
      </c>
      <c r="C1308" s="28" t="s">
        <v>172</v>
      </c>
      <c r="D1308" s="28" t="s">
        <v>50</v>
      </c>
      <c r="E1308" s="28" t="s">
        <v>466</v>
      </c>
      <c r="F1308" s="28" t="s">
        <v>142</v>
      </c>
      <c r="G1308" s="28" t="s">
        <v>148</v>
      </c>
      <c r="H1308" s="28" t="s">
        <v>229</v>
      </c>
      <c r="I1308" s="29" t="n">
        <v>350000</v>
      </c>
      <c r="J1308" s="29" t="n">
        <v>262500</v>
      </c>
      <c r="K1308" s="28" t="n">
        <v>6</v>
      </c>
      <c r="L1308" s="28" t="n">
        <v>120</v>
      </c>
      <c r="M1308" s="28" t="n">
        <v>4</v>
      </c>
    </row>
    <row r="1309" customFormat="false" ht="15" hidden="false" customHeight="false" outlineLevel="0" collapsed="false">
      <c r="A1309" s="27" t="n">
        <v>44554</v>
      </c>
      <c r="B1309" s="28" t="n">
        <v>2022</v>
      </c>
      <c r="C1309" s="28" t="s">
        <v>160</v>
      </c>
      <c r="D1309" s="28" t="s">
        <v>53</v>
      </c>
      <c r="E1309" s="28" t="s">
        <v>437</v>
      </c>
      <c r="F1309" s="28" t="s">
        <v>147</v>
      </c>
      <c r="G1309" s="28" t="s">
        <v>441</v>
      </c>
      <c r="H1309" s="28" t="s">
        <v>168</v>
      </c>
      <c r="I1309" s="29" t="n">
        <v>15000</v>
      </c>
      <c r="J1309" s="29" t="n">
        <v>7500</v>
      </c>
      <c r="K1309" s="28" t="n">
        <v>8.75</v>
      </c>
      <c r="L1309" s="28" t="n">
        <v>120</v>
      </c>
      <c r="M1309" s="28" t="n">
        <v>0</v>
      </c>
    </row>
    <row r="1310" customFormat="false" ht="15" hidden="false" customHeight="false" outlineLevel="0" collapsed="false">
      <c r="A1310" s="27" t="n">
        <v>44557</v>
      </c>
      <c r="B1310" s="28" t="n">
        <v>2022</v>
      </c>
      <c r="C1310" s="28" t="s">
        <v>172</v>
      </c>
      <c r="D1310" s="28" t="s">
        <v>48</v>
      </c>
      <c r="E1310" s="28" t="s">
        <v>295</v>
      </c>
      <c r="F1310" s="28" t="s">
        <v>147</v>
      </c>
      <c r="G1310" s="28" t="s">
        <v>152</v>
      </c>
      <c r="H1310" s="28" t="s">
        <v>621</v>
      </c>
      <c r="I1310" s="29" t="n">
        <v>350000</v>
      </c>
      <c r="J1310" s="29" t="n">
        <v>175000</v>
      </c>
      <c r="K1310" s="28" t="n">
        <v>5.75</v>
      </c>
      <c r="L1310" s="28" t="n">
        <v>120</v>
      </c>
      <c r="M1310" s="28" t="n">
        <v>24</v>
      </c>
    </row>
    <row r="1311" customFormat="false" ht="15" hidden="false" customHeight="false" outlineLevel="0" collapsed="false">
      <c r="A1311" s="27" t="n">
        <v>44558</v>
      </c>
      <c r="B1311" s="28" t="n">
        <v>2022</v>
      </c>
      <c r="C1311" s="28" t="s">
        <v>344</v>
      </c>
      <c r="D1311" s="28" t="s">
        <v>52</v>
      </c>
      <c r="E1311" s="28" t="s">
        <v>701</v>
      </c>
      <c r="F1311" s="28" t="s">
        <v>142</v>
      </c>
      <c r="G1311" s="28" t="s">
        <v>148</v>
      </c>
      <c r="H1311" s="28" t="s">
        <v>165</v>
      </c>
      <c r="I1311" s="29" t="n">
        <v>212500</v>
      </c>
      <c r="J1311" s="29" t="n">
        <v>159375</v>
      </c>
      <c r="K1311" s="28" t="n">
        <v>6</v>
      </c>
      <c r="L1311" s="28" t="n">
        <v>120</v>
      </c>
      <c r="M1311" s="28" t="n">
        <v>6</v>
      </c>
    </row>
    <row r="1312" customFormat="false" ht="15" hidden="false" customHeight="false" outlineLevel="0" collapsed="false">
      <c r="A1312" s="27" t="n">
        <v>44558</v>
      </c>
      <c r="B1312" s="28" t="n">
        <v>2022</v>
      </c>
      <c r="C1312" s="28" t="s">
        <v>166</v>
      </c>
      <c r="D1312" s="28" t="s">
        <v>42</v>
      </c>
      <c r="E1312" s="28" t="s">
        <v>180</v>
      </c>
      <c r="F1312" s="28" t="s">
        <v>142</v>
      </c>
      <c r="G1312" s="28" t="s">
        <v>143</v>
      </c>
      <c r="H1312" s="28" t="s">
        <v>200</v>
      </c>
      <c r="I1312" s="29" t="n">
        <v>872000</v>
      </c>
      <c r="J1312" s="29" t="n">
        <v>654000</v>
      </c>
      <c r="K1312" s="28" t="n">
        <v>6</v>
      </c>
      <c r="L1312" s="28" t="n">
        <v>101</v>
      </c>
      <c r="M1312" s="28" t="n">
        <v>20</v>
      </c>
    </row>
    <row r="1313" customFormat="false" ht="15" hidden="false" customHeight="false" outlineLevel="0" collapsed="false">
      <c r="A1313" s="27" t="n">
        <v>44558</v>
      </c>
      <c r="B1313" s="28" t="n">
        <v>2022</v>
      </c>
      <c r="C1313" s="28" t="s">
        <v>172</v>
      </c>
      <c r="D1313" s="28" t="s">
        <v>52</v>
      </c>
      <c r="E1313" s="28" t="s">
        <v>258</v>
      </c>
      <c r="F1313" s="28" t="s">
        <v>147</v>
      </c>
      <c r="G1313" s="28" t="s">
        <v>143</v>
      </c>
      <c r="H1313" s="28" t="s">
        <v>159</v>
      </c>
      <c r="I1313" s="29" t="n">
        <v>92000</v>
      </c>
      <c r="J1313" s="29" t="n">
        <v>46000</v>
      </c>
      <c r="K1313" s="28" t="n">
        <v>6.25</v>
      </c>
      <c r="L1313" s="28" t="n">
        <v>60</v>
      </c>
      <c r="M1313" s="28" t="n">
        <v>2</v>
      </c>
    </row>
    <row r="1314" customFormat="false" ht="15" hidden="false" customHeight="false" outlineLevel="0" collapsed="false">
      <c r="A1314" s="27" t="n">
        <v>44559</v>
      </c>
      <c r="B1314" s="28" t="n">
        <v>2022</v>
      </c>
      <c r="C1314" s="28" t="s">
        <v>488</v>
      </c>
      <c r="D1314" s="28" t="s">
        <v>42</v>
      </c>
      <c r="E1314" s="28" t="s">
        <v>180</v>
      </c>
      <c r="F1314" s="28" t="s">
        <v>142</v>
      </c>
      <c r="G1314" s="28" t="s">
        <v>143</v>
      </c>
      <c r="H1314" s="28" t="s">
        <v>299</v>
      </c>
      <c r="I1314" s="29" t="n">
        <v>164400</v>
      </c>
      <c r="J1314" s="29" t="n">
        <v>123300</v>
      </c>
      <c r="K1314" s="28" t="n">
        <v>6</v>
      </c>
      <c r="L1314" s="28" t="n">
        <v>271</v>
      </c>
      <c r="M1314" s="28" t="n">
        <v>32</v>
      </c>
    </row>
    <row r="1315" customFormat="false" ht="15" hidden="false" customHeight="false" outlineLevel="0" collapsed="false">
      <c r="A1315" s="27" t="n">
        <v>44560</v>
      </c>
      <c r="B1315" s="28" t="n">
        <v>2022</v>
      </c>
      <c r="C1315" s="28" t="s">
        <v>216</v>
      </c>
      <c r="D1315" s="28" t="s">
        <v>45</v>
      </c>
      <c r="E1315" s="28" t="s">
        <v>253</v>
      </c>
      <c r="F1315" s="28" t="s">
        <v>147</v>
      </c>
      <c r="G1315" s="28" t="s">
        <v>441</v>
      </c>
      <c r="H1315" s="28" t="s">
        <v>205</v>
      </c>
      <c r="I1315" s="29" t="n">
        <v>20000</v>
      </c>
      <c r="J1315" s="29" t="n">
        <v>10000</v>
      </c>
      <c r="K1315" s="28" t="n">
        <v>9.75</v>
      </c>
      <c r="L1315" s="28" t="n">
        <v>60</v>
      </c>
      <c r="M1315" s="28" t="n">
        <v>1</v>
      </c>
    </row>
    <row r="1316" customFormat="false" ht="15" hidden="false" customHeight="false" outlineLevel="0" collapsed="false">
      <c r="A1316" s="27" t="n">
        <v>44560</v>
      </c>
      <c r="B1316" s="28" t="n">
        <v>2022</v>
      </c>
      <c r="C1316" s="28" t="s">
        <v>310</v>
      </c>
      <c r="D1316" s="28" t="s">
        <v>50</v>
      </c>
      <c r="E1316" s="28" t="s">
        <v>193</v>
      </c>
      <c r="F1316" s="28" t="s">
        <v>142</v>
      </c>
      <c r="G1316" s="28" t="s">
        <v>148</v>
      </c>
      <c r="H1316" s="28" t="s">
        <v>306</v>
      </c>
      <c r="I1316" s="29" t="n">
        <v>123800</v>
      </c>
      <c r="J1316" s="29" t="n">
        <v>92850</v>
      </c>
      <c r="K1316" s="28" t="n">
        <v>4.75</v>
      </c>
      <c r="L1316" s="28" t="n">
        <v>60</v>
      </c>
      <c r="M1316" s="28" t="n">
        <v>9</v>
      </c>
    </row>
    <row r="1317" customFormat="false" ht="15" hidden="false" customHeight="false" outlineLevel="0" collapsed="false">
      <c r="A1317" s="27" t="n">
        <v>44564</v>
      </c>
      <c r="B1317" s="28" t="n">
        <v>2022</v>
      </c>
      <c r="C1317" s="28" t="s">
        <v>387</v>
      </c>
      <c r="D1317" s="28" t="s">
        <v>43</v>
      </c>
      <c r="E1317" s="28" t="s">
        <v>596</v>
      </c>
      <c r="F1317" s="28" t="s">
        <v>142</v>
      </c>
      <c r="G1317" s="28" t="s">
        <v>148</v>
      </c>
      <c r="H1317" s="28" t="s">
        <v>165</v>
      </c>
      <c r="I1317" s="29" t="n">
        <v>291000</v>
      </c>
      <c r="J1317" s="29" t="n">
        <v>218250</v>
      </c>
      <c r="K1317" s="28" t="n">
        <v>6</v>
      </c>
      <c r="L1317" s="28" t="n">
        <v>120</v>
      </c>
      <c r="M1317" s="28" t="n">
        <v>7</v>
      </c>
    </row>
    <row r="1318" customFormat="false" ht="15" hidden="false" customHeight="false" outlineLevel="0" collapsed="false">
      <c r="A1318" s="27" t="n">
        <v>44564</v>
      </c>
      <c r="B1318" s="28" t="n">
        <v>2022</v>
      </c>
      <c r="C1318" s="28" t="s">
        <v>160</v>
      </c>
      <c r="D1318" s="28" t="s">
        <v>46</v>
      </c>
      <c r="E1318" s="28" t="s">
        <v>702</v>
      </c>
      <c r="F1318" s="28" t="s">
        <v>142</v>
      </c>
      <c r="G1318" s="28" t="s">
        <v>441</v>
      </c>
      <c r="H1318" s="28" t="s">
        <v>457</v>
      </c>
      <c r="I1318" s="29" t="n">
        <v>803000</v>
      </c>
      <c r="J1318" s="29" t="n">
        <v>602250</v>
      </c>
      <c r="K1318" s="28" t="n">
        <v>6</v>
      </c>
      <c r="L1318" s="28" t="n">
        <v>299</v>
      </c>
      <c r="M1318" s="28" t="n">
        <v>11</v>
      </c>
    </row>
    <row r="1319" customFormat="false" ht="15" hidden="false" customHeight="false" outlineLevel="0" collapsed="false">
      <c r="A1319" s="27" t="n">
        <v>44565</v>
      </c>
      <c r="B1319" s="28" t="n">
        <v>2022</v>
      </c>
      <c r="C1319" s="28" t="s">
        <v>303</v>
      </c>
      <c r="D1319" s="28" t="s">
        <v>53</v>
      </c>
      <c r="E1319" s="28" t="s">
        <v>703</v>
      </c>
      <c r="F1319" s="28" t="s">
        <v>142</v>
      </c>
      <c r="G1319" s="28" t="s">
        <v>152</v>
      </c>
      <c r="H1319" s="28" t="s">
        <v>144</v>
      </c>
      <c r="I1319" s="29" t="n">
        <v>954000</v>
      </c>
      <c r="J1319" s="29" t="n">
        <v>715500</v>
      </c>
      <c r="K1319" s="28" t="n">
        <v>5</v>
      </c>
      <c r="L1319" s="28" t="n">
        <v>300</v>
      </c>
      <c r="M1319" s="28" t="n">
        <v>5</v>
      </c>
    </row>
    <row r="1320" customFormat="false" ht="15" hidden="false" customHeight="false" outlineLevel="0" collapsed="false">
      <c r="A1320" s="27" t="n">
        <v>44565</v>
      </c>
      <c r="B1320" s="28" t="n">
        <v>2022</v>
      </c>
      <c r="C1320" s="28" t="s">
        <v>172</v>
      </c>
      <c r="D1320" s="28" t="s">
        <v>48</v>
      </c>
      <c r="E1320" s="28" t="s">
        <v>704</v>
      </c>
      <c r="F1320" s="28" t="s">
        <v>142</v>
      </c>
      <c r="G1320" s="28" t="s">
        <v>148</v>
      </c>
      <c r="H1320" s="28" t="s">
        <v>215</v>
      </c>
      <c r="I1320" s="29" t="n">
        <v>300000</v>
      </c>
      <c r="J1320" s="29" t="n">
        <v>225000</v>
      </c>
      <c r="K1320" s="28" t="n">
        <v>4.5</v>
      </c>
      <c r="L1320" s="28" t="n">
        <v>300</v>
      </c>
      <c r="M1320" s="28" t="n">
        <v>3</v>
      </c>
    </row>
    <row r="1321" customFormat="false" ht="15" hidden="false" customHeight="false" outlineLevel="0" collapsed="false">
      <c r="A1321" s="27" t="n">
        <v>44567</v>
      </c>
      <c r="B1321" s="28" t="n">
        <v>2022</v>
      </c>
      <c r="C1321" s="28" t="s">
        <v>243</v>
      </c>
      <c r="D1321" s="28" t="s">
        <v>42</v>
      </c>
      <c r="E1321" s="28" t="s">
        <v>705</v>
      </c>
      <c r="F1321" s="28" t="s">
        <v>142</v>
      </c>
      <c r="G1321" s="28" t="s">
        <v>152</v>
      </c>
      <c r="H1321" s="28" t="s">
        <v>287</v>
      </c>
      <c r="I1321" s="29" t="n">
        <v>3175000</v>
      </c>
      <c r="J1321" s="29" t="n">
        <v>2381250</v>
      </c>
      <c r="K1321" s="28" t="n">
        <v>5</v>
      </c>
      <c r="L1321" s="28" t="n">
        <v>300</v>
      </c>
      <c r="M1321" s="28" t="n">
        <v>12</v>
      </c>
    </row>
    <row r="1322" customFormat="false" ht="15" hidden="false" customHeight="false" outlineLevel="0" collapsed="false">
      <c r="A1322" s="27" t="n">
        <v>44567</v>
      </c>
      <c r="B1322" s="28" t="n">
        <v>2022</v>
      </c>
      <c r="C1322" s="28" t="s">
        <v>510</v>
      </c>
      <c r="D1322" s="28" t="s">
        <v>46</v>
      </c>
      <c r="E1322" s="28" t="s">
        <v>706</v>
      </c>
      <c r="F1322" s="28" t="s">
        <v>142</v>
      </c>
      <c r="G1322" s="28" t="s">
        <v>148</v>
      </c>
      <c r="H1322" s="28" t="s">
        <v>404</v>
      </c>
      <c r="I1322" s="29" t="n">
        <v>1100000</v>
      </c>
      <c r="J1322" s="29" t="n">
        <v>825000</v>
      </c>
      <c r="K1322" s="28" t="n">
        <v>4.6</v>
      </c>
      <c r="L1322" s="28" t="n">
        <v>300</v>
      </c>
      <c r="M1322" s="28" t="n">
        <v>6</v>
      </c>
    </row>
    <row r="1323" customFormat="false" ht="15" hidden="false" customHeight="false" outlineLevel="0" collapsed="false">
      <c r="A1323" s="27" t="n">
        <v>44568</v>
      </c>
      <c r="B1323" s="28" t="n">
        <v>2022</v>
      </c>
      <c r="C1323" s="28" t="s">
        <v>140</v>
      </c>
      <c r="D1323" s="28" t="s">
        <v>44</v>
      </c>
      <c r="E1323" s="28" t="s">
        <v>167</v>
      </c>
      <c r="F1323" s="28" t="s">
        <v>142</v>
      </c>
      <c r="G1323" s="28" t="s">
        <v>148</v>
      </c>
      <c r="H1323" s="28" t="s">
        <v>179</v>
      </c>
      <c r="I1323" s="29" t="n">
        <v>350000</v>
      </c>
      <c r="J1323" s="29" t="n">
        <v>262500</v>
      </c>
      <c r="K1323" s="28" t="n">
        <v>5.25</v>
      </c>
      <c r="L1323" s="28" t="n">
        <v>306</v>
      </c>
      <c r="M1323" s="28" t="n">
        <v>8</v>
      </c>
    </row>
    <row r="1324" customFormat="false" ht="15" hidden="false" customHeight="false" outlineLevel="0" collapsed="false">
      <c r="A1324" s="27" t="n">
        <v>44568</v>
      </c>
      <c r="B1324" s="28" t="n">
        <v>2022</v>
      </c>
      <c r="C1324" s="28" t="s">
        <v>172</v>
      </c>
      <c r="D1324" s="28" t="s">
        <v>47</v>
      </c>
      <c r="E1324" s="28" t="s">
        <v>707</v>
      </c>
      <c r="F1324" s="28" t="s">
        <v>147</v>
      </c>
      <c r="G1324" s="28" t="s">
        <v>148</v>
      </c>
      <c r="H1324" s="28" t="s">
        <v>159</v>
      </c>
      <c r="I1324" s="29" t="n">
        <v>100000</v>
      </c>
      <c r="J1324" s="29" t="n">
        <v>50000</v>
      </c>
      <c r="K1324" s="28" t="n">
        <v>7.75</v>
      </c>
      <c r="L1324" s="28" t="n">
        <v>120</v>
      </c>
      <c r="M1324" s="28" t="n">
        <v>6</v>
      </c>
    </row>
    <row r="1325" customFormat="false" ht="15" hidden="false" customHeight="false" outlineLevel="0" collapsed="false">
      <c r="A1325" s="27" t="n">
        <v>44568</v>
      </c>
      <c r="B1325" s="28" t="n">
        <v>2022</v>
      </c>
      <c r="C1325" s="28" t="s">
        <v>169</v>
      </c>
      <c r="D1325" s="28" t="s">
        <v>45</v>
      </c>
      <c r="E1325" s="28" t="s">
        <v>708</v>
      </c>
      <c r="F1325" s="28" t="s">
        <v>142</v>
      </c>
      <c r="G1325" s="28" t="s">
        <v>441</v>
      </c>
      <c r="H1325" s="28" t="s">
        <v>453</v>
      </c>
      <c r="I1325" s="29" t="n">
        <v>200000</v>
      </c>
      <c r="J1325" s="29" t="n">
        <v>150000</v>
      </c>
      <c r="K1325" s="28" t="n">
        <v>6</v>
      </c>
      <c r="L1325" s="28" t="n">
        <v>300</v>
      </c>
      <c r="M1325" s="28" t="n">
        <v>1</v>
      </c>
    </row>
    <row r="1326" customFormat="false" ht="15" hidden="false" customHeight="false" outlineLevel="0" collapsed="false">
      <c r="A1326" s="27" t="n">
        <v>44568</v>
      </c>
      <c r="B1326" s="28" t="n">
        <v>2022</v>
      </c>
      <c r="C1326" s="28" t="s">
        <v>172</v>
      </c>
      <c r="D1326" s="28" t="s">
        <v>48</v>
      </c>
      <c r="E1326" s="28" t="s">
        <v>709</v>
      </c>
      <c r="F1326" s="28" t="s">
        <v>142</v>
      </c>
      <c r="G1326" s="28" t="s">
        <v>143</v>
      </c>
      <c r="H1326" s="28" t="s">
        <v>287</v>
      </c>
      <c r="I1326" s="29" t="n">
        <v>150000</v>
      </c>
      <c r="J1326" s="29" t="n">
        <v>127500</v>
      </c>
      <c r="K1326" s="28" t="n">
        <v>6</v>
      </c>
      <c r="L1326" s="28" t="n">
        <v>87</v>
      </c>
      <c r="M1326" s="28" t="n">
        <v>4</v>
      </c>
    </row>
    <row r="1327" customFormat="false" ht="15" hidden="false" customHeight="false" outlineLevel="0" collapsed="false">
      <c r="A1327" s="27" t="n">
        <v>44571</v>
      </c>
      <c r="B1327" s="28" t="n">
        <v>2022</v>
      </c>
      <c r="C1327" s="28" t="s">
        <v>172</v>
      </c>
      <c r="D1327" s="28" t="s">
        <v>49</v>
      </c>
      <c r="E1327" s="28" t="s">
        <v>710</v>
      </c>
      <c r="F1327" s="28" t="s">
        <v>147</v>
      </c>
      <c r="G1327" s="28" t="s">
        <v>148</v>
      </c>
      <c r="H1327" s="28" t="s">
        <v>205</v>
      </c>
      <c r="I1327" s="29" t="n">
        <v>16200</v>
      </c>
      <c r="J1327" s="29" t="n">
        <v>8100</v>
      </c>
      <c r="K1327" s="28" t="n">
        <v>7.75</v>
      </c>
      <c r="L1327" s="28" t="n">
        <v>60</v>
      </c>
      <c r="M1327" s="28" t="n">
        <v>4</v>
      </c>
    </row>
    <row r="1328" customFormat="false" ht="15" hidden="false" customHeight="false" outlineLevel="0" collapsed="false">
      <c r="A1328" s="27" t="n">
        <v>44571</v>
      </c>
      <c r="B1328" s="28" t="n">
        <v>2022</v>
      </c>
      <c r="C1328" s="28" t="s">
        <v>172</v>
      </c>
      <c r="D1328" s="28" t="s">
        <v>50</v>
      </c>
      <c r="E1328" s="28" t="s">
        <v>711</v>
      </c>
      <c r="F1328" s="28" t="s">
        <v>147</v>
      </c>
      <c r="G1328" s="28" t="s">
        <v>441</v>
      </c>
      <c r="H1328" s="28" t="s">
        <v>168</v>
      </c>
      <c r="I1328" s="29" t="n">
        <v>15000</v>
      </c>
      <c r="J1328" s="29" t="n">
        <v>7500</v>
      </c>
      <c r="K1328" s="28" t="n">
        <v>8.25</v>
      </c>
      <c r="L1328" s="28" t="n">
        <v>120</v>
      </c>
      <c r="M1328" s="28" t="n">
        <v>0</v>
      </c>
    </row>
    <row r="1329" customFormat="false" ht="15" hidden="false" customHeight="false" outlineLevel="0" collapsed="false">
      <c r="A1329" s="27" t="n">
        <v>44571</v>
      </c>
      <c r="B1329" s="28" t="n">
        <v>2022</v>
      </c>
      <c r="C1329" s="28" t="s">
        <v>172</v>
      </c>
      <c r="D1329" s="28" t="s">
        <v>48</v>
      </c>
      <c r="E1329" s="28" t="s">
        <v>712</v>
      </c>
      <c r="F1329" s="28" t="s">
        <v>147</v>
      </c>
      <c r="G1329" s="28" t="s">
        <v>441</v>
      </c>
      <c r="H1329" s="28" t="s">
        <v>205</v>
      </c>
      <c r="I1329" s="29" t="n">
        <v>25000</v>
      </c>
      <c r="J1329" s="29" t="n">
        <v>12500</v>
      </c>
      <c r="K1329" s="28" t="n">
        <v>9.75</v>
      </c>
      <c r="L1329" s="28" t="n">
        <v>120</v>
      </c>
      <c r="M1329" s="28" t="n">
        <v>2</v>
      </c>
    </row>
    <row r="1330" customFormat="false" ht="15" hidden="false" customHeight="false" outlineLevel="0" collapsed="false">
      <c r="A1330" s="27" t="n">
        <v>44572</v>
      </c>
      <c r="B1330" s="28" t="n">
        <v>2022</v>
      </c>
      <c r="C1330" s="28" t="s">
        <v>540</v>
      </c>
      <c r="D1330" s="28" t="s">
        <v>45</v>
      </c>
      <c r="E1330" s="28" t="s">
        <v>708</v>
      </c>
      <c r="F1330" s="28" t="s">
        <v>147</v>
      </c>
      <c r="G1330" s="28" t="s">
        <v>441</v>
      </c>
      <c r="H1330" s="28" t="s">
        <v>246</v>
      </c>
      <c r="I1330" s="29" t="n">
        <v>25000</v>
      </c>
      <c r="J1330" s="29" t="n">
        <v>12500</v>
      </c>
      <c r="K1330" s="28" t="n">
        <v>4.499</v>
      </c>
      <c r="L1330" s="28" t="n">
        <v>47</v>
      </c>
      <c r="M1330" s="28" t="n">
        <v>3</v>
      </c>
    </row>
    <row r="1331" customFormat="false" ht="15" hidden="false" customHeight="false" outlineLevel="0" collapsed="false">
      <c r="A1331" s="27" t="n">
        <v>44572</v>
      </c>
      <c r="B1331" s="28" t="n">
        <v>2022</v>
      </c>
      <c r="C1331" s="28" t="s">
        <v>166</v>
      </c>
      <c r="D1331" s="28" t="s">
        <v>45</v>
      </c>
      <c r="E1331" s="28" t="s">
        <v>356</v>
      </c>
      <c r="F1331" s="28" t="s">
        <v>147</v>
      </c>
      <c r="G1331" s="28" t="s">
        <v>441</v>
      </c>
      <c r="H1331" s="28" t="s">
        <v>205</v>
      </c>
      <c r="I1331" s="29" t="n">
        <v>25000</v>
      </c>
      <c r="J1331" s="29" t="n">
        <v>12500</v>
      </c>
      <c r="K1331" s="28" t="n">
        <v>9.05</v>
      </c>
      <c r="L1331" s="28" t="n">
        <v>120</v>
      </c>
      <c r="M1331" s="28" t="n">
        <v>2</v>
      </c>
    </row>
    <row r="1332" customFormat="false" ht="15" hidden="false" customHeight="false" outlineLevel="0" collapsed="false">
      <c r="A1332" s="27" t="n">
        <v>44572</v>
      </c>
      <c r="B1332" s="28" t="n">
        <v>2022</v>
      </c>
      <c r="C1332" s="28" t="s">
        <v>349</v>
      </c>
      <c r="D1332" s="28" t="s">
        <v>45</v>
      </c>
      <c r="E1332" s="28" t="s">
        <v>713</v>
      </c>
      <c r="F1332" s="28" t="s">
        <v>147</v>
      </c>
      <c r="G1332" s="28" t="s">
        <v>148</v>
      </c>
      <c r="H1332" s="28" t="s">
        <v>246</v>
      </c>
      <c r="I1332" s="29" t="n">
        <v>25000</v>
      </c>
      <c r="J1332" s="29" t="n">
        <v>12500</v>
      </c>
      <c r="K1332" s="28" t="n">
        <v>4.499</v>
      </c>
      <c r="L1332" s="28" t="n">
        <v>48</v>
      </c>
      <c r="M1332" s="28" t="n">
        <v>5</v>
      </c>
    </row>
    <row r="1333" customFormat="false" ht="15" hidden="false" customHeight="false" outlineLevel="0" collapsed="false">
      <c r="A1333" s="27" t="n">
        <v>44573</v>
      </c>
      <c r="B1333" s="28" t="n">
        <v>2022</v>
      </c>
      <c r="C1333" s="28" t="s">
        <v>166</v>
      </c>
      <c r="D1333" s="28" t="s">
        <v>45</v>
      </c>
      <c r="E1333" s="28" t="s">
        <v>708</v>
      </c>
      <c r="F1333" s="28" t="s">
        <v>147</v>
      </c>
      <c r="G1333" s="28" t="s">
        <v>441</v>
      </c>
      <c r="H1333" s="28" t="s">
        <v>168</v>
      </c>
      <c r="I1333" s="29" t="n">
        <v>20000</v>
      </c>
      <c r="J1333" s="29" t="n">
        <v>10000</v>
      </c>
      <c r="K1333" s="28" t="n">
        <v>8.75</v>
      </c>
      <c r="L1333" s="28" t="n">
        <v>120</v>
      </c>
      <c r="M1333" s="28" t="n">
        <v>2</v>
      </c>
    </row>
    <row r="1334" customFormat="false" ht="15" hidden="false" customHeight="false" outlineLevel="0" collapsed="false">
      <c r="A1334" s="27" t="n">
        <v>44573</v>
      </c>
      <c r="B1334" s="28" t="n">
        <v>2022</v>
      </c>
      <c r="C1334" s="28" t="s">
        <v>169</v>
      </c>
      <c r="D1334" s="28" t="s">
        <v>47</v>
      </c>
      <c r="E1334" s="28" t="s">
        <v>714</v>
      </c>
      <c r="F1334" s="28" t="s">
        <v>147</v>
      </c>
      <c r="G1334" s="28" t="s">
        <v>148</v>
      </c>
      <c r="H1334" s="28" t="s">
        <v>278</v>
      </c>
      <c r="I1334" s="29" t="n">
        <v>250000</v>
      </c>
      <c r="J1334" s="29" t="n">
        <v>125000</v>
      </c>
      <c r="K1334" s="28" t="n">
        <v>4.25</v>
      </c>
      <c r="L1334" s="28" t="n">
        <v>72</v>
      </c>
      <c r="M1334" s="28" t="n">
        <v>2</v>
      </c>
    </row>
    <row r="1335" customFormat="false" ht="15" hidden="false" customHeight="false" outlineLevel="0" collapsed="false">
      <c r="A1335" s="27" t="n">
        <v>44573</v>
      </c>
      <c r="B1335" s="28" t="n">
        <v>2022</v>
      </c>
      <c r="C1335" s="28" t="s">
        <v>353</v>
      </c>
      <c r="D1335" s="28" t="s">
        <v>52</v>
      </c>
      <c r="E1335" s="28" t="s">
        <v>715</v>
      </c>
      <c r="F1335" s="28" t="s">
        <v>147</v>
      </c>
      <c r="G1335" s="28" t="s">
        <v>441</v>
      </c>
      <c r="H1335" s="28" t="s">
        <v>220</v>
      </c>
      <c r="I1335" s="29" t="n">
        <v>45000</v>
      </c>
      <c r="J1335" s="29" t="n">
        <v>22500</v>
      </c>
      <c r="K1335" s="28" t="n">
        <v>5.19</v>
      </c>
      <c r="L1335" s="28" t="n">
        <v>72</v>
      </c>
      <c r="M1335" s="28" t="n">
        <v>2</v>
      </c>
    </row>
    <row r="1336" customFormat="false" ht="15" hidden="false" customHeight="false" outlineLevel="0" collapsed="false">
      <c r="A1336" s="27" t="n">
        <v>44573</v>
      </c>
      <c r="B1336" s="28" t="n">
        <v>2022</v>
      </c>
      <c r="C1336" s="28" t="s">
        <v>379</v>
      </c>
      <c r="D1336" s="28" t="s">
        <v>52</v>
      </c>
      <c r="E1336" s="28" t="s">
        <v>716</v>
      </c>
      <c r="F1336" s="28" t="s">
        <v>147</v>
      </c>
      <c r="G1336" s="28" t="s">
        <v>441</v>
      </c>
      <c r="H1336" s="28" t="s">
        <v>168</v>
      </c>
      <c r="I1336" s="29" t="n">
        <v>20000</v>
      </c>
      <c r="J1336" s="29" t="n">
        <v>10000</v>
      </c>
      <c r="K1336" s="28" t="n">
        <v>9.25</v>
      </c>
      <c r="L1336" s="28" t="n">
        <v>120</v>
      </c>
      <c r="M1336" s="28" t="n">
        <v>0</v>
      </c>
    </row>
    <row r="1337" customFormat="false" ht="15" hidden="false" customHeight="false" outlineLevel="0" collapsed="false">
      <c r="A1337" s="27" t="n">
        <v>44574</v>
      </c>
      <c r="B1337" s="28" t="n">
        <v>2022</v>
      </c>
      <c r="C1337" s="28" t="s">
        <v>172</v>
      </c>
      <c r="D1337" s="28" t="s">
        <v>42</v>
      </c>
      <c r="E1337" s="28" t="s">
        <v>717</v>
      </c>
      <c r="F1337" s="28" t="s">
        <v>142</v>
      </c>
      <c r="G1337" s="28" t="s">
        <v>152</v>
      </c>
      <c r="H1337" s="28" t="s">
        <v>149</v>
      </c>
      <c r="I1337" s="29" t="n">
        <v>823000</v>
      </c>
      <c r="J1337" s="29" t="n">
        <v>617250</v>
      </c>
      <c r="K1337" s="28" t="n">
        <v>5</v>
      </c>
      <c r="L1337" s="28" t="n">
        <v>120</v>
      </c>
      <c r="M1337" s="28" t="n">
        <v>19</v>
      </c>
    </row>
    <row r="1338" customFormat="false" ht="15" hidden="false" customHeight="false" outlineLevel="0" collapsed="false">
      <c r="A1338" s="27" t="n">
        <v>44574</v>
      </c>
      <c r="B1338" s="28" t="n">
        <v>2022</v>
      </c>
      <c r="C1338" s="28" t="s">
        <v>169</v>
      </c>
      <c r="D1338" s="28" t="s">
        <v>48</v>
      </c>
      <c r="E1338" s="28" t="s">
        <v>362</v>
      </c>
      <c r="F1338" s="28" t="s">
        <v>147</v>
      </c>
      <c r="G1338" s="28" t="s">
        <v>441</v>
      </c>
      <c r="H1338" s="28" t="s">
        <v>159</v>
      </c>
      <c r="I1338" s="29" t="n">
        <v>250000</v>
      </c>
      <c r="J1338" s="29" t="n">
        <v>125000</v>
      </c>
      <c r="K1338" s="28" t="n">
        <v>7</v>
      </c>
      <c r="L1338" s="28" t="n">
        <v>120</v>
      </c>
      <c r="M1338" s="28" t="n">
        <v>15</v>
      </c>
    </row>
    <row r="1339" customFormat="false" ht="15" hidden="false" customHeight="false" outlineLevel="0" collapsed="false">
      <c r="A1339" s="27" t="n">
        <v>44574</v>
      </c>
      <c r="B1339" s="28" t="n">
        <v>2022</v>
      </c>
      <c r="C1339" s="28" t="s">
        <v>328</v>
      </c>
      <c r="D1339" s="28" t="s">
        <v>53</v>
      </c>
      <c r="E1339" s="28" t="s">
        <v>718</v>
      </c>
      <c r="F1339" s="28" t="s">
        <v>142</v>
      </c>
      <c r="G1339" s="28" t="s">
        <v>143</v>
      </c>
      <c r="H1339" s="28" t="s">
        <v>287</v>
      </c>
      <c r="I1339" s="29" t="n">
        <v>150000</v>
      </c>
      <c r="J1339" s="29" t="n">
        <v>127500</v>
      </c>
      <c r="K1339" s="28" t="n">
        <v>6</v>
      </c>
      <c r="L1339" s="28" t="n">
        <v>120</v>
      </c>
      <c r="M1339" s="28" t="n">
        <v>3</v>
      </c>
    </row>
    <row r="1340" customFormat="false" ht="15" hidden="false" customHeight="false" outlineLevel="0" collapsed="false">
      <c r="A1340" s="27" t="n">
        <v>44574</v>
      </c>
      <c r="B1340" s="28" t="n">
        <v>2022</v>
      </c>
      <c r="C1340" s="28" t="s">
        <v>216</v>
      </c>
      <c r="D1340" s="28" t="s">
        <v>46</v>
      </c>
      <c r="E1340" s="28" t="s">
        <v>719</v>
      </c>
      <c r="F1340" s="28" t="s">
        <v>142</v>
      </c>
      <c r="G1340" s="28" t="s">
        <v>143</v>
      </c>
      <c r="H1340" s="28" t="s">
        <v>372</v>
      </c>
      <c r="I1340" s="29" t="n">
        <v>60000</v>
      </c>
      <c r="J1340" s="29" t="n">
        <v>51000</v>
      </c>
      <c r="K1340" s="28" t="n">
        <v>6</v>
      </c>
      <c r="L1340" s="28" t="n">
        <v>66</v>
      </c>
      <c r="M1340" s="28" t="n">
        <v>10</v>
      </c>
    </row>
    <row r="1341" customFormat="false" ht="15" hidden="false" customHeight="false" outlineLevel="0" collapsed="false">
      <c r="A1341" s="27" t="n">
        <v>44574</v>
      </c>
      <c r="B1341" s="28" t="n">
        <v>2022</v>
      </c>
      <c r="C1341" s="28" t="s">
        <v>500</v>
      </c>
      <c r="D1341" s="28" t="s">
        <v>43</v>
      </c>
      <c r="E1341" s="28" t="s">
        <v>197</v>
      </c>
      <c r="F1341" s="28" t="s">
        <v>142</v>
      </c>
      <c r="G1341" s="28" t="s">
        <v>441</v>
      </c>
      <c r="H1341" s="28" t="s">
        <v>165</v>
      </c>
      <c r="I1341" s="29" t="n">
        <v>53000</v>
      </c>
      <c r="J1341" s="29" t="n">
        <v>45050</v>
      </c>
      <c r="K1341" s="28" t="n">
        <v>6</v>
      </c>
      <c r="L1341" s="28" t="n">
        <v>120</v>
      </c>
      <c r="M1341" s="28" t="n">
        <v>10</v>
      </c>
    </row>
    <row r="1342" customFormat="false" ht="15" hidden="false" customHeight="false" outlineLevel="0" collapsed="false">
      <c r="A1342" s="27" t="n">
        <v>44578</v>
      </c>
      <c r="B1342" s="28" t="n">
        <v>2022</v>
      </c>
      <c r="C1342" s="28" t="s">
        <v>140</v>
      </c>
      <c r="D1342" s="28" t="s">
        <v>52</v>
      </c>
      <c r="E1342" s="28" t="s">
        <v>720</v>
      </c>
      <c r="F1342" s="28" t="s">
        <v>147</v>
      </c>
      <c r="G1342" s="28" t="s">
        <v>441</v>
      </c>
      <c r="H1342" s="28" t="s">
        <v>168</v>
      </c>
      <c r="I1342" s="29" t="n">
        <v>10000</v>
      </c>
      <c r="J1342" s="29" t="n">
        <v>5000</v>
      </c>
      <c r="K1342" s="28" t="n">
        <v>9.75</v>
      </c>
      <c r="L1342" s="28" t="n">
        <v>99</v>
      </c>
      <c r="M1342" s="28" t="n">
        <v>0</v>
      </c>
    </row>
    <row r="1343" customFormat="false" ht="15" hidden="false" customHeight="false" outlineLevel="0" collapsed="false">
      <c r="A1343" s="27" t="n">
        <v>44579</v>
      </c>
      <c r="B1343" s="28" t="n">
        <v>2022</v>
      </c>
      <c r="C1343" s="28" t="s">
        <v>206</v>
      </c>
      <c r="D1343" s="28" t="s">
        <v>57</v>
      </c>
      <c r="E1343" s="28" t="s">
        <v>721</v>
      </c>
      <c r="F1343" s="28" t="s">
        <v>142</v>
      </c>
      <c r="G1343" s="28" t="s">
        <v>152</v>
      </c>
      <c r="H1343" s="28" t="s">
        <v>144</v>
      </c>
      <c r="I1343" s="29" t="n">
        <v>2670000</v>
      </c>
      <c r="J1343" s="29" t="n">
        <v>2002500</v>
      </c>
      <c r="K1343" s="28" t="n">
        <v>5</v>
      </c>
      <c r="L1343" s="28" t="n">
        <v>84</v>
      </c>
      <c r="M1343" s="28" t="n">
        <v>15</v>
      </c>
    </row>
    <row r="1344" customFormat="false" ht="15" hidden="false" customHeight="false" outlineLevel="0" collapsed="false">
      <c r="A1344" s="27" t="n">
        <v>44580</v>
      </c>
      <c r="B1344" s="28" t="n">
        <v>2022</v>
      </c>
      <c r="C1344" s="28" t="s">
        <v>163</v>
      </c>
      <c r="D1344" s="28" t="s">
        <v>56</v>
      </c>
      <c r="E1344" s="28" t="s">
        <v>722</v>
      </c>
      <c r="F1344" s="28" t="s">
        <v>194</v>
      </c>
      <c r="G1344" s="28" t="s">
        <v>148</v>
      </c>
      <c r="H1344" s="28" t="s">
        <v>278</v>
      </c>
      <c r="I1344" s="29" t="n">
        <v>560000</v>
      </c>
      <c r="J1344" s="29" t="n">
        <v>420000</v>
      </c>
      <c r="K1344" s="28" t="n">
        <v>6</v>
      </c>
      <c r="L1344" s="28" t="n">
        <v>120</v>
      </c>
      <c r="M1344" s="28" t="n">
        <v>60</v>
      </c>
    </row>
    <row r="1345" customFormat="false" ht="15" hidden="false" customHeight="false" outlineLevel="0" collapsed="false">
      <c r="A1345" s="27" t="n">
        <v>44580</v>
      </c>
      <c r="B1345" s="28" t="n">
        <v>2022</v>
      </c>
      <c r="C1345" s="28" t="s">
        <v>723</v>
      </c>
      <c r="D1345" s="28" t="s">
        <v>50</v>
      </c>
      <c r="E1345" s="28" t="s">
        <v>724</v>
      </c>
      <c r="F1345" s="28" t="s">
        <v>194</v>
      </c>
      <c r="G1345" s="28" t="s">
        <v>148</v>
      </c>
      <c r="H1345" s="28" t="s">
        <v>725</v>
      </c>
      <c r="I1345" s="29" t="n">
        <v>773500</v>
      </c>
      <c r="J1345" s="29" t="n">
        <v>580125</v>
      </c>
      <c r="K1345" s="28" t="n">
        <v>5.75</v>
      </c>
      <c r="L1345" s="28" t="n">
        <v>120</v>
      </c>
      <c r="M1345" s="28" t="n">
        <v>8</v>
      </c>
    </row>
    <row r="1346" customFormat="false" ht="15" hidden="false" customHeight="false" outlineLevel="0" collapsed="false">
      <c r="A1346" s="27" t="n">
        <v>44582</v>
      </c>
      <c r="B1346" s="28" t="n">
        <v>2022</v>
      </c>
      <c r="C1346" s="28" t="s">
        <v>169</v>
      </c>
      <c r="D1346" s="28" t="s">
        <v>45</v>
      </c>
      <c r="E1346" s="28" t="s">
        <v>708</v>
      </c>
      <c r="F1346" s="28" t="s">
        <v>194</v>
      </c>
      <c r="G1346" s="28" t="s">
        <v>152</v>
      </c>
      <c r="H1346" s="28" t="s">
        <v>278</v>
      </c>
      <c r="I1346" s="29" t="n">
        <v>2226000</v>
      </c>
      <c r="J1346" s="29" t="n">
        <v>1669500</v>
      </c>
      <c r="K1346" s="28" t="n">
        <v>5.75</v>
      </c>
      <c r="L1346" s="28" t="n">
        <v>168</v>
      </c>
      <c r="M1346" s="28" t="n">
        <v>13</v>
      </c>
    </row>
    <row r="1347" customFormat="false" ht="15" hidden="false" customHeight="false" outlineLevel="0" collapsed="false">
      <c r="A1347" s="27" t="n">
        <v>44582</v>
      </c>
      <c r="B1347" s="28" t="n">
        <v>2022</v>
      </c>
      <c r="C1347" s="28" t="s">
        <v>216</v>
      </c>
      <c r="D1347" s="28" t="s">
        <v>43</v>
      </c>
      <c r="E1347" s="28" t="s">
        <v>219</v>
      </c>
      <c r="F1347" s="28" t="s">
        <v>194</v>
      </c>
      <c r="G1347" s="28" t="s">
        <v>148</v>
      </c>
      <c r="H1347" s="28" t="s">
        <v>314</v>
      </c>
      <c r="I1347" s="29" t="n">
        <v>730000</v>
      </c>
      <c r="J1347" s="29" t="n">
        <v>547500</v>
      </c>
      <c r="K1347" s="28" t="n">
        <v>5</v>
      </c>
      <c r="L1347" s="28" t="n">
        <v>321</v>
      </c>
      <c r="M1347" s="28" t="n">
        <v>6</v>
      </c>
    </row>
    <row r="1348" customFormat="false" ht="15" hidden="false" customHeight="false" outlineLevel="0" collapsed="false">
      <c r="A1348" s="27" t="n">
        <v>44585</v>
      </c>
      <c r="B1348" s="28" t="n">
        <v>2022</v>
      </c>
      <c r="C1348" s="28" t="s">
        <v>140</v>
      </c>
      <c r="D1348" s="28" t="s">
        <v>51</v>
      </c>
      <c r="E1348" s="28" t="s">
        <v>726</v>
      </c>
      <c r="F1348" s="28" t="s">
        <v>147</v>
      </c>
      <c r="G1348" s="28" t="s">
        <v>148</v>
      </c>
      <c r="H1348" s="28" t="s">
        <v>220</v>
      </c>
      <c r="I1348" s="29" t="n">
        <v>150000</v>
      </c>
      <c r="J1348" s="29" t="n">
        <v>75000</v>
      </c>
      <c r="K1348" s="28" t="n">
        <v>7.49</v>
      </c>
      <c r="L1348" s="28" t="n">
        <v>84</v>
      </c>
      <c r="M1348" s="28" t="n">
        <v>4</v>
      </c>
    </row>
    <row r="1349" customFormat="false" ht="15" hidden="false" customHeight="false" outlineLevel="0" collapsed="false">
      <c r="A1349" s="27" t="n">
        <v>44585</v>
      </c>
      <c r="B1349" s="28" t="n">
        <v>2022</v>
      </c>
      <c r="C1349" s="28" t="s">
        <v>172</v>
      </c>
      <c r="D1349" s="28" t="s">
        <v>57</v>
      </c>
      <c r="E1349" s="28" t="s">
        <v>472</v>
      </c>
      <c r="F1349" s="28" t="s">
        <v>147</v>
      </c>
      <c r="G1349" s="28" t="s">
        <v>148</v>
      </c>
      <c r="H1349" s="28" t="s">
        <v>278</v>
      </c>
      <c r="I1349" s="29" t="n">
        <v>250000</v>
      </c>
      <c r="J1349" s="29" t="n">
        <v>125000</v>
      </c>
      <c r="K1349" s="28" t="n">
        <v>5.75</v>
      </c>
      <c r="L1349" s="28" t="n">
        <v>72</v>
      </c>
      <c r="M1349" s="28" t="n">
        <v>5</v>
      </c>
    </row>
    <row r="1350" customFormat="false" ht="15" hidden="false" customHeight="false" outlineLevel="0" collapsed="false">
      <c r="A1350" s="27" t="n">
        <v>44585</v>
      </c>
      <c r="B1350" s="28" t="n">
        <v>2022</v>
      </c>
      <c r="C1350" s="28" t="s">
        <v>169</v>
      </c>
      <c r="D1350" s="28" t="s">
        <v>52</v>
      </c>
      <c r="E1350" s="28" t="s">
        <v>604</v>
      </c>
      <c r="F1350" s="28" t="s">
        <v>142</v>
      </c>
      <c r="G1350" s="28" t="s">
        <v>441</v>
      </c>
      <c r="H1350" s="28" t="s">
        <v>388</v>
      </c>
      <c r="I1350" s="29" t="n">
        <v>1979000</v>
      </c>
      <c r="J1350" s="29" t="n">
        <v>1484250</v>
      </c>
      <c r="K1350" s="28" t="n">
        <v>6</v>
      </c>
      <c r="L1350" s="28" t="n">
        <v>120</v>
      </c>
      <c r="M1350" s="28" t="n">
        <v>1</v>
      </c>
    </row>
    <row r="1351" customFormat="false" ht="15" hidden="false" customHeight="false" outlineLevel="0" collapsed="false">
      <c r="A1351" s="27" t="n">
        <v>44587</v>
      </c>
      <c r="B1351" s="28" t="n">
        <v>2022</v>
      </c>
      <c r="C1351" s="28" t="s">
        <v>213</v>
      </c>
      <c r="D1351" s="28" t="s">
        <v>46</v>
      </c>
      <c r="E1351" s="28" t="s">
        <v>727</v>
      </c>
      <c r="F1351" s="28" t="s">
        <v>142</v>
      </c>
      <c r="G1351" s="28" t="s">
        <v>441</v>
      </c>
      <c r="H1351" s="28" t="s">
        <v>306</v>
      </c>
      <c r="I1351" s="29" t="n">
        <v>152000</v>
      </c>
      <c r="J1351" s="29" t="n">
        <v>114000</v>
      </c>
      <c r="K1351" s="28" t="n">
        <v>1</v>
      </c>
      <c r="L1351" s="28" t="n">
        <v>240</v>
      </c>
      <c r="M1351" s="28" t="n">
        <v>11</v>
      </c>
    </row>
    <row r="1352" customFormat="false" ht="15" hidden="false" customHeight="false" outlineLevel="0" collapsed="false">
      <c r="A1352" s="27" t="n">
        <v>44587</v>
      </c>
      <c r="B1352" s="28" t="n">
        <v>2022</v>
      </c>
      <c r="C1352" s="28" t="s">
        <v>213</v>
      </c>
      <c r="D1352" s="28" t="s">
        <v>45</v>
      </c>
      <c r="E1352" s="28" t="s">
        <v>293</v>
      </c>
      <c r="F1352" s="28" t="s">
        <v>142</v>
      </c>
      <c r="G1352" s="28" t="s">
        <v>148</v>
      </c>
      <c r="H1352" s="28" t="s">
        <v>306</v>
      </c>
      <c r="I1352" s="29" t="n">
        <v>465000</v>
      </c>
      <c r="J1352" s="29" t="n">
        <v>348750</v>
      </c>
      <c r="K1352" s="28" t="n">
        <v>5.5</v>
      </c>
      <c r="L1352" s="28" t="n">
        <v>120</v>
      </c>
      <c r="M1352" s="28" t="n">
        <v>3</v>
      </c>
    </row>
    <row r="1353" customFormat="false" ht="15" hidden="false" customHeight="false" outlineLevel="0" collapsed="false">
      <c r="A1353" s="27" t="n">
        <v>44587</v>
      </c>
      <c r="B1353" s="28" t="n">
        <v>2022</v>
      </c>
      <c r="C1353" s="28" t="s">
        <v>310</v>
      </c>
      <c r="D1353" s="28" t="s">
        <v>43</v>
      </c>
      <c r="E1353" s="28" t="s">
        <v>245</v>
      </c>
      <c r="F1353" s="28" t="s">
        <v>283</v>
      </c>
      <c r="G1353" s="28" t="s">
        <v>148</v>
      </c>
      <c r="H1353" s="28" t="s">
        <v>306</v>
      </c>
      <c r="I1353" s="29" t="n">
        <v>500000</v>
      </c>
      <c r="J1353" s="29" t="n">
        <v>375000</v>
      </c>
      <c r="K1353" s="28" t="n">
        <v>5</v>
      </c>
      <c r="L1353" s="28" t="n">
        <v>12</v>
      </c>
      <c r="M1353" s="28" t="n">
        <v>5</v>
      </c>
    </row>
    <row r="1354" customFormat="false" ht="15" hidden="false" customHeight="false" outlineLevel="0" collapsed="false">
      <c r="A1354" s="27" t="n">
        <v>44588</v>
      </c>
      <c r="B1354" s="28" t="n">
        <v>2022</v>
      </c>
      <c r="C1354" s="28" t="s">
        <v>206</v>
      </c>
      <c r="D1354" s="28" t="s">
        <v>57</v>
      </c>
      <c r="E1354" s="28" t="s">
        <v>728</v>
      </c>
      <c r="F1354" s="28" t="s">
        <v>147</v>
      </c>
      <c r="G1354" s="28" t="s">
        <v>148</v>
      </c>
      <c r="H1354" s="28" t="s">
        <v>191</v>
      </c>
      <c r="I1354" s="29" t="n">
        <v>349000</v>
      </c>
      <c r="J1354" s="29" t="n">
        <v>174500</v>
      </c>
      <c r="K1354" s="28" t="n">
        <v>4.39</v>
      </c>
      <c r="L1354" s="28" t="n">
        <v>120</v>
      </c>
      <c r="M1354" s="28" t="n">
        <v>12</v>
      </c>
    </row>
    <row r="1355" customFormat="false" ht="15" hidden="false" customHeight="false" outlineLevel="0" collapsed="false">
      <c r="A1355" s="27" t="n">
        <v>44590</v>
      </c>
      <c r="B1355" s="28" t="n">
        <v>2022</v>
      </c>
      <c r="C1355" s="28" t="s">
        <v>172</v>
      </c>
      <c r="D1355" s="28" t="s">
        <v>44</v>
      </c>
      <c r="E1355" s="28" t="s">
        <v>729</v>
      </c>
      <c r="F1355" s="28" t="s">
        <v>147</v>
      </c>
      <c r="G1355" s="28" t="s">
        <v>143</v>
      </c>
      <c r="H1355" s="28" t="s">
        <v>278</v>
      </c>
      <c r="I1355" s="29" t="n">
        <v>461700</v>
      </c>
      <c r="J1355" s="29" t="n">
        <v>230850</v>
      </c>
      <c r="K1355" s="28" t="n">
        <v>4.5</v>
      </c>
      <c r="L1355" s="28" t="n">
        <v>84</v>
      </c>
      <c r="M1355" s="28" t="n">
        <v>8</v>
      </c>
    </row>
    <row r="1356" customFormat="false" ht="15" hidden="false" customHeight="false" outlineLevel="0" collapsed="false">
      <c r="A1356" s="27" t="n">
        <v>44591</v>
      </c>
      <c r="B1356" s="28" t="n">
        <v>2022</v>
      </c>
      <c r="C1356" s="28" t="s">
        <v>288</v>
      </c>
      <c r="D1356" s="28" t="s">
        <v>50</v>
      </c>
      <c r="E1356" s="28" t="s">
        <v>193</v>
      </c>
      <c r="F1356" s="28" t="s">
        <v>283</v>
      </c>
      <c r="G1356" s="28" t="s">
        <v>441</v>
      </c>
      <c r="H1356" s="28" t="s">
        <v>306</v>
      </c>
      <c r="I1356" s="29" t="n">
        <v>100000</v>
      </c>
      <c r="J1356" s="29" t="n">
        <v>85000</v>
      </c>
      <c r="K1356" s="28" t="n">
        <v>1.5</v>
      </c>
      <c r="L1356" s="28" t="n">
        <v>120</v>
      </c>
      <c r="M1356" s="28" t="n">
        <v>6</v>
      </c>
    </row>
    <row r="1357" customFormat="false" ht="15" hidden="false" customHeight="false" outlineLevel="0" collapsed="false">
      <c r="A1357" s="27" t="n">
        <v>44592</v>
      </c>
      <c r="B1357" s="28" t="n">
        <v>2022</v>
      </c>
      <c r="C1357" s="28" t="s">
        <v>172</v>
      </c>
      <c r="D1357" s="28" t="s">
        <v>44</v>
      </c>
      <c r="E1357" s="28" t="s">
        <v>730</v>
      </c>
      <c r="F1357" s="28" t="s">
        <v>142</v>
      </c>
      <c r="G1357" s="28" t="s">
        <v>143</v>
      </c>
      <c r="H1357" s="28" t="s">
        <v>144</v>
      </c>
      <c r="I1357" s="29" t="n">
        <v>700000</v>
      </c>
      <c r="J1357" s="29" t="n">
        <v>525000</v>
      </c>
      <c r="K1357" s="28" t="n">
        <v>4.5</v>
      </c>
      <c r="L1357" s="28" t="n">
        <v>125</v>
      </c>
      <c r="M1357" s="28" t="n">
        <v>50</v>
      </c>
    </row>
    <row r="1358" customFormat="false" ht="15" hidden="false" customHeight="false" outlineLevel="0" collapsed="false">
      <c r="A1358" s="27" t="n">
        <v>44592</v>
      </c>
      <c r="B1358" s="28" t="n">
        <v>2022</v>
      </c>
      <c r="C1358" s="28" t="s">
        <v>206</v>
      </c>
      <c r="D1358" s="28" t="s">
        <v>52</v>
      </c>
      <c r="E1358" s="28" t="s">
        <v>731</v>
      </c>
      <c r="F1358" s="28" t="s">
        <v>147</v>
      </c>
      <c r="G1358" s="28" t="s">
        <v>441</v>
      </c>
      <c r="H1358" s="28" t="s">
        <v>168</v>
      </c>
      <c r="I1358" s="29" t="n">
        <v>10000</v>
      </c>
      <c r="J1358" s="29" t="n">
        <v>5000</v>
      </c>
      <c r="K1358" s="28" t="n">
        <v>9.25</v>
      </c>
      <c r="L1358" s="28" t="n">
        <v>120</v>
      </c>
      <c r="M1358" s="28" t="n">
        <v>1</v>
      </c>
    </row>
    <row r="1359" customFormat="false" ht="15" hidden="false" customHeight="false" outlineLevel="0" collapsed="false">
      <c r="A1359" s="27" t="n">
        <v>44592</v>
      </c>
      <c r="B1359" s="28" t="n">
        <v>2022</v>
      </c>
      <c r="C1359" s="28" t="s">
        <v>423</v>
      </c>
      <c r="D1359" s="28" t="s">
        <v>43</v>
      </c>
      <c r="E1359" s="28" t="s">
        <v>732</v>
      </c>
      <c r="F1359" s="28" t="s">
        <v>142</v>
      </c>
      <c r="G1359" s="28" t="s">
        <v>148</v>
      </c>
      <c r="H1359" s="28" t="s">
        <v>200</v>
      </c>
      <c r="I1359" s="29" t="n">
        <v>350000</v>
      </c>
      <c r="J1359" s="29" t="n">
        <v>262500</v>
      </c>
      <c r="K1359" s="28" t="n">
        <v>6</v>
      </c>
      <c r="L1359" s="28" t="n">
        <v>79</v>
      </c>
      <c r="M1359" s="28" t="n">
        <v>4</v>
      </c>
    </row>
    <row r="1360" customFormat="false" ht="15" hidden="false" customHeight="false" outlineLevel="0" collapsed="false">
      <c r="A1360" s="27" t="n">
        <v>44592</v>
      </c>
      <c r="B1360" s="28" t="n">
        <v>2022</v>
      </c>
      <c r="C1360" s="28" t="s">
        <v>504</v>
      </c>
      <c r="D1360" s="28" t="s">
        <v>49</v>
      </c>
      <c r="E1360" s="28" t="s">
        <v>733</v>
      </c>
      <c r="F1360" s="28" t="s">
        <v>147</v>
      </c>
      <c r="G1360" s="28" t="s">
        <v>148</v>
      </c>
      <c r="H1360" s="28" t="s">
        <v>162</v>
      </c>
      <c r="I1360" s="29" t="n">
        <v>350000</v>
      </c>
      <c r="J1360" s="29" t="n">
        <v>175000</v>
      </c>
      <c r="K1360" s="28" t="n">
        <v>4</v>
      </c>
      <c r="L1360" s="28" t="n">
        <v>60</v>
      </c>
      <c r="M1360" s="28" t="n">
        <v>3</v>
      </c>
    </row>
    <row r="1361" customFormat="false" ht="15" hidden="false" customHeight="false" outlineLevel="0" collapsed="false">
      <c r="A1361" s="27" t="n">
        <v>44593</v>
      </c>
      <c r="B1361" s="28" t="n">
        <v>2022</v>
      </c>
      <c r="C1361" s="28" t="s">
        <v>198</v>
      </c>
      <c r="D1361" s="28" t="s">
        <v>45</v>
      </c>
      <c r="E1361" s="28" t="s">
        <v>222</v>
      </c>
      <c r="F1361" s="28" t="s">
        <v>147</v>
      </c>
      <c r="G1361" s="28" t="s">
        <v>143</v>
      </c>
      <c r="H1361" s="28" t="s">
        <v>159</v>
      </c>
      <c r="I1361" s="29" t="n">
        <v>10000</v>
      </c>
      <c r="J1361" s="29" t="n">
        <v>5000</v>
      </c>
      <c r="K1361" s="28" t="n">
        <v>5.5</v>
      </c>
      <c r="L1361" s="28" t="n">
        <v>104</v>
      </c>
      <c r="M1361" s="28" t="n">
        <v>2</v>
      </c>
    </row>
    <row r="1362" customFormat="false" ht="15" hidden="false" customHeight="false" outlineLevel="0" collapsed="false">
      <c r="A1362" s="27" t="n">
        <v>44593</v>
      </c>
      <c r="B1362" s="28" t="n">
        <v>2022</v>
      </c>
      <c r="C1362" s="28" t="s">
        <v>198</v>
      </c>
      <c r="D1362" s="28" t="s">
        <v>45</v>
      </c>
      <c r="E1362" s="28" t="s">
        <v>222</v>
      </c>
      <c r="F1362" s="28" t="s">
        <v>147</v>
      </c>
      <c r="G1362" s="28" t="s">
        <v>143</v>
      </c>
      <c r="H1362" s="28" t="s">
        <v>159</v>
      </c>
      <c r="I1362" s="29" t="n">
        <v>140000</v>
      </c>
      <c r="J1362" s="29" t="n">
        <v>70000</v>
      </c>
      <c r="K1362" s="28" t="n">
        <v>5.75</v>
      </c>
      <c r="L1362" s="28" t="n">
        <v>92</v>
      </c>
      <c r="M1362" s="28" t="n">
        <v>2</v>
      </c>
    </row>
    <row r="1363" customFormat="false" ht="15" hidden="false" customHeight="false" outlineLevel="0" collapsed="false">
      <c r="A1363" s="27" t="n">
        <v>44594</v>
      </c>
      <c r="B1363" s="28" t="n">
        <v>2022</v>
      </c>
      <c r="C1363" s="28" t="s">
        <v>328</v>
      </c>
      <c r="D1363" s="28" t="s">
        <v>53</v>
      </c>
      <c r="E1363" s="28" t="s">
        <v>734</v>
      </c>
      <c r="F1363" s="28" t="s">
        <v>194</v>
      </c>
      <c r="G1363" s="28" t="s">
        <v>148</v>
      </c>
      <c r="H1363" s="28" t="s">
        <v>735</v>
      </c>
      <c r="I1363" s="29" t="n">
        <v>660000</v>
      </c>
      <c r="J1363" s="29" t="n">
        <v>495000</v>
      </c>
      <c r="K1363" s="28" t="n">
        <v>5.25</v>
      </c>
      <c r="L1363" s="28" t="n">
        <v>120</v>
      </c>
      <c r="M1363" s="28" t="n">
        <v>4</v>
      </c>
    </row>
    <row r="1364" customFormat="false" ht="15" hidden="false" customHeight="false" outlineLevel="0" collapsed="false">
      <c r="A1364" s="27" t="n">
        <v>44594</v>
      </c>
      <c r="B1364" s="28" t="n">
        <v>2022</v>
      </c>
      <c r="C1364" s="28" t="s">
        <v>312</v>
      </c>
      <c r="D1364" s="28" t="s">
        <v>43</v>
      </c>
      <c r="E1364" s="28" t="s">
        <v>588</v>
      </c>
      <c r="F1364" s="28" t="s">
        <v>142</v>
      </c>
      <c r="G1364" s="28" t="s">
        <v>152</v>
      </c>
      <c r="H1364" s="28" t="s">
        <v>374</v>
      </c>
      <c r="I1364" s="29" t="n">
        <v>205000</v>
      </c>
      <c r="J1364" s="29" t="n">
        <v>153750</v>
      </c>
      <c r="K1364" s="28" t="n">
        <v>6</v>
      </c>
      <c r="L1364" s="28" t="n">
        <v>120</v>
      </c>
      <c r="M1364" s="28" t="n">
        <v>2</v>
      </c>
    </row>
    <row r="1365" customFormat="false" ht="15" hidden="false" customHeight="false" outlineLevel="0" collapsed="false">
      <c r="A1365" s="27" t="n">
        <v>44594</v>
      </c>
      <c r="B1365" s="28" t="n">
        <v>2022</v>
      </c>
      <c r="C1365" s="28" t="s">
        <v>166</v>
      </c>
      <c r="D1365" s="28" t="s">
        <v>48</v>
      </c>
      <c r="E1365" s="28" t="s">
        <v>736</v>
      </c>
      <c r="F1365" s="28" t="s">
        <v>142</v>
      </c>
      <c r="G1365" s="28" t="s">
        <v>148</v>
      </c>
      <c r="H1365" s="28" t="s">
        <v>171</v>
      </c>
      <c r="I1365" s="29" t="n">
        <v>200000</v>
      </c>
      <c r="J1365" s="29" t="n">
        <v>150000</v>
      </c>
      <c r="K1365" s="28" t="n">
        <v>5.25</v>
      </c>
      <c r="L1365" s="28" t="n">
        <v>97</v>
      </c>
      <c r="M1365" s="28" t="n">
        <v>8</v>
      </c>
    </row>
    <row r="1366" customFormat="false" ht="15" hidden="false" customHeight="false" outlineLevel="0" collapsed="false">
      <c r="A1366" s="27" t="n">
        <v>44594</v>
      </c>
      <c r="B1366" s="28" t="n">
        <v>2022</v>
      </c>
      <c r="C1366" s="28" t="s">
        <v>169</v>
      </c>
      <c r="D1366" s="28" t="s">
        <v>42</v>
      </c>
      <c r="E1366" s="28" t="s">
        <v>717</v>
      </c>
      <c r="F1366" s="28" t="s">
        <v>147</v>
      </c>
      <c r="G1366" s="28" t="s">
        <v>148</v>
      </c>
      <c r="H1366" s="28" t="s">
        <v>168</v>
      </c>
      <c r="I1366" s="29" t="n">
        <v>40000</v>
      </c>
      <c r="J1366" s="29" t="n">
        <v>20000</v>
      </c>
      <c r="K1366" s="28" t="n">
        <v>8.75</v>
      </c>
      <c r="L1366" s="28" t="n">
        <v>93</v>
      </c>
      <c r="M1366" s="28" t="n">
        <v>4</v>
      </c>
    </row>
    <row r="1367" customFormat="false" ht="15" hidden="false" customHeight="false" outlineLevel="0" collapsed="false">
      <c r="A1367" s="27" t="n">
        <v>44594</v>
      </c>
      <c r="B1367" s="28" t="n">
        <v>2022</v>
      </c>
      <c r="C1367" s="28" t="s">
        <v>166</v>
      </c>
      <c r="D1367" s="28" t="s">
        <v>50</v>
      </c>
      <c r="E1367" s="28" t="s">
        <v>737</v>
      </c>
      <c r="F1367" s="28" t="s">
        <v>147</v>
      </c>
      <c r="G1367" s="28" t="s">
        <v>441</v>
      </c>
      <c r="H1367" s="28" t="s">
        <v>168</v>
      </c>
      <c r="I1367" s="29" t="n">
        <v>10000</v>
      </c>
      <c r="J1367" s="29" t="n">
        <v>5000</v>
      </c>
      <c r="K1367" s="28" t="n">
        <v>9.75</v>
      </c>
      <c r="L1367" s="28" t="n">
        <v>83</v>
      </c>
      <c r="M1367" s="28" t="n">
        <v>7</v>
      </c>
    </row>
    <row r="1368" customFormat="false" ht="15" hidden="false" customHeight="false" outlineLevel="0" collapsed="false">
      <c r="A1368" s="27" t="n">
        <v>44594</v>
      </c>
      <c r="B1368" s="28" t="n">
        <v>2022</v>
      </c>
      <c r="C1368" s="28" t="s">
        <v>160</v>
      </c>
      <c r="D1368" s="28" t="s">
        <v>50</v>
      </c>
      <c r="E1368" s="28" t="s">
        <v>193</v>
      </c>
      <c r="F1368" s="28" t="s">
        <v>142</v>
      </c>
      <c r="G1368" s="28" t="s">
        <v>148</v>
      </c>
      <c r="H1368" s="28" t="s">
        <v>162</v>
      </c>
      <c r="I1368" s="29" t="n">
        <v>318800</v>
      </c>
      <c r="J1368" s="29" t="n">
        <v>239100</v>
      </c>
      <c r="K1368" s="28" t="n">
        <v>1.99</v>
      </c>
      <c r="L1368" s="28" t="n">
        <v>300</v>
      </c>
      <c r="M1368" s="28" t="n">
        <v>4</v>
      </c>
    </row>
    <row r="1369" customFormat="false" ht="15" hidden="false" customHeight="false" outlineLevel="0" collapsed="false">
      <c r="A1369" s="27" t="n">
        <v>44594</v>
      </c>
      <c r="B1369" s="28" t="n">
        <v>2022</v>
      </c>
      <c r="C1369" s="28" t="s">
        <v>203</v>
      </c>
      <c r="D1369" s="28" t="s">
        <v>42</v>
      </c>
      <c r="E1369" s="28" t="s">
        <v>717</v>
      </c>
      <c r="F1369" s="28" t="s">
        <v>142</v>
      </c>
      <c r="G1369" s="28" t="s">
        <v>148</v>
      </c>
      <c r="H1369" s="28" t="s">
        <v>281</v>
      </c>
      <c r="I1369" s="29" t="n">
        <v>861500</v>
      </c>
      <c r="J1369" s="29" t="n">
        <v>646125</v>
      </c>
      <c r="K1369" s="28" t="n">
        <v>5.5</v>
      </c>
      <c r="L1369" s="28" t="n">
        <v>120</v>
      </c>
      <c r="M1369" s="28" t="n">
        <v>38</v>
      </c>
    </row>
    <row r="1370" customFormat="false" ht="15" hidden="false" customHeight="false" outlineLevel="0" collapsed="false">
      <c r="A1370" s="27" t="n">
        <v>44595</v>
      </c>
      <c r="B1370" s="28" t="n">
        <v>2022</v>
      </c>
      <c r="C1370" s="28" t="s">
        <v>272</v>
      </c>
      <c r="D1370" s="28" t="s">
        <v>43</v>
      </c>
      <c r="E1370" s="28" t="s">
        <v>219</v>
      </c>
      <c r="F1370" s="28" t="s">
        <v>142</v>
      </c>
      <c r="G1370" s="28" t="s">
        <v>152</v>
      </c>
      <c r="H1370" s="28" t="s">
        <v>382</v>
      </c>
      <c r="I1370" s="29" t="n">
        <v>1157200</v>
      </c>
      <c r="J1370" s="29" t="n">
        <v>867900</v>
      </c>
      <c r="K1370" s="28" t="n">
        <v>5.75</v>
      </c>
      <c r="L1370" s="28" t="n">
        <v>120</v>
      </c>
      <c r="M1370" s="28" t="n">
        <v>24</v>
      </c>
    </row>
    <row r="1371" customFormat="false" ht="15" hidden="false" customHeight="false" outlineLevel="0" collapsed="false">
      <c r="A1371" s="27" t="n">
        <v>44595</v>
      </c>
      <c r="B1371" s="28" t="n">
        <v>2022</v>
      </c>
      <c r="C1371" s="28" t="s">
        <v>172</v>
      </c>
      <c r="D1371" s="28" t="s">
        <v>48</v>
      </c>
      <c r="E1371" s="28" t="s">
        <v>210</v>
      </c>
      <c r="F1371" s="28" t="s">
        <v>142</v>
      </c>
      <c r="G1371" s="28" t="s">
        <v>148</v>
      </c>
      <c r="H1371" s="28" t="s">
        <v>278</v>
      </c>
      <c r="I1371" s="29" t="n">
        <v>300000</v>
      </c>
      <c r="J1371" s="29" t="n">
        <v>225000</v>
      </c>
      <c r="K1371" s="28" t="n">
        <v>6</v>
      </c>
      <c r="L1371" s="28" t="n">
        <v>120</v>
      </c>
      <c r="M1371" s="28" t="n">
        <v>5</v>
      </c>
    </row>
    <row r="1372" customFormat="false" ht="15" hidden="false" customHeight="false" outlineLevel="0" collapsed="false">
      <c r="A1372" s="27" t="n">
        <v>44595</v>
      </c>
      <c r="B1372" s="28" t="n">
        <v>2022</v>
      </c>
      <c r="C1372" s="28" t="s">
        <v>738</v>
      </c>
      <c r="D1372" s="28" t="s">
        <v>45</v>
      </c>
      <c r="E1372" s="28" t="s">
        <v>222</v>
      </c>
      <c r="F1372" s="28" t="s">
        <v>147</v>
      </c>
      <c r="G1372" s="28" t="s">
        <v>148</v>
      </c>
      <c r="H1372" s="28" t="s">
        <v>159</v>
      </c>
      <c r="I1372" s="29" t="n">
        <v>65000</v>
      </c>
      <c r="J1372" s="29" t="n">
        <v>32500</v>
      </c>
      <c r="K1372" s="28" t="n">
        <v>6.25</v>
      </c>
      <c r="L1372" s="28" t="n">
        <v>120</v>
      </c>
      <c r="M1372" s="28" t="n">
        <v>5</v>
      </c>
    </row>
    <row r="1373" customFormat="false" ht="15" hidden="false" customHeight="false" outlineLevel="0" collapsed="false">
      <c r="A1373" s="27" t="n">
        <v>44596</v>
      </c>
      <c r="B1373" s="28" t="n">
        <v>2022</v>
      </c>
      <c r="C1373" s="28" t="s">
        <v>450</v>
      </c>
      <c r="D1373" s="28" t="s">
        <v>55</v>
      </c>
      <c r="E1373" s="28" t="s">
        <v>739</v>
      </c>
      <c r="F1373" s="28" t="s">
        <v>147</v>
      </c>
      <c r="G1373" s="28" t="s">
        <v>143</v>
      </c>
      <c r="H1373" s="28" t="s">
        <v>486</v>
      </c>
      <c r="I1373" s="29" t="n">
        <v>400000</v>
      </c>
      <c r="J1373" s="29" t="n">
        <v>200000</v>
      </c>
      <c r="K1373" s="28" t="n">
        <v>4.4</v>
      </c>
      <c r="L1373" s="28" t="n">
        <v>120</v>
      </c>
      <c r="M1373" s="28" t="n">
        <v>2</v>
      </c>
    </row>
    <row r="1374" customFormat="false" ht="15" hidden="false" customHeight="false" outlineLevel="0" collapsed="false">
      <c r="A1374" s="27" t="n">
        <v>44596</v>
      </c>
      <c r="B1374" s="28" t="n">
        <v>2022</v>
      </c>
      <c r="C1374" s="28" t="s">
        <v>201</v>
      </c>
      <c r="D1374" s="28" t="s">
        <v>45</v>
      </c>
      <c r="E1374" s="28" t="s">
        <v>740</v>
      </c>
      <c r="F1374" s="28" t="s">
        <v>147</v>
      </c>
      <c r="G1374" s="28" t="s">
        <v>148</v>
      </c>
      <c r="H1374" s="28" t="s">
        <v>271</v>
      </c>
      <c r="I1374" s="29" t="n">
        <v>350000</v>
      </c>
      <c r="J1374" s="29" t="n">
        <v>175000</v>
      </c>
      <c r="K1374" s="28" t="n">
        <v>4.25</v>
      </c>
      <c r="L1374" s="28" t="n">
        <v>12</v>
      </c>
      <c r="M1374" s="28" t="n">
        <v>18</v>
      </c>
    </row>
    <row r="1375" customFormat="false" ht="15" hidden="false" customHeight="false" outlineLevel="0" collapsed="false">
      <c r="A1375" s="27" t="n">
        <v>44596</v>
      </c>
      <c r="B1375" s="28" t="n">
        <v>2022</v>
      </c>
      <c r="C1375" s="28" t="s">
        <v>198</v>
      </c>
      <c r="D1375" s="28" t="s">
        <v>46</v>
      </c>
      <c r="E1375" s="28" t="s">
        <v>741</v>
      </c>
      <c r="F1375" s="28" t="s">
        <v>142</v>
      </c>
      <c r="G1375" s="28" t="s">
        <v>143</v>
      </c>
      <c r="H1375" s="28" t="s">
        <v>281</v>
      </c>
      <c r="I1375" s="29" t="n">
        <v>126700</v>
      </c>
      <c r="J1375" s="29" t="n">
        <v>95025</v>
      </c>
      <c r="K1375" s="28" t="n">
        <v>5.25</v>
      </c>
      <c r="L1375" s="28" t="n">
        <v>287</v>
      </c>
      <c r="M1375" s="28" t="n">
        <v>12</v>
      </c>
    </row>
    <row r="1376" customFormat="false" ht="15" hidden="false" customHeight="false" outlineLevel="0" collapsed="false">
      <c r="A1376" s="27" t="n">
        <v>44599</v>
      </c>
      <c r="B1376" s="28" t="n">
        <v>2022</v>
      </c>
      <c r="C1376" s="28" t="s">
        <v>310</v>
      </c>
      <c r="D1376" s="28" t="s">
        <v>54</v>
      </c>
      <c r="E1376" s="28" t="s">
        <v>155</v>
      </c>
      <c r="F1376" s="28" t="s">
        <v>283</v>
      </c>
      <c r="G1376" s="28" t="s">
        <v>148</v>
      </c>
      <c r="H1376" s="28" t="s">
        <v>306</v>
      </c>
      <c r="I1376" s="29" t="n">
        <v>300000</v>
      </c>
      <c r="J1376" s="29" t="n">
        <v>225000</v>
      </c>
      <c r="K1376" s="28" t="n">
        <v>5.25</v>
      </c>
      <c r="L1376" s="28" t="n">
        <v>5</v>
      </c>
      <c r="M1376" s="28" t="n">
        <v>3</v>
      </c>
    </row>
    <row r="1377" customFormat="false" ht="15" hidden="false" customHeight="false" outlineLevel="0" collapsed="false">
      <c r="A1377" s="27" t="n">
        <v>44600</v>
      </c>
      <c r="B1377" s="28" t="n">
        <v>2022</v>
      </c>
      <c r="C1377" s="28" t="s">
        <v>213</v>
      </c>
      <c r="D1377" s="28" t="s">
        <v>45</v>
      </c>
      <c r="E1377" s="28" t="s">
        <v>293</v>
      </c>
      <c r="F1377" s="28" t="s">
        <v>283</v>
      </c>
      <c r="G1377" s="28" t="s">
        <v>148</v>
      </c>
      <c r="H1377" s="28" t="s">
        <v>306</v>
      </c>
      <c r="I1377" s="29" t="n">
        <v>50000</v>
      </c>
      <c r="J1377" s="29" t="n">
        <v>42500</v>
      </c>
      <c r="K1377" s="28" t="n">
        <v>4.25</v>
      </c>
      <c r="L1377" s="28" t="n">
        <v>12</v>
      </c>
      <c r="M1377" s="28" t="n">
        <v>3</v>
      </c>
    </row>
    <row r="1378" customFormat="false" ht="15" hidden="false" customHeight="false" outlineLevel="0" collapsed="false">
      <c r="A1378" s="27" t="n">
        <v>44600</v>
      </c>
      <c r="B1378" s="28" t="n">
        <v>2022</v>
      </c>
      <c r="C1378" s="28" t="s">
        <v>265</v>
      </c>
      <c r="D1378" s="28" t="s">
        <v>52</v>
      </c>
      <c r="E1378" s="28" t="s">
        <v>250</v>
      </c>
      <c r="F1378" s="28" t="s">
        <v>142</v>
      </c>
      <c r="G1378" s="28" t="s">
        <v>148</v>
      </c>
      <c r="H1378" s="28" t="s">
        <v>469</v>
      </c>
      <c r="I1378" s="29" t="n">
        <v>331700</v>
      </c>
      <c r="J1378" s="29" t="n">
        <v>248775</v>
      </c>
      <c r="K1378" s="28" t="n">
        <v>5.15</v>
      </c>
      <c r="L1378" s="28" t="n">
        <v>120</v>
      </c>
      <c r="M1378" s="28" t="n">
        <v>3</v>
      </c>
    </row>
    <row r="1379" customFormat="false" ht="15" hidden="false" customHeight="false" outlineLevel="0" collapsed="false">
      <c r="A1379" s="27" t="n">
        <v>44600</v>
      </c>
      <c r="B1379" s="28" t="n">
        <v>2022</v>
      </c>
      <c r="C1379" s="28" t="s">
        <v>249</v>
      </c>
      <c r="D1379" s="28" t="s">
        <v>52</v>
      </c>
      <c r="E1379" s="28" t="s">
        <v>742</v>
      </c>
      <c r="F1379" s="28" t="s">
        <v>142</v>
      </c>
      <c r="G1379" s="28" t="s">
        <v>148</v>
      </c>
      <c r="H1379" s="28" t="s">
        <v>211</v>
      </c>
      <c r="I1379" s="29" t="n">
        <v>350000</v>
      </c>
      <c r="J1379" s="29" t="n">
        <v>262500</v>
      </c>
      <c r="K1379" s="28" t="n">
        <v>6</v>
      </c>
      <c r="L1379" s="28" t="n">
        <v>120</v>
      </c>
      <c r="M1379" s="28" t="n">
        <v>3</v>
      </c>
    </row>
    <row r="1380" customFormat="false" ht="15" hidden="false" customHeight="false" outlineLevel="0" collapsed="false">
      <c r="A1380" s="27" t="n">
        <v>44601</v>
      </c>
      <c r="B1380" s="28" t="n">
        <v>2022</v>
      </c>
      <c r="C1380" s="28" t="s">
        <v>198</v>
      </c>
      <c r="D1380" s="28" t="s">
        <v>47</v>
      </c>
      <c r="E1380" s="28" t="s">
        <v>743</v>
      </c>
      <c r="F1380" s="28" t="s">
        <v>142</v>
      </c>
      <c r="G1380" s="28" t="s">
        <v>148</v>
      </c>
      <c r="H1380" s="28" t="s">
        <v>275</v>
      </c>
      <c r="I1380" s="29" t="n">
        <v>15500</v>
      </c>
      <c r="J1380" s="29" t="n">
        <v>13175</v>
      </c>
      <c r="K1380" s="28" t="n">
        <v>8</v>
      </c>
      <c r="L1380" s="28" t="n">
        <v>84</v>
      </c>
      <c r="M1380" s="28" t="n">
        <v>2</v>
      </c>
    </row>
    <row r="1381" customFormat="false" ht="15" hidden="false" customHeight="false" outlineLevel="0" collapsed="false">
      <c r="A1381" s="27" t="n">
        <v>44601</v>
      </c>
      <c r="B1381" s="28" t="n">
        <v>2022</v>
      </c>
      <c r="C1381" s="28" t="s">
        <v>172</v>
      </c>
      <c r="D1381" s="28" t="s">
        <v>48</v>
      </c>
      <c r="E1381" s="28" t="s">
        <v>304</v>
      </c>
      <c r="F1381" s="28" t="s">
        <v>142</v>
      </c>
      <c r="G1381" s="28" t="s">
        <v>148</v>
      </c>
      <c r="H1381" s="28" t="s">
        <v>149</v>
      </c>
      <c r="I1381" s="29" t="n">
        <v>267000</v>
      </c>
      <c r="J1381" s="29" t="n">
        <v>200250</v>
      </c>
      <c r="K1381" s="28" t="n">
        <v>4.25</v>
      </c>
      <c r="L1381" s="28" t="n">
        <v>300</v>
      </c>
      <c r="M1381" s="28" t="n">
        <v>5</v>
      </c>
    </row>
    <row r="1382" customFormat="false" ht="15" hidden="false" customHeight="false" outlineLevel="0" collapsed="false">
      <c r="A1382" s="27" t="n">
        <v>44601</v>
      </c>
      <c r="B1382" s="28" t="n">
        <v>2022</v>
      </c>
      <c r="C1382" s="28" t="s">
        <v>201</v>
      </c>
      <c r="D1382" s="28" t="s">
        <v>45</v>
      </c>
      <c r="E1382" s="28" t="s">
        <v>222</v>
      </c>
      <c r="F1382" s="28" t="s">
        <v>147</v>
      </c>
      <c r="G1382" s="28" t="s">
        <v>148</v>
      </c>
      <c r="H1382" s="28" t="s">
        <v>271</v>
      </c>
      <c r="I1382" s="29" t="n">
        <v>65000</v>
      </c>
      <c r="J1382" s="29" t="n">
        <v>32500</v>
      </c>
      <c r="K1382" s="28" t="n">
        <v>5.25</v>
      </c>
      <c r="L1382" s="28" t="n">
        <v>60</v>
      </c>
      <c r="M1382" s="28" t="n">
        <v>6</v>
      </c>
    </row>
    <row r="1383" customFormat="false" ht="15" hidden="false" customHeight="false" outlineLevel="0" collapsed="false">
      <c r="A1383" s="27" t="n">
        <v>44601</v>
      </c>
      <c r="B1383" s="28" t="n">
        <v>2022</v>
      </c>
      <c r="C1383" s="28" t="s">
        <v>316</v>
      </c>
      <c r="D1383" s="28" t="s">
        <v>48</v>
      </c>
      <c r="E1383" s="28" t="s">
        <v>362</v>
      </c>
      <c r="F1383" s="28" t="s">
        <v>142</v>
      </c>
      <c r="G1383" s="28" t="s">
        <v>148</v>
      </c>
      <c r="H1383" s="28" t="s">
        <v>200</v>
      </c>
      <c r="I1383" s="29" t="n">
        <v>525000</v>
      </c>
      <c r="J1383" s="29" t="n">
        <v>393750</v>
      </c>
      <c r="K1383" s="28" t="n">
        <v>6</v>
      </c>
      <c r="L1383" s="28" t="n">
        <v>102</v>
      </c>
      <c r="M1383" s="28" t="n">
        <v>125</v>
      </c>
    </row>
    <row r="1384" customFormat="false" ht="15" hidden="false" customHeight="false" outlineLevel="0" collapsed="false">
      <c r="A1384" s="27" t="n">
        <v>44602</v>
      </c>
      <c r="B1384" s="28" t="n">
        <v>2022</v>
      </c>
      <c r="C1384" s="28" t="s">
        <v>163</v>
      </c>
      <c r="D1384" s="28" t="s">
        <v>53</v>
      </c>
      <c r="E1384" s="28" t="s">
        <v>718</v>
      </c>
      <c r="F1384" s="28" t="s">
        <v>142</v>
      </c>
      <c r="G1384" s="28" t="s">
        <v>143</v>
      </c>
      <c r="H1384" s="28" t="s">
        <v>287</v>
      </c>
      <c r="I1384" s="29" t="n">
        <v>150000</v>
      </c>
      <c r="J1384" s="29" t="n">
        <v>127500</v>
      </c>
      <c r="K1384" s="28" t="n">
        <v>6</v>
      </c>
      <c r="L1384" s="28" t="n">
        <v>120</v>
      </c>
      <c r="M1384" s="28" t="n">
        <v>2</v>
      </c>
    </row>
    <row r="1385" customFormat="false" ht="15" hidden="false" customHeight="false" outlineLevel="0" collapsed="false">
      <c r="A1385" s="27" t="n">
        <v>44602</v>
      </c>
      <c r="B1385" s="28" t="n">
        <v>2022</v>
      </c>
      <c r="C1385" s="28" t="s">
        <v>310</v>
      </c>
      <c r="D1385" s="28" t="s">
        <v>45</v>
      </c>
      <c r="E1385" s="28" t="s">
        <v>222</v>
      </c>
      <c r="F1385" s="28" t="s">
        <v>142</v>
      </c>
      <c r="G1385" s="28" t="s">
        <v>148</v>
      </c>
      <c r="H1385" s="28" t="s">
        <v>306</v>
      </c>
      <c r="I1385" s="29" t="n">
        <v>127100</v>
      </c>
      <c r="J1385" s="29" t="n">
        <v>95325</v>
      </c>
      <c r="K1385" s="28" t="n">
        <v>4.25</v>
      </c>
      <c r="L1385" s="28" t="n">
        <v>118</v>
      </c>
      <c r="M1385" s="28" t="n">
        <v>5</v>
      </c>
    </row>
    <row r="1386" customFormat="false" ht="15" hidden="false" customHeight="false" outlineLevel="0" collapsed="false">
      <c r="A1386" s="27" t="n">
        <v>44602</v>
      </c>
      <c r="B1386" s="28" t="n">
        <v>2022</v>
      </c>
      <c r="C1386" s="28" t="s">
        <v>500</v>
      </c>
      <c r="D1386" s="28" t="s">
        <v>49</v>
      </c>
      <c r="E1386" s="28" t="s">
        <v>744</v>
      </c>
      <c r="F1386" s="28" t="s">
        <v>142</v>
      </c>
      <c r="G1386" s="28" t="s">
        <v>148</v>
      </c>
      <c r="H1386" s="28" t="s">
        <v>211</v>
      </c>
      <c r="I1386" s="29" t="n">
        <v>350000</v>
      </c>
      <c r="J1386" s="29" t="n">
        <v>262500</v>
      </c>
      <c r="K1386" s="28" t="n">
        <v>6</v>
      </c>
      <c r="L1386" s="28" t="n">
        <v>120</v>
      </c>
      <c r="M1386" s="28" t="n">
        <v>9</v>
      </c>
    </row>
    <row r="1387" customFormat="false" ht="15" hidden="false" customHeight="false" outlineLevel="0" collapsed="false">
      <c r="A1387" s="27" t="n">
        <v>44603</v>
      </c>
      <c r="B1387" s="28" t="n">
        <v>2022</v>
      </c>
      <c r="C1387" s="28" t="s">
        <v>375</v>
      </c>
      <c r="D1387" s="28" t="s">
        <v>43</v>
      </c>
      <c r="E1387" s="28" t="s">
        <v>219</v>
      </c>
      <c r="F1387" s="28" t="s">
        <v>142</v>
      </c>
      <c r="G1387" s="28" t="s">
        <v>148</v>
      </c>
      <c r="H1387" s="28" t="s">
        <v>314</v>
      </c>
      <c r="I1387" s="29" t="n">
        <v>933000</v>
      </c>
      <c r="J1387" s="29" t="n">
        <v>699750</v>
      </c>
      <c r="K1387" s="28" t="n">
        <v>4.25</v>
      </c>
      <c r="L1387" s="28" t="n">
        <v>303</v>
      </c>
      <c r="M1387" s="28" t="n">
        <v>12</v>
      </c>
    </row>
    <row r="1388" customFormat="false" ht="15" hidden="false" customHeight="false" outlineLevel="0" collapsed="false">
      <c r="A1388" s="27" t="n">
        <v>44603</v>
      </c>
      <c r="B1388" s="28" t="n">
        <v>2022</v>
      </c>
      <c r="C1388" s="28" t="s">
        <v>172</v>
      </c>
      <c r="D1388" s="28" t="s">
        <v>45</v>
      </c>
      <c r="E1388" s="28" t="s">
        <v>745</v>
      </c>
      <c r="F1388" s="28" t="s">
        <v>147</v>
      </c>
      <c r="G1388" s="28" t="s">
        <v>148</v>
      </c>
      <c r="H1388" s="28" t="s">
        <v>159</v>
      </c>
      <c r="I1388" s="29" t="n">
        <v>60000</v>
      </c>
      <c r="J1388" s="29" t="n">
        <v>30000</v>
      </c>
      <c r="K1388" s="28" t="n">
        <v>7</v>
      </c>
      <c r="L1388" s="28" t="n">
        <v>115</v>
      </c>
      <c r="M1388" s="28" t="n">
        <v>17</v>
      </c>
    </row>
    <row r="1389" customFormat="false" ht="15" hidden="false" customHeight="false" outlineLevel="0" collapsed="false">
      <c r="A1389" s="27" t="n">
        <v>44603</v>
      </c>
      <c r="B1389" s="28" t="n">
        <v>2022</v>
      </c>
      <c r="C1389" s="28" t="s">
        <v>500</v>
      </c>
      <c r="D1389" s="28" t="s">
        <v>52</v>
      </c>
      <c r="E1389" s="28" t="s">
        <v>716</v>
      </c>
      <c r="F1389" s="28" t="s">
        <v>147</v>
      </c>
      <c r="G1389" s="28" t="s">
        <v>441</v>
      </c>
      <c r="H1389" s="28" t="s">
        <v>168</v>
      </c>
      <c r="I1389" s="29" t="n">
        <v>15000</v>
      </c>
      <c r="J1389" s="29" t="n">
        <v>7500</v>
      </c>
      <c r="K1389" s="28" t="n">
        <v>9.75</v>
      </c>
      <c r="L1389" s="28" t="n">
        <v>120</v>
      </c>
      <c r="M1389" s="28" t="n">
        <v>0</v>
      </c>
    </row>
    <row r="1390" customFormat="false" ht="15" hidden="false" customHeight="false" outlineLevel="0" collapsed="false">
      <c r="A1390" s="27" t="n">
        <v>44605</v>
      </c>
      <c r="B1390" s="28" t="n">
        <v>2022</v>
      </c>
      <c r="C1390" s="28" t="s">
        <v>303</v>
      </c>
      <c r="D1390" s="28" t="s">
        <v>46</v>
      </c>
      <c r="E1390" s="28" t="s">
        <v>746</v>
      </c>
      <c r="F1390" s="28" t="s">
        <v>142</v>
      </c>
      <c r="G1390" s="28" t="s">
        <v>148</v>
      </c>
      <c r="H1390" s="28" t="s">
        <v>165</v>
      </c>
      <c r="I1390" s="29" t="n">
        <v>1482900</v>
      </c>
      <c r="J1390" s="29" t="n">
        <v>1112175</v>
      </c>
      <c r="K1390" s="28" t="n">
        <v>5.25</v>
      </c>
      <c r="L1390" s="28" t="n">
        <v>120</v>
      </c>
      <c r="M1390" s="28" t="n">
        <v>22</v>
      </c>
    </row>
    <row r="1391" customFormat="false" ht="15" hidden="false" customHeight="false" outlineLevel="0" collapsed="false">
      <c r="A1391" s="27" t="n">
        <v>44606</v>
      </c>
      <c r="B1391" s="28" t="n">
        <v>2022</v>
      </c>
      <c r="C1391" s="28" t="s">
        <v>318</v>
      </c>
      <c r="D1391" s="28" t="s">
        <v>47</v>
      </c>
      <c r="E1391" s="28" t="s">
        <v>747</v>
      </c>
      <c r="F1391" s="28" t="s">
        <v>283</v>
      </c>
      <c r="G1391" s="28" t="s">
        <v>148</v>
      </c>
      <c r="H1391" s="28" t="s">
        <v>306</v>
      </c>
      <c r="I1391" s="29" t="n">
        <v>750000</v>
      </c>
      <c r="J1391" s="29" t="n">
        <v>562500</v>
      </c>
      <c r="K1391" s="28" t="n">
        <v>3.75</v>
      </c>
      <c r="L1391" s="28" t="n">
        <v>45</v>
      </c>
      <c r="M1391" s="28" t="n">
        <v>8</v>
      </c>
    </row>
    <row r="1392" customFormat="false" ht="15" hidden="false" customHeight="false" outlineLevel="0" collapsed="false">
      <c r="A1392" s="27" t="n">
        <v>44606</v>
      </c>
      <c r="B1392" s="28" t="n">
        <v>2022</v>
      </c>
      <c r="C1392" s="28" t="s">
        <v>203</v>
      </c>
      <c r="D1392" s="28" t="s">
        <v>45</v>
      </c>
      <c r="E1392" s="28" t="s">
        <v>748</v>
      </c>
      <c r="F1392" s="28" t="s">
        <v>142</v>
      </c>
      <c r="G1392" s="28" t="s">
        <v>152</v>
      </c>
      <c r="H1392" s="28" t="s">
        <v>144</v>
      </c>
      <c r="I1392" s="29" t="n">
        <v>750000</v>
      </c>
      <c r="J1392" s="29" t="n">
        <v>562500</v>
      </c>
      <c r="K1392" s="28" t="n">
        <v>6</v>
      </c>
      <c r="L1392" s="28" t="n">
        <v>120</v>
      </c>
      <c r="M1392" s="28" t="n">
        <v>5</v>
      </c>
    </row>
    <row r="1393" customFormat="false" ht="15" hidden="false" customHeight="false" outlineLevel="0" collapsed="false">
      <c r="A1393" s="27" t="n">
        <v>44606</v>
      </c>
      <c r="B1393" s="28" t="n">
        <v>2022</v>
      </c>
      <c r="C1393" s="28" t="s">
        <v>203</v>
      </c>
      <c r="D1393" s="28" t="s">
        <v>45</v>
      </c>
      <c r="E1393" s="28" t="s">
        <v>748</v>
      </c>
      <c r="F1393" s="28" t="s">
        <v>147</v>
      </c>
      <c r="G1393" s="28" t="s">
        <v>152</v>
      </c>
      <c r="H1393" s="28" t="s">
        <v>144</v>
      </c>
      <c r="I1393" s="29" t="n">
        <v>100000</v>
      </c>
      <c r="J1393" s="29" t="n">
        <v>50000</v>
      </c>
      <c r="K1393" s="28" t="n">
        <v>5.25</v>
      </c>
      <c r="L1393" s="28" t="n">
        <v>120</v>
      </c>
      <c r="M1393" s="28" t="n">
        <v>5</v>
      </c>
    </row>
    <row r="1394" customFormat="false" ht="15" hidden="false" customHeight="false" outlineLevel="0" collapsed="false">
      <c r="A1394" s="27" t="n">
        <v>44606</v>
      </c>
      <c r="B1394" s="28" t="n">
        <v>2022</v>
      </c>
      <c r="C1394" s="28" t="s">
        <v>316</v>
      </c>
      <c r="D1394" s="28" t="s">
        <v>43</v>
      </c>
      <c r="E1394" s="28" t="s">
        <v>749</v>
      </c>
      <c r="F1394" s="28" t="s">
        <v>283</v>
      </c>
      <c r="G1394" s="28" t="s">
        <v>148</v>
      </c>
      <c r="H1394" s="28" t="s">
        <v>306</v>
      </c>
      <c r="I1394" s="29" t="n">
        <v>150000</v>
      </c>
      <c r="J1394" s="29" t="n">
        <v>127500</v>
      </c>
      <c r="K1394" s="28" t="n">
        <v>4.75</v>
      </c>
      <c r="L1394" s="28" t="n">
        <v>120</v>
      </c>
      <c r="M1394" s="28" t="n">
        <v>5</v>
      </c>
    </row>
    <row r="1395" customFormat="false" ht="15" hidden="false" customHeight="false" outlineLevel="0" collapsed="false">
      <c r="A1395" s="27" t="n">
        <v>44606</v>
      </c>
      <c r="B1395" s="28" t="n">
        <v>2022</v>
      </c>
      <c r="C1395" s="28" t="s">
        <v>160</v>
      </c>
      <c r="D1395" s="28" t="s">
        <v>47</v>
      </c>
      <c r="E1395" s="28" t="s">
        <v>750</v>
      </c>
      <c r="F1395" s="28" t="s">
        <v>142</v>
      </c>
      <c r="G1395" s="28" t="s">
        <v>148</v>
      </c>
      <c r="H1395" s="28" t="s">
        <v>281</v>
      </c>
      <c r="I1395" s="29" t="n">
        <v>800900</v>
      </c>
      <c r="J1395" s="29" t="n">
        <v>600675</v>
      </c>
      <c r="K1395" s="28" t="n">
        <v>3.25</v>
      </c>
      <c r="L1395" s="28" t="n">
        <v>120</v>
      </c>
      <c r="M1395" s="28" t="n">
        <v>5</v>
      </c>
    </row>
    <row r="1396" customFormat="false" ht="15" hidden="false" customHeight="false" outlineLevel="0" collapsed="false">
      <c r="A1396" s="27" t="n">
        <v>44607</v>
      </c>
      <c r="B1396" s="28" t="n">
        <v>2022</v>
      </c>
      <c r="C1396" s="28" t="s">
        <v>166</v>
      </c>
      <c r="D1396" s="28" t="s">
        <v>47</v>
      </c>
      <c r="E1396" s="28" t="s">
        <v>707</v>
      </c>
      <c r="F1396" s="28" t="s">
        <v>142</v>
      </c>
      <c r="G1396" s="28" t="s">
        <v>441</v>
      </c>
      <c r="H1396" s="28" t="s">
        <v>200</v>
      </c>
      <c r="I1396" s="29" t="n">
        <v>100000</v>
      </c>
      <c r="J1396" s="29" t="n">
        <v>85000</v>
      </c>
      <c r="K1396" s="28" t="n">
        <v>6</v>
      </c>
      <c r="L1396" s="28" t="n">
        <v>120</v>
      </c>
      <c r="M1396" s="28" t="n">
        <v>3</v>
      </c>
    </row>
    <row r="1397" customFormat="false" ht="15" hidden="false" customHeight="false" outlineLevel="0" collapsed="false">
      <c r="A1397" s="27" t="n">
        <v>44608</v>
      </c>
      <c r="B1397" s="28" t="n">
        <v>2022</v>
      </c>
      <c r="C1397" s="28" t="s">
        <v>522</v>
      </c>
      <c r="D1397" s="28" t="s">
        <v>44</v>
      </c>
      <c r="E1397" s="28" t="s">
        <v>751</v>
      </c>
      <c r="F1397" s="28" t="s">
        <v>147</v>
      </c>
      <c r="G1397" s="28" t="s">
        <v>148</v>
      </c>
      <c r="H1397" s="28" t="s">
        <v>495</v>
      </c>
      <c r="I1397" s="29" t="n">
        <v>180000</v>
      </c>
      <c r="J1397" s="29" t="n">
        <v>90000</v>
      </c>
      <c r="K1397" s="28" t="n">
        <v>4.75</v>
      </c>
      <c r="L1397" s="28" t="n">
        <v>120</v>
      </c>
      <c r="M1397" s="28" t="n">
        <v>2</v>
      </c>
    </row>
    <row r="1398" customFormat="false" ht="15" hidden="false" customHeight="false" outlineLevel="0" collapsed="false">
      <c r="A1398" s="27" t="n">
        <v>44608</v>
      </c>
      <c r="B1398" s="28" t="n">
        <v>2022</v>
      </c>
      <c r="C1398" s="28" t="s">
        <v>450</v>
      </c>
      <c r="D1398" s="28" t="s">
        <v>55</v>
      </c>
      <c r="E1398" s="28" t="s">
        <v>739</v>
      </c>
      <c r="F1398" s="28" t="s">
        <v>142</v>
      </c>
      <c r="G1398" s="28" t="s">
        <v>152</v>
      </c>
      <c r="H1398" s="28" t="s">
        <v>486</v>
      </c>
      <c r="I1398" s="29" t="n">
        <v>1140000</v>
      </c>
      <c r="J1398" s="29" t="n">
        <v>855000</v>
      </c>
      <c r="K1398" s="28" t="n">
        <v>4.4</v>
      </c>
      <c r="L1398" s="28" t="n">
        <v>144</v>
      </c>
      <c r="M1398" s="28" t="n">
        <v>1</v>
      </c>
    </row>
    <row r="1399" customFormat="false" ht="15" hidden="false" customHeight="false" outlineLevel="0" collapsed="false">
      <c r="A1399" s="27" t="n">
        <v>44609</v>
      </c>
      <c r="B1399" s="28" t="n">
        <v>2022</v>
      </c>
      <c r="C1399" s="28" t="s">
        <v>140</v>
      </c>
      <c r="D1399" s="28" t="s">
        <v>43</v>
      </c>
      <c r="E1399" s="28" t="s">
        <v>317</v>
      </c>
      <c r="F1399" s="28" t="s">
        <v>147</v>
      </c>
      <c r="G1399" s="28" t="s">
        <v>441</v>
      </c>
      <c r="H1399" s="28" t="s">
        <v>168</v>
      </c>
      <c r="I1399" s="29" t="n">
        <v>5000</v>
      </c>
      <c r="J1399" s="29" t="n">
        <v>2500</v>
      </c>
      <c r="K1399" s="28" t="n">
        <v>9.75</v>
      </c>
      <c r="L1399" s="28" t="n">
        <v>120</v>
      </c>
      <c r="M1399" s="28" t="n">
        <v>1</v>
      </c>
    </row>
    <row r="1400" customFormat="false" ht="15" hidden="false" customHeight="false" outlineLevel="0" collapsed="false">
      <c r="A1400" s="27" t="n">
        <v>44609</v>
      </c>
      <c r="B1400" s="28" t="n">
        <v>2022</v>
      </c>
      <c r="C1400" s="28" t="s">
        <v>238</v>
      </c>
      <c r="D1400" s="28" t="s">
        <v>44</v>
      </c>
      <c r="E1400" s="28" t="s">
        <v>513</v>
      </c>
      <c r="F1400" s="28" t="s">
        <v>142</v>
      </c>
      <c r="G1400" s="28" t="s">
        <v>143</v>
      </c>
      <c r="H1400" s="28" t="s">
        <v>159</v>
      </c>
      <c r="I1400" s="29" t="n">
        <v>250000</v>
      </c>
      <c r="J1400" s="29" t="n">
        <v>187500</v>
      </c>
      <c r="K1400" s="28" t="n">
        <v>5.5</v>
      </c>
      <c r="L1400" s="28" t="n">
        <v>120</v>
      </c>
      <c r="M1400" s="28" t="n">
        <v>7</v>
      </c>
    </row>
    <row r="1401" customFormat="false" ht="15" hidden="false" customHeight="false" outlineLevel="0" collapsed="false">
      <c r="A1401" s="27" t="n">
        <v>44609</v>
      </c>
      <c r="B1401" s="28" t="n">
        <v>2022</v>
      </c>
      <c r="C1401" s="28" t="s">
        <v>201</v>
      </c>
      <c r="D1401" s="28" t="s">
        <v>48</v>
      </c>
      <c r="E1401" s="28" t="s">
        <v>270</v>
      </c>
      <c r="F1401" s="28" t="s">
        <v>142</v>
      </c>
      <c r="G1401" s="28" t="s">
        <v>148</v>
      </c>
      <c r="H1401" s="28" t="s">
        <v>211</v>
      </c>
      <c r="I1401" s="29" t="n">
        <v>300000</v>
      </c>
      <c r="J1401" s="29" t="n">
        <v>225000</v>
      </c>
      <c r="K1401" s="28" t="n">
        <v>6</v>
      </c>
      <c r="L1401" s="28" t="n">
        <v>120</v>
      </c>
      <c r="M1401" s="28" t="n">
        <v>2</v>
      </c>
    </row>
    <row r="1402" customFormat="false" ht="15" hidden="false" customHeight="false" outlineLevel="0" collapsed="false">
      <c r="A1402" s="27" t="n">
        <v>44610</v>
      </c>
      <c r="B1402" s="28" t="n">
        <v>2022</v>
      </c>
      <c r="C1402" s="28" t="s">
        <v>203</v>
      </c>
      <c r="D1402" s="28" t="s">
        <v>57</v>
      </c>
      <c r="E1402" s="28" t="s">
        <v>474</v>
      </c>
      <c r="F1402" s="28" t="s">
        <v>147</v>
      </c>
      <c r="G1402" s="28" t="s">
        <v>441</v>
      </c>
      <c r="H1402" s="28" t="s">
        <v>168</v>
      </c>
      <c r="I1402" s="29" t="n">
        <v>15000</v>
      </c>
      <c r="J1402" s="29" t="n">
        <v>7500</v>
      </c>
      <c r="K1402" s="28" t="n">
        <v>7.75</v>
      </c>
      <c r="L1402" s="28" t="n">
        <v>120</v>
      </c>
      <c r="M1402" s="28" t="n">
        <v>0</v>
      </c>
    </row>
    <row r="1403" customFormat="false" ht="15" hidden="false" customHeight="false" outlineLevel="0" collapsed="false">
      <c r="A1403" s="27" t="n">
        <v>44610</v>
      </c>
      <c r="B1403" s="28" t="n">
        <v>2022</v>
      </c>
      <c r="C1403" s="28" t="s">
        <v>504</v>
      </c>
      <c r="D1403" s="28" t="s">
        <v>45</v>
      </c>
      <c r="E1403" s="28" t="s">
        <v>222</v>
      </c>
      <c r="F1403" s="28" t="s">
        <v>283</v>
      </c>
      <c r="G1403" s="28" t="s">
        <v>148</v>
      </c>
      <c r="H1403" s="28" t="s">
        <v>306</v>
      </c>
      <c r="I1403" s="29" t="n">
        <v>250000</v>
      </c>
      <c r="J1403" s="29" t="n">
        <v>187500</v>
      </c>
      <c r="K1403" s="28" t="n">
        <v>4.75</v>
      </c>
      <c r="L1403" s="28" t="n">
        <v>120</v>
      </c>
      <c r="M1403" s="28" t="n">
        <v>5</v>
      </c>
    </row>
    <row r="1404" customFormat="false" ht="15" hidden="false" customHeight="false" outlineLevel="0" collapsed="false">
      <c r="A1404" s="27" t="n">
        <v>44610</v>
      </c>
      <c r="B1404" s="28" t="n">
        <v>2022</v>
      </c>
      <c r="C1404" s="28" t="s">
        <v>198</v>
      </c>
      <c r="D1404" s="28" t="s">
        <v>49</v>
      </c>
      <c r="E1404" s="28" t="s">
        <v>752</v>
      </c>
      <c r="F1404" s="28" t="s">
        <v>142</v>
      </c>
      <c r="G1404" s="28" t="s">
        <v>152</v>
      </c>
      <c r="H1404" s="28" t="s">
        <v>281</v>
      </c>
      <c r="I1404" s="29" t="n">
        <v>654200</v>
      </c>
      <c r="J1404" s="29" t="n">
        <v>490650</v>
      </c>
      <c r="K1404" s="28" t="n">
        <v>5.75</v>
      </c>
      <c r="L1404" s="28" t="n">
        <v>121</v>
      </c>
      <c r="M1404" s="28" t="n">
        <v>3</v>
      </c>
    </row>
    <row r="1405" customFormat="false" ht="15" hidden="false" customHeight="false" outlineLevel="0" collapsed="false">
      <c r="A1405" s="27" t="n">
        <v>44610</v>
      </c>
      <c r="B1405" s="28" t="n">
        <v>2022</v>
      </c>
      <c r="C1405" s="28" t="s">
        <v>230</v>
      </c>
      <c r="D1405" s="28" t="s">
        <v>42</v>
      </c>
      <c r="E1405" s="28" t="s">
        <v>753</v>
      </c>
      <c r="F1405" s="28" t="s">
        <v>142</v>
      </c>
      <c r="G1405" s="28" t="s">
        <v>152</v>
      </c>
      <c r="H1405" s="28" t="s">
        <v>483</v>
      </c>
      <c r="I1405" s="29" t="n">
        <v>284000</v>
      </c>
      <c r="J1405" s="29" t="n">
        <v>213000</v>
      </c>
      <c r="K1405" s="28" t="n">
        <v>6</v>
      </c>
      <c r="L1405" s="28" t="n">
        <v>120</v>
      </c>
      <c r="M1405" s="28" t="n">
        <v>21</v>
      </c>
    </row>
    <row r="1406" customFormat="false" ht="15" hidden="false" customHeight="false" outlineLevel="0" collapsed="false">
      <c r="A1406" s="27" t="n">
        <v>44614</v>
      </c>
      <c r="B1406" s="28" t="n">
        <v>2022</v>
      </c>
      <c r="C1406" s="28" t="s">
        <v>203</v>
      </c>
      <c r="D1406" s="28" t="s">
        <v>50</v>
      </c>
      <c r="E1406" s="28" t="s">
        <v>754</v>
      </c>
      <c r="F1406" s="28" t="s">
        <v>142</v>
      </c>
      <c r="G1406" s="28" t="s">
        <v>143</v>
      </c>
      <c r="H1406" s="28" t="s">
        <v>287</v>
      </c>
      <c r="I1406" s="29" t="n">
        <v>140000</v>
      </c>
      <c r="J1406" s="29" t="n">
        <v>119000</v>
      </c>
      <c r="K1406" s="28" t="n">
        <v>6</v>
      </c>
      <c r="L1406" s="28" t="n">
        <v>120</v>
      </c>
      <c r="M1406" s="28" t="n">
        <v>3</v>
      </c>
    </row>
    <row r="1407" customFormat="false" ht="15" hidden="false" customHeight="false" outlineLevel="0" collapsed="false">
      <c r="A1407" s="27" t="n">
        <v>44615</v>
      </c>
      <c r="B1407" s="28" t="n">
        <v>2022</v>
      </c>
      <c r="C1407" s="28" t="s">
        <v>423</v>
      </c>
      <c r="D1407" s="28" t="s">
        <v>45</v>
      </c>
      <c r="E1407" s="28" t="s">
        <v>480</v>
      </c>
      <c r="F1407" s="28" t="s">
        <v>147</v>
      </c>
      <c r="G1407" s="28" t="s">
        <v>441</v>
      </c>
      <c r="H1407" s="28" t="s">
        <v>168</v>
      </c>
      <c r="I1407" s="29" t="n">
        <v>20000</v>
      </c>
      <c r="J1407" s="29" t="n">
        <v>10000</v>
      </c>
      <c r="K1407" s="28" t="n">
        <v>9.25</v>
      </c>
      <c r="L1407" s="28" t="n">
        <v>120</v>
      </c>
      <c r="M1407" s="28" t="n">
        <v>0</v>
      </c>
    </row>
    <row r="1408" customFormat="false" ht="15" hidden="false" customHeight="false" outlineLevel="0" collapsed="false">
      <c r="A1408" s="27" t="n">
        <v>44615</v>
      </c>
      <c r="B1408" s="28" t="n">
        <v>2022</v>
      </c>
      <c r="C1408" s="28" t="s">
        <v>166</v>
      </c>
      <c r="D1408" s="28" t="s">
        <v>44</v>
      </c>
      <c r="E1408" s="28" t="s">
        <v>755</v>
      </c>
      <c r="F1408" s="28" t="s">
        <v>142</v>
      </c>
      <c r="G1408" s="28" t="s">
        <v>148</v>
      </c>
      <c r="H1408" s="28" t="s">
        <v>168</v>
      </c>
      <c r="I1408" s="29" t="n">
        <v>347000</v>
      </c>
      <c r="J1408" s="29" t="n">
        <v>260250</v>
      </c>
      <c r="K1408" s="28" t="n">
        <v>4.75</v>
      </c>
      <c r="L1408" s="28" t="n">
        <v>300</v>
      </c>
      <c r="M1408" s="28" t="n">
        <v>3</v>
      </c>
    </row>
    <row r="1409" customFormat="false" ht="15" hidden="false" customHeight="false" outlineLevel="0" collapsed="false">
      <c r="A1409" s="27" t="n">
        <v>44615</v>
      </c>
      <c r="B1409" s="28" t="n">
        <v>2022</v>
      </c>
      <c r="C1409" s="28" t="s">
        <v>312</v>
      </c>
      <c r="D1409" s="28" t="s">
        <v>42</v>
      </c>
      <c r="E1409" s="28" t="s">
        <v>753</v>
      </c>
      <c r="F1409" s="28" t="s">
        <v>142</v>
      </c>
      <c r="G1409" s="28" t="s">
        <v>148</v>
      </c>
      <c r="H1409" s="28" t="s">
        <v>165</v>
      </c>
      <c r="I1409" s="29" t="n">
        <v>657000</v>
      </c>
      <c r="J1409" s="29" t="n">
        <v>492750</v>
      </c>
      <c r="K1409" s="28" t="n">
        <v>5.5</v>
      </c>
      <c r="L1409" s="28" t="n">
        <v>120</v>
      </c>
      <c r="M1409" s="28" t="n">
        <v>111</v>
      </c>
    </row>
    <row r="1410" customFormat="false" ht="15" hidden="false" customHeight="false" outlineLevel="0" collapsed="false">
      <c r="A1410" s="27" t="n">
        <v>44617</v>
      </c>
      <c r="B1410" s="28" t="n">
        <v>2022</v>
      </c>
      <c r="C1410" s="28" t="s">
        <v>169</v>
      </c>
      <c r="D1410" s="28" t="s">
        <v>47</v>
      </c>
      <c r="E1410" s="28" t="s">
        <v>756</v>
      </c>
      <c r="F1410" s="28" t="s">
        <v>147</v>
      </c>
      <c r="G1410" s="28" t="s">
        <v>148</v>
      </c>
      <c r="H1410" s="28" t="s">
        <v>162</v>
      </c>
      <c r="I1410" s="29" t="n">
        <v>198000</v>
      </c>
      <c r="J1410" s="29" t="n">
        <v>99000</v>
      </c>
      <c r="K1410" s="28" t="n">
        <v>3.24</v>
      </c>
      <c r="L1410" s="28" t="n">
        <v>84</v>
      </c>
      <c r="M1410" s="28" t="n">
        <v>2</v>
      </c>
    </row>
    <row r="1411" customFormat="false" ht="15" hidden="false" customHeight="false" outlineLevel="0" collapsed="false">
      <c r="A1411" s="27" t="n">
        <v>44617</v>
      </c>
      <c r="B1411" s="28" t="n">
        <v>2022</v>
      </c>
      <c r="C1411" s="28" t="s">
        <v>172</v>
      </c>
      <c r="D1411" s="28" t="s">
        <v>46</v>
      </c>
      <c r="E1411" s="28" t="s">
        <v>727</v>
      </c>
      <c r="F1411" s="28" t="s">
        <v>147</v>
      </c>
      <c r="G1411" s="28" t="s">
        <v>441</v>
      </c>
      <c r="H1411" s="28" t="s">
        <v>168</v>
      </c>
      <c r="I1411" s="29" t="n">
        <v>10000</v>
      </c>
      <c r="J1411" s="29" t="n">
        <v>5000</v>
      </c>
      <c r="K1411" s="28" t="n">
        <v>9.75</v>
      </c>
      <c r="L1411" s="28" t="n">
        <v>120</v>
      </c>
      <c r="M1411" s="28" t="n">
        <v>0</v>
      </c>
    </row>
    <row r="1412" customFormat="false" ht="15" hidden="false" customHeight="false" outlineLevel="0" collapsed="false">
      <c r="A1412" s="27" t="n">
        <v>44617</v>
      </c>
      <c r="B1412" s="28" t="n">
        <v>2022</v>
      </c>
      <c r="C1412" s="28" t="s">
        <v>169</v>
      </c>
      <c r="D1412" s="28" t="s">
        <v>46</v>
      </c>
      <c r="E1412" s="28" t="s">
        <v>741</v>
      </c>
      <c r="F1412" s="28" t="s">
        <v>147</v>
      </c>
      <c r="G1412" s="28" t="s">
        <v>441</v>
      </c>
      <c r="H1412" s="28" t="s">
        <v>168</v>
      </c>
      <c r="I1412" s="29" t="n">
        <v>10000</v>
      </c>
      <c r="J1412" s="29" t="n">
        <v>5000</v>
      </c>
      <c r="K1412" s="28" t="n">
        <v>8.25</v>
      </c>
      <c r="L1412" s="28" t="n">
        <v>120</v>
      </c>
      <c r="M1412" s="28" t="n">
        <v>1</v>
      </c>
    </row>
    <row r="1413" customFormat="false" ht="15" hidden="false" customHeight="false" outlineLevel="0" collapsed="false">
      <c r="A1413" s="27" t="n">
        <v>44620</v>
      </c>
      <c r="B1413" s="28" t="n">
        <v>2022</v>
      </c>
      <c r="C1413" s="28" t="s">
        <v>154</v>
      </c>
      <c r="D1413" s="28" t="s">
        <v>43</v>
      </c>
      <c r="E1413" s="28" t="s">
        <v>757</v>
      </c>
      <c r="F1413" s="28" t="s">
        <v>142</v>
      </c>
      <c r="G1413" s="28" t="s">
        <v>441</v>
      </c>
      <c r="H1413" s="28" t="s">
        <v>208</v>
      </c>
      <c r="I1413" s="29" t="n">
        <v>754000</v>
      </c>
      <c r="J1413" s="29" t="n">
        <v>565500</v>
      </c>
      <c r="K1413" s="28" t="n">
        <v>5.5</v>
      </c>
      <c r="L1413" s="28" t="n">
        <v>300</v>
      </c>
      <c r="M1413" s="28" t="n">
        <v>14</v>
      </c>
    </row>
    <row r="1414" customFormat="false" ht="15" hidden="false" customHeight="false" outlineLevel="0" collapsed="false">
      <c r="A1414" s="27" t="n">
        <v>44620</v>
      </c>
      <c r="B1414" s="28" t="n">
        <v>2022</v>
      </c>
      <c r="C1414" s="28" t="s">
        <v>318</v>
      </c>
      <c r="D1414" s="28" t="s">
        <v>52</v>
      </c>
      <c r="E1414" s="28" t="s">
        <v>720</v>
      </c>
      <c r="F1414" s="28" t="s">
        <v>147</v>
      </c>
      <c r="G1414" s="28" t="s">
        <v>441</v>
      </c>
      <c r="H1414" s="28" t="s">
        <v>211</v>
      </c>
      <c r="I1414" s="29" t="n">
        <v>25000</v>
      </c>
      <c r="J1414" s="29" t="n">
        <v>12500</v>
      </c>
      <c r="K1414" s="28" t="n">
        <v>6</v>
      </c>
      <c r="L1414" s="28" t="n">
        <v>120</v>
      </c>
      <c r="M1414" s="28" t="n">
        <v>14</v>
      </c>
    </row>
    <row r="1415" customFormat="false" ht="15" hidden="false" customHeight="false" outlineLevel="0" collapsed="false">
      <c r="A1415" s="27" t="n">
        <v>44620</v>
      </c>
      <c r="B1415" s="28" t="n">
        <v>2022</v>
      </c>
      <c r="C1415" s="28" t="s">
        <v>169</v>
      </c>
      <c r="D1415" s="28" t="s">
        <v>56</v>
      </c>
      <c r="E1415" s="28" t="s">
        <v>758</v>
      </c>
      <c r="F1415" s="28" t="s">
        <v>142</v>
      </c>
      <c r="G1415" s="28" t="s">
        <v>441</v>
      </c>
      <c r="H1415" s="28" t="s">
        <v>453</v>
      </c>
      <c r="I1415" s="29" t="n">
        <v>239000</v>
      </c>
      <c r="J1415" s="29" t="n">
        <v>179250</v>
      </c>
      <c r="K1415" s="28" t="n">
        <v>6</v>
      </c>
      <c r="L1415" s="28" t="n">
        <v>126</v>
      </c>
      <c r="M1415" s="28" t="n">
        <v>34</v>
      </c>
    </row>
    <row r="1416" customFormat="false" ht="15" hidden="false" customHeight="false" outlineLevel="0" collapsed="false">
      <c r="A1416" s="27" t="n">
        <v>44620</v>
      </c>
      <c r="B1416" s="28" t="n">
        <v>2022</v>
      </c>
      <c r="C1416" s="28" t="s">
        <v>318</v>
      </c>
      <c r="D1416" s="28" t="s">
        <v>52</v>
      </c>
      <c r="E1416" s="28" t="s">
        <v>720</v>
      </c>
      <c r="F1416" s="28" t="s">
        <v>142</v>
      </c>
      <c r="G1416" s="28" t="s">
        <v>441</v>
      </c>
      <c r="H1416" s="28" t="s">
        <v>211</v>
      </c>
      <c r="I1416" s="29" t="n">
        <v>283000</v>
      </c>
      <c r="J1416" s="29" t="n">
        <v>212250</v>
      </c>
      <c r="K1416" s="28" t="n">
        <v>6</v>
      </c>
      <c r="L1416" s="28" t="n">
        <v>120</v>
      </c>
      <c r="M1416" s="28" t="n">
        <v>14</v>
      </c>
    </row>
    <row r="1417" customFormat="false" ht="15" hidden="false" customHeight="false" outlineLevel="0" collapsed="false">
      <c r="A1417" s="27" t="n">
        <v>44620</v>
      </c>
      <c r="B1417" s="28" t="n">
        <v>2022</v>
      </c>
      <c r="C1417" s="28" t="s">
        <v>488</v>
      </c>
      <c r="D1417" s="28" t="s">
        <v>46</v>
      </c>
      <c r="E1417" s="28" t="s">
        <v>727</v>
      </c>
      <c r="F1417" s="28" t="s">
        <v>142</v>
      </c>
      <c r="G1417" s="28" t="s">
        <v>148</v>
      </c>
      <c r="H1417" s="28" t="s">
        <v>200</v>
      </c>
      <c r="I1417" s="29" t="n">
        <v>753000</v>
      </c>
      <c r="J1417" s="29" t="n">
        <v>564750</v>
      </c>
      <c r="K1417" s="28" t="n">
        <v>6</v>
      </c>
      <c r="L1417" s="28" t="n">
        <v>85</v>
      </c>
      <c r="M1417" s="28" t="n">
        <v>17</v>
      </c>
    </row>
    <row r="1418" customFormat="false" ht="15" hidden="false" customHeight="false" outlineLevel="0" collapsed="false">
      <c r="A1418" s="27" t="n">
        <v>44621</v>
      </c>
      <c r="B1418" s="28" t="n">
        <v>2022</v>
      </c>
      <c r="C1418" s="28" t="s">
        <v>169</v>
      </c>
      <c r="D1418" s="28" t="s">
        <v>43</v>
      </c>
      <c r="E1418" s="28" t="s">
        <v>317</v>
      </c>
      <c r="F1418" s="28" t="s">
        <v>147</v>
      </c>
      <c r="G1418" s="28" t="s">
        <v>441</v>
      </c>
      <c r="H1418" s="28" t="s">
        <v>168</v>
      </c>
      <c r="I1418" s="29" t="n">
        <v>15000</v>
      </c>
      <c r="J1418" s="29" t="n">
        <v>7500</v>
      </c>
      <c r="K1418" s="28" t="n">
        <v>9.25</v>
      </c>
      <c r="L1418" s="28" t="n">
        <v>120</v>
      </c>
      <c r="M1418" s="28" t="n">
        <v>0</v>
      </c>
    </row>
    <row r="1419" customFormat="false" ht="15" hidden="false" customHeight="false" outlineLevel="0" collapsed="false">
      <c r="A1419" s="27" t="n">
        <v>44622</v>
      </c>
      <c r="B1419" s="28" t="n">
        <v>2022</v>
      </c>
      <c r="C1419" s="28" t="s">
        <v>163</v>
      </c>
      <c r="D1419" s="28" t="s">
        <v>43</v>
      </c>
      <c r="E1419" s="28" t="s">
        <v>757</v>
      </c>
      <c r="F1419" s="28" t="s">
        <v>142</v>
      </c>
      <c r="G1419" s="28" t="s">
        <v>441</v>
      </c>
      <c r="H1419" s="28" t="s">
        <v>165</v>
      </c>
      <c r="I1419" s="29" t="n">
        <v>306000</v>
      </c>
      <c r="J1419" s="29" t="n">
        <v>229500</v>
      </c>
      <c r="K1419" s="28" t="n">
        <v>6</v>
      </c>
      <c r="L1419" s="28" t="n">
        <v>120</v>
      </c>
      <c r="M1419" s="28" t="n">
        <v>9</v>
      </c>
    </row>
    <row r="1420" customFormat="false" ht="15" hidden="false" customHeight="false" outlineLevel="0" collapsed="false">
      <c r="A1420" s="27" t="n">
        <v>44622</v>
      </c>
      <c r="B1420" s="28" t="n">
        <v>2022</v>
      </c>
      <c r="C1420" s="28" t="s">
        <v>201</v>
      </c>
      <c r="D1420" s="28" t="s">
        <v>52</v>
      </c>
      <c r="E1420" s="28" t="s">
        <v>715</v>
      </c>
      <c r="F1420" s="28" t="s">
        <v>147</v>
      </c>
      <c r="G1420" s="28" t="s">
        <v>441</v>
      </c>
      <c r="H1420" s="28" t="s">
        <v>168</v>
      </c>
      <c r="I1420" s="29" t="n">
        <v>20000</v>
      </c>
      <c r="J1420" s="29" t="n">
        <v>10000</v>
      </c>
      <c r="K1420" s="28" t="n">
        <v>7.75</v>
      </c>
      <c r="L1420" s="28" t="n">
        <v>120</v>
      </c>
      <c r="M1420" s="28" t="n">
        <v>1</v>
      </c>
    </row>
    <row r="1421" customFormat="false" ht="15" hidden="false" customHeight="false" outlineLevel="0" collapsed="false">
      <c r="A1421" s="27" t="n">
        <v>44624</v>
      </c>
      <c r="B1421" s="28" t="n">
        <v>2022</v>
      </c>
      <c r="C1421" s="28" t="s">
        <v>172</v>
      </c>
      <c r="D1421" s="28" t="s">
        <v>44</v>
      </c>
      <c r="E1421" s="28" t="s">
        <v>759</v>
      </c>
      <c r="F1421" s="28" t="s">
        <v>142</v>
      </c>
      <c r="G1421" s="28" t="s">
        <v>143</v>
      </c>
      <c r="H1421" s="28" t="s">
        <v>494</v>
      </c>
      <c r="I1421" s="29" t="n">
        <v>2229300</v>
      </c>
      <c r="J1421" s="29" t="n">
        <v>1671975</v>
      </c>
      <c r="K1421" s="28" t="n">
        <v>6</v>
      </c>
      <c r="L1421" s="28" t="n">
        <v>120</v>
      </c>
      <c r="M1421" s="28" t="n">
        <v>74</v>
      </c>
    </row>
    <row r="1422" customFormat="false" ht="15" hidden="false" customHeight="false" outlineLevel="0" collapsed="false">
      <c r="A1422" s="27" t="n">
        <v>44624</v>
      </c>
      <c r="B1422" s="28" t="n">
        <v>2022</v>
      </c>
      <c r="C1422" s="28" t="s">
        <v>213</v>
      </c>
      <c r="D1422" s="28" t="s">
        <v>42</v>
      </c>
      <c r="E1422" s="28" t="s">
        <v>705</v>
      </c>
      <c r="F1422" s="28" t="s">
        <v>142</v>
      </c>
      <c r="G1422" s="28" t="s">
        <v>152</v>
      </c>
      <c r="H1422" s="28" t="s">
        <v>269</v>
      </c>
      <c r="I1422" s="29" t="n">
        <v>1830000</v>
      </c>
      <c r="J1422" s="29" t="n">
        <v>1372500</v>
      </c>
      <c r="K1422" s="28" t="n">
        <v>5.25</v>
      </c>
      <c r="L1422" s="28" t="n">
        <v>300</v>
      </c>
      <c r="M1422" s="28" t="n">
        <v>15</v>
      </c>
    </row>
    <row r="1423" customFormat="false" ht="15" hidden="false" customHeight="false" outlineLevel="0" collapsed="false">
      <c r="A1423" s="27" t="n">
        <v>44624</v>
      </c>
      <c r="B1423" s="28" t="n">
        <v>2022</v>
      </c>
      <c r="C1423" s="28" t="s">
        <v>172</v>
      </c>
      <c r="D1423" s="28" t="s">
        <v>47</v>
      </c>
      <c r="E1423" s="28" t="s">
        <v>760</v>
      </c>
      <c r="F1423" s="28" t="s">
        <v>142</v>
      </c>
      <c r="G1423" s="28" t="s">
        <v>143</v>
      </c>
      <c r="H1423" s="28" t="s">
        <v>438</v>
      </c>
      <c r="I1423" s="29" t="n">
        <v>2002900</v>
      </c>
      <c r="J1423" s="29" t="n">
        <v>1502175</v>
      </c>
      <c r="K1423" s="28" t="n">
        <v>6</v>
      </c>
      <c r="L1423" s="28" t="n">
        <v>132</v>
      </c>
      <c r="M1423" s="28" t="n">
        <v>2</v>
      </c>
    </row>
    <row r="1424" customFormat="false" ht="15" hidden="false" customHeight="false" outlineLevel="0" collapsed="false">
      <c r="A1424" s="27" t="n">
        <v>44624</v>
      </c>
      <c r="B1424" s="28" t="n">
        <v>2022</v>
      </c>
      <c r="C1424" s="28" t="s">
        <v>344</v>
      </c>
      <c r="D1424" s="28" t="s">
        <v>42</v>
      </c>
      <c r="E1424" s="28" t="s">
        <v>705</v>
      </c>
      <c r="F1424" s="28" t="s">
        <v>142</v>
      </c>
      <c r="G1424" s="28" t="s">
        <v>152</v>
      </c>
      <c r="H1424" s="28" t="s">
        <v>326</v>
      </c>
      <c r="I1424" s="29" t="n">
        <v>5000000</v>
      </c>
      <c r="J1424" s="29" t="n">
        <v>3750000</v>
      </c>
      <c r="K1424" s="28" t="n">
        <v>5</v>
      </c>
      <c r="L1424" s="28" t="n">
        <v>300</v>
      </c>
      <c r="M1424" s="28" t="n">
        <v>4</v>
      </c>
    </row>
    <row r="1425" customFormat="false" ht="15" hidden="false" customHeight="false" outlineLevel="0" collapsed="false">
      <c r="A1425" s="27" t="n">
        <v>44624</v>
      </c>
      <c r="B1425" s="28" t="n">
        <v>2022</v>
      </c>
      <c r="C1425" s="28" t="s">
        <v>172</v>
      </c>
      <c r="D1425" s="28" t="s">
        <v>44</v>
      </c>
      <c r="E1425" s="28" t="s">
        <v>759</v>
      </c>
      <c r="F1425" s="28" t="s">
        <v>147</v>
      </c>
      <c r="G1425" s="28" t="s">
        <v>143</v>
      </c>
      <c r="H1425" s="28" t="s">
        <v>494</v>
      </c>
      <c r="I1425" s="29" t="n">
        <v>100000</v>
      </c>
      <c r="J1425" s="29" t="n">
        <v>50000</v>
      </c>
      <c r="K1425" s="28" t="n">
        <v>6</v>
      </c>
      <c r="L1425" s="28" t="n">
        <v>120</v>
      </c>
      <c r="M1425" s="28" t="n">
        <v>74</v>
      </c>
    </row>
    <row r="1426" customFormat="false" ht="15" hidden="false" customHeight="false" outlineLevel="0" collapsed="false">
      <c r="A1426" s="27" t="n">
        <v>44624</v>
      </c>
      <c r="B1426" s="28" t="n">
        <v>2022</v>
      </c>
      <c r="C1426" s="28" t="s">
        <v>172</v>
      </c>
      <c r="D1426" s="28" t="s">
        <v>42</v>
      </c>
      <c r="E1426" s="28" t="s">
        <v>717</v>
      </c>
      <c r="F1426" s="28" t="s">
        <v>142</v>
      </c>
      <c r="G1426" s="28" t="s">
        <v>143</v>
      </c>
      <c r="H1426" s="28" t="s">
        <v>149</v>
      </c>
      <c r="I1426" s="29" t="n">
        <v>461000</v>
      </c>
      <c r="J1426" s="29" t="n">
        <v>345750</v>
      </c>
      <c r="K1426" s="28" t="n">
        <v>5.5</v>
      </c>
      <c r="L1426" s="28" t="n">
        <v>120</v>
      </c>
      <c r="M1426" s="28" t="n">
        <v>29</v>
      </c>
    </row>
    <row r="1427" customFormat="false" ht="15" hidden="false" customHeight="false" outlineLevel="0" collapsed="false">
      <c r="A1427" s="27" t="n">
        <v>44627</v>
      </c>
      <c r="B1427" s="28" t="n">
        <v>2022</v>
      </c>
      <c r="C1427" s="28" t="s">
        <v>166</v>
      </c>
      <c r="D1427" s="28" t="s">
        <v>52</v>
      </c>
      <c r="E1427" s="28" t="s">
        <v>761</v>
      </c>
      <c r="F1427" s="28" t="s">
        <v>147</v>
      </c>
      <c r="G1427" s="28" t="s">
        <v>441</v>
      </c>
      <c r="H1427" s="28" t="s">
        <v>168</v>
      </c>
      <c r="I1427" s="29" t="n">
        <v>20000</v>
      </c>
      <c r="J1427" s="29" t="n">
        <v>10000</v>
      </c>
      <c r="K1427" s="28" t="n">
        <v>9.75</v>
      </c>
      <c r="L1427" s="28" t="n">
        <v>120</v>
      </c>
      <c r="M1427" s="28" t="n">
        <v>0</v>
      </c>
    </row>
    <row r="1428" customFormat="false" ht="15" hidden="false" customHeight="false" outlineLevel="0" collapsed="false">
      <c r="A1428" s="27" t="n">
        <v>44627</v>
      </c>
      <c r="B1428" s="28" t="n">
        <v>2022</v>
      </c>
      <c r="C1428" s="28" t="s">
        <v>353</v>
      </c>
      <c r="D1428" s="28" t="s">
        <v>48</v>
      </c>
      <c r="E1428" s="28" t="s">
        <v>762</v>
      </c>
      <c r="F1428" s="28" t="s">
        <v>142</v>
      </c>
      <c r="G1428" s="28" t="s">
        <v>143</v>
      </c>
      <c r="H1428" s="28" t="s">
        <v>144</v>
      </c>
      <c r="I1428" s="29" t="n">
        <v>700000</v>
      </c>
      <c r="J1428" s="29" t="n">
        <v>525000</v>
      </c>
      <c r="K1428" s="28" t="n">
        <v>4.35</v>
      </c>
      <c r="L1428" s="28" t="n">
        <v>306</v>
      </c>
      <c r="M1428" s="28" t="n">
        <v>38</v>
      </c>
    </row>
    <row r="1429" customFormat="false" ht="15" hidden="false" customHeight="false" outlineLevel="0" collapsed="false">
      <c r="A1429" s="27" t="n">
        <v>44627</v>
      </c>
      <c r="B1429" s="28" t="n">
        <v>2022</v>
      </c>
      <c r="C1429" s="28" t="s">
        <v>763</v>
      </c>
      <c r="D1429" s="28" t="s">
        <v>44</v>
      </c>
      <c r="E1429" s="28" t="s">
        <v>764</v>
      </c>
      <c r="F1429" s="28" t="s">
        <v>142</v>
      </c>
      <c r="G1429" s="28" t="s">
        <v>143</v>
      </c>
      <c r="H1429" s="28" t="s">
        <v>452</v>
      </c>
      <c r="I1429" s="29" t="n">
        <v>149600</v>
      </c>
      <c r="J1429" s="29" t="n">
        <v>127160</v>
      </c>
      <c r="K1429" s="28" t="n">
        <v>5.5</v>
      </c>
      <c r="L1429" s="28" t="n">
        <v>123</v>
      </c>
      <c r="M1429" s="28" t="n">
        <v>10</v>
      </c>
    </row>
    <row r="1430" customFormat="false" ht="15" hidden="false" customHeight="false" outlineLevel="0" collapsed="false">
      <c r="A1430" s="27" t="n">
        <v>44627</v>
      </c>
      <c r="B1430" s="28" t="n">
        <v>2022</v>
      </c>
      <c r="C1430" s="28" t="s">
        <v>172</v>
      </c>
      <c r="D1430" s="28" t="s">
        <v>48</v>
      </c>
      <c r="E1430" s="28" t="s">
        <v>765</v>
      </c>
      <c r="F1430" s="28" t="s">
        <v>147</v>
      </c>
      <c r="G1430" s="28" t="s">
        <v>148</v>
      </c>
      <c r="H1430" s="28" t="s">
        <v>227</v>
      </c>
      <c r="I1430" s="29" t="n">
        <v>250000</v>
      </c>
      <c r="J1430" s="29" t="n">
        <v>225000</v>
      </c>
      <c r="K1430" s="28" t="n">
        <v>5.25</v>
      </c>
      <c r="L1430" s="28" t="n">
        <v>84</v>
      </c>
      <c r="M1430" s="28" t="n">
        <v>2</v>
      </c>
    </row>
    <row r="1431" customFormat="false" ht="15" hidden="false" customHeight="false" outlineLevel="0" collapsed="false">
      <c r="A1431" s="27" t="n">
        <v>44627</v>
      </c>
      <c r="B1431" s="28" t="n">
        <v>2022</v>
      </c>
      <c r="C1431" s="28" t="s">
        <v>763</v>
      </c>
      <c r="D1431" s="28" t="s">
        <v>44</v>
      </c>
      <c r="E1431" s="28" t="s">
        <v>764</v>
      </c>
      <c r="F1431" s="28" t="s">
        <v>147</v>
      </c>
      <c r="G1431" s="28" t="s">
        <v>143</v>
      </c>
      <c r="H1431" s="28" t="s">
        <v>452</v>
      </c>
      <c r="I1431" s="29" t="n">
        <v>100000</v>
      </c>
      <c r="J1431" s="29" t="n">
        <v>50000</v>
      </c>
      <c r="K1431" s="28" t="n">
        <v>5.5</v>
      </c>
      <c r="L1431" s="28" t="n">
        <v>120</v>
      </c>
      <c r="M1431" s="28" t="n">
        <v>10</v>
      </c>
    </row>
    <row r="1432" customFormat="false" ht="15" hidden="false" customHeight="false" outlineLevel="0" collapsed="false">
      <c r="A1432" s="27" t="n">
        <v>44627</v>
      </c>
      <c r="B1432" s="28" t="n">
        <v>2022</v>
      </c>
      <c r="C1432" s="28" t="s">
        <v>766</v>
      </c>
      <c r="D1432" s="28" t="s">
        <v>48</v>
      </c>
      <c r="E1432" s="28" t="s">
        <v>767</v>
      </c>
      <c r="F1432" s="28" t="s">
        <v>142</v>
      </c>
      <c r="G1432" s="28" t="s">
        <v>148</v>
      </c>
      <c r="H1432" s="28" t="s">
        <v>768</v>
      </c>
      <c r="I1432" s="29" t="n">
        <v>350000</v>
      </c>
      <c r="J1432" s="29" t="n">
        <v>262500</v>
      </c>
      <c r="K1432" s="28" t="n">
        <v>6</v>
      </c>
      <c r="L1432" s="28" t="n">
        <v>120</v>
      </c>
      <c r="M1432" s="28" t="n">
        <v>3</v>
      </c>
    </row>
    <row r="1433" customFormat="false" ht="15" hidden="false" customHeight="false" outlineLevel="0" collapsed="false">
      <c r="A1433" s="27" t="n">
        <v>44628</v>
      </c>
      <c r="B1433" s="28" t="n">
        <v>2022</v>
      </c>
      <c r="C1433" s="28" t="s">
        <v>201</v>
      </c>
      <c r="D1433" s="28" t="s">
        <v>46</v>
      </c>
      <c r="E1433" s="28" t="s">
        <v>741</v>
      </c>
      <c r="F1433" s="28" t="s">
        <v>142</v>
      </c>
      <c r="G1433" s="28" t="s">
        <v>152</v>
      </c>
      <c r="H1433" s="28" t="s">
        <v>149</v>
      </c>
      <c r="I1433" s="29" t="n">
        <v>3714000</v>
      </c>
      <c r="J1433" s="29" t="n">
        <v>2785500</v>
      </c>
      <c r="K1433" s="28" t="n">
        <v>4.25</v>
      </c>
      <c r="L1433" s="28" t="n">
        <v>300</v>
      </c>
      <c r="M1433" s="28" t="n">
        <v>6</v>
      </c>
    </row>
    <row r="1434" customFormat="false" ht="15" hidden="false" customHeight="false" outlineLevel="0" collapsed="false">
      <c r="A1434" s="27" t="n">
        <v>44629</v>
      </c>
      <c r="B1434" s="28" t="n">
        <v>2022</v>
      </c>
      <c r="C1434" s="28" t="s">
        <v>316</v>
      </c>
      <c r="D1434" s="28" t="s">
        <v>42</v>
      </c>
      <c r="E1434" s="28" t="s">
        <v>717</v>
      </c>
      <c r="F1434" s="28" t="s">
        <v>142</v>
      </c>
      <c r="G1434" s="28" t="s">
        <v>148</v>
      </c>
      <c r="H1434" s="28" t="s">
        <v>306</v>
      </c>
      <c r="I1434" s="29" t="n">
        <v>403800</v>
      </c>
      <c r="J1434" s="29" t="n">
        <v>302850</v>
      </c>
      <c r="K1434" s="28" t="n">
        <v>5.25</v>
      </c>
      <c r="L1434" s="28" t="n">
        <v>240</v>
      </c>
      <c r="M1434" s="28" t="n">
        <v>17</v>
      </c>
    </row>
    <row r="1435" customFormat="false" ht="15" hidden="false" customHeight="false" outlineLevel="0" collapsed="false">
      <c r="A1435" s="27" t="n">
        <v>44629</v>
      </c>
      <c r="B1435" s="28" t="n">
        <v>2022</v>
      </c>
      <c r="C1435" s="28" t="s">
        <v>166</v>
      </c>
      <c r="D1435" s="28" t="s">
        <v>52</v>
      </c>
      <c r="E1435" s="28" t="s">
        <v>715</v>
      </c>
      <c r="F1435" s="28" t="s">
        <v>142</v>
      </c>
      <c r="G1435" s="28" t="s">
        <v>148</v>
      </c>
      <c r="H1435" s="28" t="s">
        <v>573</v>
      </c>
      <c r="I1435" s="29" t="n">
        <v>1680700</v>
      </c>
      <c r="J1435" s="29" t="n">
        <v>1260525</v>
      </c>
      <c r="K1435" s="28" t="n">
        <v>5.25</v>
      </c>
      <c r="L1435" s="28" t="n">
        <v>300</v>
      </c>
      <c r="M1435" s="28" t="n">
        <v>3</v>
      </c>
    </row>
    <row r="1436" customFormat="false" ht="15" hidden="false" customHeight="false" outlineLevel="0" collapsed="false">
      <c r="A1436" s="27" t="n">
        <v>44629</v>
      </c>
      <c r="B1436" s="28" t="n">
        <v>2022</v>
      </c>
      <c r="C1436" s="28" t="s">
        <v>288</v>
      </c>
      <c r="D1436" s="28" t="s">
        <v>42</v>
      </c>
      <c r="E1436" s="28" t="s">
        <v>705</v>
      </c>
      <c r="F1436" s="28" t="s">
        <v>194</v>
      </c>
      <c r="G1436" s="28" t="s">
        <v>152</v>
      </c>
      <c r="H1436" s="28" t="s">
        <v>610</v>
      </c>
      <c r="I1436" s="29" t="n">
        <v>1335000</v>
      </c>
      <c r="J1436" s="29" t="n">
        <v>1001250</v>
      </c>
      <c r="K1436" s="28" t="n">
        <v>5</v>
      </c>
      <c r="L1436" s="28" t="n">
        <v>300</v>
      </c>
      <c r="M1436" s="28" t="n">
        <v>14</v>
      </c>
    </row>
    <row r="1437" customFormat="false" ht="15" hidden="false" customHeight="false" outlineLevel="0" collapsed="false">
      <c r="A1437" s="27" t="n">
        <v>44629</v>
      </c>
      <c r="B1437" s="28" t="n">
        <v>2022</v>
      </c>
      <c r="C1437" s="28" t="s">
        <v>172</v>
      </c>
      <c r="D1437" s="28" t="s">
        <v>48</v>
      </c>
      <c r="E1437" s="28" t="s">
        <v>342</v>
      </c>
      <c r="F1437" s="28" t="s">
        <v>142</v>
      </c>
      <c r="G1437" s="28" t="s">
        <v>148</v>
      </c>
      <c r="H1437" s="28" t="s">
        <v>200</v>
      </c>
      <c r="I1437" s="29" t="n">
        <v>2000000</v>
      </c>
      <c r="J1437" s="29" t="n">
        <v>1500000</v>
      </c>
      <c r="K1437" s="28" t="n">
        <v>6</v>
      </c>
      <c r="L1437" s="28" t="n">
        <v>120</v>
      </c>
      <c r="M1437" s="28" t="n">
        <v>6</v>
      </c>
    </row>
    <row r="1438" customFormat="false" ht="15" hidden="false" customHeight="false" outlineLevel="0" collapsed="false">
      <c r="A1438" s="27" t="n">
        <v>44630</v>
      </c>
      <c r="B1438" s="28" t="n">
        <v>2022</v>
      </c>
      <c r="C1438" s="28" t="s">
        <v>450</v>
      </c>
      <c r="D1438" s="28" t="s">
        <v>55</v>
      </c>
      <c r="E1438" s="28" t="s">
        <v>769</v>
      </c>
      <c r="F1438" s="28" t="s">
        <v>142</v>
      </c>
      <c r="G1438" s="28" t="s">
        <v>148</v>
      </c>
      <c r="H1438" s="28" t="s">
        <v>144</v>
      </c>
      <c r="I1438" s="29" t="n">
        <v>3373000</v>
      </c>
      <c r="J1438" s="29" t="n">
        <v>2529750</v>
      </c>
      <c r="K1438" s="28" t="n">
        <v>4.85</v>
      </c>
      <c r="L1438" s="28" t="n">
        <v>248</v>
      </c>
      <c r="M1438" s="28" t="n">
        <v>6</v>
      </c>
    </row>
    <row r="1439" customFormat="false" ht="15" hidden="false" customHeight="false" outlineLevel="0" collapsed="false">
      <c r="A1439" s="27" t="n">
        <v>44630</v>
      </c>
      <c r="B1439" s="28" t="n">
        <v>2022</v>
      </c>
      <c r="C1439" s="28" t="s">
        <v>201</v>
      </c>
      <c r="D1439" s="28" t="s">
        <v>46</v>
      </c>
      <c r="E1439" s="28" t="s">
        <v>746</v>
      </c>
      <c r="F1439" s="28" t="s">
        <v>147</v>
      </c>
      <c r="G1439" s="28" t="s">
        <v>148</v>
      </c>
      <c r="H1439" s="28" t="s">
        <v>271</v>
      </c>
      <c r="I1439" s="29" t="n">
        <v>25000</v>
      </c>
      <c r="J1439" s="29" t="n">
        <v>12500</v>
      </c>
      <c r="K1439" s="28" t="n">
        <v>5.25</v>
      </c>
      <c r="L1439" s="28" t="n">
        <v>60</v>
      </c>
      <c r="M1439" s="28" t="n">
        <v>3</v>
      </c>
    </row>
    <row r="1440" customFormat="false" ht="15" hidden="false" customHeight="false" outlineLevel="0" collapsed="false">
      <c r="A1440" s="27" t="n">
        <v>44631</v>
      </c>
      <c r="B1440" s="28" t="n">
        <v>2022</v>
      </c>
      <c r="C1440" s="28" t="s">
        <v>169</v>
      </c>
      <c r="D1440" s="28" t="s">
        <v>46</v>
      </c>
      <c r="E1440" s="28" t="s">
        <v>770</v>
      </c>
      <c r="F1440" s="28" t="s">
        <v>142</v>
      </c>
      <c r="G1440" s="28" t="s">
        <v>148</v>
      </c>
      <c r="H1440" s="28" t="s">
        <v>771</v>
      </c>
      <c r="I1440" s="29" t="n">
        <v>25000</v>
      </c>
      <c r="J1440" s="29" t="n">
        <v>21250</v>
      </c>
      <c r="K1440" s="28" t="n">
        <v>8</v>
      </c>
      <c r="L1440" s="28" t="n">
        <v>120</v>
      </c>
      <c r="M1440" s="28" t="n">
        <v>27</v>
      </c>
    </row>
    <row r="1441" customFormat="false" ht="15" hidden="false" customHeight="false" outlineLevel="0" collapsed="false">
      <c r="A1441" s="27" t="n">
        <v>44631</v>
      </c>
      <c r="B1441" s="28" t="n">
        <v>2022</v>
      </c>
      <c r="C1441" s="28" t="s">
        <v>169</v>
      </c>
      <c r="D1441" s="28" t="s">
        <v>42</v>
      </c>
      <c r="E1441" s="28" t="s">
        <v>753</v>
      </c>
      <c r="F1441" s="28" t="s">
        <v>147</v>
      </c>
      <c r="G1441" s="28" t="s">
        <v>148</v>
      </c>
      <c r="H1441" s="28" t="s">
        <v>248</v>
      </c>
      <c r="I1441" s="29" t="n">
        <v>235000</v>
      </c>
      <c r="J1441" s="29" t="n">
        <v>117500</v>
      </c>
      <c r="K1441" s="28" t="n">
        <v>5.5</v>
      </c>
      <c r="L1441" s="28" t="n">
        <v>60</v>
      </c>
      <c r="M1441" s="28" t="n">
        <v>16</v>
      </c>
    </row>
    <row r="1442" customFormat="false" ht="15" hidden="false" customHeight="false" outlineLevel="0" collapsed="false">
      <c r="A1442" s="27" t="n">
        <v>44635</v>
      </c>
      <c r="B1442" s="28" t="n">
        <v>2022</v>
      </c>
      <c r="C1442" s="28" t="s">
        <v>163</v>
      </c>
      <c r="D1442" s="28" t="s">
        <v>56</v>
      </c>
      <c r="E1442" s="28" t="s">
        <v>772</v>
      </c>
      <c r="F1442" s="28" t="s">
        <v>147</v>
      </c>
      <c r="G1442" s="28" t="s">
        <v>148</v>
      </c>
      <c r="H1442" s="28" t="s">
        <v>200</v>
      </c>
      <c r="I1442" s="29" t="n">
        <v>25000</v>
      </c>
      <c r="J1442" s="29" t="n">
        <v>12500</v>
      </c>
      <c r="K1442" s="28" t="n">
        <v>9.75</v>
      </c>
      <c r="L1442" s="28" t="n">
        <v>120</v>
      </c>
      <c r="M1442" s="28" t="n">
        <v>4</v>
      </c>
    </row>
    <row r="1443" customFormat="false" ht="15" hidden="false" customHeight="false" outlineLevel="0" collapsed="false">
      <c r="A1443" s="27" t="n">
        <v>44635</v>
      </c>
      <c r="B1443" s="28" t="n">
        <v>2022</v>
      </c>
      <c r="C1443" s="28" t="s">
        <v>166</v>
      </c>
      <c r="D1443" s="28" t="s">
        <v>51</v>
      </c>
      <c r="E1443" s="28" t="s">
        <v>773</v>
      </c>
      <c r="F1443" s="28" t="s">
        <v>142</v>
      </c>
      <c r="G1443" s="28" t="s">
        <v>143</v>
      </c>
      <c r="H1443" s="28" t="s">
        <v>561</v>
      </c>
      <c r="I1443" s="29" t="n">
        <v>4454000</v>
      </c>
      <c r="J1443" s="29" t="n">
        <v>3340500</v>
      </c>
      <c r="K1443" s="28" t="n">
        <v>5.25</v>
      </c>
      <c r="L1443" s="28" t="n">
        <v>120</v>
      </c>
      <c r="M1443" s="28" t="n">
        <v>38</v>
      </c>
    </row>
    <row r="1444" customFormat="false" ht="15" hidden="false" customHeight="false" outlineLevel="0" collapsed="false">
      <c r="A1444" s="27" t="n">
        <v>44635</v>
      </c>
      <c r="B1444" s="28" t="n">
        <v>2022</v>
      </c>
      <c r="C1444" s="28" t="s">
        <v>568</v>
      </c>
      <c r="D1444" s="28" t="s">
        <v>47</v>
      </c>
      <c r="E1444" s="28" t="s">
        <v>774</v>
      </c>
      <c r="F1444" s="28" t="s">
        <v>147</v>
      </c>
      <c r="G1444" s="28" t="s">
        <v>148</v>
      </c>
      <c r="H1444" s="28" t="s">
        <v>266</v>
      </c>
      <c r="I1444" s="29" t="n">
        <v>88000</v>
      </c>
      <c r="J1444" s="29" t="n">
        <v>79200</v>
      </c>
      <c r="K1444" s="28" t="n">
        <v>5</v>
      </c>
      <c r="L1444" s="28" t="n">
        <v>38</v>
      </c>
      <c r="M1444" s="28" t="n">
        <v>62</v>
      </c>
    </row>
    <row r="1445" customFormat="false" ht="15" hidden="false" customHeight="false" outlineLevel="0" collapsed="false">
      <c r="A1445" s="27" t="n">
        <v>44635</v>
      </c>
      <c r="B1445" s="28" t="n">
        <v>2022</v>
      </c>
      <c r="C1445" s="28" t="s">
        <v>265</v>
      </c>
      <c r="D1445" s="28" t="s">
        <v>42</v>
      </c>
      <c r="E1445" s="28" t="s">
        <v>180</v>
      </c>
      <c r="F1445" s="28" t="s">
        <v>142</v>
      </c>
      <c r="G1445" s="28" t="s">
        <v>148</v>
      </c>
      <c r="H1445" s="28" t="s">
        <v>404</v>
      </c>
      <c r="I1445" s="29" t="n">
        <v>245000</v>
      </c>
      <c r="J1445" s="29" t="n">
        <v>183750</v>
      </c>
      <c r="K1445" s="28" t="n">
        <v>6</v>
      </c>
      <c r="L1445" s="28" t="n">
        <v>120</v>
      </c>
      <c r="M1445" s="28" t="n">
        <v>13</v>
      </c>
    </row>
    <row r="1446" customFormat="false" ht="15" hidden="false" customHeight="false" outlineLevel="0" collapsed="false">
      <c r="A1446" s="27" t="n">
        <v>44636</v>
      </c>
      <c r="B1446" s="28" t="n">
        <v>2022</v>
      </c>
      <c r="C1446" s="28" t="s">
        <v>172</v>
      </c>
      <c r="D1446" s="28" t="s">
        <v>48</v>
      </c>
      <c r="E1446" s="28" t="s">
        <v>342</v>
      </c>
      <c r="F1446" s="28" t="s">
        <v>142</v>
      </c>
      <c r="G1446" s="28" t="s">
        <v>148</v>
      </c>
      <c r="H1446" s="28" t="s">
        <v>211</v>
      </c>
      <c r="I1446" s="29" t="n">
        <v>1067000</v>
      </c>
      <c r="J1446" s="29" t="n">
        <v>800250</v>
      </c>
      <c r="K1446" s="28" t="n">
        <v>6</v>
      </c>
      <c r="L1446" s="28" t="n">
        <v>120</v>
      </c>
      <c r="M1446" s="28" t="n">
        <v>17</v>
      </c>
    </row>
    <row r="1447" customFormat="false" ht="15" hidden="false" customHeight="false" outlineLevel="0" collapsed="false">
      <c r="A1447" s="27" t="n">
        <v>44636</v>
      </c>
      <c r="B1447" s="28" t="n">
        <v>2022</v>
      </c>
      <c r="C1447" s="28" t="s">
        <v>196</v>
      </c>
      <c r="D1447" s="28" t="s">
        <v>42</v>
      </c>
      <c r="E1447" s="28" t="s">
        <v>753</v>
      </c>
      <c r="F1447" s="28" t="s">
        <v>142</v>
      </c>
      <c r="G1447" s="28" t="s">
        <v>441</v>
      </c>
      <c r="H1447" s="28" t="s">
        <v>269</v>
      </c>
      <c r="I1447" s="29" t="n">
        <v>446000</v>
      </c>
      <c r="J1447" s="29" t="n">
        <v>334500</v>
      </c>
      <c r="K1447" s="28" t="n">
        <v>5.75</v>
      </c>
      <c r="L1447" s="28" t="n">
        <v>120</v>
      </c>
      <c r="M1447" s="28" t="n">
        <v>8</v>
      </c>
    </row>
    <row r="1448" customFormat="false" ht="15" hidden="false" customHeight="false" outlineLevel="0" collapsed="false">
      <c r="A1448" s="27" t="n">
        <v>44636</v>
      </c>
      <c r="B1448" s="28" t="n">
        <v>2022</v>
      </c>
      <c r="C1448" s="28" t="s">
        <v>172</v>
      </c>
      <c r="D1448" s="28" t="s">
        <v>48</v>
      </c>
      <c r="E1448" s="28" t="s">
        <v>342</v>
      </c>
      <c r="F1448" s="28" t="s">
        <v>147</v>
      </c>
      <c r="G1448" s="28" t="s">
        <v>148</v>
      </c>
      <c r="H1448" s="28" t="s">
        <v>211</v>
      </c>
      <c r="I1448" s="29" t="n">
        <v>100000</v>
      </c>
      <c r="J1448" s="29" t="n">
        <v>50000</v>
      </c>
      <c r="K1448" s="28" t="n">
        <v>6</v>
      </c>
      <c r="L1448" s="28" t="n">
        <v>120</v>
      </c>
      <c r="M1448" s="28" t="n">
        <v>17</v>
      </c>
    </row>
    <row r="1449" customFormat="false" ht="15" hidden="false" customHeight="false" outlineLevel="0" collapsed="false">
      <c r="A1449" s="27" t="n">
        <v>44638</v>
      </c>
      <c r="B1449" s="28" t="n">
        <v>2022</v>
      </c>
      <c r="C1449" s="28" t="s">
        <v>230</v>
      </c>
      <c r="D1449" s="28" t="s">
        <v>47</v>
      </c>
      <c r="E1449" s="28" t="s">
        <v>775</v>
      </c>
      <c r="F1449" s="28" t="s">
        <v>147</v>
      </c>
      <c r="G1449" s="28" t="s">
        <v>441</v>
      </c>
      <c r="H1449" s="28" t="s">
        <v>220</v>
      </c>
      <c r="I1449" s="29" t="n">
        <v>43700</v>
      </c>
      <c r="J1449" s="29" t="n">
        <v>21850</v>
      </c>
      <c r="K1449" s="28" t="n">
        <v>4.8</v>
      </c>
      <c r="L1449" s="28" t="n">
        <v>60</v>
      </c>
      <c r="M1449" s="28" t="n">
        <v>4</v>
      </c>
    </row>
    <row r="1450" customFormat="false" ht="15" hidden="false" customHeight="false" outlineLevel="0" collapsed="false">
      <c r="A1450" s="27" t="n">
        <v>44641</v>
      </c>
      <c r="B1450" s="28" t="n">
        <v>2022</v>
      </c>
      <c r="C1450" s="28" t="s">
        <v>460</v>
      </c>
      <c r="D1450" s="28" t="s">
        <v>47</v>
      </c>
      <c r="E1450" s="28" t="s">
        <v>776</v>
      </c>
      <c r="F1450" s="28" t="s">
        <v>142</v>
      </c>
      <c r="G1450" s="28" t="s">
        <v>152</v>
      </c>
      <c r="H1450" s="28" t="s">
        <v>144</v>
      </c>
      <c r="I1450" s="29" t="n">
        <v>2000000</v>
      </c>
      <c r="J1450" s="29" t="n">
        <v>1500000</v>
      </c>
      <c r="K1450" s="28" t="n">
        <v>5.25</v>
      </c>
      <c r="L1450" s="28" t="n">
        <v>300</v>
      </c>
      <c r="M1450" s="28" t="n">
        <v>13</v>
      </c>
    </row>
    <row r="1451" customFormat="false" ht="15" hidden="false" customHeight="false" outlineLevel="0" collapsed="false">
      <c r="A1451" s="27" t="n">
        <v>44642</v>
      </c>
      <c r="B1451" s="28" t="n">
        <v>2022</v>
      </c>
      <c r="C1451" s="28" t="s">
        <v>252</v>
      </c>
      <c r="D1451" s="28" t="s">
        <v>49</v>
      </c>
      <c r="E1451" s="28" t="s">
        <v>777</v>
      </c>
      <c r="F1451" s="28" t="s">
        <v>142</v>
      </c>
      <c r="G1451" s="28" t="s">
        <v>148</v>
      </c>
      <c r="H1451" s="28" t="s">
        <v>200</v>
      </c>
      <c r="I1451" s="29" t="n">
        <v>800000</v>
      </c>
      <c r="J1451" s="29" t="n">
        <v>600000</v>
      </c>
      <c r="K1451" s="28" t="n">
        <v>6</v>
      </c>
      <c r="L1451" s="28" t="n">
        <v>120</v>
      </c>
      <c r="M1451" s="28" t="n">
        <v>7</v>
      </c>
    </row>
    <row r="1452" customFormat="false" ht="15" hidden="false" customHeight="false" outlineLevel="0" collapsed="false">
      <c r="A1452" s="27" t="n">
        <v>44642</v>
      </c>
      <c r="B1452" s="28" t="n">
        <v>2022</v>
      </c>
      <c r="C1452" s="28" t="s">
        <v>500</v>
      </c>
      <c r="D1452" s="28" t="s">
        <v>52</v>
      </c>
      <c r="E1452" s="28" t="s">
        <v>720</v>
      </c>
      <c r="F1452" s="28" t="s">
        <v>147</v>
      </c>
      <c r="G1452" s="28" t="s">
        <v>148</v>
      </c>
      <c r="H1452" s="28" t="s">
        <v>220</v>
      </c>
      <c r="I1452" s="29" t="n">
        <v>54800</v>
      </c>
      <c r="J1452" s="29" t="n">
        <v>27400</v>
      </c>
      <c r="K1452" s="28" t="n">
        <v>5.19</v>
      </c>
      <c r="L1452" s="28" t="n">
        <v>72</v>
      </c>
      <c r="M1452" s="28" t="n">
        <v>1</v>
      </c>
    </row>
    <row r="1453" customFormat="false" ht="15" hidden="false" customHeight="false" outlineLevel="0" collapsed="false">
      <c r="A1453" s="27" t="n">
        <v>44642</v>
      </c>
      <c r="B1453" s="28" t="n">
        <v>2022</v>
      </c>
      <c r="C1453" s="28" t="s">
        <v>421</v>
      </c>
      <c r="D1453" s="28" t="s">
        <v>42</v>
      </c>
      <c r="E1453" s="28" t="s">
        <v>753</v>
      </c>
      <c r="F1453" s="28" t="s">
        <v>142</v>
      </c>
      <c r="G1453" s="28" t="s">
        <v>152</v>
      </c>
      <c r="H1453" s="28" t="s">
        <v>144</v>
      </c>
      <c r="I1453" s="29" t="n">
        <v>2500000</v>
      </c>
      <c r="J1453" s="29" t="n">
        <v>1875000</v>
      </c>
      <c r="K1453" s="28" t="n">
        <v>5.75</v>
      </c>
      <c r="L1453" s="28" t="n">
        <v>121</v>
      </c>
      <c r="M1453" s="28" t="n">
        <v>270</v>
      </c>
    </row>
    <row r="1454" customFormat="false" ht="15" hidden="false" customHeight="false" outlineLevel="0" collapsed="false">
      <c r="A1454" s="27" t="n">
        <v>44642</v>
      </c>
      <c r="B1454" s="28" t="n">
        <v>2022</v>
      </c>
      <c r="C1454" s="28" t="s">
        <v>318</v>
      </c>
      <c r="D1454" s="28" t="s">
        <v>49</v>
      </c>
      <c r="E1454" s="28" t="s">
        <v>778</v>
      </c>
      <c r="F1454" s="28" t="s">
        <v>142</v>
      </c>
      <c r="G1454" s="28" t="s">
        <v>148</v>
      </c>
      <c r="H1454" s="28" t="s">
        <v>325</v>
      </c>
      <c r="I1454" s="29" t="n">
        <v>250000</v>
      </c>
      <c r="J1454" s="29" t="n">
        <v>187500</v>
      </c>
      <c r="K1454" s="28" t="n">
        <v>6</v>
      </c>
      <c r="L1454" s="28" t="n">
        <v>97</v>
      </c>
      <c r="M1454" s="28" t="n">
        <v>2</v>
      </c>
    </row>
    <row r="1455" customFormat="false" ht="15" hidden="false" customHeight="false" outlineLevel="0" collapsed="false">
      <c r="A1455" s="27" t="n">
        <v>44642</v>
      </c>
      <c r="B1455" s="28" t="n">
        <v>2022</v>
      </c>
      <c r="C1455" s="28" t="s">
        <v>172</v>
      </c>
      <c r="D1455" s="28" t="s">
        <v>51</v>
      </c>
      <c r="E1455" s="28" t="s">
        <v>779</v>
      </c>
      <c r="F1455" s="28" t="s">
        <v>194</v>
      </c>
      <c r="G1455" s="28" t="s">
        <v>152</v>
      </c>
      <c r="H1455" s="28" t="s">
        <v>278</v>
      </c>
      <c r="I1455" s="29" t="n">
        <v>4245400</v>
      </c>
      <c r="J1455" s="29" t="n">
        <v>3184050</v>
      </c>
      <c r="K1455" s="28" t="n">
        <v>4.5</v>
      </c>
      <c r="L1455" s="28" t="n">
        <v>180</v>
      </c>
      <c r="M1455" s="28" t="n">
        <v>138</v>
      </c>
    </row>
    <row r="1456" customFormat="false" ht="15" hidden="false" customHeight="false" outlineLevel="0" collapsed="false">
      <c r="A1456" s="27" t="n">
        <v>44643</v>
      </c>
      <c r="B1456" s="28" t="n">
        <v>2022</v>
      </c>
      <c r="C1456" s="28" t="s">
        <v>169</v>
      </c>
      <c r="D1456" s="28" t="s">
        <v>45</v>
      </c>
      <c r="E1456" s="28" t="s">
        <v>548</v>
      </c>
      <c r="F1456" s="28" t="s">
        <v>147</v>
      </c>
      <c r="G1456" s="28" t="s">
        <v>148</v>
      </c>
      <c r="H1456" s="28" t="s">
        <v>159</v>
      </c>
      <c r="I1456" s="29" t="n">
        <v>35000</v>
      </c>
      <c r="J1456" s="29" t="n">
        <v>17500</v>
      </c>
      <c r="K1456" s="28" t="n">
        <v>7.25</v>
      </c>
      <c r="L1456" s="28" t="n">
        <v>63</v>
      </c>
      <c r="M1456" s="28" t="n">
        <v>7</v>
      </c>
    </row>
    <row r="1457" customFormat="false" ht="15" hidden="false" customHeight="false" outlineLevel="0" collapsed="false">
      <c r="A1457" s="27" t="n">
        <v>44643</v>
      </c>
      <c r="B1457" s="28" t="n">
        <v>2022</v>
      </c>
      <c r="C1457" s="28" t="s">
        <v>169</v>
      </c>
      <c r="D1457" s="28" t="s">
        <v>46</v>
      </c>
      <c r="E1457" s="28" t="s">
        <v>780</v>
      </c>
      <c r="F1457" s="28" t="s">
        <v>142</v>
      </c>
      <c r="G1457" s="28" t="s">
        <v>148</v>
      </c>
      <c r="H1457" s="28" t="s">
        <v>211</v>
      </c>
      <c r="I1457" s="29" t="n">
        <v>185000</v>
      </c>
      <c r="J1457" s="29" t="n">
        <v>138750</v>
      </c>
      <c r="K1457" s="28" t="n">
        <v>6</v>
      </c>
      <c r="L1457" s="28" t="n">
        <v>120</v>
      </c>
      <c r="M1457" s="28" t="n">
        <v>6</v>
      </c>
    </row>
    <row r="1458" customFormat="false" ht="15" hidden="false" customHeight="false" outlineLevel="0" collapsed="false">
      <c r="A1458" s="27" t="n">
        <v>44643</v>
      </c>
      <c r="B1458" s="28" t="n">
        <v>2022</v>
      </c>
      <c r="C1458" s="28" t="s">
        <v>196</v>
      </c>
      <c r="D1458" s="28" t="s">
        <v>53</v>
      </c>
      <c r="E1458" s="28" t="s">
        <v>383</v>
      </c>
      <c r="F1458" s="28" t="s">
        <v>142</v>
      </c>
      <c r="G1458" s="28" t="s">
        <v>148</v>
      </c>
      <c r="H1458" s="28" t="s">
        <v>171</v>
      </c>
      <c r="I1458" s="29" t="n">
        <v>263000</v>
      </c>
      <c r="J1458" s="29" t="n">
        <v>197250</v>
      </c>
      <c r="K1458" s="28" t="n">
        <v>6</v>
      </c>
      <c r="L1458" s="28" t="n">
        <v>300</v>
      </c>
      <c r="M1458" s="28" t="n">
        <v>14</v>
      </c>
    </row>
    <row r="1459" customFormat="false" ht="15" hidden="false" customHeight="false" outlineLevel="0" collapsed="false">
      <c r="A1459" s="27" t="n">
        <v>44644</v>
      </c>
      <c r="B1459" s="28" t="n">
        <v>2022</v>
      </c>
      <c r="C1459" s="28" t="s">
        <v>166</v>
      </c>
      <c r="D1459" s="28" t="s">
        <v>45</v>
      </c>
      <c r="E1459" s="28" t="s">
        <v>480</v>
      </c>
      <c r="F1459" s="28" t="s">
        <v>142</v>
      </c>
      <c r="G1459" s="28" t="s">
        <v>441</v>
      </c>
      <c r="H1459" s="28" t="s">
        <v>162</v>
      </c>
      <c r="I1459" s="29" t="n">
        <v>657000</v>
      </c>
      <c r="J1459" s="29" t="n">
        <v>492750</v>
      </c>
      <c r="K1459" s="28" t="n">
        <v>0</v>
      </c>
      <c r="L1459" s="28" t="n">
        <v>300</v>
      </c>
      <c r="M1459" s="28" t="n">
        <v>3</v>
      </c>
    </row>
    <row r="1460" customFormat="false" ht="15" hidden="false" customHeight="false" outlineLevel="0" collapsed="false">
      <c r="A1460" s="27" t="n">
        <v>44644</v>
      </c>
      <c r="B1460" s="28" t="n">
        <v>2022</v>
      </c>
      <c r="C1460" s="28" t="s">
        <v>172</v>
      </c>
      <c r="D1460" s="28" t="s">
        <v>47</v>
      </c>
      <c r="E1460" s="28" t="s">
        <v>781</v>
      </c>
      <c r="F1460" s="28" t="s">
        <v>194</v>
      </c>
      <c r="G1460" s="28" t="s">
        <v>152</v>
      </c>
      <c r="H1460" s="28" t="s">
        <v>463</v>
      </c>
      <c r="I1460" s="29" t="n">
        <v>2050000</v>
      </c>
      <c r="J1460" s="29" t="n">
        <v>1537500</v>
      </c>
      <c r="K1460" s="28" t="n">
        <v>6</v>
      </c>
      <c r="L1460" s="28" t="n">
        <v>120</v>
      </c>
      <c r="M1460" s="28" t="n">
        <v>1</v>
      </c>
    </row>
    <row r="1461" customFormat="false" ht="15" hidden="false" customHeight="false" outlineLevel="0" collapsed="false">
      <c r="A1461" s="27" t="n">
        <v>44644</v>
      </c>
      <c r="B1461" s="28" t="n">
        <v>2022</v>
      </c>
      <c r="C1461" s="28" t="s">
        <v>303</v>
      </c>
      <c r="D1461" s="28" t="s">
        <v>46</v>
      </c>
      <c r="E1461" s="28" t="s">
        <v>782</v>
      </c>
      <c r="F1461" s="28" t="s">
        <v>147</v>
      </c>
      <c r="G1461" s="28" t="s">
        <v>441</v>
      </c>
      <c r="H1461" s="28" t="s">
        <v>372</v>
      </c>
      <c r="I1461" s="29" t="n">
        <v>80000</v>
      </c>
      <c r="J1461" s="29" t="n">
        <v>40000</v>
      </c>
      <c r="K1461" s="28" t="n">
        <v>5.25</v>
      </c>
      <c r="L1461" s="28" t="n">
        <v>66</v>
      </c>
      <c r="M1461" s="28" t="n">
        <v>11</v>
      </c>
    </row>
    <row r="1462" customFormat="false" ht="15" hidden="false" customHeight="false" outlineLevel="0" collapsed="false">
      <c r="A1462" s="27" t="n">
        <v>44644</v>
      </c>
      <c r="B1462" s="28" t="n">
        <v>2022</v>
      </c>
      <c r="C1462" s="28" t="s">
        <v>172</v>
      </c>
      <c r="D1462" s="28" t="s">
        <v>44</v>
      </c>
      <c r="E1462" s="28" t="s">
        <v>730</v>
      </c>
      <c r="F1462" s="28" t="s">
        <v>142</v>
      </c>
      <c r="G1462" s="28" t="s">
        <v>143</v>
      </c>
      <c r="H1462" s="28" t="s">
        <v>621</v>
      </c>
      <c r="I1462" s="29" t="n">
        <v>1433000</v>
      </c>
      <c r="J1462" s="29" t="n">
        <v>1074750</v>
      </c>
      <c r="K1462" s="28" t="n">
        <v>6</v>
      </c>
      <c r="L1462" s="28" t="n">
        <v>120</v>
      </c>
      <c r="M1462" s="28" t="n">
        <v>27</v>
      </c>
    </row>
    <row r="1463" customFormat="false" ht="15" hidden="false" customHeight="false" outlineLevel="0" collapsed="false">
      <c r="A1463" s="27" t="n">
        <v>44644</v>
      </c>
      <c r="B1463" s="28" t="n">
        <v>2022</v>
      </c>
      <c r="C1463" s="28" t="s">
        <v>172</v>
      </c>
      <c r="D1463" s="28" t="s">
        <v>44</v>
      </c>
      <c r="E1463" s="28" t="s">
        <v>783</v>
      </c>
      <c r="F1463" s="28" t="s">
        <v>147</v>
      </c>
      <c r="G1463" s="28" t="s">
        <v>441</v>
      </c>
      <c r="H1463" s="28" t="s">
        <v>205</v>
      </c>
      <c r="I1463" s="29" t="n">
        <v>10000</v>
      </c>
      <c r="J1463" s="29" t="n">
        <v>5000</v>
      </c>
      <c r="K1463" s="28" t="n">
        <v>9.05</v>
      </c>
      <c r="L1463" s="28" t="n">
        <v>120</v>
      </c>
      <c r="M1463" s="28" t="n">
        <v>1</v>
      </c>
    </row>
    <row r="1464" customFormat="false" ht="15" hidden="false" customHeight="false" outlineLevel="0" collapsed="false">
      <c r="A1464" s="27" t="n">
        <v>44644</v>
      </c>
      <c r="B1464" s="28" t="n">
        <v>2022</v>
      </c>
      <c r="C1464" s="28" t="s">
        <v>201</v>
      </c>
      <c r="D1464" s="28" t="s">
        <v>42</v>
      </c>
      <c r="E1464" s="28" t="s">
        <v>784</v>
      </c>
      <c r="F1464" s="28" t="s">
        <v>147</v>
      </c>
      <c r="G1464" s="28" t="s">
        <v>143</v>
      </c>
      <c r="H1464" s="28" t="s">
        <v>205</v>
      </c>
      <c r="I1464" s="29" t="n">
        <v>25000</v>
      </c>
      <c r="J1464" s="29" t="n">
        <v>12500</v>
      </c>
      <c r="K1464" s="28" t="n">
        <v>9.75</v>
      </c>
      <c r="L1464" s="28" t="n">
        <v>60</v>
      </c>
      <c r="M1464" s="28" t="n">
        <v>6</v>
      </c>
    </row>
    <row r="1465" customFormat="false" ht="15" hidden="false" customHeight="false" outlineLevel="0" collapsed="false">
      <c r="A1465" s="27" t="n">
        <v>44644</v>
      </c>
      <c r="B1465" s="28" t="n">
        <v>2022</v>
      </c>
      <c r="C1465" s="28" t="s">
        <v>172</v>
      </c>
      <c r="D1465" s="28" t="s">
        <v>50</v>
      </c>
      <c r="E1465" s="28" t="s">
        <v>785</v>
      </c>
      <c r="F1465" s="28" t="s">
        <v>147</v>
      </c>
      <c r="G1465" s="28" t="s">
        <v>441</v>
      </c>
      <c r="H1465" s="28" t="s">
        <v>168</v>
      </c>
      <c r="I1465" s="29" t="n">
        <v>20000</v>
      </c>
      <c r="J1465" s="29" t="n">
        <v>10000</v>
      </c>
      <c r="K1465" s="28" t="n">
        <v>9.25</v>
      </c>
      <c r="L1465" s="28" t="n">
        <v>120</v>
      </c>
      <c r="M1465" s="28" t="n">
        <v>0</v>
      </c>
    </row>
    <row r="1466" customFormat="false" ht="15" hidden="false" customHeight="false" outlineLevel="0" collapsed="false">
      <c r="A1466" s="27" t="n">
        <v>44645</v>
      </c>
      <c r="B1466" s="28" t="n">
        <v>2022</v>
      </c>
      <c r="C1466" s="28" t="s">
        <v>344</v>
      </c>
      <c r="D1466" s="28" t="s">
        <v>51</v>
      </c>
      <c r="E1466" s="28" t="s">
        <v>779</v>
      </c>
      <c r="F1466" s="28" t="s">
        <v>147</v>
      </c>
      <c r="G1466" s="28" t="s">
        <v>143</v>
      </c>
      <c r="H1466" s="28" t="s">
        <v>211</v>
      </c>
      <c r="I1466" s="29" t="n">
        <v>25000</v>
      </c>
      <c r="J1466" s="29" t="n">
        <v>12500</v>
      </c>
      <c r="K1466" s="28" t="n">
        <v>6</v>
      </c>
      <c r="L1466" s="28" t="n">
        <v>120</v>
      </c>
      <c r="M1466" s="28" t="n">
        <v>14</v>
      </c>
    </row>
    <row r="1467" customFormat="false" ht="15" hidden="false" customHeight="false" outlineLevel="0" collapsed="false">
      <c r="A1467" s="27" t="n">
        <v>44645</v>
      </c>
      <c r="B1467" s="28" t="n">
        <v>2022</v>
      </c>
      <c r="C1467" s="28" t="s">
        <v>344</v>
      </c>
      <c r="D1467" s="28" t="s">
        <v>51</v>
      </c>
      <c r="E1467" s="28" t="s">
        <v>779</v>
      </c>
      <c r="F1467" s="28" t="s">
        <v>142</v>
      </c>
      <c r="G1467" s="28" t="s">
        <v>143</v>
      </c>
      <c r="H1467" s="28" t="s">
        <v>211</v>
      </c>
      <c r="I1467" s="29" t="n">
        <v>277900</v>
      </c>
      <c r="J1467" s="29" t="n">
        <v>208425</v>
      </c>
      <c r="K1467" s="28" t="n">
        <v>6</v>
      </c>
      <c r="L1467" s="28" t="n">
        <v>120</v>
      </c>
      <c r="M1467" s="28" t="n">
        <v>14</v>
      </c>
    </row>
    <row r="1468" customFormat="false" ht="15" hidden="false" customHeight="false" outlineLevel="0" collapsed="false">
      <c r="A1468" s="27" t="n">
        <v>44645</v>
      </c>
      <c r="B1468" s="28" t="n">
        <v>2022</v>
      </c>
      <c r="C1468" s="28" t="s">
        <v>249</v>
      </c>
      <c r="D1468" s="28" t="s">
        <v>42</v>
      </c>
      <c r="E1468" s="28" t="s">
        <v>717</v>
      </c>
      <c r="F1468" s="28" t="s">
        <v>194</v>
      </c>
      <c r="G1468" s="28" t="s">
        <v>148</v>
      </c>
      <c r="H1468" s="28" t="s">
        <v>786</v>
      </c>
      <c r="I1468" s="29" t="n">
        <v>2020000</v>
      </c>
      <c r="J1468" s="29" t="n">
        <v>1515000</v>
      </c>
      <c r="K1468" s="28" t="n">
        <v>5.5</v>
      </c>
      <c r="L1468" s="28" t="n">
        <v>300</v>
      </c>
      <c r="M1468" s="28" t="n">
        <v>68</v>
      </c>
    </row>
    <row r="1469" customFormat="false" ht="15" hidden="false" customHeight="false" outlineLevel="0" collapsed="false">
      <c r="A1469" s="27" t="n">
        <v>44645</v>
      </c>
      <c r="B1469" s="28" t="n">
        <v>2022</v>
      </c>
      <c r="C1469" s="28" t="s">
        <v>249</v>
      </c>
      <c r="D1469" s="28" t="s">
        <v>53</v>
      </c>
      <c r="E1469" s="28" t="s">
        <v>383</v>
      </c>
      <c r="F1469" s="28" t="s">
        <v>147</v>
      </c>
      <c r="G1469" s="28" t="s">
        <v>152</v>
      </c>
      <c r="H1469" s="28" t="s">
        <v>278</v>
      </c>
      <c r="I1469" s="29" t="n">
        <v>390000</v>
      </c>
      <c r="J1469" s="29" t="n">
        <v>195000</v>
      </c>
      <c r="K1469" s="28" t="n">
        <v>4.75</v>
      </c>
      <c r="L1469" s="28" t="n">
        <v>240</v>
      </c>
      <c r="M1469" s="28" t="n">
        <v>4</v>
      </c>
    </row>
    <row r="1470" customFormat="false" ht="15" hidden="false" customHeight="false" outlineLevel="0" collapsed="false">
      <c r="A1470" s="27" t="n">
        <v>44645</v>
      </c>
      <c r="B1470" s="28" t="n">
        <v>2022</v>
      </c>
      <c r="C1470" s="28" t="s">
        <v>172</v>
      </c>
      <c r="D1470" s="28" t="s">
        <v>43</v>
      </c>
      <c r="E1470" s="28" t="s">
        <v>787</v>
      </c>
      <c r="F1470" s="28" t="s">
        <v>147</v>
      </c>
      <c r="G1470" s="28" t="s">
        <v>148</v>
      </c>
      <c r="H1470" s="28" t="s">
        <v>205</v>
      </c>
      <c r="I1470" s="29" t="n">
        <v>80000</v>
      </c>
      <c r="J1470" s="29" t="n">
        <v>40000</v>
      </c>
      <c r="K1470" s="28" t="n">
        <v>7.75</v>
      </c>
      <c r="L1470" s="28" t="n">
        <v>120</v>
      </c>
      <c r="M1470" s="28" t="n">
        <v>10</v>
      </c>
    </row>
    <row r="1471" customFormat="false" ht="15" hidden="false" customHeight="false" outlineLevel="0" collapsed="false">
      <c r="A1471" s="27" t="n">
        <v>44645</v>
      </c>
      <c r="B1471" s="28" t="n">
        <v>2022</v>
      </c>
      <c r="C1471" s="28" t="s">
        <v>160</v>
      </c>
      <c r="D1471" s="28" t="s">
        <v>48</v>
      </c>
      <c r="E1471" s="28" t="s">
        <v>736</v>
      </c>
      <c r="F1471" s="28" t="s">
        <v>142</v>
      </c>
      <c r="G1471" s="28" t="s">
        <v>148</v>
      </c>
      <c r="H1471" s="28" t="s">
        <v>229</v>
      </c>
      <c r="I1471" s="29" t="n">
        <v>350000</v>
      </c>
      <c r="J1471" s="29" t="n">
        <v>262500</v>
      </c>
      <c r="K1471" s="28" t="n">
        <v>6</v>
      </c>
      <c r="L1471" s="28" t="n">
        <v>120</v>
      </c>
      <c r="M1471" s="28" t="n">
        <v>4</v>
      </c>
    </row>
    <row r="1472" customFormat="false" ht="15" hidden="false" customHeight="false" outlineLevel="0" collapsed="false">
      <c r="A1472" s="27" t="n">
        <v>44645</v>
      </c>
      <c r="B1472" s="28" t="n">
        <v>2022</v>
      </c>
      <c r="C1472" s="28" t="s">
        <v>196</v>
      </c>
      <c r="D1472" s="28" t="s">
        <v>46</v>
      </c>
      <c r="E1472" s="28" t="s">
        <v>702</v>
      </c>
      <c r="F1472" s="28" t="s">
        <v>142</v>
      </c>
      <c r="G1472" s="28" t="s">
        <v>148</v>
      </c>
      <c r="H1472" s="28" t="s">
        <v>144</v>
      </c>
      <c r="I1472" s="29" t="n">
        <v>1225000</v>
      </c>
      <c r="J1472" s="29" t="n">
        <v>918750</v>
      </c>
      <c r="K1472" s="28" t="n">
        <v>5.75</v>
      </c>
      <c r="L1472" s="28" t="n">
        <v>126</v>
      </c>
      <c r="M1472" s="28" t="n">
        <v>25</v>
      </c>
    </row>
    <row r="1473" customFormat="false" ht="15" hidden="false" customHeight="false" outlineLevel="0" collapsed="false">
      <c r="A1473" s="27" t="n">
        <v>44648</v>
      </c>
      <c r="B1473" s="28" t="n">
        <v>2022</v>
      </c>
      <c r="C1473" s="28" t="s">
        <v>203</v>
      </c>
      <c r="D1473" s="28" t="s">
        <v>45</v>
      </c>
      <c r="E1473" s="28" t="s">
        <v>222</v>
      </c>
      <c r="F1473" s="28" t="s">
        <v>147</v>
      </c>
      <c r="G1473" s="28" t="s">
        <v>143</v>
      </c>
      <c r="H1473" s="28" t="s">
        <v>159</v>
      </c>
      <c r="I1473" s="29" t="n">
        <v>10000</v>
      </c>
      <c r="J1473" s="29" t="n">
        <v>5000</v>
      </c>
      <c r="K1473" s="28" t="n">
        <v>5.75</v>
      </c>
      <c r="L1473" s="28" t="n">
        <v>120</v>
      </c>
      <c r="M1473" s="28" t="n">
        <v>6</v>
      </c>
    </row>
    <row r="1474" customFormat="false" ht="15" hidden="false" customHeight="false" outlineLevel="0" collapsed="false">
      <c r="A1474" s="27" t="n">
        <v>44648</v>
      </c>
      <c r="B1474" s="28" t="n">
        <v>2022</v>
      </c>
      <c r="C1474" s="28" t="s">
        <v>169</v>
      </c>
      <c r="D1474" s="28" t="s">
        <v>43</v>
      </c>
      <c r="E1474" s="28" t="s">
        <v>788</v>
      </c>
      <c r="F1474" s="28" t="s">
        <v>147</v>
      </c>
      <c r="G1474" s="28" t="s">
        <v>148</v>
      </c>
      <c r="H1474" s="28" t="s">
        <v>159</v>
      </c>
      <c r="I1474" s="29" t="n">
        <v>40000</v>
      </c>
      <c r="J1474" s="29" t="n">
        <v>20000</v>
      </c>
      <c r="K1474" s="28" t="n">
        <v>7.25</v>
      </c>
      <c r="L1474" s="28" t="n">
        <v>120</v>
      </c>
      <c r="M1474" s="28" t="n">
        <v>5</v>
      </c>
    </row>
    <row r="1475" customFormat="false" ht="15" hidden="false" customHeight="false" outlineLevel="0" collapsed="false">
      <c r="A1475" s="27" t="n">
        <v>44648</v>
      </c>
      <c r="B1475" s="28" t="n">
        <v>2022</v>
      </c>
      <c r="C1475" s="28" t="s">
        <v>203</v>
      </c>
      <c r="D1475" s="28" t="s">
        <v>45</v>
      </c>
      <c r="E1475" s="28" t="s">
        <v>222</v>
      </c>
      <c r="F1475" s="28" t="s">
        <v>147</v>
      </c>
      <c r="G1475" s="28" t="s">
        <v>143</v>
      </c>
      <c r="H1475" s="28" t="s">
        <v>159</v>
      </c>
      <c r="I1475" s="29" t="n">
        <v>198000</v>
      </c>
      <c r="J1475" s="29" t="n">
        <v>99000</v>
      </c>
      <c r="K1475" s="28" t="n">
        <v>5.75</v>
      </c>
      <c r="L1475" s="28" t="n">
        <v>84</v>
      </c>
      <c r="M1475" s="28" t="n">
        <v>6</v>
      </c>
    </row>
    <row r="1476" customFormat="false" ht="15" hidden="false" customHeight="false" outlineLevel="0" collapsed="false">
      <c r="A1476" s="27" t="n">
        <v>44649</v>
      </c>
      <c r="B1476" s="28" t="n">
        <v>2022</v>
      </c>
      <c r="C1476" s="28" t="s">
        <v>163</v>
      </c>
      <c r="D1476" s="28" t="s">
        <v>47</v>
      </c>
      <c r="E1476" s="28" t="s">
        <v>760</v>
      </c>
      <c r="F1476" s="28" t="s">
        <v>142</v>
      </c>
      <c r="G1476" s="28" t="s">
        <v>441</v>
      </c>
      <c r="H1476" s="28" t="s">
        <v>275</v>
      </c>
      <c r="I1476" s="29" t="n">
        <v>78500</v>
      </c>
      <c r="J1476" s="29" t="n">
        <v>66725</v>
      </c>
      <c r="K1476" s="28" t="n">
        <v>6</v>
      </c>
      <c r="L1476" s="28" t="n">
        <v>120</v>
      </c>
      <c r="M1476" s="28" t="n">
        <v>2</v>
      </c>
    </row>
    <row r="1477" customFormat="false" ht="15" hidden="false" customHeight="false" outlineLevel="0" collapsed="false">
      <c r="A1477" s="27" t="n">
        <v>44649</v>
      </c>
      <c r="B1477" s="28" t="n">
        <v>2022</v>
      </c>
      <c r="C1477" s="28" t="s">
        <v>169</v>
      </c>
      <c r="D1477" s="28" t="s">
        <v>43</v>
      </c>
      <c r="E1477" s="28" t="s">
        <v>788</v>
      </c>
      <c r="F1477" s="28" t="s">
        <v>147</v>
      </c>
      <c r="G1477" s="28" t="s">
        <v>441</v>
      </c>
      <c r="H1477" s="28" t="s">
        <v>159</v>
      </c>
      <c r="I1477" s="29" t="n">
        <v>55000</v>
      </c>
      <c r="J1477" s="29" t="n">
        <v>27500</v>
      </c>
      <c r="K1477" s="28" t="n">
        <v>8</v>
      </c>
      <c r="L1477" s="28" t="n">
        <v>60</v>
      </c>
      <c r="M1477" s="28" t="n">
        <v>0</v>
      </c>
    </row>
    <row r="1478" customFormat="false" ht="15" hidden="false" customHeight="false" outlineLevel="0" collapsed="false">
      <c r="A1478" s="27" t="n">
        <v>44649</v>
      </c>
      <c r="B1478" s="28" t="n">
        <v>2022</v>
      </c>
      <c r="C1478" s="28" t="s">
        <v>172</v>
      </c>
      <c r="D1478" s="28" t="s">
        <v>47</v>
      </c>
      <c r="E1478" s="28" t="s">
        <v>373</v>
      </c>
      <c r="F1478" s="28" t="s">
        <v>194</v>
      </c>
      <c r="G1478" s="28" t="s">
        <v>143</v>
      </c>
      <c r="H1478" s="28" t="s">
        <v>645</v>
      </c>
      <c r="I1478" s="29" t="n">
        <v>515000</v>
      </c>
      <c r="J1478" s="29" t="n">
        <v>386250</v>
      </c>
      <c r="K1478" s="28" t="n">
        <v>6</v>
      </c>
      <c r="L1478" s="28" t="n">
        <v>120</v>
      </c>
      <c r="M1478" s="28" t="n">
        <v>20</v>
      </c>
    </row>
    <row r="1479" customFormat="false" ht="15" hidden="false" customHeight="false" outlineLevel="0" collapsed="false">
      <c r="A1479" s="27" t="n">
        <v>44649</v>
      </c>
      <c r="B1479" s="28" t="n">
        <v>2022</v>
      </c>
      <c r="C1479" s="28" t="s">
        <v>169</v>
      </c>
      <c r="D1479" s="28" t="s">
        <v>43</v>
      </c>
      <c r="E1479" s="28" t="s">
        <v>789</v>
      </c>
      <c r="F1479" s="28" t="s">
        <v>142</v>
      </c>
      <c r="G1479" s="28" t="s">
        <v>148</v>
      </c>
      <c r="H1479" s="28" t="s">
        <v>275</v>
      </c>
      <c r="I1479" s="29" t="n">
        <v>108000</v>
      </c>
      <c r="J1479" s="29" t="n">
        <v>91800</v>
      </c>
      <c r="K1479" s="28" t="n">
        <v>6</v>
      </c>
      <c r="L1479" s="28" t="n">
        <v>120</v>
      </c>
      <c r="M1479" s="28" t="n">
        <v>2</v>
      </c>
    </row>
    <row r="1480" customFormat="false" ht="15" hidden="false" customHeight="false" outlineLevel="0" collapsed="false">
      <c r="A1480" s="27" t="n">
        <v>44649</v>
      </c>
      <c r="B1480" s="28" t="n">
        <v>2022</v>
      </c>
      <c r="C1480" s="28" t="s">
        <v>332</v>
      </c>
      <c r="D1480" s="28" t="s">
        <v>55</v>
      </c>
      <c r="E1480" s="28" t="s">
        <v>790</v>
      </c>
      <c r="F1480" s="28" t="s">
        <v>283</v>
      </c>
      <c r="G1480" s="28" t="s">
        <v>148</v>
      </c>
      <c r="H1480" s="28" t="s">
        <v>255</v>
      </c>
      <c r="I1480" s="29" t="n">
        <v>911700</v>
      </c>
      <c r="J1480" s="29" t="n">
        <v>820530</v>
      </c>
      <c r="K1480" s="28" t="n">
        <v>6</v>
      </c>
      <c r="L1480" s="28" t="n">
        <v>120</v>
      </c>
      <c r="M1480" s="28" t="n">
        <v>2</v>
      </c>
    </row>
    <row r="1481" customFormat="false" ht="15" hidden="false" customHeight="false" outlineLevel="0" collapsed="false">
      <c r="A1481" s="27" t="n">
        <v>44650</v>
      </c>
      <c r="B1481" s="28" t="n">
        <v>2022</v>
      </c>
      <c r="C1481" s="28" t="s">
        <v>393</v>
      </c>
      <c r="D1481" s="28" t="s">
        <v>54</v>
      </c>
      <c r="E1481" s="28" t="s">
        <v>791</v>
      </c>
      <c r="F1481" s="28" t="s">
        <v>142</v>
      </c>
      <c r="G1481" s="28" t="s">
        <v>152</v>
      </c>
      <c r="H1481" s="28" t="s">
        <v>255</v>
      </c>
      <c r="I1481" s="29" t="n">
        <v>1119400</v>
      </c>
      <c r="J1481" s="29" t="n">
        <v>839550</v>
      </c>
      <c r="K1481" s="28" t="n">
        <v>6.25</v>
      </c>
      <c r="L1481" s="28" t="n">
        <v>120</v>
      </c>
      <c r="M1481" s="28" t="n">
        <v>2</v>
      </c>
    </row>
    <row r="1482" customFormat="false" ht="15" hidden="false" customHeight="false" outlineLevel="0" collapsed="false">
      <c r="A1482" s="27" t="n">
        <v>44650</v>
      </c>
      <c r="B1482" s="28" t="n">
        <v>2022</v>
      </c>
      <c r="C1482" s="28" t="s">
        <v>140</v>
      </c>
      <c r="D1482" s="28" t="s">
        <v>56</v>
      </c>
      <c r="E1482" s="28" t="s">
        <v>758</v>
      </c>
      <c r="F1482" s="28" t="s">
        <v>194</v>
      </c>
      <c r="G1482" s="28" t="s">
        <v>143</v>
      </c>
      <c r="H1482" s="28" t="s">
        <v>278</v>
      </c>
      <c r="I1482" s="29" t="n">
        <v>94100</v>
      </c>
      <c r="J1482" s="29" t="n">
        <v>79985</v>
      </c>
      <c r="K1482" s="28" t="n">
        <v>6</v>
      </c>
      <c r="L1482" s="28" t="n">
        <v>120</v>
      </c>
      <c r="M1482" s="28" t="n">
        <v>2</v>
      </c>
    </row>
    <row r="1483" customFormat="false" ht="15" hidden="false" customHeight="false" outlineLevel="0" collapsed="false">
      <c r="A1483" s="27" t="n">
        <v>44651</v>
      </c>
      <c r="B1483" s="28" t="n">
        <v>2022</v>
      </c>
      <c r="C1483" s="28" t="s">
        <v>169</v>
      </c>
      <c r="D1483" s="28" t="s">
        <v>47</v>
      </c>
      <c r="E1483" s="28" t="s">
        <v>792</v>
      </c>
      <c r="F1483" s="28" t="s">
        <v>194</v>
      </c>
      <c r="G1483" s="28" t="s">
        <v>143</v>
      </c>
      <c r="H1483" s="28" t="s">
        <v>278</v>
      </c>
      <c r="I1483" s="29" t="n">
        <v>1221000</v>
      </c>
      <c r="J1483" s="29" t="n">
        <v>915750</v>
      </c>
      <c r="K1483" s="28" t="n">
        <v>6</v>
      </c>
      <c r="L1483" s="28" t="n">
        <v>132</v>
      </c>
      <c r="M1483" s="28" t="n">
        <v>4</v>
      </c>
    </row>
    <row r="1484" customFormat="false" ht="15" hidden="false" customHeight="false" outlineLevel="0" collapsed="false">
      <c r="A1484" s="27" t="n">
        <v>44651</v>
      </c>
      <c r="B1484" s="28" t="n">
        <v>2022</v>
      </c>
      <c r="C1484" s="28" t="s">
        <v>169</v>
      </c>
      <c r="D1484" s="28" t="s">
        <v>49</v>
      </c>
      <c r="E1484" s="28" t="s">
        <v>793</v>
      </c>
      <c r="F1484" s="28" t="s">
        <v>142</v>
      </c>
      <c r="G1484" s="28" t="s">
        <v>148</v>
      </c>
      <c r="H1484" s="28" t="s">
        <v>200</v>
      </c>
      <c r="I1484" s="29" t="n">
        <v>244000</v>
      </c>
      <c r="J1484" s="29" t="n">
        <v>207400</v>
      </c>
      <c r="K1484" s="28" t="n">
        <v>6</v>
      </c>
      <c r="L1484" s="28" t="n">
        <v>120</v>
      </c>
      <c r="M1484" s="28" t="n">
        <v>6</v>
      </c>
    </row>
    <row r="1485" customFormat="false" ht="15" hidden="false" customHeight="false" outlineLevel="0" collapsed="false">
      <c r="A1485" s="27" t="n">
        <v>44652</v>
      </c>
      <c r="B1485" s="28" t="n">
        <v>2022</v>
      </c>
      <c r="C1485" s="28" t="s">
        <v>166</v>
      </c>
      <c r="D1485" s="28" t="s">
        <v>52</v>
      </c>
      <c r="E1485" s="28" t="s">
        <v>716</v>
      </c>
      <c r="F1485" s="28" t="s">
        <v>147</v>
      </c>
      <c r="G1485" s="28" t="s">
        <v>441</v>
      </c>
      <c r="H1485" s="28" t="s">
        <v>168</v>
      </c>
      <c r="I1485" s="29" t="n">
        <v>15000</v>
      </c>
      <c r="J1485" s="29" t="n">
        <v>7500</v>
      </c>
      <c r="K1485" s="28" t="n">
        <v>10</v>
      </c>
      <c r="L1485" s="28" t="n">
        <v>98</v>
      </c>
      <c r="M1485" s="28" t="n">
        <v>0</v>
      </c>
    </row>
    <row r="1486" customFormat="false" ht="15" hidden="false" customHeight="false" outlineLevel="0" collapsed="false">
      <c r="A1486" s="27" t="n">
        <v>44652</v>
      </c>
      <c r="B1486" s="28" t="n">
        <v>2022</v>
      </c>
      <c r="C1486" s="28" t="s">
        <v>183</v>
      </c>
      <c r="D1486" s="28" t="s">
        <v>44</v>
      </c>
      <c r="E1486" s="28" t="s">
        <v>783</v>
      </c>
      <c r="F1486" s="28" t="s">
        <v>142</v>
      </c>
      <c r="G1486" s="28" t="s">
        <v>441</v>
      </c>
      <c r="H1486" s="28" t="s">
        <v>281</v>
      </c>
      <c r="I1486" s="29" t="n">
        <v>225000</v>
      </c>
      <c r="J1486" s="29" t="n">
        <v>168750</v>
      </c>
      <c r="K1486" s="28" t="n">
        <v>6</v>
      </c>
      <c r="L1486" s="28" t="n">
        <v>300</v>
      </c>
      <c r="M1486" s="28" t="n">
        <v>4</v>
      </c>
    </row>
    <row r="1487" customFormat="false" ht="15" hidden="false" customHeight="false" outlineLevel="0" collapsed="false">
      <c r="A1487" s="27" t="n">
        <v>44655</v>
      </c>
      <c r="B1487" s="28" t="n">
        <v>2022</v>
      </c>
      <c r="C1487" s="28" t="s">
        <v>169</v>
      </c>
      <c r="D1487" s="28" t="s">
        <v>49</v>
      </c>
      <c r="E1487" s="28" t="s">
        <v>794</v>
      </c>
      <c r="F1487" s="28" t="s">
        <v>142</v>
      </c>
      <c r="G1487" s="28" t="s">
        <v>148</v>
      </c>
      <c r="H1487" s="28" t="s">
        <v>200</v>
      </c>
      <c r="I1487" s="29" t="n">
        <v>250000</v>
      </c>
      <c r="J1487" s="29" t="n">
        <v>187500</v>
      </c>
      <c r="K1487" s="28" t="n">
        <v>6.25</v>
      </c>
      <c r="L1487" s="28" t="n">
        <v>120</v>
      </c>
      <c r="M1487" s="28" t="n">
        <v>3</v>
      </c>
    </row>
    <row r="1488" customFormat="false" ht="15" hidden="false" customHeight="false" outlineLevel="0" collapsed="false">
      <c r="A1488" s="27" t="n">
        <v>44655</v>
      </c>
      <c r="B1488" s="28" t="n">
        <v>2022</v>
      </c>
      <c r="C1488" s="28" t="s">
        <v>169</v>
      </c>
      <c r="D1488" s="28" t="s">
        <v>42</v>
      </c>
      <c r="E1488" s="28" t="s">
        <v>717</v>
      </c>
      <c r="F1488" s="28" t="s">
        <v>142</v>
      </c>
      <c r="G1488" s="28" t="s">
        <v>143</v>
      </c>
      <c r="H1488" s="28" t="s">
        <v>453</v>
      </c>
      <c r="I1488" s="29" t="n">
        <v>530000</v>
      </c>
      <c r="J1488" s="29" t="n">
        <v>397500</v>
      </c>
      <c r="K1488" s="28" t="n">
        <v>6.25</v>
      </c>
      <c r="L1488" s="28" t="n">
        <v>126</v>
      </c>
      <c r="M1488" s="28" t="n">
        <v>40</v>
      </c>
    </row>
    <row r="1489" customFormat="false" ht="15" hidden="false" customHeight="false" outlineLevel="0" collapsed="false">
      <c r="A1489" s="27" t="n">
        <v>44655</v>
      </c>
      <c r="B1489" s="28" t="n">
        <v>2022</v>
      </c>
      <c r="C1489" s="28" t="s">
        <v>169</v>
      </c>
      <c r="D1489" s="28" t="s">
        <v>42</v>
      </c>
      <c r="E1489" s="28" t="s">
        <v>753</v>
      </c>
      <c r="F1489" s="28" t="s">
        <v>147</v>
      </c>
      <c r="G1489" s="28" t="s">
        <v>441</v>
      </c>
      <c r="H1489" s="28" t="s">
        <v>159</v>
      </c>
      <c r="I1489" s="29" t="n">
        <v>25000</v>
      </c>
      <c r="J1489" s="29" t="n">
        <v>12500</v>
      </c>
      <c r="K1489" s="28" t="n">
        <v>8.25</v>
      </c>
      <c r="L1489" s="28" t="n">
        <v>97</v>
      </c>
      <c r="M1489" s="28" t="n">
        <v>53</v>
      </c>
    </row>
    <row r="1490" customFormat="false" ht="15" hidden="false" customHeight="false" outlineLevel="0" collapsed="false">
      <c r="A1490" s="27" t="n">
        <v>44655</v>
      </c>
      <c r="B1490" s="28" t="n">
        <v>2022</v>
      </c>
      <c r="C1490" s="28" t="s">
        <v>232</v>
      </c>
      <c r="D1490" s="28" t="s">
        <v>55</v>
      </c>
      <c r="E1490" s="28" t="s">
        <v>795</v>
      </c>
      <c r="F1490" s="28" t="s">
        <v>147</v>
      </c>
      <c r="G1490" s="28" t="s">
        <v>148</v>
      </c>
      <c r="H1490" s="28" t="s">
        <v>482</v>
      </c>
      <c r="I1490" s="29" t="n">
        <v>145000</v>
      </c>
      <c r="J1490" s="29" t="n">
        <v>72500</v>
      </c>
      <c r="K1490" s="28" t="n">
        <v>5.29</v>
      </c>
      <c r="L1490" s="28" t="n">
        <v>58</v>
      </c>
      <c r="M1490" s="28" t="n">
        <v>12</v>
      </c>
    </row>
    <row r="1491" customFormat="false" ht="15" hidden="false" customHeight="false" outlineLevel="0" collapsed="false">
      <c r="A1491" s="27" t="n">
        <v>44656</v>
      </c>
      <c r="B1491" s="28" t="n">
        <v>2022</v>
      </c>
      <c r="C1491" s="28" t="s">
        <v>169</v>
      </c>
      <c r="D1491" s="28" t="s">
        <v>48</v>
      </c>
      <c r="E1491" s="28" t="s">
        <v>736</v>
      </c>
      <c r="F1491" s="28" t="s">
        <v>147</v>
      </c>
      <c r="G1491" s="28" t="s">
        <v>148</v>
      </c>
      <c r="H1491" s="28" t="s">
        <v>205</v>
      </c>
      <c r="I1491" s="29" t="n">
        <v>65000</v>
      </c>
      <c r="J1491" s="29" t="n">
        <v>32500</v>
      </c>
      <c r="K1491" s="28" t="n">
        <v>7.3</v>
      </c>
      <c r="L1491" s="28" t="n">
        <v>120</v>
      </c>
      <c r="M1491" s="28" t="n">
        <v>25</v>
      </c>
    </row>
    <row r="1492" customFormat="false" ht="15" hidden="false" customHeight="false" outlineLevel="0" collapsed="false">
      <c r="A1492" s="27" t="n">
        <v>44656</v>
      </c>
      <c r="B1492" s="28" t="n">
        <v>2022</v>
      </c>
      <c r="C1492" s="28" t="s">
        <v>172</v>
      </c>
      <c r="D1492" s="28" t="s">
        <v>45</v>
      </c>
      <c r="E1492" s="28" t="s">
        <v>708</v>
      </c>
      <c r="F1492" s="28" t="s">
        <v>147</v>
      </c>
      <c r="G1492" s="28" t="s">
        <v>148</v>
      </c>
      <c r="H1492" s="28" t="s">
        <v>159</v>
      </c>
      <c r="I1492" s="29" t="n">
        <v>100000</v>
      </c>
      <c r="J1492" s="29" t="n">
        <v>50000</v>
      </c>
      <c r="K1492" s="28" t="n">
        <v>8</v>
      </c>
      <c r="L1492" s="28" t="n">
        <v>120</v>
      </c>
      <c r="M1492" s="28" t="n">
        <v>13</v>
      </c>
    </row>
    <row r="1493" customFormat="false" ht="15" hidden="false" customHeight="false" outlineLevel="0" collapsed="false">
      <c r="A1493" s="27" t="n">
        <v>44657</v>
      </c>
      <c r="B1493" s="28" t="n">
        <v>2022</v>
      </c>
      <c r="C1493" s="28" t="s">
        <v>198</v>
      </c>
      <c r="D1493" s="28" t="s">
        <v>43</v>
      </c>
      <c r="E1493" s="28" t="s">
        <v>796</v>
      </c>
      <c r="F1493" s="28" t="s">
        <v>147</v>
      </c>
      <c r="G1493" s="28" t="s">
        <v>143</v>
      </c>
      <c r="H1493" s="28" t="s">
        <v>159</v>
      </c>
      <c r="I1493" s="29" t="n">
        <v>25000</v>
      </c>
      <c r="J1493" s="29" t="n">
        <v>12500</v>
      </c>
      <c r="K1493" s="28" t="n">
        <v>10</v>
      </c>
      <c r="L1493" s="28" t="n">
        <v>120</v>
      </c>
      <c r="M1493" s="28" t="n">
        <v>4</v>
      </c>
    </row>
    <row r="1494" customFormat="false" ht="15" hidden="false" customHeight="false" outlineLevel="0" collapsed="false">
      <c r="A1494" s="27" t="n">
        <v>44657</v>
      </c>
      <c r="B1494" s="28" t="n">
        <v>2022</v>
      </c>
      <c r="C1494" s="28" t="s">
        <v>303</v>
      </c>
      <c r="D1494" s="28" t="s">
        <v>52</v>
      </c>
      <c r="E1494" s="28" t="s">
        <v>720</v>
      </c>
      <c r="F1494" s="28" t="s">
        <v>142</v>
      </c>
      <c r="G1494" s="28" t="s">
        <v>148</v>
      </c>
      <c r="H1494" s="28" t="s">
        <v>168</v>
      </c>
      <c r="I1494" s="29" t="n">
        <v>1354500</v>
      </c>
      <c r="J1494" s="29" t="n">
        <v>1015875</v>
      </c>
      <c r="K1494" s="28" t="n">
        <v>5.35</v>
      </c>
      <c r="L1494" s="28" t="n">
        <v>300</v>
      </c>
      <c r="M1494" s="28" t="n">
        <v>9</v>
      </c>
    </row>
    <row r="1495" customFormat="false" ht="15" hidden="false" customHeight="false" outlineLevel="0" collapsed="false">
      <c r="A1495" s="27" t="n">
        <v>44657</v>
      </c>
      <c r="B1495" s="28" t="n">
        <v>2022</v>
      </c>
      <c r="C1495" s="28" t="s">
        <v>198</v>
      </c>
      <c r="D1495" s="28" t="s">
        <v>43</v>
      </c>
      <c r="E1495" s="28" t="s">
        <v>796</v>
      </c>
      <c r="F1495" s="28" t="s">
        <v>147</v>
      </c>
      <c r="G1495" s="28" t="s">
        <v>143</v>
      </c>
      <c r="H1495" s="28" t="s">
        <v>159</v>
      </c>
      <c r="I1495" s="29" t="n">
        <v>75000</v>
      </c>
      <c r="J1495" s="29" t="n">
        <v>37500</v>
      </c>
      <c r="K1495" s="28" t="n">
        <v>6.99</v>
      </c>
      <c r="L1495" s="28" t="n">
        <v>60</v>
      </c>
      <c r="M1495" s="28" t="n">
        <v>4</v>
      </c>
    </row>
    <row r="1496" customFormat="false" ht="15" hidden="false" customHeight="false" outlineLevel="0" collapsed="false">
      <c r="A1496" s="27" t="n">
        <v>44658</v>
      </c>
      <c r="B1496" s="28" t="n">
        <v>2022</v>
      </c>
      <c r="C1496" s="28" t="s">
        <v>411</v>
      </c>
      <c r="D1496" s="28" t="s">
        <v>48</v>
      </c>
      <c r="E1496" s="28" t="s">
        <v>797</v>
      </c>
      <c r="F1496" s="28" t="s">
        <v>142</v>
      </c>
      <c r="G1496" s="28" t="s">
        <v>148</v>
      </c>
      <c r="H1496" s="28" t="s">
        <v>200</v>
      </c>
      <c r="I1496" s="29" t="n">
        <v>158000</v>
      </c>
      <c r="J1496" s="29" t="n">
        <v>118500</v>
      </c>
      <c r="K1496" s="28" t="n">
        <v>6.25</v>
      </c>
      <c r="L1496" s="28" t="n">
        <v>120</v>
      </c>
      <c r="M1496" s="28" t="n">
        <v>7</v>
      </c>
    </row>
    <row r="1497" customFormat="false" ht="15" hidden="false" customHeight="false" outlineLevel="0" collapsed="false">
      <c r="A1497" s="27" t="n">
        <v>44658</v>
      </c>
      <c r="B1497" s="28" t="n">
        <v>2022</v>
      </c>
      <c r="C1497" s="28" t="s">
        <v>166</v>
      </c>
      <c r="D1497" s="28" t="s">
        <v>45</v>
      </c>
      <c r="E1497" s="28" t="s">
        <v>798</v>
      </c>
      <c r="F1497" s="28" t="s">
        <v>194</v>
      </c>
      <c r="G1497" s="28" t="s">
        <v>441</v>
      </c>
      <c r="H1497" s="28" t="s">
        <v>799</v>
      </c>
      <c r="I1497" s="29" t="n">
        <v>340000</v>
      </c>
      <c r="J1497" s="29" t="n">
        <v>255000</v>
      </c>
      <c r="K1497" s="28" t="n">
        <v>6</v>
      </c>
      <c r="L1497" s="28" t="n">
        <v>84</v>
      </c>
      <c r="M1497" s="28" t="n">
        <v>9</v>
      </c>
    </row>
    <row r="1498" customFormat="false" ht="15" hidden="false" customHeight="false" outlineLevel="0" collapsed="false">
      <c r="A1498" s="27" t="n">
        <v>44658</v>
      </c>
      <c r="B1498" s="28" t="n">
        <v>2022</v>
      </c>
      <c r="C1498" s="28" t="s">
        <v>235</v>
      </c>
      <c r="D1498" s="28" t="s">
        <v>51</v>
      </c>
      <c r="E1498" s="28" t="s">
        <v>800</v>
      </c>
      <c r="F1498" s="28" t="s">
        <v>142</v>
      </c>
      <c r="G1498" s="28" t="s">
        <v>143</v>
      </c>
      <c r="H1498" s="28" t="s">
        <v>561</v>
      </c>
      <c r="I1498" s="29" t="n">
        <v>691500</v>
      </c>
      <c r="J1498" s="29" t="n">
        <v>518625</v>
      </c>
      <c r="K1498" s="28" t="n">
        <v>5.75</v>
      </c>
      <c r="L1498" s="28" t="n">
        <v>126</v>
      </c>
      <c r="M1498" s="28" t="n">
        <v>12</v>
      </c>
    </row>
    <row r="1499" customFormat="false" ht="15" hidden="false" customHeight="false" outlineLevel="0" collapsed="false">
      <c r="A1499" s="27" t="n">
        <v>44659</v>
      </c>
      <c r="B1499" s="28" t="n">
        <v>2022</v>
      </c>
      <c r="C1499" s="28" t="s">
        <v>332</v>
      </c>
      <c r="D1499" s="28" t="s">
        <v>51</v>
      </c>
      <c r="E1499" s="28" t="s">
        <v>801</v>
      </c>
      <c r="F1499" s="28" t="s">
        <v>147</v>
      </c>
      <c r="G1499" s="28" t="s">
        <v>441</v>
      </c>
      <c r="H1499" s="28" t="s">
        <v>159</v>
      </c>
      <c r="I1499" s="29" t="n">
        <v>125000</v>
      </c>
      <c r="J1499" s="29" t="n">
        <v>62500</v>
      </c>
      <c r="K1499" s="28" t="n">
        <v>6.25</v>
      </c>
      <c r="L1499" s="28" t="n">
        <v>84</v>
      </c>
      <c r="M1499" s="28" t="n">
        <v>6</v>
      </c>
    </row>
    <row r="1500" customFormat="false" ht="15" hidden="false" customHeight="false" outlineLevel="0" collapsed="false">
      <c r="A1500" s="27" t="n">
        <v>44659</v>
      </c>
      <c r="B1500" s="28" t="n">
        <v>2022</v>
      </c>
      <c r="C1500" s="28" t="s">
        <v>332</v>
      </c>
      <c r="D1500" s="28" t="s">
        <v>51</v>
      </c>
      <c r="E1500" s="28" t="s">
        <v>801</v>
      </c>
      <c r="F1500" s="28" t="s">
        <v>147</v>
      </c>
      <c r="G1500" s="28" t="s">
        <v>441</v>
      </c>
      <c r="H1500" s="28" t="s">
        <v>159</v>
      </c>
      <c r="I1500" s="29" t="n">
        <v>50000</v>
      </c>
      <c r="J1500" s="29" t="n">
        <v>25000</v>
      </c>
      <c r="K1500" s="28" t="n">
        <v>6.5</v>
      </c>
      <c r="L1500" s="28" t="n">
        <v>120</v>
      </c>
      <c r="M1500" s="28" t="n">
        <v>6</v>
      </c>
    </row>
    <row r="1501" customFormat="false" ht="15" hidden="false" customHeight="false" outlineLevel="0" collapsed="false">
      <c r="A1501" s="27" t="n">
        <v>44659</v>
      </c>
      <c r="B1501" s="28" t="n">
        <v>2022</v>
      </c>
      <c r="C1501" s="28" t="s">
        <v>172</v>
      </c>
      <c r="D1501" s="28" t="s">
        <v>47</v>
      </c>
      <c r="E1501" s="28" t="s">
        <v>802</v>
      </c>
      <c r="F1501" s="28" t="s">
        <v>142</v>
      </c>
      <c r="G1501" s="28" t="s">
        <v>148</v>
      </c>
      <c r="H1501" s="28" t="s">
        <v>269</v>
      </c>
      <c r="I1501" s="29" t="n">
        <v>29200</v>
      </c>
      <c r="J1501" s="29" t="n">
        <v>24820</v>
      </c>
      <c r="K1501" s="28" t="n">
        <v>7.25</v>
      </c>
      <c r="L1501" s="28" t="n">
        <v>120</v>
      </c>
      <c r="M1501" s="28" t="n">
        <v>3</v>
      </c>
    </row>
    <row r="1502" customFormat="false" ht="15" hidden="false" customHeight="false" outlineLevel="0" collapsed="false">
      <c r="A1502" s="27" t="n">
        <v>44662</v>
      </c>
      <c r="B1502" s="28" t="n">
        <v>2022</v>
      </c>
      <c r="C1502" s="28" t="s">
        <v>169</v>
      </c>
      <c r="D1502" s="28" t="s">
        <v>44</v>
      </c>
      <c r="E1502" s="28" t="s">
        <v>755</v>
      </c>
      <c r="F1502" s="28" t="s">
        <v>142</v>
      </c>
      <c r="G1502" s="28" t="s">
        <v>148</v>
      </c>
      <c r="H1502" s="28" t="s">
        <v>187</v>
      </c>
      <c r="I1502" s="29" t="n">
        <v>591300</v>
      </c>
      <c r="J1502" s="29" t="n">
        <v>443475</v>
      </c>
      <c r="K1502" s="28" t="n">
        <v>4</v>
      </c>
      <c r="L1502" s="28" t="n">
        <v>300</v>
      </c>
      <c r="M1502" s="28" t="n">
        <v>2</v>
      </c>
    </row>
    <row r="1503" customFormat="false" ht="15" hidden="false" customHeight="false" outlineLevel="0" collapsed="false">
      <c r="A1503" s="27" t="n">
        <v>44663</v>
      </c>
      <c r="B1503" s="28" t="n">
        <v>2022</v>
      </c>
      <c r="C1503" s="28" t="s">
        <v>196</v>
      </c>
      <c r="D1503" s="28" t="s">
        <v>48</v>
      </c>
      <c r="E1503" s="28" t="s">
        <v>304</v>
      </c>
      <c r="F1503" s="28" t="s">
        <v>147</v>
      </c>
      <c r="G1503" s="28" t="s">
        <v>148</v>
      </c>
      <c r="H1503" s="28" t="s">
        <v>205</v>
      </c>
      <c r="I1503" s="29" t="n">
        <v>65000</v>
      </c>
      <c r="J1503" s="29" t="n">
        <v>32500</v>
      </c>
      <c r="K1503" s="28" t="n">
        <v>7.3</v>
      </c>
      <c r="L1503" s="28" t="n">
        <v>120</v>
      </c>
      <c r="M1503" s="28" t="n">
        <v>3</v>
      </c>
    </row>
    <row r="1504" customFormat="false" ht="15" hidden="false" customHeight="false" outlineLevel="0" collapsed="false">
      <c r="A1504" s="27" t="n">
        <v>44663</v>
      </c>
      <c r="B1504" s="28" t="n">
        <v>2022</v>
      </c>
      <c r="C1504" s="28" t="s">
        <v>163</v>
      </c>
      <c r="D1504" s="28" t="s">
        <v>47</v>
      </c>
      <c r="E1504" s="28" t="s">
        <v>803</v>
      </c>
      <c r="F1504" s="28" t="s">
        <v>147</v>
      </c>
      <c r="G1504" s="28" t="s">
        <v>148</v>
      </c>
      <c r="H1504" s="28" t="s">
        <v>338</v>
      </c>
      <c r="I1504" s="29" t="n">
        <v>200000</v>
      </c>
      <c r="J1504" s="29" t="n">
        <v>100000</v>
      </c>
      <c r="K1504" s="28" t="n">
        <v>6</v>
      </c>
      <c r="L1504" s="28" t="n">
        <v>84</v>
      </c>
      <c r="M1504" s="28" t="n">
        <v>26</v>
      </c>
    </row>
    <row r="1505" customFormat="false" ht="15" hidden="false" customHeight="false" outlineLevel="0" collapsed="false">
      <c r="A1505" s="27" t="n">
        <v>44663</v>
      </c>
      <c r="B1505" s="28" t="n">
        <v>2022</v>
      </c>
      <c r="C1505" s="28" t="s">
        <v>145</v>
      </c>
      <c r="D1505" s="28" t="s">
        <v>52</v>
      </c>
      <c r="E1505" s="28" t="s">
        <v>742</v>
      </c>
      <c r="F1505" s="28" t="s">
        <v>147</v>
      </c>
      <c r="G1505" s="28" t="s">
        <v>148</v>
      </c>
      <c r="H1505" s="28" t="s">
        <v>159</v>
      </c>
      <c r="I1505" s="29" t="n">
        <v>50200</v>
      </c>
      <c r="J1505" s="29" t="n">
        <v>25100</v>
      </c>
      <c r="K1505" s="28" t="n">
        <v>7.49</v>
      </c>
      <c r="L1505" s="28" t="n">
        <v>86</v>
      </c>
      <c r="M1505" s="28" t="n">
        <v>4</v>
      </c>
    </row>
    <row r="1506" customFormat="false" ht="15" hidden="false" customHeight="false" outlineLevel="0" collapsed="false">
      <c r="A1506" s="27" t="n">
        <v>44663</v>
      </c>
      <c r="B1506" s="28" t="n">
        <v>2022</v>
      </c>
      <c r="C1506" s="28" t="s">
        <v>209</v>
      </c>
      <c r="D1506" s="28" t="s">
        <v>49</v>
      </c>
      <c r="E1506" s="28" t="s">
        <v>804</v>
      </c>
      <c r="F1506" s="28" t="s">
        <v>142</v>
      </c>
      <c r="G1506" s="28" t="s">
        <v>148</v>
      </c>
      <c r="H1506" s="28" t="s">
        <v>165</v>
      </c>
      <c r="I1506" s="29" t="n">
        <v>1051000</v>
      </c>
      <c r="J1506" s="29" t="n">
        <v>788250</v>
      </c>
      <c r="K1506" s="28" t="n">
        <v>5.99</v>
      </c>
      <c r="L1506" s="28" t="n">
        <v>120</v>
      </c>
      <c r="M1506" s="28" t="n">
        <v>26</v>
      </c>
    </row>
    <row r="1507" customFormat="false" ht="15" hidden="false" customHeight="false" outlineLevel="0" collapsed="false">
      <c r="A1507" s="27" t="n">
        <v>44664</v>
      </c>
      <c r="B1507" s="28" t="n">
        <v>2022</v>
      </c>
      <c r="C1507" s="28" t="s">
        <v>332</v>
      </c>
      <c r="D1507" s="28" t="s">
        <v>51</v>
      </c>
      <c r="E1507" s="28" t="s">
        <v>779</v>
      </c>
      <c r="F1507" s="28" t="s">
        <v>142</v>
      </c>
      <c r="G1507" s="28" t="s">
        <v>148</v>
      </c>
      <c r="H1507" s="28" t="s">
        <v>144</v>
      </c>
      <c r="I1507" s="29" t="n">
        <v>550000</v>
      </c>
      <c r="J1507" s="29" t="n">
        <v>412500</v>
      </c>
      <c r="K1507" s="28" t="n">
        <v>6.25</v>
      </c>
      <c r="L1507" s="28" t="n">
        <v>120</v>
      </c>
      <c r="M1507" s="28" t="n">
        <v>4</v>
      </c>
    </row>
    <row r="1508" customFormat="false" ht="15" hidden="false" customHeight="false" outlineLevel="0" collapsed="false">
      <c r="A1508" s="27" t="n">
        <v>44664</v>
      </c>
      <c r="B1508" s="28" t="n">
        <v>2022</v>
      </c>
      <c r="C1508" s="28" t="s">
        <v>484</v>
      </c>
      <c r="D1508" s="28" t="s">
        <v>59</v>
      </c>
      <c r="E1508" s="28" t="s">
        <v>805</v>
      </c>
      <c r="F1508" s="28" t="s">
        <v>142</v>
      </c>
      <c r="G1508" s="28" t="s">
        <v>152</v>
      </c>
      <c r="H1508" s="28" t="s">
        <v>255</v>
      </c>
      <c r="I1508" s="29" t="n">
        <v>2548500</v>
      </c>
      <c r="J1508" s="29" t="n">
        <v>1911375</v>
      </c>
      <c r="K1508" s="28" t="n">
        <v>6</v>
      </c>
      <c r="L1508" s="28" t="n">
        <v>300</v>
      </c>
      <c r="M1508" s="28" t="n">
        <v>26</v>
      </c>
    </row>
    <row r="1509" customFormat="false" ht="15" hidden="false" customHeight="false" outlineLevel="0" collapsed="false">
      <c r="A1509" s="27" t="n">
        <v>44665</v>
      </c>
      <c r="B1509" s="28" t="n">
        <v>2022</v>
      </c>
      <c r="C1509" s="28" t="s">
        <v>169</v>
      </c>
      <c r="D1509" s="28" t="s">
        <v>44</v>
      </c>
      <c r="E1509" s="28" t="s">
        <v>730</v>
      </c>
      <c r="F1509" s="28" t="s">
        <v>142</v>
      </c>
      <c r="G1509" s="28" t="s">
        <v>143</v>
      </c>
      <c r="H1509" s="28" t="s">
        <v>144</v>
      </c>
      <c r="I1509" s="29" t="n">
        <v>5000000</v>
      </c>
      <c r="J1509" s="29" t="n">
        <v>3750000</v>
      </c>
      <c r="K1509" s="28" t="n">
        <v>5.3</v>
      </c>
      <c r="L1509" s="28" t="n">
        <v>312</v>
      </c>
      <c r="M1509" s="28" t="n">
        <v>30</v>
      </c>
    </row>
    <row r="1510" customFormat="false" ht="15" hidden="false" customHeight="false" outlineLevel="0" collapsed="false">
      <c r="A1510" s="27" t="n">
        <v>44665</v>
      </c>
      <c r="B1510" s="28" t="n">
        <v>2022</v>
      </c>
      <c r="C1510" s="28" t="s">
        <v>196</v>
      </c>
      <c r="D1510" s="28" t="s">
        <v>51</v>
      </c>
      <c r="E1510" s="28" t="s">
        <v>779</v>
      </c>
      <c r="F1510" s="28" t="s">
        <v>147</v>
      </c>
      <c r="G1510" s="28" t="s">
        <v>143</v>
      </c>
      <c r="H1510" s="28" t="s">
        <v>159</v>
      </c>
      <c r="I1510" s="29" t="n">
        <v>45000</v>
      </c>
      <c r="J1510" s="29" t="n">
        <v>22500</v>
      </c>
      <c r="K1510" s="28" t="n">
        <v>6.25</v>
      </c>
      <c r="L1510" s="28" t="n">
        <v>60</v>
      </c>
      <c r="M1510" s="28" t="n">
        <v>8</v>
      </c>
    </row>
    <row r="1511" customFormat="false" ht="15" hidden="false" customHeight="false" outlineLevel="0" collapsed="false">
      <c r="A1511" s="27" t="n">
        <v>44666</v>
      </c>
      <c r="B1511" s="28" t="n">
        <v>2022</v>
      </c>
      <c r="C1511" s="28" t="s">
        <v>549</v>
      </c>
      <c r="D1511" s="28" t="s">
        <v>46</v>
      </c>
      <c r="E1511" s="28" t="s">
        <v>806</v>
      </c>
      <c r="F1511" s="28" t="s">
        <v>142</v>
      </c>
      <c r="G1511" s="28" t="s">
        <v>148</v>
      </c>
      <c r="H1511" s="28" t="s">
        <v>281</v>
      </c>
      <c r="I1511" s="29" t="n">
        <v>1728800</v>
      </c>
      <c r="J1511" s="29" t="n">
        <v>1296600</v>
      </c>
      <c r="K1511" s="28" t="n">
        <v>6</v>
      </c>
      <c r="L1511" s="28" t="n">
        <v>300</v>
      </c>
      <c r="M1511" s="28" t="n">
        <v>11</v>
      </c>
    </row>
    <row r="1512" customFormat="false" ht="15" hidden="false" customHeight="false" outlineLevel="0" collapsed="false">
      <c r="A1512" s="27" t="n">
        <v>44669</v>
      </c>
      <c r="B1512" s="28" t="n">
        <v>2022</v>
      </c>
      <c r="C1512" s="28" t="s">
        <v>540</v>
      </c>
      <c r="D1512" s="28" t="s">
        <v>47</v>
      </c>
      <c r="E1512" s="28" t="s">
        <v>697</v>
      </c>
      <c r="F1512" s="28" t="s">
        <v>142</v>
      </c>
      <c r="G1512" s="28" t="s">
        <v>143</v>
      </c>
      <c r="H1512" s="28" t="s">
        <v>404</v>
      </c>
      <c r="I1512" s="29" t="n">
        <v>156000</v>
      </c>
      <c r="J1512" s="29" t="n">
        <v>117000</v>
      </c>
      <c r="K1512" s="28" t="n">
        <v>6.25</v>
      </c>
      <c r="L1512" s="28" t="n">
        <v>120</v>
      </c>
      <c r="M1512" s="28" t="n">
        <v>2</v>
      </c>
    </row>
    <row r="1513" customFormat="false" ht="15" hidden="false" customHeight="false" outlineLevel="0" collapsed="false">
      <c r="A1513" s="27" t="n">
        <v>44669</v>
      </c>
      <c r="B1513" s="28" t="n">
        <v>2022</v>
      </c>
      <c r="C1513" s="28" t="s">
        <v>160</v>
      </c>
      <c r="D1513" s="28" t="s">
        <v>44</v>
      </c>
      <c r="E1513" s="28" t="s">
        <v>759</v>
      </c>
      <c r="F1513" s="28" t="s">
        <v>142</v>
      </c>
      <c r="G1513" s="28" t="s">
        <v>143</v>
      </c>
      <c r="H1513" s="28" t="s">
        <v>211</v>
      </c>
      <c r="I1513" s="29" t="n">
        <v>390000</v>
      </c>
      <c r="J1513" s="29" t="n">
        <v>292500</v>
      </c>
      <c r="K1513" s="28" t="n">
        <v>6.25</v>
      </c>
      <c r="L1513" s="28" t="n">
        <v>120</v>
      </c>
      <c r="M1513" s="28" t="n">
        <v>10</v>
      </c>
    </row>
    <row r="1514" customFormat="false" ht="15" hidden="false" customHeight="false" outlineLevel="0" collapsed="false">
      <c r="A1514" s="27" t="n">
        <v>44669</v>
      </c>
      <c r="B1514" s="28" t="n">
        <v>2022</v>
      </c>
      <c r="C1514" s="28" t="s">
        <v>206</v>
      </c>
      <c r="D1514" s="28" t="s">
        <v>48</v>
      </c>
      <c r="E1514" s="28" t="s">
        <v>767</v>
      </c>
      <c r="F1514" s="28" t="s">
        <v>142</v>
      </c>
      <c r="G1514" s="28" t="s">
        <v>441</v>
      </c>
      <c r="H1514" s="28" t="s">
        <v>221</v>
      </c>
      <c r="I1514" s="29" t="n">
        <v>500000</v>
      </c>
      <c r="J1514" s="29" t="n">
        <v>375000</v>
      </c>
      <c r="K1514" s="28" t="n">
        <v>6.25</v>
      </c>
      <c r="L1514" s="28" t="n">
        <v>120</v>
      </c>
      <c r="M1514" s="28" t="n">
        <v>8</v>
      </c>
    </row>
    <row r="1515" customFormat="false" ht="15" hidden="false" customHeight="false" outlineLevel="0" collapsed="false">
      <c r="A1515" s="27" t="n">
        <v>44669</v>
      </c>
      <c r="B1515" s="28" t="n">
        <v>2022</v>
      </c>
      <c r="C1515" s="28" t="s">
        <v>500</v>
      </c>
      <c r="D1515" s="28" t="s">
        <v>45</v>
      </c>
      <c r="E1515" s="28" t="s">
        <v>611</v>
      </c>
      <c r="F1515" s="28" t="s">
        <v>142</v>
      </c>
      <c r="G1515" s="28" t="s">
        <v>148</v>
      </c>
      <c r="H1515" s="28" t="s">
        <v>619</v>
      </c>
      <c r="I1515" s="29" t="n">
        <v>420000</v>
      </c>
      <c r="J1515" s="29" t="n">
        <v>315000</v>
      </c>
      <c r="K1515" s="28" t="n">
        <v>5.5</v>
      </c>
      <c r="L1515" s="28" t="n">
        <v>300</v>
      </c>
      <c r="M1515" s="28" t="n">
        <v>8</v>
      </c>
    </row>
    <row r="1516" customFormat="false" ht="15" hidden="false" customHeight="false" outlineLevel="0" collapsed="false">
      <c r="A1516" s="27" t="n">
        <v>44669</v>
      </c>
      <c r="B1516" s="28" t="n">
        <v>2022</v>
      </c>
      <c r="C1516" s="28" t="s">
        <v>160</v>
      </c>
      <c r="D1516" s="28" t="s">
        <v>44</v>
      </c>
      <c r="E1516" s="28" t="s">
        <v>759</v>
      </c>
      <c r="F1516" s="28" t="s">
        <v>147</v>
      </c>
      <c r="G1516" s="28" t="s">
        <v>143</v>
      </c>
      <c r="H1516" s="28" t="s">
        <v>211</v>
      </c>
      <c r="I1516" s="29" t="n">
        <v>30000</v>
      </c>
      <c r="J1516" s="29" t="n">
        <v>15000</v>
      </c>
      <c r="K1516" s="28" t="n">
        <v>6.25</v>
      </c>
      <c r="L1516" s="28" t="n">
        <v>120</v>
      </c>
      <c r="M1516" s="28" t="n">
        <v>10</v>
      </c>
    </row>
    <row r="1517" customFormat="false" ht="15" hidden="false" customHeight="false" outlineLevel="0" collapsed="false">
      <c r="A1517" s="27" t="n">
        <v>44670</v>
      </c>
      <c r="B1517" s="28" t="n">
        <v>2022</v>
      </c>
      <c r="C1517" s="28" t="s">
        <v>169</v>
      </c>
      <c r="D1517" s="28" t="s">
        <v>51</v>
      </c>
      <c r="E1517" s="28" t="s">
        <v>779</v>
      </c>
      <c r="F1517" s="28" t="s">
        <v>142</v>
      </c>
      <c r="G1517" s="28" t="s">
        <v>152</v>
      </c>
      <c r="H1517" s="28" t="s">
        <v>314</v>
      </c>
      <c r="I1517" s="29" t="n">
        <v>588000</v>
      </c>
      <c r="J1517" s="29" t="n">
        <v>441000</v>
      </c>
      <c r="K1517" s="28" t="n">
        <v>5.75</v>
      </c>
      <c r="L1517" s="28" t="n">
        <v>120</v>
      </c>
      <c r="M1517" s="28" t="n">
        <v>20</v>
      </c>
    </row>
    <row r="1518" customFormat="false" ht="15" hidden="false" customHeight="false" outlineLevel="0" collapsed="false">
      <c r="A1518" s="27" t="n">
        <v>44670</v>
      </c>
      <c r="B1518" s="28" t="n">
        <v>2022</v>
      </c>
      <c r="C1518" s="28" t="s">
        <v>766</v>
      </c>
      <c r="D1518" s="28" t="s">
        <v>46</v>
      </c>
      <c r="E1518" s="28" t="s">
        <v>807</v>
      </c>
      <c r="F1518" s="28" t="s">
        <v>194</v>
      </c>
      <c r="G1518" s="28" t="s">
        <v>152</v>
      </c>
      <c r="H1518" s="28" t="s">
        <v>808</v>
      </c>
      <c r="I1518" s="29" t="n">
        <v>189000</v>
      </c>
      <c r="J1518" s="29" t="n">
        <v>141750</v>
      </c>
      <c r="K1518" s="28" t="n">
        <v>5</v>
      </c>
      <c r="L1518" s="28" t="n">
        <v>120</v>
      </c>
      <c r="M1518" s="28" t="n">
        <v>2</v>
      </c>
    </row>
    <row r="1519" customFormat="false" ht="15" hidden="false" customHeight="false" outlineLevel="0" collapsed="false">
      <c r="A1519" s="27" t="n">
        <v>44671</v>
      </c>
      <c r="B1519" s="28" t="n">
        <v>2022</v>
      </c>
      <c r="C1519" s="28" t="s">
        <v>163</v>
      </c>
      <c r="D1519" s="28" t="s">
        <v>42</v>
      </c>
      <c r="E1519" s="28" t="s">
        <v>753</v>
      </c>
      <c r="F1519" s="28" t="s">
        <v>142</v>
      </c>
      <c r="G1519" s="28" t="s">
        <v>441</v>
      </c>
      <c r="H1519" s="28" t="s">
        <v>483</v>
      </c>
      <c r="I1519" s="29" t="n">
        <v>120000</v>
      </c>
      <c r="J1519" s="29" t="n">
        <v>90000</v>
      </c>
      <c r="K1519" s="28" t="n">
        <v>6.25</v>
      </c>
      <c r="L1519" s="28" t="n">
        <v>120</v>
      </c>
      <c r="M1519" s="28" t="n">
        <v>21</v>
      </c>
    </row>
    <row r="1520" customFormat="false" ht="15" hidden="false" customHeight="false" outlineLevel="0" collapsed="false">
      <c r="A1520" s="27" t="n">
        <v>44671</v>
      </c>
      <c r="B1520" s="28" t="n">
        <v>2022</v>
      </c>
      <c r="C1520" s="28" t="s">
        <v>163</v>
      </c>
      <c r="D1520" s="28" t="s">
        <v>43</v>
      </c>
      <c r="E1520" s="28" t="s">
        <v>465</v>
      </c>
      <c r="F1520" s="28" t="s">
        <v>142</v>
      </c>
      <c r="G1520" s="28" t="s">
        <v>148</v>
      </c>
      <c r="H1520" s="28" t="s">
        <v>211</v>
      </c>
      <c r="I1520" s="29" t="n">
        <v>350000</v>
      </c>
      <c r="J1520" s="29" t="n">
        <v>262500</v>
      </c>
      <c r="K1520" s="28" t="n">
        <v>6.25</v>
      </c>
      <c r="L1520" s="28" t="n">
        <v>120</v>
      </c>
      <c r="M1520" s="28" t="n">
        <v>16</v>
      </c>
    </row>
    <row r="1521" customFormat="false" ht="15" hidden="false" customHeight="false" outlineLevel="0" collapsed="false">
      <c r="A1521" s="27" t="n">
        <v>44671</v>
      </c>
      <c r="B1521" s="28" t="n">
        <v>2022</v>
      </c>
      <c r="C1521" s="28" t="s">
        <v>175</v>
      </c>
      <c r="D1521" s="28" t="s">
        <v>48</v>
      </c>
      <c r="E1521" s="28" t="s">
        <v>362</v>
      </c>
      <c r="F1521" s="28" t="s">
        <v>147</v>
      </c>
      <c r="G1521" s="28" t="s">
        <v>148</v>
      </c>
      <c r="H1521" s="28" t="s">
        <v>443</v>
      </c>
      <c r="I1521" s="29" t="n">
        <v>181000</v>
      </c>
      <c r="J1521" s="29" t="n">
        <v>90500</v>
      </c>
      <c r="K1521" s="28" t="n">
        <v>6</v>
      </c>
      <c r="L1521" s="28" t="n">
        <v>60</v>
      </c>
      <c r="M1521" s="28" t="n">
        <v>17</v>
      </c>
    </row>
    <row r="1522" customFormat="false" ht="15" hidden="false" customHeight="false" outlineLevel="0" collapsed="false">
      <c r="A1522" s="27" t="n">
        <v>44671</v>
      </c>
      <c r="B1522" s="28" t="n">
        <v>2022</v>
      </c>
      <c r="C1522" s="28" t="s">
        <v>288</v>
      </c>
      <c r="D1522" s="28" t="s">
        <v>45</v>
      </c>
      <c r="E1522" s="28" t="s">
        <v>222</v>
      </c>
      <c r="F1522" s="28" t="s">
        <v>283</v>
      </c>
      <c r="G1522" s="28" t="s">
        <v>148</v>
      </c>
      <c r="H1522" s="28" t="s">
        <v>306</v>
      </c>
      <c r="I1522" s="29" t="n">
        <v>350000</v>
      </c>
      <c r="J1522" s="29" t="n">
        <v>262500</v>
      </c>
      <c r="K1522" s="28" t="n">
        <v>5</v>
      </c>
      <c r="L1522" s="28" t="n">
        <v>120</v>
      </c>
      <c r="M1522" s="28" t="n">
        <v>22</v>
      </c>
    </row>
    <row r="1523" customFormat="false" ht="15" hidden="false" customHeight="false" outlineLevel="0" collapsed="false">
      <c r="A1523" s="27" t="n">
        <v>44672</v>
      </c>
      <c r="B1523" s="28" t="n">
        <v>2022</v>
      </c>
      <c r="C1523" s="28" t="s">
        <v>163</v>
      </c>
      <c r="D1523" s="28" t="s">
        <v>49</v>
      </c>
      <c r="E1523" s="28" t="s">
        <v>809</v>
      </c>
      <c r="F1523" s="28" t="s">
        <v>142</v>
      </c>
      <c r="G1523" s="28" t="s">
        <v>152</v>
      </c>
      <c r="H1523" s="28" t="s">
        <v>501</v>
      </c>
      <c r="I1523" s="29" t="n">
        <v>2310000</v>
      </c>
      <c r="J1523" s="29" t="n">
        <v>1732500</v>
      </c>
      <c r="K1523" s="28" t="n">
        <v>6.25</v>
      </c>
      <c r="L1523" s="28" t="n">
        <v>120</v>
      </c>
      <c r="M1523" s="28" t="n">
        <v>27</v>
      </c>
    </row>
    <row r="1524" customFormat="false" ht="15" hidden="false" customHeight="false" outlineLevel="0" collapsed="false">
      <c r="A1524" s="27" t="n">
        <v>44672</v>
      </c>
      <c r="B1524" s="28" t="n">
        <v>2022</v>
      </c>
      <c r="C1524" s="28" t="s">
        <v>140</v>
      </c>
      <c r="D1524" s="28" t="s">
        <v>51</v>
      </c>
      <c r="E1524" s="28" t="s">
        <v>800</v>
      </c>
      <c r="F1524" s="28" t="s">
        <v>142</v>
      </c>
      <c r="G1524" s="28" t="s">
        <v>143</v>
      </c>
      <c r="H1524" s="28" t="s">
        <v>179</v>
      </c>
      <c r="I1524" s="29" t="n">
        <v>220500</v>
      </c>
      <c r="J1524" s="29" t="n">
        <v>165375</v>
      </c>
      <c r="K1524" s="28" t="n">
        <v>6.25</v>
      </c>
      <c r="L1524" s="28" t="n">
        <v>240</v>
      </c>
      <c r="M1524" s="28" t="n">
        <v>20</v>
      </c>
    </row>
    <row r="1525" customFormat="false" ht="15" hidden="false" customHeight="false" outlineLevel="0" collapsed="false">
      <c r="A1525" s="27" t="n">
        <v>44672</v>
      </c>
      <c r="B1525" s="28" t="n">
        <v>2022</v>
      </c>
      <c r="C1525" s="28" t="s">
        <v>140</v>
      </c>
      <c r="D1525" s="28" t="s">
        <v>44</v>
      </c>
      <c r="E1525" s="28" t="s">
        <v>810</v>
      </c>
      <c r="F1525" s="28" t="s">
        <v>142</v>
      </c>
      <c r="G1525" s="28" t="s">
        <v>441</v>
      </c>
      <c r="H1525" s="28" t="s">
        <v>200</v>
      </c>
      <c r="I1525" s="29" t="n">
        <v>515000</v>
      </c>
      <c r="J1525" s="29" t="n">
        <v>386250</v>
      </c>
      <c r="K1525" s="28" t="n">
        <v>6.25</v>
      </c>
      <c r="L1525" s="28" t="n">
        <v>282</v>
      </c>
      <c r="M1525" s="28" t="n">
        <v>2</v>
      </c>
    </row>
    <row r="1526" customFormat="false" ht="15" hidden="false" customHeight="false" outlineLevel="0" collapsed="false">
      <c r="A1526" s="27" t="n">
        <v>44672</v>
      </c>
      <c r="B1526" s="28" t="n">
        <v>2022</v>
      </c>
      <c r="C1526" s="28" t="s">
        <v>328</v>
      </c>
      <c r="D1526" s="28" t="s">
        <v>43</v>
      </c>
      <c r="E1526" s="28" t="s">
        <v>811</v>
      </c>
      <c r="F1526" s="28" t="s">
        <v>142</v>
      </c>
      <c r="G1526" s="28" t="s">
        <v>152</v>
      </c>
      <c r="H1526" s="28" t="s">
        <v>144</v>
      </c>
      <c r="I1526" s="29" t="n">
        <v>5000000</v>
      </c>
      <c r="J1526" s="29" t="n">
        <v>3750000</v>
      </c>
      <c r="K1526" s="28" t="n">
        <v>5.75</v>
      </c>
      <c r="L1526" s="28" t="n">
        <v>300</v>
      </c>
      <c r="M1526" s="28" t="n">
        <v>73</v>
      </c>
    </row>
    <row r="1527" customFormat="false" ht="15" hidden="false" customHeight="false" outlineLevel="0" collapsed="false">
      <c r="A1527" s="27" t="n">
        <v>44673</v>
      </c>
      <c r="B1527" s="28" t="n">
        <v>2022</v>
      </c>
      <c r="C1527" s="28" t="s">
        <v>160</v>
      </c>
      <c r="D1527" s="28" t="s">
        <v>50</v>
      </c>
      <c r="E1527" s="28" t="s">
        <v>812</v>
      </c>
      <c r="F1527" s="28" t="s">
        <v>142</v>
      </c>
      <c r="G1527" s="28" t="s">
        <v>441</v>
      </c>
      <c r="H1527" s="28" t="s">
        <v>221</v>
      </c>
      <c r="I1527" s="29" t="n">
        <v>270000</v>
      </c>
      <c r="J1527" s="29" t="n">
        <v>202500</v>
      </c>
      <c r="K1527" s="28" t="n">
        <v>6.25</v>
      </c>
      <c r="L1527" s="28" t="n">
        <v>120</v>
      </c>
      <c r="M1527" s="28" t="n">
        <v>5</v>
      </c>
    </row>
    <row r="1528" customFormat="false" ht="15" hidden="false" customHeight="false" outlineLevel="0" collapsed="false">
      <c r="A1528" s="27" t="n">
        <v>44673</v>
      </c>
      <c r="B1528" s="28" t="n">
        <v>2022</v>
      </c>
      <c r="C1528" s="28" t="s">
        <v>310</v>
      </c>
      <c r="D1528" s="28" t="s">
        <v>45</v>
      </c>
      <c r="E1528" s="28" t="s">
        <v>293</v>
      </c>
      <c r="F1528" s="28" t="s">
        <v>142</v>
      </c>
      <c r="G1528" s="28" t="s">
        <v>148</v>
      </c>
      <c r="H1528" s="28" t="s">
        <v>306</v>
      </c>
      <c r="I1528" s="29" t="n">
        <v>225000</v>
      </c>
      <c r="J1528" s="29" t="n">
        <v>168750</v>
      </c>
      <c r="K1528" s="28" t="n">
        <v>4.75</v>
      </c>
      <c r="L1528" s="28" t="n">
        <v>84</v>
      </c>
      <c r="M1528" s="28" t="n">
        <v>2</v>
      </c>
    </row>
    <row r="1529" customFormat="false" ht="15" hidden="false" customHeight="false" outlineLevel="0" collapsed="false">
      <c r="A1529" s="27" t="n">
        <v>44673</v>
      </c>
      <c r="B1529" s="28" t="n">
        <v>2022</v>
      </c>
      <c r="C1529" s="28" t="s">
        <v>310</v>
      </c>
      <c r="D1529" s="28" t="s">
        <v>45</v>
      </c>
      <c r="E1529" s="28" t="s">
        <v>293</v>
      </c>
      <c r="F1529" s="28" t="s">
        <v>283</v>
      </c>
      <c r="G1529" s="28" t="s">
        <v>148</v>
      </c>
      <c r="H1529" s="28" t="s">
        <v>306</v>
      </c>
      <c r="I1529" s="29" t="n">
        <v>100000</v>
      </c>
      <c r="J1529" s="29" t="n">
        <v>85000</v>
      </c>
      <c r="K1529" s="28" t="n">
        <v>4.75</v>
      </c>
      <c r="L1529" s="28" t="n">
        <v>120</v>
      </c>
      <c r="M1529" s="28" t="n">
        <v>2</v>
      </c>
    </row>
    <row r="1530" customFormat="false" ht="15" hidden="false" customHeight="false" outlineLevel="0" collapsed="false">
      <c r="A1530" s="27" t="n">
        <v>44673</v>
      </c>
      <c r="B1530" s="28" t="n">
        <v>2022</v>
      </c>
      <c r="C1530" s="28" t="s">
        <v>163</v>
      </c>
      <c r="D1530" s="28" t="s">
        <v>46</v>
      </c>
      <c r="E1530" s="28" t="s">
        <v>813</v>
      </c>
      <c r="F1530" s="28" t="s">
        <v>142</v>
      </c>
      <c r="G1530" s="28" t="s">
        <v>143</v>
      </c>
      <c r="H1530" s="28" t="s">
        <v>287</v>
      </c>
      <c r="I1530" s="29" t="n">
        <v>150000</v>
      </c>
      <c r="J1530" s="29" t="n">
        <v>127500</v>
      </c>
      <c r="K1530" s="28" t="n">
        <v>6.25</v>
      </c>
      <c r="L1530" s="28" t="n">
        <v>120</v>
      </c>
      <c r="M1530" s="28" t="n">
        <v>5</v>
      </c>
    </row>
    <row r="1531" customFormat="false" ht="15" hidden="false" customHeight="false" outlineLevel="0" collapsed="false">
      <c r="A1531" s="27" t="n">
        <v>44673</v>
      </c>
      <c r="B1531" s="28" t="n">
        <v>2022</v>
      </c>
      <c r="C1531" s="28" t="s">
        <v>203</v>
      </c>
      <c r="D1531" s="28" t="s">
        <v>53</v>
      </c>
      <c r="E1531" s="28" t="s">
        <v>814</v>
      </c>
      <c r="F1531" s="28" t="s">
        <v>147</v>
      </c>
      <c r="G1531" s="28" t="s">
        <v>441</v>
      </c>
      <c r="H1531" s="28" t="s">
        <v>168</v>
      </c>
      <c r="I1531" s="29" t="n">
        <v>15000</v>
      </c>
      <c r="J1531" s="29" t="n">
        <v>7500</v>
      </c>
      <c r="K1531" s="28" t="n">
        <v>9</v>
      </c>
      <c r="L1531" s="28" t="n">
        <v>120</v>
      </c>
      <c r="M1531" s="28" t="n">
        <v>0</v>
      </c>
    </row>
    <row r="1532" customFormat="false" ht="15" hidden="false" customHeight="false" outlineLevel="0" collapsed="false">
      <c r="A1532" s="27" t="n">
        <v>44676</v>
      </c>
      <c r="B1532" s="28" t="n">
        <v>2022</v>
      </c>
      <c r="C1532" s="28" t="s">
        <v>328</v>
      </c>
      <c r="D1532" s="28" t="s">
        <v>50</v>
      </c>
      <c r="E1532" s="28" t="s">
        <v>193</v>
      </c>
      <c r="F1532" s="28" t="s">
        <v>142</v>
      </c>
      <c r="G1532" s="28" t="s">
        <v>148</v>
      </c>
      <c r="H1532" s="28" t="s">
        <v>211</v>
      </c>
      <c r="I1532" s="29" t="n">
        <v>135000</v>
      </c>
      <c r="J1532" s="29" t="n">
        <v>114750</v>
      </c>
      <c r="K1532" s="28" t="n">
        <v>6.25</v>
      </c>
      <c r="L1532" s="28" t="n">
        <v>120</v>
      </c>
      <c r="M1532" s="28" t="n">
        <v>2</v>
      </c>
    </row>
    <row r="1533" customFormat="false" ht="15" hidden="false" customHeight="false" outlineLevel="0" collapsed="false">
      <c r="A1533" s="27" t="n">
        <v>44676</v>
      </c>
      <c r="B1533" s="28" t="n">
        <v>2022</v>
      </c>
      <c r="C1533" s="28" t="s">
        <v>163</v>
      </c>
      <c r="D1533" s="28" t="s">
        <v>49</v>
      </c>
      <c r="E1533" s="28" t="s">
        <v>809</v>
      </c>
      <c r="F1533" s="28" t="s">
        <v>283</v>
      </c>
      <c r="G1533" s="28" t="s">
        <v>148</v>
      </c>
      <c r="H1533" s="28" t="s">
        <v>501</v>
      </c>
      <c r="I1533" s="29" t="n">
        <v>500000</v>
      </c>
      <c r="J1533" s="29" t="n">
        <v>375000</v>
      </c>
      <c r="K1533" s="28" t="n">
        <v>6.25</v>
      </c>
      <c r="L1533" s="28" t="n">
        <v>120</v>
      </c>
      <c r="M1533" s="28" t="n">
        <v>27</v>
      </c>
    </row>
    <row r="1534" customFormat="false" ht="15" hidden="false" customHeight="false" outlineLevel="0" collapsed="false">
      <c r="A1534" s="27" t="n">
        <v>44676</v>
      </c>
      <c r="B1534" s="28" t="n">
        <v>2022</v>
      </c>
      <c r="C1534" s="28" t="s">
        <v>140</v>
      </c>
      <c r="D1534" s="28" t="s">
        <v>50</v>
      </c>
      <c r="E1534" s="28" t="s">
        <v>193</v>
      </c>
      <c r="F1534" s="28" t="s">
        <v>142</v>
      </c>
      <c r="G1534" s="28" t="s">
        <v>148</v>
      </c>
      <c r="H1534" s="28" t="s">
        <v>211</v>
      </c>
      <c r="I1534" s="29" t="n">
        <v>350000</v>
      </c>
      <c r="J1534" s="29" t="n">
        <v>262500</v>
      </c>
      <c r="K1534" s="28" t="n">
        <v>6.25</v>
      </c>
      <c r="L1534" s="28" t="n">
        <v>120</v>
      </c>
      <c r="M1534" s="28" t="n">
        <v>2</v>
      </c>
    </row>
    <row r="1535" customFormat="false" ht="15" hidden="false" customHeight="false" outlineLevel="0" collapsed="false">
      <c r="A1535" s="27" t="n">
        <v>44676</v>
      </c>
      <c r="B1535" s="28" t="n">
        <v>2022</v>
      </c>
      <c r="C1535" s="28" t="s">
        <v>484</v>
      </c>
      <c r="D1535" s="28" t="s">
        <v>48</v>
      </c>
      <c r="E1535" s="28" t="s">
        <v>815</v>
      </c>
      <c r="F1535" s="28" t="s">
        <v>142</v>
      </c>
      <c r="G1535" s="28" t="s">
        <v>148</v>
      </c>
      <c r="H1535" s="28" t="s">
        <v>255</v>
      </c>
      <c r="I1535" s="29" t="n">
        <v>515000</v>
      </c>
      <c r="J1535" s="29" t="n">
        <v>386250</v>
      </c>
      <c r="K1535" s="28" t="n">
        <v>6.25</v>
      </c>
      <c r="L1535" s="28" t="n">
        <v>120</v>
      </c>
      <c r="M1535" s="28" t="n">
        <v>8</v>
      </c>
    </row>
    <row r="1536" customFormat="false" ht="15" hidden="false" customHeight="false" outlineLevel="0" collapsed="false">
      <c r="A1536" s="27" t="n">
        <v>44677</v>
      </c>
      <c r="B1536" s="28" t="n">
        <v>2022</v>
      </c>
      <c r="C1536" s="28" t="s">
        <v>198</v>
      </c>
      <c r="D1536" s="28" t="s">
        <v>49</v>
      </c>
      <c r="E1536" s="28" t="s">
        <v>778</v>
      </c>
      <c r="F1536" s="28" t="s">
        <v>142</v>
      </c>
      <c r="G1536" s="28" t="s">
        <v>441</v>
      </c>
      <c r="H1536" s="28" t="s">
        <v>275</v>
      </c>
      <c r="I1536" s="29" t="n">
        <v>15000</v>
      </c>
      <c r="J1536" s="29" t="n">
        <v>12750</v>
      </c>
      <c r="K1536" s="28" t="n">
        <v>8.25</v>
      </c>
      <c r="L1536" s="28" t="n">
        <v>75</v>
      </c>
      <c r="M1536" s="28" t="n">
        <v>1</v>
      </c>
    </row>
    <row r="1537" customFormat="false" ht="15" hidden="false" customHeight="false" outlineLevel="0" collapsed="false">
      <c r="A1537" s="27" t="n">
        <v>44677</v>
      </c>
      <c r="B1537" s="28" t="n">
        <v>2022</v>
      </c>
      <c r="C1537" s="28" t="s">
        <v>169</v>
      </c>
      <c r="D1537" s="28" t="s">
        <v>48</v>
      </c>
      <c r="E1537" s="28" t="s">
        <v>767</v>
      </c>
      <c r="F1537" s="28" t="s">
        <v>142</v>
      </c>
      <c r="G1537" s="28" t="s">
        <v>148</v>
      </c>
      <c r="H1537" s="28" t="s">
        <v>211</v>
      </c>
      <c r="I1537" s="29" t="n">
        <v>350000</v>
      </c>
      <c r="J1537" s="29" t="n">
        <v>262500</v>
      </c>
      <c r="K1537" s="28" t="n">
        <v>6.25</v>
      </c>
      <c r="L1537" s="28" t="n">
        <v>120</v>
      </c>
      <c r="M1537" s="28" t="n">
        <v>7</v>
      </c>
    </row>
    <row r="1538" customFormat="false" ht="15" hidden="false" customHeight="false" outlineLevel="0" collapsed="false">
      <c r="A1538" s="27" t="n">
        <v>44678</v>
      </c>
      <c r="B1538" s="28" t="n">
        <v>2022</v>
      </c>
      <c r="C1538" s="28" t="s">
        <v>196</v>
      </c>
      <c r="D1538" s="28" t="s">
        <v>46</v>
      </c>
      <c r="E1538" s="28" t="s">
        <v>746</v>
      </c>
      <c r="F1538" s="28" t="s">
        <v>142</v>
      </c>
      <c r="G1538" s="28" t="s">
        <v>148</v>
      </c>
      <c r="H1538" s="28" t="s">
        <v>592</v>
      </c>
      <c r="I1538" s="29" t="n">
        <v>400000</v>
      </c>
      <c r="J1538" s="29" t="n">
        <v>300000</v>
      </c>
      <c r="K1538" s="28" t="n">
        <v>4</v>
      </c>
      <c r="L1538" s="28" t="n">
        <v>300</v>
      </c>
      <c r="M1538" s="28" t="n">
        <v>3</v>
      </c>
    </row>
    <row r="1539" customFormat="false" ht="15" hidden="false" customHeight="false" outlineLevel="0" collapsed="false">
      <c r="A1539" s="27" t="n">
        <v>44678</v>
      </c>
      <c r="B1539" s="28" t="n">
        <v>2022</v>
      </c>
      <c r="C1539" s="28" t="s">
        <v>172</v>
      </c>
      <c r="D1539" s="28" t="s">
        <v>43</v>
      </c>
      <c r="E1539" s="28" t="s">
        <v>816</v>
      </c>
      <c r="F1539" s="28" t="s">
        <v>142</v>
      </c>
      <c r="G1539" s="28" t="s">
        <v>152</v>
      </c>
      <c r="H1539" s="28" t="s">
        <v>658</v>
      </c>
      <c r="I1539" s="29" t="n">
        <v>4470000</v>
      </c>
      <c r="J1539" s="29" t="n">
        <v>3352500</v>
      </c>
      <c r="K1539" s="28" t="n">
        <v>6.25</v>
      </c>
      <c r="L1539" s="28" t="n">
        <v>98</v>
      </c>
      <c r="M1539" s="28" t="n">
        <v>40</v>
      </c>
    </row>
    <row r="1540" customFormat="false" ht="15" hidden="false" customHeight="false" outlineLevel="0" collapsed="false">
      <c r="A1540" s="27" t="n">
        <v>44678</v>
      </c>
      <c r="B1540" s="28" t="n">
        <v>2022</v>
      </c>
      <c r="C1540" s="28" t="s">
        <v>332</v>
      </c>
      <c r="D1540" s="28" t="s">
        <v>48</v>
      </c>
      <c r="E1540" s="28" t="s">
        <v>762</v>
      </c>
      <c r="F1540" s="28" t="s">
        <v>147</v>
      </c>
      <c r="G1540" s="28" t="s">
        <v>143</v>
      </c>
      <c r="H1540" s="28" t="s">
        <v>495</v>
      </c>
      <c r="I1540" s="29" t="n">
        <v>75000</v>
      </c>
      <c r="J1540" s="29" t="n">
        <v>37500</v>
      </c>
      <c r="K1540" s="28" t="n">
        <v>6</v>
      </c>
      <c r="L1540" s="28" t="n">
        <v>120</v>
      </c>
      <c r="M1540" s="28" t="n">
        <v>16</v>
      </c>
    </row>
    <row r="1541" customFormat="false" ht="15" hidden="false" customHeight="false" outlineLevel="0" collapsed="false">
      <c r="A1541" s="27" t="n">
        <v>44678</v>
      </c>
      <c r="B1541" s="28" t="n">
        <v>2022</v>
      </c>
      <c r="C1541" s="28" t="s">
        <v>328</v>
      </c>
      <c r="D1541" s="28" t="s">
        <v>42</v>
      </c>
      <c r="E1541" s="28" t="s">
        <v>717</v>
      </c>
      <c r="F1541" s="28" t="s">
        <v>194</v>
      </c>
      <c r="G1541" s="28" t="s">
        <v>152</v>
      </c>
      <c r="H1541" s="28" t="s">
        <v>735</v>
      </c>
      <c r="I1541" s="29" t="n">
        <v>555000</v>
      </c>
      <c r="J1541" s="29" t="n">
        <v>416250</v>
      </c>
      <c r="K1541" s="28" t="n">
        <v>5.5</v>
      </c>
      <c r="L1541" s="28" t="n">
        <v>300</v>
      </c>
      <c r="M1541" s="28" t="n">
        <v>12</v>
      </c>
    </row>
    <row r="1542" customFormat="false" ht="15" hidden="false" customHeight="false" outlineLevel="0" collapsed="false">
      <c r="A1542" s="27" t="n">
        <v>44679</v>
      </c>
      <c r="B1542" s="28" t="n">
        <v>2022</v>
      </c>
      <c r="C1542" s="28" t="s">
        <v>166</v>
      </c>
      <c r="D1542" s="28" t="s">
        <v>47</v>
      </c>
      <c r="E1542" s="28" t="s">
        <v>817</v>
      </c>
      <c r="F1542" s="28" t="s">
        <v>147</v>
      </c>
      <c r="G1542" s="28" t="s">
        <v>148</v>
      </c>
      <c r="H1542" s="28" t="s">
        <v>248</v>
      </c>
      <c r="I1542" s="29" t="n">
        <v>150000</v>
      </c>
      <c r="J1542" s="29" t="n">
        <v>75000</v>
      </c>
      <c r="K1542" s="28" t="n">
        <v>5.25</v>
      </c>
      <c r="L1542" s="28" t="n">
        <v>84</v>
      </c>
      <c r="M1542" s="28" t="n">
        <v>10</v>
      </c>
    </row>
    <row r="1543" customFormat="false" ht="15" hidden="false" customHeight="false" outlineLevel="0" collapsed="false">
      <c r="A1543" s="27" t="n">
        <v>44679</v>
      </c>
      <c r="B1543" s="28" t="n">
        <v>2022</v>
      </c>
      <c r="C1543" s="28" t="s">
        <v>172</v>
      </c>
      <c r="D1543" s="28" t="s">
        <v>43</v>
      </c>
      <c r="E1543" s="28" t="s">
        <v>581</v>
      </c>
      <c r="F1543" s="28" t="s">
        <v>147</v>
      </c>
      <c r="G1543" s="28" t="s">
        <v>441</v>
      </c>
      <c r="H1543" s="28" t="s">
        <v>168</v>
      </c>
      <c r="I1543" s="29" t="n">
        <v>20000</v>
      </c>
      <c r="J1543" s="29" t="n">
        <v>10000</v>
      </c>
      <c r="K1543" s="28" t="n">
        <v>9.5</v>
      </c>
      <c r="L1543" s="28" t="n">
        <v>120</v>
      </c>
      <c r="M1543" s="28" t="n">
        <v>1</v>
      </c>
    </row>
    <row r="1544" customFormat="false" ht="15" hidden="false" customHeight="false" outlineLevel="0" collapsed="false">
      <c r="A1544" s="27" t="n">
        <v>44679</v>
      </c>
      <c r="B1544" s="28" t="n">
        <v>2022</v>
      </c>
      <c r="C1544" s="28" t="s">
        <v>145</v>
      </c>
      <c r="D1544" s="28" t="s">
        <v>42</v>
      </c>
      <c r="E1544" s="28" t="s">
        <v>717</v>
      </c>
      <c r="F1544" s="28" t="s">
        <v>194</v>
      </c>
      <c r="G1544" s="28" t="s">
        <v>143</v>
      </c>
      <c r="H1544" s="28" t="s">
        <v>605</v>
      </c>
      <c r="I1544" s="29" t="n">
        <v>1935300</v>
      </c>
      <c r="J1544" s="29" t="n">
        <v>1451475</v>
      </c>
      <c r="K1544" s="28" t="n">
        <v>5</v>
      </c>
      <c r="L1544" s="28" t="n">
        <v>210</v>
      </c>
      <c r="M1544" s="28" t="n">
        <v>17</v>
      </c>
    </row>
    <row r="1545" customFormat="false" ht="15" hidden="false" customHeight="false" outlineLevel="0" collapsed="false">
      <c r="A1545" s="27" t="n">
        <v>44679</v>
      </c>
      <c r="B1545" s="28" t="n">
        <v>2022</v>
      </c>
      <c r="C1545" s="28" t="s">
        <v>303</v>
      </c>
      <c r="D1545" s="28" t="s">
        <v>52</v>
      </c>
      <c r="E1545" s="28" t="s">
        <v>250</v>
      </c>
      <c r="F1545" s="28" t="s">
        <v>194</v>
      </c>
      <c r="G1545" s="28" t="s">
        <v>143</v>
      </c>
      <c r="H1545" s="28" t="s">
        <v>818</v>
      </c>
      <c r="I1545" s="29" t="n">
        <v>1323000</v>
      </c>
      <c r="J1545" s="29" t="n">
        <v>992250</v>
      </c>
      <c r="K1545" s="28" t="n">
        <v>6</v>
      </c>
      <c r="L1545" s="28" t="n">
        <v>300</v>
      </c>
      <c r="M1545" s="28" t="n">
        <v>20</v>
      </c>
    </row>
    <row r="1546" customFormat="false" ht="15" hidden="false" customHeight="false" outlineLevel="0" collapsed="false">
      <c r="A1546" s="27" t="n">
        <v>44680</v>
      </c>
      <c r="B1546" s="28" t="n">
        <v>2022</v>
      </c>
      <c r="C1546" s="28" t="s">
        <v>169</v>
      </c>
      <c r="D1546" s="28" t="s">
        <v>57</v>
      </c>
      <c r="E1546" s="28" t="s">
        <v>721</v>
      </c>
      <c r="F1546" s="28" t="s">
        <v>147</v>
      </c>
      <c r="G1546" s="28" t="s">
        <v>148</v>
      </c>
      <c r="H1546" s="28" t="s">
        <v>159</v>
      </c>
      <c r="I1546" s="29" t="n">
        <v>100000</v>
      </c>
      <c r="J1546" s="29" t="n">
        <v>50000</v>
      </c>
      <c r="K1546" s="28" t="n">
        <v>8</v>
      </c>
      <c r="L1546" s="28" t="n">
        <v>61</v>
      </c>
      <c r="M1546" s="28" t="n">
        <v>7</v>
      </c>
    </row>
    <row r="1547" customFormat="false" ht="15" hidden="false" customHeight="false" outlineLevel="0" collapsed="false">
      <c r="A1547" s="27" t="n">
        <v>44680</v>
      </c>
      <c r="B1547" s="28" t="n">
        <v>2022</v>
      </c>
      <c r="C1547" s="28" t="s">
        <v>288</v>
      </c>
      <c r="D1547" s="28" t="s">
        <v>42</v>
      </c>
      <c r="E1547" s="28" t="s">
        <v>705</v>
      </c>
      <c r="F1547" s="28" t="s">
        <v>142</v>
      </c>
      <c r="G1547" s="28" t="s">
        <v>152</v>
      </c>
      <c r="H1547" s="28" t="s">
        <v>326</v>
      </c>
      <c r="I1547" s="29" t="n">
        <v>1255000</v>
      </c>
      <c r="J1547" s="29" t="n">
        <v>941250</v>
      </c>
      <c r="K1547" s="28" t="n">
        <v>5.25</v>
      </c>
      <c r="L1547" s="28" t="n">
        <v>300</v>
      </c>
      <c r="M1547" s="28" t="n">
        <v>1</v>
      </c>
    </row>
    <row r="1548" customFormat="false" ht="15" hidden="false" customHeight="false" outlineLevel="0" collapsed="false">
      <c r="A1548" s="27" t="n">
        <v>44680</v>
      </c>
      <c r="B1548" s="28" t="n">
        <v>2022</v>
      </c>
      <c r="C1548" s="28" t="s">
        <v>310</v>
      </c>
      <c r="D1548" s="28" t="s">
        <v>52</v>
      </c>
      <c r="E1548" s="28" t="s">
        <v>715</v>
      </c>
      <c r="F1548" s="28" t="s">
        <v>142</v>
      </c>
      <c r="G1548" s="28" t="s">
        <v>441</v>
      </c>
      <c r="H1548" s="28" t="s">
        <v>306</v>
      </c>
      <c r="I1548" s="29" t="n">
        <v>69600</v>
      </c>
      <c r="J1548" s="29" t="n">
        <v>59160</v>
      </c>
      <c r="K1548" s="28" t="n">
        <v>4.25</v>
      </c>
      <c r="L1548" s="28" t="n">
        <v>78</v>
      </c>
      <c r="M1548" s="28" t="n">
        <v>1</v>
      </c>
    </row>
    <row r="1549" customFormat="false" ht="15" hidden="false" customHeight="false" outlineLevel="0" collapsed="false">
      <c r="A1549" s="27" t="n">
        <v>44683</v>
      </c>
      <c r="B1549" s="28" t="n">
        <v>2022</v>
      </c>
      <c r="C1549" s="28" t="s">
        <v>163</v>
      </c>
      <c r="D1549" s="28" t="s">
        <v>43</v>
      </c>
      <c r="E1549" s="28" t="s">
        <v>788</v>
      </c>
      <c r="F1549" s="28" t="s">
        <v>142</v>
      </c>
      <c r="G1549" s="28" t="s">
        <v>148</v>
      </c>
      <c r="H1549" s="28" t="s">
        <v>819</v>
      </c>
      <c r="I1549" s="29" t="n">
        <v>4324000</v>
      </c>
      <c r="J1549" s="29" t="n">
        <v>3243000</v>
      </c>
      <c r="K1549" s="28" t="n">
        <v>4.5</v>
      </c>
      <c r="L1549" s="28" t="n">
        <v>300</v>
      </c>
      <c r="M1549" s="28" t="n">
        <v>84</v>
      </c>
    </row>
    <row r="1550" customFormat="false" ht="15" hidden="false" customHeight="false" outlineLevel="0" collapsed="false">
      <c r="A1550" s="27" t="n">
        <v>44683</v>
      </c>
      <c r="B1550" s="28" t="n">
        <v>2022</v>
      </c>
      <c r="C1550" s="28" t="s">
        <v>172</v>
      </c>
      <c r="D1550" s="28" t="s">
        <v>48</v>
      </c>
      <c r="E1550" s="28" t="s">
        <v>765</v>
      </c>
      <c r="F1550" s="28" t="s">
        <v>147</v>
      </c>
      <c r="G1550" s="28" t="s">
        <v>148</v>
      </c>
      <c r="H1550" s="28" t="s">
        <v>205</v>
      </c>
      <c r="I1550" s="29" t="n">
        <v>90000</v>
      </c>
      <c r="J1550" s="29" t="n">
        <v>45000</v>
      </c>
      <c r="K1550" s="28" t="n">
        <v>7.3</v>
      </c>
      <c r="L1550" s="28" t="n">
        <v>120</v>
      </c>
      <c r="M1550" s="28" t="n">
        <v>8</v>
      </c>
    </row>
    <row r="1551" customFormat="false" ht="15" hidden="false" customHeight="false" outlineLevel="0" collapsed="false">
      <c r="A1551" s="27" t="n">
        <v>44683</v>
      </c>
      <c r="B1551" s="28" t="n">
        <v>2022</v>
      </c>
      <c r="C1551" s="28" t="s">
        <v>172</v>
      </c>
      <c r="D1551" s="28" t="s">
        <v>42</v>
      </c>
      <c r="E1551" s="28" t="s">
        <v>180</v>
      </c>
      <c r="F1551" s="28" t="s">
        <v>147</v>
      </c>
      <c r="G1551" s="28" t="s">
        <v>143</v>
      </c>
      <c r="H1551" s="28" t="s">
        <v>438</v>
      </c>
      <c r="I1551" s="29" t="n">
        <v>130000</v>
      </c>
      <c r="J1551" s="29" t="n">
        <v>65000</v>
      </c>
      <c r="K1551" s="28" t="n">
        <v>6</v>
      </c>
      <c r="L1551" s="28" t="n">
        <v>120</v>
      </c>
      <c r="M1551" s="28" t="n">
        <v>15</v>
      </c>
    </row>
    <row r="1552" customFormat="false" ht="15" hidden="false" customHeight="false" outlineLevel="0" collapsed="false">
      <c r="A1552" s="27" t="n">
        <v>44683</v>
      </c>
      <c r="B1552" s="28" t="n">
        <v>2022</v>
      </c>
      <c r="C1552" s="28" t="s">
        <v>201</v>
      </c>
      <c r="D1552" s="28" t="s">
        <v>52</v>
      </c>
      <c r="E1552" s="28" t="s">
        <v>715</v>
      </c>
      <c r="F1552" s="28" t="s">
        <v>142</v>
      </c>
      <c r="G1552" s="28" t="s">
        <v>148</v>
      </c>
      <c r="H1552" s="28" t="s">
        <v>171</v>
      </c>
      <c r="I1552" s="29" t="n">
        <v>75000</v>
      </c>
      <c r="J1552" s="29" t="n">
        <v>63750</v>
      </c>
      <c r="K1552" s="28" t="n">
        <v>6.25</v>
      </c>
      <c r="L1552" s="28" t="n">
        <v>120</v>
      </c>
      <c r="M1552" s="28" t="n">
        <v>6</v>
      </c>
    </row>
    <row r="1553" customFormat="false" ht="15" hidden="false" customHeight="false" outlineLevel="0" collapsed="false">
      <c r="A1553" s="27" t="n">
        <v>44683</v>
      </c>
      <c r="B1553" s="28" t="n">
        <v>2022</v>
      </c>
      <c r="C1553" s="28" t="s">
        <v>172</v>
      </c>
      <c r="D1553" s="28" t="s">
        <v>46</v>
      </c>
      <c r="E1553" s="28" t="s">
        <v>727</v>
      </c>
      <c r="F1553" s="28" t="s">
        <v>142</v>
      </c>
      <c r="G1553" s="28" t="s">
        <v>143</v>
      </c>
      <c r="H1553" s="28" t="s">
        <v>382</v>
      </c>
      <c r="I1553" s="29" t="n">
        <v>520000</v>
      </c>
      <c r="J1553" s="29" t="n">
        <v>390000</v>
      </c>
      <c r="K1553" s="28" t="n">
        <v>5.75</v>
      </c>
      <c r="L1553" s="28" t="n">
        <v>124</v>
      </c>
      <c r="M1553" s="28" t="n">
        <v>30</v>
      </c>
    </row>
    <row r="1554" customFormat="false" ht="15" hidden="false" customHeight="false" outlineLevel="0" collapsed="false">
      <c r="A1554" s="27" t="n">
        <v>44683</v>
      </c>
      <c r="B1554" s="28" t="n">
        <v>2022</v>
      </c>
      <c r="C1554" s="28" t="s">
        <v>332</v>
      </c>
      <c r="D1554" s="28" t="s">
        <v>51</v>
      </c>
      <c r="E1554" s="28" t="s">
        <v>651</v>
      </c>
      <c r="F1554" s="28" t="s">
        <v>142</v>
      </c>
      <c r="G1554" s="28" t="s">
        <v>143</v>
      </c>
      <c r="H1554" s="28" t="s">
        <v>208</v>
      </c>
      <c r="I1554" s="29" t="n">
        <v>400000</v>
      </c>
      <c r="J1554" s="29" t="n">
        <v>300000</v>
      </c>
      <c r="K1554" s="28" t="n">
        <v>5.75</v>
      </c>
      <c r="L1554" s="28" t="n">
        <v>129</v>
      </c>
      <c r="M1554" s="28" t="n">
        <v>16</v>
      </c>
    </row>
    <row r="1555" customFormat="false" ht="15" hidden="false" customHeight="false" outlineLevel="0" collapsed="false">
      <c r="A1555" s="27" t="n">
        <v>44684</v>
      </c>
      <c r="B1555" s="28" t="n">
        <v>2022</v>
      </c>
      <c r="C1555" s="28" t="s">
        <v>160</v>
      </c>
      <c r="D1555" s="28" t="s">
        <v>44</v>
      </c>
      <c r="E1555" s="28" t="s">
        <v>730</v>
      </c>
      <c r="F1555" s="28" t="s">
        <v>142</v>
      </c>
      <c r="G1555" s="28" t="s">
        <v>143</v>
      </c>
      <c r="H1555" s="28" t="s">
        <v>325</v>
      </c>
      <c r="I1555" s="29" t="n">
        <v>3075000</v>
      </c>
      <c r="J1555" s="29" t="n">
        <v>2306250</v>
      </c>
      <c r="K1555" s="28" t="n">
        <v>1.5</v>
      </c>
      <c r="L1555" s="28" t="n">
        <v>120</v>
      </c>
      <c r="M1555" s="28" t="n">
        <v>25</v>
      </c>
    </row>
    <row r="1556" customFormat="false" ht="15" hidden="false" customHeight="false" outlineLevel="0" collapsed="false">
      <c r="A1556" s="27" t="n">
        <v>44684</v>
      </c>
      <c r="B1556" s="28" t="n">
        <v>2022</v>
      </c>
      <c r="C1556" s="28" t="s">
        <v>160</v>
      </c>
      <c r="D1556" s="28" t="s">
        <v>44</v>
      </c>
      <c r="E1556" s="28" t="s">
        <v>730</v>
      </c>
      <c r="F1556" s="28" t="s">
        <v>147</v>
      </c>
      <c r="G1556" s="28" t="s">
        <v>143</v>
      </c>
      <c r="H1556" s="28" t="s">
        <v>325</v>
      </c>
      <c r="I1556" s="29" t="n">
        <v>100000</v>
      </c>
      <c r="J1556" s="29" t="n">
        <v>50000</v>
      </c>
      <c r="K1556" s="28" t="n">
        <v>1.25</v>
      </c>
      <c r="L1556" s="28" t="n">
        <v>120</v>
      </c>
      <c r="M1556" s="28" t="n">
        <v>25</v>
      </c>
    </row>
    <row r="1557" customFormat="false" ht="15" hidden="false" customHeight="false" outlineLevel="0" collapsed="false">
      <c r="A1557" s="27" t="n">
        <v>44684</v>
      </c>
      <c r="B1557" s="28" t="n">
        <v>2022</v>
      </c>
      <c r="C1557" s="28" t="s">
        <v>160</v>
      </c>
      <c r="D1557" s="28" t="s">
        <v>52</v>
      </c>
      <c r="E1557" s="28" t="s">
        <v>599</v>
      </c>
      <c r="F1557" s="28" t="s">
        <v>142</v>
      </c>
      <c r="G1557" s="28" t="s">
        <v>441</v>
      </c>
      <c r="H1557" s="28" t="s">
        <v>211</v>
      </c>
      <c r="I1557" s="29" t="n">
        <v>800000</v>
      </c>
      <c r="J1557" s="29" t="n">
        <v>600000</v>
      </c>
      <c r="K1557" s="28" t="n">
        <v>6</v>
      </c>
      <c r="L1557" s="28" t="n">
        <v>120</v>
      </c>
      <c r="M1557" s="28" t="n">
        <v>33</v>
      </c>
    </row>
    <row r="1558" customFormat="false" ht="15" hidden="false" customHeight="false" outlineLevel="0" collapsed="false">
      <c r="A1558" s="27" t="n">
        <v>44684</v>
      </c>
      <c r="B1558" s="28" t="n">
        <v>2022</v>
      </c>
      <c r="C1558" s="28" t="s">
        <v>213</v>
      </c>
      <c r="D1558" s="28" t="s">
        <v>43</v>
      </c>
      <c r="E1558" s="28" t="s">
        <v>789</v>
      </c>
      <c r="F1558" s="28" t="s">
        <v>283</v>
      </c>
      <c r="G1558" s="28" t="s">
        <v>143</v>
      </c>
      <c r="H1558" s="28" t="s">
        <v>306</v>
      </c>
      <c r="I1558" s="29" t="n">
        <v>35000</v>
      </c>
      <c r="J1558" s="29" t="n">
        <v>29750</v>
      </c>
      <c r="K1558" s="28" t="n">
        <v>5</v>
      </c>
      <c r="L1558" s="28" t="n">
        <v>120</v>
      </c>
      <c r="M1558" s="28" t="n">
        <v>6</v>
      </c>
    </row>
    <row r="1559" customFormat="false" ht="15" hidden="false" customHeight="false" outlineLevel="0" collapsed="false">
      <c r="A1559" s="27" t="n">
        <v>44685</v>
      </c>
      <c r="B1559" s="28" t="n">
        <v>2022</v>
      </c>
      <c r="C1559" s="28" t="s">
        <v>332</v>
      </c>
      <c r="D1559" s="28" t="s">
        <v>48</v>
      </c>
      <c r="E1559" s="28" t="s">
        <v>762</v>
      </c>
      <c r="F1559" s="28" t="s">
        <v>194</v>
      </c>
      <c r="G1559" s="28" t="s">
        <v>143</v>
      </c>
      <c r="H1559" s="28" t="s">
        <v>495</v>
      </c>
      <c r="I1559" s="29" t="n">
        <v>737500</v>
      </c>
      <c r="J1559" s="29" t="n">
        <v>553125</v>
      </c>
      <c r="K1559" s="28" t="n">
        <v>6</v>
      </c>
      <c r="L1559" s="28" t="n">
        <v>120</v>
      </c>
      <c r="M1559" s="28" t="n">
        <v>17</v>
      </c>
    </row>
    <row r="1560" customFormat="false" ht="15" hidden="false" customHeight="false" outlineLevel="0" collapsed="false">
      <c r="A1560" s="27" t="n">
        <v>44685</v>
      </c>
      <c r="B1560" s="28" t="n">
        <v>2022</v>
      </c>
      <c r="C1560" s="28" t="s">
        <v>166</v>
      </c>
      <c r="D1560" s="28" t="s">
        <v>50</v>
      </c>
      <c r="E1560" s="28" t="s">
        <v>389</v>
      </c>
      <c r="F1560" s="28" t="s">
        <v>142</v>
      </c>
      <c r="G1560" s="28" t="s">
        <v>148</v>
      </c>
      <c r="H1560" s="28" t="s">
        <v>144</v>
      </c>
      <c r="I1560" s="29" t="n">
        <v>600000</v>
      </c>
      <c r="J1560" s="29" t="n">
        <v>450000</v>
      </c>
      <c r="K1560" s="28" t="n">
        <v>6.25</v>
      </c>
      <c r="L1560" s="28" t="n">
        <v>120</v>
      </c>
      <c r="M1560" s="28" t="n">
        <v>3</v>
      </c>
    </row>
    <row r="1561" customFormat="false" ht="15" hidden="false" customHeight="false" outlineLevel="0" collapsed="false">
      <c r="A1561" s="27" t="n">
        <v>44685</v>
      </c>
      <c r="B1561" s="28" t="n">
        <v>2022</v>
      </c>
      <c r="C1561" s="28" t="s">
        <v>175</v>
      </c>
      <c r="D1561" s="28" t="s">
        <v>45</v>
      </c>
      <c r="E1561" s="28" t="s">
        <v>708</v>
      </c>
      <c r="F1561" s="28" t="s">
        <v>147</v>
      </c>
      <c r="G1561" s="28" t="s">
        <v>148</v>
      </c>
      <c r="H1561" s="28" t="s">
        <v>205</v>
      </c>
      <c r="I1561" s="29" t="n">
        <v>50000</v>
      </c>
      <c r="J1561" s="29" t="n">
        <v>25000</v>
      </c>
      <c r="K1561" s="28" t="n">
        <v>8</v>
      </c>
      <c r="L1561" s="28" t="n">
        <v>120</v>
      </c>
      <c r="M1561" s="28" t="n">
        <v>60</v>
      </c>
    </row>
    <row r="1562" customFormat="false" ht="15" hidden="false" customHeight="false" outlineLevel="0" collapsed="false">
      <c r="A1562" s="27" t="n">
        <v>44685</v>
      </c>
      <c r="B1562" s="28" t="n">
        <v>2022</v>
      </c>
      <c r="C1562" s="28" t="s">
        <v>332</v>
      </c>
      <c r="D1562" s="28" t="s">
        <v>46</v>
      </c>
      <c r="E1562" s="28" t="s">
        <v>820</v>
      </c>
      <c r="F1562" s="28" t="s">
        <v>194</v>
      </c>
      <c r="G1562" s="28" t="s">
        <v>143</v>
      </c>
      <c r="H1562" s="28" t="s">
        <v>382</v>
      </c>
      <c r="I1562" s="29" t="n">
        <v>307100</v>
      </c>
      <c r="J1562" s="29" t="n">
        <v>230325</v>
      </c>
      <c r="K1562" s="28" t="n">
        <v>6.25</v>
      </c>
      <c r="L1562" s="28" t="n">
        <v>120</v>
      </c>
      <c r="M1562" s="28" t="n">
        <v>14</v>
      </c>
    </row>
    <row r="1563" customFormat="false" ht="15" hidden="false" customHeight="false" outlineLevel="0" collapsed="false">
      <c r="A1563" s="27" t="n">
        <v>44686</v>
      </c>
      <c r="B1563" s="28" t="n">
        <v>2022</v>
      </c>
      <c r="C1563" s="28" t="s">
        <v>201</v>
      </c>
      <c r="D1563" s="28" t="s">
        <v>55</v>
      </c>
      <c r="E1563" s="28" t="s">
        <v>821</v>
      </c>
      <c r="F1563" s="28" t="s">
        <v>147</v>
      </c>
      <c r="G1563" s="28" t="s">
        <v>441</v>
      </c>
      <c r="H1563" s="28" t="s">
        <v>168</v>
      </c>
      <c r="I1563" s="29" t="n">
        <v>10000</v>
      </c>
      <c r="J1563" s="29" t="n">
        <v>5000</v>
      </c>
      <c r="K1563" s="28" t="n">
        <v>10</v>
      </c>
      <c r="L1563" s="28" t="n">
        <v>120</v>
      </c>
      <c r="M1563" s="28" t="n">
        <v>0</v>
      </c>
    </row>
    <row r="1564" customFormat="false" ht="15" hidden="false" customHeight="false" outlineLevel="0" collapsed="false">
      <c r="A1564" s="27" t="n">
        <v>44687</v>
      </c>
      <c r="B1564" s="28" t="n">
        <v>2022</v>
      </c>
      <c r="C1564" s="28" t="s">
        <v>500</v>
      </c>
      <c r="D1564" s="28" t="s">
        <v>47</v>
      </c>
      <c r="E1564" s="28" t="s">
        <v>822</v>
      </c>
      <c r="F1564" s="28" t="s">
        <v>142</v>
      </c>
      <c r="G1564" s="28" t="s">
        <v>148</v>
      </c>
      <c r="H1564" s="28" t="s">
        <v>619</v>
      </c>
      <c r="I1564" s="29" t="n">
        <v>1092900</v>
      </c>
      <c r="J1564" s="29" t="n">
        <v>819675</v>
      </c>
      <c r="K1564" s="28" t="n">
        <v>5.5</v>
      </c>
      <c r="L1564" s="28" t="n">
        <v>300</v>
      </c>
      <c r="M1564" s="28" t="n">
        <v>7</v>
      </c>
    </row>
    <row r="1565" customFormat="false" ht="15" hidden="false" customHeight="false" outlineLevel="0" collapsed="false">
      <c r="A1565" s="27" t="n">
        <v>44687</v>
      </c>
      <c r="B1565" s="28" t="n">
        <v>2022</v>
      </c>
      <c r="C1565" s="28" t="s">
        <v>172</v>
      </c>
      <c r="D1565" s="28" t="s">
        <v>46</v>
      </c>
      <c r="E1565" s="28" t="s">
        <v>813</v>
      </c>
      <c r="F1565" s="28" t="s">
        <v>142</v>
      </c>
      <c r="G1565" s="28" t="s">
        <v>441</v>
      </c>
      <c r="H1565" s="28" t="s">
        <v>285</v>
      </c>
      <c r="I1565" s="29" t="n">
        <v>1100000</v>
      </c>
      <c r="J1565" s="29" t="n">
        <v>825000</v>
      </c>
      <c r="K1565" s="28" t="n">
        <v>5</v>
      </c>
      <c r="L1565" s="28" t="n">
        <v>300</v>
      </c>
      <c r="M1565" s="28" t="n">
        <v>3</v>
      </c>
    </row>
    <row r="1566" customFormat="false" ht="15" hidden="false" customHeight="false" outlineLevel="0" collapsed="false">
      <c r="A1566" s="27" t="n">
        <v>44687</v>
      </c>
      <c r="B1566" s="28" t="n">
        <v>2022</v>
      </c>
      <c r="C1566" s="28" t="s">
        <v>172</v>
      </c>
      <c r="D1566" s="28" t="s">
        <v>44</v>
      </c>
      <c r="E1566" s="28" t="s">
        <v>823</v>
      </c>
      <c r="F1566" s="28" t="s">
        <v>142</v>
      </c>
      <c r="G1566" s="28" t="s">
        <v>143</v>
      </c>
      <c r="H1566" s="28" t="s">
        <v>159</v>
      </c>
      <c r="I1566" s="29" t="n">
        <v>350000</v>
      </c>
      <c r="J1566" s="29" t="n">
        <v>262500</v>
      </c>
      <c r="K1566" s="28" t="n">
        <v>6.25</v>
      </c>
      <c r="L1566" s="28" t="n">
        <v>129</v>
      </c>
      <c r="M1566" s="28" t="n">
        <v>3</v>
      </c>
    </row>
    <row r="1567" customFormat="false" ht="15" hidden="false" customHeight="false" outlineLevel="0" collapsed="false">
      <c r="A1567" s="27" t="n">
        <v>44687</v>
      </c>
      <c r="B1567" s="28" t="n">
        <v>2022</v>
      </c>
      <c r="C1567" s="28" t="s">
        <v>172</v>
      </c>
      <c r="D1567" s="28" t="s">
        <v>44</v>
      </c>
      <c r="E1567" s="28" t="s">
        <v>823</v>
      </c>
      <c r="F1567" s="28" t="s">
        <v>147</v>
      </c>
      <c r="G1567" s="28" t="s">
        <v>143</v>
      </c>
      <c r="H1567" s="28" t="s">
        <v>159</v>
      </c>
      <c r="I1567" s="29" t="n">
        <v>50000</v>
      </c>
      <c r="J1567" s="29" t="n">
        <v>25000</v>
      </c>
      <c r="K1567" s="28" t="n">
        <v>6.5</v>
      </c>
      <c r="L1567" s="28" t="n">
        <v>120</v>
      </c>
      <c r="M1567" s="28" t="n">
        <v>3</v>
      </c>
    </row>
    <row r="1568" customFormat="false" ht="15" hidden="false" customHeight="false" outlineLevel="0" collapsed="false">
      <c r="A1568" s="27" t="n">
        <v>44687</v>
      </c>
      <c r="B1568" s="28" t="n">
        <v>2022</v>
      </c>
      <c r="C1568" s="28" t="s">
        <v>169</v>
      </c>
      <c r="D1568" s="28" t="s">
        <v>42</v>
      </c>
      <c r="E1568" s="28" t="s">
        <v>784</v>
      </c>
      <c r="F1568" s="28" t="s">
        <v>142</v>
      </c>
      <c r="G1568" s="28" t="s">
        <v>143</v>
      </c>
      <c r="H1568" s="28" t="s">
        <v>211</v>
      </c>
      <c r="I1568" s="29" t="n">
        <v>235000</v>
      </c>
      <c r="J1568" s="29" t="n">
        <v>176250</v>
      </c>
      <c r="K1568" s="28" t="n">
        <v>6.25</v>
      </c>
      <c r="L1568" s="28" t="n">
        <v>123</v>
      </c>
      <c r="M1568" s="28" t="n">
        <v>39</v>
      </c>
    </row>
    <row r="1569" customFormat="false" ht="15" hidden="false" customHeight="false" outlineLevel="0" collapsed="false">
      <c r="A1569" s="27" t="n">
        <v>44690</v>
      </c>
      <c r="B1569" s="28" t="n">
        <v>2022</v>
      </c>
      <c r="C1569" s="28" t="s">
        <v>166</v>
      </c>
      <c r="D1569" s="28" t="s">
        <v>48</v>
      </c>
      <c r="E1569" s="28" t="s">
        <v>736</v>
      </c>
      <c r="F1569" s="28" t="s">
        <v>147</v>
      </c>
      <c r="G1569" s="28" t="s">
        <v>148</v>
      </c>
      <c r="H1569" s="28" t="s">
        <v>171</v>
      </c>
      <c r="I1569" s="29" t="n">
        <v>330000</v>
      </c>
      <c r="J1569" s="29" t="n">
        <v>165000</v>
      </c>
      <c r="K1569" s="28" t="n">
        <v>6.25</v>
      </c>
      <c r="L1569" s="28" t="n">
        <v>84</v>
      </c>
      <c r="M1569" s="28" t="n">
        <v>8</v>
      </c>
    </row>
    <row r="1570" customFormat="false" ht="15" hidden="false" customHeight="false" outlineLevel="0" collapsed="false">
      <c r="A1570" s="27" t="n">
        <v>44690</v>
      </c>
      <c r="B1570" s="28" t="n">
        <v>2022</v>
      </c>
      <c r="C1570" s="28" t="s">
        <v>312</v>
      </c>
      <c r="D1570" s="28" t="s">
        <v>48</v>
      </c>
      <c r="E1570" s="28" t="s">
        <v>762</v>
      </c>
      <c r="F1570" s="28" t="s">
        <v>142</v>
      </c>
      <c r="G1570" s="28" t="s">
        <v>143</v>
      </c>
      <c r="H1570" s="28" t="s">
        <v>306</v>
      </c>
      <c r="I1570" s="29" t="n">
        <v>50000</v>
      </c>
      <c r="J1570" s="29" t="n">
        <v>42500</v>
      </c>
      <c r="K1570" s="28" t="n">
        <v>5</v>
      </c>
      <c r="L1570" s="28" t="n">
        <v>60</v>
      </c>
      <c r="M1570" s="28" t="n">
        <v>4</v>
      </c>
    </row>
    <row r="1571" customFormat="false" ht="15" hidden="false" customHeight="false" outlineLevel="0" collapsed="false">
      <c r="A1571" s="27" t="n">
        <v>44692</v>
      </c>
      <c r="B1571" s="28" t="n">
        <v>2022</v>
      </c>
      <c r="C1571" s="28" t="s">
        <v>243</v>
      </c>
      <c r="D1571" s="28" t="s">
        <v>44</v>
      </c>
      <c r="E1571" s="28" t="s">
        <v>783</v>
      </c>
      <c r="F1571" s="28" t="s">
        <v>142</v>
      </c>
      <c r="G1571" s="28" t="s">
        <v>148</v>
      </c>
      <c r="H1571" s="28" t="s">
        <v>275</v>
      </c>
      <c r="I1571" s="29" t="n">
        <v>348500</v>
      </c>
      <c r="J1571" s="29" t="n">
        <v>261375</v>
      </c>
      <c r="K1571" s="28" t="n">
        <v>6.25</v>
      </c>
      <c r="L1571" s="28" t="n">
        <v>120</v>
      </c>
      <c r="M1571" s="28" t="n">
        <v>5</v>
      </c>
    </row>
    <row r="1572" customFormat="false" ht="15" hidden="false" customHeight="false" outlineLevel="0" collapsed="false">
      <c r="A1572" s="27" t="n">
        <v>44692</v>
      </c>
      <c r="B1572" s="28" t="n">
        <v>2022</v>
      </c>
      <c r="C1572" s="28" t="s">
        <v>169</v>
      </c>
      <c r="D1572" s="28" t="s">
        <v>48</v>
      </c>
      <c r="E1572" s="28" t="s">
        <v>736</v>
      </c>
      <c r="F1572" s="28" t="s">
        <v>147</v>
      </c>
      <c r="G1572" s="28" t="s">
        <v>148</v>
      </c>
      <c r="H1572" s="28" t="s">
        <v>159</v>
      </c>
      <c r="I1572" s="29" t="n">
        <v>60000</v>
      </c>
      <c r="J1572" s="29" t="n">
        <v>30000</v>
      </c>
      <c r="K1572" s="28" t="n">
        <v>6.5</v>
      </c>
      <c r="L1572" s="28" t="n">
        <v>120</v>
      </c>
      <c r="M1572" s="28" t="n">
        <v>20</v>
      </c>
    </row>
    <row r="1573" customFormat="false" ht="15" hidden="false" customHeight="false" outlineLevel="0" collapsed="false">
      <c r="A1573" s="27" t="n">
        <v>44692</v>
      </c>
      <c r="B1573" s="28" t="n">
        <v>2022</v>
      </c>
      <c r="C1573" s="28" t="s">
        <v>738</v>
      </c>
      <c r="D1573" s="28" t="s">
        <v>45</v>
      </c>
      <c r="E1573" s="28" t="s">
        <v>708</v>
      </c>
      <c r="F1573" s="28" t="s">
        <v>147</v>
      </c>
      <c r="G1573" s="28" t="s">
        <v>148</v>
      </c>
      <c r="H1573" s="28" t="s">
        <v>159</v>
      </c>
      <c r="I1573" s="29" t="n">
        <v>100000</v>
      </c>
      <c r="J1573" s="29" t="n">
        <v>50000</v>
      </c>
      <c r="K1573" s="28" t="n">
        <v>8</v>
      </c>
      <c r="L1573" s="28" t="n">
        <v>62</v>
      </c>
      <c r="M1573" s="28" t="n">
        <v>6</v>
      </c>
    </row>
    <row r="1574" customFormat="false" ht="15" hidden="false" customHeight="false" outlineLevel="0" collapsed="false">
      <c r="A1574" s="27" t="n">
        <v>44693</v>
      </c>
      <c r="B1574" s="28" t="n">
        <v>2022</v>
      </c>
      <c r="C1574" s="28" t="s">
        <v>172</v>
      </c>
      <c r="D1574" s="28" t="s">
        <v>42</v>
      </c>
      <c r="E1574" s="28" t="s">
        <v>180</v>
      </c>
      <c r="F1574" s="28" t="s">
        <v>142</v>
      </c>
      <c r="G1574" s="28" t="s">
        <v>143</v>
      </c>
      <c r="H1574" s="28" t="s">
        <v>438</v>
      </c>
      <c r="I1574" s="29" t="n">
        <v>130000</v>
      </c>
      <c r="J1574" s="29" t="n">
        <v>97500</v>
      </c>
      <c r="K1574" s="28" t="n">
        <v>6</v>
      </c>
      <c r="L1574" s="28" t="n">
        <v>120</v>
      </c>
      <c r="M1574" s="28" t="n">
        <v>15</v>
      </c>
    </row>
    <row r="1575" customFormat="false" ht="15" hidden="false" customHeight="false" outlineLevel="0" collapsed="false">
      <c r="A1575" s="27" t="n">
        <v>44693</v>
      </c>
      <c r="B1575" s="28" t="n">
        <v>2022</v>
      </c>
      <c r="C1575" s="28" t="s">
        <v>145</v>
      </c>
      <c r="D1575" s="28" t="s">
        <v>48</v>
      </c>
      <c r="E1575" s="28" t="s">
        <v>210</v>
      </c>
      <c r="F1575" s="28" t="s">
        <v>142</v>
      </c>
      <c r="G1575" s="28" t="s">
        <v>148</v>
      </c>
      <c r="H1575" s="28" t="s">
        <v>211</v>
      </c>
      <c r="I1575" s="29" t="n">
        <v>200000</v>
      </c>
      <c r="J1575" s="29" t="n">
        <v>150000</v>
      </c>
      <c r="K1575" s="28" t="n">
        <v>6.25</v>
      </c>
      <c r="L1575" s="28" t="n">
        <v>120</v>
      </c>
      <c r="M1575" s="28" t="n">
        <v>15</v>
      </c>
    </row>
    <row r="1576" customFormat="false" ht="15" hidden="false" customHeight="false" outlineLevel="0" collapsed="false">
      <c r="A1576" s="27" t="n">
        <v>44693</v>
      </c>
      <c r="B1576" s="28" t="n">
        <v>2022</v>
      </c>
      <c r="C1576" s="28" t="s">
        <v>203</v>
      </c>
      <c r="D1576" s="28" t="s">
        <v>46</v>
      </c>
      <c r="E1576" s="28" t="s">
        <v>813</v>
      </c>
      <c r="F1576" s="28" t="s">
        <v>142</v>
      </c>
      <c r="G1576" s="28" t="s">
        <v>143</v>
      </c>
      <c r="H1576" s="28" t="s">
        <v>168</v>
      </c>
      <c r="I1576" s="29" t="n">
        <v>426500</v>
      </c>
      <c r="J1576" s="29" t="n">
        <v>319875</v>
      </c>
      <c r="K1576" s="28" t="n">
        <v>4.95</v>
      </c>
      <c r="L1576" s="28" t="n">
        <v>120</v>
      </c>
      <c r="M1576" s="28" t="n">
        <v>7</v>
      </c>
    </row>
    <row r="1577" customFormat="false" ht="15" hidden="false" customHeight="false" outlineLevel="0" collapsed="false">
      <c r="A1577" s="27" t="n">
        <v>44694</v>
      </c>
      <c r="B1577" s="28" t="n">
        <v>2022</v>
      </c>
      <c r="C1577" s="28" t="s">
        <v>332</v>
      </c>
      <c r="D1577" s="28" t="s">
        <v>44</v>
      </c>
      <c r="E1577" s="28" t="s">
        <v>730</v>
      </c>
      <c r="F1577" s="28" t="s">
        <v>194</v>
      </c>
      <c r="G1577" s="28" t="s">
        <v>148</v>
      </c>
      <c r="H1577" s="28" t="s">
        <v>278</v>
      </c>
      <c r="I1577" s="29" t="n">
        <v>770000</v>
      </c>
      <c r="J1577" s="29" t="n">
        <v>577500</v>
      </c>
      <c r="K1577" s="28" t="n">
        <v>5.5</v>
      </c>
      <c r="L1577" s="28" t="n">
        <v>300</v>
      </c>
      <c r="M1577" s="28" t="n">
        <v>22</v>
      </c>
    </row>
    <row r="1578" customFormat="false" ht="15" hidden="false" customHeight="false" outlineLevel="0" collapsed="false">
      <c r="A1578" s="27" t="n">
        <v>44694</v>
      </c>
      <c r="B1578" s="28" t="n">
        <v>2022</v>
      </c>
      <c r="C1578" s="28" t="s">
        <v>530</v>
      </c>
      <c r="D1578" s="28" t="s">
        <v>53</v>
      </c>
      <c r="E1578" s="28" t="s">
        <v>703</v>
      </c>
      <c r="F1578" s="28" t="s">
        <v>142</v>
      </c>
      <c r="G1578" s="28" t="s">
        <v>152</v>
      </c>
      <c r="H1578" s="28" t="s">
        <v>144</v>
      </c>
      <c r="I1578" s="29" t="n">
        <v>1152000</v>
      </c>
      <c r="J1578" s="29" t="n">
        <v>864000</v>
      </c>
      <c r="K1578" s="28" t="n">
        <v>5</v>
      </c>
      <c r="L1578" s="28" t="n">
        <v>306</v>
      </c>
      <c r="M1578" s="28" t="n">
        <v>3</v>
      </c>
    </row>
    <row r="1579" customFormat="false" ht="15" hidden="false" customHeight="false" outlineLevel="0" collapsed="false">
      <c r="A1579" s="27" t="n">
        <v>44697</v>
      </c>
      <c r="B1579" s="28" t="n">
        <v>2022</v>
      </c>
      <c r="C1579" s="28" t="s">
        <v>423</v>
      </c>
      <c r="D1579" s="28" t="s">
        <v>46</v>
      </c>
      <c r="E1579" s="28" t="s">
        <v>813</v>
      </c>
      <c r="F1579" s="28" t="s">
        <v>142</v>
      </c>
      <c r="G1579" s="28" t="s">
        <v>441</v>
      </c>
      <c r="H1579" s="28" t="s">
        <v>227</v>
      </c>
      <c r="I1579" s="29" t="n">
        <v>826000</v>
      </c>
      <c r="J1579" s="29" t="n">
        <v>619500</v>
      </c>
      <c r="K1579" s="28" t="n">
        <v>6.25</v>
      </c>
      <c r="L1579" s="28" t="n">
        <v>192</v>
      </c>
      <c r="M1579" s="28" t="n">
        <v>7</v>
      </c>
    </row>
    <row r="1580" customFormat="false" ht="15" hidden="false" customHeight="false" outlineLevel="0" collapsed="false">
      <c r="A1580" s="27" t="n">
        <v>44697</v>
      </c>
      <c r="B1580" s="28" t="n">
        <v>2022</v>
      </c>
      <c r="C1580" s="28" t="s">
        <v>243</v>
      </c>
      <c r="D1580" s="28" t="s">
        <v>42</v>
      </c>
      <c r="E1580" s="28" t="s">
        <v>717</v>
      </c>
      <c r="F1580" s="28" t="s">
        <v>142</v>
      </c>
      <c r="G1580" s="28" t="s">
        <v>148</v>
      </c>
      <c r="H1580" s="28" t="s">
        <v>299</v>
      </c>
      <c r="I1580" s="29" t="n">
        <v>661000</v>
      </c>
      <c r="J1580" s="29" t="n">
        <v>495750</v>
      </c>
      <c r="K1580" s="28" t="n">
        <v>6.25</v>
      </c>
      <c r="L1580" s="28" t="n">
        <v>120</v>
      </c>
      <c r="M1580" s="28" t="n">
        <v>22</v>
      </c>
    </row>
    <row r="1581" customFormat="false" ht="15" hidden="false" customHeight="false" outlineLevel="0" collapsed="false">
      <c r="A1581" s="27" t="n">
        <v>44697</v>
      </c>
      <c r="B1581" s="28" t="n">
        <v>2022</v>
      </c>
      <c r="C1581" s="28" t="s">
        <v>235</v>
      </c>
      <c r="D1581" s="28" t="s">
        <v>45</v>
      </c>
      <c r="E1581" s="28" t="s">
        <v>824</v>
      </c>
      <c r="F1581" s="28" t="s">
        <v>142</v>
      </c>
      <c r="G1581" s="28" t="s">
        <v>148</v>
      </c>
      <c r="H1581" s="28" t="s">
        <v>168</v>
      </c>
      <c r="I1581" s="29" t="n">
        <v>216700</v>
      </c>
      <c r="J1581" s="29" t="n">
        <v>162525</v>
      </c>
      <c r="K1581" s="28" t="n">
        <v>5.4</v>
      </c>
      <c r="L1581" s="28" t="n">
        <v>300</v>
      </c>
      <c r="M1581" s="28" t="n">
        <v>13</v>
      </c>
    </row>
    <row r="1582" customFormat="false" ht="15" hidden="false" customHeight="false" outlineLevel="0" collapsed="false">
      <c r="A1582" s="27" t="n">
        <v>44697</v>
      </c>
      <c r="B1582" s="28" t="n">
        <v>2022</v>
      </c>
      <c r="C1582" s="28" t="s">
        <v>166</v>
      </c>
      <c r="D1582" s="28" t="s">
        <v>43</v>
      </c>
      <c r="E1582" s="28" t="s">
        <v>825</v>
      </c>
      <c r="F1582" s="28" t="s">
        <v>142</v>
      </c>
      <c r="G1582" s="28" t="s">
        <v>148</v>
      </c>
      <c r="H1582" s="28" t="s">
        <v>200</v>
      </c>
      <c r="I1582" s="29" t="n">
        <v>350000</v>
      </c>
      <c r="J1582" s="29" t="n">
        <v>262500</v>
      </c>
      <c r="K1582" s="28" t="n">
        <v>6.25</v>
      </c>
      <c r="L1582" s="28" t="n">
        <v>94</v>
      </c>
      <c r="M1582" s="28" t="n">
        <v>9</v>
      </c>
    </row>
    <row r="1583" customFormat="false" ht="15" hidden="false" customHeight="false" outlineLevel="0" collapsed="false">
      <c r="A1583" s="27" t="n">
        <v>44698</v>
      </c>
      <c r="B1583" s="28" t="n">
        <v>2022</v>
      </c>
      <c r="C1583" s="28" t="s">
        <v>145</v>
      </c>
      <c r="D1583" s="28" t="s">
        <v>45</v>
      </c>
      <c r="E1583" s="28" t="s">
        <v>708</v>
      </c>
      <c r="F1583" s="28" t="s">
        <v>147</v>
      </c>
      <c r="G1583" s="28" t="s">
        <v>148</v>
      </c>
      <c r="H1583" s="28" t="s">
        <v>428</v>
      </c>
      <c r="I1583" s="29" t="n">
        <v>200000</v>
      </c>
      <c r="J1583" s="29" t="n">
        <v>100000</v>
      </c>
      <c r="K1583" s="28" t="n">
        <v>5.447</v>
      </c>
      <c r="L1583" s="28" t="n">
        <v>120</v>
      </c>
      <c r="M1583" s="28" t="n">
        <v>12</v>
      </c>
    </row>
    <row r="1584" customFormat="false" ht="15" hidden="false" customHeight="false" outlineLevel="0" collapsed="false">
      <c r="A1584" s="27" t="n">
        <v>44698</v>
      </c>
      <c r="B1584" s="28" t="n">
        <v>2022</v>
      </c>
      <c r="C1584" s="28" t="s">
        <v>203</v>
      </c>
      <c r="D1584" s="28" t="s">
        <v>48</v>
      </c>
      <c r="E1584" s="28" t="s">
        <v>704</v>
      </c>
      <c r="F1584" s="28" t="s">
        <v>142</v>
      </c>
      <c r="G1584" s="28" t="s">
        <v>148</v>
      </c>
      <c r="H1584" s="28" t="s">
        <v>275</v>
      </c>
      <c r="I1584" s="29" t="n">
        <v>63500</v>
      </c>
      <c r="J1584" s="29" t="n">
        <v>53975</v>
      </c>
      <c r="K1584" s="28" t="n">
        <v>6.25</v>
      </c>
      <c r="L1584" s="28" t="n">
        <v>120</v>
      </c>
      <c r="M1584" s="28" t="n">
        <v>1</v>
      </c>
    </row>
    <row r="1585" customFormat="false" ht="15" hidden="false" customHeight="false" outlineLevel="0" collapsed="false">
      <c r="A1585" s="27" t="n">
        <v>44698</v>
      </c>
      <c r="B1585" s="28" t="n">
        <v>2022</v>
      </c>
      <c r="C1585" s="28" t="s">
        <v>140</v>
      </c>
      <c r="D1585" s="28" t="s">
        <v>43</v>
      </c>
      <c r="E1585" s="28" t="s">
        <v>826</v>
      </c>
      <c r="F1585" s="28" t="s">
        <v>147</v>
      </c>
      <c r="G1585" s="28" t="s">
        <v>148</v>
      </c>
      <c r="H1585" s="28" t="s">
        <v>220</v>
      </c>
      <c r="I1585" s="29" t="n">
        <v>195000</v>
      </c>
      <c r="J1585" s="29" t="n">
        <v>97500</v>
      </c>
      <c r="K1585" s="28" t="n">
        <v>7.5</v>
      </c>
      <c r="L1585" s="28" t="n">
        <v>84</v>
      </c>
      <c r="M1585" s="28" t="n">
        <v>3</v>
      </c>
    </row>
    <row r="1586" customFormat="false" ht="15" hidden="false" customHeight="false" outlineLevel="0" collapsed="false">
      <c r="A1586" s="27" t="n">
        <v>44698</v>
      </c>
      <c r="B1586" s="28" t="n">
        <v>2022</v>
      </c>
      <c r="C1586" s="28" t="s">
        <v>169</v>
      </c>
      <c r="D1586" s="28" t="s">
        <v>44</v>
      </c>
      <c r="E1586" s="28" t="s">
        <v>167</v>
      </c>
      <c r="F1586" s="28" t="s">
        <v>142</v>
      </c>
      <c r="G1586" s="28" t="s">
        <v>152</v>
      </c>
      <c r="H1586" s="28" t="s">
        <v>827</v>
      </c>
      <c r="I1586" s="29" t="n">
        <v>833000</v>
      </c>
      <c r="J1586" s="29" t="n">
        <v>624750</v>
      </c>
      <c r="K1586" s="28" t="n">
        <v>5.75</v>
      </c>
      <c r="L1586" s="28" t="n">
        <v>120</v>
      </c>
      <c r="M1586" s="28" t="n">
        <v>65</v>
      </c>
    </row>
    <row r="1587" customFormat="false" ht="15" hidden="false" customHeight="false" outlineLevel="0" collapsed="false">
      <c r="A1587" s="27" t="n">
        <v>44699</v>
      </c>
      <c r="B1587" s="28" t="n">
        <v>2022</v>
      </c>
      <c r="C1587" s="28" t="s">
        <v>303</v>
      </c>
      <c r="D1587" s="28" t="s">
        <v>42</v>
      </c>
      <c r="E1587" s="28" t="s">
        <v>828</v>
      </c>
      <c r="F1587" s="28" t="s">
        <v>142</v>
      </c>
      <c r="G1587" s="28" t="s">
        <v>143</v>
      </c>
      <c r="H1587" s="28" t="s">
        <v>211</v>
      </c>
      <c r="I1587" s="29" t="n">
        <v>1282000</v>
      </c>
      <c r="J1587" s="29" t="n">
        <v>961500</v>
      </c>
      <c r="K1587" s="28" t="n">
        <v>6.25</v>
      </c>
      <c r="L1587" s="28" t="n">
        <v>132</v>
      </c>
      <c r="M1587" s="28" t="n">
        <v>30</v>
      </c>
    </row>
    <row r="1588" customFormat="false" ht="15" hidden="false" customHeight="false" outlineLevel="0" collapsed="false">
      <c r="A1588" s="27" t="n">
        <v>44699</v>
      </c>
      <c r="B1588" s="28" t="n">
        <v>2022</v>
      </c>
      <c r="C1588" s="28" t="s">
        <v>203</v>
      </c>
      <c r="D1588" s="28" t="s">
        <v>42</v>
      </c>
      <c r="E1588" s="28" t="s">
        <v>705</v>
      </c>
      <c r="F1588" s="28" t="s">
        <v>142</v>
      </c>
      <c r="G1588" s="28" t="s">
        <v>152</v>
      </c>
      <c r="H1588" s="28" t="s">
        <v>326</v>
      </c>
      <c r="I1588" s="29" t="n">
        <v>2130000</v>
      </c>
      <c r="J1588" s="29" t="n">
        <v>1597500</v>
      </c>
      <c r="K1588" s="28" t="n">
        <v>5.75</v>
      </c>
      <c r="L1588" s="28" t="n">
        <v>300</v>
      </c>
      <c r="M1588" s="28" t="n">
        <v>4</v>
      </c>
    </row>
    <row r="1589" customFormat="false" ht="15" hidden="false" customHeight="false" outlineLevel="0" collapsed="false">
      <c r="A1589" s="27" t="n">
        <v>44699</v>
      </c>
      <c r="B1589" s="28" t="n">
        <v>2022</v>
      </c>
      <c r="C1589" s="28" t="s">
        <v>421</v>
      </c>
      <c r="D1589" s="28" t="s">
        <v>42</v>
      </c>
      <c r="E1589" s="28" t="s">
        <v>705</v>
      </c>
      <c r="F1589" s="28" t="s">
        <v>142</v>
      </c>
      <c r="G1589" s="28" t="s">
        <v>152</v>
      </c>
      <c r="H1589" s="28" t="s">
        <v>326</v>
      </c>
      <c r="I1589" s="29" t="n">
        <v>3775000</v>
      </c>
      <c r="J1589" s="29" t="n">
        <v>2831250</v>
      </c>
      <c r="K1589" s="28" t="n">
        <v>5.25</v>
      </c>
      <c r="L1589" s="28" t="n">
        <v>300</v>
      </c>
      <c r="M1589" s="28" t="n">
        <v>4</v>
      </c>
    </row>
    <row r="1590" customFormat="false" ht="15" hidden="false" customHeight="false" outlineLevel="0" collapsed="false">
      <c r="A1590" s="27" t="n">
        <v>44700</v>
      </c>
      <c r="B1590" s="28" t="n">
        <v>2022</v>
      </c>
      <c r="C1590" s="28" t="s">
        <v>145</v>
      </c>
      <c r="D1590" s="28" t="s">
        <v>61</v>
      </c>
      <c r="E1590" s="28" t="s">
        <v>829</v>
      </c>
      <c r="F1590" s="28" t="s">
        <v>147</v>
      </c>
      <c r="G1590" s="28" t="s">
        <v>441</v>
      </c>
      <c r="H1590" s="28" t="s">
        <v>159</v>
      </c>
      <c r="I1590" s="29" t="n">
        <v>100000</v>
      </c>
      <c r="J1590" s="29" t="n">
        <v>50000</v>
      </c>
      <c r="K1590" s="28" t="n">
        <v>5.75</v>
      </c>
      <c r="L1590" s="28" t="n">
        <v>60</v>
      </c>
      <c r="M1590" s="28" t="n">
        <v>3</v>
      </c>
    </row>
    <row r="1591" customFormat="false" ht="15" hidden="false" customHeight="false" outlineLevel="0" collapsed="false">
      <c r="A1591" s="27" t="n">
        <v>44700</v>
      </c>
      <c r="B1591" s="28" t="n">
        <v>2022</v>
      </c>
      <c r="C1591" s="28" t="s">
        <v>196</v>
      </c>
      <c r="D1591" s="28" t="s">
        <v>42</v>
      </c>
      <c r="E1591" s="28" t="s">
        <v>717</v>
      </c>
      <c r="F1591" s="28" t="s">
        <v>142</v>
      </c>
      <c r="G1591" s="28" t="s">
        <v>143</v>
      </c>
      <c r="H1591" s="28" t="s">
        <v>171</v>
      </c>
      <c r="I1591" s="29" t="n">
        <v>404000</v>
      </c>
      <c r="J1591" s="29" t="n">
        <v>303000</v>
      </c>
      <c r="K1591" s="28" t="n">
        <v>6.25</v>
      </c>
      <c r="L1591" s="28" t="n">
        <v>120</v>
      </c>
      <c r="M1591" s="28" t="n">
        <v>4</v>
      </c>
    </row>
    <row r="1592" customFormat="false" ht="15" hidden="false" customHeight="false" outlineLevel="0" collapsed="false">
      <c r="A1592" s="27" t="n">
        <v>44700</v>
      </c>
      <c r="B1592" s="28" t="n">
        <v>2022</v>
      </c>
      <c r="C1592" s="28" t="s">
        <v>145</v>
      </c>
      <c r="D1592" s="28" t="s">
        <v>61</v>
      </c>
      <c r="E1592" s="28" t="s">
        <v>829</v>
      </c>
      <c r="F1592" s="28" t="s">
        <v>147</v>
      </c>
      <c r="G1592" s="28" t="s">
        <v>441</v>
      </c>
      <c r="H1592" s="28" t="s">
        <v>159</v>
      </c>
      <c r="I1592" s="29" t="n">
        <v>50000</v>
      </c>
      <c r="J1592" s="29" t="n">
        <v>25000</v>
      </c>
      <c r="K1592" s="28" t="n">
        <v>6.5</v>
      </c>
      <c r="L1592" s="28" t="n">
        <v>112</v>
      </c>
      <c r="M1592" s="28" t="n">
        <v>3</v>
      </c>
    </row>
    <row r="1593" customFormat="false" ht="15" hidden="false" customHeight="false" outlineLevel="0" collapsed="false">
      <c r="A1593" s="27" t="n">
        <v>44701</v>
      </c>
      <c r="B1593" s="28" t="n">
        <v>2022</v>
      </c>
      <c r="C1593" s="28" t="s">
        <v>163</v>
      </c>
      <c r="D1593" s="28" t="s">
        <v>50</v>
      </c>
      <c r="E1593" s="28" t="s">
        <v>785</v>
      </c>
      <c r="F1593" s="28" t="s">
        <v>142</v>
      </c>
      <c r="G1593" s="28" t="s">
        <v>143</v>
      </c>
      <c r="H1593" s="28" t="s">
        <v>287</v>
      </c>
      <c r="I1593" s="29" t="n">
        <v>150000</v>
      </c>
      <c r="J1593" s="29" t="n">
        <v>127500</v>
      </c>
      <c r="K1593" s="28" t="n">
        <v>6.25</v>
      </c>
      <c r="L1593" s="28" t="n">
        <v>120</v>
      </c>
      <c r="M1593" s="28" t="n">
        <v>4</v>
      </c>
    </row>
    <row r="1594" customFormat="false" ht="15" hidden="false" customHeight="false" outlineLevel="0" collapsed="false">
      <c r="A1594" s="27" t="n">
        <v>44701</v>
      </c>
      <c r="B1594" s="28" t="n">
        <v>2022</v>
      </c>
      <c r="C1594" s="28" t="s">
        <v>232</v>
      </c>
      <c r="D1594" s="28" t="s">
        <v>43</v>
      </c>
      <c r="E1594" s="28" t="s">
        <v>830</v>
      </c>
      <c r="F1594" s="28" t="s">
        <v>147</v>
      </c>
      <c r="G1594" s="28" t="s">
        <v>441</v>
      </c>
      <c r="H1594" s="28" t="s">
        <v>482</v>
      </c>
      <c r="I1594" s="29" t="n">
        <v>75000</v>
      </c>
      <c r="J1594" s="29" t="n">
        <v>37500</v>
      </c>
      <c r="K1594" s="28" t="n">
        <v>8.5</v>
      </c>
      <c r="L1594" s="28" t="n">
        <v>96</v>
      </c>
      <c r="M1594" s="28" t="n">
        <v>3</v>
      </c>
    </row>
    <row r="1595" customFormat="false" ht="15" hidden="false" customHeight="false" outlineLevel="0" collapsed="false">
      <c r="A1595" s="27" t="n">
        <v>44701</v>
      </c>
      <c r="B1595" s="28" t="n">
        <v>2022</v>
      </c>
      <c r="C1595" s="28" t="s">
        <v>332</v>
      </c>
      <c r="D1595" s="28" t="s">
        <v>46</v>
      </c>
      <c r="E1595" s="28" t="s">
        <v>702</v>
      </c>
      <c r="F1595" s="28" t="s">
        <v>142</v>
      </c>
      <c r="G1595" s="28" t="s">
        <v>143</v>
      </c>
      <c r="H1595" s="28" t="s">
        <v>179</v>
      </c>
      <c r="I1595" s="29" t="n">
        <v>900000</v>
      </c>
      <c r="J1595" s="29" t="n">
        <v>675000</v>
      </c>
      <c r="K1595" s="28" t="n">
        <v>6.25</v>
      </c>
      <c r="L1595" s="28" t="n">
        <v>300</v>
      </c>
      <c r="M1595" s="28" t="n">
        <v>8</v>
      </c>
    </row>
    <row r="1596" customFormat="false" ht="15" hidden="false" customHeight="false" outlineLevel="0" collapsed="false">
      <c r="A1596" s="27" t="n">
        <v>44701</v>
      </c>
      <c r="B1596" s="28" t="n">
        <v>2022</v>
      </c>
      <c r="C1596" s="28" t="s">
        <v>172</v>
      </c>
      <c r="D1596" s="28" t="s">
        <v>44</v>
      </c>
      <c r="E1596" s="28" t="s">
        <v>729</v>
      </c>
      <c r="F1596" s="28" t="s">
        <v>142</v>
      </c>
      <c r="G1596" s="28" t="s">
        <v>148</v>
      </c>
      <c r="H1596" s="28" t="s">
        <v>168</v>
      </c>
      <c r="I1596" s="29" t="n">
        <v>1511300</v>
      </c>
      <c r="J1596" s="29" t="n">
        <v>1133475</v>
      </c>
      <c r="K1596" s="28" t="n">
        <v>4.95</v>
      </c>
      <c r="L1596" s="28" t="n">
        <v>309</v>
      </c>
      <c r="M1596" s="28" t="n">
        <v>4</v>
      </c>
    </row>
    <row r="1597" customFormat="false" ht="15" hidden="false" customHeight="false" outlineLevel="0" collapsed="false">
      <c r="A1597" s="27" t="n">
        <v>44701</v>
      </c>
      <c r="B1597" s="28" t="n">
        <v>2022</v>
      </c>
      <c r="C1597" s="28" t="s">
        <v>206</v>
      </c>
      <c r="D1597" s="28" t="s">
        <v>44</v>
      </c>
      <c r="E1597" s="28" t="s">
        <v>755</v>
      </c>
      <c r="F1597" s="28" t="s">
        <v>142</v>
      </c>
      <c r="G1597" s="28" t="s">
        <v>143</v>
      </c>
      <c r="H1597" s="28" t="s">
        <v>162</v>
      </c>
      <c r="I1597" s="29" t="n">
        <v>656000</v>
      </c>
      <c r="J1597" s="29" t="n">
        <v>492000</v>
      </c>
      <c r="K1597" s="28" t="n">
        <v>0</v>
      </c>
      <c r="L1597" s="28" t="n">
        <v>300</v>
      </c>
      <c r="M1597" s="28" t="n">
        <v>7</v>
      </c>
    </row>
    <row r="1598" customFormat="false" ht="15" hidden="false" customHeight="false" outlineLevel="0" collapsed="false">
      <c r="A1598" s="27" t="n">
        <v>44701</v>
      </c>
      <c r="B1598" s="28" t="n">
        <v>2022</v>
      </c>
      <c r="C1598" s="28" t="s">
        <v>172</v>
      </c>
      <c r="D1598" s="28" t="s">
        <v>46</v>
      </c>
      <c r="E1598" s="28" t="s">
        <v>807</v>
      </c>
      <c r="F1598" s="28" t="s">
        <v>142</v>
      </c>
      <c r="G1598" s="28" t="s">
        <v>143</v>
      </c>
      <c r="H1598" s="28" t="s">
        <v>831</v>
      </c>
      <c r="I1598" s="29" t="n">
        <v>294800</v>
      </c>
      <c r="J1598" s="29" t="n">
        <v>221100</v>
      </c>
      <c r="K1598" s="28" t="n">
        <v>6</v>
      </c>
      <c r="L1598" s="28" t="n">
        <v>120</v>
      </c>
      <c r="M1598" s="28" t="n">
        <v>3</v>
      </c>
    </row>
    <row r="1599" customFormat="false" ht="15" hidden="false" customHeight="false" outlineLevel="0" collapsed="false">
      <c r="A1599" s="27" t="n">
        <v>44704</v>
      </c>
      <c r="B1599" s="28" t="n">
        <v>2022</v>
      </c>
      <c r="C1599" s="28" t="s">
        <v>368</v>
      </c>
      <c r="D1599" s="28" t="s">
        <v>42</v>
      </c>
      <c r="E1599" s="28" t="s">
        <v>176</v>
      </c>
      <c r="F1599" s="28" t="s">
        <v>147</v>
      </c>
      <c r="G1599" s="28" t="s">
        <v>441</v>
      </c>
      <c r="H1599" s="28" t="s">
        <v>200</v>
      </c>
      <c r="I1599" s="29" t="n">
        <v>11800</v>
      </c>
      <c r="J1599" s="29" t="n">
        <v>5900</v>
      </c>
      <c r="K1599" s="28" t="n">
        <v>10</v>
      </c>
      <c r="L1599" s="28" t="n">
        <v>84</v>
      </c>
      <c r="M1599" s="28" t="n">
        <v>2</v>
      </c>
    </row>
    <row r="1600" customFormat="false" ht="15" hidden="false" customHeight="false" outlineLevel="0" collapsed="false">
      <c r="A1600" s="27" t="n">
        <v>44704</v>
      </c>
      <c r="B1600" s="28" t="n">
        <v>2022</v>
      </c>
      <c r="C1600" s="28" t="s">
        <v>145</v>
      </c>
      <c r="D1600" s="28" t="s">
        <v>52</v>
      </c>
      <c r="E1600" s="28" t="s">
        <v>832</v>
      </c>
      <c r="F1600" s="28" t="s">
        <v>142</v>
      </c>
      <c r="G1600" s="28" t="s">
        <v>148</v>
      </c>
      <c r="H1600" s="28" t="s">
        <v>211</v>
      </c>
      <c r="I1600" s="29" t="n">
        <v>250000</v>
      </c>
      <c r="J1600" s="29" t="n">
        <v>187500</v>
      </c>
      <c r="K1600" s="28" t="n">
        <v>6.25</v>
      </c>
      <c r="L1600" s="28" t="n">
        <v>179</v>
      </c>
      <c r="M1600" s="28" t="n">
        <v>23</v>
      </c>
    </row>
    <row r="1601" customFormat="false" ht="15" hidden="false" customHeight="false" outlineLevel="0" collapsed="false">
      <c r="A1601" s="27" t="n">
        <v>44704</v>
      </c>
      <c r="B1601" s="28" t="n">
        <v>2022</v>
      </c>
      <c r="C1601" s="28" t="s">
        <v>272</v>
      </c>
      <c r="D1601" s="28" t="s">
        <v>43</v>
      </c>
      <c r="E1601" s="28" t="s">
        <v>749</v>
      </c>
      <c r="F1601" s="28" t="s">
        <v>194</v>
      </c>
      <c r="G1601" s="28" t="s">
        <v>152</v>
      </c>
      <c r="H1601" s="28" t="s">
        <v>495</v>
      </c>
      <c r="I1601" s="29" t="n">
        <v>308100</v>
      </c>
      <c r="J1601" s="29" t="n">
        <v>231075</v>
      </c>
      <c r="K1601" s="28" t="n">
        <v>6</v>
      </c>
      <c r="L1601" s="28" t="n">
        <v>120</v>
      </c>
      <c r="M1601" s="28" t="n">
        <v>14</v>
      </c>
    </row>
    <row r="1602" customFormat="false" ht="15" hidden="false" customHeight="false" outlineLevel="0" collapsed="false">
      <c r="A1602" s="27" t="n">
        <v>44704</v>
      </c>
      <c r="B1602" s="28" t="n">
        <v>2022</v>
      </c>
      <c r="C1602" s="28" t="s">
        <v>365</v>
      </c>
      <c r="D1602" s="28" t="s">
        <v>42</v>
      </c>
      <c r="E1602" s="28" t="s">
        <v>753</v>
      </c>
      <c r="F1602" s="28" t="s">
        <v>142</v>
      </c>
      <c r="G1602" s="28" t="s">
        <v>152</v>
      </c>
      <c r="H1602" s="28" t="s">
        <v>144</v>
      </c>
      <c r="I1602" s="29" t="n">
        <v>2232000</v>
      </c>
      <c r="J1602" s="29" t="n">
        <v>1674000</v>
      </c>
      <c r="K1602" s="28" t="n">
        <v>5.2</v>
      </c>
      <c r="L1602" s="28" t="n">
        <v>300</v>
      </c>
      <c r="M1602" s="28" t="n">
        <v>30</v>
      </c>
    </row>
    <row r="1603" customFormat="false" ht="15" hidden="false" customHeight="false" outlineLevel="0" collapsed="false">
      <c r="A1603" s="27" t="n">
        <v>44705</v>
      </c>
      <c r="B1603" s="28" t="n">
        <v>2022</v>
      </c>
      <c r="C1603" s="28" t="s">
        <v>163</v>
      </c>
      <c r="D1603" s="28" t="s">
        <v>54</v>
      </c>
      <c r="E1603" s="28" t="s">
        <v>833</v>
      </c>
      <c r="F1603" s="28" t="s">
        <v>142</v>
      </c>
      <c r="G1603" s="28" t="s">
        <v>152</v>
      </c>
      <c r="H1603" s="28" t="s">
        <v>501</v>
      </c>
      <c r="I1603" s="29" t="n">
        <v>3600000</v>
      </c>
      <c r="J1603" s="29" t="n">
        <v>2700000</v>
      </c>
      <c r="K1603" s="28" t="n">
        <v>6.25</v>
      </c>
      <c r="L1603" s="28" t="n">
        <v>120</v>
      </c>
      <c r="M1603" s="28" t="n">
        <v>5</v>
      </c>
    </row>
    <row r="1604" customFormat="false" ht="15" hidden="false" customHeight="false" outlineLevel="0" collapsed="false">
      <c r="A1604" s="27" t="n">
        <v>44706</v>
      </c>
      <c r="B1604" s="28" t="n">
        <v>2022</v>
      </c>
      <c r="C1604" s="28" t="s">
        <v>169</v>
      </c>
      <c r="D1604" s="28" t="s">
        <v>46</v>
      </c>
      <c r="E1604" s="28" t="s">
        <v>727</v>
      </c>
      <c r="F1604" s="28" t="s">
        <v>142</v>
      </c>
      <c r="G1604" s="28" t="s">
        <v>148</v>
      </c>
      <c r="H1604" s="28" t="s">
        <v>200</v>
      </c>
      <c r="I1604" s="29" t="n">
        <v>150000</v>
      </c>
      <c r="J1604" s="29" t="n">
        <v>127500</v>
      </c>
      <c r="K1604" s="28" t="n">
        <v>6.25</v>
      </c>
      <c r="L1604" s="28" t="n">
        <v>120</v>
      </c>
      <c r="M1604" s="28" t="n">
        <v>2</v>
      </c>
    </row>
    <row r="1605" customFormat="false" ht="15" hidden="false" customHeight="false" outlineLevel="0" collapsed="false">
      <c r="A1605" s="27" t="n">
        <v>44706</v>
      </c>
      <c r="B1605" s="28" t="n">
        <v>2022</v>
      </c>
      <c r="C1605" s="28" t="s">
        <v>265</v>
      </c>
      <c r="D1605" s="28" t="s">
        <v>52</v>
      </c>
      <c r="E1605" s="28" t="s">
        <v>715</v>
      </c>
      <c r="F1605" s="28" t="s">
        <v>147</v>
      </c>
      <c r="G1605" s="28" t="s">
        <v>148</v>
      </c>
      <c r="H1605" s="28" t="s">
        <v>469</v>
      </c>
      <c r="I1605" s="29" t="n">
        <v>100000</v>
      </c>
      <c r="J1605" s="29" t="n">
        <v>50000</v>
      </c>
      <c r="K1605" s="28" t="n">
        <v>5.5</v>
      </c>
      <c r="L1605" s="28" t="n">
        <v>120</v>
      </c>
      <c r="M1605" s="28" t="n">
        <v>2</v>
      </c>
    </row>
    <row r="1606" customFormat="false" ht="15" hidden="false" customHeight="false" outlineLevel="0" collapsed="false">
      <c r="A1606" s="27" t="n">
        <v>44707</v>
      </c>
      <c r="B1606" s="28" t="n">
        <v>2022</v>
      </c>
      <c r="C1606" s="28" t="s">
        <v>203</v>
      </c>
      <c r="D1606" s="28" t="s">
        <v>52</v>
      </c>
      <c r="E1606" s="28" t="s">
        <v>673</v>
      </c>
      <c r="F1606" s="28" t="s">
        <v>147</v>
      </c>
      <c r="G1606" s="28" t="s">
        <v>441</v>
      </c>
      <c r="H1606" s="28" t="s">
        <v>168</v>
      </c>
      <c r="I1606" s="29" t="n">
        <v>15000</v>
      </c>
      <c r="J1606" s="29" t="n">
        <v>7500</v>
      </c>
      <c r="K1606" s="28" t="n">
        <v>8.5</v>
      </c>
      <c r="L1606" s="28" t="n">
        <v>120</v>
      </c>
      <c r="M1606" s="28" t="n">
        <v>0</v>
      </c>
    </row>
    <row r="1607" customFormat="false" ht="15" hidden="false" customHeight="false" outlineLevel="0" collapsed="false">
      <c r="A1607" s="27" t="n">
        <v>44708</v>
      </c>
      <c r="B1607" s="28" t="n">
        <v>2022</v>
      </c>
      <c r="C1607" s="28" t="s">
        <v>353</v>
      </c>
      <c r="D1607" s="28" t="s">
        <v>44</v>
      </c>
      <c r="E1607" s="28" t="s">
        <v>339</v>
      </c>
      <c r="F1607" s="28" t="s">
        <v>142</v>
      </c>
      <c r="G1607" s="28" t="s">
        <v>148</v>
      </c>
      <c r="H1607" s="28" t="s">
        <v>200</v>
      </c>
      <c r="I1607" s="29" t="n">
        <v>175000</v>
      </c>
      <c r="J1607" s="29" t="n">
        <v>131250</v>
      </c>
      <c r="K1607" s="28" t="n">
        <v>6.25</v>
      </c>
      <c r="L1607" s="28" t="n">
        <v>120</v>
      </c>
      <c r="M1607" s="28" t="n">
        <v>2</v>
      </c>
    </row>
    <row r="1608" customFormat="false" ht="15" hidden="false" customHeight="false" outlineLevel="0" collapsed="false">
      <c r="A1608" s="27" t="n">
        <v>44708</v>
      </c>
      <c r="B1608" s="28" t="n">
        <v>2022</v>
      </c>
      <c r="C1608" s="28" t="s">
        <v>169</v>
      </c>
      <c r="D1608" s="28" t="s">
        <v>48</v>
      </c>
      <c r="E1608" s="28" t="s">
        <v>362</v>
      </c>
      <c r="F1608" s="28" t="s">
        <v>142</v>
      </c>
      <c r="G1608" s="28" t="s">
        <v>148</v>
      </c>
      <c r="H1608" s="28" t="s">
        <v>200</v>
      </c>
      <c r="I1608" s="29" t="n">
        <v>100000</v>
      </c>
      <c r="J1608" s="29" t="n">
        <v>85000</v>
      </c>
      <c r="K1608" s="28" t="n">
        <v>6.25</v>
      </c>
      <c r="L1608" s="28" t="n">
        <v>120</v>
      </c>
      <c r="M1608" s="28" t="n">
        <v>2</v>
      </c>
    </row>
    <row r="1609" customFormat="false" ht="15" hidden="false" customHeight="false" outlineLevel="0" collapsed="false">
      <c r="A1609" s="27" t="n">
        <v>44708</v>
      </c>
      <c r="B1609" s="28" t="n">
        <v>2022</v>
      </c>
      <c r="C1609" s="28" t="s">
        <v>169</v>
      </c>
      <c r="D1609" s="28" t="s">
        <v>48</v>
      </c>
      <c r="E1609" s="28" t="s">
        <v>712</v>
      </c>
      <c r="F1609" s="28" t="s">
        <v>142</v>
      </c>
      <c r="G1609" s="28" t="s">
        <v>441</v>
      </c>
      <c r="H1609" s="28" t="s">
        <v>275</v>
      </c>
      <c r="I1609" s="29" t="n">
        <v>20000</v>
      </c>
      <c r="J1609" s="29" t="n">
        <v>17000</v>
      </c>
      <c r="K1609" s="28" t="n">
        <v>8.25</v>
      </c>
      <c r="L1609" s="28" t="n">
        <v>84</v>
      </c>
      <c r="M1609" s="28" t="n">
        <v>1</v>
      </c>
    </row>
    <row r="1610" customFormat="false" ht="15" hidden="false" customHeight="false" outlineLevel="0" collapsed="false">
      <c r="A1610" s="27" t="n">
        <v>44708</v>
      </c>
      <c r="B1610" s="28" t="n">
        <v>2022</v>
      </c>
      <c r="C1610" s="28" t="s">
        <v>216</v>
      </c>
      <c r="D1610" s="28" t="s">
        <v>45</v>
      </c>
      <c r="E1610" s="28" t="s">
        <v>548</v>
      </c>
      <c r="F1610" s="28" t="s">
        <v>142</v>
      </c>
      <c r="G1610" s="28" t="s">
        <v>148</v>
      </c>
      <c r="H1610" s="28" t="s">
        <v>269</v>
      </c>
      <c r="I1610" s="29" t="n">
        <v>30000</v>
      </c>
      <c r="J1610" s="29" t="n">
        <v>25500</v>
      </c>
      <c r="K1610" s="28" t="n">
        <v>7.25</v>
      </c>
      <c r="L1610" s="28" t="n">
        <v>120</v>
      </c>
      <c r="M1610" s="28" t="n">
        <v>12</v>
      </c>
    </row>
    <row r="1611" customFormat="false" ht="15" hidden="false" customHeight="false" outlineLevel="0" collapsed="false">
      <c r="A1611" s="27" t="n">
        <v>44713</v>
      </c>
      <c r="B1611" s="28" t="n">
        <v>2022</v>
      </c>
      <c r="C1611" s="28" t="s">
        <v>172</v>
      </c>
      <c r="D1611" s="28" t="s">
        <v>42</v>
      </c>
      <c r="E1611" s="28" t="s">
        <v>753</v>
      </c>
      <c r="F1611" s="28" t="s">
        <v>147</v>
      </c>
      <c r="G1611" s="28" t="s">
        <v>441</v>
      </c>
      <c r="H1611" s="28" t="s">
        <v>159</v>
      </c>
      <c r="I1611" s="29" t="n">
        <v>150000</v>
      </c>
      <c r="J1611" s="29" t="n">
        <v>75000</v>
      </c>
      <c r="K1611" s="28" t="n">
        <v>6.75</v>
      </c>
      <c r="L1611" s="28" t="n">
        <v>68</v>
      </c>
      <c r="M1611" s="28" t="n">
        <v>12</v>
      </c>
    </row>
    <row r="1612" customFormat="false" ht="15" hidden="false" customHeight="false" outlineLevel="0" collapsed="false">
      <c r="A1612" s="27" t="n">
        <v>44713</v>
      </c>
      <c r="B1612" s="28" t="n">
        <v>2022</v>
      </c>
      <c r="C1612" s="28" t="s">
        <v>172</v>
      </c>
      <c r="D1612" s="28" t="s">
        <v>42</v>
      </c>
      <c r="E1612" s="28" t="s">
        <v>753</v>
      </c>
      <c r="F1612" s="28" t="s">
        <v>147</v>
      </c>
      <c r="G1612" s="28" t="s">
        <v>441</v>
      </c>
      <c r="H1612" s="28" t="s">
        <v>159</v>
      </c>
      <c r="I1612" s="29" t="n">
        <v>10000</v>
      </c>
      <c r="J1612" s="29" t="n">
        <v>5000</v>
      </c>
      <c r="K1612" s="28" t="n">
        <v>7.75</v>
      </c>
      <c r="L1612" s="28" t="n">
        <v>61</v>
      </c>
      <c r="M1612" s="28" t="n">
        <v>12</v>
      </c>
    </row>
    <row r="1613" customFormat="false" ht="15" hidden="false" customHeight="false" outlineLevel="0" collapsed="false">
      <c r="A1613" s="27" t="n">
        <v>44713</v>
      </c>
      <c r="B1613" s="28" t="n">
        <v>2022</v>
      </c>
      <c r="C1613" s="28" t="s">
        <v>172</v>
      </c>
      <c r="D1613" s="28" t="s">
        <v>43</v>
      </c>
      <c r="E1613" s="28" t="s">
        <v>757</v>
      </c>
      <c r="F1613" s="28" t="s">
        <v>147</v>
      </c>
      <c r="G1613" s="28" t="s">
        <v>143</v>
      </c>
      <c r="H1613" s="28" t="s">
        <v>205</v>
      </c>
      <c r="I1613" s="29" t="n">
        <v>25000</v>
      </c>
      <c r="J1613" s="29" t="n">
        <v>12500</v>
      </c>
      <c r="K1613" s="28" t="n">
        <v>10</v>
      </c>
      <c r="L1613" s="28" t="n">
        <v>48</v>
      </c>
      <c r="M1613" s="28" t="n">
        <v>6</v>
      </c>
    </row>
    <row r="1614" customFormat="false" ht="15" hidden="false" customHeight="false" outlineLevel="0" collapsed="false">
      <c r="A1614" s="27" t="n">
        <v>44714</v>
      </c>
      <c r="B1614" s="28" t="n">
        <v>2022</v>
      </c>
      <c r="C1614" s="28" t="s">
        <v>834</v>
      </c>
      <c r="D1614" s="28" t="s">
        <v>44</v>
      </c>
      <c r="E1614" s="28" t="s">
        <v>783</v>
      </c>
      <c r="F1614" s="28" t="s">
        <v>142</v>
      </c>
      <c r="G1614" s="28" t="s">
        <v>441</v>
      </c>
      <c r="H1614" s="28" t="s">
        <v>306</v>
      </c>
      <c r="I1614" s="29" t="n">
        <v>105600</v>
      </c>
      <c r="J1614" s="29" t="n">
        <v>89760</v>
      </c>
      <c r="K1614" s="28" t="n">
        <v>5</v>
      </c>
      <c r="L1614" s="28" t="n">
        <v>240</v>
      </c>
      <c r="M1614" s="28" t="n">
        <v>5</v>
      </c>
    </row>
    <row r="1615" customFormat="false" ht="15" hidden="false" customHeight="false" outlineLevel="0" collapsed="false">
      <c r="A1615" s="27" t="n">
        <v>44714</v>
      </c>
      <c r="B1615" s="28" t="n">
        <v>2022</v>
      </c>
      <c r="C1615" s="28" t="s">
        <v>834</v>
      </c>
      <c r="D1615" s="28" t="s">
        <v>44</v>
      </c>
      <c r="E1615" s="28" t="s">
        <v>783</v>
      </c>
      <c r="F1615" s="28" t="s">
        <v>283</v>
      </c>
      <c r="G1615" s="28" t="s">
        <v>441</v>
      </c>
      <c r="H1615" s="28" t="s">
        <v>306</v>
      </c>
      <c r="I1615" s="29" t="n">
        <v>10000</v>
      </c>
      <c r="J1615" s="29" t="n">
        <v>8500</v>
      </c>
      <c r="K1615" s="28" t="n">
        <v>6</v>
      </c>
      <c r="L1615" s="28" t="n">
        <v>120</v>
      </c>
      <c r="M1615" s="28" t="n">
        <v>5</v>
      </c>
    </row>
    <row r="1616" customFormat="false" ht="15" hidden="false" customHeight="false" outlineLevel="0" collapsed="false">
      <c r="A1616" s="27" t="n">
        <v>44714</v>
      </c>
      <c r="B1616" s="28" t="n">
        <v>2022</v>
      </c>
      <c r="C1616" s="28" t="s">
        <v>216</v>
      </c>
      <c r="D1616" s="28" t="s">
        <v>44</v>
      </c>
      <c r="E1616" s="28" t="s">
        <v>759</v>
      </c>
      <c r="F1616" s="28" t="s">
        <v>142</v>
      </c>
      <c r="G1616" s="28" t="s">
        <v>143</v>
      </c>
      <c r="H1616" s="28" t="s">
        <v>404</v>
      </c>
      <c r="I1616" s="29" t="n">
        <v>1205000</v>
      </c>
      <c r="J1616" s="29" t="n">
        <v>903750</v>
      </c>
      <c r="K1616" s="28" t="n">
        <v>5.5</v>
      </c>
      <c r="L1616" s="28" t="n">
        <v>300</v>
      </c>
      <c r="M1616" s="28" t="n">
        <v>8</v>
      </c>
    </row>
    <row r="1617" customFormat="false" ht="15" hidden="false" customHeight="false" outlineLevel="0" collapsed="false">
      <c r="A1617" s="27" t="n">
        <v>44715</v>
      </c>
      <c r="B1617" s="28" t="n">
        <v>2022</v>
      </c>
      <c r="C1617" s="28" t="s">
        <v>172</v>
      </c>
      <c r="D1617" s="28" t="s">
        <v>43</v>
      </c>
      <c r="E1617" s="28" t="s">
        <v>816</v>
      </c>
      <c r="F1617" s="28" t="s">
        <v>142</v>
      </c>
      <c r="G1617" s="28" t="s">
        <v>148</v>
      </c>
      <c r="H1617" s="28" t="s">
        <v>200</v>
      </c>
      <c r="I1617" s="29" t="n">
        <v>1000000</v>
      </c>
      <c r="J1617" s="29" t="n">
        <v>750000</v>
      </c>
      <c r="K1617" s="28" t="n">
        <v>6.75</v>
      </c>
      <c r="L1617" s="28" t="n">
        <v>120</v>
      </c>
      <c r="M1617" s="28" t="n">
        <v>2</v>
      </c>
    </row>
    <row r="1618" customFormat="false" ht="15" hidden="false" customHeight="false" outlineLevel="0" collapsed="false">
      <c r="A1618" s="27" t="n">
        <v>44715</v>
      </c>
      <c r="B1618" s="28" t="n">
        <v>2022</v>
      </c>
      <c r="C1618" s="28" t="s">
        <v>172</v>
      </c>
      <c r="D1618" s="28" t="s">
        <v>48</v>
      </c>
      <c r="E1618" s="28" t="s">
        <v>765</v>
      </c>
      <c r="F1618" s="28" t="s">
        <v>147</v>
      </c>
      <c r="G1618" s="28" t="s">
        <v>148</v>
      </c>
      <c r="H1618" s="28" t="s">
        <v>205</v>
      </c>
      <c r="I1618" s="29" t="n">
        <v>95000</v>
      </c>
      <c r="J1618" s="29" t="n">
        <v>47500</v>
      </c>
      <c r="K1618" s="28" t="n">
        <v>7.8</v>
      </c>
      <c r="L1618" s="28" t="n">
        <v>120</v>
      </c>
      <c r="M1618" s="28" t="n">
        <v>0</v>
      </c>
    </row>
    <row r="1619" customFormat="false" ht="15" hidden="false" customHeight="false" outlineLevel="0" collapsed="false">
      <c r="A1619" s="27" t="n">
        <v>44718</v>
      </c>
      <c r="B1619" s="28" t="n">
        <v>2022</v>
      </c>
      <c r="C1619" s="28" t="s">
        <v>368</v>
      </c>
      <c r="D1619" s="28" t="s">
        <v>48</v>
      </c>
      <c r="E1619" s="28" t="s">
        <v>594</v>
      </c>
      <c r="F1619" s="28" t="s">
        <v>147</v>
      </c>
      <c r="G1619" s="28" t="s">
        <v>441</v>
      </c>
      <c r="H1619" s="28" t="s">
        <v>168</v>
      </c>
      <c r="I1619" s="29" t="n">
        <v>15000</v>
      </c>
      <c r="J1619" s="29" t="n">
        <v>7500</v>
      </c>
      <c r="K1619" s="28" t="n">
        <v>9.5</v>
      </c>
      <c r="L1619" s="28" t="n">
        <v>120</v>
      </c>
      <c r="M1619" s="28" t="n">
        <v>0</v>
      </c>
    </row>
    <row r="1620" customFormat="false" ht="15" hidden="false" customHeight="false" outlineLevel="0" collapsed="false">
      <c r="A1620" s="27" t="n">
        <v>44718</v>
      </c>
      <c r="B1620" s="28" t="n">
        <v>2022</v>
      </c>
      <c r="C1620" s="28" t="s">
        <v>332</v>
      </c>
      <c r="D1620" s="28" t="s">
        <v>45</v>
      </c>
      <c r="E1620" s="28" t="s">
        <v>835</v>
      </c>
      <c r="F1620" s="28" t="s">
        <v>147</v>
      </c>
      <c r="G1620" s="28" t="s">
        <v>148</v>
      </c>
      <c r="H1620" s="28" t="s">
        <v>159</v>
      </c>
      <c r="I1620" s="29" t="n">
        <v>16000</v>
      </c>
      <c r="J1620" s="29" t="n">
        <v>8000</v>
      </c>
      <c r="K1620" s="28" t="n">
        <v>7</v>
      </c>
      <c r="L1620" s="28" t="n">
        <v>48</v>
      </c>
      <c r="M1620" s="28" t="n">
        <v>0</v>
      </c>
    </row>
    <row r="1621" customFormat="false" ht="15" hidden="false" customHeight="false" outlineLevel="0" collapsed="false">
      <c r="A1621" s="27" t="n">
        <v>44718</v>
      </c>
      <c r="B1621" s="28" t="n">
        <v>2022</v>
      </c>
      <c r="C1621" s="28" t="s">
        <v>627</v>
      </c>
      <c r="D1621" s="28" t="s">
        <v>42</v>
      </c>
      <c r="E1621" s="28" t="s">
        <v>705</v>
      </c>
      <c r="F1621" s="28" t="s">
        <v>142</v>
      </c>
      <c r="G1621" s="28" t="s">
        <v>152</v>
      </c>
      <c r="H1621" s="28" t="s">
        <v>326</v>
      </c>
      <c r="I1621" s="29" t="n">
        <v>1960000</v>
      </c>
      <c r="J1621" s="29" t="n">
        <v>1470000</v>
      </c>
      <c r="K1621" s="28" t="n">
        <v>5.75</v>
      </c>
      <c r="L1621" s="28" t="n">
        <v>300</v>
      </c>
      <c r="M1621" s="28" t="n">
        <v>2</v>
      </c>
    </row>
    <row r="1622" customFormat="false" ht="15" hidden="false" customHeight="false" outlineLevel="0" collapsed="false">
      <c r="A1622" s="27" t="n">
        <v>44718</v>
      </c>
      <c r="B1622" s="28" t="n">
        <v>2022</v>
      </c>
      <c r="C1622" s="28" t="s">
        <v>140</v>
      </c>
      <c r="D1622" s="28" t="s">
        <v>47</v>
      </c>
      <c r="E1622" s="28" t="s">
        <v>817</v>
      </c>
      <c r="F1622" s="28" t="s">
        <v>142</v>
      </c>
      <c r="G1622" s="28" t="s">
        <v>148</v>
      </c>
      <c r="H1622" s="28" t="s">
        <v>382</v>
      </c>
      <c r="I1622" s="29" t="n">
        <v>1556000</v>
      </c>
      <c r="J1622" s="29" t="n">
        <v>1167000</v>
      </c>
      <c r="K1622" s="28" t="n">
        <v>6.5</v>
      </c>
      <c r="L1622" s="28" t="n">
        <v>300</v>
      </c>
      <c r="M1622" s="28" t="n">
        <v>26</v>
      </c>
    </row>
    <row r="1623" customFormat="false" ht="15" hidden="false" customHeight="false" outlineLevel="0" collapsed="false">
      <c r="A1623" s="27" t="n">
        <v>44719</v>
      </c>
      <c r="B1623" s="28" t="n">
        <v>2022</v>
      </c>
      <c r="C1623" s="28" t="s">
        <v>140</v>
      </c>
      <c r="D1623" s="28" t="s">
        <v>49</v>
      </c>
      <c r="E1623" s="28" t="s">
        <v>793</v>
      </c>
      <c r="F1623" s="28" t="s">
        <v>142</v>
      </c>
      <c r="G1623" s="28" t="s">
        <v>152</v>
      </c>
      <c r="H1623" s="28" t="s">
        <v>144</v>
      </c>
      <c r="I1623" s="29" t="n">
        <v>765000</v>
      </c>
      <c r="J1623" s="29" t="n">
        <v>573750</v>
      </c>
      <c r="K1623" s="28" t="n">
        <v>6.25</v>
      </c>
      <c r="L1623" s="28" t="n">
        <v>120</v>
      </c>
      <c r="M1623" s="28" t="n">
        <v>14</v>
      </c>
    </row>
    <row r="1624" customFormat="false" ht="15" hidden="false" customHeight="false" outlineLevel="0" collapsed="false">
      <c r="A1624" s="27" t="n">
        <v>44719</v>
      </c>
      <c r="B1624" s="28" t="n">
        <v>2022</v>
      </c>
      <c r="C1624" s="28" t="s">
        <v>172</v>
      </c>
      <c r="D1624" s="28" t="s">
        <v>47</v>
      </c>
      <c r="E1624" s="28" t="s">
        <v>707</v>
      </c>
      <c r="F1624" s="28" t="s">
        <v>142</v>
      </c>
      <c r="G1624" s="28" t="s">
        <v>148</v>
      </c>
      <c r="H1624" s="28" t="s">
        <v>619</v>
      </c>
      <c r="I1624" s="29" t="n">
        <v>361000</v>
      </c>
      <c r="J1624" s="29" t="n">
        <v>270750</v>
      </c>
      <c r="K1624" s="28" t="n">
        <v>5.75</v>
      </c>
      <c r="L1624" s="28" t="n">
        <v>300</v>
      </c>
      <c r="M1624" s="28" t="n">
        <v>6</v>
      </c>
    </row>
    <row r="1625" customFormat="false" ht="15" hidden="false" customHeight="false" outlineLevel="0" collapsed="false">
      <c r="A1625" s="27" t="n">
        <v>44719</v>
      </c>
      <c r="B1625" s="28" t="n">
        <v>2022</v>
      </c>
      <c r="C1625" s="28" t="s">
        <v>172</v>
      </c>
      <c r="D1625" s="28" t="s">
        <v>44</v>
      </c>
      <c r="E1625" s="28" t="s">
        <v>339</v>
      </c>
      <c r="F1625" s="28" t="s">
        <v>142</v>
      </c>
      <c r="G1625" s="28" t="s">
        <v>441</v>
      </c>
      <c r="H1625" s="28" t="s">
        <v>681</v>
      </c>
      <c r="I1625" s="29" t="n">
        <v>846000</v>
      </c>
      <c r="J1625" s="29" t="n">
        <v>634500</v>
      </c>
      <c r="K1625" s="28" t="n">
        <v>2.25</v>
      </c>
      <c r="L1625" s="28" t="n">
        <v>300</v>
      </c>
      <c r="M1625" s="28" t="n">
        <v>2</v>
      </c>
    </row>
    <row r="1626" customFormat="false" ht="15" hidden="false" customHeight="false" outlineLevel="0" collapsed="false">
      <c r="A1626" s="27" t="n">
        <v>44719</v>
      </c>
      <c r="B1626" s="28" t="n">
        <v>2022</v>
      </c>
      <c r="C1626" s="28" t="s">
        <v>328</v>
      </c>
      <c r="D1626" s="28" t="s">
        <v>42</v>
      </c>
      <c r="E1626" s="28" t="s">
        <v>753</v>
      </c>
      <c r="F1626" s="28" t="s">
        <v>142</v>
      </c>
      <c r="G1626" s="28" t="s">
        <v>148</v>
      </c>
      <c r="H1626" s="28" t="s">
        <v>306</v>
      </c>
      <c r="I1626" s="29" t="n">
        <v>350000</v>
      </c>
      <c r="J1626" s="29" t="n">
        <v>262500</v>
      </c>
      <c r="K1626" s="28" t="n">
        <v>4.75</v>
      </c>
      <c r="L1626" s="28" t="n">
        <v>96</v>
      </c>
      <c r="M1626" s="28" t="n">
        <v>20</v>
      </c>
    </row>
    <row r="1627" customFormat="false" ht="15" hidden="false" customHeight="false" outlineLevel="0" collapsed="false">
      <c r="A1627" s="27" t="n">
        <v>44720</v>
      </c>
      <c r="B1627" s="28" t="n">
        <v>2022</v>
      </c>
      <c r="C1627" s="28" t="s">
        <v>201</v>
      </c>
      <c r="D1627" s="28" t="s">
        <v>45</v>
      </c>
      <c r="E1627" s="28" t="s">
        <v>824</v>
      </c>
      <c r="F1627" s="28" t="s">
        <v>147</v>
      </c>
      <c r="G1627" s="28" t="s">
        <v>143</v>
      </c>
      <c r="H1627" s="28" t="s">
        <v>159</v>
      </c>
      <c r="I1627" s="29" t="n">
        <v>50000</v>
      </c>
      <c r="J1627" s="29" t="n">
        <v>25000</v>
      </c>
      <c r="K1627" s="28" t="n">
        <v>8.5</v>
      </c>
      <c r="L1627" s="28" t="n">
        <v>66</v>
      </c>
      <c r="M1627" s="28" t="n">
        <v>10</v>
      </c>
    </row>
    <row r="1628" customFormat="false" ht="15" hidden="false" customHeight="false" outlineLevel="0" collapsed="false">
      <c r="A1628" s="27" t="n">
        <v>44720</v>
      </c>
      <c r="B1628" s="28" t="n">
        <v>2022</v>
      </c>
      <c r="C1628" s="28" t="s">
        <v>318</v>
      </c>
      <c r="D1628" s="28" t="s">
        <v>50</v>
      </c>
      <c r="E1628" s="28" t="s">
        <v>836</v>
      </c>
      <c r="F1628" s="28" t="s">
        <v>142</v>
      </c>
      <c r="G1628" s="28" t="s">
        <v>152</v>
      </c>
      <c r="H1628" s="28" t="s">
        <v>144</v>
      </c>
      <c r="I1628" s="29" t="n">
        <v>975000</v>
      </c>
      <c r="J1628" s="29" t="n">
        <v>731250</v>
      </c>
      <c r="K1628" s="28" t="n">
        <v>5</v>
      </c>
      <c r="L1628" s="28" t="n">
        <v>120</v>
      </c>
      <c r="M1628" s="28" t="n">
        <v>17</v>
      </c>
    </row>
    <row r="1629" customFormat="false" ht="15" hidden="false" customHeight="false" outlineLevel="0" collapsed="false">
      <c r="A1629" s="27" t="n">
        <v>44720</v>
      </c>
      <c r="B1629" s="28" t="n">
        <v>2022</v>
      </c>
      <c r="C1629" s="28" t="s">
        <v>172</v>
      </c>
      <c r="D1629" s="28" t="s">
        <v>42</v>
      </c>
      <c r="E1629" s="28" t="s">
        <v>717</v>
      </c>
      <c r="F1629" s="28" t="s">
        <v>142</v>
      </c>
      <c r="G1629" s="28" t="s">
        <v>143</v>
      </c>
      <c r="H1629" s="28" t="s">
        <v>382</v>
      </c>
      <c r="I1629" s="29" t="n">
        <v>252500</v>
      </c>
      <c r="J1629" s="29" t="n">
        <v>189375</v>
      </c>
      <c r="K1629" s="28" t="n">
        <v>6.75</v>
      </c>
      <c r="L1629" s="28" t="n">
        <v>111</v>
      </c>
      <c r="M1629" s="28" t="n">
        <v>14</v>
      </c>
    </row>
    <row r="1630" customFormat="false" ht="15" hidden="false" customHeight="false" outlineLevel="0" collapsed="false">
      <c r="A1630" s="27" t="n">
        <v>44720</v>
      </c>
      <c r="B1630" s="28" t="n">
        <v>2022</v>
      </c>
      <c r="C1630" s="28" t="s">
        <v>172</v>
      </c>
      <c r="D1630" s="28" t="s">
        <v>42</v>
      </c>
      <c r="E1630" s="28" t="s">
        <v>717</v>
      </c>
      <c r="F1630" s="28" t="s">
        <v>142</v>
      </c>
      <c r="G1630" s="28" t="s">
        <v>152</v>
      </c>
      <c r="H1630" s="28" t="s">
        <v>215</v>
      </c>
      <c r="I1630" s="29" t="n">
        <v>250000</v>
      </c>
      <c r="J1630" s="29" t="n">
        <v>187500</v>
      </c>
      <c r="K1630" s="28" t="n">
        <v>5.75</v>
      </c>
      <c r="L1630" s="28" t="n">
        <v>98</v>
      </c>
      <c r="M1630" s="28" t="n">
        <v>4</v>
      </c>
    </row>
    <row r="1631" customFormat="false" ht="15" hidden="false" customHeight="false" outlineLevel="0" collapsed="false">
      <c r="A1631" s="27" t="n">
        <v>44720</v>
      </c>
      <c r="B1631" s="28" t="n">
        <v>2022</v>
      </c>
      <c r="C1631" s="28" t="s">
        <v>318</v>
      </c>
      <c r="D1631" s="28" t="s">
        <v>50</v>
      </c>
      <c r="E1631" s="28" t="s">
        <v>836</v>
      </c>
      <c r="F1631" s="28" t="s">
        <v>147</v>
      </c>
      <c r="G1631" s="28" t="s">
        <v>152</v>
      </c>
      <c r="H1631" s="28" t="s">
        <v>144</v>
      </c>
      <c r="I1631" s="29" t="n">
        <v>250000</v>
      </c>
      <c r="J1631" s="29" t="n">
        <v>125000</v>
      </c>
      <c r="K1631" s="28" t="n">
        <v>5.75</v>
      </c>
      <c r="L1631" s="28" t="n">
        <v>120</v>
      </c>
      <c r="M1631" s="28" t="n">
        <v>17</v>
      </c>
    </row>
    <row r="1632" customFormat="false" ht="15" hidden="false" customHeight="false" outlineLevel="0" collapsed="false">
      <c r="A1632" s="27" t="n">
        <v>44720</v>
      </c>
      <c r="B1632" s="28" t="n">
        <v>2022</v>
      </c>
      <c r="C1632" s="28" t="s">
        <v>243</v>
      </c>
      <c r="D1632" s="28" t="s">
        <v>43</v>
      </c>
      <c r="E1632" s="28" t="s">
        <v>837</v>
      </c>
      <c r="F1632" s="28" t="s">
        <v>142</v>
      </c>
      <c r="G1632" s="28" t="s">
        <v>143</v>
      </c>
      <c r="H1632" s="28" t="s">
        <v>287</v>
      </c>
      <c r="I1632" s="29" t="n">
        <v>150000</v>
      </c>
      <c r="J1632" s="29" t="n">
        <v>127500</v>
      </c>
      <c r="K1632" s="28" t="n">
        <v>6.75</v>
      </c>
      <c r="L1632" s="28" t="n">
        <v>120</v>
      </c>
      <c r="M1632" s="28" t="n">
        <v>4</v>
      </c>
    </row>
    <row r="1633" customFormat="false" ht="15" hidden="false" customHeight="false" outlineLevel="0" collapsed="false">
      <c r="A1633" s="27" t="n">
        <v>44720</v>
      </c>
      <c r="B1633" s="28" t="n">
        <v>2022</v>
      </c>
      <c r="C1633" s="28" t="s">
        <v>201</v>
      </c>
      <c r="D1633" s="28" t="s">
        <v>45</v>
      </c>
      <c r="E1633" s="28" t="s">
        <v>824</v>
      </c>
      <c r="F1633" s="28" t="s">
        <v>147</v>
      </c>
      <c r="G1633" s="28" t="s">
        <v>143</v>
      </c>
      <c r="H1633" s="28" t="s">
        <v>159</v>
      </c>
      <c r="I1633" s="29" t="n">
        <v>181000</v>
      </c>
      <c r="J1633" s="29" t="n">
        <v>90500</v>
      </c>
      <c r="K1633" s="28" t="n">
        <v>7.75</v>
      </c>
      <c r="L1633" s="28" t="n">
        <v>60</v>
      </c>
      <c r="M1633" s="28" t="n">
        <v>10</v>
      </c>
    </row>
    <row r="1634" customFormat="false" ht="15" hidden="false" customHeight="false" outlineLevel="0" collapsed="false">
      <c r="A1634" s="27" t="n">
        <v>44721</v>
      </c>
      <c r="B1634" s="28" t="n">
        <v>2022</v>
      </c>
      <c r="C1634" s="28" t="s">
        <v>166</v>
      </c>
      <c r="D1634" s="28" t="s">
        <v>44</v>
      </c>
      <c r="E1634" s="28" t="s">
        <v>755</v>
      </c>
      <c r="F1634" s="28" t="s">
        <v>142</v>
      </c>
      <c r="G1634" s="28" t="s">
        <v>148</v>
      </c>
      <c r="H1634" s="28" t="s">
        <v>215</v>
      </c>
      <c r="I1634" s="29" t="n">
        <v>575000</v>
      </c>
      <c r="J1634" s="29" t="n">
        <v>431250</v>
      </c>
      <c r="K1634" s="28" t="n">
        <v>5</v>
      </c>
      <c r="L1634" s="28" t="n">
        <v>300</v>
      </c>
      <c r="M1634" s="28" t="n">
        <v>4</v>
      </c>
    </row>
    <row r="1635" customFormat="false" ht="15" hidden="false" customHeight="false" outlineLevel="0" collapsed="false">
      <c r="A1635" s="27" t="n">
        <v>44721</v>
      </c>
      <c r="B1635" s="28" t="n">
        <v>2022</v>
      </c>
      <c r="C1635" s="28" t="s">
        <v>312</v>
      </c>
      <c r="D1635" s="28" t="s">
        <v>48</v>
      </c>
      <c r="E1635" s="28" t="s">
        <v>762</v>
      </c>
      <c r="F1635" s="28" t="s">
        <v>283</v>
      </c>
      <c r="G1635" s="28" t="s">
        <v>143</v>
      </c>
      <c r="H1635" s="28" t="s">
        <v>306</v>
      </c>
      <c r="I1635" s="29" t="n">
        <v>100000</v>
      </c>
      <c r="J1635" s="29" t="n">
        <v>85000</v>
      </c>
      <c r="K1635" s="28" t="n">
        <v>5</v>
      </c>
      <c r="L1635" s="28" t="n">
        <v>120</v>
      </c>
      <c r="M1635" s="28" t="n">
        <v>4</v>
      </c>
    </row>
    <row r="1636" customFormat="false" ht="15" hidden="false" customHeight="false" outlineLevel="0" collapsed="false">
      <c r="A1636" s="27" t="n">
        <v>44721</v>
      </c>
      <c r="B1636" s="28" t="n">
        <v>2022</v>
      </c>
      <c r="C1636" s="28" t="s">
        <v>172</v>
      </c>
      <c r="D1636" s="28" t="s">
        <v>44</v>
      </c>
      <c r="E1636" s="28" t="s">
        <v>759</v>
      </c>
      <c r="F1636" s="28" t="s">
        <v>142</v>
      </c>
      <c r="G1636" s="28" t="s">
        <v>148</v>
      </c>
      <c r="H1636" s="28" t="s">
        <v>592</v>
      </c>
      <c r="I1636" s="29" t="n">
        <v>240000</v>
      </c>
      <c r="J1636" s="29" t="n">
        <v>180000</v>
      </c>
      <c r="K1636" s="28" t="n">
        <v>5</v>
      </c>
      <c r="L1636" s="28" t="n">
        <v>300</v>
      </c>
      <c r="M1636" s="28" t="n">
        <v>1</v>
      </c>
    </row>
    <row r="1637" customFormat="false" ht="15" hidden="false" customHeight="false" outlineLevel="0" collapsed="false">
      <c r="A1637" s="27" t="n">
        <v>44722</v>
      </c>
      <c r="B1637" s="28" t="n">
        <v>2022</v>
      </c>
      <c r="C1637" s="28" t="s">
        <v>169</v>
      </c>
      <c r="D1637" s="28" t="s">
        <v>44</v>
      </c>
      <c r="E1637" s="28" t="s">
        <v>730</v>
      </c>
      <c r="F1637" s="28" t="s">
        <v>147</v>
      </c>
      <c r="G1637" s="28" t="s">
        <v>143</v>
      </c>
      <c r="H1637" s="28" t="s">
        <v>159</v>
      </c>
      <c r="I1637" s="29" t="n">
        <v>184000</v>
      </c>
      <c r="J1637" s="29" t="n">
        <v>92000</v>
      </c>
      <c r="K1637" s="28" t="n">
        <v>6.5</v>
      </c>
      <c r="L1637" s="28" t="n">
        <v>84</v>
      </c>
      <c r="M1637" s="28" t="n">
        <v>11</v>
      </c>
    </row>
    <row r="1638" customFormat="false" ht="15" hidden="false" customHeight="false" outlineLevel="0" collapsed="false">
      <c r="A1638" s="27" t="n">
        <v>44722</v>
      </c>
      <c r="B1638" s="28" t="n">
        <v>2022</v>
      </c>
      <c r="C1638" s="28" t="s">
        <v>160</v>
      </c>
      <c r="D1638" s="28" t="s">
        <v>44</v>
      </c>
      <c r="E1638" s="28" t="s">
        <v>783</v>
      </c>
      <c r="F1638" s="28" t="s">
        <v>147</v>
      </c>
      <c r="G1638" s="28" t="s">
        <v>441</v>
      </c>
      <c r="H1638" s="28" t="s">
        <v>168</v>
      </c>
      <c r="I1638" s="29" t="n">
        <v>20000</v>
      </c>
      <c r="J1638" s="29" t="n">
        <v>10000</v>
      </c>
      <c r="K1638" s="28" t="n">
        <v>10.5</v>
      </c>
      <c r="L1638" s="28" t="n">
        <v>120</v>
      </c>
      <c r="M1638" s="28" t="n">
        <v>2</v>
      </c>
    </row>
    <row r="1639" customFormat="false" ht="15" hidden="false" customHeight="false" outlineLevel="0" collapsed="false">
      <c r="A1639" s="27" t="n">
        <v>44725</v>
      </c>
      <c r="B1639" s="28" t="n">
        <v>2022</v>
      </c>
      <c r="C1639" s="28" t="s">
        <v>418</v>
      </c>
      <c r="D1639" s="28" t="s">
        <v>42</v>
      </c>
      <c r="E1639" s="28" t="s">
        <v>717</v>
      </c>
      <c r="F1639" s="28" t="s">
        <v>142</v>
      </c>
      <c r="G1639" s="28" t="s">
        <v>148</v>
      </c>
      <c r="H1639" s="28" t="s">
        <v>306</v>
      </c>
      <c r="I1639" s="29" t="n">
        <v>112000</v>
      </c>
      <c r="J1639" s="29" t="n">
        <v>95200</v>
      </c>
      <c r="K1639" s="28" t="n">
        <v>4.75</v>
      </c>
      <c r="L1639" s="28" t="n">
        <v>300</v>
      </c>
      <c r="M1639" s="28" t="n">
        <v>13</v>
      </c>
    </row>
    <row r="1640" customFormat="false" ht="15" hidden="false" customHeight="false" outlineLevel="0" collapsed="false">
      <c r="A1640" s="27" t="n">
        <v>44725</v>
      </c>
      <c r="B1640" s="28" t="n">
        <v>2022</v>
      </c>
      <c r="C1640" s="28" t="s">
        <v>344</v>
      </c>
      <c r="D1640" s="28" t="s">
        <v>50</v>
      </c>
      <c r="E1640" s="28" t="s">
        <v>193</v>
      </c>
      <c r="F1640" s="28" t="s">
        <v>142</v>
      </c>
      <c r="G1640" s="28" t="s">
        <v>152</v>
      </c>
      <c r="H1640" s="28" t="s">
        <v>494</v>
      </c>
      <c r="I1640" s="29" t="n">
        <v>302400</v>
      </c>
      <c r="J1640" s="29" t="n">
        <v>226800</v>
      </c>
      <c r="K1640" s="28" t="n">
        <v>6.75</v>
      </c>
      <c r="L1640" s="28" t="n">
        <v>120</v>
      </c>
      <c r="M1640" s="28" t="n">
        <v>20</v>
      </c>
    </row>
    <row r="1641" customFormat="false" ht="15" hidden="false" customHeight="false" outlineLevel="0" collapsed="false">
      <c r="A1641" s="27" t="n">
        <v>44725</v>
      </c>
      <c r="B1641" s="28" t="n">
        <v>2022</v>
      </c>
      <c r="C1641" s="28" t="s">
        <v>312</v>
      </c>
      <c r="D1641" s="28" t="s">
        <v>48</v>
      </c>
      <c r="E1641" s="28" t="s">
        <v>762</v>
      </c>
      <c r="F1641" s="28" t="s">
        <v>142</v>
      </c>
      <c r="G1641" s="28" t="s">
        <v>143</v>
      </c>
      <c r="H1641" s="28" t="s">
        <v>306</v>
      </c>
      <c r="I1641" s="29" t="n">
        <v>50000</v>
      </c>
      <c r="J1641" s="29" t="n">
        <v>42500</v>
      </c>
      <c r="K1641" s="28" t="n">
        <v>5</v>
      </c>
      <c r="L1641" s="28" t="n">
        <v>60</v>
      </c>
      <c r="M1641" s="28" t="n">
        <v>4</v>
      </c>
    </row>
    <row r="1642" customFormat="false" ht="15" hidden="false" customHeight="false" outlineLevel="0" collapsed="false">
      <c r="A1642" s="27" t="n">
        <v>44725</v>
      </c>
      <c r="B1642" s="28" t="n">
        <v>2022</v>
      </c>
      <c r="C1642" s="28" t="s">
        <v>172</v>
      </c>
      <c r="D1642" s="28" t="s">
        <v>48</v>
      </c>
      <c r="E1642" s="28" t="s">
        <v>304</v>
      </c>
      <c r="F1642" s="28" t="s">
        <v>142</v>
      </c>
      <c r="G1642" s="28" t="s">
        <v>148</v>
      </c>
      <c r="H1642" s="28" t="s">
        <v>200</v>
      </c>
      <c r="I1642" s="29" t="n">
        <v>94000</v>
      </c>
      <c r="J1642" s="29" t="n">
        <v>79900</v>
      </c>
      <c r="K1642" s="28" t="n">
        <v>6.25</v>
      </c>
      <c r="L1642" s="28" t="n">
        <v>120</v>
      </c>
      <c r="M1642" s="28" t="n">
        <v>2</v>
      </c>
    </row>
    <row r="1643" customFormat="false" ht="15" hidden="false" customHeight="false" outlineLevel="0" collapsed="false">
      <c r="A1643" s="27" t="n">
        <v>44727</v>
      </c>
      <c r="B1643" s="28" t="n">
        <v>2022</v>
      </c>
      <c r="C1643" s="28" t="s">
        <v>467</v>
      </c>
      <c r="D1643" s="28" t="s">
        <v>55</v>
      </c>
      <c r="E1643" s="28" t="s">
        <v>790</v>
      </c>
      <c r="F1643" s="28" t="s">
        <v>147</v>
      </c>
      <c r="G1643" s="28" t="s">
        <v>148</v>
      </c>
      <c r="H1643" s="28" t="s">
        <v>469</v>
      </c>
      <c r="I1643" s="29" t="n">
        <v>30000</v>
      </c>
      <c r="J1643" s="29" t="n">
        <v>15000</v>
      </c>
      <c r="K1643" s="28" t="n">
        <v>6</v>
      </c>
      <c r="L1643" s="28" t="n">
        <v>120</v>
      </c>
      <c r="M1643" s="28" t="n">
        <v>1</v>
      </c>
    </row>
    <row r="1644" customFormat="false" ht="15" hidden="false" customHeight="false" outlineLevel="0" collapsed="false">
      <c r="A1644" s="27" t="n">
        <v>44727</v>
      </c>
      <c r="B1644" s="28" t="n">
        <v>2022</v>
      </c>
      <c r="C1644" s="28" t="s">
        <v>203</v>
      </c>
      <c r="D1644" s="28" t="s">
        <v>52</v>
      </c>
      <c r="E1644" s="28" t="s">
        <v>720</v>
      </c>
      <c r="F1644" s="28" t="s">
        <v>142</v>
      </c>
      <c r="G1644" s="28" t="s">
        <v>148</v>
      </c>
      <c r="H1644" s="28" t="s">
        <v>200</v>
      </c>
      <c r="I1644" s="29" t="n">
        <v>84000</v>
      </c>
      <c r="J1644" s="29" t="n">
        <v>71400</v>
      </c>
      <c r="K1644" s="28" t="n">
        <v>6.75</v>
      </c>
      <c r="L1644" s="28" t="n">
        <v>120</v>
      </c>
      <c r="M1644" s="28" t="n">
        <v>2</v>
      </c>
    </row>
    <row r="1645" customFormat="false" ht="15" hidden="false" customHeight="false" outlineLevel="0" collapsed="false">
      <c r="A1645" s="27" t="n">
        <v>44727</v>
      </c>
      <c r="B1645" s="28" t="n">
        <v>2022</v>
      </c>
      <c r="C1645" s="28" t="s">
        <v>467</v>
      </c>
      <c r="D1645" s="28" t="s">
        <v>55</v>
      </c>
      <c r="E1645" s="28" t="s">
        <v>790</v>
      </c>
      <c r="F1645" s="28" t="s">
        <v>142</v>
      </c>
      <c r="G1645" s="28" t="s">
        <v>148</v>
      </c>
      <c r="H1645" s="28" t="s">
        <v>469</v>
      </c>
      <c r="I1645" s="29" t="n">
        <v>100000</v>
      </c>
      <c r="J1645" s="29" t="n">
        <v>85000</v>
      </c>
      <c r="K1645" s="28" t="n">
        <v>5.75</v>
      </c>
      <c r="L1645" s="28" t="n">
        <v>60</v>
      </c>
      <c r="M1645" s="28" t="n">
        <v>1</v>
      </c>
    </row>
    <row r="1646" customFormat="false" ht="15" hidden="false" customHeight="false" outlineLevel="0" collapsed="false">
      <c r="A1646" s="27" t="n">
        <v>44728</v>
      </c>
      <c r="B1646" s="28" t="n">
        <v>2022</v>
      </c>
      <c r="C1646" s="28" t="s">
        <v>203</v>
      </c>
      <c r="D1646" s="28" t="s">
        <v>43</v>
      </c>
      <c r="E1646" s="28" t="s">
        <v>830</v>
      </c>
      <c r="F1646" s="28" t="s">
        <v>142</v>
      </c>
      <c r="G1646" s="28" t="s">
        <v>148</v>
      </c>
      <c r="H1646" s="28" t="s">
        <v>171</v>
      </c>
      <c r="I1646" s="29" t="n">
        <v>150000</v>
      </c>
      <c r="J1646" s="29" t="n">
        <v>127500</v>
      </c>
      <c r="K1646" s="28" t="n">
        <v>6.75</v>
      </c>
      <c r="L1646" s="28" t="n">
        <v>120</v>
      </c>
      <c r="M1646" s="28" t="n">
        <v>1</v>
      </c>
    </row>
    <row r="1647" customFormat="false" ht="15" hidden="false" customHeight="false" outlineLevel="0" collapsed="false">
      <c r="A1647" s="27" t="n">
        <v>44728</v>
      </c>
      <c r="B1647" s="28" t="n">
        <v>2022</v>
      </c>
      <c r="C1647" s="28" t="s">
        <v>172</v>
      </c>
      <c r="D1647" s="28" t="s">
        <v>53</v>
      </c>
      <c r="E1647" s="28" t="s">
        <v>838</v>
      </c>
      <c r="F1647" s="28" t="s">
        <v>142</v>
      </c>
      <c r="G1647" s="28" t="s">
        <v>143</v>
      </c>
      <c r="H1647" s="28" t="s">
        <v>159</v>
      </c>
      <c r="I1647" s="29" t="n">
        <v>333000</v>
      </c>
      <c r="J1647" s="29" t="n">
        <v>249750</v>
      </c>
      <c r="K1647" s="28" t="n">
        <v>6</v>
      </c>
      <c r="L1647" s="28" t="n">
        <v>300</v>
      </c>
      <c r="M1647" s="28" t="n">
        <v>2</v>
      </c>
    </row>
    <row r="1648" customFormat="false" ht="15" hidden="false" customHeight="false" outlineLevel="0" collapsed="false">
      <c r="A1648" s="27" t="n">
        <v>44728</v>
      </c>
      <c r="B1648" s="28" t="n">
        <v>2022</v>
      </c>
      <c r="C1648" s="28" t="s">
        <v>172</v>
      </c>
      <c r="D1648" s="28" t="s">
        <v>44</v>
      </c>
      <c r="E1648" s="28" t="s">
        <v>839</v>
      </c>
      <c r="F1648" s="28" t="s">
        <v>142</v>
      </c>
      <c r="G1648" s="28" t="s">
        <v>143</v>
      </c>
      <c r="H1648" s="28" t="s">
        <v>159</v>
      </c>
      <c r="I1648" s="29" t="n">
        <v>2406200</v>
      </c>
      <c r="J1648" s="29" t="n">
        <v>1804650</v>
      </c>
      <c r="K1648" s="28" t="n">
        <v>6</v>
      </c>
      <c r="L1648" s="28" t="n">
        <v>120</v>
      </c>
      <c r="M1648" s="28" t="n">
        <v>102</v>
      </c>
    </row>
    <row r="1649" customFormat="false" ht="15" hidden="false" customHeight="false" outlineLevel="0" collapsed="false">
      <c r="A1649" s="27" t="n">
        <v>44728</v>
      </c>
      <c r="B1649" s="28" t="n">
        <v>2022</v>
      </c>
      <c r="C1649" s="28" t="s">
        <v>172</v>
      </c>
      <c r="D1649" s="28" t="s">
        <v>53</v>
      </c>
      <c r="E1649" s="28" t="s">
        <v>838</v>
      </c>
      <c r="F1649" s="28" t="s">
        <v>142</v>
      </c>
      <c r="G1649" s="28" t="s">
        <v>143</v>
      </c>
      <c r="H1649" s="28" t="s">
        <v>159</v>
      </c>
      <c r="I1649" s="29" t="n">
        <v>405000</v>
      </c>
      <c r="J1649" s="29" t="n">
        <v>303750</v>
      </c>
      <c r="K1649" s="28" t="n">
        <v>6</v>
      </c>
      <c r="L1649" s="28" t="n">
        <v>300</v>
      </c>
      <c r="M1649" s="28" t="n">
        <v>2</v>
      </c>
    </row>
    <row r="1650" customFormat="false" ht="15" hidden="false" customHeight="false" outlineLevel="0" collapsed="false">
      <c r="A1650" s="27" t="n">
        <v>44728</v>
      </c>
      <c r="B1650" s="28" t="n">
        <v>2022</v>
      </c>
      <c r="C1650" s="28" t="s">
        <v>163</v>
      </c>
      <c r="D1650" s="28" t="s">
        <v>46</v>
      </c>
      <c r="E1650" s="28" t="s">
        <v>702</v>
      </c>
      <c r="F1650" s="28" t="s">
        <v>142</v>
      </c>
      <c r="G1650" s="28" t="s">
        <v>143</v>
      </c>
      <c r="H1650" s="28" t="s">
        <v>621</v>
      </c>
      <c r="I1650" s="29" t="n">
        <v>1985000</v>
      </c>
      <c r="J1650" s="29" t="n">
        <v>1488750</v>
      </c>
      <c r="K1650" s="28" t="n">
        <v>6</v>
      </c>
      <c r="L1650" s="28" t="n">
        <v>126</v>
      </c>
      <c r="M1650" s="28" t="n">
        <v>22</v>
      </c>
    </row>
    <row r="1651" customFormat="false" ht="15" hidden="false" customHeight="false" outlineLevel="0" collapsed="false">
      <c r="A1651" s="27" t="n">
        <v>44729</v>
      </c>
      <c r="B1651" s="28" t="n">
        <v>2022</v>
      </c>
      <c r="C1651" s="28" t="s">
        <v>172</v>
      </c>
      <c r="D1651" s="28" t="s">
        <v>48</v>
      </c>
      <c r="E1651" s="28" t="s">
        <v>840</v>
      </c>
      <c r="F1651" s="28" t="s">
        <v>142</v>
      </c>
      <c r="G1651" s="28" t="s">
        <v>148</v>
      </c>
      <c r="H1651" s="28" t="s">
        <v>428</v>
      </c>
      <c r="I1651" s="29" t="n">
        <v>299700</v>
      </c>
      <c r="J1651" s="29" t="n">
        <v>224775</v>
      </c>
      <c r="K1651" s="28" t="n">
        <v>5.99</v>
      </c>
      <c r="L1651" s="28" t="n">
        <v>300</v>
      </c>
      <c r="M1651" s="28" t="n">
        <v>4</v>
      </c>
    </row>
    <row r="1652" customFormat="false" ht="15" hidden="false" customHeight="false" outlineLevel="0" collapsed="false">
      <c r="A1652" s="27" t="n">
        <v>44729</v>
      </c>
      <c r="B1652" s="28" t="n">
        <v>2022</v>
      </c>
      <c r="C1652" s="28" t="s">
        <v>172</v>
      </c>
      <c r="D1652" s="28" t="s">
        <v>48</v>
      </c>
      <c r="E1652" s="28" t="s">
        <v>840</v>
      </c>
      <c r="F1652" s="28" t="s">
        <v>147</v>
      </c>
      <c r="G1652" s="28" t="s">
        <v>148</v>
      </c>
      <c r="H1652" s="28" t="s">
        <v>428</v>
      </c>
      <c r="I1652" s="29" t="n">
        <v>30000</v>
      </c>
      <c r="J1652" s="29" t="n">
        <v>15000</v>
      </c>
      <c r="K1652" s="28" t="n">
        <v>11.25</v>
      </c>
      <c r="L1652" s="28" t="n">
        <v>120</v>
      </c>
      <c r="M1652" s="28" t="n">
        <v>4</v>
      </c>
    </row>
    <row r="1653" customFormat="false" ht="15" hidden="false" customHeight="false" outlineLevel="0" collapsed="false">
      <c r="A1653" s="27" t="n">
        <v>44729</v>
      </c>
      <c r="B1653" s="28" t="n">
        <v>2022</v>
      </c>
      <c r="C1653" s="28" t="s">
        <v>154</v>
      </c>
      <c r="D1653" s="28" t="s">
        <v>43</v>
      </c>
      <c r="E1653" s="28" t="s">
        <v>841</v>
      </c>
      <c r="F1653" s="28" t="s">
        <v>142</v>
      </c>
      <c r="G1653" s="28" t="s">
        <v>143</v>
      </c>
      <c r="H1653" s="28" t="s">
        <v>827</v>
      </c>
      <c r="I1653" s="29" t="n">
        <v>399000</v>
      </c>
      <c r="J1653" s="29" t="n">
        <v>299250</v>
      </c>
      <c r="K1653" s="28" t="n">
        <v>6.5</v>
      </c>
      <c r="L1653" s="28" t="n">
        <v>120</v>
      </c>
      <c r="M1653" s="28" t="n">
        <v>5</v>
      </c>
    </row>
    <row r="1654" customFormat="false" ht="15" hidden="false" customHeight="false" outlineLevel="0" collapsed="false">
      <c r="A1654" s="27" t="n">
        <v>44729</v>
      </c>
      <c r="B1654" s="28" t="n">
        <v>2022</v>
      </c>
      <c r="C1654" s="28" t="s">
        <v>166</v>
      </c>
      <c r="D1654" s="28" t="s">
        <v>47</v>
      </c>
      <c r="E1654" s="28" t="s">
        <v>760</v>
      </c>
      <c r="F1654" s="28" t="s">
        <v>142</v>
      </c>
      <c r="G1654" s="28" t="s">
        <v>441</v>
      </c>
      <c r="H1654" s="28" t="s">
        <v>592</v>
      </c>
      <c r="I1654" s="29" t="n">
        <v>860000</v>
      </c>
      <c r="J1654" s="29" t="n">
        <v>645000</v>
      </c>
      <c r="K1654" s="28" t="n">
        <v>5.25</v>
      </c>
      <c r="L1654" s="28" t="n">
        <v>300</v>
      </c>
      <c r="M1654" s="28" t="n">
        <v>5</v>
      </c>
    </row>
    <row r="1655" customFormat="false" ht="15" hidden="false" customHeight="false" outlineLevel="0" collapsed="false">
      <c r="A1655" s="27" t="n">
        <v>44732</v>
      </c>
      <c r="B1655" s="28" t="n">
        <v>2022</v>
      </c>
      <c r="C1655" s="28" t="s">
        <v>243</v>
      </c>
      <c r="D1655" s="28" t="s">
        <v>43</v>
      </c>
      <c r="E1655" s="28" t="s">
        <v>830</v>
      </c>
      <c r="F1655" s="28" t="s">
        <v>147</v>
      </c>
      <c r="G1655" s="28" t="s">
        <v>441</v>
      </c>
      <c r="H1655" s="28" t="s">
        <v>168</v>
      </c>
      <c r="I1655" s="29" t="n">
        <v>20000</v>
      </c>
      <c r="J1655" s="29" t="n">
        <v>10000</v>
      </c>
      <c r="K1655" s="28" t="n">
        <v>10</v>
      </c>
      <c r="L1655" s="28" t="n">
        <v>120</v>
      </c>
      <c r="M1655" s="28" t="n">
        <v>0</v>
      </c>
    </row>
    <row r="1656" customFormat="false" ht="15" hidden="false" customHeight="false" outlineLevel="0" collapsed="false">
      <c r="A1656" s="27" t="n">
        <v>44733</v>
      </c>
      <c r="B1656" s="28" t="n">
        <v>2022</v>
      </c>
      <c r="C1656" s="28" t="s">
        <v>627</v>
      </c>
      <c r="D1656" s="28" t="s">
        <v>51</v>
      </c>
      <c r="E1656" s="28" t="s">
        <v>319</v>
      </c>
      <c r="F1656" s="28" t="s">
        <v>142</v>
      </c>
      <c r="G1656" s="28" t="s">
        <v>143</v>
      </c>
      <c r="H1656" s="28" t="s">
        <v>494</v>
      </c>
      <c r="I1656" s="29" t="n">
        <v>905000</v>
      </c>
      <c r="J1656" s="29" t="n">
        <v>678750</v>
      </c>
      <c r="K1656" s="28" t="n">
        <v>7.5</v>
      </c>
      <c r="L1656" s="28" t="n">
        <v>306</v>
      </c>
      <c r="M1656" s="28" t="n">
        <v>5</v>
      </c>
    </row>
    <row r="1657" customFormat="false" ht="15" hidden="false" customHeight="false" outlineLevel="0" collapsed="false">
      <c r="A1657" s="27" t="n">
        <v>44733</v>
      </c>
      <c r="B1657" s="28" t="n">
        <v>2022</v>
      </c>
      <c r="C1657" s="28" t="s">
        <v>172</v>
      </c>
      <c r="D1657" s="28" t="s">
        <v>42</v>
      </c>
      <c r="E1657" s="28" t="s">
        <v>717</v>
      </c>
      <c r="F1657" s="28" t="s">
        <v>147</v>
      </c>
      <c r="G1657" s="28" t="s">
        <v>148</v>
      </c>
      <c r="H1657" s="28" t="s">
        <v>248</v>
      </c>
      <c r="I1657" s="29" t="n">
        <v>110000</v>
      </c>
      <c r="J1657" s="29" t="n">
        <v>55000</v>
      </c>
      <c r="K1657" s="28" t="n">
        <v>6.5</v>
      </c>
      <c r="L1657" s="28" t="n">
        <v>84</v>
      </c>
      <c r="M1657" s="28" t="n">
        <v>5</v>
      </c>
    </row>
    <row r="1658" customFormat="false" ht="15" hidden="false" customHeight="false" outlineLevel="0" collapsed="false">
      <c r="A1658" s="27" t="n">
        <v>44733</v>
      </c>
      <c r="B1658" s="28" t="n">
        <v>2022</v>
      </c>
      <c r="C1658" s="28" t="s">
        <v>172</v>
      </c>
      <c r="D1658" s="28" t="s">
        <v>42</v>
      </c>
      <c r="E1658" s="28" t="s">
        <v>753</v>
      </c>
      <c r="F1658" s="28" t="s">
        <v>194</v>
      </c>
      <c r="G1658" s="28" t="s">
        <v>441</v>
      </c>
      <c r="H1658" s="28" t="s">
        <v>692</v>
      </c>
      <c r="I1658" s="29" t="n">
        <v>756000</v>
      </c>
      <c r="J1658" s="29" t="n">
        <v>567000</v>
      </c>
      <c r="K1658" s="28" t="n">
        <v>6.25</v>
      </c>
      <c r="L1658" s="28" t="n">
        <v>92</v>
      </c>
      <c r="M1658" s="28" t="n">
        <v>17</v>
      </c>
    </row>
    <row r="1659" customFormat="false" ht="15" hidden="false" customHeight="false" outlineLevel="0" collapsed="false">
      <c r="A1659" s="27" t="n">
        <v>44733</v>
      </c>
      <c r="B1659" s="28" t="n">
        <v>2022</v>
      </c>
      <c r="C1659" s="28" t="s">
        <v>166</v>
      </c>
      <c r="D1659" s="28" t="s">
        <v>44</v>
      </c>
      <c r="E1659" s="28" t="s">
        <v>842</v>
      </c>
      <c r="F1659" s="28" t="s">
        <v>142</v>
      </c>
      <c r="G1659" s="28" t="s">
        <v>143</v>
      </c>
      <c r="H1659" s="28" t="s">
        <v>438</v>
      </c>
      <c r="I1659" s="29" t="n">
        <v>1265000</v>
      </c>
      <c r="J1659" s="29" t="n">
        <v>948750</v>
      </c>
      <c r="K1659" s="28" t="n">
        <v>6</v>
      </c>
      <c r="L1659" s="28" t="n">
        <v>126</v>
      </c>
      <c r="M1659" s="28" t="n">
        <v>20</v>
      </c>
    </row>
    <row r="1660" customFormat="false" ht="15" hidden="false" customHeight="false" outlineLevel="0" collapsed="false">
      <c r="A1660" s="27" t="n">
        <v>44734</v>
      </c>
      <c r="B1660" s="28" t="n">
        <v>2022</v>
      </c>
      <c r="C1660" s="28" t="s">
        <v>206</v>
      </c>
      <c r="D1660" s="28" t="s">
        <v>42</v>
      </c>
      <c r="E1660" s="28" t="s">
        <v>784</v>
      </c>
      <c r="F1660" s="28" t="s">
        <v>142</v>
      </c>
      <c r="G1660" s="28" t="s">
        <v>143</v>
      </c>
      <c r="H1660" s="28" t="s">
        <v>843</v>
      </c>
      <c r="I1660" s="29" t="n">
        <v>460200</v>
      </c>
      <c r="J1660" s="29" t="n">
        <v>345150</v>
      </c>
      <c r="K1660" s="28" t="n">
        <v>6.5</v>
      </c>
      <c r="L1660" s="28" t="n">
        <v>129</v>
      </c>
      <c r="M1660" s="28" t="n">
        <v>13</v>
      </c>
    </row>
    <row r="1661" customFormat="false" ht="15" hidden="false" customHeight="false" outlineLevel="0" collapsed="false">
      <c r="A1661" s="27" t="n">
        <v>44734</v>
      </c>
      <c r="B1661" s="28" t="n">
        <v>2022</v>
      </c>
      <c r="C1661" s="28" t="s">
        <v>172</v>
      </c>
      <c r="D1661" s="28" t="s">
        <v>48</v>
      </c>
      <c r="E1661" s="28" t="s">
        <v>304</v>
      </c>
      <c r="F1661" s="28" t="s">
        <v>147</v>
      </c>
      <c r="G1661" s="28" t="s">
        <v>148</v>
      </c>
      <c r="H1661" s="28" t="s">
        <v>205</v>
      </c>
      <c r="I1661" s="29" t="n">
        <v>45000</v>
      </c>
      <c r="J1661" s="29" t="n">
        <v>22500</v>
      </c>
      <c r="K1661" s="28" t="n">
        <v>9.8</v>
      </c>
      <c r="L1661" s="28" t="n">
        <v>120</v>
      </c>
      <c r="M1661" s="28" t="n">
        <v>0</v>
      </c>
    </row>
    <row r="1662" customFormat="false" ht="15" hidden="false" customHeight="false" outlineLevel="0" collapsed="false">
      <c r="A1662" s="27" t="n">
        <v>44735</v>
      </c>
      <c r="B1662" s="28" t="n">
        <v>2022</v>
      </c>
      <c r="C1662" s="28" t="s">
        <v>166</v>
      </c>
      <c r="D1662" s="28" t="s">
        <v>44</v>
      </c>
      <c r="E1662" s="28" t="s">
        <v>842</v>
      </c>
      <c r="F1662" s="28" t="s">
        <v>147</v>
      </c>
      <c r="G1662" s="28" t="s">
        <v>143</v>
      </c>
      <c r="H1662" s="28" t="s">
        <v>438</v>
      </c>
      <c r="I1662" s="29" t="n">
        <v>250000</v>
      </c>
      <c r="J1662" s="29" t="n">
        <v>125000</v>
      </c>
      <c r="K1662" s="28" t="n">
        <v>6</v>
      </c>
      <c r="L1662" s="28" t="n">
        <v>120</v>
      </c>
      <c r="M1662" s="28" t="n">
        <v>20</v>
      </c>
    </row>
    <row r="1663" customFormat="false" ht="15" hidden="false" customHeight="false" outlineLevel="0" collapsed="false">
      <c r="A1663" s="27" t="n">
        <v>44735</v>
      </c>
      <c r="B1663" s="28" t="n">
        <v>2022</v>
      </c>
      <c r="C1663" s="28" t="s">
        <v>175</v>
      </c>
      <c r="D1663" s="28" t="s">
        <v>48</v>
      </c>
      <c r="E1663" s="28" t="s">
        <v>762</v>
      </c>
      <c r="F1663" s="28" t="s">
        <v>147</v>
      </c>
      <c r="G1663" s="28" t="s">
        <v>143</v>
      </c>
      <c r="H1663" s="28" t="s">
        <v>159</v>
      </c>
      <c r="I1663" s="29" t="n">
        <v>94000</v>
      </c>
      <c r="J1663" s="29" t="n">
        <v>47000</v>
      </c>
      <c r="K1663" s="28" t="n">
        <v>7</v>
      </c>
      <c r="L1663" s="28" t="n">
        <v>60</v>
      </c>
      <c r="M1663" s="28" t="n">
        <v>6</v>
      </c>
    </row>
    <row r="1664" customFormat="false" ht="15" hidden="false" customHeight="false" outlineLevel="0" collapsed="false">
      <c r="A1664" s="27" t="n">
        <v>44736</v>
      </c>
      <c r="B1664" s="28" t="n">
        <v>2022</v>
      </c>
      <c r="C1664" s="28" t="s">
        <v>332</v>
      </c>
      <c r="D1664" s="28" t="s">
        <v>42</v>
      </c>
      <c r="E1664" s="28" t="s">
        <v>717</v>
      </c>
      <c r="F1664" s="28" t="s">
        <v>142</v>
      </c>
      <c r="G1664" s="28" t="s">
        <v>143</v>
      </c>
      <c r="H1664" s="28" t="s">
        <v>372</v>
      </c>
      <c r="I1664" s="29" t="n">
        <v>250000</v>
      </c>
      <c r="J1664" s="29" t="n">
        <v>187500</v>
      </c>
      <c r="K1664" s="28" t="n">
        <v>6.75</v>
      </c>
      <c r="L1664" s="28" t="n">
        <v>90</v>
      </c>
      <c r="M1664" s="28" t="n">
        <v>24</v>
      </c>
    </row>
    <row r="1665" customFormat="false" ht="15" hidden="false" customHeight="false" outlineLevel="0" collapsed="false">
      <c r="A1665" s="27" t="n">
        <v>44736</v>
      </c>
      <c r="B1665" s="28" t="n">
        <v>2022</v>
      </c>
      <c r="C1665" s="28" t="s">
        <v>522</v>
      </c>
      <c r="D1665" s="28" t="s">
        <v>42</v>
      </c>
      <c r="E1665" s="28" t="s">
        <v>753</v>
      </c>
      <c r="F1665" s="28" t="s">
        <v>142</v>
      </c>
      <c r="G1665" s="28" t="s">
        <v>148</v>
      </c>
      <c r="H1665" s="28" t="s">
        <v>372</v>
      </c>
      <c r="I1665" s="29" t="n">
        <v>265000</v>
      </c>
      <c r="J1665" s="29" t="n">
        <v>198750</v>
      </c>
      <c r="K1665" s="28" t="n">
        <v>6.75</v>
      </c>
      <c r="L1665" s="28" t="n">
        <v>90</v>
      </c>
      <c r="M1665" s="28" t="n">
        <v>23</v>
      </c>
    </row>
    <row r="1666" customFormat="false" ht="15" hidden="false" customHeight="false" outlineLevel="0" collapsed="false">
      <c r="A1666" s="27" t="n">
        <v>44736</v>
      </c>
      <c r="B1666" s="28" t="n">
        <v>2022</v>
      </c>
      <c r="C1666" s="28" t="s">
        <v>206</v>
      </c>
      <c r="D1666" s="28" t="s">
        <v>48</v>
      </c>
      <c r="E1666" s="28" t="s">
        <v>815</v>
      </c>
      <c r="F1666" s="28" t="s">
        <v>142</v>
      </c>
      <c r="G1666" s="28" t="s">
        <v>148</v>
      </c>
      <c r="H1666" s="28" t="s">
        <v>255</v>
      </c>
      <c r="I1666" s="29" t="n">
        <v>750000</v>
      </c>
      <c r="J1666" s="29" t="n">
        <v>562500</v>
      </c>
      <c r="K1666" s="28" t="n">
        <v>6.75</v>
      </c>
      <c r="L1666" s="28" t="n">
        <v>120</v>
      </c>
      <c r="M1666" s="28" t="n">
        <v>34</v>
      </c>
    </row>
    <row r="1667" customFormat="false" ht="15" hidden="false" customHeight="false" outlineLevel="0" collapsed="false">
      <c r="A1667" s="27" t="n">
        <v>44736</v>
      </c>
      <c r="B1667" s="28" t="n">
        <v>2022</v>
      </c>
      <c r="C1667" s="28" t="s">
        <v>243</v>
      </c>
      <c r="D1667" s="28" t="s">
        <v>45</v>
      </c>
      <c r="E1667" s="28" t="s">
        <v>824</v>
      </c>
      <c r="F1667" s="28" t="s">
        <v>142</v>
      </c>
      <c r="G1667" s="28" t="s">
        <v>152</v>
      </c>
      <c r="H1667" s="28" t="s">
        <v>171</v>
      </c>
      <c r="I1667" s="29" t="n">
        <v>710000</v>
      </c>
      <c r="J1667" s="29" t="n">
        <v>532500</v>
      </c>
      <c r="K1667" s="28" t="n">
        <v>6.75</v>
      </c>
      <c r="L1667" s="28" t="n">
        <v>120</v>
      </c>
      <c r="M1667" s="28" t="n">
        <v>26</v>
      </c>
    </row>
    <row r="1668" customFormat="false" ht="15" hidden="false" customHeight="false" outlineLevel="0" collapsed="false">
      <c r="A1668" s="27" t="n">
        <v>44740</v>
      </c>
      <c r="B1668" s="28" t="n">
        <v>2022</v>
      </c>
      <c r="C1668" s="28" t="s">
        <v>145</v>
      </c>
      <c r="D1668" s="28" t="s">
        <v>48</v>
      </c>
      <c r="E1668" s="28" t="s">
        <v>712</v>
      </c>
      <c r="F1668" s="28" t="s">
        <v>147</v>
      </c>
      <c r="G1668" s="28" t="s">
        <v>441</v>
      </c>
      <c r="H1668" s="28" t="s">
        <v>191</v>
      </c>
      <c r="I1668" s="29" t="n">
        <v>20000</v>
      </c>
      <c r="J1668" s="29" t="n">
        <v>10000</v>
      </c>
      <c r="K1668" s="28" t="n">
        <v>9.4</v>
      </c>
      <c r="L1668" s="28" t="n">
        <v>120</v>
      </c>
      <c r="M1668" s="28" t="n">
        <v>0</v>
      </c>
    </row>
    <row r="1669" customFormat="false" ht="15" hidden="false" customHeight="false" outlineLevel="0" collapsed="false">
      <c r="A1669" s="27" t="n">
        <v>44740</v>
      </c>
      <c r="B1669" s="28" t="n">
        <v>2022</v>
      </c>
      <c r="C1669" s="28" t="s">
        <v>160</v>
      </c>
      <c r="D1669" s="28" t="s">
        <v>45</v>
      </c>
      <c r="E1669" s="28" t="s">
        <v>293</v>
      </c>
      <c r="F1669" s="28" t="s">
        <v>194</v>
      </c>
      <c r="G1669" s="28" t="s">
        <v>152</v>
      </c>
      <c r="H1669" s="28" t="s">
        <v>495</v>
      </c>
      <c r="I1669" s="29" t="n">
        <v>500000</v>
      </c>
      <c r="J1669" s="29" t="n">
        <v>375000</v>
      </c>
      <c r="K1669" s="28" t="n">
        <v>6</v>
      </c>
      <c r="L1669" s="28" t="n">
        <v>120</v>
      </c>
      <c r="M1669" s="28" t="n">
        <v>12</v>
      </c>
    </row>
    <row r="1670" customFormat="false" ht="15" hidden="false" customHeight="false" outlineLevel="0" collapsed="false">
      <c r="A1670" s="27" t="n">
        <v>44740</v>
      </c>
      <c r="B1670" s="28" t="n">
        <v>2022</v>
      </c>
      <c r="C1670" s="28" t="s">
        <v>675</v>
      </c>
      <c r="D1670" s="28" t="s">
        <v>42</v>
      </c>
      <c r="E1670" s="28" t="s">
        <v>705</v>
      </c>
      <c r="F1670" s="28" t="s">
        <v>194</v>
      </c>
      <c r="G1670" s="28" t="s">
        <v>148</v>
      </c>
      <c r="H1670" s="28" t="s">
        <v>211</v>
      </c>
      <c r="I1670" s="29" t="n">
        <v>3675000</v>
      </c>
      <c r="J1670" s="29" t="n">
        <v>2756250</v>
      </c>
      <c r="K1670" s="28" t="n">
        <v>5.5</v>
      </c>
      <c r="L1670" s="28" t="n">
        <v>300</v>
      </c>
      <c r="M1670" s="28" t="n">
        <v>8</v>
      </c>
    </row>
    <row r="1671" customFormat="false" ht="15" hidden="false" customHeight="false" outlineLevel="0" collapsed="false">
      <c r="A1671" s="27" t="n">
        <v>44740</v>
      </c>
      <c r="B1671" s="28" t="n">
        <v>2022</v>
      </c>
      <c r="C1671" s="28" t="s">
        <v>160</v>
      </c>
      <c r="D1671" s="28" t="s">
        <v>48</v>
      </c>
      <c r="E1671" s="28" t="s">
        <v>844</v>
      </c>
      <c r="F1671" s="28" t="s">
        <v>142</v>
      </c>
      <c r="G1671" s="28" t="s">
        <v>441</v>
      </c>
      <c r="H1671" s="28" t="s">
        <v>845</v>
      </c>
      <c r="I1671" s="29" t="n">
        <v>200000</v>
      </c>
      <c r="J1671" s="29" t="n">
        <v>150000</v>
      </c>
      <c r="K1671" s="28" t="n">
        <v>6.75</v>
      </c>
      <c r="L1671" s="28" t="n">
        <v>120</v>
      </c>
      <c r="M1671" s="28" t="n">
        <v>2</v>
      </c>
    </row>
    <row r="1672" customFormat="false" ht="15" hidden="false" customHeight="false" outlineLevel="0" collapsed="false">
      <c r="A1672" s="27" t="n">
        <v>44740</v>
      </c>
      <c r="B1672" s="28" t="n">
        <v>2022</v>
      </c>
      <c r="C1672" s="28" t="s">
        <v>169</v>
      </c>
      <c r="D1672" s="28" t="s">
        <v>45</v>
      </c>
      <c r="E1672" s="28" t="s">
        <v>835</v>
      </c>
      <c r="F1672" s="28" t="s">
        <v>142</v>
      </c>
      <c r="G1672" s="28" t="s">
        <v>152</v>
      </c>
      <c r="H1672" s="28" t="s">
        <v>144</v>
      </c>
      <c r="I1672" s="29" t="n">
        <v>5000000</v>
      </c>
      <c r="J1672" s="29" t="n">
        <v>3750000</v>
      </c>
      <c r="K1672" s="28" t="n">
        <v>6.75</v>
      </c>
      <c r="L1672" s="28" t="n">
        <v>120</v>
      </c>
      <c r="M1672" s="28" t="n">
        <v>4</v>
      </c>
    </row>
    <row r="1673" customFormat="false" ht="15" hidden="false" customHeight="false" outlineLevel="0" collapsed="false">
      <c r="A1673" s="27" t="n">
        <v>44741</v>
      </c>
      <c r="B1673" s="28" t="n">
        <v>2022</v>
      </c>
      <c r="C1673" s="28" t="s">
        <v>203</v>
      </c>
      <c r="D1673" s="28" t="s">
        <v>42</v>
      </c>
      <c r="E1673" s="28" t="s">
        <v>753</v>
      </c>
      <c r="F1673" s="28" t="s">
        <v>142</v>
      </c>
      <c r="G1673" s="28" t="s">
        <v>143</v>
      </c>
      <c r="H1673" s="28" t="s">
        <v>382</v>
      </c>
      <c r="I1673" s="29" t="n">
        <v>547300</v>
      </c>
      <c r="J1673" s="29" t="n">
        <v>410475</v>
      </c>
      <c r="K1673" s="28" t="n">
        <v>6.75</v>
      </c>
      <c r="L1673" s="28" t="n">
        <v>124</v>
      </c>
      <c r="M1673" s="28" t="n">
        <v>7</v>
      </c>
    </row>
    <row r="1674" customFormat="false" ht="15" hidden="false" customHeight="false" outlineLevel="0" collapsed="false">
      <c r="A1674" s="27" t="n">
        <v>44741</v>
      </c>
      <c r="B1674" s="28" t="n">
        <v>2022</v>
      </c>
      <c r="C1674" s="28" t="s">
        <v>172</v>
      </c>
      <c r="D1674" s="28" t="s">
        <v>48</v>
      </c>
      <c r="E1674" s="28" t="s">
        <v>736</v>
      </c>
      <c r="F1674" s="28" t="s">
        <v>142</v>
      </c>
      <c r="G1674" s="28" t="s">
        <v>148</v>
      </c>
      <c r="H1674" s="28" t="s">
        <v>494</v>
      </c>
      <c r="I1674" s="29" t="n">
        <v>774000</v>
      </c>
      <c r="J1674" s="29" t="n">
        <v>580500</v>
      </c>
      <c r="K1674" s="28" t="n">
        <v>9</v>
      </c>
      <c r="L1674" s="28" t="n">
        <v>120</v>
      </c>
      <c r="M1674" s="28" t="n">
        <v>4</v>
      </c>
    </row>
    <row r="1675" customFormat="false" ht="15" hidden="false" customHeight="false" outlineLevel="0" collapsed="false">
      <c r="A1675" s="27" t="n">
        <v>44741</v>
      </c>
      <c r="B1675" s="28" t="n">
        <v>2022</v>
      </c>
      <c r="C1675" s="28" t="s">
        <v>172</v>
      </c>
      <c r="D1675" s="28" t="s">
        <v>42</v>
      </c>
      <c r="E1675" s="28" t="s">
        <v>753</v>
      </c>
      <c r="F1675" s="28" t="s">
        <v>194</v>
      </c>
      <c r="G1675" s="28" t="s">
        <v>441</v>
      </c>
      <c r="H1675" s="28" t="s">
        <v>692</v>
      </c>
      <c r="I1675" s="29" t="n">
        <v>180000</v>
      </c>
      <c r="J1675" s="29" t="n">
        <v>135000</v>
      </c>
      <c r="K1675" s="28" t="n">
        <v>6.5</v>
      </c>
      <c r="L1675" s="28" t="n">
        <v>126</v>
      </c>
      <c r="M1675" s="28" t="n">
        <v>17</v>
      </c>
    </row>
    <row r="1676" customFormat="false" ht="15" hidden="false" customHeight="false" outlineLevel="0" collapsed="false">
      <c r="A1676" s="27" t="n">
        <v>44741</v>
      </c>
      <c r="B1676" s="28" t="n">
        <v>2022</v>
      </c>
      <c r="C1676" s="28" t="s">
        <v>154</v>
      </c>
      <c r="D1676" s="28" t="s">
        <v>43</v>
      </c>
      <c r="E1676" s="28" t="s">
        <v>846</v>
      </c>
      <c r="F1676" s="28" t="s">
        <v>142</v>
      </c>
      <c r="G1676" s="28" t="s">
        <v>143</v>
      </c>
      <c r="H1676" s="28" t="s">
        <v>372</v>
      </c>
      <c r="I1676" s="29" t="n">
        <v>200000</v>
      </c>
      <c r="J1676" s="29" t="n">
        <v>150000</v>
      </c>
      <c r="K1676" s="28" t="n">
        <v>6.75</v>
      </c>
      <c r="L1676" s="28" t="n">
        <v>90</v>
      </c>
      <c r="M1676" s="28" t="n">
        <v>6</v>
      </c>
    </row>
    <row r="1677" customFormat="false" ht="15" hidden="false" customHeight="false" outlineLevel="0" collapsed="false">
      <c r="A1677" s="27" t="n">
        <v>44741</v>
      </c>
      <c r="B1677" s="28" t="n">
        <v>2022</v>
      </c>
      <c r="C1677" s="28" t="s">
        <v>172</v>
      </c>
      <c r="D1677" s="28" t="s">
        <v>48</v>
      </c>
      <c r="E1677" s="28" t="s">
        <v>736</v>
      </c>
      <c r="F1677" s="28" t="s">
        <v>147</v>
      </c>
      <c r="G1677" s="28" t="s">
        <v>148</v>
      </c>
      <c r="H1677" s="28" t="s">
        <v>494</v>
      </c>
      <c r="I1677" s="29" t="n">
        <v>100000</v>
      </c>
      <c r="J1677" s="29" t="n">
        <v>50000</v>
      </c>
      <c r="K1677" s="28" t="n">
        <v>7.5</v>
      </c>
      <c r="L1677" s="28" t="n">
        <v>120</v>
      </c>
      <c r="M1677" s="28" t="n">
        <v>0</v>
      </c>
    </row>
    <row r="1678" customFormat="false" ht="15" hidden="false" customHeight="false" outlineLevel="0" collapsed="false">
      <c r="A1678" s="27" t="n">
        <v>44747</v>
      </c>
      <c r="B1678" s="28" t="n">
        <v>2022</v>
      </c>
      <c r="C1678" s="28" t="s">
        <v>203</v>
      </c>
      <c r="D1678" s="28" t="s">
        <v>42</v>
      </c>
      <c r="E1678" s="28" t="s">
        <v>717</v>
      </c>
      <c r="F1678" s="28" t="s">
        <v>142</v>
      </c>
      <c r="G1678" s="28" t="s">
        <v>148</v>
      </c>
      <c r="H1678" s="28" t="s">
        <v>494</v>
      </c>
      <c r="I1678" s="29" t="n">
        <v>546000</v>
      </c>
      <c r="J1678" s="29" t="n">
        <v>409500</v>
      </c>
      <c r="K1678" s="28" t="n">
        <v>6.75</v>
      </c>
      <c r="L1678" s="28" t="n">
        <v>107</v>
      </c>
      <c r="M1678" s="28" t="n">
        <v>52</v>
      </c>
    </row>
    <row r="1679" customFormat="false" ht="15" hidden="false" customHeight="false" outlineLevel="0" collapsed="false">
      <c r="A1679" s="27" t="n">
        <v>44747</v>
      </c>
      <c r="B1679" s="28" t="n">
        <v>2022</v>
      </c>
      <c r="C1679" s="28" t="s">
        <v>166</v>
      </c>
      <c r="D1679" s="28" t="s">
        <v>54</v>
      </c>
      <c r="E1679" s="28" t="s">
        <v>847</v>
      </c>
      <c r="F1679" s="28" t="s">
        <v>142</v>
      </c>
      <c r="G1679" s="28" t="s">
        <v>148</v>
      </c>
      <c r="H1679" s="28" t="s">
        <v>382</v>
      </c>
      <c r="I1679" s="29" t="n">
        <v>335400</v>
      </c>
      <c r="J1679" s="29" t="n">
        <v>251550</v>
      </c>
      <c r="K1679" s="28" t="n">
        <v>7.5</v>
      </c>
      <c r="L1679" s="28" t="n">
        <v>300</v>
      </c>
      <c r="M1679" s="28" t="n">
        <v>21</v>
      </c>
    </row>
    <row r="1680" customFormat="false" ht="15" hidden="false" customHeight="false" outlineLevel="0" collapsed="false">
      <c r="A1680" s="27" t="n">
        <v>44748</v>
      </c>
      <c r="B1680" s="28" t="n">
        <v>2022</v>
      </c>
      <c r="C1680" s="28" t="s">
        <v>213</v>
      </c>
      <c r="D1680" s="28" t="s">
        <v>48</v>
      </c>
      <c r="E1680" s="28" t="s">
        <v>736</v>
      </c>
      <c r="F1680" s="28" t="s">
        <v>142</v>
      </c>
      <c r="G1680" s="28" t="s">
        <v>148</v>
      </c>
      <c r="H1680" s="28" t="s">
        <v>314</v>
      </c>
      <c r="I1680" s="29" t="n">
        <v>2230000</v>
      </c>
      <c r="J1680" s="29" t="n">
        <v>1672500</v>
      </c>
      <c r="K1680" s="28" t="n">
        <v>7</v>
      </c>
      <c r="L1680" s="28" t="n">
        <v>120</v>
      </c>
      <c r="M1680" s="28" t="n">
        <v>13</v>
      </c>
    </row>
    <row r="1681" customFormat="false" ht="15" hidden="false" customHeight="false" outlineLevel="0" collapsed="false">
      <c r="A1681" s="27" t="n">
        <v>44748</v>
      </c>
      <c r="B1681" s="28" t="n">
        <v>2022</v>
      </c>
      <c r="C1681" s="28" t="s">
        <v>209</v>
      </c>
      <c r="D1681" s="28" t="s">
        <v>48</v>
      </c>
      <c r="E1681" s="28" t="s">
        <v>566</v>
      </c>
      <c r="F1681" s="28" t="s">
        <v>142</v>
      </c>
      <c r="G1681" s="28" t="s">
        <v>148</v>
      </c>
      <c r="H1681" s="28" t="s">
        <v>211</v>
      </c>
      <c r="I1681" s="29" t="n">
        <v>100000</v>
      </c>
      <c r="J1681" s="29" t="n">
        <v>85000</v>
      </c>
      <c r="K1681" s="28" t="n">
        <v>7.5</v>
      </c>
      <c r="L1681" s="28" t="n">
        <v>120</v>
      </c>
      <c r="M1681" s="28" t="n">
        <v>3</v>
      </c>
    </row>
    <row r="1682" customFormat="false" ht="15" hidden="false" customHeight="false" outlineLevel="0" collapsed="false">
      <c r="A1682" s="27" t="n">
        <v>44748</v>
      </c>
      <c r="B1682" s="28" t="n">
        <v>2022</v>
      </c>
      <c r="C1682" s="28" t="s">
        <v>201</v>
      </c>
      <c r="D1682" s="28" t="s">
        <v>51</v>
      </c>
      <c r="E1682" s="28" t="s">
        <v>848</v>
      </c>
      <c r="F1682" s="28" t="s">
        <v>142</v>
      </c>
      <c r="G1682" s="28" t="s">
        <v>441</v>
      </c>
      <c r="H1682" s="28" t="s">
        <v>165</v>
      </c>
      <c r="I1682" s="29" t="n">
        <v>211500</v>
      </c>
      <c r="J1682" s="29" t="n">
        <v>158625</v>
      </c>
      <c r="K1682" s="28" t="n">
        <v>6</v>
      </c>
      <c r="L1682" s="28" t="n">
        <v>120</v>
      </c>
      <c r="M1682" s="28" t="n">
        <v>31</v>
      </c>
    </row>
    <row r="1683" customFormat="false" ht="15" hidden="false" customHeight="false" outlineLevel="0" collapsed="false">
      <c r="A1683" s="27" t="n">
        <v>44748</v>
      </c>
      <c r="B1683" s="28" t="n">
        <v>2022</v>
      </c>
      <c r="C1683" s="28" t="s">
        <v>172</v>
      </c>
      <c r="D1683" s="28" t="s">
        <v>47</v>
      </c>
      <c r="E1683" s="28" t="s">
        <v>849</v>
      </c>
      <c r="F1683" s="28" t="s">
        <v>194</v>
      </c>
      <c r="G1683" s="28" t="s">
        <v>143</v>
      </c>
      <c r="H1683" s="28" t="s">
        <v>605</v>
      </c>
      <c r="I1683" s="29" t="n">
        <v>570000</v>
      </c>
      <c r="J1683" s="29" t="n">
        <v>427500</v>
      </c>
      <c r="K1683" s="28" t="n">
        <v>6.75</v>
      </c>
      <c r="L1683" s="28" t="n">
        <v>96</v>
      </c>
      <c r="M1683" s="28" t="n">
        <v>4</v>
      </c>
    </row>
    <row r="1684" customFormat="false" ht="15" hidden="false" customHeight="false" outlineLevel="0" collapsed="false">
      <c r="A1684" s="27" t="n">
        <v>44749</v>
      </c>
      <c r="B1684" s="28" t="n">
        <v>2022</v>
      </c>
      <c r="C1684" s="28" t="s">
        <v>169</v>
      </c>
      <c r="D1684" s="28" t="s">
        <v>54</v>
      </c>
      <c r="E1684" s="28" t="s">
        <v>791</v>
      </c>
      <c r="F1684" s="28" t="s">
        <v>142</v>
      </c>
      <c r="G1684" s="28" t="s">
        <v>148</v>
      </c>
      <c r="H1684" s="28" t="s">
        <v>144</v>
      </c>
      <c r="I1684" s="29" t="n">
        <v>200000</v>
      </c>
      <c r="J1684" s="29" t="n">
        <v>150000</v>
      </c>
      <c r="K1684" s="28" t="n">
        <v>7.49</v>
      </c>
      <c r="L1684" s="28" t="n">
        <v>120</v>
      </c>
      <c r="M1684" s="28" t="n">
        <v>3</v>
      </c>
    </row>
    <row r="1685" customFormat="false" ht="15" hidden="false" customHeight="false" outlineLevel="0" collapsed="false">
      <c r="A1685" s="27" t="n">
        <v>44750</v>
      </c>
      <c r="B1685" s="28" t="n">
        <v>2022</v>
      </c>
      <c r="C1685" s="28" t="s">
        <v>166</v>
      </c>
      <c r="D1685" s="28" t="s">
        <v>48</v>
      </c>
      <c r="E1685" s="28" t="s">
        <v>815</v>
      </c>
      <c r="F1685" s="28" t="s">
        <v>147</v>
      </c>
      <c r="G1685" s="28" t="s">
        <v>148</v>
      </c>
      <c r="H1685" s="28" t="s">
        <v>159</v>
      </c>
      <c r="I1685" s="29" t="n">
        <v>175000</v>
      </c>
      <c r="J1685" s="29" t="n">
        <v>87500</v>
      </c>
      <c r="K1685" s="28" t="n">
        <v>7.25</v>
      </c>
      <c r="L1685" s="28" t="n">
        <v>120</v>
      </c>
      <c r="M1685" s="28" t="n">
        <v>12</v>
      </c>
    </row>
    <row r="1686" customFormat="false" ht="15" hidden="false" customHeight="false" outlineLevel="0" collapsed="false">
      <c r="A1686" s="27" t="n">
        <v>44750</v>
      </c>
      <c r="B1686" s="28" t="n">
        <v>2022</v>
      </c>
      <c r="C1686" s="28" t="s">
        <v>303</v>
      </c>
      <c r="D1686" s="28" t="s">
        <v>43</v>
      </c>
      <c r="E1686" s="28" t="s">
        <v>816</v>
      </c>
      <c r="F1686" s="28" t="s">
        <v>142</v>
      </c>
      <c r="G1686" s="28" t="s">
        <v>148</v>
      </c>
      <c r="H1686" s="28" t="s">
        <v>269</v>
      </c>
      <c r="I1686" s="29" t="n">
        <v>90000</v>
      </c>
      <c r="J1686" s="29" t="n">
        <v>76500</v>
      </c>
      <c r="K1686" s="28" t="n">
        <v>7.5</v>
      </c>
      <c r="L1686" s="28" t="n">
        <v>120</v>
      </c>
      <c r="M1686" s="28" t="n">
        <v>11</v>
      </c>
    </row>
    <row r="1687" customFormat="false" ht="15" hidden="false" customHeight="false" outlineLevel="0" collapsed="false">
      <c r="A1687" s="27" t="n">
        <v>44752</v>
      </c>
      <c r="B1687" s="28" t="n">
        <v>2022</v>
      </c>
      <c r="C1687" s="28" t="s">
        <v>203</v>
      </c>
      <c r="D1687" s="28" t="s">
        <v>47</v>
      </c>
      <c r="E1687" s="28" t="s">
        <v>760</v>
      </c>
      <c r="F1687" s="28" t="s">
        <v>142</v>
      </c>
      <c r="G1687" s="28" t="s">
        <v>143</v>
      </c>
      <c r="H1687" s="28" t="s">
        <v>372</v>
      </c>
      <c r="I1687" s="29" t="n">
        <v>535000</v>
      </c>
      <c r="J1687" s="29" t="n">
        <v>401250</v>
      </c>
      <c r="K1687" s="28" t="n">
        <v>6.5</v>
      </c>
      <c r="L1687" s="28" t="n">
        <v>126</v>
      </c>
      <c r="M1687" s="28" t="n">
        <v>33</v>
      </c>
    </row>
    <row r="1688" customFormat="false" ht="15" hidden="false" customHeight="false" outlineLevel="0" collapsed="false">
      <c r="A1688" s="27" t="n">
        <v>44753</v>
      </c>
      <c r="B1688" s="28" t="n">
        <v>2022</v>
      </c>
      <c r="C1688" s="28" t="s">
        <v>169</v>
      </c>
      <c r="D1688" s="28" t="s">
        <v>45</v>
      </c>
      <c r="E1688" s="28" t="s">
        <v>611</v>
      </c>
      <c r="F1688" s="28" t="s">
        <v>147</v>
      </c>
      <c r="G1688" s="28" t="s">
        <v>148</v>
      </c>
      <c r="H1688" s="28" t="s">
        <v>159</v>
      </c>
      <c r="I1688" s="29" t="n">
        <v>100000</v>
      </c>
      <c r="J1688" s="29" t="n">
        <v>50000</v>
      </c>
      <c r="K1688" s="28" t="n">
        <v>9.25</v>
      </c>
      <c r="L1688" s="28" t="n">
        <v>120</v>
      </c>
      <c r="M1688" s="28" t="n">
        <v>20</v>
      </c>
    </row>
    <row r="1689" customFormat="false" ht="15" hidden="false" customHeight="false" outlineLevel="0" collapsed="false">
      <c r="A1689" s="27" t="n">
        <v>44753</v>
      </c>
      <c r="B1689" s="28" t="n">
        <v>2022</v>
      </c>
      <c r="C1689" s="28" t="s">
        <v>166</v>
      </c>
      <c r="D1689" s="28" t="s">
        <v>48</v>
      </c>
      <c r="E1689" s="28" t="s">
        <v>765</v>
      </c>
      <c r="F1689" s="28" t="s">
        <v>147</v>
      </c>
      <c r="G1689" s="28" t="s">
        <v>148</v>
      </c>
      <c r="H1689" s="28" t="s">
        <v>655</v>
      </c>
      <c r="I1689" s="29" t="n">
        <v>250000</v>
      </c>
      <c r="J1689" s="29" t="n">
        <v>125000</v>
      </c>
      <c r="K1689" s="28" t="n">
        <v>5.75</v>
      </c>
      <c r="L1689" s="28" t="n">
        <v>23</v>
      </c>
      <c r="M1689" s="28" t="n">
        <v>21</v>
      </c>
    </row>
    <row r="1690" customFormat="false" ht="15" hidden="false" customHeight="false" outlineLevel="0" collapsed="false">
      <c r="A1690" s="27" t="n">
        <v>44753</v>
      </c>
      <c r="B1690" s="28" t="n">
        <v>2022</v>
      </c>
      <c r="C1690" s="28" t="s">
        <v>209</v>
      </c>
      <c r="D1690" s="28" t="s">
        <v>53</v>
      </c>
      <c r="E1690" s="28" t="s">
        <v>383</v>
      </c>
      <c r="F1690" s="28" t="s">
        <v>142</v>
      </c>
      <c r="G1690" s="28" t="s">
        <v>148</v>
      </c>
      <c r="H1690" s="28" t="s">
        <v>269</v>
      </c>
      <c r="I1690" s="29" t="n">
        <v>150000</v>
      </c>
      <c r="J1690" s="29" t="n">
        <v>127500</v>
      </c>
      <c r="K1690" s="28" t="n">
        <v>7.5</v>
      </c>
      <c r="L1690" s="28" t="n">
        <v>120</v>
      </c>
      <c r="M1690" s="28" t="n">
        <v>4</v>
      </c>
    </row>
    <row r="1691" customFormat="false" ht="15" hidden="false" customHeight="false" outlineLevel="0" collapsed="false">
      <c r="A1691" s="27" t="n">
        <v>44754</v>
      </c>
      <c r="B1691" s="28" t="n">
        <v>2022</v>
      </c>
      <c r="C1691" s="28" t="s">
        <v>140</v>
      </c>
      <c r="D1691" s="28" t="s">
        <v>52</v>
      </c>
      <c r="E1691" s="28" t="s">
        <v>850</v>
      </c>
      <c r="F1691" s="28" t="s">
        <v>283</v>
      </c>
      <c r="G1691" s="28" t="s">
        <v>148</v>
      </c>
      <c r="H1691" s="28" t="s">
        <v>278</v>
      </c>
      <c r="I1691" s="29" t="n">
        <v>950000</v>
      </c>
      <c r="J1691" s="29" t="n">
        <v>712500</v>
      </c>
      <c r="K1691" s="28" t="n">
        <v>7</v>
      </c>
      <c r="L1691" s="28" t="n">
        <v>12</v>
      </c>
      <c r="M1691" s="28" t="n">
        <v>91</v>
      </c>
    </row>
    <row r="1692" customFormat="false" ht="15" hidden="false" customHeight="false" outlineLevel="0" collapsed="false">
      <c r="A1692" s="27" t="n">
        <v>44754</v>
      </c>
      <c r="B1692" s="28" t="n">
        <v>2022</v>
      </c>
      <c r="C1692" s="28" t="s">
        <v>163</v>
      </c>
      <c r="D1692" s="28" t="s">
        <v>52</v>
      </c>
      <c r="E1692" s="28" t="s">
        <v>850</v>
      </c>
      <c r="F1692" s="28" t="s">
        <v>194</v>
      </c>
      <c r="G1692" s="28" t="s">
        <v>148</v>
      </c>
      <c r="H1692" s="28" t="s">
        <v>278</v>
      </c>
      <c r="I1692" s="29" t="n">
        <v>1338000</v>
      </c>
      <c r="J1692" s="29" t="n">
        <v>1003500</v>
      </c>
      <c r="K1692" s="28" t="n">
        <v>7.25</v>
      </c>
      <c r="L1692" s="28" t="n">
        <v>120</v>
      </c>
      <c r="M1692" s="28" t="n">
        <v>91</v>
      </c>
    </row>
    <row r="1693" customFormat="false" ht="15" hidden="false" customHeight="false" outlineLevel="0" collapsed="false">
      <c r="A1693" s="27" t="n">
        <v>44754</v>
      </c>
      <c r="B1693" s="28" t="n">
        <v>2022</v>
      </c>
      <c r="C1693" s="28" t="s">
        <v>206</v>
      </c>
      <c r="D1693" s="28" t="s">
        <v>50</v>
      </c>
      <c r="E1693" s="28" t="s">
        <v>711</v>
      </c>
      <c r="F1693" s="28" t="s">
        <v>142</v>
      </c>
      <c r="G1693" s="28" t="s">
        <v>143</v>
      </c>
      <c r="H1693" s="28" t="s">
        <v>287</v>
      </c>
      <c r="I1693" s="29" t="n">
        <v>150000</v>
      </c>
      <c r="J1693" s="29" t="n">
        <v>127500</v>
      </c>
      <c r="K1693" s="28" t="n">
        <v>7.5</v>
      </c>
      <c r="L1693" s="28" t="n">
        <v>120</v>
      </c>
      <c r="M1693" s="28" t="n">
        <v>4</v>
      </c>
    </row>
    <row r="1694" customFormat="false" ht="15" hidden="false" customHeight="false" outlineLevel="0" collapsed="false">
      <c r="A1694" s="27" t="n">
        <v>44755</v>
      </c>
      <c r="B1694" s="28" t="n">
        <v>2022</v>
      </c>
      <c r="C1694" s="28" t="s">
        <v>172</v>
      </c>
      <c r="D1694" s="28" t="s">
        <v>48</v>
      </c>
      <c r="E1694" s="28" t="s">
        <v>704</v>
      </c>
      <c r="F1694" s="28" t="s">
        <v>142</v>
      </c>
      <c r="G1694" s="28" t="s">
        <v>148</v>
      </c>
      <c r="H1694" s="28" t="s">
        <v>200</v>
      </c>
      <c r="I1694" s="29" t="n">
        <v>150000</v>
      </c>
      <c r="J1694" s="29" t="n">
        <v>127500</v>
      </c>
      <c r="K1694" s="28" t="n">
        <v>7.5</v>
      </c>
      <c r="L1694" s="28" t="n">
        <v>120</v>
      </c>
      <c r="M1694" s="28" t="n">
        <v>7</v>
      </c>
    </row>
    <row r="1695" customFormat="false" ht="15" hidden="false" customHeight="false" outlineLevel="0" collapsed="false">
      <c r="A1695" s="27" t="n">
        <v>44755</v>
      </c>
      <c r="B1695" s="28" t="n">
        <v>2022</v>
      </c>
      <c r="C1695" s="28" t="s">
        <v>166</v>
      </c>
      <c r="D1695" s="28" t="s">
        <v>50</v>
      </c>
      <c r="E1695" s="28" t="s">
        <v>193</v>
      </c>
      <c r="F1695" s="28" t="s">
        <v>147</v>
      </c>
      <c r="G1695" s="28" t="s">
        <v>441</v>
      </c>
      <c r="H1695" s="28" t="s">
        <v>205</v>
      </c>
      <c r="I1695" s="29" t="n">
        <v>25000</v>
      </c>
      <c r="J1695" s="29" t="n">
        <v>12500</v>
      </c>
      <c r="K1695" s="28" t="n">
        <v>11.25</v>
      </c>
      <c r="L1695" s="28" t="n">
        <v>120</v>
      </c>
      <c r="M1695" s="28" t="n">
        <v>2</v>
      </c>
    </row>
    <row r="1696" customFormat="false" ht="15" hidden="false" customHeight="false" outlineLevel="0" collapsed="false">
      <c r="A1696" s="27" t="n">
        <v>44755</v>
      </c>
      <c r="B1696" s="28" t="n">
        <v>2022</v>
      </c>
      <c r="C1696" s="28" t="s">
        <v>568</v>
      </c>
      <c r="D1696" s="28" t="s">
        <v>55</v>
      </c>
      <c r="E1696" s="28" t="s">
        <v>851</v>
      </c>
      <c r="F1696" s="28" t="s">
        <v>147</v>
      </c>
      <c r="G1696" s="28" t="s">
        <v>441</v>
      </c>
      <c r="H1696" s="28" t="s">
        <v>306</v>
      </c>
      <c r="I1696" s="29" t="n">
        <v>65000</v>
      </c>
      <c r="J1696" s="29" t="n">
        <v>32500</v>
      </c>
      <c r="K1696" s="28" t="n">
        <v>6.25</v>
      </c>
      <c r="L1696" s="28" t="n">
        <v>72</v>
      </c>
      <c r="M1696" s="28" t="n">
        <v>2</v>
      </c>
    </row>
    <row r="1697" customFormat="false" ht="15" hidden="false" customHeight="false" outlineLevel="0" collapsed="false">
      <c r="A1697" s="27" t="n">
        <v>44755</v>
      </c>
      <c r="B1697" s="28" t="n">
        <v>2022</v>
      </c>
      <c r="C1697" s="28" t="s">
        <v>166</v>
      </c>
      <c r="D1697" s="28" t="s">
        <v>46</v>
      </c>
      <c r="E1697" s="28" t="s">
        <v>852</v>
      </c>
      <c r="F1697" s="28" t="s">
        <v>142</v>
      </c>
      <c r="G1697" s="28" t="s">
        <v>148</v>
      </c>
      <c r="H1697" s="28" t="s">
        <v>275</v>
      </c>
      <c r="I1697" s="29" t="n">
        <v>92700</v>
      </c>
      <c r="J1697" s="29" t="n">
        <v>78795</v>
      </c>
      <c r="K1697" s="28" t="n">
        <v>7.5</v>
      </c>
      <c r="L1697" s="28" t="n">
        <v>120</v>
      </c>
      <c r="M1697" s="28" t="n">
        <v>6</v>
      </c>
    </row>
    <row r="1698" customFormat="false" ht="15" hidden="false" customHeight="false" outlineLevel="0" collapsed="false">
      <c r="A1698" s="27" t="n">
        <v>44755</v>
      </c>
      <c r="B1698" s="28" t="n">
        <v>2022</v>
      </c>
      <c r="C1698" s="28" t="s">
        <v>166</v>
      </c>
      <c r="D1698" s="28" t="s">
        <v>50</v>
      </c>
      <c r="E1698" s="28" t="s">
        <v>853</v>
      </c>
      <c r="F1698" s="28" t="s">
        <v>142</v>
      </c>
      <c r="G1698" s="28" t="s">
        <v>148</v>
      </c>
      <c r="H1698" s="28" t="s">
        <v>200</v>
      </c>
      <c r="I1698" s="29" t="n">
        <v>3015000</v>
      </c>
      <c r="J1698" s="29" t="n">
        <v>2261250</v>
      </c>
      <c r="K1698" s="28" t="n">
        <v>7.5</v>
      </c>
      <c r="L1698" s="28" t="n">
        <v>111</v>
      </c>
      <c r="M1698" s="28" t="n">
        <v>21</v>
      </c>
    </row>
    <row r="1699" customFormat="false" ht="15" hidden="false" customHeight="false" outlineLevel="0" collapsed="false">
      <c r="A1699" s="27" t="n">
        <v>44756</v>
      </c>
      <c r="B1699" s="28" t="n">
        <v>2022</v>
      </c>
      <c r="C1699" s="28" t="s">
        <v>172</v>
      </c>
      <c r="D1699" s="28" t="s">
        <v>52</v>
      </c>
      <c r="E1699" s="28" t="s">
        <v>599</v>
      </c>
      <c r="F1699" s="28" t="s">
        <v>142</v>
      </c>
      <c r="G1699" s="28" t="s">
        <v>148</v>
      </c>
      <c r="H1699" s="28" t="s">
        <v>854</v>
      </c>
      <c r="I1699" s="29" t="n">
        <v>1319000</v>
      </c>
      <c r="J1699" s="29" t="n">
        <v>989250</v>
      </c>
      <c r="K1699" s="28" t="n">
        <v>7.5</v>
      </c>
      <c r="L1699" s="28" t="n">
        <v>120</v>
      </c>
      <c r="M1699" s="28" t="n">
        <v>31</v>
      </c>
    </row>
    <row r="1700" customFormat="false" ht="15" hidden="false" customHeight="false" outlineLevel="0" collapsed="false">
      <c r="A1700" s="27" t="n">
        <v>44756</v>
      </c>
      <c r="B1700" s="28" t="n">
        <v>2022</v>
      </c>
      <c r="C1700" s="28" t="s">
        <v>169</v>
      </c>
      <c r="D1700" s="28" t="s">
        <v>48</v>
      </c>
      <c r="E1700" s="28" t="s">
        <v>765</v>
      </c>
      <c r="F1700" s="28" t="s">
        <v>147</v>
      </c>
      <c r="G1700" s="28" t="s">
        <v>148</v>
      </c>
      <c r="H1700" s="28" t="s">
        <v>159</v>
      </c>
      <c r="I1700" s="29" t="n">
        <v>100000</v>
      </c>
      <c r="J1700" s="29" t="n">
        <v>50000</v>
      </c>
      <c r="K1700" s="28" t="n">
        <v>7.5</v>
      </c>
      <c r="L1700" s="28" t="n">
        <v>59</v>
      </c>
      <c r="M1700" s="28" t="n">
        <v>1</v>
      </c>
    </row>
    <row r="1701" customFormat="false" ht="15" hidden="false" customHeight="false" outlineLevel="0" collapsed="false">
      <c r="A1701" s="27" t="n">
        <v>44756</v>
      </c>
      <c r="B1701" s="28" t="n">
        <v>2022</v>
      </c>
      <c r="C1701" s="28" t="s">
        <v>140</v>
      </c>
      <c r="D1701" s="28" t="s">
        <v>50</v>
      </c>
      <c r="E1701" s="28" t="s">
        <v>785</v>
      </c>
      <c r="F1701" s="28" t="s">
        <v>142</v>
      </c>
      <c r="G1701" s="28" t="s">
        <v>143</v>
      </c>
      <c r="H1701" s="28" t="s">
        <v>287</v>
      </c>
      <c r="I1701" s="29" t="n">
        <v>150000</v>
      </c>
      <c r="J1701" s="29" t="n">
        <v>127500</v>
      </c>
      <c r="K1701" s="28" t="n">
        <v>7.5</v>
      </c>
      <c r="L1701" s="28" t="n">
        <v>120</v>
      </c>
      <c r="M1701" s="28" t="n">
        <v>6</v>
      </c>
    </row>
    <row r="1702" customFormat="false" ht="15" hidden="false" customHeight="false" outlineLevel="0" collapsed="false">
      <c r="A1702" s="27" t="n">
        <v>44756</v>
      </c>
      <c r="B1702" s="28" t="n">
        <v>2022</v>
      </c>
      <c r="C1702" s="28" t="s">
        <v>169</v>
      </c>
      <c r="D1702" s="28" t="s">
        <v>45</v>
      </c>
      <c r="E1702" s="28" t="s">
        <v>824</v>
      </c>
      <c r="F1702" s="28" t="s">
        <v>142</v>
      </c>
      <c r="G1702" s="28" t="s">
        <v>148</v>
      </c>
      <c r="H1702" s="28" t="s">
        <v>171</v>
      </c>
      <c r="I1702" s="29" t="n">
        <v>150000</v>
      </c>
      <c r="J1702" s="29" t="n">
        <v>127500</v>
      </c>
      <c r="K1702" s="28" t="n">
        <v>7.5</v>
      </c>
      <c r="L1702" s="28" t="n">
        <v>154</v>
      </c>
      <c r="M1702" s="28" t="n">
        <v>3</v>
      </c>
    </row>
    <row r="1703" customFormat="false" ht="15" hidden="false" customHeight="false" outlineLevel="0" collapsed="false">
      <c r="A1703" s="27" t="n">
        <v>44756</v>
      </c>
      <c r="B1703" s="28" t="n">
        <v>2022</v>
      </c>
      <c r="C1703" s="28" t="s">
        <v>169</v>
      </c>
      <c r="D1703" s="28" t="s">
        <v>48</v>
      </c>
      <c r="E1703" s="28" t="s">
        <v>765</v>
      </c>
      <c r="F1703" s="28" t="s">
        <v>147</v>
      </c>
      <c r="G1703" s="28" t="s">
        <v>148</v>
      </c>
      <c r="H1703" s="28" t="s">
        <v>159</v>
      </c>
      <c r="I1703" s="29" t="n">
        <v>250000</v>
      </c>
      <c r="J1703" s="29" t="n">
        <v>125000</v>
      </c>
      <c r="K1703" s="28" t="n">
        <v>8.5</v>
      </c>
      <c r="L1703" s="28" t="n">
        <v>117</v>
      </c>
      <c r="M1703" s="28" t="n">
        <v>1</v>
      </c>
    </row>
    <row r="1704" customFormat="false" ht="15" hidden="false" customHeight="false" outlineLevel="0" collapsed="false">
      <c r="A1704" s="27" t="n">
        <v>44756</v>
      </c>
      <c r="B1704" s="28" t="n">
        <v>2022</v>
      </c>
      <c r="C1704" s="28" t="s">
        <v>855</v>
      </c>
      <c r="D1704" s="28" t="s">
        <v>42</v>
      </c>
      <c r="E1704" s="28" t="s">
        <v>717</v>
      </c>
      <c r="F1704" s="28" t="s">
        <v>142</v>
      </c>
      <c r="G1704" s="28" t="s">
        <v>143</v>
      </c>
      <c r="H1704" s="28" t="s">
        <v>179</v>
      </c>
      <c r="I1704" s="29" t="n">
        <v>450000</v>
      </c>
      <c r="J1704" s="29" t="n">
        <v>337500</v>
      </c>
      <c r="K1704" s="28" t="n">
        <v>7.5</v>
      </c>
      <c r="L1704" s="28" t="n">
        <v>300</v>
      </c>
      <c r="M1704" s="28" t="n">
        <v>18</v>
      </c>
    </row>
    <row r="1705" customFormat="false" ht="15" hidden="false" customHeight="false" outlineLevel="0" collapsed="false">
      <c r="A1705" s="27" t="n">
        <v>44757</v>
      </c>
      <c r="B1705" s="28" t="n">
        <v>2022</v>
      </c>
      <c r="C1705" s="28" t="s">
        <v>500</v>
      </c>
      <c r="D1705" s="28" t="s">
        <v>48</v>
      </c>
      <c r="E1705" s="28" t="s">
        <v>594</v>
      </c>
      <c r="F1705" s="28" t="s">
        <v>142</v>
      </c>
      <c r="G1705" s="28" t="s">
        <v>148</v>
      </c>
      <c r="H1705" s="28" t="s">
        <v>771</v>
      </c>
      <c r="I1705" s="29" t="n">
        <v>15000</v>
      </c>
      <c r="J1705" s="29" t="n">
        <v>12750</v>
      </c>
      <c r="K1705" s="28" t="n">
        <v>7.5</v>
      </c>
      <c r="L1705" s="28" t="n">
        <v>115</v>
      </c>
      <c r="M1705" s="28" t="n">
        <v>16</v>
      </c>
    </row>
    <row r="1706" customFormat="false" ht="15" hidden="false" customHeight="false" outlineLevel="0" collapsed="false">
      <c r="A1706" s="27" t="n">
        <v>44757</v>
      </c>
      <c r="B1706" s="28" t="n">
        <v>2022</v>
      </c>
      <c r="C1706" s="28" t="s">
        <v>169</v>
      </c>
      <c r="D1706" s="28" t="s">
        <v>42</v>
      </c>
      <c r="E1706" s="28" t="s">
        <v>717</v>
      </c>
      <c r="F1706" s="28" t="s">
        <v>147</v>
      </c>
      <c r="G1706" s="28" t="s">
        <v>441</v>
      </c>
      <c r="H1706" s="28" t="s">
        <v>159</v>
      </c>
      <c r="I1706" s="29" t="n">
        <v>229600</v>
      </c>
      <c r="J1706" s="29" t="n">
        <v>114800</v>
      </c>
      <c r="K1706" s="28" t="n">
        <v>7</v>
      </c>
      <c r="L1706" s="28" t="n">
        <v>99</v>
      </c>
      <c r="M1706" s="28" t="n">
        <v>18</v>
      </c>
    </row>
    <row r="1707" customFormat="false" ht="15" hidden="false" customHeight="false" outlineLevel="0" collapsed="false">
      <c r="A1707" s="27" t="n">
        <v>44757</v>
      </c>
      <c r="B1707" s="28" t="n">
        <v>2022</v>
      </c>
      <c r="C1707" s="28" t="s">
        <v>163</v>
      </c>
      <c r="D1707" s="28" t="s">
        <v>43</v>
      </c>
      <c r="E1707" s="28" t="s">
        <v>317</v>
      </c>
      <c r="F1707" s="28" t="s">
        <v>142</v>
      </c>
      <c r="G1707" s="28" t="s">
        <v>148</v>
      </c>
      <c r="H1707" s="28" t="s">
        <v>200</v>
      </c>
      <c r="I1707" s="29" t="n">
        <v>350000</v>
      </c>
      <c r="J1707" s="29" t="n">
        <v>262500</v>
      </c>
      <c r="K1707" s="28" t="n">
        <v>7.5</v>
      </c>
      <c r="L1707" s="28" t="n">
        <v>120</v>
      </c>
      <c r="M1707" s="28" t="n">
        <v>2</v>
      </c>
    </row>
    <row r="1708" customFormat="false" ht="15" hidden="false" customHeight="false" outlineLevel="0" collapsed="false">
      <c r="A1708" s="27" t="n">
        <v>44757</v>
      </c>
      <c r="B1708" s="28" t="n">
        <v>2022</v>
      </c>
      <c r="C1708" s="28" t="s">
        <v>163</v>
      </c>
      <c r="D1708" s="28" t="s">
        <v>42</v>
      </c>
      <c r="E1708" s="28" t="s">
        <v>717</v>
      </c>
      <c r="F1708" s="28" t="s">
        <v>142</v>
      </c>
      <c r="G1708" s="28" t="s">
        <v>143</v>
      </c>
      <c r="H1708" s="28" t="s">
        <v>227</v>
      </c>
      <c r="I1708" s="29" t="n">
        <v>796500</v>
      </c>
      <c r="J1708" s="29" t="n">
        <v>597375</v>
      </c>
      <c r="K1708" s="28" t="n">
        <v>7.5</v>
      </c>
      <c r="L1708" s="28" t="n">
        <v>132</v>
      </c>
      <c r="M1708" s="28" t="n">
        <v>12</v>
      </c>
    </row>
    <row r="1709" customFormat="false" ht="15" hidden="false" customHeight="false" outlineLevel="0" collapsed="false">
      <c r="A1709" s="27" t="n">
        <v>44760</v>
      </c>
      <c r="B1709" s="28" t="n">
        <v>2022</v>
      </c>
      <c r="C1709" s="28" t="s">
        <v>166</v>
      </c>
      <c r="D1709" s="28" t="s">
        <v>42</v>
      </c>
      <c r="E1709" s="28" t="s">
        <v>784</v>
      </c>
      <c r="F1709" s="28" t="s">
        <v>147</v>
      </c>
      <c r="G1709" s="28" t="s">
        <v>148</v>
      </c>
      <c r="H1709" s="28" t="s">
        <v>149</v>
      </c>
      <c r="I1709" s="29" t="n">
        <v>95000</v>
      </c>
      <c r="J1709" s="29" t="n">
        <v>47500</v>
      </c>
      <c r="K1709" s="28" t="n">
        <v>7.5</v>
      </c>
      <c r="L1709" s="28" t="n">
        <v>120</v>
      </c>
      <c r="M1709" s="28" t="n">
        <v>9</v>
      </c>
    </row>
    <row r="1710" customFormat="false" ht="15" hidden="false" customHeight="false" outlineLevel="0" collapsed="false">
      <c r="A1710" s="27" t="n">
        <v>44760</v>
      </c>
      <c r="B1710" s="28" t="n">
        <v>2022</v>
      </c>
      <c r="C1710" s="28" t="s">
        <v>206</v>
      </c>
      <c r="D1710" s="28" t="s">
        <v>44</v>
      </c>
      <c r="E1710" s="28" t="s">
        <v>730</v>
      </c>
      <c r="F1710" s="28" t="s">
        <v>142</v>
      </c>
      <c r="G1710" s="28" t="s">
        <v>441</v>
      </c>
      <c r="H1710" s="28" t="s">
        <v>159</v>
      </c>
      <c r="I1710" s="29" t="n">
        <v>1269900</v>
      </c>
      <c r="J1710" s="29" t="n">
        <v>952425</v>
      </c>
      <c r="K1710" s="28" t="n">
        <v>6.25</v>
      </c>
      <c r="L1710" s="28" t="n">
        <v>129</v>
      </c>
      <c r="M1710" s="28" t="n">
        <v>63</v>
      </c>
    </row>
    <row r="1711" customFormat="false" ht="15" hidden="false" customHeight="false" outlineLevel="0" collapsed="false">
      <c r="A1711" s="27" t="n">
        <v>44760</v>
      </c>
      <c r="B1711" s="28" t="n">
        <v>2022</v>
      </c>
      <c r="C1711" s="28" t="s">
        <v>169</v>
      </c>
      <c r="D1711" s="28" t="s">
        <v>44</v>
      </c>
      <c r="E1711" s="28" t="s">
        <v>810</v>
      </c>
      <c r="F1711" s="28" t="s">
        <v>147</v>
      </c>
      <c r="G1711" s="28" t="s">
        <v>143</v>
      </c>
      <c r="H1711" s="28" t="s">
        <v>159</v>
      </c>
      <c r="I1711" s="29" t="n">
        <v>15000</v>
      </c>
      <c r="J1711" s="29" t="n">
        <v>7500</v>
      </c>
      <c r="K1711" s="28" t="n">
        <v>11.25</v>
      </c>
      <c r="L1711" s="28" t="n">
        <v>120</v>
      </c>
      <c r="M1711" s="28" t="n">
        <v>5</v>
      </c>
    </row>
    <row r="1712" customFormat="false" ht="15" hidden="false" customHeight="false" outlineLevel="0" collapsed="false">
      <c r="A1712" s="27" t="n">
        <v>44761</v>
      </c>
      <c r="B1712" s="28" t="n">
        <v>2022</v>
      </c>
      <c r="C1712" s="28" t="s">
        <v>163</v>
      </c>
      <c r="D1712" s="28" t="s">
        <v>45</v>
      </c>
      <c r="E1712" s="28" t="s">
        <v>856</v>
      </c>
      <c r="F1712" s="28" t="s">
        <v>142</v>
      </c>
      <c r="G1712" s="28" t="s">
        <v>148</v>
      </c>
      <c r="H1712" s="28" t="s">
        <v>291</v>
      </c>
      <c r="I1712" s="29" t="n">
        <v>100000</v>
      </c>
      <c r="J1712" s="29" t="n">
        <v>50000</v>
      </c>
      <c r="K1712" s="28" t="n">
        <v>7.25</v>
      </c>
      <c r="L1712" s="28" t="n">
        <v>120</v>
      </c>
      <c r="M1712" s="28" t="n">
        <v>76</v>
      </c>
    </row>
    <row r="1713" customFormat="false" ht="15" hidden="false" customHeight="false" outlineLevel="0" collapsed="false">
      <c r="A1713" s="27" t="n">
        <v>44761</v>
      </c>
      <c r="B1713" s="28" t="n">
        <v>2022</v>
      </c>
      <c r="C1713" s="28" t="s">
        <v>163</v>
      </c>
      <c r="D1713" s="28" t="s">
        <v>45</v>
      </c>
      <c r="E1713" s="28" t="s">
        <v>856</v>
      </c>
      <c r="F1713" s="28" t="s">
        <v>142</v>
      </c>
      <c r="G1713" s="28" t="s">
        <v>148</v>
      </c>
      <c r="H1713" s="28" t="s">
        <v>291</v>
      </c>
      <c r="I1713" s="29" t="n">
        <v>1232000</v>
      </c>
      <c r="J1713" s="29" t="n">
        <v>924000</v>
      </c>
      <c r="K1713" s="28" t="n">
        <v>6.75</v>
      </c>
      <c r="L1713" s="28" t="n">
        <v>108</v>
      </c>
      <c r="M1713" s="28" t="n">
        <v>76</v>
      </c>
    </row>
    <row r="1714" customFormat="false" ht="15" hidden="false" customHeight="false" outlineLevel="0" collapsed="false">
      <c r="A1714" s="27" t="n">
        <v>44761</v>
      </c>
      <c r="B1714" s="28" t="n">
        <v>2022</v>
      </c>
      <c r="C1714" s="28" t="s">
        <v>163</v>
      </c>
      <c r="D1714" s="28" t="s">
        <v>49</v>
      </c>
      <c r="E1714" s="28" t="s">
        <v>857</v>
      </c>
      <c r="F1714" s="28" t="s">
        <v>147</v>
      </c>
      <c r="G1714" s="28" t="s">
        <v>441</v>
      </c>
      <c r="H1714" s="28" t="s">
        <v>168</v>
      </c>
      <c r="I1714" s="29" t="n">
        <v>15000</v>
      </c>
      <c r="J1714" s="29" t="n">
        <v>7500</v>
      </c>
      <c r="K1714" s="28" t="n">
        <v>10.25</v>
      </c>
      <c r="L1714" s="28" t="n">
        <v>120</v>
      </c>
      <c r="M1714" s="28" t="n">
        <v>0</v>
      </c>
    </row>
    <row r="1715" customFormat="false" ht="15" hidden="false" customHeight="false" outlineLevel="0" collapsed="false">
      <c r="A1715" s="27" t="n">
        <v>44761</v>
      </c>
      <c r="B1715" s="28" t="n">
        <v>2022</v>
      </c>
      <c r="C1715" s="28" t="s">
        <v>172</v>
      </c>
      <c r="D1715" s="28" t="s">
        <v>43</v>
      </c>
      <c r="E1715" s="28" t="s">
        <v>858</v>
      </c>
      <c r="F1715" s="28" t="s">
        <v>147</v>
      </c>
      <c r="G1715" s="28" t="s">
        <v>152</v>
      </c>
      <c r="H1715" s="28" t="s">
        <v>159</v>
      </c>
      <c r="I1715" s="29" t="n">
        <v>200000</v>
      </c>
      <c r="J1715" s="29" t="n">
        <v>100000</v>
      </c>
      <c r="K1715" s="28" t="n">
        <v>7.25</v>
      </c>
      <c r="L1715" s="28" t="n">
        <v>120</v>
      </c>
      <c r="M1715" s="28" t="n">
        <v>22</v>
      </c>
    </row>
    <row r="1716" customFormat="false" ht="15" hidden="false" customHeight="false" outlineLevel="0" collapsed="false">
      <c r="A1716" s="27" t="n">
        <v>44761</v>
      </c>
      <c r="B1716" s="28" t="n">
        <v>2022</v>
      </c>
      <c r="C1716" s="28" t="s">
        <v>172</v>
      </c>
      <c r="D1716" s="28" t="s">
        <v>43</v>
      </c>
      <c r="E1716" s="28" t="s">
        <v>858</v>
      </c>
      <c r="F1716" s="28" t="s">
        <v>142</v>
      </c>
      <c r="G1716" s="28" t="s">
        <v>152</v>
      </c>
      <c r="H1716" s="28" t="s">
        <v>159</v>
      </c>
      <c r="I1716" s="29" t="n">
        <v>873000</v>
      </c>
      <c r="J1716" s="29" t="n">
        <v>654750</v>
      </c>
      <c r="K1716" s="28" t="n">
        <v>7</v>
      </c>
      <c r="L1716" s="28" t="n">
        <v>126</v>
      </c>
      <c r="M1716" s="28" t="n">
        <v>22</v>
      </c>
    </row>
    <row r="1717" customFormat="false" ht="15" hidden="false" customHeight="false" outlineLevel="0" collapsed="false">
      <c r="A1717" s="27" t="n">
        <v>44762</v>
      </c>
      <c r="B1717" s="28" t="n">
        <v>2022</v>
      </c>
      <c r="C1717" s="28" t="s">
        <v>163</v>
      </c>
      <c r="D1717" s="28" t="s">
        <v>43</v>
      </c>
      <c r="E1717" s="28" t="s">
        <v>859</v>
      </c>
      <c r="F1717" s="28" t="s">
        <v>142</v>
      </c>
      <c r="G1717" s="28" t="s">
        <v>152</v>
      </c>
      <c r="H1717" s="28" t="s">
        <v>269</v>
      </c>
      <c r="I1717" s="29" t="n">
        <v>1485000</v>
      </c>
      <c r="J1717" s="29" t="n">
        <v>1113750</v>
      </c>
      <c r="K1717" s="28" t="n">
        <v>6.5</v>
      </c>
      <c r="L1717" s="28" t="n">
        <v>300</v>
      </c>
      <c r="M1717" s="28" t="n">
        <v>4</v>
      </c>
    </row>
    <row r="1718" customFormat="false" ht="15" hidden="false" customHeight="false" outlineLevel="0" collapsed="false">
      <c r="A1718" s="27" t="n">
        <v>44762</v>
      </c>
      <c r="B1718" s="28" t="n">
        <v>2022</v>
      </c>
      <c r="C1718" s="28" t="s">
        <v>344</v>
      </c>
      <c r="D1718" s="28" t="s">
        <v>52</v>
      </c>
      <c r="E1718" s="28" t="s">
        <v>860</v>
      </c>
      <c r="F1718" s="28" t="s">
        <v>147</v>
      </c>
      <c r="G1718" s="28" t="s">
        <v>143</v>
      </c>
      <c r="H1718" s="28" t="s">
        <v>159</v>
      </c>
      <c r="I1718" s="29" t="n">
        <v>10000</v>
      </c>
      <c r="J1718" s="29" t="n">
        <v>5000</v>
      </c>
      <c r="K1718" s="28" t="n">
        <v>11.25</v>
      </c>
      <c r="L1718" s="28" t="n">
        <v>102</v>
      </c>
      <c r="M1718" s="28" t="n">
        <v>1</v>
      </c>
    </row>
    <row r="1719" customFormat="false" ht="15" hidden="false" customHeight="false" outlineLevel="0" collapsed="false">
      <c r="A1719" s="27" t="n">
        <v>44762</v>
      </c>
      <c r="B1719" s="28" t="n">
        <v>2022</v>
      </c>
      <c r="C1719" s="28" t="s">
        <v>206</v>
      </c>
      <c r="D1719" s="28" t="s">
        <v>48</v>
      </c>
      <c r="E1719" s="28" t="s">
        <v>712</v>
      </c>
      <c r="F1719" s="28" t="s">
        <v>142</v>
      </c>
      <c r="G1719" s="28" t="s">
        <v>148</v>
      </c>
      <c r="H1719" s="28" t="s">
        <v>165</v>
      </c>
      <c r="I1719" s="29" t="n">
        <v>635000</v>
      </c>
      <c r="J1719" s="29" t="n">
        <v>476250</v>
      </c>
      <c r="K1719" s="28" t="n">
        <v>6.75</v>
      </c>
      <c r="L1719" s="28" t="n">
        <v>120</v>
      </c>
      <c r="M1719" s="28" t="n">
        <v>43</v>
      </c>
    </row>
    <row r="1720" customFormat="false" ht="15" hidden="false" customHeight="false" outlineLevel="0" collapsed="false">
      <c r="A1720" s="27" t="n">
        <v>44762</v>
      </c>
      <c r="B1720" s="28" t="n">
        <v>2022</v>
      </c>
      <c r="C1720" s="28" t="s">
        <v>344</v>
      </c>
      <c r="D1720" s="28" t="s">
        <v>52</v>
      </c>
      <c r="E1720" s="28" t="s">
        <v>860</v>
      </c>
      <c r="F1720" s="28" t="s">
        <v>147</v>
      </c>
      <c r="G1720" s="28" t="s">
        <v>143</v>
      </c>
      <c r="H1720" s="28" t="s">
        <v>159</v>
      </c>
      <c r="I1720" s="29" t="n">
        <v>25200</v>
      </c>
      <c r="J1720" s="29" t="n">
        <v>12600</v>
      </c>
      <c r="K1720" s="28" t="n">
        <v>8.99</v>
      </c>
      <c r="L1720" s="28" t="n">
        <v>60</v>
      </c>
      <c r="M1720" s="28" t="n">
        <v>1</v>
      </c>
    </row>
    <row r="1721" customFormat="false" ht="15" hidden="false" customHeight="false" outlineLevel="0" collapsed="false">
      <c r="A1721" s="27" t="n">
        <v>44762</v>
      </c>
      <c r="B1721" s="28" t="n">
        <v>2022</v>
      </c>
      <c r="C1721" s="28" t="s">
        <v>243</v>
      </c>
      <c r="D1721" s="28" t="s">
        <v>44</v>
      </c>
      <c r="E1721" s="28" t="s">
        <v>167</v>
      </c>
      <c r="F1721" s="28" t="s">
        <v>142</v>
      </c>
      <c r="G1721" s="28" t="s">
        <v>148</v>
      </c>
      <c r="H1721" s="28" t="s">
        <v>200</v>
      </c>
      <c r="I1721" s="29" t="n">
        <v>295000</v>
      </c>
      <c r="J1721" s="29" t="n">
        <v>221250</v>
      </c>
      <c r="K1721" s="28" t="n">
        <v>7.5</v>
      </c>
      <c r="L1721" s="28" t="n">
        <v>300</v>
      </c>
      <c r="M1721" s="28" t="n">
        <v>80</v>
      </c>
    </row>
    <row r="1722" customFormat="false" ht="15" hidden="false" customHeight="false" outlineLevel="0" collapsed="false">
      <c r="A1722" s="27" t="n">
        <v>44762</v>
      </c>
      <c r="B1722" s="28" t="n">
        <v>2022</v>
      </c>
      <c r="C1722" s="28" t="s">
        <v>316</v>
      </c>
      <c r="D1722" s="28" t="s">
        <v>47</v>
      </c>
      <c r="E1722" s="28" t="s">
        <v>776</v>
      </c>
      <c r="F1722" s="28" t="s">
        <v>142</v>
      </c>
      <c r="G1722" s="28" t="s">
        <v>148</v>
      </c>
      <c r="H1722" s="28" t="s">
        <v>211</v>
      </c>
      <c r="I1722" s="29" t="n">
        <v>125000</v>
      </c>
      <c r="J1722" s="29" t="n">
        <v>106250</v>
      </c>
      <c r="K1722" s="28" t="n">
        <v>7.5</v>
      </c>
      <c r="L1722" s="28" t="n">
        <v>120</v>
      </c>
      <c r="M1722" s="28" t="n">
        <v>16</v>
      </c>
    </row>
    <row r="1723" customFormat="false" ht="15" hidden="false" customHeight="false" outlineLevel="0" collapsed="false">
      <c r="A1723" s="27" t="n">
        <v>44762</v>
      </c>
      <c r="B1723" s="28" t="n">
        <v>2022</v>
      </c>
      <c r="C1723" s="28" t="s">
        <v>206</v>
      </c>
      <c r="D1723" s="28" t="s">
        <v>48</v>
      </c>
      <c r="E1723" s="28" t="s">
        <v>712</v>
      </c>
      <c r="F1723" s="28" t="s">
        <v>147</v>
      </c>
      <c r="G1723" s="28" t="s">
        <v>148</v>
      </c>
      <c r="H1723" s="28" t="s">
        <v>165</v>
      </c>
      <c r="I1723" s="29" t="n">
        <v>300000</v>
      </c>
      <c r="J1723" s="29" t="n">
        <v>150000</v>
      </c>
      <c r="K1723" s="28" t="n">
        <v>7.5</v>
      </c>
      <c r="L1723" s="28" t="n">
        <v>84</v>
      </c>
      <c r="M1723" s="28" t="n">
        <v>43</v>
      </c>
    </row>
    <row r="1724" customFormat="false" ht="15" hidden="false" customHeight="false" outlineLevel="0" collapsed="false">
      <c r="A1724" s="27" t="n">
        <v>44763</v>
      </c>
      <c r="B1724" s="28" t="n">
        <v>2022</v>
      </c>
      <c r="C1724" s="28" t="s">
        <v>169</v>
      </c>
      <c r="D1724" s="28" t="s">
        <v>46</v>
      </c>
      <c r="E1724" s="28" t="s">
        <v>727</v>
      </c>
      <c r="F1724" s="28" t="s">
        <v>142</v>
      </c>
      <c r="G1724" s="28" t="s">
        <v>148</v>
      </c>
      <c r="H1724" s="28" t="s">
        <v>211</v>
      </c>
      <c r="I1724" s="29" t="n">
        <v>350000</v>
      </c>
      <c r="J1724" s="29" t="n">
        <v>262500</v>
      </c>
      <c r="K1724" s="28" t="n">
        <v>7.5</v>
      </c>
      <c r="L1724" s="28" t="n">
        <v>120</v>
      </c>
      <c r="M1724" s="28" t="n">
        <v>33</v>
      </c>
    </row>
    <row r="1725" customFormat="false" ht="15" hidden="false" customHeight="false" outlineLevel="0" collapsed="false">
      <c r="A1725" s="27" t="n">
        <v>44764</v>
      </c>
      <c r="B1725" s="28" t="n">
        <v>2022</v>
      </c>
      <c r="C1725" s="28" t="s">
        <v>169</v>
      </c>
      <c r="D1725" s="28" t="s">
        <v>60</v>
      </c>
      <c r="E1725" s="28" t="s">
        <v>861</v>
      </c>
      <c r="F1725" s="28" t="s">
        <v>142</v>
      </c>
      <c r="G1725" s="28" t="s">
        <v>148</v>
      </c>
      <c r="H1725" s="28" t="s">
        <v>165</v>
      </c>
      <c r="I1725" s="29" t="n">
        <v>1858000</v>
      </c>
      <c r="J1725" s="29" t="n">
        <v>1393500</v>
      </c>
      <c r="K1725" s="28" t="n">
        <v>6.25</v>
      </c>
      <c r="L1725" s="28" t="n">
        <v>120</v>
      </c>
      <c r="M1725" s="28" t="n">
        <v>1</v>
      </c>
    </row>
    <row r="1726" customFormat="false" ht="15" hidden="false" customHeight="false" outlineLevel="0" collapsed="false">
      <c r="A1726" s="27" t="n">
        <v>44764</v>
      </c>
      <c r="B1726" s="28" t="n">
        <v>2022</v>
      </c>
      <c r="C1726" s="28" t="s">
        <v>157</v>
      </c>
      <c r="D1726" s="28" t="s">
        <v>42</v>
      </c>
      <c r="E1726" s="28" t="s">
        <v>705</v>
      </c>
      <c r="F1726" s="28" t="s">
        <v>194</v>
      </c>
      <c r="G1726" s="28" t="s">
        <v>152</v>
      </c>
      <c r="H1726" s="28" t="s">
        <v>862</v>
      </c>
      <c r="I1726" s="29" t="n">
        <v>1530000</v>
      </c>
      <c r="J1726" s="29" t="n">
        <v>1147500</v>
      </c>
      <c r="K1726" s="28" t="n">
        <v>6.5</v>
      </c>
      <c r="L1726" s="28" t="n">
        <v>300</v>
      </c>
      <c r="M1726" s="28" t="n">
        <v>4</v>
      </c>
    </row>
    <row r="1727" customFormat="false" ht="15" hidden="false" customHeight="false" outlineLevel="0" collapsed="false">
      <c r="A1727" s="27" t="n">
        <v>44767</v>
      </c>
      <c r="B1727" s="28" t="n">
        <v>2022</v>
      </c>
      <c r="C1727" s="28" t="s">
        <v>206</v>
      </c>
      <c r="D1727" s="28" t="s">
        <v>48</v>
      </c>
      <c r="E1727" s="28" t="s">
        <v>362</v>
      </c>
      <c r="F1727" s="28" t="s">
        <v>142</v>
      </c>
      <c r="G1727" s="28" t="s">
        <v>148</v>
      </c>
      <c r="H1727" s="28" t="s">
        <v>171</v>
      </c>
      <c r="I1727" s="29" t="n">
        <v>150000</v>
      </c>
      <c r="J1727" s="29" t="n">
        <v>127500</v>
      </c>
      <c r="K1727" s="28" t="n">
        <v>7.5</v>
      </c>
      <c r="L1727" s="28" t="n">
        <v>120</v>
      </c>
      <c r="M1727" s="28" t="n">
        <v>11</v>
      </c>
    </row>
    <row r="1728" customFormat="false" ht="15" hidden="false" customHeight="false" outlineLevel="0" collapsed="false">
      <c r="A1728" s="27" t="n">
        <v>44768</v>
      </c>
      <c r="B1728" s="28" t="n">
        <v>2022</v>
      </c>
      <c r="C1728" s="28" t="s">
        <v>172</v>
      </c>
      <c r="D1728" s="28" t="s">
        <v>44</v>
      </c>
      <c r="E1728" s="28" t="s">
        <v>863</v>
      </c>
      <c r="F1728" s="28" t="s">
        <v>147</v>
      </c>
      <c r="G1728" s="28" t="s">
        <v>148</v>
      </c>
      <c r="H1728" s="28" t="s">
        <v>248</v>
      </c>
      <c r="I1728" s="29" t="n">
        <v>50000</v>
      </c>
      <c r="J1728" s="29" t="n">
        <v>25000</v>
      </c>
      <c r="K1728" s="28" t="n">
        <v>6.5</v>
      </c>
      <c r="L1728" s="28" t="n">
        <v>60</v>
      </c>
      <c r="M1728" s="28" t="n">
        <v>2</v>
      </c>
    </row>
    <row r="1729" customFormat="false" ht="15" hidden="false" customHeight="false" outlineLevel="0" collapsed="false">
      <c r="A1729" s="27" t="n">
        <v>44769</v>
      </c>
      <c r="B1729" s="28" t="n">
        <v>2022</v>
      </c>
      <c r="C1729" s="28" t="s">
        <v>172</v>
      </c>
      <c r="D1729" s="28" t="s">
        <v>48</v>
      </c>
      <c r="E1729" s="28" t="s">
        <v>210</v>
      </c>
      <c r="F1729" s="28" t="s">
        <v>147</v>
      </c>
      <c r="G1729" s="28" t="s">
        <v>148</v>
      </c>
      <c r="H1729" s="28" t="s">
        <v>211</v>
      </c>
      <c r="I1729" s="29" t="n">
        <v>50000</v>
      </c>
      <c r="J1729" s="29" t="n">
        <v>25000</v>
      </c>
      <c r="K1729" s="28" t="n">
        <v>7.25</v>
      </c>
      <c r="L1729" s="28" t="n">
        <v>120</v>
      </c>
      <c r="M1729" s="28" t="n">
        <v>4</v>
      </c>
    </row>
    <row r="1730" customFormat="false" ht="15" hidden="false" customHeight="false" outlineLevel="0" collapsed="false">
      <c r="A1730" s="27" t="n">
        <v>44769</v>
      </c>
      <c r="B1730" s="28" t="n">
        <v>2022</v>
      </c>
      <c r="C1730" s="28" t="s">
        <v>140</v>
      </c>
      <c r="D1730" s="28" t="s">
        <v>44</v>
      </c>
      <c r="E1730" s="28" t="s">
        <v>755</v>
      </c>
      <c r="F1730" s="28" t="s">
        <v>142</v>
      </c>
      <c r="G1730" s="28" t="s">
        <v>148</v>
      </c>
      <c r="H1730" s="28" t="s">
        <v>171</v>
      </c>
      <c r="I1730" s="29" t="n">
        <v>150000</v>
      </c>
      <c r="J1730" s="29" t="n">
        <v>127500</v>
      </c>
      <c r="K1730" s="28" t="n">
        <v>7.5</v>
      </c>
      <c r="L1730" s="28" t="n">
        <v>120</v>
      </c>
      <c r="M1730" s="28" t="n">
        <v>6</v>
      </c>
    </row>
    <row r="1731" customFormat="false" ht="15" hidden="false" customHeight="false" outlineLevel="0" collapsed="false">
      <c r="A1731" s="27" t="n">
        <v>44769</v>
      </c>
      <c r="B1731" s="28" t="n">
        <v>2022</v>
      </c>
      <c r="C1731" s="28" t="s">
        <v>172</v>
      </c>
      <c r="D1731" s="28" t="s">
        <v>48</v>
      </c>
      <c r="E1731" s="28" t="s">
        <v>210</v>
      </c>
      <c r="F1731" s="28" t="s">
        <v>142</v>
      </c>
      <c r="G1731" s="28" t="s">
        <v>152</v>
      </c>
      <c r="H1731" s="28" t="s">
        <v>211</v>
      </c>
      <c r="I1731" s="29" t="n">
        <v>550500</v>
      </c>
      <c r="J1731" s="29" t="n">
        <v>412875</v>
      </c>
      <c r="K1731" s="28" t="n">
        <v>7.25</v>
      </c>
      <c r="L1731" s="28" t="n">
        <v>120</v>
      </c>
      <c r="M1731" s="28" t="n">
        <v>4</v>
      </c>
    </row>
    <row r="1732" customFormat="false" ht="15" hidden="false" customHeight="false" outlineLevel="0" collapsed="false">
      <c r="A1732" s="27" t="n">
        <v>44770</v>
      </c>
      <c r="B1732" s="28" t="n">
        <v>2022</v>
      </c>
      <c r="C1732" s="28" t="s">
        <v>203</v>
      </c>
      <c r="D1732" s="28" t="s">
        <v>45</v>
      </c>
      <c r="E1732" s="28" t="s">
        <v>864</v>
      </c>
      <c r="F1732" s="28" t="s">
        <v>142</v>
      </c>
      <c r="G1732" s="28" t="s">
        <v>143</v>
      </c>
      <c r="H1732" s="28" t="s">
        <v>179</v>
      </c>
      <c r="I1732" s="29" t="n">
        <v>630000</v>
      </c>
      <c r="J1732" s="29" t="n">
        <v>472500</v>
      </c>
      <c r="K1732" s="28" t="n">
        <v>6.375</v>
      </c>
      <c r="L1732" s="28" t="n">
        <v>120</v>
      </c>
      <c r="M1732" s="28" t="n">
        <v>40</v>
      </c>
    </row>
    <row r="1733" customFormat="false" ht="15" hidden="false" customHeight="false" outlineLevel="0" collapsed="false">
      <c r="A1733" s="27" t="n">
        <v>44770</v>
      </c>
      <c r="B1733" s="28" t="n">
        <v>2022</v>
      </c>
      <c r="C1733" s="28" t="s">
        <v>303</v>
      </c>
      <c r="D1733" s="28" t="s">
        <v>42</v>
      </c>
      <c r="E1733" s="28" t="s">
        <v>176</v>
      </c>
      <c r="F1733" s="28" t="s">
        <v>142</v>
      </c>
      <c r="G1733" s="28" t="s">
        <v>441</v>
      </c>
      <c r="H1733" s="28" t="s">
        <v>275</v>
      </c>
      <c r="I1733" s="29" t="n">
        <v>71500</v>
      </c>
      <c r="J1733" s="29" t="n">
        <v>60775</v>
      </c>
      <c r="K1733" s="28" t="n">
        <v>7.5</v>
      </c>
      <c r="L1733" s="28" t="n">
        <v>120</v>
      </c>
      <c r="M1733" s="28" t="n">
        <v>2</v>
      </c>
    </row>
    <row r="1734" customFormat="false" ht="15" hidden="false" customHeight="false" outlineLevel="0" collapsed="false">
      <c r="A1734" s="27" t="n">
        <v>44770</v>
      </c>
      <c r="B1734" s="28" t="n">
        <v>2022</v>
      </c>
      <c r="C1734" s="28" t="s">
        <v>166</v>
      </c>
      <c r="D1734" s="28" t="s">
        <v>47</v>
      </c>
      <c r="E1734" s="28" t="s">
        <v>865</v>
      </c>
      <c r="F1734" s="28" t="s">
        <v>283</v>
      </c>
      <c r="G1734" s="28" t="s">
        <v>143</v>
      </c>
      <c r="H1734" s="28" t="s">
        <v>693</v>
      </c>
      <c r="I1734" s="29" t="n">
        <v>45000</v>
      </c>
      <c r="J1734" s="29" t="n">
        <v>38250</v>
      </c>
      <c r="K1734" s="28" t="n">
        <v>8.75</v>
      </c>
      <c r="L1734" s="28" t="n">
        <v>72</v>
      </c>
      <c r="M1734" s="28" t="n">
        <v>2</v>
      </c>
    </row>
    <row r="1735" customFormat="false" ht="15" hidden="false" customHeight="false" outlineLevel="0" collapsed="false">
      <c r="A1735" s="27" t="n">
        <v>44770</v>
      </c>
      <c r="B1735" s="28" t="n">
        <v>2022</v>
      </c>
      <c r="C1735" s="28" t="s">
        <v>216</v>
      </c>
      <c r="D1735" s="28" t="s">
        <v>47</v>
      </c>
      <c r="E1735" s="28" t="s">
        <v>866</v>
      </c>
      <c r="F1735" s="28" t="s">
        <v>142</v>
      </c>
      <c r="G1735" s="28" t="s">
        <v>441</v>
      </c>
      <c r="H1735" s="28" t="s">
        <v>577</v>
      </c>
      <c r="I1735" s="29" t="n">
        <v>1495000</v>
      </c>
      <c r="J1735" s="29" t="n">
        <v>1121250</v>
      </c>
      <c r="K1735" s="28" t="n">
        <v>6</v>
      </c>
      <c r="L1735" s="28" t="n">
        <v>120</v>
      </c>
      <c r="M1735" s="28" t="n">
        <v>6</v>
      </c>
    </row>
    <row r="1736" customFormat="false" ht="15" hidden="false" customHeight="false" outlineLevel="0" collapsed="false">
      <c r="A1736" s="27" t="n">
        <v>44770</v>
      </c>
      <c r="B1736" s="28" t="n">
        <v>2022</v>
      </c>
      <c r="C1736" s="28" t="s">
        <v>216</v>
      </c>
      <c r="D1736" s="28" t="s">
        <v>47</v>
      </c>
      <c r="E1736" s="28" t="s">
        <v>866</v>
      </c>
      <c r="F1736" s="28" t="s">
        <v>147</v>
      </c>
      <c r="G1736" s="28" t="s">
        <v>148</v>
      </c>
      <c r="H1736" s="28" t="s">
        <v>577</v>
      </c>
      <c r="I1736" s="29" t="n">
        <v>250000</v>
      </c>
      <c r="J1736" s="29" t="n">
        <v>125000</v>
      </c>
      <c r="K1736" s="28" t="n">
        <v>7.5</v>
      </c>
      <c r="L1736" s="28" t="n">
        <v>120</v>
      </c>
      <c r="M1736" s="28" t="n">
        <v>6</v>
      </c>
    </row>
    <row r="1737" customFormat="false" ht="15" hidden="false" customHeight="false" outlineLevel="0" collapsed="false">
      <c r="A1737" s="27" t="n">
        <v>44771</v>
      </c>
      <c r="B1737" s="28" t="n">
        <v>2022</v>
      </c>
      <c r="C1737" s="28" t="s">
        <v>460</v>
      </c>
      <c r="D1737" s="28" t="s">
        <v>48</v>
      </c>
      <c r="E1737" s="28" t="s">
        <v>765</v>
      </c>
      <c r="F1737" s="28" t="s">
        <v>142</v>
      </c>
      <c r="G1737" s="28" t="s">
        <v>148</v>
      </c>
      <c r="H1737" s="28" t="s">
        <v>845</v>
      </c>
      <c r="I1737" s="29" t="n">
        <v>369000</v>
      </c>
      <c r="J1737" s="29" t="n">
        <v>276750</v>
      </c>
      <c r="K1737" s="28" t="n">
        <v>7.5</v>
      </c>
      <c r="L1737" s="28" t="n">
        <v>300</v>
      </c>
      <c r="M1737" s="28" t="n">
        <v>7</v>
      </c>
    </row>
    <row r="1738" customFormat="false" ht="15" hidden="false" customHeight="false" outlineLevel="0" collapsed="false">
      <c r="A1738" s="27" t="n">
        <v>44771</v>
      </c>
      <c r="B1738" s="28" t="n">
        <v>2022</v>
      </c>
      <c r="C1738" s="28" t="s">
        <v>145</v>
      </c>
      <c r="D1738" s="28" t="s">
        <v>52</v>
      </c>
      <c r="E1738" s="28" t="s">
        <v>599</v>
      </c>
      <c r="F1738" s="28" t="s">
        <v>142</v>
      </c>
      <c r="G1738" s="28" t="s">
        <v>148</v>
      </c>
      <c r="H1738" s="28" t="s">
        <v>162</v>
      </c>
      <c r="I1738" s="29" t="n">
        <v>945000</v>
      </c>
      <c r="J1738" s="29" t="n">
        <v>708750</v>
      </c>
      <c r="K1738" s="28" t="n">
        <v>3.24</v>
      </c>
      <c r="L1738" s="28" t="n">
        <v>120</v>
      </c>
      <c r="M1738" s="28" t="n">
        <v>50</v>
      </c>
    </row>
    <row r="1739" customFormat="false" ht="15" hidden="false" customHeight="false" outlineLevel="0" collapsed="false">
      <c r="A1739" s="27" t="n">
        <v>44772</v>
      </c>
      <c r="B1739" s="28" t="n">
        <v>2022</v>
      </c>
      <c r="C1739" s="28" t="s">
        <v>235</v>
      </c>
      <c r="D1739" s="28" t="s">
        <v>42</v>
      </c>
      <c r="E1739" s="28" t="s">
        <v>705</v>
      </c>
      <c r="F1739" s="28" t="s">
        <v>142</v>
      </c>
      <c r="G1739" s="28" t="s">
        <v>152</v>
      </c>
      <c r="H1739" s="28" t="s">
        <v>211</v>
      </c>
      <c r="I1739" s="29" t="n">
        <v>2800000</v>
      </c>
      <c r="J1739" s="29" t="n">
        <v>2100000</v>
      </c>
      <c r="K1739" s="28" t="n">
        <v>7</v>
      </c>
      <c r="L1739" s="28" t="n">
        <v>300</v>
      </c>
      <c r="M1739" s="28" t="n">
        <v>12</v>
      </c>
    </row>
    <row r="1740" customFormat="false" ht="15" hidden="false" customHeight="false" outlineLevel="0" collapsed="false">
      <c r="A1740" s="27" t="n">
        <v>44772</v>
      </c>
      <c r="B1740" s="28" t="n">
        <v>2022</v>
      </c>
      <c r="C1740" s="28" t="s">
        <v>166</v>
      </c>
      <c r="D1740" s="28" t="s">
        <v>42</v>
      </c>
      <c r="E1740" s="28" t="s">
        <v>828</v>
      </c>
      <c r="F1740" s="28" t="s">
        <v>194</v>
      </c>
      <c r="G1740" s="28" t="s">
        <v>148</v>
      </c>
      <c r="H1740" s="28" t="s">
        <v>278</v>
      </c>
      <c r="I1740" s="29" t="n">
        <v>655000</v>
      </c>
      <c r="J1740" s="29" t="n">
        <v>491250</v>
      </c>
      <c r="K1740" s="28" t="n">
        <v>5.99</v>
      </c>
      <c r="L1740" s="28" t="n">
        <v>300</v>
      </c>
      <c r="M1740" s="28" t="n">
        <v>12</v>
      </c>
    </row>
    <row r="1741" customFormat="false" ht="15" hidden="false" customHeight="false" outlineLevel="0" collapsed="false">
      <c r="A1741" s="27" t="n">
        <v>44774</v>
      </c>
      <c r="B1741" s="28" t="n">
        <v>2022</v>
      </c>
      <c r="C1741" s="28" t="s">
        <v>201</v>
      </c>
      <c r="D1741" s="28" t="s">
        <v>43</v>
      </c>
      <c r="E1741" s="28" t="s">
        <v>830</v>
      </c>
      <c r="F1741" s="28" t="s">
        <v>147</v>
      </c>
      <c r="G1741" s="28" t="s">
        <v>148</v>
      </c>
      <c r="H1741" s="28" t="s">
        <v>159</v>
      </c>
      <c r="I1741" s="29" t="n">
        <v>25000</v>
      </c>
      <c r="J1741" s="29" t="n">
        <v>12500</v>
      </c>
      <c r="K1741" s="28" t="n">
        <v>10</v>
      </c>
      <c r="L1741" s="28" t="n">
        <v>61</v>
      </c>
      <c r="M1741" s="28" t="n">
        <v>0</v>
      </c>
    </row>
    <row r="1742" customFormat="false" ht="15" hidden="false" customHeight="false" outlineLevel="0" collapsed="false">
      <c r="A1742" s="27" t="n">
        <v>44774</v>
      </c>
      <c r="B1742" s="28" t="n">
        <v>2022</v>
      </c>
      <c r="C1742" s="28" t="s">
        <v>206</v>
      </c>
      <c r="D1742" s="28" t="s">
        <v>43</v>
      </c>
      <c r="E1742" s="28" t="s">
        <v>698</v>
      </c>
      <c r="F1742" s="28" t="s">
        <v>147</v>
      </c>
      <c r="G1742" s="28" t="s">
        <v>441</v>
      </c>
      <c r="H1742" s="28" t="s">
        <v>159</v>
      </c>
      <c r="I1742" s="29" t="n">
        <v>50000</v>
      </c>
      <c r="J1742" s="29" t="n">
        <v>25000</v>
      </c>
      <c r="K1742" s="28" t="n">
        <v>8.75</v>
      </c>
      <c r="L1742" s="28" t="n">
        <v>60</v>
      </c>
      <c r="M1742" s="28" t="n">
        <v>3</v>
      </c>
    </row>
    <row r="1743" customFormat="false" ht="15" hidden="false" customHeight="false" outlineLevel="0" collapsed="false">
      <c r="A1743" s="27" t="n">
        <v>44774</v>
      </c>
      <c r="B1743" s="28" t="n">
        <v>2022</v>
      </c>
      <c r="C1743" s="28" t="s">
        <v>206</v>
      </c>
      <c r="D1743" s="28" t="s">
        <v>43</v>
      </c>
      <c r="E1743" s="28" t="s">
        <v>698</v>
      </c>
      <c r="F1743" s="28" t="s">
        <v>147</v>
      </c>
      <c r="G1743" s="28" t="s">
        <v>441</v>
      </c>
      <c r="H1743" s="28" t="s">
        <v>159</v>
      </c>
      <c r="I1743" s="29" t="n">
        <v>25000</v>
      </c>
      <c r="J1743" s="29" t="n">
        <v>12500</v>
      </c>
      <c r="K1743" s="28" t="n">
        <v>12</v>
      </c>
      <c r="L1743" s="28" t="n">
        <v>120</v>
      </c>
      <c r="M1743" s="28" t="n">
        <v>3</v>
      </c>
    </row>
    <row r="1744" customFormat="false" ht="15" hidden="false" customHeight="false" outlineLevel="0" collapsed="false">
      <c r="A1744" s="27" t="n">
        <v>44774</v>
      </c>
      <c r="B1744" s="28" t="n">
        <v>2022</v>
      </c>
      <c r="C1744" s="28" t="s">
        <v>172</v>
      </c>
      <c r="D1744" s="28" t="s">
        <v>46</v>
      </c>
      <c r="E1744" s="28" t="s">
        <v>702</v>
      </c>
      <c r="F1744" s="28" t="s">
        <v>142</v>
      </c>
      <c r="G1744" s="28" t="s">
        <v>148</v>
      </c>
      <c r="H1744" s="28" t="s">
        <v>269</v>
      </c>
      <c r="I1744" s="29" t="n">
        <v>25000</v>
      </c>
      <c r="J1744" s="29" t="n">
        <v>21250</v>
      </c>
      <c r="K1744" s="28" t="n">
        <v>10.25</v>
      </c>
      <c r="L1744" s="28" t="n">
        <v>120</v>
      </c>
      <c r="M1744" s="28" t="n">
        <v>1</v>
      </c>
    </row>
    <row r="1745" customFormat="false" ht="15" hidden="false" customHeight="false" outlineLevel="0" collapsed="false">
      <c r="A1745" s="27" t="n">
        <v>44774</v>
      </c>
      <c r="B1745" s="28" t="n">
        <v>2022</v>
      </c>
      <c r="C1745" s="28" t="s">
        <v>172</v>
      </c>
      <c r="D1745" s="28" t="s">
        <v>45</v>
      </c>
      <c r="E1745" s="28" t="s">
        <v>798</v>
      </c>
      <c r="F1745" s="28" t="s">
        <v>147</v>
      </c>
      <c r="G1745" s="28" t="s">
        <v>148</v>
      </c>
      <c r="H1745" s="28" t="s">
        <v>205</v>
      </c>
      <c r="I1745" s="29" t="n">
        <v>76000</v>
      </c>
      <c r="J1745" s="29" t="n">
        <v>38000</v>
      </c>
      <c r="K1745" s="28" t="n">
        <v>10</v>
      </c>
      <c r="L1745" s="28" t="n">
        <v>120</v>
      </c>
      <c r="M1745" s="28" t="n">
        <v>11</v>
      </c>
    </row>
    <row r="1746" customFormat="false" ht="15" hidden="false" customHeight="false" outlineLevel="0" collapsed="false">
      <c r="A1746" s="27" t="n">
        <v>44775</v>
      </c>
      <c r="B1746" s="28" t="n">
        <v>2022</v>
      </c>
      <c r="C1746" s="28" t="s">
        <v>160</v>
      </c>
      <c r="D1746" s="28" t="s">
        <v>48</v>
      </c>
      <c r="E1746" s="28" t="s">
        <v>815</v>
      </c>
      <c r="F1746" s="28" t="s">
        <v>147</v>
      </c>
      <c r="G1746" s="28" t="s">
        <v>143</v>
      </c>
      <c r="H1746" s="28" t="s">
        <v>159</v>
      </c>
      <c r="I1746" s="29" t="n">
        <v>10000</v>
      </c>
      <c r="J1746" s="29" t="n">
        <v>5000</v>
      </c>
      <c r="K1746" s="28" t="n">
        <v>7.25</v>
      </c>
      <c r="L1746" s="28" t="n">
        <v>120</v>
      </c>
      <c r="M1746" s="28" t="n">
        <v>2</v>
      </c>
    </row>
    <row r="1747" customFormat="false" ht="15" hidden="false" customHeight="false" outlineLevel="0" collapsed="false">
      <c r="A1747" s="27" t="n">
        <v>44775</v>
      </c>
      <c r="B1747" s="28" t="n">
        <v>2022</v>
      </c>
      <c r="C1747" s="28" t="s">
        <v>172</v>
      </c>
      <c r="D1747" s="28" t="s">
        <v>47</v>
      </c>
      <c r="E1747" s="28" t="s">
        <v>867</v>
      </c>
      <c r="F1747" s="28" t="s">
        <v>147</v>
      </c>
      <c r="G1747" s="28" t="s">
        <v>148</v>
      </c>
      <c r="H1747" s="28" t="s">
        <v>159</v>
      </c>
      <c r="I1747" s="29" t="n">
        <v>50000</v>
      </c>
      <c r="J1747" s="29" t="n">
        <v>25000</v>
      </c>
      <c r="K1747" s="28" t="n">
        <v>10</v>
      </c>
      <c r="L1747" s="28" t="n">
        <v>50</v>
      </c>
      <c r="M1747" s="28" t="n">
        <v>5</v>
      </c>
    </row>
    <row r="1748" customFormat="false" ht="15" hidden="false" customHeight="false" outlineLevel="0" collapsed="false">
      <c r="A1748" s="27" t="n">
        <v>44775</v>
      </c>
      <c r="B1748" s="28" t="n">
        <v>2022</v>
      </c>
      <c r="C1748" s="28" t="s">
        <v>140</v>
      </c>
      <c r="D1748" s="28" t="s">
        <v>52</v>
      </c>
      <c r="E1748" s="28" t="s">
        <v>715</v>
      </c>
      <c r="F1748" s="28" t="s">
        <v>147</v>
      </c>
      <c r="G1748" s="28" t="s">
        <v>148</v>
      </c>
      <c r="H1748" s="28" t="s">
        <v>162</v>
      </c>
      <c r="I1748" s="29" t="n">
        <v>158400</v>
      </c>
      <c r="J1748" s="29" t="n">
        <v>79200</v>
      </c>
      <c r="K1748" s="28" t="n">
        <v>2.99</v>
      </c>
      <c r="L1748" s="28" t="n">
        <v>144</v>
      </c>
      <c r="M1748" s="28" t="n">
        <v>4</v>
      </c>
    </row>
    <row r="1749" customFormat="false" ht="15" hidden="false" customHeight="false" outlineLevel="0" collapsed="false">
      <c r="A1749" s="27" t="n">
        <v>44775</v>
      </c>
      <c r="B1749" s="28" t="n">
        <v>2022</v>
      </c>
      <c r="C1749" s="28" t="s">
        <v>310</v>
      </c>
      <c r="D1749" s="28" t="s">
        <v>54</v>
      </c>
      <c r="E1749" s="28" t="s">
        <v>155</v>
      </c>
      <c r="F1749" s="28" t="s">
        <v>283</v>
      </c>
      <c r="G1749" s="28" t="s">
        <v>148</v>
      </c>
      <c r="H1749" s="28" t="s">
        <v>306</v>
      </c>
      <c r="I1749" s="29" t="n">
        <v>300000</v>
      </c>
      <c r="J1749" s="29" t="n">
        <v>225000</v>
      </c>
      <c r="K1749" s="28" t="n">
        <v>7.5</v>
      </c>
      <c r="L1749" s="28" t="n">
        <v>120</v>
      </c>
      <c r="M1749" s="28" t="n">
        <v>3</v>
      </c>
    </row>
    <row r="1750" customFormat="false" ht="15" hidden="false" customHeight="false" outlineLevel="0" collapsed="false">
      <c r="A1750" s="27" t="n">
        <v>44775</v>
      </c>
      <c r="B1750" s="28" t="n">
        <v>2022</v>
      </c>
      <c r="C1750" s="28" t="s">
        <v>160</v>
      </c>
      <c r="D1750" s="28" t="s">
        <v>48</v>
      </c>
      <c r="E1750" s="28" t="s">
        <v>815</v>
      </c>
      <c r="F1750" s="28" t="s">
        <v>147</v>
      </c>
      <c r="G1750" s="28" t="s">
        <v>143</v>
      </c>
      <c r="H1750" s="28" t="s">
        <v>159</v>
      </c>
      <c r="I1750" s="29" t="n">
        <v>100000</v>
      </c>
      <c r="J1750" s="29" t="n">
        <v>50000</v>
      </c>
      <c r="K1750" s="28" t="n">
        <v>7</v>
      </c>
      <c r="L1750" s="28" t="n">
        <v>63</v>
      </c>
      <c r="M1750" s="28" t="n">
        <v>2</v>
      </c>
    </row>
    <row r="1751" customFormat="false" ht="15" hidden="false" customHeight="false" outlineLevel="0" collapsed="false">
      <c r="A1751" s="27" t="n">
        <v>44776</v>
      </c>
      <c r="B1751" s="28" t="n">
        <v>2022</v>
      </c>
      <c r="C1751" s="28" t="s">
        <v>172</v>
      </c>
      <c r="D1751" s="28" t="s">
        <v>44</v>
      </c>
      <c r="E1751" s="28" t="s">
        <v>863</v>
      </c>
      <c r="F1751" s="28" t="s">
        <v>147</v>
      </c>
      <c r="G1751" s="28" t="s">
        <v>148</v>
      </c>
      <c r="H1751" s="28" t="s">
        <v>159</v>
      </c>
      <c r="I1751" s="29" t="n">
        <v>80000</v>
      </c>
      <c r="J1751" s="29" t="n">
        <v>40000</v>
      </c>
      <c r="K1751" s="28" t="n">
        <v>8.25</v>
      </c>
      <c r="L1751" s="28" t="n">
        <v>60</v>
      </c>
      <c r="M1751" s="28" t="n">
        <v>3</v>
      </c>
    </row>
    <row r="1752" customFormat="false" ht="15" hidden="false" customHeight="false" outlineLevel="0" collapsed="false">
      <c r="A1752" s="27" t="n">
        <v>44776</v>
      </c>
      <c r="B1752" s="28" t="n">
        <v>2022</v>
      </c>
      <c r="C1752" s="28" t="s">
        <v>160</v>
      </c>
      <c r="D1752" s="28" t="s">
        <v>45</v>
      </c>
      <c r="E1752" s="28" t="s">
        <v>222</v>
      </c>
      <c r="F1752" s="28" t="s">
        <v>147</v>
      </c>
      <c r="G1752" s="28" t="s">
        <v>441</v>
      </c>
      <c r="H1752" s="28" t="s">
        <v>159</v>
      </c>
      <c r="I1752" s="29" t="n">
        <v>10000</v>
      </c>
      <c r="J1752" s="29" t="n">
        <v>5000</v>
      </c>
      <c r="K1752" s="28" t="n">
        <v>7.25</v>
      </c>
      <c r="L1752" s="28" t="n">
        <v>120</v>
      </c>
      <c r="M1752" s="28" t="n">
        <v>3</v>
      </c>
    </row>
    <row r="1753" customFormat="false" ht="15" hidden="false" customHeight="false" outlineLevel="0" collapsed="false">
      <c r="A1753" s="27" t="n">
        <v>44776</v>
      </c>
      <c r="B1753" s="28" t="n">
        <v>2022</v>
      </c>
      <c r="C1753" s="28" t="s">
        <v>418</v>
      </c>
      <c r="D1753" s="28" t="s">
        <v>42</v>
      </c>
      <c r="E1753" s="28" t="s">
        <v>705</v>
      </c>
      <c r="F1753" s="28" t="s">
        <v>147</v>
      </c>
      <c r="G1753" s="28" t="s">
        <v>441</v>
      </c>
      <c r="H1753" s="28" t="s">
        <v>306</v>
      </c>
      <c r="I1753" s="29" t="n">
        <v>250000</v>
      </c>
      <c r="J1753" s="29" t="n">
        <v>125000</v>
      </c>
      <c r="K1753" s="28" t="n">
        <v>6.5</v>
      </c>
      <c r="L1753" s="28" t="n">
        <v>240</v>
      </c>
      <c r="M1753" s="28" t="n">
        <v>3</v>
      </c>
    </row>
    <row r="1754" customFormat="false" ht="15" hidden="false" customHeight="false" outlineLevel="0" collapsed="false">
      <c r="A1754" s="27" t="n">
        <v>44776</v>
      </c>
      <c r="B1754" s="28" t="n">
        <v>2022</v>
      </c>
      <c r="C1754" s="28" t="s">
        <v>160</v>
      </c>
      <c r="D1754" s="28" t="s">
        <v>45</v>
      </c>
      <c r="E1754" s="28" t="s">
        <v>222</v>
      </c>
      <c r="F1754" s="28" t="s">
        <v>147</v>
      </c>
      <c r="G1754" s="28" t="s">
        <v>441</v>
      </c>
      <c r="H1754" s="28" t="s">
        <v>159</v>
      </c>
      <c r="I1754" s="29" t="n">
        <v>136000</v>
      </c>
      <c r="J1754" s="29" t="n">
        <v>68000</v>
      </c>
      <c r="K1754" s="28" t="n">
        <v>8</v>
      </c>
      <c r="L1754" s="28" t="n">
        <v>87</v>
      </c>
      <c r="M1754" s="28" t="n">
        <v>3</v>
      </c>
    </row>
    <row r="1755" customFormat="false" ht="15" hidden="false" customHeight="false" outlineLevel="0" collapsed="false">
      <c r="A1755" s="27" t="n">
        <v>44776</v>
      </c>
      <c r="B1755" s="28" t="n">
        <v>2022</v>
      </c>
      <c r="C1755" s="28" t="s">
        <v>166</v>
      </c>
      <c r="D1755" s="28" t="s">
        <v>43</v>
      </c>
      <c r="E1755" s="28" t="s">
        <v>539</v>
      </c>
      <c r="F1755" s="28" t="s">
        <v>142</v>
      </c>
      <c r="G1755" s="28" t="s">
        <v>148</v>
      </c>
      <c r="H1755" s="28" t="s">
        <v>291</v>
      </c>
      <c r="I1755" s="29" t="n">
        <v>200000</v>
      </c>
      <c r="J1755" s="29" t="n">
        <v>100000</v>
      </c>
      <c r="K1755" s="28" t="n">
        <v>7.5</v>
      </c>
      <c r="L1755" s="28" t="n">
        <v>120</v>
      </c>
      <c r="M1755" s="28" t="n">
        <v>12</v>
      </c>
    </row>
    <row r="1756" customFormat="false" ht="15" hidden="false" customHeight="false" outlineLevel="0" collapsed="false">
      <c r="A1756" s="27" t="n">
        <v>44776</v>
      </c>
      <c r="B1756" s="28" t="n">
        <v>2022</v>
      </c>
      <c r="C1756" s="28" t="s">
        <v>166</v>
      </c>
      <c r="D1756" s="28" t="s">
        <v>43</v>
      </c>
      <c r="E1756" s="28" t="s">
        <v>539</v>
      </c>
      <c r="F1756" s="28" t="s">
        <v>142</v>
      </c>
      <c r="G1756" s="28" t="s">
        <v>148</v>
      </c>
      <c r="H1756" s="28" t="s">
        <v>291</v>
      </c>
      <c r="I1756" s="29" t="n">
        <v>816000</v>
      </c>
      <c r="J1756" s="29" t="n">
        <v>612000</v>
      </c>
      <c r="K1756" s="28" t="n">
        <v>7.5</v>
      </c>
      <c r="L1756" s="28" t="n">
        <v>120</v>
      </c>
      <c r="M1756" s="28" t="n">
        <v>12</v>
      </c>
    </row>
    <row r="1757" customFormat="false" ht="15" hidden="false" customHeight="false" outlineLevel="0" collapsed="false">
      <c r="A1757" s="27" t="n">
        <v>44776</v>
      </c>
      <c r="B1757" s="28" t="n">
        <v>2022</v>
      </c>
      <c r="C1757" s="28" t="s">
        <v>172</v>
      </c>
      <c r="D1757" s="28" t="s">
        <v>44</v>
      </c>
      <c r="E1757" s="28" t="s">
        <v>863</v>
      </c>
      <c r="F1757" s="28" t="s">
        <v>147</v>
      </c>
      <c r="G1757" s="28" t="s">
        <v>148</v>
      </c>
      <c r="H1757" s="28" t="s">
        <v>159</v>
      </c>
      <c r="I1757" s="29" t="n">
        <v>20000</v>
      </c>
      <c r="J1757" s="29" t="n">
        <v>10000</v>
      </c>
      <c r="K1757" s="28" t="n">
        <v>11.25</v>
      </c>
      <c r="L1757" s="28" t="n">
        <v>120</v>
      </c>
      <c r="M1757" s="28" t="n">
        <v>3</v>
      </c>
    </row>
    <row r="1758" customFormat="false" ht="15" hidden="false" customHeight="false" outlineLevel="0" collapsed="false">
      <c r="A1758" s="27" t="n">
        <v>44776</v>
      </c>
      <c r="B1758" s="28" t="n">
        <v>2022</v>
      </c>
      <c r="C1758" s="28" t="s">
        <v>418</v>
      </c>
      <c r="D1758" s="28" t="s">
        <v>51</v>
      </c>
      <c r="E1758" s="28" t="s">
        <v>800</v>
      </c>
      <c r="F1758" s="28" t="s">
        <v>142</v>
      </c>
      <c r="G1758" s="28" t="s">
        <v>143</v>
      </c>
      <c r="H1758" s="28" t="s">
        <v>306</v>
      </c>
      <c r="I1758" s="29" t="n">
        <v>610000</v>
      </c>
      <c r="J1758" s="29" t="n">
        <v>457500</v>
      </c>
      <c r="K1758" s="28" t="n">
        <v>6.25</v>
      </c>
      <c r="L1758" s="28" t="n">
        <v>240</v>
      </c>
      <c r="M1758" s="28" t="n">
        <v>15</v>
      </c>
    </row>
    <row r="1759" customFormat="false" ht="15" hidden="false" customHeight="false" outlineLevel="0" collapsed="false">
      <c r="A1759" s="27" t="n">
        <v>44776</v>
      </c>
      <c r="B1759" s="28" t="n">
        <v>2022</v>
      </c>
      <c r="C1759" s="28" t="s">
        <v>206</v>
      </c>
      <c r="D1759" s="28" t="s">
        <v>53</v>
      </c>
      <c r="E1759" s="28" t="s">
        <v>868</v>
      </c>
      <c r="F1759" s="28" t="s">
        <v>142</v>
      </c>
      <c r="G1759" s="28" t="s">
        <v>148</v>
      </c>
      <c r="H1759" s="28" t="s">
        <v>325</v>
      </c>
      <c r="I1759" s="29" t="n">
        <v>1275000</v>
      </c>
      <c r="J1759" s="29" t="n">
        <v>956250</v>
      </c>
      <c r="K1759" s="28" t="n">
        <v>7.5</v>
      </c>
      <c r="L1759" s="28" t="n">
        <v>300</v>
      </c>
      <c r="M1759" s="28" t="n">
        <v>2</v>
      </c>
    </row>
    <row r="1760" customFormat="false" ht="15" hidden="false" customHeight="false" outlineLevel="0" collapsed="false">
      <c r="A1760" s="27" t="n">
        <v>44777</v>
      </c>
      <c r="B1760" s="28" t="n">
        <v>2022</v>
      </c>
      <c r="C1760" s="28" t="s">
        <v>163</v>
      </c>
      <c r="D1760" s="28" t="s">
        <v>45</v>
      </c>
      <c r="E1760" s="28" t="s">
        <v>356</v>
      </c>
      <c r="F1760" s="28" t="s">
        <v>142</v>
      </c>
      <c r="G1760" s="28" t="s">
        <v>148</v>
      </c>
      <c r="H1760" s="28" t="s">
        <v>171</v>
      </c>
      <c r="I1760" s="29" t="n">
        <v>141000</v>
      </c>
      <c r="J1760" s="29" t="n">
        <v>119850</v>
      </c>
      <c r="K1760" s="28" t="n">
        <v>8.25</v>
      </c>
      <c r="L1760" s="28" t="n">
        <v>120</v>
      </c>
      <c r="M1760" s="28" t="n">
        <v>2</v>
      </c>
    </row>
    <row r="1761" customFormat="false" ht="15" hidden="false" customHeight="false" outlineLevel="0" collapsed="false">
      <c r="A1761" s="27" t="n">
        <v>44777</v>
      </c>
      <c r="B1761" s="28" t="n">
        <v>2022</v>
      </c>
      <c r="C1761" s="28" t="s">
        <v>169</v>
      </c>
      <c r="D1761" s="28" t="s">
        <v>44</v>
      </c>
      <c r="E1761" s="28" t="s">
        <v>755</v>
      </c>
      <c r="F1761" s="28" t="s">
        <v>142</v>
      </c>
      <c r="G1761" s="28" t="s">
        <v>148</v>
      </c>
      <c r="H1761" s="28" t="s">
        <v>144</v>
      </c>
      <c r="I1761" s="29" t="n">
        <v>4835000</v>
      </c>
      <c r="J1761" s="29" t="n">
        <v>3626250</v>
      </c>
      <c r="K1761" s="28" t="n">
        <v>7.2</v>
      </c>
      <c r="L1761" s="28" t="n">
        <v>312</v>
      </c>
      <c r="M1761" s="28" t="n">
        <v>15</v>
      </c>
    </row>
    <row r="1762" customFormat="false" ht="15" hidden="false" customHeight="false" outlineLevel="0" collapsed="false">
      <c r="A1762" s="27" t="n">
        <v>44778</v>
      </c>
      <c r="B1762" s="28" t="n">
        <v>2022</v>
      </c>
      <c r="C1762" s="28" t="s">
        <v>324</v>
      </c>
      <c r="D1762" s="28" t="s">
        <v>42</v>
      </c>
      <c r="E1762" s="28" t="s">
        <v>705</v>
      </c>
      <c r="F1762" s="28" t="s">
        <v>142</v>
      </c>
      <c r="G1762" s="28" t="s">
        <v>441</v>
      </c>
      <c r="H1762" s="28" t="s">
        <v>326</v>
      </c>
      <c r="I1762" s="29" t="n">
        <v>4166000</v>
      </c>
      <c r="J1762" s="29" t="n">
        <v>3124500</v>
      </c>
      <c r="K1762" s="28" t="n">
        <v>6.25</v>
      </c>
      <c r="L1762" s="28" t="n">
        <v>299</v>
      </c>
      <c r="M1762" s="28" t="n">
        <v>6</v>
      </c>
    </row>
    <row r="1763" customFormat="false" ht="15" hidden="false" customHeight="false" outlineLevel="0" collapsed="false">
      <c r="A1763" s="27" t="n">
        <v>44778</v>
      </c>
      <c r="B1763" s="28" t="n">
        <v>2022</v>
      </c>
      <c r="C1763" s="28" t="s">
        <v>172</v>
      </c>
      <c r="D1763" s="28" t="s">
        <v>56</v>
      </c>
      <c r="E1763" s="28" t="s">
        <v>869</v>
      </c>
      <c r="F1763" s="28" t="s">
        <v>147</v>
      </c>
      <c r="G1763" s="28" t="s">
        <v>148</v>
      </c>
      <c r="H1763" s="28" t="s">
        <v>159</v>
      </c>
      <c r="I1763" s="29" t="n">
        <v>30000</v>
      </c>
      <c r="J1763" s="29" t="n">
        <v>15000</v>
      </c>
      <c r="K1763" s="28" t="n">
        <v>8.5</v>
      </c>
      <c r="L1763" s="28" t="n">
        <v>33</v>
      </c>
      <c r="M1763" s="28" t="n">
        <v>3</v>
      </c>
    </row>
    <row r="1764" customFormat="false" ht="15" hidden="false" customHeight="false" outlineLevel="0" collapsed="false">
      <c r="A1764" s="27" t="n">
        <v>44778</v>
      </c>
      <c r="B1764" s="28" t="n">
        <v>2022</v>
      </c>
      <c r="C1764" s="28" t="s">
        <v>172</v>
      </c>
      <c r="D1764" s="28" t="s">
        <v>46</v>
      </c>
      <c r="E1764" s="28" t="s">
        <v>770</v>
      </c>
      <c r="F1764" s="28" t="s">
        <v>142</v>
      </c>
      <c r="G1764" s="28" t="s">
        <v>148</v>
      </c>
      <c r="H1764" s="28" t="s">
        <v>275</v>
      </c>
      <c r="I1764" s="29" t="n">
        <v>25000</v>
      </c>
      <c r="J1764" s="29" t="n">
        <v>21250</v>
      </c>
      <c r="K1764" s="28" t="n">
        <v>10.25</v>
      </c>
      <c r="L1764" s="28" t="n">
        <v>84</v>
      </c>
      <c r="M1764" s="28" t="n">
        <v>4</v>
      </c>
    </row>
    <row r="1765" customFormat="false" ht="15" hidden="false" customHeight="false" outlineLevel="0" collapsed="false">
      <c r="A1765" s="27" t="n">
        <v>44778</v>
      </c>
      <c r="B1765" s="28" t="n">
        <v>2022</v>
      </c>
      <c r="C1765" s="28" t="s">
        <v>292</v>
      </c>
      <c r="D1765" s="28" t="s">
        <v>44</v>
      </c>
      <c r="E1765" s="28" t="s">
        <v>729</v>
      </c>
      <c r="F1765" s="28" t="s">
        <v>142</v>
      </c>
      <c r="G1765" s="28" t="s">
        <v>143</v>
      </c>
      <c r="H1765" s="28" t="s">
        <v>168</v>
      </c>
      <c r="I1765" s="29" t="n">
        <v>350000</v>
      </c>
      <c r="J1765" s="29" t="n">
        <v>262500</v>
      </c>
      <c r="K1765" s="28" t="n">
        <v>6.55</v>
      </c>
      <c r="L1765" s="28" t="n">
        <v>300</v>
      </c>
      <c r="M1765" s="28" t="n">
        <v>4</v>
      </c>
    </row>
    <row r="1766" customFormat="false" ht="15" hidden="false" customHeight="false" outlineLevel="0" collapsed="false">
      <c r="A1766" s="27" t="n">
        <v>44781</v>
      </c>
      <c r="B1766" s="28" t="n">
        <v>2022</v>
      </c>
      <c r="C1766" s="28" t="s">
        <v>235</v>
      </c>
      <c r="D1766" s="28" t="s">
        <v>45</v>
      </c>
      <c r="E1766" s="28" t="s">
        <v>708</v>
      </c>
      <c r="F1766" s="28" t="s">
        <v>142</v>
      </c>
      <c r="G1766" s="28" t="s">
        <v>148</v>
      </c>
      <c r="H1766" s="28" t="s">
        <v>771</v>
      </c>
      <c r="I1766" s="29" t="n">
        <v>25000</v>
      </c>
      <c r="J1766" s="29" t="n">
        <v>21250</v>
      </c>
      <c r="K1766" s="28" t="n">
        <v>8.25</v>
      </c>
      <c r="L1766" s="28" t="n">
        <v>120</v>
      </c>
      <c r="M1766" s="28" t="n">
        <v>6</v>
      </c>
    </row>
    <row r="1767" customFormat="false" ht="15" hidden="false" customHeight="false" outlineLevel="0" collapsed="false">
      <c r="A1767" s="27" t="n">
        <v>44781</v>
      </c>
      <c r="B1767" s="28" t="n">
        <v>2022</v>
      </c>
      <c r="C1767" s="28" t="s">
        <v>169</v>
      </c>
      <c r="D1767" s="28" t="s">
        <v>42</v>
      </c>
      <c r="E1767" s="28" t="s">
        <v>717</v>
      </c>
      <c r="F1767" s="28" t="s">
        <v>142</v>
      </c>
      <c r="G1767" s="28" t="s">
        <v>143</v>
      </c>
      <c r="H1767" s="28" t="s">
        <v>211</v>
      </c>
      <c r="I1767" s="29" t="n">
        <v>432200</v>
      </c>
      <c r="J1767" s="29" t="n">
        <v>324150</v>
      </c>
      <c r="K1767" s="28" t="n">
        <v>8</v>
      </c>
      <c r="L1767" s="28" t="n">
        <v>120</v>
      </c>
      <c r="M1767" s="28" t="n">
        <v>5</v>
      </c>
    </row>
    <row r="1768" customFormat="false" ht="15" hidden="false" customHeight="false" outlineLevel="0" collapsed="false">
      <c r="A1768" s="27" t="n">
        <v>44781</v>
      </c>
      <c r="B1768" s="28" t="n">
        <v>2022</v>
      </c>
      <c r="C1768" s="28" t="s">
        <v>198</v>
      </c>
      <c r="D1768" s="28" t="s">
        <v>42</v>
      </c>
      <c r="E1768" s="28" t="s">
        <v>717</v>
      </c>
      <c r="F1768" s="28" t="s">
        <v>142</v>
      </c>
      <c r="G1768" s="28" t="s">
        <v>148</v>
      </c>
      <c r="H1768" s="28" t="s">
        <v>281</v>
      </c>
      <c r="I1768" s="29" t="n">
        <v>538700</v>
      </c>
      <c r="J1768" s="29" t="n">
        <v>404025</v>
      </c>
      <c r="K1768" s="28" t="n">
        <v>7</v>
      </c>
      <c r="L1768" s="28" t="n">
        <v>120</v>
      </c>
      <c r="M1768" s="28" t="n">
        <v>40</v>
      </c>
    </row>
    <row r="1769" customFormat="false" ht="15" hidden="false" customHeight="false" outlineLevel="0" collapsed="false">
      <c r="A1769" s="27" t="n">
        <v>44782</v>
      </c>
      <c r="B1769" s="28" t="n">
        <v>2022</v>
      </c>
      <c r="C1769" s="28" t="s">
        <v>166</v>
      </c>
      <c r="D1769" s="28" t="s">
        <v>50</v>
      </c>
      <c r="E1769" s="28" t="s">
        <v>870</v>
      </c>
      <c r="F1769" s="28" t="s">
        <v>147</v>
      </c>
      <c r="G1769" s="28" t="s">
        <v>148</v>
      </c>
      <c r="H1769" s="28" t="s">
        <v>655</v>
      </c>
      <c r="I1769" s="29" t="n">
        <v>50000</v>
      </c>
      <c r="J1769" s="29" t="n">
        <v>25000</v>
      </c>
      <c r="K1769" s="28" t="n">
        <v>6.5</v>
      </c>
      <c r="L1769" s="28" t="n">
        <v>24</v>
      </c>
      <c r="M1769" s="28" t="n">
        <v>7</v>
      </c>
    </row>
    <row r="1770" customFormat="false" ht="15" hidden="false" customHeight="false" outlineLevel="0" collapsed="false">
      <c r="A1770" s="27" t="n">
        <v>44782</v>
      </c>
      <c r="B1770" s="28" t="n">
        <v>2022</v>
      </c>
      <c r="C1770" s="28" t="s">
        <v>172</v>
      </c>
      <c r="D1770" s="28" t="s">
        <v>43</v>
      </c>
      <c r="E1770" s="28" t="s">
        <v>871</v>
      </c>
      <c r="F1770" s="28" t="s">
        <v>142</v>
      </c>
      <c r="G1770" s="28" t="s">
        <v>148</v>
      </c>
      <c r="H1770" s="28" t="s">
        <v>200</v>
      </c>
      <c r="I1770" s="29" t="n">
        <v>102000</v>
      </c>
      <c r="J1770" s="29" t="n">
        <v>86700</v>
      </c>
      <c r="K1770" s="28" t="n">
        <v>8.25</v>
      </c>
      <c r="L1770" s="28" t="n">
        <v>120</v>
      </c>
      <c r="M1770" s="28" t="n">
        <v>0</v>
      </c>
    </row>
    <row r="1771" customFormat="false" ht="15" hidden="false" customHeight="false" outlineLevel="0" collapsed="false">
      <c r="A1771" s="27" t="n">
        <v>44782</v>
      </c>
      <c r="B1771" s="28" t="n">
        <v>2022</v>
      </c>
      <c r="C1771" s="28" t="s">
        <v>393</v>
      </c>
      <c r="D1771" s="28" t="s">
        <v>42</v>
      </c>
      <c r="E1771" s="28" t="s">
        <v>705</v>
      </c>
      <c r="F1771" s="28" t="s">
        <v>194</v>
      </c>
      <c r="G1771" s="28" t="s">
        <v>152</v>
      </c>
      <c r="H1771" s="28" t="s">
        <v>326</v>
      </c>
      <c r="I1771" s="29" t="n">
        <v>3500000</v>
      </c>
      <c r="J1771" s="29" t="n">
        <v>2625000</v>
      </c>
      <c r="K1771" s="28" t="n">
        <v>7.25</v>
      </c>
      <c r="L1771" s="28" t="n">
        <v>300</v>
      </c>
      <c r="M1771" s="28" t="n">
        <v>2</v>
      </c>
    </row>
    <row r="1772" customFormat="false" ht="15" hidden="false" customHeight="false" outlineLevel="0" collapsed="false">
      <c r="A1772" s="27" t="n">
        <v>44782</v>
      </c>
      <c r="B1772" s="28" t="n">
        <v>2022</v>
      </c>
      <c r="C1772" s="28" t="s">
        <v>198</v>
      </c>
      <c r="D1772" s="28" t="s">
        <v>46</v>
      </c>
      <c r="E1772" s="28" t="s">
        <v>746</v>
      </c>
      <c r="F1772" s="28" t="s">
        <v>142</v>
      </c>
      <c r="G1772" s="28" t="s">
        <v>148</v>
      </c>
      <c r="H1772" s="28" t="s">
        <v>211</v>
      </c>
      <c r="I1772" s="29" t="n">
        <v>300000</v>
      </c>
      <c r="J1772" s="29" t="n">
        <v>225000</v>
      </c>
      <c r="K1772" s="28" t="n">
        <v>8.25</v>
      </c>
      <c r="L1772" s="28" t="n">
        <v>120</v>
      </c>
      <c r="M1772" s="28" t="n">
        <v>3</v>
      </c>
    </row>
    <row r="1773" customFormat="false" ht="15" hidden="false" customHeight="false" outlineLevel="0" collapsed="false">
      <c r="A1773" s="27" t="n">
        <v>44782</v>
      </c>
      <c r="B1773" s="28" t="n">
        <v>2022</v>
      </c>
      <c r="C1773" s="28" t="s">
        <v>198</v>
      </c>
      <c r="D1773" s="28" t="s">
        <v>45</v>
      </c>
      <c r="E1773" s="28" t="s">
        <v>872</v>
      </c>
      <c r="F1773" s="28" t="s">
        <v>142</v>
      </c>
      <c r="G1773" s="28" t="s">
        <v>441</v>
      </c>
      <c r="H1773" s="28" t="s">
        <v>431</v>
      </c>
      <c r="I1773" s="29" t="n">
        <v>350000</v>
      </c>
      <c r="J1773" s="29" t="n">
        <v>262500</v>
      </c>
      <c r="K1773" s="28" t="n">
        <v>8.25</v>
      </c>
      <c r="L1773" s="28" t="n">
        <v>120</v>
      </c>
      <c r="M1773" s="28" t="n">
        <v>3</v>
      </c>
    </row>
    <row r="1774" customFormat="false" ht="15" hidden="false" customHeight="false" outlineLevel="0" collapsed="false">
      <c r="A1774" s="27" t="n">
        <v>44783</v>
      </c>
      <c r="B1774" s="28" t="n">
        <v>2022</v>
      </c>
      <c r="C1774" s="28" t="s">
        <v>312</v>
      </c>
      <c r="D1774" s="28" t="s">
        <v>51</v>
      </c>
      <c r="E1774" s="28" t="s">
        <v>779</v>
      </c>
      <c r="F1774" s="28" t="s">
        <v>147</v>
      </c>
      <c r="G1774" s="28" t="s">
        <v>441</v>
      </c>
      <c r="H1774" s="28" t="s">
        <v>168</v>
      </c>
      <c r="I1774" s="29" t="n">
        <v>15000</v>
      </c>
      <c r="J1774" s="29" t="n">
        <v>7500</v>
      </c>
      <c r="K1774" s="28" t="n">
        <v>11.5</v>
      </c>
      <c r="L1774" s="28" t="n">
        <v>120</v>
      </c>
      <c r="M1774" s="28" t="n">
        <v>0</v>
      </c>
    </row>
    <row r="1775" customFormat="false" ht="15" hidden="false" customHeight="false" outlineLevel="0" collapsed="false">
      <c r="A1775" s="27" t="n">
        <v>44783</v>
      </c>
      <c r="B1775" s="28" t="n">
        <v>2022</v>
      </c>
      <c r="C1775" s="28" t="s">
        <v>172</v>
      </c>
      <c r="D1775" s="28" t="s">
        <v>54</v>
      </c>
      <c r="E1775" s="28" t="s">
        <v>791</v>
      </c>
      <c r="F1775" s="28" t="s">
        <v>147</v>
      </c>
      <c r="G1775" s="28" t="s">
        <v>441</v>
      </c>
      <c r="H1775" s="28" t="s">
        <v>159</v>
      </c>
      <c r="I1775" s="29" t="n">
        <v>20200</v>
      </c>
      <c r="J1775" s="29" t="n">
        <v>10100</v>
      </c>
      <c r="K1775" s="28" t="n">
        <v>8.99</v>
      </c>
      <c r="L1775" s="28" t="n">
        <v>60</v>
      </c>
      <c r="M1775" s="28" t="n">
        <v>13</v>
      </c>
    </row>
    <row r="1776" customFormat="false" ht="15" hidden="false" customHeight="false" outlineLevel="0" collapsed="false">
      <c r="A1776" s="27" t="n">
        <v>44783</v>
      </c>
      <c r="B1776" s="28" t="n">
        <v>2022</v>
      </c>
      <c r="C1776" s="28" t="s">
        <v>172</v>
      </c>
      <c r="D1776" s="28" t="s">
        <v>54</v>
      </c>
      <c r="E1776" s="28" t="s">
        <v>791</v>
      </c>
      <c r="F1776" s="28" t="s">
        <v>147</v>
      </c>
      <c r="G1776" s="28" t="s">
        <v>441</v>
      </c>
      <c r="H1776" s="28" t="s">
        <v>159</v>
      </c>
      <c r="I1776" s="29" t="n">
        <v>20000</v>
      </c>
      <c r="J1776" s="29" t="n">
        <v>10000</v>
      </c>
      <c r="K1776" s="28" t="n">
        <v>12</v>
      </c>
      <c r="L1776" s="28" t="n">
        <v>120</v>
      </c>
      <c r="M1776" s="28" t="n">
        <v>13</v>
      </c>
    </row>
    <row r="1777" customFormat="false" ht="15" hidden="false" customHeight="false" outlineLevel="0" collapsed="false">
      <c r="A1777" s="27" t="n">
        <v>44784</v>
      </c>
      <c r="B1777" s="28" t="n">
        <v>2022</v>
      </c>
      <c r="C1777" s="28" t="s">
        <v>163</v>
      </c>
      <c r="D1777" s="28" t="s">
        <v>46</v>
      </c>
      <c r="E1777" s="28" t="s">
        <v>727</v>
      </c>
      <c r="F1777" s="28" t="s">
        <v>142</v>
      </c>
      <c r="G1777" s="28" t="s">
        <v>148</v>
      </c>
      <c r="H1777" s="28" t="s">
        <v>211</v>
      </c>
      <c r="I1777" s="29" t="n">
        <v>350000</v>
      </c>
      <c r="J1777" s="29" t="n">
        <v>262500</v>
      </c>
      <c r="K1777" s="28" t="n">
        <v>8.25</v>
      </c>
      <c r="L1777" s="28" t="n">
        <v>120</v>
      </c>
      <c r="M1777" s="28" t="n">
        <v>8</v>
      </c>
    </row>
    <row r="1778" customFormat="false" ht="15" hidden="false" customHeight="false" outlineLevel="0" collapsed="false">
      <c r="A1778" s="27" t="n">
        <v>44784</v>
      </c>
      <c r="B1778" s="28" t="n">
        <v>2022</v>
      </c>
      <c r="C1778" s="28" t="s">
        <v>357</v>
      </c>
      <c r="D1778" s="28" t="s">
        <v>46</v>
      </c>
      <c r="E1778" s="28" t="s">
        <v>746</v>
      </c>
      <c r="F1778" s="28" t="s">
        <v>142</v>
      </c>
      <c r="G1778" s="28" t="s">
        <v>148</v>
      </c>
      <c r="H1778" s="28" t="s">
        <v>144</v>
      </c>
      <c r="I1778" s="29" t="n">
        <v>350000</v>
      </c>
      <c r="J1778" s="29" t="n">
        <v>262500</v>
      </c>
      <c r="K1778" s="28" t="n">
        <v>7.75</v>
      </c>
      <c r="L1778" s="28" t="n">
        <v>120</v>
      </c>
      <c r="M1778" s="28" t="n">
        <v>50</v>
      </c>
    </row>
    <row r="1779" customFormat="false" ht="15" hidden="false" customHeight="false" outlineLevel="0" collapsed="false">
      <c r="A1779" s="27" t="n">
        <v>44784</v>
      </c>
      <c r="B1779" s="28" t="n">
        <v>2022</v>
      </c>
      <c r="C1779" s="28" t="s">
        <v>160</v>
      </c>
      <c r="D1779" s="28" t="s">
        <v>50</v>
      </c>
      <c r="E1779" s="28" t="s">
        <v>193</v>
      </c>
      <c r="F1779" s="28" t="s">
        <v>147</v>
      </c>
      <c r="G1779" s="28" t="s">
        <v>143</v>
      </c>
      <c r="H1779" s="28" t="s">
        <v>159</v>
      </c>
      <c r="I1779" s="29" t="n">
        <v>100000</v>
      </c>
      <c r="J1779" s="29" t="n">
        <v>50000</v>
      </c>
      <c r="K1779" s="28" t="n">
        <v>7.75</v>
      </c>
      <c r="L1779" s="28" t="n">
        <v>75</v>
      </c>
      <c r="M1779" s="28" t="n">
        <v>6</v>
      </c>
    </row>
    <row r="1780" customFormat="false" ht="15" hidden="false" customHeight="false" outlineLevel="0" collapsed="false">
      <c r="A1780" s="27" t="n">
        <v>44784</v>
      </c>
      <c r="B1780" s="28" t="n">
        <v>2022</v>
      </c>
      <c r="C1780" s="28" t="s">
        <v>160</v>
      </c>
      <c r="D1780" s="28" t="s">
        <v>50</v>
      </c>
      <c r="E1780" s="28" t="s">
        <v>193</v>
      </c>
      <c r="F1780" s="28" t="s">
        <v>147</v>
      </c>
      <c r="G1780" s="28" t="s">
        <v>143</v>
      </c>
      <c r="H1780" s="28" t="s">
        <v>159</v>
      </c>
      <c r="I1780" s="29" t="n">
        <v>10000</v>
      </c>
      <c r="J1780" s="29" t="n">
        <v>5000</v>
      </c>
      <c r="K1780" s="28" t="n">
        <v>9.25</v>
      </c>
      <c r="L1780" s="28" t="n">
        <v>120</v>
      </c>
      <c r="M1780" s="28" t="n">
        <v>6</v>
      </c>
    </row>
    <row r="1781" customFormat="false" ht="15" hidden="false" customHeight="false" outlineLevel="0" collapsed="false">
      <c r="A1781" s="27" t="n">
        <v>44784</v>
      </c>
      <c r="B1781" s="28" t="n">
        <v>2022</v>
      </c>
      <c r="C1781" s="28" t="s">
        <v>328</v>
      </c>
      <c r="D1781" s="28" t="s">
        <v>47</v>
      </c>
      <c r="E1781" s="28" t="s">
        <v>873</v>
      </c>
      <c r="F1781" s="28" t="s">
        <v>142</v>
      </c>
      <c r="G1781" s="28" t="s">
        <v>148</v>
      </c>
      <c r="H1781" s="28" t="s">
        <v>215</v>
      </c>
      <c r="I1781" s="29" t="n">
        <v>437500</v>
      </c>
      <c r="J1781" s="29" t="n">
        <v>328125</v>
      </c>
      <c r="K1781" s="28" t="n">
        <v>6.5</v>
      </c>
      <c r="L1781" s="28" t="n">
        <v>300</v>
      </c>
      <c r="M1781" s="28" t="n">
        <v>2</v>
      </c>
    </row>
    <row r="1782" customFormat="false" ht="15" hidden="false" customHeight="false" outlineLevel="0" collapsed="false">
      <c r="A1782" s="27" t="n">
        <v>44784</v>
      </c>
      <c r="B1782" s="28" t="n">
        <v>2022</v>
      </c>
      <c r="C1782" s="28" t="s">
        <v>169</v>
      </c>
      <c r="D1782" s="28" t="s">
        <v>45</v>
      </c>
      <c r="E1782" s="28" t="s">
        <v>874</v>
      </c>
      <c r="F1782" s="28" t="s">
        <v>147</v>
      </c>
      <c r="G1782" s="28" t="s">
        <v>148</v>
      </c>
      <c r="H1782" s="28" t="s">
        <v>799</v>
      </c>
      <c r="I1782" s="29" t="n">
        <v>150000</v>
      </c>
      <c r="J1782" s="29" t="n">
        <v>75000</v>
      </c>
      <c r="K1782" s="28" t="n">
        <v>8.25</v>
      </c>
      <c r="L1782" s="28" t="n">
        <v>120</v>
      </c>
      <c r="M1782" s="28" t="n">
        <v>6</v>
      </c>
    </row>
    <row r="1783" customFormat="false" ht="15" hidden="false" customHeight="false" outlineLevel="0" collapsed="false">
      <c r="A1783" s="27" t="n">
        <v>44785</v>
      </c>
      <c r="B1783" s="28" t="n">
        <v>2022</v>
      </c>
      <c r="C1783" s="28" t="s">
        <v>213</v>
      </c>
      <c r="D1783" s="28" t="s">
        <v>42</v>
      </c>
      <c r="E1783" s="28" t="s">
        <v>717</v>
      </c>
      <c r="F1783" s="28" t="s">
        <v>142</v>
      </c>
      <c r="G1783" s="28" t="s">
        <v>441</v>
      </c>
      <c r="H1783" s="28" t="s">
        <v>416</v>
      </c>
      <c r="I1783" s="29" t="n">
        <v>811000</v>
      </c>
      <c r="J1783" s="29" t="n">
        <v>608250</v>
      </c>
      <c r="K1783" s="28" t="n">
        <v>8.25</v>
      </c>
      <c r="L1783" s="28" t="n">
        <v>126</v>
      </c>
      <c r="M1783" s="28" t="n">
        <v>27</v>
      </c>
    </row>
    <row r="1784" customFormat="false" ht="15" hidden="false" customHeight="false" outlineLevel="0" collapsed="false">
      <c r="A1784" s="27" t="n">
        <v>44785</v>
      </c>
      <c r="B1784" s="28" t="n">
        <v>2022</v>
      </c>
      <c r="C1784" s="28" t="s">
        <v>203</v>
      </c>
      <c r="D1784" s="28" t="s">
        <v>45</v>
      </c>
      <c r="E1784" s="28" t="s">
        <v>824</v>
      </c>
      <c r="F1784" s="28" t="s">
        <v>147</v>
      </c>
      <c r="G1784" s="28" t="s">
        <v>441</v>
      </c>
      <c r="H1784" s="28" t="s">
        <v>494</v>
      </c>
      <c r="I1784" s="29" t="n">
        <v>150000</v>
      </c>
      <c r="J1784" s="29" t="n">
        <v>75000</v>
      </c>
      <c r="K1784" s="28" t="n">
        <v>7.5</v>
      </c>
      <c r="L1784" s="28" t="n">
        <v>120</v>
      </c>
      <c r="M1784" s="28" t="n">
        <v>31</v>
      </c>
    </row>
    <row r="1785" customFormat="false" ht="15" hidden="false" customHeight="false" outlineLevel="0" collapsed="false">
      <c r="A1785" s="27" t="n">
        <v>44785</v>
      </c>
      <c r="B1785" s="28" t="n">
        <v>2022</v>
      </c>
      <c r="C1785" s="28" t="s">
        <v>172</v>
      </c>
      <c r="D1785" s="28" t="s">
        <v>43</v>
      </c>
      <c r="E1785" s="28" t="s">
        <v>757</v>
      </c>
      <c r="F1785" s="28" t="s">
        <v>147</v>
      </c>
      <c r="G1785" s="28" t="s">
        <v>148</v>
      </c>
      <c r="H1785" s="28" t="s">
        <v>248</v>
      </c>
      <c r="I1785" s="29" t="n">
        <v>122000</v>
      </c>
      <c r="J1785" s="29" t="n">
        <v>61000</v>
      </c>
      <c r="K1785" s="28" t="n">
        <v>8</v>
      </c>
      <c r="L1785" s="28" t="n">
        <v>60</v>
      </c>
      <c r="M1785" s="28" t="n">
        <v>2</v>
      </c>
    </row>
    <row r="1786" customFormat="false" ht="15" hidden="false" customHeight="false" outlineLevel="0" collapsed="false">
      <c r="A1786" s="27" t="n">
        <v>44785</v>
      </c>
      <c r="B1786" s="28" t="n">
        <v>2022</v>
      </c>
      <c r="C1786" s="28" t="s">
        <v>172</v>
      </c>
      <c r="D1786" s="28" t="s">
        <v>43</v>
      </c>
      <c r="E1786" s="28" t="s">
        <v>757</v>
      </c>
      <c r="F1786" s="28" t="s">
        <v>147</v>
      </c>
      <c r="G1786" s="28" t="s">
        <v>148</v>
      </c>
      <c r="H1786" s="28" t="s">
        <v>248</v>
      </c>
      <c r="I1786" s="29" t="n">
        <v>118000</v>
      </c>
      <c r="J1786" s="29" t="n">
        <v>59000</v>
      </c>
      <c r="K1786" s="28" t="n">
        <v>8</v>
      </c>
      <c r="L1786" s="28" t="n">
        <v>60</v>
      </c>
      <c r="M1786" s="28" t="n">
        <v>2</v>
      </c>
    </row>
    <row r="1787" customFormat="false" ht="15" hidden="false" customHeight="false" outlineLevel="0" collapsed="false">
      <c r="A1787" s="27" t="n">
        <v>44785</v>
      </c>
      <c r="B1787" s="28" t="n">
        <v>2022</v>
      </c>
      <c r="C1787" s="28" t="s">
        <v>203</v>
      </c>
      <c r="D1787" s="28" t="s">
        <v>45</v>
      </c>
      <c r="E1787" s="28" t="s">
        <v>824</v>
      </c>
      <c r="F1787" s="28" t="s">
        <v>142</v>
      </c>
      <c r="G1787" s="28" t="s">
        <v>441</v>
      </c>
      <c r="H1787" s="28" t="s">
        <v>494</v>
      </c>
      <c r="I1787" s="29" t="n">
        <v>2400000</v>
      </c>
      <c r="J1787" s="29" t="n">
        <v>1800000</v>
      </c>
      <c r="K1787" s="28" t="n">
        <v>8.25</v>
      </c>
      <c r="L1787" s="28" t="n">
        <v>148</v>
      </c>
      <c r="M1787" s="28" t="n">
        <v>31</v>
      </c>
    </row>
    <row r="1788" customFormat="false" ht="15" hidden="false" customHeight="false" outlineLevel="0" collapsed="false">
      <c r="A1788" s="27" t="n">
        <v>44788</v>
      </c>
      <c r="B1788" s="28" t="n">
        <v>2022</v>
      </c>
      <c r="C1788" s="28" t="s">
        <v>230</v>
      </c>
      <c r="D1788" s="28" t="s">
        <v>52</v>
      </c>
      <c r="E1788" s="28" t="s">
        <v>720</v>
      </c>
      <c r="F1788" s="28" t="s">
        <v>147</v>
      </c>
      <c r="G1788" s="28" t="s">
        <v>441</v>
      </c>
      <c r="H1788" s="28" t="s">
        <v>220</v>
      </c>
      <c r="I1788" s="29" t="n">
        <v>55300</v>
      </c>
      <c r="J1788" s="29" t="n">
        <v>27650</v>
      </c>
      <c r="K1788" s="28" t="n">
        <v>9.54</v>
      </c>
      <c r="L1788" s="28" t="n">
        <v>75</v>
      </c>
      <c r="M1788" s="28" t="n">
        <v>2</v>
      </c>
    </row>
    <row r="1789" customFormat="false" ht="15" hidden="false" customHeight="false" outlineLevel="0" collapsed="false">
      <c r="A1789" s="27" t="n">
        <v>44789</v>
      </c>
      <c r="B1789" s="28" t="n">
        <v>2022</v>
      </c>
      <c r="C1789" s="28" t="s">
        <v>163</v>
      </c>
      <c r="D1789" s="28" t="s">
        <v>43</v>
      </c>
      <c r="E1789" s="28" t="s">
        <v>245</v>
      </c>
      <c r="F1789" s="28" t="s">
        <v>142</v>
      </c>
      <c r="G1789" s="28" t="s">
        <v>148</v>
      </c>
      <c r="H1789" s="28" t="s">
        <v>171</v>
      </c>
      <c r="I1789" s="29" t="n">
        <v>350000</v>
      </c>
      <c r="J1789" s="29" t="n">
        <v>262500</v>
      </c>
      <c r="K1789" s="28" t="n">
        <v>8.25</v>
      </c>
      <c r="L1789" s="28" t="n">
        <v>120</v>
      </c>
      <c r="M1789" s="28" t="n">
        <v>16</v>
      </c>
    </row>
    <row r="1790" customFormat="false" ht="15" hidden="false" customHeight="false" outlineLevel="0" collapsed="false">
      <c r="A1790" s="27" t="n">
        <v>44789</v>
      </c>
      <c r="B1790" s="28" t="n">
        <v>2022</v>
      </c>
      <c r="C1790" s="28" t="s">
        <v>160</v>
      </c>
      <c r="D1790" s="28" t="s">
        <v>50</v>
      </c>
      <c r="E1790" s="28" t="s">
        <v>193</v>
      </c>
      <c r="F1790" s="28" t="s">
        <v>147</v>
      </c>
      <c r="G1790" s="28" t="s">
        <v>441</v>
      </c>
      <c r="H1790" s="28" t="s">
        <v>168</v>
      </c>
      <c r="I1790" s="29" t="n">
        <v>5000</v>
      </c>
      <c r="J1790" s="29" t="n">
        <v>2500</v>
      </c>
      <c r="K1790" s="28" t="n">
        <v>12</v>
      </c>
      <c r="L1790" s="28" t="n">
        <v>120</v>
      </c>
      <c r="M1790" s="28" t="n">
        <v>0</v>
      </c>
    </row>
    <row r="1791" customFormat="false" ht="15" hidden="false" customHeight="false" outlineLevel="0" collapsed="false">
      <c r="A1791" s="27" t="n">
        <v>44789</v>
      </c>
      <c r="B1791" s="28" t="n">
        <v>2022</v>
      </c>
      <c r="C1791" s="28" t="s">
        <v>140</v>
      </c>
      <c r="D1791" s="28" t="s">
        <v>46</v>
      </c>
      <c r="E1791" s="28" t="s">
        <v>875</v>
      </c>
      <c r="F1791" s="28" t="s">
        <v>147</v>
      </c>
      <c r="G1791" s="28" t="s">
        <v>441</v>
      </c>
      <c r="H1791" s="28" t="s">
        <v>200</v>
      </c>
      <c r="I1791" s="29" t="n">
        <v>5000</v>
      </c>
      <c r="J1791" s="29" t="n">
        <v>2500</v>
      </c>
      <c r="K1791" s="28" t="n">
        <v>12</v>
      </c>
      <c r="L1791" s="28" t="n">
        <v>120</v>
      </c>
      <c r="M1791" s="28" t="n">
        <v>2</v>
      </c>
    </row>
    <row r="1792" customFormat="false" ht="15" hidden="false" customHeight="false" outlineLevel="0" collapsed="false">
      <c r="A1792" s="27" t="n">
        <v>44790</v>
      </c>
      <c r="B1792" s="28" t="n">
        <v>2022</v>
      </c>
      <c r="C1792" s="28" t="s">
        <v>172</v>
      </c>
      <c r="D1792" s="28" t="s">
        <v>49</v>
      </c>
      <c r="E1792" s="28" t="s">
        <v>809</v>
      </c>
      <c r="F1792" s="28" t="s">
        <v>147</v>
      </c>
      <c r="G1792" s="28" t="s">
        <v>148</v>
      </c>
      <c r="H1792" s="28" t="s">
        <v>162</v>
      </c>
      <c r="I1792" s="29" t="n">
        <v>350000</v>
      </c>
      <c r="J1792" s="29" t="n">
        <v>175000</v>
      </c>
      <c r="K1792" s="28" t="n">
        <v>2.99</v>
      </c>
      <c r="L1792" s="28" t="n">
        <v>120</v>
      </c>
      <c r="M1792" s="28" t="n">
        <v>10</v>
      </c>
    </row>
    <row r="1793" customFormat="false" ht="15" hidden="false" customHeight="false" outlineLevel="0" collapsed="false">
      <c r="A1793" s="27" t="n">
        <v>44790</v>
      </c>
      <c r="B1793" s="28" t="n">
        <v>2022</v>
      </c>
      <c r="C1793" s="28" t="s">
        <v>172</v>
      </c>
      <c r="D1793" s="28" t="s">
        <v>48</v>
      </c>
      <c r="E1793" s="28" t="s">
        <v>876</v>
      </c>
      <c r="F1793" s="28" t="s">
        <v>142</v>
      </c>
      <c r="G1793" s="28" t="s">
        <v>148</v>
      </c>
      <c r="H1793" s="28" t="s">
        <v>171</v>
      </c>
      <c r="I1793" s="29" t="n">
        <v>150000</v>
      </c>
      <c r="J1793" s="29" t="n">
        <v>127500</v>
      </c>
      <c r="K1793" s="28" t="n">
        <v>8.25</v>
      </c>
      <c r="L1793" s="28" t="n">
        <v>120</v>
      </c>
      <c r="M1793" s="28" t="n">
        <v>0</v>
      </c>
    </row>
    <row r="1794" customFormat="false" ht="15" hidden="false" customHeight="false" outlineLevel="0" collapsed="false">
      <c r="A1794" s="27" t="n">
        <v>44791</v>
      </c>
      <c r="B1794" s="28" t="n">
        <v>2022</v>
      </c>
      <c r="C1794" s="28" t="s">
        <v>303</v>
      </c>
      <c r="D1794" s="28" t="s">
        <v>43</v>
      </c>
      <c r="E1794" s="28" t="s">
        <v>858</v>
      </c>
      <c r="F1794" s="28" t="s">
        <v>142</v>
      </c>
      <c r="G1794" s="28" t="s">
        <v>143</v>
      </c>
      <c r="H1794" s="28" t="s">
        <v>227</v>
      </c>
      <c r="I1794" s="29" t="n">
        <v>157000</v>
      </c>
      <c r="J1794" s="29" t="n">
        <v>117750</v>
      </c>
      <c r="K1794" s="28" t="n">
        <v>8.25</v>
      </c>
      <c r="L1794" s="28" t="n">
        <v>120</v>
      </c>
      <c r="M1794" s="28" t="n">
        <v>2</v>
      </c>
    </row>
    <row r="1795" customFormat="false" ht="15" hidden="false" customHeight="false" outlineLevel="0" collapsed="false">
      <c r="A1795" s="27" t="n">
        <v>44791</v>
      </c>
      <c r="B1795" s="28" t="n">
        <v>2022</v>
      </c>
      <c r="C1795" s="28" t="s">
        <v>172</v>
      </c>
      <c r="D1795" s="28" t="s">
        <v>48</v>
      </c>
      <c r="E1795" s="28" t="s">
        <v>815</v>
      </c>
      <c r="F1795" s="28" t="s">
        <v>147</v>
      </c>
      <c r="G1795" s="28" t="s">
        <v>441</v>
      </c>
      <c r="H1795" s="28" t="s">
        <v>168</v>
      </c>
      <c r="I1795" s="29" t="n">
        <v>10000</v>
      </c>
      <c r="J1795" s="29" t="n">
        <v>5000</v>
      </c>
      <c r="K1795" s="28" t="n">
        <v>10</v>
      </c>
      <c r="L1795" s="28" t="n">
        <v>120</v>
      </c>
      <c r="M1795" s="28" t="n">
        <v>0</v>
      </c>
    </row>
    <row r="1796" customFormat="false" ht="15" hidden="false" customHeight="false" outlineLevel="0" collapsed="false">
      <c r="A1796" s="27" t="n">
        <v>44792</v>
      </c>
      <c r="B1796" s="28" t="n">
        <v>2022</v>
      </c>
      <c r="C1796" s="28" t="s">
        <v>172</v>
      </c>
      <c r="D1796" s="28" t="s">
        <v>50</v>
      </c>
      <c r="E1796" s="28" t="s">
        <v>877</v>
      </c>
      <c r="F1796" s="28" t="s">
        <v>147</v>
      </c>
      <c r="G1796" s="28" t="s">
        <v>148</v>
      </c>
      <c r="H1796" s="28" t="s">
        <v>428</v>
      </c>
      <c r="I1796" s="29" t="n">
        <v>150000</v>
      </c>
      <c r="J1796" s="29" t="n">
        <v>75000</v>
      </c>
      <c r="K1796" s="28" t="n">
        <v>6.9</v>
      </c>
      <c r="L1796" s="28" t="n">
        <v>120</v>
      </c>
      <c r="M1796" s="28" t="n">
        <v>2</v>
      </c>
    </row>
    <row r="1797" customFormat="false" ht="15" hidden="false" customHeight="false" outlineLevel="0" collapsed="false">
      <c r="A1797" s="27" t="n">
        <v>44792</v>
      </c>
      <c r="B1797" s="28" t="n">
        <v>2022</v>
      </c>
      <c r="C1797" s="28" t="s">
        <v>169</v>
      </c>
      <c r="D1797" s="28" t="s">
        <v>46</v>
      </c>
      <c r="E1797" s="28" t="s">
        <v>702</v>
      </c>
      <c r="F1797" s="28" t="s">
        <v>142</v>
      </c>
      <c r="G1797" s="28" t="s">
        <v>143</v>
      </c>
      <c r="H1797" s="28" t="s">
        <v>291</v>
      </c>
      <c r="I1797" s="29" t="n">
        <v>263000</v>
      </c>
      <c r="J1797" s="29" t="n">
        <v>197250</v>
      </c>
      <c r="K1797" s="28" t="n">
        <v>7</v>
      </c>
      <c r="L1797" s="28" t="n">
        <v>120</v>
      </c>
      <c r="M1797" s="28" t="n">
        <v>6</v>
      </c>
    </row>
    <row r="1798" customFormat="false" ht="15" hidden="false" customHeight="false" outlineLevel="0" collapsed="false">
      <c r="A1798" s="27" t="n">
        <v>44792</v>
      </c>
      <c r="B1798" s="28" t="n">
        <v>2022</v>
      </c>
      <c r="C1798" s="28" t="s">
        <v>172</v>
      </c>
      <c r="D1798" s="28" t="s">
        <v>50</v>
      </c>
      <c r="E1798" s="28" t="s">
        <v>877</v>
      </c>
      <c r="F1798" s="28" t="s">
        <v>147</v>
      </c>
      <c r="G1798" s="28" t="s">
        <v>148</v>
      </c>
      <c r="H1798" s="28" t="s">
        <v>428</v>
      </c>
      <c r="I1798" s="29" t="n">
        <v>300000</v>
      </c>
      <c r="J1798" s="29" t="n">
        <v>150000</v>
      </c>
      <c r="K1798" s="28" t="n">
        <v>6.05</v>
      </c>
      <c r="L1798" s="28" t="n">
        <v>120</v>
      </c>
      <c r="M1798" s="28" t="n">
        <v>6</v>
      </c>
    </row>
    <row r="1799" customFormat="false" ht="15" hidden="false" customHeight="false" outlineLevel="0" collapsed="false">
      <c r="A1799" s="27" t="n">
        <v>44795</v>
      </c>
      <c r="B1799" s="28" t="n">
        <v>2022</v>
      </c>
      <c r="C1799" s="28" t="s">
        <v>145</v>
      </c>
      <c r="D1799" s="28" t="s">
        <v>50</v>
      </c>
      <c r="E1799" s="28" t="s">
        <v>193</v>
      </c>
      <c r="F1799" s="28" t="s">
        <v>147</v>
      </c>
      <c r="G1799" s="28" t="s">
        <v>148</v>
      </c>
      <c r="H1799" s="28" t="s">
        <v>205</v>
      </c>
      <c r="I1799" s="29" t="n">
        <v>75000</v>
      </c>
      <c r="J1799" s="29" t="n">
        <v>37500</v>
      </c>
      <c r="K1799" s="28" t="n">
        <v>8.55</v>
      </c>
      <c r="L1799" s="28" t="n">
        <v>60</v>
      </c>
      <c r="M1799" s="28" t="n">
        <v>11</v>
      </c>
    </row>
    <row r="1800" customFormat="false" ht="15" hidden="false" customHeight="false" outlineLevel="0" collapsed="false">
      <c r="A1800" s="27" t="n">
        <v>44795</v>
      </c>
      <c r="B1800" s="28" t="n">
        <v>2022</v>
      </c>
      <c r="C1800" s="28" t="s">
        <v>172</v>
      </c>
      <c r="D1800" s="28" t="s">
        <v>42</v>
      </c>
      <c r="E1800" s="28" t="s">
        <v>717</v>
      </c>
      <c r="F1800" s="28" t="s">
        <v>142</v>
      </c>
      <c r="G1800" s="28" t="s">
        <v>143</v>
      </c>
      <c r="H1800" s="28" t="s">
        <v>149</v>
      </c>
      <c r="I1800" s="29" t="n">
        <v>589000</v>
      </c>
      <c r="J1800" s="29" t="n">
        <v>441750</v>
      </c>
      <c r="K1800" s="28" t="n">
        <v>7.75</v>
      </c>
      <c r="L1800" s="28" t="n">
        <v>120</v>
      </c>
      <c r="M1800" s="28" t="n">
        <v>18</v>
      </c>
    </row>
    <row r="1801" customFormat="false" ht="15" hidden="false" customHeight="false" outlineLevel="0" collapsed="false">
      <c r="A1801" s="27" t="n">
        <v>44795</v>
      </c>
      <c r="B1801" s="28" t="n">
        <v>2022</v>
      </c>
      <c r="C1801" s="28" t="s">
        <v>203</v>
      </c>
      <c r="D1801" s="28" t="s">
        <v>47</v>
      </c>
      <c r="E1801" s="28" t="s">
        <v>774</v>
      </c>
      <c r="F1801" s="28" t="s">
        <v>142</v>
      </c>
      <c r="G1801" s="28" t="s">
        <v>148</v>
      </c>
      <c r="H1801" s="28" t="s">
        <v>171</v>
      </c>
      <c r="I1801" s="29" t="n">
        <v>30000</v>
      </c>
      <c r="J1801" s="29" t="n">
        <v>25500</v>
      </c>
      <c r="K1801" s="28" t="n">
        <v>8.25</v>
      </c>
      <c r="L1801" s="28" t="n">
        <v>120</v>
      </c>
      <c r="M1801" s="28" t="n">
        <v>2</v>
      </c>
    </row>
    <row r="1802" customFormat="false" ht="15" hidden="false" customHeight="false" outlineLevel="0" collapsed="false">
      <c r="A1802" s="27" t="n">
        <v>44795</v>
      </c>
      <c r="B1802" s="28" t="n">
        <v>2022</v>
      </c>
      <c r="C1802" s="28" t="s">
        <v>518</v>
      </c>
      <c r="D1802" s="28" t="s">
        <v>55</v>
      </c>
      <c r="E1802" s="28" t="s">
        <v>878</v>
      </c>
      <c r="F1802" s="28" t="s">
        <v>147</v>
      </c>
      <c r="G1802" s="28" t="s">
        <v>441</v>
      </c>
      <c r="H1802" s="28" t="s">
        <v>168</v>
      </c>
      <c r="I1802" s="29" t="n">
        <v>10000</v>
      </c>
      <c r="J1802" s="29" t="n">
        <v>5000</v>
      </c>
      <c r="K1802" s="28" t="n">
        <v>11</v>
      </c>
      <c r="L1802" s="28" t="n">
        <v>120</v>
      </c>
      <c r="M1802" s="28" t="n">
        <v>1</v>
      </c>
    </row>
    <row r="1803" customFormat="false" ht="15" hidden="false" customHeight="false" outlineLevel="0" collapsed="false">
      <c r="A1803" s="27" t="n">
        <v>44795</v>
      </c>
      <c r="B1803" s="28" t="n">
        <v>2022</v>
      </c>
      <c r="C1803" s="28" t="s">
        <v>303</v>
      </c>
      <c r="D1803" s="28" t="s">
        <v>52</v>
      </c>
      <c r="E1803" s="28" t="s">
        <v>720</v>
      </c>
      <c r="F1803" s="28" t="s">
        <v>147</v>
      </c>
      <c r="G1803" s="28" t="s">
        <v>441</v>
      </c>
      <c r="H1803" s="28" t="s">
        <v>168</v>
      </c>
      <c r="I1803" s="29" t="n">
        <v>20000</v>
      </c>
      <c r="J1803" s="29" t="n">
        <v>10000</v>
      </c>
      <c r="K1803" s="28" t="n">
        <v>11.5</v>
      </c>
      <c r="L1803" s="28" t="n">
        <v>84</v>
      </c>
      <c r="M1803" s="28" t="n">
        <v>0</v>
      </c>
    </row>
    <row r="1804" customFormat="false" ht="15" hidden="false" customHeight="false" outlineLevel="0" collapsed="false">
      <c r="A1804" s="27" t="n">
        <v>44796</v>
      </c>
      <c r="B1804" s="28" t="n">
        <v>2022</v>
      </c>
      <c r="C1804" s="28" t="s">
        <v>163</v>
      </c>
      <c r="D1804" s="28" t="s">
        <v>43</v>
      </c>
      <c r="E1804" s="28" t="s">
        <v>496</v>
      </c>
      <c r="F1804" s="28" t="s">
        <v>142</v>
      </c>
      <c r="G1804" s="28" t="s">
        <v>148</v>
      </c>
      <c r="H1804" s="28" t="s">
        <v>211</v>
      </c>
      <c r="I1804" s="29" t="n">
        <v>350000</v>
      </c>
      <c r="J1804" s="29" t="n">
        <v>262500</v>
      </c>
      <c r="K1804" s="28" t="n">
        <v>8.25</v>
      </c>
      <c r="L1804" s="28" t="n">
        <v>120</v>
      </c>
      <c r="M1804" s="28" t="n">
        <v>6</v>
      </c>
    </row>
    <row r="1805" customFormat="false" ht="15" hidden="false" customHeight="false" outlineLevel="0" collapsed="false">
      <c r="A1805" s="27" t="n">
        <v>44796</v>
      </c>
      <c r="B1805" s="28" t="n">
        <v>2022</v>
      </c>
      <c r="C1805" s="28" t="s">
        <v>349</v>
      </c>
      <c r="D1805" s="28" t="s">
        <v>42</v>
      </c>
      <c r="E1805" s="28" t="s">
        <v>753</v>
      </c>
      <c r="F1805" s="28" t="s">
        <v>147</v>
      </c>
      <c r="G1805" s="28" t="s">
        <v>143</v>
      </c>
      <c r="H1805" s="28" t="s">
        <v>482</v>
      </c>
      <c r="I1805" s="29" t="n">
        <v>95000</v>
      </c>
      <c r="J1805" s="29" t="n">
        <v>47500</v>
      </c>
      <c r="K1805" s="28" t="n">
        <v>9</v>
      </c>
      <c r="L1805" s="28" t="n">
        <v>60</v>
      </c>
      <c r="M1805" s="28" t="n">
        <v>13</v>
      </c>
    </row>
    <row r="1806" customFormat="false" ht="15" hidden="false" customHeight="false" outlineLevel="0" collapsed="false">
      <c r="A1806" s="27" t="n">
        <v>44797</v>
      </c>
      <c r="B1806" s="28" t="n">
        <v>2022</v>
      </c>
      <c r="C1806" s="28" t="s">
        <v>203</v>
      </c>
      <c r="D1806" s="28" t="s">
        <v>48</v>
      </c>
      <c r="E1806" s="28" t="s">
        <v>566</v>
      </c>
      <c r="F1806" s="28" t="s">
        <v>147</v>
      </c>
      <c r="G1806" s="28" t="s">
        <v>441</v>
      </c>
      <c r="H1806" s="28" t="s">
        <v>168</v>
      </c>
      <c r="I1806" s="29" t="n">
        <v>10000</v>
      </c>
      <c r="J1806" s="29" t="n">
        <v>5000</v>
      </c>
      <c r="K1806" s="28" t="n">
        <v>11.5</v>
      </c>
      <c r="L1806" s="28" t="n">
        <v>120</v>
      </c>
      <c r="M1806" s="28" t="n">
        <v>0</v>
      </c>
    </row>
    <row r="1807" customFormat="false" ht="15" hidden="false" customHeight="false" outlineLevel="0" collapsed="false">
      <c r="A1807" s="27" t="n">
        <v>44797</v>
      </c>
      <c r="B1807" s="28" t="n">
        <v>2022</v>
      </c>
      <c r="C1807" s="28" t="s">
        <v>243</v>
      </c>
      <c r="D1807" s="28" t="s">
        <v>44</v>
      </c>
      <c r="E1807" s="28" t="s">
        <v>730</v>
      </c>
      <c r="F1807" s="28" t="s">
        <v>142</v>
      </c>
      <c r="G1807" s="28" t="s">
        <v>148</v>
      </c>
      <c r="H1807" s="28" t="s">
        <v>275</v>
      </c>
      <c r="I1807" s="29" t="n">
        <v>16500</v>
      </c>
      <c r="J1807" s="29" t="n">
        <v>14025</v>
      </c>
      <c r="K1807" s="28" t="n">
        <v>10.25</v>
      </c>
      <c r="L1807" s="28" t="n">
        <v>84</v>
      </c>
      <c r="M1807" s="28" t="n">
        <v>2</v>
      </c>
    </row>
    <row r="1808" customFormat="false" ht="15" hidden="false" customHeight="false" outlineLevel="0" collapsed="false">
      <c r="A1808" s="27" t="n">
        <v>44798</v>
      </c>
      <c r="B1808" s="28" t="n">
        <v>2022</v>
      </c>
      <c r="C1808" s="28" t="s">
        <v>140</v>
      </c>
      <c r="D1808" s="28" t="s">
        <v>48</v>
      </c>
      <c r="E1808" s="28" t="s">
        <v>876</v>
      </c>
      <c r="F1808" s="28" t="s">
        <v>142</v>
      </c>
      <c r="G1808" s="28" t="s">
        <v>143</v>
      </c>
      <c r="H1808" s="28" t="s">
        <v>211</v>
      </c>
      <c r="I1808" s="29" t="n">
        <v>280000</v>
      </c>
      <c r="J1808" s="29" t="n">
        <v>210000</v>
      </c>
      <c r="K1808" s="28" t="n">
        <v>8.25</v>
      </c>
      <c r="L1808" s="28" t="n">
        <v>120</v>
      </c>
      <c r="M1808" s="28" t="n">
        <v>4</v>
      </c>
    </row>
    <row r="1809" customFormat="false" ht="15" hidden="false" customHeight="false" outlineLevel="0" collapsed="false">
      <c r="A1809" s="27" t="n">
        <v>44798</v>
      </c>
      <c r="B1809" s="28" t="n">
        <v>2022</v>
      </c>
      <c r="C1809" s="28" t="s">
        <v>140</v>
      </c>
      <c r="D1809" s="28" t="s">
        <v>48</v>
      </c>
      <c r="E1809" s="28" t="s">
        <v>876</v>
      </c>
      <c r="F1809" s="28" t="s">
        <v>147</v>
      </c>
      <c r="G1809" s="28" t="s">
        <v>143</v>
      </c>
      <c r="H1809" s="28" t="s">
        <v>211</v>
      </c>
      <c r="I1809" s="29" t="n">
        <v>25000</v>
      </c>
      <c r="J1809" s="29" t="n">
        <v>12500</v>
      </c>
      <c r="K1809" s="28" t="n">
        <v>8.25</v>
      </c>
      <c r="L1809" s="28" t="n">
        <v>120</v>
      </c>
      <c r="M1809" s="28" t="n">
        <v>4</v>
      </c>
    </row>
    <row r="1810" customFormat="false" ht="15" hidden="false" customHeight="false" outlineLevel="0" collapsed="false">
      <c r="A1810" s="27" t="n">
        <v>44798</v>
      </c>
      <c r="B1810" s="28" t="n">
        <v>2022</v>
      </c>
      <c r="C1810" s="28" t="s">
        <v>316</v>
      </c>
      <c r="D1810" s="28" t="s">
        <v>48</v>
      </c>
      <c r="E1810" s="28" t="s">
        <v>879</v>
      </c>
      <c r="F1810" s="28" t="s">
        <v>147</v>
      </c>
      <c r="G1810" s="28" t="s">
        <v>143</v>
      </c>
      <c r="H1810" s="28" t="s">
        <v>211</v>
      </c>
      <c r="I1810" s="29" t="n">
        <v>30000</v>
      </c>
      <c r="J1810" s="29" t="n">
        <v>15000</v>
      </c>
      <c r="K1810" s="28" t="n">
        <v>8.25</v>
      </c>
      <c r="L1810" s="28" t="n">
        <v>120</v>
      </c>
      <c r="M1810" s="28" t="n">
        <v>8</v>
      </c>
    </row>
    <row r="1811" customFormat="false" ht="15" hidden="false" customHeight="false" outlineLevel="0" collapsed="false">
      <c r="A1811" s="27" t="n">
        <v>44798</v>
      </c>
      <c r="B1811" s="28" t="n">
        <v>2022</v>
      </c>
      <c r="C1811" s="28" t="s">
        <v>166</v>
      </c>
      <c r="D1811" s="28" t="s">
        <v>45</v>
      </c>
      <c r="E1811" s="28" t="s">
        <v>222</v>
      </c>
      <c r="F1811" s="28" t="s">
        <v>142</v>
      </c>
      <c r="G1811" s="28" t="s">
        <v>143</v>
      </c>
      <c r="H1811" s="28" t="s">
        <v>211</v>
      </c>
      <c r="I1811" s="29" t="n">
        <v>265000</v>
      </c>
      <c r="J1811" s="29" t="n">
        <v>198750</v>
      </c>
      <c r="K1811" s="28" t="n">
        <v>8.25</v>
      </c>
      <c r="L1811" s="28" t="n">
        <v>120</v>
      </c>
      <c r="M1811" s="28" t="n">
        <v>8</v>
      </c>
    </row>
    <row r="1812" customFormat="false" ht="15" hidden="false" customHeight="false" outlineLevel="0" collapsed="false">
      <c r="A1812" s="27" t="n">
        <v>44798</v>
      </c>
      <c r="B1812" s="28" t="n">
        <v>2022</v>
      </c>
      <c r="C1812" s="28" t="s">
        <v>316</v>
      </c>
      <c r="D1812" s="28" t="s">
        <v>48</v>
      </c>
      <c r="E1812" s="28" t="s">
        <v>879</v>
      </c>
      <c r="F1812" s="28" t="s">
        <v>142</v>
      </c>
      <c r="G1812" s="28" t="s">
        <v>143</v>
      </c>
      <c r="H1812" s="28" t="s">
        <v>211</v>
      </c>
      <c r="I1812" s="29" t="n">
        <v>300000</v>
      </c>
      <c r="J1812" s="29" t="n">
        <v>225000</v>
      </c>
      <c r="K1812" s="28" t="n">
        <v>8.25</v>
      </c>
      <c r="L1812" s="28" t="n">
        <v>120</v>
      </c>
      <c r="M1812" s="28" t="n">
        <v>8</v>
      </c>
    </row>
    <row r="1813" customFormat="false" ht="15" hidden="false" customHeight="false" outlineLevel="0" collapsed="false">
      <c r="A1813" s="27" t="n">
        <v>44798</v>
      </c>
      <c r="B1813" s="28" t="n">
        <v>2022</v>
      </c>
      <c r="C1813" s="28" t="s">
        <v>166</v>
      </c>
      <c r="D1813" s="28" t="s">
        <v>45</v>
      </c>
      <c r="E1813" s="28" t="s">
        <v>222</v>
      </c>
      <c r="F1813" s="28" t="s">
        <v>147</v>
      </c>
      <c r="G1813" s="28" t="s">
        <v>143</v>
      </c>
      <c r="H1813" s="28" t="s">
        <v>211</v>
      </c>
      <c r="I1813" s="29" t="n">
        <v>30000</v>
      </c>
      <c r="J1813" s="29" t="n">
        <v>15000</v>
      </c>
      <c r="K1813" s="28" t="n">
        <v>8.25</v>
      </c>
      <c r="L1813" s="28" t="n">
        <v>120</v>
      </c>
      <c r="M1813" s="28" t="n">
        <v>8</v>
      </c>
    </row>
    <row r="1814" customFormat="false" ht="15" hidden="false" customHeight="false" outlineLevel="0" collapsed="false">
      <c r="A1814" s="27" t="n">
        <v>44798</v>
      </c>
      <c r="B1814" s="28" t="n">
        <v>2022</v>
      </c>
      <c r="C1814" s="28" t="s">
        <v>163</v>
      </c>
      <c r="D1814" s="28" t="s">
        <v>47</v>
      </c>
      <c r="E1814" s="28" t="s">
        <v>880</v>
      </c>
      <c r="F1814" s="28" t="s">
        <v>142</v>
      </c>
      <c r="G1814" s="28" t="s">
        <v>148</v>
      </c>
      <c r="H1814" s="28" t="s">
        <v>165</v>
      </c>
      <c r="I1814" s="29" t="n">
        <v>396000</v>
      </c>
      <c r="J1814" s="29" t="n">
        <v>297000</v>
      </c>
      <c r="K1814" s="28" t="n">
        <v>5.99</v>
      </c>
      <c r="L1814" s="28" t="n">
        <v>120</v>
      </c>
      <c r="M1814" s="28" t="n">
        <v>4</v>
      </c>
    </row>
    <row r="1815" customFormat="false" ht="15" hidden="false" customHeight="false" outlineLevel="0" collapsed="false">
      <c r="A1815" s="27" t="n">
        <v>44799</v>
      </c>
      <c r="B1815" s="28" t="n">
        <v>2022</v>
      </c>
      <c r="C1815" s="28" t="s">
        <v>484</v>
      </c>
      <c r="D1815" s="28" t="s">
        <v>42</v>
      </c>
      <c r="E1815" s="28" t="s">
        <v>705</v>
      </c>
      <c r="F1815" s="28" t="s">
        <v>142</v>
      </c>
      <c r="G1815" s="28" t="s">
        <v>152</v>
      </c>
      <c r="H1815" s="28" t="s">
        <v>374</v>
      </c>
      <c r="I1815" s="29" t="n">
        <v>4300000</v>
      </c>
      <c r="J1815" s="29" t="n">
        <v>3225000</v>
      </c>
      <c r="K1815" s="28" t="n">
        <v>6.75</v>
      </c>
      <c r="L1815" s="28" t="n">
        <v>300</v>
      </c>
      <c r="M1815" s="28" t="n">
        <v>18</v>
      </c>
    </row>
    <row r="1816" customFormat="false" ht="15" hidden="false" customHeight="false" outlineLevel="0" collapsed="false">
      <c r="A1816" s="27" t="n">
        <v>44799</v>
      </c>
      <c r="B1816" s="28" t="n">
        <v>2022</v>
      </c>
      <c r="C1816" s="28" t="s">
        <v>169</v>
      </c>
      <c r="D1816" s="28" t="s">
        <v>47</v>
      </c>
      <c r="E1816" s="28" t="s">
        <v>776</v>
      </c>
      <c r="F1816" s="28" t="s">
        <v>194</v>
      </c>
      <c r="G1816" s="28" t="s">
        <v>148</v>
      </c>
      <c r="H1816" s="28" t="s">
        <v>456</v>
      </c>
      <c r="I1816" s="29" t="n">
        <v>2370000</v>
      </c>
      <c r="J1816" s="29" t="n">
        <v>1777500</v>
      </c>
      <c r="K1816" s="28" t="n">
        <v>8</v>
      </c>
      <c r="L1816" s="28" t="n">
        <v>240</v>
      </c>
      <c r="M1816" s="28" t="n">
        <v>45</v>
      </c>
    </row>
    <row r="1817" customFormat="false" ht="15" hidden="false" customHeight="false" outlineLevel="0" collapsed="false">
      <c r="A1817" s="27" t="n">
        <v>44803</v>
      </c>
      <c r="B1817" s="28" t="n">
        <v>2022</v>
      </c>
      <c r="C1817" s="28" t="s">
        <v>172</v>
      </c>
      <c r="D1817" s="28" t="s">
        <v>48</v>
      </c>
      <c r="E1817" s="28" t="s">
        <v>704</v>
      </c>
      <c r="F1817" s="28" t="s">
        <v>142</v>
      </c>
      <c r="G1817" s="28" t="s">
        <v>148</v>
      </c>
      <c r="H1817" s="28" t="s">
        <v>200</v>
      </c>
      <c r="I1817" s="29" t="n">
        <v>350000</v>
      </c>
      <c r="J1817" s="29" t="n">
        <v>262500</v>
      </c>
      <c r="K1817" s="28" t="n">
        <v>8.25</v>
      </c>
      <c r="L1817" s="28" t="n">
        <v>120</v>
      </c>
      <c r="M1817" s="28" t="n">
        <v>6</v>
      </c>
    </row>
    <row r="1818" customFormat="false" ht="15" hidden="false" customHeight="false" outlineLevel="0" collapsed="false">
      <c r="A1818" s="27" t="n">
        <v>44803</v>
      </c>
      <c r="B1818" s="28" t="n">
        <v>2022</v>
      </c>
      <c r="C1818" s="28" t="s">
        <v>881</v>
      </c>
      <c r="D1818" s="28" t="s">
        <v>45</v>
      </c>
      <c r="E1818" s="28" t="s">
        <v>293</v>
      </c>
      <c r="F1818" s="28" t="s">
        <v>142</v>
      </c>
      <c r="G1818" s="28" t="s">
        <v>441</v>
      </c>
      <c r="H1818" s="28" t="s">
        <v>281</v>
      </c>
      <c r="I1818" s="29" t="n">
        <v>2071500</v>
      </c>
      <c r="J1818" s="29" t="n">
        <v>1553625</v>
      </c>
      <c r="K1818" s="28" t="n">
        <v>7.75</v>
      </c>
      <c r="L1818" s="28" t="n">
        <v>120</v>
      </c>
      <c r="M1818" s="28" t="n">
        <v>56</v>
      </c>
    </row>
    <row r="1819" customFormat="false" ht="15" hidden="false" customHeight="false" outlineLevel="0" collapsed="false">
      <c r="A1819" s="27" t="n">
        <v>44803</v>
      </c>
      <c r="B1819" s="28" t="n">
        <v>2022</v>
      </c>
      <c r="C1819" s="28" t="s">
        <v>160</v>
      </c>
      <c r="D1819" s="28" t="s">
        <v>51</v>
      </c>
      <c r="E1819" s="28" t="s">
        <v>882</v>
      </c>
      <c r="F1819" s="28" t="s">
        <v>142</v>
      </c>
      <c r="G1819" s="28" t="s">
        <v>143</v>
      </c>
      <c r="H1819" s="28" t="s">
        <v>159</v>
      </c>
      <c r="I1819" s="29" t="n">
        <v>1150000</v>
      </c>
      <c r="J1819" s="29" t="n">
        <v>862500</v>
      </c>
      <c r="K1819" s="28" t="n">
        <v>7.5</v>
      </c>
      <c r="L1819" s="28" t="n">
        <v>132</v>
      </c>
      <c r="M1819" s="28" t="n">
        <v>35</v>
      </c>
    </row>
    <row r="1820" customFormat="false" ht="15" hidden="false" customHeight="false" outlineLevel="0" collapsed="false">
      <c r="A1820" s="27" t="n">
        <v>44803</v>
      </c>
      <c r="B1820" s="28" t="n">
        <v>2022</v>
      </c>
      <c r="C1820" s="28" t="s">
        <v>365</v>
      </c>
      <c r="D1820" s="28" t="s">
        <v>42</v>
      </c>
      <c r="E1820" s="28" t="s">
        <v>705</v>
      </c>
      <c r="F1820" s="28" t="s">
        <v>147</v>
      </c>
      <c r="G1820" s="28" t="s">
        <v>143</v>
      </c>
      <c r="H1820" s="28" t="s">
        <v>325</v>
      </c>
      <c r="I1820" s="29" t="n">
        <v>75000</v>
      </c>
      <c r="J1820" s="29" t="n">
        <v>37500</v>
      </c>
      <c r="K1820" s="28" t="n">
        <v>7</v>
      </c>
      <c r="L1820" s="28" t="n">
        <v>120</v>
      </c>
      <c r="M1820" s="28" t="n">
        <v>10</v>
      </c>
    </row>
    <row r="1821" customFormat="false" ht="15" hidden="false" customHeight="false" outlineLevel="0" collapsed="false">
      <c r="A1821" s="27" t="n">
        <v>44803</v>
      </c>
      <c r="B1821" s="28" t="n">
        <v>2022</v>
      </c>
      <c r="C1821" s="28" t="s">
        <v>365</v>
      </c>
      <c r="D1821" s="28" t="s">
        <v>42</v>
      </c>
      <c r="E1821" s="28" t="s">
        <v>705</v>
      </c>
      <c r="F1821" s="28" t="s">
        <v>142</v>
      </c>
      <c r="G1821" s="28" t="s">
        <v>143</v>
      </c>
      <c r="H1821" s="28" t="s">
        <v>325</v>
      </c>
      <c r="I1821" s="29" t="n">
        <v>1209000</v>
      </c>
      <c r="J1821" s="29" t="n">
        <v>906750</v>
      </c>
      <c r="K1821" s="28" t="n">
        <v>6.5</v>
      </c>
      <c r="L1821" s="28" t="n">
        <v>300</v>
      </c>
      <c r="M1821" s="28" t="n">
        <v>10</v>
      </c>
    </row>
    <row r="1822" customFormat="false" ht="15" hidden="false" customHeight="false" outlineLevel="0" collapsed="false">
      <c r="A1822" s="27" t="n">
        <v>44803</v>
      </c>
      <c r="B1822" s="28" t="n">
        <v>2022</v>
      </c>
      <c r="C1822" s="28" t="s">
        <v>172</v>
      </c>
      <c r="D1822" s="28" t="s">
        <v>51</v>
      </c>
      <c r="E1822" s="28" t="s">
        <v>779</v>
      </c>
      <c r="F1822" s="28" t="s">
        <v>142</v>
      </c>
      <c r="G1822" s="28" t="s">
        <v>143</v>
      </c>
      <c r="H1822" s="28" t="s">
        <v>287</v>
      </c>
      <c r="I1822" s="29" t="n">
        <v>150000</v>
      </c>
      <c r="J1822" s="29" t="n">
        <v>127500</v>
      </c>
      <c r="K1822" s="28" t="n">
        <v>8.25</v>
      </c>
      <c r="L1822" s="28" t="n">
        <v>96</v>
      </c>
      <c r="M1822" s="28" t="n">
        <v>8</v>
      </c>
    </row>
    <row r="1823" customFormat="false" ht="15" hidden="false" customHeight="false" outlineLevel="0" collapsed="false">
      <c r="A1823" s="27" t="n">
        <v>44804</v>
      </c>
      <c r="B1823" s="28" t="n">
        <v>2022</v>
      </c>
      <c r="C1823" s="28" t="s">
        <v>169</v>
      </c>
      <c r="D1823" s="28" t="s">
        <v>46</v>
      </c>
      <c r="E1823" s="28" t="s">
        <v>780</v>
      </c>
      <c r="F1823" s="28" t="s">
        <v>142</v>
      </c>
      <c r="G1823" s="28" t="s">
        <v>148</v>
      </c>
      <c r="H1823" s="28" t="s">
        <v>171</v>
      </c>
      <c r="I1823" s="29" t="n">
        <v>150000</v>
      </c>
      <c r="J1823" s="29" t="n">
        <v>127500</v>
      </c>
      <c r="K1823" s="28" t="n">
        <v>8.25</v>
      </c>
      <c r="L1823" s="28" t="n">
        <v>94</v>
      </c>
      <c r="M1823" s="28" t="n">
        <v>0</v>
      </c>
    </row>
    <row r="1824" customFormat="false" ht="15" hidden="false" customHeight="false" outlineLevel="0" collapsed="false">
      <c r="A1824" s="27" t="n">
        <v>44804</v>
      </c>
      <c r="B1824" s="28" t="n">
        <v>2022</v>
      </c>
      <c r="C1824" s="28" t="s">
        <v>206</v>
      </c>
      <c r="D1824" s="28" t="s">
        <v>48</v>
      </c>
      <c r="E1824" s="28" t="s">
        <v>270</v>
      </c>
      <c r="F1824" s="28" t="s">
        <v>142</v>
      </c>
      <c r="G1824" s="28" t="s">
        <v>148</v>
      </c>
      <c r="H1824" s="28" t="s">
        <v>171</v>
      </c>
      <c r="I1824" s="29" t="n">
        <v>64000</v>
      </c>
      <c r="J1824" s="29" t="n">
        <v>54400</v>
      </c>
      <c r="K1824" s="28" t="n">
        <v>9.25</v>
      </c>
      <c r="L1824" s="28" t="n">
        <v>108</v>
      </c>
      <c r="M1824" s="28" t="n">
        <v>2</v>
      </c>
    </row>
    <row r="1825" customFormat="false" ht="15" hidden="false" customHeight="false" outlineLevel="0" collapsed="false">
      <c r="A1825" s="27" t="n">
        <v>44804</v>
      </c>
      <c r="B1825" s="28" t="n">
        <v>2022</v>
      </c>
      <c r="C1825" s="28" t="s">
        <v>145</v>
      </c>
      <c r="D1825" s="28" t="s">
        <v>45</v>
      </c>
      <c r="E1825" s="28" t="s">
        <v>835</v>
      </c>
      <c r="F1825" s="28" t="s">
        <v>147</v>
      </c>
      <c r="G1825" s="28" t="s">
        <v>148</v>
      </c>
      <c r="H1825" s="28" t="s">
        <v>205</v>
      </c>
      <c r="I1825" s="29" t="n">
        <v>55000</v>
      </c>
      <c r="J1825" s="29" t="n">
        <v>27500</v>
      </c>
      <c r="K1825" s="28" t="n">
        <v>9.3</v>
      </c>
      <c r="L1825" s="28" t="n">
        <v>120</v>
      </c>
      <c r="M1825" s="28" t="n">
        <v>2</v>
      </c>
    </row>
    <row r="1826" customFormat="false" ht="15" hidden="false" customHeight="false" outlineLevel="0" collapsed="false">
      <c r="A1826" s="27" t="n">
        <v>44804</v>
      </c>
      <c r="B1826" s="28" t="n">
        <v>2022</v>
      </c>
      <c r="C1826" s="28" t="s">
        <v>209</v>
      </c>
      <c r="D1826" s="28" t="s">
        <v>42</v>
      </c>
      <c r="E1826" s="28" t="s">
        <v>717</v>
      </c>
      <c r="F1826" s="28" t="s">
        <v>147</v>
      </c>
      <c r="G1826" s="28" t="s">
        <v>148</v>
      </c>
      <c r="H1826" s="28" t="s">
        <v>495</v>
      </c>
      <c r="I1826" s="29" t="n">
        <v>100000</v>
      </c>
      <c r="J1826" s="29" t="n">
        <v>50000</v>
      </c>
      <c r="K1826" s="28" t="n">
        <v>6.5</v>
      </c>
      <c r="L1826" s="28" t="n">
        <v>120</v>
      </c>
      <c r="M1826" s="28" t="n">
        <v>24</v>
      </c>
    </row>
    <row r="1827" customFormat="false" ht="15" hidden="false" customHeight="false" outlineLevel="0" collapsed="false">
      <c r="A1827" s="27" t="n">
        <v>44805</v>
      </c>
      <c r="B1827" s="28" t="n">
        <v>2022</v>
      </c>
      <c r="C1827" s="28" t="s">
        <v>166</v>
      </c>
      <c r="D1827" s="28" t="s">
        <v>44</v>
      </c>
      <c r="E1827" s="28" t="s">
        <v>730</v>
      </c>
      <c r="F1827" s="28" t="s">
        <v>142</v>
      </c>
      <c r="G1827" s="28" t="s">
        <v>143</v>
      </c>
      <c r="H1827" s="28" t="s">
        <v>413</v>
      </c>
      <c r="I1827" s="29" t="n">
        <v>347000</v>
      </c>
      <c r="J1827" s="29" t="n">
        <v>260250</v>
      </c>
      <c r="K1827" s="28" t="n">
        <v>7.25</v>
      </c>
      <c r="L1827" s="28" t="n">
        <v>120</v>
      </c>
      <c r="M1827" s="28" t="n">
        <v>25</v>
      </c>
    </row>
    <row r="1828" customFormat="false" ht="15" hidden="false" customHeight="false" outlineLevel="0" collapsed="false">
      <c r="A1828" s="27" t="n">
        <v>44806</v>
      </c>
      <c r="B1828" s="28" t="n">
        <v>2022</v>
      </c>
      <c r="C1828" s="28" t="s">
        <v>303</v>
      </c>
      <c r="D1828" s="28" t="s">
        <v>43</v>
      </c>
      <c r="E1828" s="28" t="s">
        <v>883</v>
      </c>
      <c r="F1828" s="28" t="s">
        <v>142</v>
      </c>
      <c r="G1828" s="28" t="s">
        <v>143</v>
      </c>
      <c r="H1828" s="28" t="s">
        <v>621</v>
      </c>
      <c r="I1828" s="29" t="n">
        <v>581000</v>
      </c>
      <c r="J1828" s="29" t="n">
        <v>435750</v>
      </c>
      <c r="K1828" s="28" t="n">
        <v>7</v>
      </c>
      <c r="L1828" s="28" t="n">
        <v>126</v>
      </c>
      <c r="M1828" s="28" t="n">
        <v>8</v>
      </c>
    </row>
    <row r="1829" customFormat="false" ht="15" hidden="false" customHeight="false" outlineLevel="0" collapsed="false">
      <c r="A1829" s="27" t="n">
        <v>44806</v>
      </c>
      <c r="B1829" s="28" t="n">
        <v>2022</v>
      </c>
      <c r="C1829" s="28" t="s">
        <v>675</v>
      </c>
      <c r="D1829" s="28" t="s">
        <v>53</v>
      </c>
      <c r="E1829" s="28" t="s">
        <v>703</v>
      </c>
      <c r="F1829" s="28" t="s">
        <v>142</v>
      </c>
      <c r="G1829" s="28" t="s">
        <v>152</v>
      </c>
      <c r="H1829" s="28" t="s">
        <v>144</v>
      </c>
      <c r="I1829" s="29" t="n">
        <v>725000</v>
      </c>
      <c r="J1829" s="29" t="n">
        <v>543750</v>
      </c>
      <c r="K1829" s="28" t="n">
        <v>7.25</v>
      </c>
      <c r="L1829" s="28" t="n">
        <v>312</v>
      </c>
      <c r="M1829" s="28" t="n">
        <v>2</v>
      </c>
    </row>
    <row r="1830" customFormat="false" ht="15" hidden="false" customHeight="false" outlineLevel="0" collapsed="false">
      <c r="A1830" s="27" t="n">
        <v>44806</v>
      </c>
      <c r="B1830" s="28" t="n">
        <v>2022</v>
      </c>
      <c r="C1830" s="28" t="s">
        <v>196</v>
      </c>
      <c r="D1830" s="28" t="s">
        <v>44</v>
      </c>
      <c r="E1830" s="28" t="s">
        <v>167</v>
      </c>
      <c r="F1830" s="28" t="s">
        <v>283</v>
      </c>
      <c r="G1830" s="28" t="s">
        <v>143</v>
      </c>
      <c r="H1830" s="28" t="s">
        <v>693</v>
      </c>
      <c r="I1830" s="29" t="n">
        <v>130000</v>
      </c>
      <c r="J1830" s="29" t="n">
        <v>110500</v>
      </c>
      <c r="K1830" s="28" t="n">
        <v>10.25</v>
      </c>
      <c r="L1830" s="28" t="n">
        <v>101</v>
      </c>
      <c r="M1830" s="28" t="n">
        <v>2</v>
      </c>
    </row>
    <row r="1831" customFormat="false" ht="15" hidden="false" customHeight="false" outlineLevel="0" collapsed="false">
      <c r="A1831" s="27" t="n">
        <v>44810</v>
      </c>
      <c r="B1831" s="28" t="n">
        <v>2022</v>
      </c>
      <c r="C1831" s="28" t="s">
        <v>201</v>
      </c>
      <c r="D1831" s="28" t="s">
        <v>46</v>
      </c>
      <c r="E1831" s="28" t="s">
        <v>820</v>
      </c>
      <c r="F1831" s="28" t="s">
        <v>142</v>
      </c>
      <c r="G1831" s="28" t="s">
        <v>143</v>
      </c>
      <c r="H1831" s="28" t="s">
        <v>291</v>
      </c>
      <c r="I1831" s="29" t="n">
        <v>3407000</v>
      </c>
      <c r="J1831" s="29" t="n">
        <v>2555250</v>
      </c>
      <c r="K1831" s="28" t="n">
        <v>7.25</v>
      </c>
      <c r="L1831" s="28" t="n">
        <v>300</v>
      </c>
      <c r="M1831" s="28" t="n">
        <v>11</v>
      </c>
    </row>
    <row r="1832" customFormat="false" ht="15" hidden="false" customHeight="false" outlineLevel="0" collapsed="false">
      <c r="A1832" s="27" t="n">
        <v>44810</v>
      </c>
      <c r="B1832" s="28" t="n">
        <v>2022</v>
      </c>
      <c r="C1832" s="28" t="s">
        <v>166</v>
      </c>
      <c r="D1832" s="28" t="s">
        <v>45</v>
      </c>
      <c r="E1832" s="28" t="s">
        <v>740</v>
      </c>
      <c r="F1832" s="28" t="s">
        <v>147</v>
      </c>
      <c r="G1832" s="28" t="s">
        <v>148</v>
      </c>
      <c r="H1832" s="28" t="s">
        <v>205</v>
      </c>
      <c r="I1832" s="29" t="n">
        <v>70000</v>
      </c>
      <c r="J1832" s="29" t="n">
        <v>35000</v>
      </c>
      <c r="K1832" s="28" t="n">
        <v>9.3</v>
      </c>
      <c r="L1832" s="28" t="n">
        <v>120</v>
      </c>
      <c r="M1832" s="28" t="n">
        <v>0</v>
      </c>
    </row>
    <row r="1833" customFormat="false" ht="15" hidden="false" customHeight="false" outlineLevel="0" collapsed="false">
      <c r="A1833" s="27" t="n">
        <v>44811</v>
      </c>
      <c r="B1833" s="28" t="n">
        <v>2022</v>
      </c>
      <c r="C1833" s="28" t="s">
        <v>172</v>
      </c>
      <c r="D1833" s="28" t="s">
        <v>56</v>
      </c>
      <c r="E1833" s="28" t="s">
        <v>772</v>
      </c>
      <c r="F1833" s="28" t="s">
        <v>142</v>
      </c>
      <c r="G1833" s="28" t="s">
        <v>152</v>
      </c>
      <c r="H1833" s="28" t="s">
        <v>634</v>
      </c>
      <c r="I1833" s="29" t="n">
        <v>1050000</v>
      </c>
      <c r="J1833" s="29" t="n">
        <v>787500</v>
      </c>
      <c r="K1833" s="28" t="n">
        <v>8.125</v>
      </c>
      <c r="L1833" s="28" t="n">
        <v>120</v>
      </c>
      <c r="M1833" s="28" t="n">
        <v>38</v>
      </c>
    </row>
    <row r="1834" customFormat="false" ht="15" hidden="false" customHeight="false" outlineLevel="0" collapsed="false">
      <c r="A1834" s="27" t="n">
        <v>44811</v>
      </c>
      <c r="B1834" s="28" t="n">
        <v>2022</v>
      </c>
      <c r="C1834" s="28" t="s">
        <v>344</v>
      </c>
      <c r="D1834" s="28" t="s">
        <v>45</v>
      </c>
      <c r="E1834" s="28" t="s">
        <v>222</v>
      </c>
      <c r="F1834" s="28" t="s">
        <v>142</v>
      </c>
      <c r="G1834" s="28" t="s">
        <v>148</v>
      </c>
      <c r="H1834" s="28" t="s">
        <v>208</v>
      </c>
      <c r="I1834" s="29" t="n">
        <v>350000</v>
      </c>
      <c r="J1834" s="29" t="n">
        <v>262500</v>
      </c>
      <c r="K1834" s="28" t="n">
        <v>8</v>
      </c>
      <c r="L1834" s="28" t="n">
        <v>120</v>
      </c>
      <c r="M1834" s="28" t="n">
        <v>0</v>
      </c>
    </row>
    <row r="1835" customFormat="false" ht="15" hidden="false" customHeight="false" outlineLevel="0" collapsed="false">
      <c r="A1835" s="27" t="n">
        <v>44811</v>
      </c>
      <c r="B1835" s="28" t="n">
        <v>2022</v>
      </c>
      <c r="C1835" s="28" t="s">
        <v>172</v>
      </c>
      <c r="D1835" s="28" t="s">
        <v>42</v>
      </c>
      <c r="E1835" s="28" t="s">
        <v>340</v>
      </c>
      <c r="F1835" s="28" t="s">
        <v>142</v>
      </c>
      <c r="G1835" s="28" t="s">
        <v>148</v>
      </c>
      <c r="H1835" s="28" t="s">
        <v>291</v>
      </c>
      <c r="I1835" s="29" t="n">
        <v>1800000</v>
      </c>
      <c r="J1835" s="29" t="n">
        <v>1350000</v>
      </c>
      <c r="K1835" s="28" t="n">
        <v>6.75</v>
      </c>
      <c r="L1835" s="28" t="n">
        <v>120</v>
      </c>
      <c r="M1835" s="28" t="n">
        <v>25</v>
      </c>
    </row>
    <row r="1836" customFormat="false" ht="15" hidden="false" customHeight="false" outlineLevel="0" collapsed="false">
      <c r="A1836" s="27" t="n">
        <v>44811</v>
      </c>
      <c r="B1836" s="28" t="n">
        <v>2022</v>
      </c>
      <c r="C1836" s="28" t="s">
        <v>235</v>
      </c>
      <c r="D1836" s="28" t="s">
        <v>51</v>
      </c>
      <c r="E1836" s="28" t="s">
        <v>726</v>
      </c>
      <c r="F1836" s="28" t="s">
        <v>147</v>
      </c>
      <c r="G1836" s="28" t="s">
        <v>441</v>
      </c>
      <c r="H1836" s="28" t="s">
        <v>428</v>
      </c>
      <c r="I1836" s="29" t="n">
        <v>5000</v>
      </c>
      <c r="J1836" s="29" t="n">
        <v>2500</v>
      </c>
      <c r="K1836" s="28" t="n">
        <v>13.5</v>
      </c>
      <c r="L1836" s="28" t="n">
        <v>52</v>
      </c>
      <c r="M1836" s="28" t="n">
        <v>2</v>
      </c>
    </row>
    <row r="1837" customFormat="false" ht="15" hidden="false" customHeight="false" outlineLevel="0" collapsed="false">
      <c r="A1837" s="27" t="n">
        <v>44811</v>
      </c>
      <c r="B1837" s="28" t="n">
        <v>2022</v>
      </c>
      <c r="C1837" s="28" t="s">
        <v>172</v>
      </c>
      <c r="D1837" s="28" t="s">
        <v>42</v>
      </c>
      <c r="E1837" s="28" t="s">
        <v>340</v>
      </c>
      <c r="F1837" s="28" t="s">
        <v>147</v>
      </c>
      <c r="G1837" s="28" t="s">
        <v>148</v>
      </c>
      <c r="H1837" s="28" t="s">
        <v>291</v>
      </c>
      <c r="I1837" s="29" t="n">
        <v>500000</v>
      </c>
      <c r="J1837" s="29" t="n">
        <v>250000</v>
      </c>
      <c r="K1837" s="28" t="n">
        <v>7.5</v>
      </c>
      <c r="L1837" s="28" t="n">
        <v>120</v>
      </c>
      <c r="M1837" s="28" t="n">
        <v>25</v>
      </c>
    </row>
    <row r="1838" customFormat="false" ht="15" hidden="false" customHeight="false" outlineLevel="0" collapsed="false">
      <c r="A1838" s="27" t="n">
        <v>44812</v>
      </c>
      <c r="B1838" s="28" t="n">
        <v>2022</v>
      </c>
      <c r="C1838" s="28" t="s">
        <v>238</v>
      </c>
      <c r="D1838" s="28" t="s">
        <v>48</v>
      </c>
      <c r="E1838" s="28" t="s">
        <v>840</v>
      </c>
      <c r="F1838" s="28" t="s">
        <v>142</v>
      </c>
      <c r="G1838" s="28" t="s">
        <v>148</v>
      </c>
      <c r="H1838" s="28" t="s">
        <v>771</v>
      </c>
      <c r="I1838" s="29" t="n">
        <v>25000</v>
      </c>
      <c r="J1838" s="29" t="n">
        <v>21250</v>
      </c>
      <c r="K1838" s="28" t="n">
        <v>8.25</v>
      </c>
      <c r="L1838" s="28" t="n">
        <v>120</v>
      </c>
      <c r="M1838" s="28" t="n">
        <v>4</v>
      </c>
    </row>
    <row r="1839" customFormat="false" ht="15" hidden="false" customHeight="false" outlineLevel="0" collapsed="false">
      <c r="A1839" s="27" t="n">
        <v>44812</v>
      </c>
      <c r="B1839" s="28" t="n">
        <v>2022</v>
      </c>
      <c r="C1839" s="28" t="s">
        <v>163</v>
      </c>
      <c r="D1839" s="28" t="s">
        <v>46</v>
      </c>
      <c r="E1839" s="28" t="s">
        <v>746</v>
      </c>
      <c r="F1839" s="28" t="s">
        <v>142</v>
      </c>
      <c r="G1839" s="28" t="s">
        <v>148</v>
      </c>
      <c r="H1839" s="28" t="s">
        <v>165</v>
      </c>
      <c r="I1839" s="29" t="n">
        <v>649000</v>
      </c>
      <c r="J1839" s="29" t="n">
        <v>486750</v>
      </c>
      <c r="K1839" s="28" t="n">
        <v>7.5</v>
      </c>
      <c r="L1839" s="28" t="n">
        <v>120</v>
      </c>
      <c r="M1839" s="28" t="n">
        <v>35</v>
      </c>
    </row>
    <row r="1840" customFormat="false" ht="15" hidden="false" customHeight="false" outlineLevel="0" collapsed="false">
      <c r="A1840" s="27" t="n">
        <v>44813</v>
      </c>
      <c r="B1840" s="28" t="n">
        <v>2022</v>
      </c>
      <c r="C1840" s="28" t="s">
        <v>163</v>
      </c>
      <c r="D1840" s="28" t="s">
        <v>51</v>
      </c>
      <c r="E1840" s="28" t="s">
        <v>800</v>
      </c>
      <c r="F1840" s="28" t="s">
        <v>194</v>
      </c>
      <c r="G1840" s="28" t="s">
        <v>152</v>
      </c>
      <c r="H1840" s="28" t="s">
        <v>786</v>
      </c>
      <c r="I1840" s="29" t="n">
        <v>1140000</v>
      </c>
      <c r="J1840" s="29" t="n">
        <v>855000</v>
      </c>
      <c r="K1840" s="28" t="n">
        <v>8.25</v>
      </c>
      <c r="L1840" s="28" t="n">
        <v>120</v>
      </c>
      <c r="M1840" s="28" t="n">
        <v>81</v>
      </c>
    </row>
    <row r="1841" customFormat="false" ht="15" hidden="false" customHeight="false" outlineLevel="0" collapsed="false">
      <c r="A1841" s="27" t="n">
        <v>44814</v>
      </c>
      <c r="B1841" s="28" t="n">
        <v>2022</v>
      </c>
      <c r="C1841" s="28" t="s">
        <v>163</v>
      </c>
      <c r="D1841" s="28" t="s">
        <v>57</v>
      </c>
      <c r="E1841" s="28" t="s">
        <v>721</v>
      </c>
      <c r="F1841" s="28" t="s">
        <v>142</v>
      </c>
      <c r="G1841" s="28" t="s">
        <v>148</v>
      </c>
      <c r="H1841" s="28" t="s">
        <v>211</v>
      </c>
      <c r="I1841" s="29" t="n">
        <v>350000</v>
      </c>
      <c r="J1841" s="29" t="n">
        <v>262500</v>
      </c>
      <c r="K1841" s="28" t="n">
        <v>8.25</v>
      </c>
      <c r="L1841" s="28" t="n">
        <v>120</v>
      </c>
      <c r="M1841" s="28" t="n">
        <v>5</v>
      </c>
    </row>
    <row r="1842" customFormat="false" ht="15" hidden="false" customHeight="false" outlineLevel="0" collapsed="false">
      <c r="A1842" s="27" t="n">
        <v>44816</v>
      </c>
      <c r="B1842" s="28" t="n">
        <v>2022</v>
      </c>
      <c r="C1842" s="28" t="s">
        <v>160</v>
      </c>
      <c r="D1842" s="28" t="s">
        <v>48</v>
      </c>
      <c r="E1842" s="28" t="s">
        <v>884</v>
      </c>
      <c r="F1842" s="28" t="s">
        <v>147</v>
      </c>
      <c r="G1842" s="28" t="s">
        <v>441</v>
      </c>
      <c r="H1842" s="28" t="s">
        <v>159</v>
      </c>
      <c r="I1842" s="29" t="n">
        <v>25000</v>
      </c>
      <c r="J1842" s="29" t="n">
        <v>12500</v>
      </c>
      <c r="K1842" s="28" t="n">
        <v>12</v>
      </c>
      <c r="L1842" s="28" t="n">
        <v>120</v>
      </c>
      <c r="M1842" s="28" t="n">
        <v>10</v>
      </c>
    </row>
    <row r="1843" customFormat="false" ht="15" hidden="false" customHeight="false" outlineLevel="0" collapsed="false">
      <c r="A1843" s="27" t="n">
        <v>44816</v>
      </c>
      <c r="B1843" s="28" t="n">
        <v>2022</v>
      </c>
      <c r="C1843" s="28" t="s">
        <v>172</v>
      </c>
      <c r="D1843" s="28" t="s">
        <v>46</v>
      </c>
      <c r="E1843" s="28" t="s">
        <v>770</v>
      </c>
      <c r="F1843" s="28" t="s">
        <v>142</v>
      </c>
      <c r="G1843" s="28" t="s">
        <v>148</v>
      </c>
      <c r="H1843" s="28" t="s">
        <v>771</v>
      </c>
      <c r="I1843" s="29" t="n">
        <v>25000</v>
      </c>
      <c r="J1843" s="29" t="n">
        <v>21250</v>
      </c>
      <c r="K1843" s="28" t="n">
        <v>8.25</v>
      </c>
      <c r="L1843" s="28" t="n">
        <v>120</v>
      </c>
      <c r="M1843" s="28" t="n">
        <v>20</v>
      </c>
    </row>
    <row r="1844" customFormat="false" ht="15" hidden="false" customHeight="false" outlineLevel="0" collapsed="false">
      <c r="A1844" s="27" t="n">
        <v>44816</v>
      </c>
      <c r="B1844" s="28" t="n">
        <v>2022</v>
      </c>
      <c r="C1844" s="28" t="s">
        <v>169</v>
      </c>
      <c r="D1844" s="28" t="s">
        <v>46</v>
      </c>
      <c r="E1844" s="28" t="s">
        <v>702</v>
      </c>
      <c r="F1844" s="28" t="s">
        <v>142</v>
      </c>
      <c r="G1844" s="28" t="s">
        <v>143</v>
      </c>
      <c r="H1844" s="28" t="s">
        <v>211</v>
      </c>
      <c r="I1844" s="29" t="n">
        <v>235200</v>
      </c>
      <c r="J1844" s="29" t="n">
        <v>176400</v>
      </c>
      <c r="K1844" s="28" t="n">
        <v>8.25</v>
      </c>
      <c r="L1844" s="28" t="n">
        <v>120</v>
      </c>
      <c r="M1844" s="28" t="n">
        <v>11</v>
      </c>
    </row>
    <row r="1845" customFormat="false" ht="15" hidden="false" customHeight="false" outlineLevel="0" collapsed="false">
      <c r="A1845" s="27" t="n">
        <v>44816</v>
      </c>
      <c r="B1845" s="28" t="n">
        <v>2022</v>
      </c>
      <c r="C1845" s="28" t="s">
        <v>169</v>
      </c>
      <c r="D1845" s="28" t="s">
        <v>46</v>
      </c>
      <c r="E1845" s="28" t="s">
        <v>702</v>
      </c>
      <c r="F1845" s="28" t="s">
        <v>147</v>
      </c>
      <c r="G1845" s="28" t="s">
        <v>143</v>
      </c>
      <c r="H1845" s="28" t="s">
        <v>211</v>
      </c>
      <c r="I1845" s="29" t="n">
        <v>40000</v>
      </c>
      <c r="J1845" s="29" t="n">
        <v>20000</v>
      </c>
      <c r="K1845" s="28" t="n">
        <v>8.25</v>
      </c>
      <c r="L1845" s="28" t="n">
        <v>120</v>
      </c>
      <c r="M1845" s="28" t="n">
        <v>11</v>
      </c>
    </row>
    <row r="1846" customFormat="false" ht="15" hidden="false" customHeight="false" outlineLevel="0" collapsed="false">
      <c r="A1846" s="27" t="n">
        <v>44816</v>
      </c>
      <c r="B1846" s="28" t="n">
        <v>2022</v>
      </c>
      <c r="C1846" s="28" t="s">
        <v>206</v>
      </c>
      <c r="D1846" s="28" t="s">
        <v>52</v>
      </c>
      <c r="E1846" s="28" t="s">
        <v>832</v>
      </c>
      <c r="F1846" s="28" t="s">
        <v>147</v>
      </c>
      <c r="G1846" s="28" t="s">
        <v>148</v>
      </c>
      <c r="H1846" s="28" t="s">
        <v>159</v>
      </c>
      <c r="I1846" s="29" t="n">
        <v>12000</v>
      </c>
      <c r="J1846" s="29" t="n">
        <v>6000</v>
      </c>
      <c r="K1846" s="28" t="n">
        <v>6.5</v>
      </c>
      <c r="L1846" s="28" t="n">
        <v>120</v>
      </c>
      <c r="M1846" s="28" t="n">
        <v>4</v>
      </c>
    </row>
    <row r="1847" customFormat="false" ht="15" hidden="false" customHeight="false" outlineLevel="0" collapsed="false">
      <c r="A1847" s="27" t="n">
        <v>44817</v>
      </c>
      <c r="B1847" s="28" t="n">
        <v>2022</v>
      </c>
      <c r="C1847" s="28" t="s">
        <v>163</v>
      </c>
      <c r="D1847" s="28" t="s">
        <v>46</v>
      </c>
      <c r="E1847" s="28" t="s">
        <v>727</v>
      </c>
      <c r="F1847" s="28" t="s">
        <v>142</v>
      </c>
      <c r="G1847" s="28" t="s">
        <v>148</v>
      </c>
      <c r="H1847" s="28" t="s">
        <v>275</v>
      </c>
      <c r="I1847" s="29" t="n">
        <v>15000</v>
      </c>
      <c r="J1847" s="29" t="n">
        <v>12750</v>
      </c>
      <c r="K1847" s="28" t="n">
        <v>10.25</v>
      </c>
      <c r="L1847" s="28" t="n">
        <v>84</v>
      </c>
      <c r="M1847" s="28" t="n">
        <v>2</v>
      </c>
    </row>
    <row r="1848" customFormat="false" ht="15" hidden="false" customHeight="false" outlineLevel="0" collapsed="false">
      <c r="A1848" s="27" t="n">
        <v>44817</v>
      </c>
      <c r="B1848" s="28" t="n">
        <v>2022</v>
      </c>
      <c r="C1848" s="28" t="s">
        <v>488</v>
      </c>
      <c r="D1848" s="28" t="s">
        <v>49</v>
      </c>
      <c r="E1848" s="28" t="s">
        <v>575</v>
      </c>
      <c r="F1848" s="28" t="s">
        <v>142</v>
      </c>
      <c r="G1848" s="28" t="s">
        <v>148</v>
      </c>
      <c r="H1848" s="28" t="s">
        <v>211</v>
      </c>
      <c r="I1848" s="29" t="n">
        <v>100000</v>
      </c>
      <c r="J1848" s="29" t="n">
        <v>85000</v>
      </c>
      <c r="K1848" s="28" t="n">
        <v>8.25</v>
      </c>
      <c r="L1848" s="28" t="n">
        <v>120</v>
      </c>
      <c r="M1848" s="28" t="n">
        <v>5</v>
      </c>
    </row>
    <row r="1849" customFormat="false" ht="15" hidden="false" customHeight="false" outlineLevel="0" collapsed="false">
      <c r="A1849" s="27" t="n">
        <v>44817</v>
      </c>
      <c r="B1849" s="28" t="n">
        <v>2022</v>
      </c>
      <c r="C1849" s="28" t="s">
        <v>488</v>
      </c>
      <c r="D1849" s="28" t="s">
        <v>42</v>
      </c>
      <c r="E1849" s="28" t="s">
        <v>717</v>
      </c>
      <c r="F1849" s="28" t="s">
        <v>142</v>
      </c>
      <c r="G1849" s="28" t="s">
        <v>143</v>
      </c>
      <c r="H1849" s="28" t="s">
        <v>374</v>
      </c>
      <c r="I1849" s="29" t="n">
        <v>1057500</v>
      </c>
      <c r="J1849" s="29" t="n">
        <v>793125</v>
      </c>
      <c r="K1849" s="28" t="n">
        <v>8.25</v>
      </c>
      <c r="L1849" s="28" t="n">
        <v>126</v>
      </c>
      <c r="M1849" s="28" t="n">
        <v>24</v>
      </c>
    </row>
    <row r="1850" customFormat="false" ht="15" hidden="false" customHeight="false" outlineLevel="0" collapsed="false">
      <c r="A1850" s="27" t="n">
        <v>44817</v>
      </c>
      <c r="B1850" s="28" t="n">
        <v>2022</v>
      </c>
      <c r="C1850" s="28" t="s">
        <v>172</v>
      </c>
      <c r="D1850" s="28" t="s">
        <v>46</v>
      </c>
      <c r="E1850" s="28" t="s">
        <v>852</v>
      </c>
      <c r="F1850" s="28" t="s">
        <v>147</v>
      </c>
      <c r="G1850" s="28" t="s">
        <v>148</v>
      </c>
      <c r="H1850" s="28" t="s">
        <v>205</v>
      </c>
      <c r="I1850" s="29" t="n">
        <v>55000</v>
      </c>
      <c r="J1850" s="29" t="n">
        <v>27500</v>
      </c>
      <c r="K1850" s="28" t="n">
        <v>9.3</v>
      </c>
      <c r="L1850" s="28" t="n">
        <v>120</v>
      </c>
      <c r="M1850" s="28" t="n">
        <v>0</v>
      </c>
    </row>
    <row r="1851" customFormat="false" ht="15" hidden="false" customHeight="false" outlineLevel="0" collapsed="false">
      <c r="A1851" s="27" t="n">
        <v>44817</v>
      </c>
      <c r="B1851" s="28" t="n">
        <v>2022</v>
      </c>
      <c r="C1851" s="28" t="s">
        <v>394</v>
      </c>
      <c r="D1851" s="28" t="s">
        <v>52</v>
      </c>
      <c r="E1851" s="28" t="s">
        <v>715</v>
      </c>
      <c r="F1851" s="28" t="s">
        <v>142</v>
      </c>
      <c r="G1851" s="28" t="s">
        <v>148</v>
      </c>
      <c r="H1851" s="28" t="s">
        <v>211</v>
      </c>
      <c r="I1851" s="29" t="n">
        <v>200000</v>
      </c>
      <c r="J1851" s="29" t="n">
        <v>150000</v>
      </c>
      <c r="K1851" s="28" t="n">
        <v>8.25</v>
      </c>
      <c r="L1851" s="28" t="n">
        <v>120</v>
      </c>
      <c r="M1851" s="28" t="n">
        <v>1</v>
      </c>
    </row>
    <row r="1852" customFormat="false" ht="15" hidden="false" customHeight="false" outlineLevel="0" collapsed="false">
      <c r="A1852" s="27" t="n">
        <v>44818</v>
      </c>
      <c r="B1852" s="28" t="n">
        <v>2022</v>
      </c>
      <c r="C1852" s="28" t="s">
        <v>203</v>
      </c>
      <c r="D1852" s="28" t="s">
        <v>54</v>
      </c>
      <c r="E1852" s="28" t="s">
        <v>885</v>
      </c>
      <c r="F1852" s="28" t="s">
        <v>142</v>
      </c>
      <c r="G1852" s="28" t="s">
        <v>148</v>
      </c>
      <c r="H1852" s="28" t="s">
        <v>269</v>
      </c>
      <c r="I1852" s="29" t="n">
        <v>70000</v>
      </c>
      <c r="J1852" s="29" t="n">
        <v>59500</v>
      </c>
      <c r="K1852" s="28" t="n">
        <v>8.25</v>
      </c>
      <c r="L1852" s="28" t="n">
        <v>120</v>
      </c>
      <c r="M1852" s="28" t="n">
        <v>2</v>
      </c>
    </row>
    <row r="1853" customFormat="false" ht="15" hidden="false" customHeight="false" outlineLevel="0" collapsed="false">
      <c r="A1853" s="27" t="n">
        <v>44818</v>
      </c>
      <c r="B1853" s="28" t="n">
        <v>2022</v>
      </c>
      <c r="C1853" s="28" t="s">
        <v>160</v>
      </c>
      <c r="D1853" s="28" t="s">
        <v>48</v>
      </c>
      <c r="E1853" s="28" t="s">
        <v>815</v>
      </c>
      <c r="F1853" s="28" t="s">
        <v>142</v>
      </c>
      <c r="G1853" s="28" t="s">
        <v>148</v>
      </c>
      <c r="H1853" s="28" t="s">
        <v>291</v>
      </c>
      <c r="I1853" s="29" t="n">
        <v>2525000</v>
      </c>
      <c r="J1853" s="29" t="n">
        <v>1893750</v>
      </c>
      <c r="K1853" s="28" t="n">
        <v>7.5</v>
      </c>
      <c r="L1853" s="28" t="n">
        <v>120</v>
      </c>
      <c r="M1853" s="28" t="n">
        <v>16</v>
      </c>
    </row>
    <row r="1854" customFormat="false" ht="15" hidden="false" customHeight="false" outlineLevel="0" collapsed="false">
      <c r="A1854" s="27" t="n">
        <v>44818</v>
      </c>
      <c r="B1854" s="28" t="n">
        <v>2022</v>
      </c>
      <c r="C1854" s="28" t="s">
        <v>160</v>
      </c>
      <c r="D1854" s="28" t="s">
        <v>48</v>
      </c>
      <c r="E1854" s="28" t="s">
        <v>815</v>
      </c>
      <c r="F1854" s="28" t="s">
        <v>147</v>
      </c>
      <c r="G1854" s="28" t="s">
        <v>148</v>
      </c>
      <c r="H1854" s="28" t="s">
        <v>291</v>
      </c>
      <c r="I1854" s="29" t="n">
        <v>200000</v>
      </c>
      <c r="J1854" s="29" t="n">
        <v>100000</v>
      </c>
      <c r="K1854" s="28" t="n">
        <v>7.75</v>
      </c>
      <c r="L1854" s="28" t="n">
        <v>120</v>
      </c>
      <c r="M1854" s="28" t="n">
        <v>16</v>
      </c>
    </row>
    <row r="1855" customFormat="false" ht="15" hidden="false" customHeight="false" outlineLevel="0" collapsed="false">
      <c r="A1855" s="27" t="n">
        <v>44819</v>
      </c>
      <c r="B1855" s="28" t="n">
        <v>2022</v>
      </c>
      <c r="C1855" s="28" t="s">
        <v>488</v>
      </c>
      <c r="D1855" s="28" t="s">
        <v>42</v>
      </c>
      <c r="E1855" s="28" t="s">
        <v>705</v>
      </c>
      <c r="F1855" s="28" t="s">
        <v>142</v>
      </c>
      <c r="G1855" s="28" t="s">
        <v>152</v>
      </c>
      <c r="H1855" s="28" t="s">
        <v>326</v>
      </c>
      <c r="I1855" s="29" t="n">
        <v>3800000</v>
      </c>
      <c r="J1855" s="29" t="n">
        <v>2850000</v>
      </c>
      <c r="K1855" s="28" t="n">
        <v>6.75</v>
      </c>
      <c r="L1855" s="28" t="n">
        <v>300</v>
      </c>
      <c r="M1855" s="28" t="n">
        <v>4</v>
      </c>
    </row>
    <row r="1856" customFormat="false" ht="15" hidden="false" customHeight="false" outlineLevel="0" collapsed="false">
      <c r="A1856" s="27" t="n">
        <v>44820</v>
      </c>
      <c r="B1856" s="28" t="n">
        <v>2022</v>
      </c>
      <c r="C1856" s="28" t="s">
        <v>160</v>
      </c>
      <c r="D1856" s="28" t="s">
        <v>46</v>
      </c>
      <c r="E1856" s="28" t="s">
        <v>770</v>
      </c>
      <c r="F1856" s="28" t="s">
        <v>142</v>
      </c>
      <c r="G1856" s="28" t="s">
        <v>148</v>
      </c>
      <c r="H1856" s="28" t="s">
        <v>771</v>
      </c>
      <c r="I1856" s="29" t="n">
        <v>25000</v>
      </c>
      <c r="J1856" s="29" t="n">
        <v>21250</v>
      </c>
      <c r="K1856" s="28" t="n">
        <v>8.25</v>
      </c>
      <c r="L1856" s="28" t="n">
        <v>120</v>
      </c>
      <c r="M1856" s="28" t="n">
        <v>23</v>
      </c>
    </row>
    <row r="1857" customFormat="false" ht="15" hidden="false" customHeight="false" outlineLevel="0" collapsed="false">
      <c r="A1857" s="27" t="n">
        <v>44820</v>
      </c>
      <c r="B1857" s="28" t="n">
        <v>2022</v>
      </c>
      <c r="C1857" s="28" t="s">
        <v>160</v>
      </c>
      <c r="D1857" s="28" t="s">
        <v>44</v>
      </c>
      <c r="E1857" s="28" t="s">
        <v>783</v>
      </c>
      <c r="F1857" s="28" t="s">
        <v>147</v>
      </c>
      <c r="G1857" s="28" t="s">
        <v>148</v>
      </c>
      <c r="H1857" s="28" t="s">
        <v>159</v>
      </c>
      <c r="I1857" s="29" t="n">
        <v>40000</v>
      </c>
      <c r="J1857" s="29" t="n">
        <v>20000</v>
      </c>
      <c r="K1857" s="28" t="n">
        <v>12</v>
      </c>
      <c r="L1857" s="28" t="n">
        <v>120</v>
      </c>
      <c r="M1857" s="28" t="n">
        <v>30</v>
      </c>
    </row>
    <row r="1858" customFormat="false" ht="15" hidden="false" customHeight="false" outlineLevel="0" collapsed="false">
      <c r="A1858" s="27" t="n">
        <v>44820</v>
      </c>
      <c r="B1858" s="28" t="n">
        <v>2022</v>
      </c>
      <c r="C1858" s="28" t="s">
        <v>169</v>
      </c>
      <c r="D1858" s="28" t="s">
        <v>45</v>
      </c>
      <c r="E1858" s="28" t="s">
        <v>708</v>
      </c>
      <c r="F1858" s="28" t="s">
        <v>194</v>
      </c>
      <c r="G1858" s="28" t="s">
        <v>441</v>
      </c>
      <c r="H1858" s="28" t="s">
        <v>645</v>
      </c>
      <c r="I1858" s="29" t="n">
        <v>938000</v>
      </c>
      <c r="J1858" s="29" t="n">
        <v>703500</v>
      </c>
      <c r="K1858" s="28" t="n">
        <v>8.25</v>
      </c>
      <c r="L1858" s="28" t="n">
        <v>120</v>
      </c>
      <c r="M1858" s="28" t="n">
        <v>7</v>
      </c>
    </row>
    <row r="1859" customFormat="false" ht="15" hidden="false" customHeight="false" outlineLevel="0" collapsed="false">
      <c r="A1859" s="27" t="n">
        <v>44820</v>
      </c>
      <c r="B1859" s="28" t="n">
        <v>2022</v>
      </c>
      <c r="C1859" s="28" t="s">
        <v>163</v>
      </c>
      <c r="D1859" s="28" t="s">
        <v>52</v>
      </c>
      <c r="E1859" s="28" t="s">
        <v>604</v>
      </c>
      <c r="F1859" s="28" t="s">
        <v>142</v>
      </c>
      <c r="G1859" s="28" t="s">
        <v>152</v>
      </c>
      <c r="H1859" s="28" t="s">
        <v>227</v>
      </c>
      <c r="I1859" s="29" t="n">
        <v>323000</v>
      </c>
      <c r="J1859" s="29" t="n">
        <v>242250</v>
      </c>
      <c r="K1859" s="28" t="n">
        <v>8.25</v>
      </c>
      <c r="L1859" s="28" t="n">
        <v>120</v>
      </c>
      <c r="M1859" s="28" t="n">
        <v>23</v>
      </c>
    </row>
    <row r="1860" customFormat="false" ht="15" hidden="false" customHeight="false" outlineLevel="0" collapsed="false">
      <c r="A1860" s="27" t="n">
        <v>44823</v>
      </c>
      <c r="B1860" s="28" t="n">
        <v>2022</v>
      </c>
      <c r="C1860" s="28" t="s">
        <v>560</v>
      </c>
      <c r="D1860" s="28" t="s">
        <v>42</v>
      </c>
      <c r="E1860" s="28" t="s">
        <v>717</v>
      </c>
      <c r="F1860" s="28" t="s">
        <v>142</v>
      </c>
      <c r="G1860" s="28" t="s">
        <v>152</v>
      </c>
      <c r="H1860" s="28" t="s">
        <v>211</v>
      </c>
      <c r="I1860" s="29" t="n">
        <v>287000</v>
      </c>
      <c r="J1860" s="29" t="n">
        <v>215250</v>
      </c>
      <c r="K1860" s="28" t="n">
        <v>8.25</v>
      </c>
      <c r="L1860" s="28" t="n">
        <v>89</v>
      </c>
      <c r="M1860" s="28" t="n">
        <v>18</v>
      </c>
    </row>
    <row r="1861" customFormat="false" ht="15" hidden="false" customHeight="false" outlineLevel="0" collapsed="false">
      <c r="A1861" s="27" t="n">
        <v>44823</v>
      </c>
      <c r="B1861" s="28" t="n">
        <v>2022</v>
      </c>
      <c r="C1861" s="28" t="s">
        <v>292</v>
      </c>
      <c r="D1861" s="28" t="s">
        <v>46</v>
      </c>
      <c r="E1861" s="28" t="s">
        <v>770</v>
      </c>
      <c r="F1861" s="28" t="s">
        <v>147</v>
      </c>
      <c r="G1861" s="28" t="s">
        <v>143</v>
      </c>
      <c r="H1861" s="28" t="s">
        <v>351</v>
      </c>
      <c r="I1861" s="29" t="n">
        <v>202100</v>
      </c>
      <c r="J1861" s="29" t="n">
        <v>101050</v>
      </c>
      <c r="K1861" s="28" t="n">
        <v>6</v>
      </c>
      <c r="L1861" s="28" t="n">
        <v>119</v>
      </c>
      <c r="M1861" s="28" t="n">
        <v>8</v>
      </c>
    </row>
    <row r="1862" customFormat="false" ht="15" hidden="false" customHeight="false" outlineLevel="0" collapsed="false">
      <c r="A1862" s="27" t="n">
        <v>44825</v>
      </c>
      <c r="B1862" s="28" t="n">
        <v>2022</v>
      </c>
      <c r="C1862" s="28" t="s">
        <v>522</v>
      </c>
      <c r="D1862" s="28" t="s">
        <v>43</v>
      </c>
      <c r="E1862" s="28" t="s">
        <v>886</v>
      </c>
      <c r="F1862" s="28" t="s">
        <v>142</v>
      </c>
      <c r="G1862" s="28" t="s">
        <v>441</v>
      </c>
      <c r="H1862" s="28" t="s">
        <v>579</v>
      </c>
      <c r="I1862" s="29" t="n">
        <v>1853100</v>
      </c>
      <c r="J1862" s="29" t="n">
        <v>1389825</v>
      </c>
      <c r="K1862" s="28" t="n">
        <v>7.25</v>
      </c>
      <c r="L1862" s="28" t="n">
        <v>300</v>
      </c>
      <c r="M1862" s="28" t="n">
        <v>15</v>
      </c>
    </row>
    <row r="1863" customFormat="false" ht="15" hidden="false" customHeight="false" outlineLevel="0" collapsed="false">
      <c r="A1863" s="27" t="n">
        <v>44825</v>
      </c>
      <c r="B1863" s="28" t="n">
        <v>2022</v>
      </c>
      <c r="C1863" s="28" t="s">
        <v>172</v>
      </c>
      <c r="D1863" s="28" t="s">
        <v>52</v>
      </c>
      <c r="E1863" s="28" t="s">
        <v>673</v>
      </c>
      <c r="F1863" s="28" t="s">
        <v>147</v>
      </c>
      <c r="G1863" s="28" t="s">
        <v>148</v>
      </c>
      <c r="H1863" s="28" t="s">
        <v>205</v>
      </c>
      <c r="I1863" s="29" t="n">
        <v>100000</v>
      </c>
      <c r="J1863" s="29" t="n">
        <v>50000</v>
      </c>
      <c r="K1863" s="28" t="n">
        <v>9.3</v>
      </c>
      <c r="L1863" s="28" t="n">
        <v>120</v>
      </c>
      <c r="M1863" s="28" t="n">
        <v>5</v>
      </c>
    </row>
    <row r="1864" customFormat="false" ht="15" hidden="false" customHeight="false" outlineLevel="0" collapsed="false">
      <c r="A1864" s="27" t="n">
        <v>44826</v>
      </c>
      <c r="B1864" s="28" t="n">
        <v>2022</v>
      </c>
      <c r="C1864" s="28" t="s">
        <v>887</v>
      </c>
      <c r="D1864" s="28" t="s">
        <v>43</v>
      </c>
      <c r="E1864" s="28" t="s">
        <v>888</v>
      </c>
      <c r="F1864" s="28" t="s">
        <v>142</v>
      </c>
      <c r="G1864" s="28" t="s">
        <v>148</v>
      </c>
      <c r="H1864" s="28" t="s">
        <v>269</v>
      </c>
      <c r="I1864" s="29" t="n">
        <v>60000</v>
      </c>
      <c r="J1864" s="29" t="n">
        <v>51000</v>
      </c>
      <c r="K1864" s="28" t="n">
        <v>8.25</v>
      </c>
      <c r="L1864" s="28" t="n">
        <v>120</v>
      </c>
      <c r="M1864" s="28" t="n">
        <v>4</v>
      </c>
    </row>
    <row r="1865" customFormat="false" ht="15" hidden="false" customHeight="false" outlineLevel="0" collapsed="false">
      <c r="A1865" s="27" t="n">
        <v>44826</v>
      </c>
      <c r="B1865" s="28" t="n">
        <v>2022</v>
      </c>
      <c r="C1865" s="28" t="s">
        <v>169</v>
      </c>
      <c r="D1865" s="28" t="s">
        <v>44</v>
      </c>
      <c r="E1865" s="28" t="s">
        <v>783</v>
      </c>
      <c r="F1865" s="28" t="s">
        <v>142</v>
      </c>
      <c r="G1865" s="28" t="s">
        <v>148</v>
      </c>
      <c r="H1865" s="28" t="s">
        <v>171</v>
      </c>
      <c r="I1865" s="29" t="n">
        <v>95000</v>
      </c>
      <c r="J1865" s="29" t="n">
        <v>80750</v>
      </c>
      <c r="K1865" s="28" t="n">
        <v>8.25</v>
      </c>
      <c r="L1865" s="28" t="n">
        <v>120</v>
      </c>
      <c r="M1865" s="28" t="n">
        <v>5</v>
      </c>
    </row>
    <row r="1866" customFormat="false" ht="15" hidden="false" customHeight="false" outlineLevel="0" collapsed="false">
      <c r="A1866" s="27" t="n">
        <v>44826</v>
      </c>
      <c r="B1866" s="28" t="n">
        <v>2022</v>
      </c>
      <c r="C1866" s="28" t="s">
        <v>140</v>
      </c>
      <c r="D1866" s="28" t="s">
        <v>52</v>
      </c>
      <c r="E1866" s="28" t="s">
        <v>715</v>
      </c>
      <c r="F1866" s="28" t="s">
        <v>147</v>
      </c>
      <c r="G1866" s="28" t="s">
        <v>148</v>
      </c>
      <c r="H1866" s="28" t="s">
        <v>162</v>
      </c>
      <c r="I1866" s="29" t="n">
        <v>164100</v>
      </c>
      <c r="J1866" s="29" t="n">
        <v>82050</v>
      </c>
      <c r="K1866" s="28" t="n">
        <v>2.99</v>
      </c>
      <c r="L1866" s="28" t="n">
        <v>144</v>
      </c>
      <c r="M1866" s="28" t="n">
        <v>4</v>
      </c>
    </row>
    <row r="1867" customFormat="false" ht="15" hidden="false" customHeight="false" outlineLevel="0" collapsed="false">
      <c r="A1867" s="27" t="n">
        <v>44826</v>
      </c>
      <c r="B1867" s="28" t="n">
        <v>2022</v>
      </c>
      <c r="C1867" s="28" t="s">
        <v>166</v>
      </c>
      <c r="D1867" s="28" t="s">
        <v>47</v>
      </c>
      <c r="E1867" s="28" t="s">
        <v>373</v>
      </c>
      <c r="F1867" s="28" t="s">
        <v>142</v>
      </c>
      <c r="G1867" s="28" t="s">
        <v>143</v>
      </c>
      <c r="H1867" s="28" t="s">
        <v>269</v>
      </c>
      <c r="I1867" s="29" t="n">
        <v>700000</v>
      </c>
      <c r="J1867" s="29" t="n">
        <v>525000</v>
      </c>
      <c r="K1867" s="28" t="n">
        <v>8</v>
      </c>
      <c r="L1867" s="28" t="n">
        <v>120</v>
      </c>
      <c r="M1867" s="28" t="n">
        <v>2</v>
      </c>
    </row>
    <row r="1868" customFormat="false" ht="15" hidden="false" customHeight="false" outlineLevel="0" collapsed="false">
      <c r="A1868" s="27" t="n">
        <v>44826</v>
      </c>
      <c r="B1868" s="28" t="n">
        <v>2022</v>
      </c>
      <c r="C1868" s="28" t="s">
        <v>145</v>
      </c>
      <c r="D1868" s="28" t="s">
        <v>52</v>
      </c>
      <c r="E1868" s="28" t="s">
        <v>832</v>
      </c>
      <c r="F1868" s="28" t="s">
        <v>147</v>
      </c>
      <c r="G1868" s="28" t="s">
        <v>148</v>
      </c>
      <c r="H1868" s="28" t="s">
        <v>205</v>
      </c>
      <c r="I1868" s="29" t="n">
        <v>30000</v>
      </c>
      <c r="J1868" s="29" t="n">
        <v>15000</v>
      </c>
      <c r="K1868" s="28" t="n">
        <v>12</v>
      </c>
      <c r="L1868" s="28" t="n">
        <v>80</v>
      </c>
      <c r="M1868" s="28" t="n">
        <v>1</v>
      </c>
    </row>
    <row r="1869" customFormat="false" ht="15" hidden="false" customHeight="false" outlineLevel="0" collapsed="false">
      <c r="A1869" s="27" t="n">
        <v>44826</v>
      </c>
      <c r="B1869" s="28" t="n">
        <v>2022</v>
      </c>
      <c r="C1869" s="28" t="s">
        <v>349</v>
      </c>
      <c r="D1869" s="28" t="s">
        <v>47</v>
      </c>
      <c r="E1869" s="28" t="s">
        <v>399</v>
      </c>
      <c r="F1869" s="28" t="s">
        <v>283</v>
      </c>
      <c r="G1869" s="28" t="s">
        <v>441</v>
      </c>
      <c r="H1869" s="28" t="s">
        <v>306</v>
      </c>
      <c r="I1869" s="29" t="n">
        <v>200000</v>
      </c>
      <c r="J1869" s="29" t="n">
        <v>150000</v>
      </c>
      <c r="K1869" s="28" t="n">
        <v>7.25</v>
      </c>
      <c r="L1869" s="28" t="n">
        <v>120</v>
      </c>
      <c r="M1869" s="28" t="n">
        <v>3</v>
      </c>
    </row>
    <row r="1870" customFormat="false" ht="15" hidden="false" customHeight="false" outlineLevel="0" collapsed="false">
      <c r="A1870" s="27" t="n">
        <v>44827</v>
      </c>
      <c r="B1870" s="28" t="n">
        <v>2022</v>
      </c>
      <c r="C1870" s="28" t="s">
        <v>163</v>
      </c>
      <c r="D1870" s="28" t="s">
        <v>51</v>
      </c>
      <c r="E1870" s="28" t="s">
        <v>779</v>
      </c>
      <c r="F1870" s="28" t="s">
        <v>142</v>
      </c>
      <c r="G1870" s="28" t="s">
        <v>143</v>
      </c>
      <c r="H1870" s="28" t="s">
        <v>536</v>
      </c>
      <c r="I1870" s="29" t="n">
        <v>512000</v>
      </c>
      <c r="J1870" s="29" t="n">
        <v>384000</v>
      </c>
      <c r="K1870" s="28" t="n">
        <v>8.25</v>
      </c>
      <c r="L1870" s="28" t="n">
        <v>94</v>
      </c>
      <c r="M1870" s="28" t="n">
        <v>14</v>
      </c>
    </row>
    <row r="1871" customFormat="false" ht="15" hidden="false" customHeight="false" outlineLevel="0" collapsed="false">
      <c r="A1871" s="27" t="n">
        <v>44827</v>
      </c>
      <c r="B1871" s="28" t="n">
        <v>2022</v>
      </c>
      <c r="C1871" s="28" t="s">
        <v>540</v>
      </c>
      <c r="D1871" s="28" t="s">
        <v>46</v>
      </c>
      <c r="E1871" s="28" t="s">
        <v>702</v>
      </c>
      <c r="F1871" s="28" t="s">
        <v>142</v>
      </c>
      <c r="G1871" s="28" t="s">
        <v>148</v>
      </c>
      <c r="H1871" s="28" t="s">
        <v>889</v>
      </c>
      <c r="I1871" s="29" t="n">
        <v>363000</v>
      </c>
      <c r="J1871" s="29" t="n">
        <v>272250</v>
      </c>
      <c r="K1871" s="28" t="n">
        <v>5.5</v>
      </c>
      <c r="L1871" s="28" t="n">
        <v>300</v>
      </c>
      <c r="M1871" s="28" t="n">
        <v>12</v>
      </c>
    </row>
    <row r="1872" customFormat="false" ht="15" hidden="false" customHeight="false" outlineLevel="0" collapsed="false">
      <c r="A1872" s="27" t="n">
        <v>44827</v>
      </c>
      <c r="B1872" s="28" t="n">
        <v>2022</v>
      </c>
      <c r="C1872" s="28" t="s">
        <v>558</v>
      </c>
      <c r="D1872" s="28" t="s">
        <v>42</v>
      </c>
      <c r="E1872" s="28" t="s">
        <v>705</v>
      </c>
      <c r="F1872" s="28" t="s">
        <v>142</v>
      </c>
      <c r="G1872" s="28" t="s">
        <v>152</v>
      </c>
      <c r="H1872" s="28" t="s">
        <v>326</v>
      </c>
      <c r="I1872" s="29" t="n">
        <v>1827000</v>
      </c>
      <c r="J1872" s="29" t="n">
        <v>1370250</v>
      </c>
      <c r="K1872" s="28" t="n">
        <v>6.75</v>
      </c>
      <c r="L1872" s="28" t="n">
        <v>300</v>
      </c>
      <c r="M1872" s="28" t="n">
        <v>4</v>
      </c>
    </row>
    <row r="1873" customFormat="false" ht="15" hidden="false" customHeight="false" outlineLevel="0" collapsed="false">
      <c r="A1873" s="27" t="n">
        <v>44827</v>
      </c>
      <c r="B1873" s="28" t="n">
        <v>2022</v>
      </c>
      <c r="C1873" s="28" t="s">
        <v>172</v>
      </c>
      <c r="D1873" s="28" t="s">
        <v>45</v>
      </c>
      <c r="E1873" s="28" t="s">
        <v>222</v>
      </c>
      <c r="F1873" s="28" t="s">
        <v>142</v>
      </c>
      <c r="G1873" s="28" t="s">
        <v>143</v>
      </c>
      <c r="H1873" s="28" t="s">
        <v>503</v>
      </c>
      <c r="I1873" s="29" t="n">
        <v>500000</v>
      </c>
      <c r="J1873" s="29" t="n">
        <v>375000</v>
      </c>
      <c r="K1873" s="28" t="n">
        <v>7.75</v>
      </c>
      <c r="L1873" s="28" t="n">
        <v>120</v>
      </c>
      <c r="M1873" s="28" t="n">
        <v>7</v>
      </c>
    </row>
    <row r="1874" customFormat="false" ht="15" hidden="false" customHeight="false" outlineLevel="0" collapsed="false">
      <c r="A1874" s="27" t="n">
        <v>44827</v>
      </c>
      <c r="B1874" s="28" t="n">
        <v>2022</v>
      </c>
      <c r="C1874" s="28" t="s">
        <v>540</v>
      </c>
      <c r="D1874" s="28" t="s">
        <v>46</v>
      </c>
      <c r="E1874" s="28" t="s">
        <v>702</v>
      </c>
      <c r="F1874" s="28" t="s">
        <v>147</v>
      </c>
      <c r="G1874" s="28" t="s">
        <v>148</v>
      </c>
      <c r="H1874" s="28" t="s">
        <v>889</v>
      </c>
      <c r="I1874" s="29" t="n">
        <v>20000</v>
      </c>
      <c r="J1874" s="29" t="n">
        <v>10000</v>
      </c>
      <c r="K1874" s="28" t="n">
        <v>11.5</v>
      </c>
      <c r="L1874" s="28" t="n">
        <v>84</v>
      </c>
      <c r="M1874" s="28" t="n">
        <v>12</v>
      </c>
    </row>
    <row r="1875" customFormat="false" ht="15" hidden="false" customHeight="false" outlineLevel="0" collapsed="false">
      <c r="A1875" s="27" t="n">
        <v>44827</v>
      </c>
      <c r="B1875" s="28" t="n">
        <v>2022</v>
      </c>
      <c r="C1875" s="28" t="s">
        <v>172</v>
      </c>
      <c r="D1875" s="28" t="s">
        <v>47</v>
      </c>
      <c r="E1875" s="28" t="s">
        <v>849</v>
      </c>
      <c r="F1875" s="28" t="s">
        <v>142</v>
      </c>
      <c r="G1875" s="28" t="s">
        <v>143</v>
      </c>
      <c r="H1875" s="28" t="s">
        <v>221</v>
      </c>
      <c r="I1875" s="29" t="n">
        <v>350000</v>
      </c>
      <c r="J1875" s="29" t="n">
        <v>262500</v>
      </c>
      <c r="K1875" s="28" t="n">
        <v>8.25</v>
      </c>
      <c r="L1875" s="28" t="n">
        <v>123</v>
      </c>
      <c r="M1875" s="28" t="n">
        <v>27</v>
      </c>
    </row>
    <row r="1876" customFormat="false" ht="15" hidden="false" customHeight="false" outlineLevel="0" collapsed="false">
      <c r="A1876" s="27" t="n">
        <v>44829</v>
      </c>
      <c r="B1876" s="28" t="n">
        <v>2022</v>
      </c>
      <c r="C1876" s="28" t="s">
        <v>292</v>
      </c>
      <c r="D1876" s="28" t="s">
        <v>46</v>
      </c>
      <c r="E1876" s="28" t="s">
        <v>782</v>
      </c>
      <c r="F1876" s="28" t="s">
        <v>142</v>
      </c>
      <c r="G1876" s="28" t="s">
        <v>148</v>
      </c>
      <c r="H1876" s="28" t="s">
        <v>171</v>
      </c>
      <c r="I1876" s="29" t="n">
        <v>150000</v>
      </c>
      <c r="J1876" s="29" t="n">
        <v>127500</v>
      </c>
      <c r="K1876" s="28" t="n">
        <v>9.25</v>
      </c>
      <c r="L1876" s="28" t="n">
        <v>120</v>
      </c>
      <c r="M1876" s="28" t="n">
        <v>6</v>
      </c>
    </row>
    <row r="1877" customFormat="false" ht="15" hidden="false" customHeight="false" outlineLevel="0" collapsed="false">
      <c r="A1877" s="27" t="n">
        <v>44830</v>
      </c>
      <c r="B1877" s="28" t="n">
        <v>2022</v>
      </c>
      <c r="C1877" s="28" t="s">
        <v>890</v>
      </c>
      <c r="D1877" s="28" t="s">
        <v>44</v>
      </c>
      <c r="E1877" s="28" t="s">
        <v>730</v>
      </c>
      <c r="F1877" s="28" t="s">
        <v>142</v>
      </c>
      <c r="G1877" s="28" t="s">
        <v>441</v>
      </c>
      <c r="H1877" s="28" t="s">
        <v>523</v>
      </c>
      <c r="I1877" s="29" t="n">
        <v>826000</v>
      </c>
      <c r="J1877" s="29" t="n">
        <v>619500</v>
      </c>
      <c r="K1877" s="28" t="n">
        <v>8.25</v>
      </c>
      <c r="L1877" s="28" t="n">
        <v>300</v>
      </c>
      <c r="M1877" s="28" t="n">
        <v>11</v>
      </c>
    </row>
    <row r="1878" customFormat="false" ht="15" hidden="false" customHeight="false" outlineLevel="0" collapsed="false">
      <c r="A1878" s="27" t="n">
        <v>44830</v>
      </c>
      <c r="B1878" s="28" t="n">
        <v>2022</v>
      </c>
      <c r="C1878" s="28" t="s">
        <v>303</v>
      </c>
      <c r="D1878" s="28" t="s">
        <v>42</v>
      </c>
      <c r="E1878" s="28" t="s">
        <v>828</v>
      </c>
      <c r="F1878" s="28" t="s">
        <v>142</v>
      </c>
      <c r="G1878" s="28" t="s">
        <v>148</v>
      </c>
      <c r="H1878" s="28" t="s">
        <v>171</v>
      </c>
      <c r="I1878" s="29" t="n">
        <v>75000</v>
      </c>
      <c r="J1878" s="29" t="n">
        <v>63750</v>
      </c>
      <c r="K1878" s="28" t="n">
        <v>9.25</v>
      </c>
      <c r="L1878" s="28" t="n">
        <v>158</v>
      </c>
      <c r="M1878" s="28" t="n">
        <v>16</v>
      </c>
    </row>
    <row r="1879" customFormat="false" ht="15" hidden="false" customHeight="false" outlineLevel="0" collapsed="false">
      <c r="A1879" s="27" t="n">
        <v>44830</v>
      </c>
      <c r="B1879" s="28" t="n">
        <v>2022</v>
      </c>
      <c r="C1879" s="28" t="s">
        <v>172</v>
      </c>
      <c r="D1879" s="28" t="s">
        <v>44</v>
      </c>
      <c r="E1879" s="28" t="s">
        <v>891</v>
      </c>
      <c r="F1879" s="28" t="s">
        <v>142</v>
      </c>
      <c r="G1879" s="28" t="s">
        <v>143</v>
      </c>
      <c r="H1879" s="28" t="s">
        <v>382</v>
      </c>
      <c r="I1879" s="29" t="n">
        <v>1512000</v>
      </c>
      <c r="J1879" s="29" t="n">
        <v>1134000</v>
      </c>
      <c r="K1879" s="28" t="n">
        <v>7.75</v>
      </c>
      <c r="L1879" s="28" t="n">
        <v>126</v>
      </c>
      <c r="M1879" s="28" t="n">
        <v>20</v>
      </c>
    </row>
    <row r="1880" customFormat="false" ht="15" hidden="false" customHeight="false" outlineLevel="0" collapsed="false">
      <c r="A1880" s="27" t="n">
        <v>44830</v>
      </c>
      <c r="B1880" s="28" t="n">
        <v>2022</v>
      </c>
      <c r="C1880" s="28" t="s">
        <v>166</v>
      </c>
      <c r="D1880" s="28" t="s">
        <v>47</v>
      </c>
      <c r="E1880" s="28" t="s">
        <v>892</v>
      </c>
      <c r="F1880" s="28" t="s">
        <v>147</v>
      </c>
      <c r="G1880" s="28" t="s">
        <v>148</v>
      </c>
      <c r="H1880" s="28" t="s">
        <v>159</v>
      </c>
      <c r="I1880" s="29" t="n">
        <v>25200</v>
      </c>
      <c r="J1880" s="29" t="n">
        <v>12600</v>
      </c>
      <c r="K1880" s="28" t="n">
        <v>8.99</v>
      </c>
      <c r="L1880" s="28" t="n">
        <v>60</v>
      </c>
      <c r="M1880" s="28" t="n">
        <v>0</v>
      </c>
    </row>
    <row r="1881" customFormat="false" ht="15" hidden="false" customHeight="false" outlineLevel="0" collapsed="false">
      <c r="A1881" s="27" t="n">
        <v>44831</v>
      </c>
      <c r="B1881" s="28" t="n">
        <v>2022</v>
      </c>
      <c r="C1881" s="28" t="s">
        <v>160</v>
      </c>
      <c r="D1881" s="28" t="s">
        <v>48</v>
      </c>
      <c r="E1881" s="28" t="s">
        <v>765</v>
      </c>
      <c r="F1881" s="28" t="s">
        <v>142</v>
      </c>
      <c r="G1881" s="28" t="s">
        <v>148</v>
      </c>
      <c r="H1881" s="28" t="s">
        <v>165</v>
      </c>
      <c r="I1881" s="29" t="n">
        <v>3719000</v>
      </c>
      <c r="J1881" s="29" t="n">
        <v>2789250</v>
      </c>
      <c r="K1881" s="28" t="n">
        <v>7.5</v>
      </c>
      <c r="L1881" s="28" t="n">
        <v>120</v>
      </c>
      <c r="M1881" s="28" t="n">
        <v>13</v>
      </c>
    </row>
    <row r="1882" customFormat="false" ht="15" hidden="false" customHeight="false" outlineLevel="0" collapsed="false">
      <c r="A1882" s="27" t="n">
        <v>44831</v>
      </c>
      <c r="B1882" s="28" t="n">
        <v>2022</v>
      </c>
      <c r="C1882" s="28" t="s">
        <v>349</v>
      </c>
      <c r="D1882" s="28" t="s">
        <v>42</v>
      </c>
      <c r="E1882" s="28" t="s">
        <v>717</v>
      </c>
      <c r="F1882" s="28" t="s">
        <v>147</v>
      </c>
      <c r="G1882" s="28" t="s">
        <v>143</v>
      </c>
      <c r="H1882" s="28" t="s">
        <v>482</v>
      </c>
      <c r="I1882" s="29" t="n">
        <v>150000</v>
      </c>
      <c r="J1882" s="29" t="n">
        <v>75000</v>
      </c>
      <c r="K1882" s="28" t="n">
        <v>8</v>
      </c>
      <c r="L1882" s="28" t="n">
        <v>84</v>
      </c>
      <c r="M1882" s="28" t="n">
        <v>4</v>
      </c>
    </row>
    <row r="1883" customFormat="false" ht="15" hidden="false" customHeight="false" outlineLevel="0" collapsed="false">
      <c r="A1883" s="27" t="n">
        <v>44831</v>
      </c>
      <c r="B1883" s="28" t="n">
        <v>2022</v>
      </c>
      <c r="C1883" s="28" t="s">
        <v>198</v>
      </c>
      <c r="D1883" s="28" t="s">
        <v>46</v>
      </c>
      <c r="E1883" s="28" t="s">
        <v>719</v>
      </c>
      <c r="F1883" s="28" t="s">
        <v>142</v>
      </c>
      <c r="G1883" s="28" t="s">
        <v>441</v>
      </c>
      <c r="H1883" s="28" t="s">
        <v>215</v>
      </c>
      <c r="I1883" s="29" t="n">
        <v>1200000</v>
      </c>
      <c r="J1883" s="29" t="n">
        <v>900000</v>
      </c>
      <c r="K1883" s="28" t="n">
        <v>6.5</v>
      </c>
      <c r="L1883" s="28" t="n">
        <v>300</v>
      </c>
      <c r="M1883" s="28" t="n">
        <v>8</v>
      </c>
    </row>
    <row r="1884" customFormat="false" ht="15" hidden="false" customHeight="false" outlineLevel="0" collapsed="false">
      <c r="A1884" s="27" t="n">
        <v>44832</v>
      </c>
      <c r="B1884" s="28" t="n">
        <v>2022</v>
      </c>
      <c r="C1884" s="28" t="s">
        <v>243</v>
      </c>
      <c r="D1884" s="28" t="s">
        <v>43</v>
      </c>
      <c r="E1884" s="28" t="s">
        <v>893</v>
      </c>
      <c r="F1884" s="28" t="s">
        <v>142</v>
      </c>
      <c r="G1884" s="28" t="s">
        <v>152</v>
      </c>
      <c r="H1884" s="28" t="s">
        <v>144</v>
      </c>
      <c r="I1884" s="29" t="n">
        <v>2800000</v>
      </c>
      <c r="J1884" s="29" t="n">
        <v>2100000</v>
      </c>
      <c r="K1884" s="28" t="n">
        <v>6.8</v>
      </c>
      <c r="L1884" s="28" t="n">
        <v>120</v>
      </c>
      <c r="M1884" s="28" t="n">
        <v>9</v>
      </c>
    </row>
    <row r="1885" customFormat="false" ht="15" hidden="false" customHeight="false" outlineLevel="0" collapsed="false">
      <c r="A1885" s="27" t="n">
        <v>44832</v>
      </c>
      <c r="B1885" s="28" t="n">
        <v>2022</v>
      </c>
      <c r="C1885" s="28" t="s">
        <v>303</v>
      </c>
      <c r="D1885" s="28" t="s">
        <v>43</v>
      </c>
      <c r="E1885" s="28" t="s">
        <v>883</v>
      </c>
      <c r="F1885" s="28" t="s">
        <v>142</v>
      </c>
      <c r="G1885" s="28" t="s">
        <v>143</v>
      </c>
      <c r="H1885" s="28" t="s">
        <v>621</v>
      </c>
      <c r="I1885" s="29" t="n">
        <v>511000</v>
      </c>
      <c r="J1885" s="29" t="n">
        <v>383250</v>
      </c>
      <c r="K1885" s="28" t="n">
        <v>7</v>
      </c>
      <c r="L1885" s="28" t="n">
        <v>126</v>
      </c>
      <c r="M1885" s="28" t="n">
        <v>5</v>
      </c>
    </row>
    <row r="1886" customFormat="false" ht="15" hidden="false" customHeight="false" outlineLevel="0" collapsed="false">
      <c r="A1886" s="27" t="n">
        <v>44832</v>
      </c>
      <c r="B1886" s="28" t="n">
        <v>2022</v>
      </c>
      <c r="C1886" s="28" t="s">
        <v>198</v>
      </c>
      <c r="D1886" s="28" t="s">
        <v>52</v>
      </c>
      <c r="E1886" s="28" t="s">
        <v>894</v>
      </c>
      <c r="F1886" s="28" t="s">
        <v>142</v>
      </c>
      <c r="G1886" s="28" t="s">
        <v>148</v>
      </c>
      <c r="H1886" s="28" t="s">
        <v>275</v>
      </c>
      <c r="I1886" s="29" t="n">
        <v>15500</v>
      </c>
      <c r="J1886" s="29" t="n">
        <v>13175</v>
      </c>
      <c r="K1886" s="28" t="n">
        <v>10.25</v>
      </c>
      <c r="L1886" s="28" t="n">
        <v>84</v>
      </c>
      <c r="M1886" s="28" t="n">
        <v>1</v>
      </c>
    </row>
    <row r="1887" customFormat="false" ht="15" hidden="false" customHeight="false" outlineLevel="0" collapsed="false">
      <c r="A1887" s="27" t="n">
        <v>44832</v>
      </c>
      <c r="B1887" s="28" t="n">
        <v>2022</v>
      </c>
      <c r="C1887" s="28" t="s">
        <v>169</v>
      </c>
      <c r="D1887" s="28" t="s">
        <v>44</v>
      </c>
      <c r="E1887" s="28" t="s">
        <v>755</v>
      </c>
      <c r="F1887" s="28" t="s">
        <v>142</v>
      </c>
      <c r="G1887" s="28" t="s">
        <v>143</v>
      </c>
      <c r="H1887" s="28" t="s">
        <v>895</v>
      </c>
      <c r="I1887" s="29" t="n">
        <v>4639200</v>
      </c>
      <c r="J1887" s="29" t="n">
        <v>3479400</v>
      </c>
      <c r="K1887" s="28" t="n">
        <v>7.25</v>
      </c>
      <c r="L1887" s="28" t="n">
        <v>312</v>
      </c>
      <c r="M1887" s="28" t="n">
        <v>4</v>
      </c>
    </row>
    <row r="1888" customFormat="false" ht="15" hidden="false" customHeight="false" outlineLevel="0" collapsed="false">
      <c r="A1888" s="27" t="n">
        <v>44833</v>
      </c>
      <c r="B1888" s="28" t="n">
        <v>2022</v>
      </c>
      <c r="C1888" s="28" t="s">
        <v>154</v>
      </c>
      <c r="D1888" s="28" t="s">
        <v>44</v>
      </c>
      <c r="E1888" s="28" t="s">
        <v>751</v>
      </c>
      <c r="F1888" s="28" t="s">
        <v>142</v>
      </c>
      <c r="G1888" s="28" t="s">
        <v>148</v>
      </c>
      <c r="H1888" s="28" t="s">
        <v>372</v>
      </c>
      <c r="I1888" s="29" t="n">
        <v>200000</v>
      </c>
      <c r="J1888" s="29" t="n">
        <v>150000</v>
      </c>
      <c r="K1888" s="28" t="n">
        <v>7.75</v>
      </c>
      <c r="L1888" s="28" t="n">
        <v>90</v>
      </c>
      <c r="M1888" s="28" t="n">
        <v>6</v>
      </c>
    </row>
    <row r="1889" customFormat="false" ht="15" hidden="false" customHeight="false" outlineLevel="0" collapsed="false">
      <c r="A1889" s="27" t="n">
        <v>44833</v>
      </c>
      <c r="B1889" s="28" t="n">
        <v>2022</v>
      </c>
      <c r="C1889" s="28" t="s">
        <v>172</v>
      </c>
      <c r="D1889" s="28" t="s">
        <v>52</v>
      </c>
      <c r="E1889" s="28" t="s">
        <v>896</v>
      </c>
      <c r="F1889" s="28" t="s">
        <v>147</v>
      </c>
      <c r="G1889" s="28" t="s">
        <v>441</v>
      </c>
      <c r="H1889" s="28" t="s">
        <v>205</v>
      </c>
      <c r="I1889" s="29" t="n">
        <v>25000</v>
      </c>
      <c r="J1889" s="29" t="n">
        <v>12500</v>
      </c>
      <c r="K1889" s="28" t="n">
        <v>9.3</v>
      </c>
      <c r="L1889" s="28" t="n">
        <v>120</v>
      </c>
      <c r="M1889" s="28" t="n">
        <v>0</v>
      </c>
    </row>
    <row r="1890" customFormat="false" ht="15" hidden="false" customHeight="false" outlineLevel="0" collapsed="false">
      <c r="A1890" s="27" t="n">
        <v>44833</v>
      </c>
      <c r="B1890" s="28" t="n">
        <v>2022</v>
      </c>
      <c r="C1890" s="28" t="s">
        <v>172</v>
      </c>
      <c r="D1890" s="28" t="s">
        <v>52</v>
      </c>
      <c r="E1890" s="28" t="s">
        <v>896</v>
      </c>
      <c r="F1890" s="28" t="s">
        <v>147</v>
      </c>
      <c r="G1890" s="28" t="s">
        <v>441</v>
      </c>
      <c r="H1890" s="28" t="s">
        <v>205</v>
      </c>
      <c r="I1890" s="29" t="n">
        <v>59500</v>
      </c>
      <c r="J1890" s="29" t="n">
        <v>29750</v>
      </c>
      <c r="K1890" s="28" t="n">
        <v>9.3</v>
      </c>
      <c r="L1890" s="28" t="n">
        <v>60</v>
      </c>
      <c r="M1890" s="28" t="n">
        <v>0</v>
      </c>
    </row>
    <row r="1891" customFormat="false" ht="15" hidden="false" customHeight="false" outlineLevel="0" collapsed="false">
      <c r="A1891" s="27" t="n">
        <v>44833</v>
      </c>
      <c r="B1891" s="28" t="n">
        <v>2022</v>
      </c>
      <c r="C1891" s="28" t="s">
        <v>243</v>
      </c>
      <c r="D1891" s="28" t="s">
        <v>52</v>
      </c>
      <c r="E1891" s="28" t="s">
        <v>720</v>
      </c>
      <c r="F1891" s="28" t="s">
        <v>142</v>
      </c>
      <c r="G1891" s="28" t="s">
        <v>148</v>
      </c>
      <c r="H1891" s="28" t="s">
        <v>191</v>
      </c>
      <c r="I1891" s="29" t="n">
        <v>2163400</v>
      </c>
      <c r="J1891" s="29" t="n">
        <v>1622550</v>
      </c>
      <c r="K1891" s="28" t="n">
        <v>4.49</v>
      </c>
      <c r="L1891" s="28" t="n">
        <v>306</v>
      </c>
      <c r="M1891" s="28" t="n">
        <v>4</v>
      </c>
    </row>
    <row r="1892" customFormat="false" ht="15" hidden="false" customHeight="false" outlineLevel="0" collapsed="false">
      <c r="A1892" s="27" t="n">
        <v>44834</v>
      </c>
      <c r="B1892" s="28" t="n">
        <v>2022</v>
      </c>
      <c r="C1892" s="28" t="s">
        <v>591</v>
      </c>
      <c r="D1892" s="28" t="s">
        <v>44</v>
      </c>
      <c r="E1892" s="28" t="s">
        <v>897</v>
      </c>
      <c r="F1892" s="28" t="s">
        <v>147</v>
      </c>
      <c r="G1892" s="28" t="s">
        <v>441</v>
      </c>
      <c r="H1892" s="28" t="s">
        <v>168</v>
      </c>
      <c r="I1892" s="29" t="n">
        <v>10000</v>
      </c>
      <c r="J1892" s="29" t="n">
        <v>5000</v>
      </c>
      <c r="K1892" s="28" t="n">
        <v>10.5</v>
      </c>
      <c r="L1892" s="28" t="n">
        <v>120</v>
      </c>
      <c r="M1892" s="28" t="n">
        <v>5</v>
      </c>
    </row>
    <row r="1893" customFormat="false" ht="15" hidden="false" customHeight="false" outlineLevel="0" collapsed="false">
      <c r="A1893" s="27" t="n">
        <v>44834</v>
      </c>
      <c r="B1893" s="28" t="n">
        <v>2022</v>
      </c>
      <c r="C1893" s="28" t="s">
        <v>172</v>
      </c>
      <c r="D1893" s="28" t="s">
        <v>48</v>
      </c>
      <c r="E1893" s="28" t="s">
        <v>765</v>
      </c>
      <c r="F1893" s="28" t="s">
        <v>142</v>
      </c>
      <c r="G1893" s="28" t="s">
        <v>148</v>
      </c>
      <c r="H1893" s="28" t="s">
        <v>320</v>
      </c>
      <c r="I1893" s="29" t="n">
        <v>4822100</v>
      </c>
      <c r="J1893" s="29" t="n">
        <v>3616575</v>
      </c>
      <c r="K1893" s="28" t="n">
        <v>8.25</v>
      </c>
      <c r="L1893" s="28" t="n">
        <v>120</v>
      </c>
      <c r="M1893" s="28" t="n">
        <v>26</v>
      </c>
    </row>
    <row r="1894" customFormat="false" ht="15" hidden="false" customHeight="false" outlineLevel="0" collapsed="false">
      <c r="A1894" s="27" t="n">
        <v>44834</v>
      </c>
      <c r="B1894" s="28" t="n">
        <v>2022</v>
      </c>
      <c r="C1894" s="28" t="s">
        <v>140</v>
      </c>
      <c r="D1894" s="28" t="s">
        <v>56</v>
      </c>
      <c r="E1894" s="28" t="s">
        <v>772</v>
      </c>
      <c r="F1894" s="28" t="s">
        <v>142</v>
      </c>
      <c r="G1894" s="28" t="s">
        <v>152</v>
      </c>
      <c r="H1894" s="28" t="s">
        <v>269</v>
      </c>
      <c r="I1894" s="29" t="n">
        <v>756000</v>
      </c>
      <c r="J1894" s="29" t="n">
        <v>567000</v>
      </c>
      <c r="K1894" s="28" t="n">
        <v>8.25</v>
      </c>
      <c r="L1894" s="28" t="n">
        <v>120</v>
      </c>
      <c r="M1894" s="28" t="n">
        <v>16</v>
      </c>
    </row>
    <row r="1895" customFormat="false" ht="15" hidden="false" customHeight="false" outlineLevel="0" collapsed="false">
      <c r="A1895" s="27" t="n">
        <v>44837</v>
      </c>
      <c r="B1895" s="28" t="n">
        <v>2023</v>
      </c>
      <c r="C1895" s="28" t="s">
        <v>421</v>
      </c>
      <c r="D1895" s="28" t="s">
        <v>51</v>
      </c>
      <c r="E1895" s="28" t="s">
        <v>779</v>
      </c>
      <c r="F1895" s="28" t="s">
        <v>142</v>
      </c>
      <c r="G1895" s="28" t="s">
        <v>441</v>
      </c>
      <c r="H1895" s="28" t="s">
        <v>211</v>
      </c>
      <c r="I1895" s="29" t="n">
        <v>530000</v>
      </c>
      <c r="J1895" s="29" t="n">
        <v>397500</v>
      </c>
      <c r="K1895" s="28" t="n">
        <v>8.75</v>
      </c>
      <c r="L1895" s="28" t="n">
        <v>120</v>
      </c>
      <c r="M1895" s="28" t="n">
        <v>8</v>
      </c>
    </row>
    <row r="1896" customFormat="false" ht="15" hidden="false" customHeight="false" outlineLevel="0" collapsed="false">
      <c r="A1896" s="27" t="n">
        <v>44837</v>
      </c>
      <c r="B1896" s="28" t="n">
        <v>2023</v>
      </c>
      <c r="C1896" s="28" t="s">
        <v>288</v>
      </c>
      <c r="D1896" s="28" t="s">
        <v>45</v>
      </c>
      <c r="E1896" s="28" t="s">
        <v>222</v>
      </c>
      <c r="F1896" s="28" t="s">
        <v>283</v>
      </c>
      <c r="G1896" s="28" t="s">
        <v>148</v>
      </c>
      <c r="H1896" s="28" t="s">
        <v>306</v>
      </c>
      <c r="I1896" s="29" t="n">
        <v>1000000</v>
      </c>
      <c r="J1896" s="29" t="n">
        <v>750000</v>
      </c>
      <c r="K1896" s="28" t="n">
        <v>7.75</v>
      </c>
      <c r="L1896" s="28" t="n">
        <v>24</v>
      </c>
      <c r="M1896" s="28" t="n">
        <v>22</v>
      </c>
    </row>
    <row r="1897" customFormat="false" ht="15" hidden="false" customHeight="false" outlineLevel="0" collapsed="false">
      <c r="A1897" s="27" t="n">
        <v>44837</v>
      </c>
      <c r="B1897" s="28" t="n">
        <v>2023</v>
      </c>
      <c r="C1897" s="28" t="s">
        <v>163</v>
      </c>
      <c r="D1897" s="28" t="s">
        <v>45</v>
      </c>
      <c r="E1897" s="28" t="s">
        <v>611</v>
      </c>
      <c r="F1897" s="28" t="s">
        <v>147</v>
      </c>
      <c r="G1897" s="28" t="s">
        <v>143</v>
      </c>
      <c r="H1897" s="28" t="s">
        <v>211</v>
      </c>
      <c r="I1897" s="29" t="n">
        <v>40000</v>
      </c>
      <c r="J1897" s="29" t="n">
        <v>20000</v>
      </c>
      <c r="K1897" s="28" t="n">
        <v>9</v>
      </c>
      <c r="L1897" s="28" t="n">
        <v>120</v>
      </c>
      <c r="M1897" s="28" t="n">
        <v>14</v>
      </c>
    </row>
    <row r="1898" customFormat="false" ht="15" hidden="false" customHeight="false" outlineLevel="0" collapsed="false">
      <c r="A1898" s="27" t="n">
        <v>44837</v>
      </c>
      <c r="B1898" s="28" t="n">
        <v>2023</v>
      </c>
      <c r="C1898" s="28" t="s">
        <v>169</v>
      </c>
      <c r="D1898" s="28" t="s">
        <v>47</v>
      </c>
      <c r="E1898" s="28" t="s">
        <v>898</v>
      </c>
      <c r="F1898" s="28" t="s">
        <v>142</v>
      </c>
      <c r="G1898" s="28" t="s">
        <v>148</v>
      </c>
      <c r="H1898" s="28" t="s">
        <v>275</v>
      </c>
      <c r="I1898" s="29" t="n">
        <v>350000</v>
      </c>
      <c r="J1898" s="29" t="n">
        <v>262500</v>
      </c>
      <c r="K1898" s="28" t="n">
        <v>8.25</v>
      </c>
      <c r="L1898" s="28" t="n">
        <v>87</v>
      </c>
      <c r="M1898" s="28" t="n">
        <v>8</v>
      </c>
    </row>
    <row r="1899" customFormat="false" ht="15" hidden="false" customHeight="false" outlineLevel="0" collapsed="false">
      <c r="A1899" s="27" t="n">
        <v>44837</v>
      </c>
      <c r="B1899" s="28" t="n">
        <v>2023</v>
      </c>
      <c r="C1899" s="28" t="s">
        <v>163</v>
      </c>
      <c r="D1899" s="28" t="s">
        <v>45</v>
      </c>
      <c r="E1899" s="28" t="s">
        <v>611</v>
      </c>
      <c r="F1899" s="28" t="s">
        <v>142</v>
      </c>
      <c r="G1899" s="28" t="s">
        <v>143</v>
      </c>
      <c r="H1899" s="28" t="s">
        <v>211</v>
      </c>
      <c r="I1899" s="29" t="n">
        <v>308000</v>
      </c>
      <c r="J1899" s="29" t="n">
        <v>231000</v>
      </c>
      <c r="K1899" s="28" t="n">
        <v>9</v>
      </c>
      <c r="L1899" s="28" t="n">
        <v>120</v>
      </c>
      <c r="M1899" s="28" t="n">
        <v>14</v>
      </c>
    </row>
    <row r="1900" customFormat="false" ht="15" hidden="false" customHeight="false" outlineLevel="0" collapsed="false">
      <c r="A1900" s="27" t="n">
        <v>44837</v>
      </c>
      <c r="B1900" s="28" t="n">
        <v>2023</v>
      </c>
      <c r="C1900" s="28" t="s">
        <v>140</v>
      </c>
      <c r="D1900" s="28" t="s">
        <v>43</v>
      </c>
      <c r="E1900" s="28" t="s">
        <v>317</v>
      </c>
      <c r="F1900" s="28" t="s">
        <v>147</v>
      </c>
      <c r="G1900" s="28" t="s">
        <v>148</v>
      </c>
      <c r="H1900" s="28" t="s">
        <v>428</v>
      </c>
      <c r="I1900" s="29" t="n">
        <v>350000</v>
      </c>
      <c r="J1900" s="29" t="n">
        <v>175000</v>
      </c>
      <c r="K1900" s="28" t="n">
        <v>7.45</v>
      </c>
      <c r="L1900" s="28" t="n">
        <v>120</v>
      </c>
      <c r="M1900" s="28" t="n">
        <v>1</v>
      </c>
    </row>
    <row r="1901" customFormat="false" ht="15" hidden="false" customHeight="false" outlineLevel="0" collapsed="false">
      <c r="A1901" s="27" t="n">
        <v>44837</v>
      </c>
      <c r="B1901" s="28" t="n">
        <v>2023</v>
      </c>
      <c r="C1901" s="28" t="s">
        <v>421</v>
      </c>
      <c r="D1901" s="28" t="s">
        <v>51</v>
      </c>
      <c r="E1901" s="28" t="s">
        <v>779</v>
      </c>
      <c r="F1901" s="28" t="s">
        <v>147</v>
      </c>
      <c r="G1901" s="28" t="s">
        <v>441</v>
      </c>
      <c r="H1901" s="28" t="s">
        <v>211</v>
      </c>
      <c r="I1901" s="29" t="n">
        <v>50000</v>
      </c>
      <c r="J1901" s="29" t="n">
        <v>25000</v>
      </c>
      <c r="K1901" s="28" t="n">
        <v>8.75</v>
      </c>
      <c r="L1901" s="28" t="n">
        <v>120</v>
      </c>
      <c r="M1901" s="28" t="n">
        <v>8</v>
      </c>
    </row>
    <row r="1902" customFormat="false" ht="15" hidden="false" customHeight="false" outlineLevel="0" collapsed="false">
      <c r="A1902" s="27" t="n">
        <v>44838</v>
      </c>
      <c r="B1902" s="28" t="n">
        <v>2023</v>
      </c>
      <c r="C1902" s="28" t="s">
        <v>203</v>
      </c>
      <c r="D1902" s="28" t="s">
        <v>45</v>
      </c>
      <c r="E1902" s="28" t="s">
        <v>708</v>
      </c>
      <c r="F1902" s="28" t="s">
        <v>142</v>
      </c>
      <c r="G1902" s="28" t="s">
        <v>143</v>
      </c>
      <c r="H1902" s="28" t="s">
        <v>211</v>
      </c>
      <c r="I1902" s="29" t="n">
        <v>177000</v>
      </c>
      <c r="J1902" s="29" t="n">
        <v>132750</v>
      </c>
      <c r="K1902" s="28" t="n">
        <v>9</v>
      </c>
      <c r="L1902" s="28" t="n">
        <v>120</v>
      </c>
      <c r="M1902" s="28" t="n">
        <v>3</v>
      </c>
    </row>
    <row r="1903" customFormat="false" ht="15" hidden="false" customHeight="false" outlineLevel="0" collapsed="false">
      <c r="A1903" s="27" t="n">
        <v>44839</v>
      </c>
      <c r="B1903" s="28" t="n">
        <v>2023</v>
      </c>
      <c r="C1903" s="28" t="s">
        <v>198</v>
      </c>
      <c r="D1903" s="28" t="s">
        <v>54</v>
      </c>
      <c r="E1903" s="28" t="s">
        <v>791</v>
      </c>
      <c r="F1903" s="28" t="s">
        <v>142</v>
      </c>
      <c r="G1903" s="28" t="s">
        <v>152</v>
      </c>
      <c r="H1903" s="28" t="s">
        <v>287</v>
      </c>
      <c r="I1903" s="29" t="n">
        <v>250000</v>
      </c>
      <c r="J1903" s="29" t="n">
        <v>187500</v>
      </c>
      <c r="K1903" s="28" t="n">
        <v>8.5</v>
      </c>
      <c r="L1903" s="28" t="n">
        <v>120</v>
      </c>
      <c r="M1903" s="28" t="n">
        <v>1</v>
      </c>
    </row>
    <row r="1904" customFormat="false" ht="15" hidden="false" customHeight="false" outlineLevel="0" collapsed="false">
      <c r="A1904" s="27" t="n">
        <v>44839</v>
      </c>
      <c r="B1904" s="28" t="n">
        <v>2023</v>
      </c>
      <c r="C1904" s="28" t="s">
        <v>201</v>
      </c>
      <c r="D1904" s="28" t="s">
        <v>43</v>
      </c>
      <c r="E1904" s="28" t="s">
        <v>830</v>
      </c>
      <c r="F1904" s="28" t="s">
        <v>147</v>
      </c>
      <c r="G1904" s="28" t="s">
        <v>441</v>
      </c>
      <c r="H1904" s="28" t="s">
        <v>168</v>
      </c>
      <c r="I1904" s="29" t="n">
        <v>15000</v>
      </c>
      <c r="J1904" s="29" t="n">
        <v>7500</v>
      </c>
      <c r="K1904" s="28" t="n">
        <v>13.25</v>
      </c>
      <c r="L1904" s="28" t="n">
        <v>99</v>
      </c>
      <c r="M1904" s="28" t="n">
        <v>1</v>
      </c>
    </row>
    <row r="1905" customFormat="false" ht="15" hidden="false" customHeight="false" outlineLevel="0" collapsed="false">
      <c r="A1905" s="27" t="n">
        <v>44839</v>
      </c>
      <c r="B1905" s="28" t="n">
        <v>2023</v>
      </c>
      <c r="C1905" s="28" t="s">
        <v>488</v>
      </c>
      <c r="D1905" s="28" t="s">
        <v>46</v>
      </c>
      <c r="E1905" s="28" t="s">
        <v>706</v>
      </c>
      <c r="F1905" s="28" t="s">
        <v>142</v>
      </c>
      <c r="G1905" s="28" t="s">
        <v>152</v>
      </c>
      <c r="H1905" s="28" t="s">
        <v>287</v>
      </c>
      <c r="I1905" s="29" t="n">
        <v>2240000</v>
      </c>
      <c r="J1905" s="29" t="n">
        <v>1680000</v>
      </c>
      <c r="K1905" s="28" t="n">
        <v>7</v>
      </c>
      <c r="L1905" s="28" t="n">
        <v>300</v>
      </c>
      <c r="M1905" s="28" t="n">
        <v>18</v>
      </c>
    </row>
    <row r="1906" customFormat="false" ht="15" hidden="false" customHeight="false" outlineLevel="0" collapsed="false">
      <c r="A1906" s="27" t="n">
        <v>44839</v>
      </c>
      <c r="B1906" s="28" t="n">
        <v>2023</v>
      </c>
      <c r="C1906" s="28" t="s">
        <v>243</v>
      </c>
      <c r="D1906" s="28" t="s">
        <v>52</v>
      </c>
      <c r="E1906" s="28" t="s">
        <v>599</v>
      </c>
      <c r="F1906" s="28" t="s">
        <v>142</v>
      </c>
      <c r="G1906" s="28" t="s">
        <v>441</v>
      </c>
      <c r="H1906" s="28" t="s">
        <v>501</v>
      </c>
      <c r="I1906" s="29" t="n">
        <v>1355000</v>
      </c>
      <c r="J1906" s="29" t="n">
        <v>1016250</v>
      </c>
      <c r="K1906" s="28" t="n">
        <v>9</v>
      </c>
      <c r="L1906" s="28" t="n">
        <v>120</v>
      </c>
      <c r="M1906" s="28" t="n">
        <v>17</v>
      </c>
    </row>
    <row r="1907" customFormat="false" ht="15" hidden="false" customHeight="false" outlineLevel="0" collapsed="false">
      <c r="A1907" s="27" t="n">
        <v>44839</v>
      </c>
      <c r="B1907" s="28" t="n">
        <v>2023</v>
      </c>
      <c r="C1907" s="28" t="s">
        <v>163</v>
      </c>
      <c r="D1907" s="28" t="s">
        <v>43</v>
      </c>
      <c r="E1907" s="28" t="s">
        <v>899</v>
      </c>
      <c r="F1907" s="28" t="s">
        <v>142</v>
      </c>
      <c r="G1907" s="28" t="s">
        <v>152</v>
      </c>
      <c r="H1907" s="28" t="s">
        <v>227</v>
      </c>
      <c r="I1907" s="29" t="n">
        <v>352000</v>
      </c>
      <c r="J1907" s="29" t="n">
        <v>264000</v>
      </c>
      <c r="K1907" s="28" t="n">
        <v>9</v>
      </c>
      <c r="L1907" s="28" t="n">
        <v>120</v>
      </c>
      <c r="M1907" s="28" t="n">
        <v>12</v>
      </c>
    </row>
    <row r="1908" customFormat="false" ht="15" hidden="false" customHeight="false" outlineLevel="0" collapsed="false">
      <c r="A1908" s="27" t="n">
        <v>44839</v>
      </c>
      <c r="B1908" s="28" t="n">
        <v>2023</v>
      </c>
      <c r="C1908" s="28" t="s">
        <v>310</v>
      </c>
      <c r="D1908" s="28" t="s">
        <v>47</v>
      </c>
      <c r="E1908" s="28" t="s">
        <v>900</v>
      </c>
      <c r="F1908" s="28" t="s">
        <v>142</v>
      </c>
      <c r="G1908" s="28" t="s">
        <v>148</v>
      </c>
      <c r="H1908" s="28" t="s">
        <v>200</v>
      </c>
      <c r="I1908" s="29" t="n">
        <v>4100000</v>
      </c>
      <c r="J1908" s="29" t="n">
        <v>3075000</v>
      </c>
      <c r="K1908" s="28" t="n">
        <v>9</v>
      </c>
      <c r="L1908" s="28" t="n">
        <v>300</v>
      </c>
      <c r="M1908" s="28" t="n">
        <v>80</v>
      </c>
    </row>
    <row r="1909" customFormat="false" ht="15" hidden="false" customHeight="false" outlineLevel="0" collapsed="false">
      <c r="A1909" s="27" t="n">
        <v>44839</v>
      </c>
      <c r="B1909" s="28" t="n">
        <v>2023</v>
      </c>
      <c r="C1909" s="28" t="s">
        <v>172</v>
      </c>
      <c r="D1909" s="28" t="s">
        <v>44</v>
      </c>
      <c r="E1909" s="28" t="s">
        <v>783</v>
      </c>
      <c r="F1909" s="28" t="s">
        <v>147</v>
      </c>
      <c r="G1909" s="28" t="s">
        <v>143</v>
      </c>
      <c r="H1909" s="28" t="s">
        <v>159</v>
      </c>
      <c r="I1909" s="29" t="n">
        <v>50000</v>
      </c>
      <c r="J1909" s="29" t="n">
        <v>25000</v>
      </c>
      <c r="K1909" s="28" t="n">
        <v>9.25</v>
      </c>
      <c r="L1909" s="28" t="n">
        <v>120</v>
      </c>
      <c r="M1909" s="28" t="n">
        <v>11</v>
      </c>
    </row>
    <row r="1910" customFormat="false" ht="15" hidden="false" customHeight="false" outlineLevel="0" collapsed="false">
      <c r="A1910" s="27" t="n">
        <v>44839</v>
      </c>
      <c r="B1910" s="28" t="n">
        <v>2023</v>
      </c>
      <c r="C1910" s="28" t="s">
        <v>172</v>
      </c>
      <c r="D1910" s="28" t="s">
        <v>44</v>
      </c>
      <c r="E1910" s="28" t="s">
        <v>783</v>
      </c>
      <c r="F1910" s="28" t="s">
        <v>147</v>
      </c>
      <c r="G1910" s="28" t="s">
        <v>143</v>
      </c>
      <c r="H1910" s="28" t="s">
        <v>159</v>
      </c>
      <c r="I1910" s="29" t="n">
        <v>120000</v>
      </c>
      <c r="J1910" s="29" t="n">
        <v>60000</v>
      </c>
      <c r="K1910" s="28" t="n">
        <v>8.5</v>
      </c>
      <c r="L1910" s="28" t="n">
        <v>84</v>
      </c>
      <c r="M1910" s="28" t="n">
        <v>11</v>
      </c>
    </row>
    <row r="1911" customFormat="false" ht="15" hidden="false" customHeight="false" outlineLevel="0" collapsed="false">
      <c r="A1911" s="27" t="n">
        <v>44840</v>
      </c>
      <c r="B1911" s="28" t="n">
        <v>2023</v>
      </c>
      <c r="C1911" s="28" t="s">
        <v>288</v>
      </c>
      <c r="D1911" s="28" t="s">
        <v>44</v>
      </c>
      <c r="E1911" s="28" t="s">
        <v>513</v>
      </c>
      <c r="F1911" s="28" t="s">
        <v>283</v>
      </c>
      <c r="G1911" s="28" t="s">
        <v>148</v>
      </c>
      <c r="H1911" s="28" t="s">
        <v>306</v>
      </c>
      <c r="I1911" s="29" t="n">
        <v>250000</v>
      </c>
      <c r="J1911" s="29" t="n">
        <v>187500</v>
      </c>
      <c r="K1911" s="28" t="n">
        <v>7.75</v>
      </c>
      <c r="L1911" s="28" t="n">
        <v>120</v>
      </c>
      <c r="M1911" s="28" t="n">
        <v>6</v>
      </c>
    </row>
    <row r="1912" customFormat="false" ht="15" hidden="false" customHeight="false" outlineLevel="0" collapsed="false">
      <c r="A1912" s="27" t="n">
        <v>44840</v>
      </c>
      <c r="B1912" s="28" t="n">
        <v>2023</v>
      </c>
      <c r="C1912" s="28" t="s">
        <v>423</v>
      </c>
      <c r="D1912" s="28" t="s">
        <v>48</v>
      </c>
      <c r="E1912" s="28" t="s">
        <v>210</v>
      </c>
      <c r="F1912" s="28" t="s">
        <v>142</v>
      </c>
      <c r="G1912" s="28" t="s">
        <v>441</v>
      </c>
      <c r="H1912" s="28" t="s">
        <v>200</v>
      </c>
      <c r="I1912" s="29" t="n">
        <v>278000</v>
      </c>
      <c r="J1912" s="29" t="n">
        <v>208500</v>
      </c>
      <c r="K1912" s="28" t="n">
        <v>9.25</v>
      </c>
      <c r="L1912" s="28" t="n">
        <v>306</v>
      </c>
      <c r="M1912" s="28" t="n">
        <v>2</v>
      </c>
    </row>
    <row r="1913" customFormat="false" ht="15" hidden="false" customHeight="false" outlineLevel="0" collapsed="false">
      <c r="A1913" s="27" t="n">
        <v>44840</v>
      </c>
      <c r="B1913" s="28" t="n">
        <v>2023</v>
      </c>
      <c r="C1913" s="28" t="s">
        <v>169</v>
      </c>
      <c r="D1913" s="28" t="s">
        <v>48</v>
      </c>
      <c r="E1913" s="28" t="s">
        <v>765</v>
      </c>
      <c r="F1913" s="28" t="s">
        <v>142</v>
      </c>
      <c r="G1913" s="28" t="s">
        <v>148</v>
      </c>
      <c r="H1913" s="28" t="s">
        <v>269</v>
      </c>
      <c r="I1913" s="29" t="n">
        <v>150000</v>
      </c>
      <c r="J1913" s="29" t="n">
        <v>127500</v>
      </c>
      <c r="K1913" s="28" t="n">
        <v>9</v>
      </c>
      <c r="L1913" s="28" t="n">
        <v>120</v>
      </c>
      <c r="M1913" s="28" t="n">
        <v>8</v>
      </c>
    </row>
    <row r="1914" customFormat="false" ht="15" hidden="false" customHeight="false" outlineLevel="0" collapsed="false">
      <c r="A1914" s="27" t="n">
        <v>44841</v>
      </c>
      <c r="B1914" s="28" t="n">
        <v>2023</v>
      </c>
      <c r="C1914" s="28" t="s">
        <v>160</v>
      </c>
      <c r="D1914" s="28" t="s">
        <v>45</v>
      </c>
      <c r="E1914" s="28" t="s">
        <v>708</v>
      </c>
      <c r="F1914" s="28" t="s">
        <v>147</v>
      </c>
      <c r="G1914" s="28" t="s">
        <v>148</v>
      </c>
      <c r="H1914" s="28" t="s">
        <v>159</v>
      </c>
      <c r="I1914" s="29" t="n">
        <v>100000</v>
      </c>
      <c r="J1914" s="29" t="n">
        <v>50000</v>
      </c>
      <c r="K1914" s="28" t="n">
        <v>10.75</v>
      </c>
      <c r="L1914" s="28" t="n">
        <v>61</v>
      </c>
      <c r="M1914" s="28" t="n">
        <v>20</v>
      </c>
    </row>
    <row r="1915" customFormat="false" ht="15" hidden="false" customHeight="false" outlineLevel="0" collapsed="false">
      <c r="A1915" s="27" t="n">
        <v>44841</v>
      </c>
      <c r="B1915" s="28" t="n">
        <v>2023</v>
      </c>
      <c r="C1915" s="28" t="s">
        <v>172</v>
      </c>
      <c r="D1915" s="28" t="s">
        <v>50</v>
      </c>
      <c r="E1915" s="28" t="s">
        <v>724</v>
      </c>
      <c r="F1915" s="28" t="s">
        <v>142</v>
      </c>
      <c r="G1915" s="28" t="s">
        <v>143</v>
      </c>
      <c r="H1915" s="28" t="s">
        <v>211</v>
      </c>
      <c r="I1915" s="29" t="n">
        <v>305000</v>
      </c>
      <c r="J1915" s="29" t="n">
        <v>228750</v>
      </c>
      <c r="K1915" s="28" t="n">
        <v>9</v>
      </c>
      <c r="L1915" s="28" t="n">
        <v>120</v>
      </c>
      <c r="M1915" s="28" t="n">
        <v>15</v>
      </c>
    </row>
    <row r="1916" customFormat="false" ht="15" hidden="false" customHeight="false" outlineLevel="0" collapsed="false">
      <c r="A1916" s="27" t="n">
        <v>44841</v>
      </c>
      <c r="B1916" s="28" t="n">
        <v>2023</v>
      </c>
      <c r="C1916" s="28" t="s">
        <v>172</v>
      </c>
      <c r="D1916" s="28" t="s">
        <v>50</v>
      </c>
      <c r="E1916" s="28" t="s">
        <v>724</v>
      </c>
      <c r="F1916" s="28" t="s">
        <v>147</v>
      </c>
      <c r="G1916" s="28" t="s">
        <v>143</v>
      </c>
      <c r="H1916" s="28" t="s">
        <v>211</v>
      </c>
      <c r="I1916" s="29" t="n">
        <v>30000</v>
      </c>
      <c r="J1916" s="29" t="n">
        <v>15000</v>
      </c>
      <c r="K1916" s="28" t="n">
        <v>9</v>
      </c>
      <c r="L1916" s="28" t="n">
        <v>120</v>
      </c>
      <c r="M1916" s="28" t="n">
        <v>15</v>
      </c>
    </row>
    <row r="1917" customFormat="false" ht="15" hidden="false" customHeight="false" outlineLevel="0" collapsed="false">
      <c r="A1917" s="27" t="n">
        <v>44841</v>
      </c>
      <c r="B1917" s="28" t="n">
        <v>2023</v>
      </c>
      <c r="C1917" s="28" t="s">
        <v>198</v>
      </c>
      <c r="D1917" s="28" t="s">
        <v>42</v>
      </c>
      <c r="E1917" s="28" t="s">
        <v>753</v>
      </c>
      <c r="F1917" s="28" t="s">
        <v>194</v>
      </c>
      <c r="G1917" s="28" t="s">
        <v>143</v>
      </c>
      <c r="H1917" s="28" t="s">
        <v>633</v>
      </c>
      <c r="I1917" s="29" t="n">
        <v>441000</v>
      </c>
      <c r="J1917" s="29" t="n">
        <v>330750</v>
      </c>
      <c r="K1917" s="28" t="n">
        <v>9</v>
      </c>
      <c r="L1917" s="28" t="n">
        <v>120</v>
      </c>
      <c r="M1917" s="28" t="n">
        <v>8</v>
      </c>
    </row>
    <row r="1918" customFormat="false" ht="15" hidden="false" customHeight="false" outlineLevel="0" collapsed="false">
      <c r="A1918" s="27" t="n">
        <v>44845</v>
      </c>
      <c r="B1918" s="28" t="n">
        <v>2023</v>
      </c>
      <c r="C1918" s="28" t="s">
        <v>175</v>
      </c>
      <c r="D1918" s="28" t="s">
        <v>46</v>
      </c>
      <c r="E1918" s="28" t="s">
        <v>727</v>
      </c>
      <c r="F1918" s="28" t="s">
        <v>142</v>
      </c>
      <c r="G1918" s="28" t="s">
        <v>148</v>
      </c>
      <c r="H1918" s="28" t="s">
        <v>291</v>
      </c>
      <c r="I1918" s="29" t="n">
        <v>308000</v>
      </c>
      <c r="J1918" s="29" t="n">
        <v>231000</v>
      </c>
      <c r="K1918" s="28" t="n">
        <v>8.5</v>
      </c>
      <c r="L1918" s="28" t="n">
        <v>120</v>
      </c>
      <c r="M1918" s="28" t="n">
        <v>19</v>
      </c>
    </row>
    <row r="1919" customFormat="false" ht="15" hidden="false" customHeight="false" outlineLevel="0" collapsed="false">
      <c r="A1919" s="27" t="n">
        <v>44845</v>
      </c>
      <c r="B1919" s="28" t="n">
        <v>2023</v>
      </c>
      <c r="C1919" s="28" t="s">
        <v>160</v>
      </c>
      <c r="D1919" s="28" t="s">
        <v>44</v>
      </c>
      <c r="E1919" s="28" t="s">
        <v>751</v>
      </c>
      <c r="F1919" s="28" t="s">
        <v>142</v>
      </c>
      <c r="G1919" s="28" t="s">
        <v>148</v>
      </c>
      <c r="H1919" s="28" t="s">
        <v>165</v>
      </c>
      <c r="I1919" s="29" t="n">
        <v>1712800</v>
      </c>
      <c r="J1919" s="29" t="n">
        <v>1284600</v>
      </c>
      <c r="K1919" s="28" t="n">
        <v>6.75</v>
      </c>
      <c r="L1919" s="28" t="n">
        <v>212</v>
      </c>
      <c r="M1919" s="28" t="n">
        <v>16</v>
      </c>
    </row>
    <row r="1920" customFormat="false" ht="15" hidden="false" customHeight="false" outlineLevel="0" collapsed="false">
      <c r="A1920" s="27" t="n">
        <v>44846</v>
      </c>
      <c r="B1920" s="28" t="n">
        <v>2023</v>
      </c>
      <c r="C1920" s="28" t="s">
        <v>160</v>
      </c>
      <c r="D1920" s="28" t="s">
        <v>47</v>
      </c>
      <c r="E1920" s="28" t="s">
        <v>901</v>
      </c>
      <c r="F1920" s="28" t="s">
        <v>142</v>
      </c>
      <c r="G1920" s="28" t="s">
        <v>148</v>
      </c>
      <c r="H1920" s="28" t="s">
        <v>325</v>
      </c>
      <c r="I1920" s="29" t="n">
        <v>1010000</v>
      </c>
      <c r="J1920" s="29" t="n">
        <v>757500</v>
      </c>
      <c r="K1920" s="28" t="n">
        <v>7.25</v>
      </c>
      <c r="L1920" s="28" t="n">
        <v>120</v>
      </c>
      <c r="M1920" s="28" t="n">
        <v>2</v>
      </c>
    </row>
    <row r="1921" customFormat="false" ht="15" hidden="false" customHeight="false" outlineLevel="0" collapsed="false">
      <c r="A1921" s="27" t="n">
        <v>44846</v>
      </c>
      <c r="B1921" s="28" t="n">
        <v>2023</v>
      </c>
      <c r="C1921" s="28" t="s">
        <v>172</v>
      </c>
      <c r="D1921" s="28" t="s">
        <v>49</v>
      </c>
      <c r="E1921" s="28" t="s">
        <v>902</v>
      </c>
      <c r="F1921" s="28" t="s">
        <v>147</v>
      </c>
      <c r="G1921" s="28" t="s">
        <v>148</v>
      </c>
      <c r="H1921" s="28" t="s">
        <v>205</v>
      </c>
      <c r="I1921" s="29" t="n">
        <v>50000</v>
      </c>
      <c r="J1921" s="29" t="n">
        <v>25000</v>
      </c>
      <c r="K1921" s="28" t="n">
        <v>10.75</v>
      </c>
      <c r="L1921" s="28" t="n">
        <v>120</v>
      </c>
      <c r="M1921" s="28" t="n">
        <v>3</v>
      </c>
    </row>
    <row r="1922" customFormat="false" ht="15" hidden="false" customHeight="false" outlineLevel="0" collapsed="false">
      <c r="A1922" s="27" t="n">
        <v>44847</v>
      </c>
      <c r="B1922" s="28" t="n">
        <v>2023</v>
      </c>
      <c r="C1922" s="28" t="s">
        <v>160</v>
      </c>
      <c r="D1922" s="28" t="s">
        <v>50</v>
      </c>
      <c r="E1922" s="28" t="s">
        <v>193</v>
      </c>
      <c r="F1922" s="28" t="s">
        <v>142</v>
      </c>
      <c r="G1922" s="28" t="s">
        <v>148</v>
      </c>
      <c r="H1922" s="28" t="s">
        <v>372</v>
      </c>
      <c r="I1922" s="29" t="n">
        <v>900000</v>
      </c>
      <c r="J1922" s="29" t="n">
        <v>675000</v>
      </c>
      <c r="K1922" s="28" t="n">
        <v>9</v>
      </c>
      <c r="L1922" s="28" t="n">
        <v>120</v>
      </c>
      <c r="M1922" s="28" t="n">
        <v>4</v>
      </c>
    </row>
    <row r="1923" customFormat="false" ht="15" hidden="false" customHeight="false" outlineLevel="0" collapsed="false">
      <c r="A1923" s="27" t="n">
        <v>44847</v>
      </c>
      <c r="B1923" s="28" t="n">
        <v>2023</v>
      </c>
      <c r="C1923" s="28" t="s">
        <v>332</v>
      </c>
      <c r="D1923" s="28" t="s">
        <v>46</v>
      </c>
      <c r="E1923" s="28" t="s">
        <v>813</v>
      </c>
      <c r="F1923" s="28" t="s">
        <v>147</v>
      </c>
      <c r="G1923" s="28" t="s">
        <v>148</v>
      </c>
      <c r="H1923" s="28" t="s">
        <v>655</v>
      </c>
      <c r="I1923" s="29" t="n">
        <v>250000</v>
      </c>
      <c r="J1923" s="29" t="n">
        <v>125000</v>
      </c>
      <c r="K1923" s="28" t="n">
        <v>6.5</v>
      </c>
      <c r="L1923" s="28" t="n">
        <v>84</v>
      </c>
      <c r="M1923" s="28" t="n">
        <v>3</v>
      </c>
    </row>
    <row r="1924" customFormat="false" ht="15" hidden="false" customHeight="false" outlineLevel="0" collapsed="false">
      <c r="A1924" s="27" t="n">
        <v>44848</v>
      </c>
      <c r="B1924" s="28" t="n">
        <v>2023</v>
      </c>
      <c r="C1924" s="28" t="s">
        <v>140</v>
      </c>
      <c r="D1924" s="28" t="s">
        <v>48</v>
      </c>
      <c r="E1924" s="28" t="s">
        <v>840</v>
      </c>
      <c r="F1924" s="28" t="s">
        <v>142</v>
      </c>
      <c r="G1924" s="28" t="s">
        <v>441</v>
      </c>
      <c r="H1924" s="28" t="s">
        <v>382</v>
      </c>
      <c r="I1924" s="29" t="n">
        <v>1099000</v>
      </c>
      <c r="J1924" s="29" t="n">
        <v>824250</v>
      </c>
      <c r="K1924" s="28" t="n">
        <v>9</v>
      </c>
      <c r="L1924" s="28" t="n">
        <v>120</v>
      </c>
      <c r="M1924" s="28" t="n">
        <v>10</v>
      </c>
    </row>
    <row r="1925" customFormat="false" ht="15" hidden="false" customHeight="false" outlineLevel="0" collapsed="false">
      <c r="A1925" s="27" t="n">
        <v>44848</v>
      </c>
      <c r="B1925" s="28" t="n">
        <v>2023</v>
      </c>
      <c r="C1925" s="28" t="s">
        <v>198</v>
      </c>
      <c r="D1925" s="28" t="s">
        <v>46</v>
      </c>
      <c r="E1925" s="28" t="s">
        <v>746</v>
      </c>
      <c r="F1925" s="28" t="s">
        <v>142</v>
      </c>
      <c r="G1925" s="28" t="s">
        <v>148</v>
      </c>
      <c r="H1925" s="28" t="s">
        <v>211</v>
      </c>
      <c r="I1925" s="29" t="n">
        <v>250000</v>
      </c>
      <c r="J1925" s="29" t="n">
        <v>187500</v>
      </c>
      <c r="K1925" s="28" t="n">
        <v>9</v>
      </c>
      <c r="L1925" s="28" t="n">
        <v>120</v>
      </c>
      <c r="M1925" s="28" t="n">
        <v>2</v>
      </c>
    </row>
    <row r="1926" customFormat="false" ht="15" hidden="false" customHeight="false" outlineLevel="0" collapsed="false">
      <c r="A1926" s="27" t="n">
        <v>44848</v>
      </c>
      <c r="B1926" s="28" t="n">
        <v>2023</v>
      </c>
      <c r="C1926" s="28" t="s">
        <v>206</v>
      </c>
      <c r="D1926" s="28" t="s">
        <v>48</v>
      </c>
      <c r="E1926" s="28" t="s">
        <v>704</v>
      </c>
      <c r="F1926" s="28" t="s">
        <v>142</v>
      </c>
      <c r="G1926" s="28" t="s">
        <v>152</v>
      </c>
      <c r="H1926" s="28" t="s">
        <v>144</v>
      </c>
      <c r="I1926" s="29" t="n">
        <v>2475000</v>
      </c>
      <c r="J1926" s="29" t="n">
        <v>1856250</v>
      </c>
      <c r="K1926" s="28" t="n">
        <v>7.99</v>
      </c>
      <c r="L1926" s="28" t="n">
        <v>120</v>
      </c>
      <c r="M1926" s="28" t="n">
        <v>30</v>
      </c>
    </row>
    <row r="1927" customFormat="false" ht="15" hidden="false" customHeight="false" outlineLevel="0" collapsed="false">
      <c r="A1927" s="27" t="n">
        <v>44852</v>
      </c>
      <c r="B1927" s="28" t="n">
        <v>2023</v>
      </c>
      <c r="C1927" s="28" t="s">
        <v>230</v>
      </c>
      <c r="D1927" s="28" t="s">
        <v>46</v>
      </c>
      <c r="E1927" s="28" t="s">
        <v>727</v>
      </c>
      <c r="F1927" s="28" t="s">
        <v>142</v>
      </c>
      <c r="G1927" s="28" t="s">
        <v>148</v>
      </c>
      <c r="H1927" s="28" t="s">
        <v>269</v>
      </c>
      <c r="I1927" s="29" t="n">
        <v>50000</v>
      </c>
      <c r="J1927" s="29" t="n">
        <v>42500</v>
      </c>
      <c r="K1927" s="28" t="n">
        <v>10</v>
      </c>
      <c r="L1927" s="28" t="n">
        <v>120</v>
      </c>
      <c r="M1927" s="28" t="n">
        <v>8</v>
      </c>
    </row>
    <row r="1928" customFormat="false" ht="15" hidden="false" customHeight="false" outlineLevel="0" collapsed="false">
      <c r="A1928" s="27" t="n">
        <v>44852</v>
      </c>
      <c r="B1928" s="28" t="n">
        <v>2023</v>
      </c>
      <c r="C1928" s="28" t="s">
        <v>353</v>
      </c>
      <c r="D1928" s="28" t="s">
        <v>46</v>
      </c>
      <c r="E1928" s="28" t="s">
        <v>746</v>
      </c>
      <c r="F1928" s="28" t="s">
        <v>142</v>
      </c>
      <c r="G1928" s="28" t="s">
        <v>148</v>
      </c>
      <c r="H1928" s="28" t="s">
        <v>211</v>
      </c>
      <c r="I1928" s="29" t="n">
        <v>85000</v>
      </c>
      <c r="J1928" s="29" t="n">
        <v>72250</v>
      </c>
      <c r="K1928" s="28" t="n">
        <v>9</v>
      </c>
      <c r="L1928" s="28" t="n">
        <v>120</v>
      </c>
      <c r="M1928" s="28" t="n">
        <v>12</v>
      </c>
    </row>
    <row r="1929" customFormat="false" ht="15" hidden="false" customHeight="false" outlineLevel="0" collapsed="false">
      <c r="A1929" s="27" t="n">
        <v>44852</v>
      </c>
      <c r="B1929" s="28" t="n">
        <v>2023</v>
      </c>
      <c r="C1929" s="28" t="s">
        <v>230</v>
      </c>
      <c r="D1929" s="28" t="s">
        <v>48</v>
      </c>
      <c r="E1929" s="28" t="s">
        <v>304</v>
      </c>
      <c r="F1929" s="28" t="s">
        <v>142</v>
      </c>
      <c r="G1929" s="28" t="s">
        <v>148</v>
      </c>
      <c r="H1929" s="28" t="s">
        <v>211</v>
      </c>
      <c r="I1929" s="29" t="n">
        <v>300000</v>
      </c>
      <c r="J1929" s="29" t="n">
        <v>225000</v>
      </c>
      <c r="K1929" s="28" t="n">
        <v>9</v>
      </c>
      <c r="L1929" s="28" t="n">
        <v>120</v>
      </c>
      <c r="M1929" s="28" t="n">
        <v>4</v>
      </c>
    </row>
    <row r="1930" customFormat="false" ht="15" hidden="false" customHeight="false" outlineLevel="0" collapsed="false">
      <c r="A1930" s="27" t="n">
        <v>44852</v>
      </c>
      <c r="B1930" s="28" t="n">
        <v>2023</v>
      </c>
      <c r="C1930" s="28" t="s">
        <v>206</v>
      </c>
      <c r="D1930" s="28" t="s">
        <v>48</v>
      </c>
      <c r="E1930" s="28" t="s">
        <v>840</v>
      </c>
      <c r="F1930" s="28" t="s">
        <v>283</v>
      </c>
      <c r="G1930" s="28" t="s">
        <v>148</v>
      </c>
      <c r="H1930" s="28" t="s">
        <v>693</v>
      </c>
      <c r="I1930" s="29" t="n">
        <v>45000</v>
      </c>
      <c r="J1930" s="29" t="n">
        <v>38250</v>
      </c>
      <c r="K1930" s="28" t="n">
        <v>11.25</v>
      </c>
      <c r="L1930" s="28" t="n">
        <v>72</v>
      </c>
      <c r="M1930" s="28" t="n">
        <v>3</v>
      </c>
    </row>
    <row r="1931" customFormat="false" ht="15" hidden="false" customHeight="false" outlineLevel="0" collapsed="false">
      <c r="A1931" s="27" t="n">
        <v>44853</v>
      </c>
      <c r="B1931" s="28" t="n">
        <v>2023</v>
      </c>
      <c r="C1931" s="28" t="s">
        <v>353</v>
      </c>
      <c r="D1931" s="28" t="s">
        <v>48</v>
      </c>
      <c r="E1931" s="28" t="s">
        <v>762</v>
      </c>
      <c r="F1931" s="28" t="s">
        <v>142</v>
      </c>
      <c r="G1931" s="28" t="s">
        <v>148</v>
      </c>
      <c r="H1931" s="28" t="s">
        <v>179</v>
      </c>
      <c r="I1931" s="29" t="n">
        <v>200000</v>
      </c>
      <c r="J1931" s="29" t="n">
        <v>150000</v>
      </c>
      <c r="K1931" s="28" t="n">
        <v>9</v>
      </c>
      <c r="L1931" s="28" t="n">
        <v>120</v>
      </c>
      <c r="M1931" s="28" t="n">
        <v>0</v>
      </c>
    </row>
    <row r="1932" customFormat="false" ht="15" hidden="false" customHeight="false" outlineLevel="0" collapsed="false">
      <c r="A1932" s="27" t="n">
        <v>44853</v>
      </c>
      <c r="B1932" s="28" t="n">
        <v>2023</v>
      </c>
      <c r="C1932" s="28" t="s">
        <v>163</v>
      </c>
      <c r="D1932" s="28" t="s">
        <v>42</v>
      </c>
      <c r="E1932" s="28" t="s">
        <v>717</v>
      </c>
      <c r="F1932" s="28" t="s">
        <v>142</v>
      </c>
      <c r="G1932" s="28" t="s">
        <v>143</v>
      </c>
      <c r="H1932" s="28" t="s">
        <v>227</v>
      </c>
      <c r="I1932" s="29" t="n">
        <v>2800000</v>
      </c>
      <c r="J1932" s="29" t="n">
        <v>2100000</v>
      </c>
      <c r="K1932" s="28" t="n">
        <v>9</v>
      </c>
      <c r="L1932" s="28" t="n">
        <v>99</v>
      </c>
      <c r="M1932" s="28" t="n">
        <v>76</v>
      </c>
    </row>
    <row r="1933" customFormat="false" ht="15" hidden="false" customHeight="false" outlineLevel="0" collapsed="false">
      <c r="A1933" s="27" t="n">
        <v>44853</v>
      </c>
      <c r="B1933" s="28" t="n">
        <v>2023</v>
      </c>
      <c r="C1933" s="28" t="s">
        <v>169</v>
      </c>
      <c r="D1933" s="28" t="s">
        <v>49</v>
      </c>
      <c r="E1933" s="28" t="s">
        <v>903</v>
      </c>
      <c r="F1933" s="28" t="s">
        <v>142</v>
      </c>
      <c r="G1933" s="28" t="s">
        <v>148</v>
      </c>
      <c r="H1933" s="28" t="s">
        <v>200</v>
      </c>
      <c r="I1933" s="29" t="n">
        <v>200000</v>
      </c>
      <c r="J1933" s="29" t="n">
        <v>150000</v>
      </c>
      <c r="K1933" s="28" t="n">
        <v>9.25</v>
      </c>
      <c r="L1933" s="28" t="n">
        <v>120</v>
      </c>
      <c r="M1933" s="28" t="n">
        <v>6</v>
      </c>
    </row>
    <row r="1934" customFormat="false" ht="15" hidden="false" customHeight="false" outlineLevel="0" collapsed="false">
      <c r="A1934" s="27" t="n">
        <v>44853</v>
      </c>
      <c r="B1934" s="28" t="n">
        <v>2023</v>
      </c>
      <c r="C1934" s="28" t="s">
        <v>145</v>
      </c>
      <c r="D1934" s="28" t="s">
        <v>44</v>
      </c>
      <c r="E1934" s="28" t="s">
        <v>730</v>
      </c>
      <c r="F1934" s="28" t="s">
        <v>147</v>
      </c>
      <c r="G1934" s="28" t="s">
        <v>441</v>
      </c>
      <c r="H1934" s="28" t="s">
        <v>205</v>
      </c>
      <c r="I1934" s="29" t="n">
        <v>110000</v>
      </c>
      <c r="J1934" s="29" t="n">
        <v>55000</v>
      </c>
      <c r="K1934" s="28" t="n">
        <v>10.05</v>
      </c>
      <c r="L1934" s="28" t="n">
        <v>120</v>
      </c>
      <c r="M1934" s="28" t="n">
        <v>10</v>
      </c>
    </row>
    <row r="1935" customFormat="false" ht="15" hidden="false" customHeight="false" outlineLevel="0" collapsed="false">
      <c r="A1935" s="27" t="n">
        <v>44853</v>
      </c>
      <c r="B1935" s="28" t="n">
        <v>2023</v>
      </c>
      <c r="C1935" s="28" t="s">
        <v>203</v>
      </c>
      <c r="D1935" s="28" t="s">
        <v>44</v>
      </c>
      <c r="E1935" s="28" t="s">
        <v>730</v>
      </c>
      <c r="F1935" s="28" t="s">
        <v>142</v>
      </c>
      <c r="G1935" s="28" t="s">
        <v>152</v>
      </c>
      <c r="H1935" s="28" t="s">
        <v>404</v>
      </c>
      <c r="I1935" s="29" t="n">
        <v>3129000</v>
      </c>
      <c r="J1935" s="29" t="n">
        <v>2346750</v>
      </c>
      <c r="K1935" s="28" t="n">
        <v>6.2</v>
      </c>
      <c r="L1935" s="28" t="n">
        <v>300</v>
      </c>
      <c r="M1935" s="28" t="n">
        <v>27</v>
      </c>
    </row>
    <row r="1936" customFormat="false" ht="15" hidden="false" customHeight="false" outlineLevel="0" collapsed="false">
      <c r="A1936" s="27" t="n">
        <v>44854</v>
      </c>
      <c r="B1936" s="28" t="n">
        <v>2023</v>
      </c>
      <c r="C1936" s="28" t="s">
        <v>738</v>
      </c>
      <c r="D1936" s="28" t="s">
        <v>46</v>
      </c>
      <c r="E1936" s="28" t="s">
        <v>904</v>
      </c>
      <c r="F1936" s="28" t="s">
        <v>142</v>
      </c>
      <c r="G1936" s="28" t="s">
        <v>148</v>
      </c>
      <c r="H1936" s="28" t="s">
        <v>168</v>
      </c>
      <c r="I1936" s="29" t="n">
        <v>350000</v>
      </c>
      <c r="J1936" s="29" t="n">
        <v>262500</v>
      </c>
      <c r="K1936" s="28" t="n">
        <v>6.65</v>
      </c>
      <c r="L1936" s="28" t="n">
        <v>300</v>
      </c>
      <c r="M1936" s="28" t="n">
        <v>3</v>
      </c>
    </row>
    <row r="1937" customFormat="false" ht="15" hidden="false" customHeight="false" outlineLevel="0" collapsed="false">
      <c r="A1937" s="27" t="n">
        <v>44854</v>
      </c>
      <c r="B1937" s="28" t="n">
        <v>2023</v>
      </c>
      <c r="C1937" s="28" t="s">
        <v>196</v>
      </c>
      <c r="D1937" s="28" t="s">
        <v>48</v>
      </c>
      <c r="E1937" s="28" t="s">
        <v>905</v>
      </c>
      <c r="F1937" s="28" t="s">
        <v>142</v>
      </c>
      <c r="G1937" s="28" t="s">
        <v>148</v>
      </c>
      <c r="H1937" s="28" t="s">
        <v>771</v>
      </c>
      <c r="I1937" s="29" t="n">
        <v>136300</v>
      </c>
      <c r="J1937" s="29" t="n">
        <v>115855</v>
      </c>
      <c r="K1937" s="28" t="n">
        <v>9</v>
      </c>
      <c r="L1937" s="28" t="n">
        <v>120</v>
      </c>
      <c r="M1937" s="28" t="n">
        <v>14</v>
      </c>
    </row>
    <row r="1938" customFormat="false" ht="15" hidden="false" customHeight="false" outlineLevel="0" collapsed="false">
      <c r="A1938" s="27" t="n">
        <v>44854</v>
      </c>
      <c r="B1938" s="28" t="n">
        <v>2023</v>
      </c>
      <c r="C1938" s="28" t="s">
        <v>172</v>
      </c>
      <c r="D1938" s="28" t="s">
        <v>46</v>
      </c>
      <c r="E1938" s="28" t="s">
        <v>782</v>
      </c>
      <c r="F1938" s="28" t="s">
        <v>147</v>
      </c>
      <c r="G1938" s="28" t="s">
        <v>441</v>
      </c>
      <c r="H1938" s="28" t="s">
        <v>168</v>
      </c>
      <c r="I1938" s="29" t="n">
        <v>35000</v>
      </c>
      <c r="J1938" s="29" t="n">
        <v>17500</v>
      </c>
      <c r="K1938" s="28" t="n">
        <v>10.75</v>
      </c>
      <c r="L1938" s="28" t="n">
        <v>120</v>
      </c>
      <c r="M1938" s="28" t="n">
        <v>10</v>
      </c>
    </row>
    <row r="1939" customFormat="false" ht="15" hidden="false" customHeight="false" outlineLevel="0" collapsed="false">
      <c r="A1939" s="27" t="n">
        <v>44854</v>
      </c>
      <c r="B1939" s="28" t="n">
        <v>2023</v>
      </c>
      <c r="C1939" s="28" t="s">
        <v>203</v>
      </c>
      <c r="D1939" s="28" t="s">
        <v>45</v>
      </c>
      <c r="E1939" s="28" t="s">
        <v>906</v>
      </c>
      <c r="F1939" s="28" t="s">
        <v>147</v>
      </c>
      <c r="G1939" s="28" t="s">
        <v>441</v>
      </c>
      <c r="H1939" s="28" t="s">
        <v>168</v>
      </c>
      <c r="I1939" s="29" t="n">
        <v>15000</v>
      </c>
      <c r="J1939" s="29" t="n">
        <v>7500</v>
      </c>
      <c r="K1939" s="28" t="n">
        <v>12.25</v>
      </c>
      <c r="L1939" s="28" t="n">
        <v>91</v>
      </c>
      <c r="M1939" s="28" t="n">
        <v>2</v>
      </c>
    </row>
    <row r="1940" customFormat="false" ht="15" hidden="false" customHeight="false" outlineLevel="0" collapsed="false">
      <c r="A1940" s="27" t="n">
        <v>44854</v>
      </c>
      <c r="B1940" s="28" t="n">
        <v>2023</v>
      </c>
      <c r="C1940" s="28" t="s">
        <v>166</v>
      </c>
      <c r="D1940" s="28" t="s">
        <v>47</v>
      </c>
      <c r="E1940" s="28" t="s">
        <v>849</v>
      </c>
      <c r="F1940" s="28" t="s">
        <v>147</v>
      </c>
      <c r="G1940" s="28" t="s">
        <v>148</v>
      </c>
      <c r="H1940" s="28" t="s">
        <v>191</v>
      </c>
      <c r="I1940" s="29" t="n">
        <v>100000</v>
      </c>
      <c r="J1940" s="29" t="n">
        <v>50000</v>
      </c>
      <c r="K1940" s="28" t="n">
        <v>10.75</v>
      </c>
      <c r="L1940" s="28" t="n">
        <v>120</v>
      </c>
      <c r="M1940" s="28" t="n">
        <v>0</v>
      </c>
    </row>
    <row r="1941" customFormat="false" ht="15" hidden="false" customHeight="false" outlineLevel="0" collapsed="false">
      <c r="A1941" s="27" t="n">
        <v>44854</v>
      </c>
      <c r="B1941" s="28" t="n">
        <v>2023</v>
      </c>
      <c r="C1941" s="28" t="s">
        <v>175</v>
      </c>
      <c r="D1941" s="28" t="s">
        <v>47</v>
      </c>
      <c r="E1941" s="28" t="s">
        <v>760</v>
      </c>
      <c r="F1941" s="28" t="s">
        <v>142</v>
      </c>
      <c r="G1941" s="28" t="s">
        <v>143</v>
      </c>
      <c r="H1941" s="28" t="s">
        <v>372</v>
      </c>
      <c r="I1941" s="29" t="n">
        <v>535000</v>
      </c>
      <c r="J1941" s="29" t="n">
        <v>401250</v>
      </c>
      <c r="K1941" s="28" t="n">
        <v>8</v>
      </c>
      <c r="L1941" s="28" t="n">
        <v>126</v>
      </c>
      <c r="M1941" s="28" t="n">
        <v>33</v>
      </c>
    </row>
    <row r="1942" customFormat="false" ht="15" hidden="false" customHeight="false" outlineLevel="0" collapsed="false">
      <c r="A1942" s="27" t="n">
        <v>44855</v>
      </c>
      <c r="B1942" s="28" t="n">
        <v>2023</v>
      </c>
      <c r="C1942" s="28" t="s">
        <v>198</v>
      </c>
      <c r="D1942" s="28" t="s">
        <v>45</v>
      </c>
      <c r="E1942" s="28" t="s">
        <v>906</v>
      </c>
      <c r="F1942" s="28" t="s">
        <v>147</v>
      </c>
      <c r="G1942" s="28" t="s">
        <v>148</v>
      </c>
      <c r="H1942" s="28" t="s">
        <v>162</v>
      </c>
      <c r="I1942" s="29" t="n">
        <v>200000</v>
      </c>
      <c r="J1942" s="29" t="n">
        <v>100000</v>
      </c>
      <c r="K1942" s="28" t="n">
        <v>9</v>
      </c>
      <c r="L1942" s="28" t="n">
        <v>120</v>
      </c>
      <c r="M1942" s="28" t="n">
        <v>0</v>
      </c>
    </row>
    <row r="1943" customFormat="false" ht="15" hidden="false" customHeight="false" outlineLevel="0" collapsed="false">
      <c r="A1943" s="27" t="n">
        <v>44855</v>
      </c>
      <c r="B1943" s="28" t="n">
        <v>2023</v>
      </c>
      <c r="C1943" s="28" t="s">
        <v>527</v>
      </c>
      <c r="D1943" s="28" t="s">
        <v>53</v>
      </c>
      <c r="E1943" s="28" t="s">
        <v>868</v>
      </c>
      <c r="F1943" s="28" t="s">
        <v>142</v>
      </c>
      <c r="G1943" s="28" t="s">
        <v>441</v>
      </c>
      <c r="H1943" s="28" t="s">
        <v>619</v>
      </c>
      <c r="I1943" s="29" t="n">
        <v>554500</v>
      </c>
      <c r="J1943" s="29" t="n">
        <v>415875</v>
      </c>
      <c r="K1943" s="28" t="n">
        <v>8.5</v>
      </c>
      <c r="L1943" s="28" t="n">
        <v>300</v>
      </c>
      <c r="M1943" s="28" t="n">
        <v>1</v>
      </c>
    </row>
    <row r="1944" customFormat="false" ht="15" hidden="false" customHeight="false" outlineLevel="0" collapsed="false">
      <c r="A1944" s="27" t="n">
        <v>44855</v>
      </c>
      <c r="B1944" s="28" t="n">
        <v>2023</v>
      </c>
      <c r="C1944" s="28" t="s">
        <v>198</v>
      </c>
      <c r="D1944" s="28" t="s">
        <v>45</v>
      </c>
      <c r="E1944" s="28" t="s">
        <v>906</v>
      </c>
      <c r="F1944" s="28" t="s">
        <v>147</v>
      </c>
      <c r="G1944" s="28" t="s">
        <v>148</v>
      </c>
      <c r="H1944" s="28" t="s">
        <v>162</v>
      </c>
      <c r="I1944" s="29" t="n">
        <v>200000</v>
      </c>
      <c r="J1944" s="29" t="n">
        <v>100000</v>
      </c>
      <c r="K1944" s="28" t="n">
        <v>2.99</v>
      </c>
      <c r="L1944" s="28" t="n">
        <v>120</v>
      </c>
      <c r="M1944" s="28" t="n">
        <v>0</v>
      </c>
    </row>
    <row r="1945" customFormat="false" ht="15" hidden="false" customHeight="false" outlineLevel="0" collapsed="false">
      <c r="A1945" s="27" t="n">
        <v>44855</v>
      </c>
      <c r="B1945" s="28" t="n">
        <v>2023</v>
      </c>
      <c r="C1945" s="28" t="s">
        <v>160</v>
      </c>
      <c r="D1945" s="28" t="s">
        <v>43</v>
      </c>
      <c r="E1945" s="28" t="s">
        <v>858</v>
      </c>
      <c r="F1945" s="28" t="s">
        <v>147</v>
      </c>
      <c r="G1945" s="28" t="s">
        <v>441</v>
      </c>
      <c r="H1945" s="28" t="s">
        <v>168</v>
      </c>
      <c r="I1945" s="29" t="n">
        <v>15000</v>
      </c>
      <c r="J1945" s="29" t="n">
        <v>7500</v>
      </c>
      <c r="K1945" s="28" t="n">
        <v>12.25</v>
      </c>
      <c r="L1945" s="28" t="n">
        <v>120</v>
      </c>
      <c r="M1945" s="28" t="n">
        <v>0</v>
      </c>
    </row>
    <row r="1946" customFormat="false" ht="15" hidden="false" customHeight="false" outlineLevel="0" collapsed="false">
      <c r="A1946" s="27" t="n">
        <v>44855</v>
      </c>
      <c r="B1946" s="28" t="n">
        <v>2023</v>
      </c>
      <c r="C1946" s="28" t="s">
        <v>192</v>
      </c>
      <c r="D1946" s="28" t="s">
        <v>49</v>
      </c>
      <c r="E1946" s="28" t="s">
        <v>907</v>
      </c>
      <c r="F1946" s="28" t="s">
        <v>142</v>
      </c>
      <c r="G1946" s="28" t="s">
        <v>152</v>
      </c>
      <c r="H1946" s="28" t="s">
        <v>306</v>
      </c>
      <c r="I1946" s="29" t="n">
        <v>278800</v>
      </c>
      <c r="J1946" s="29" t="n">
        <v>209100</v>
      </c>
      <c r="K1946" s="28" t="n">
        <v>6</v>
      </c>
      <c r="L1946" s="28" t="n">
        <v>120</v>
      </c>
      <c r="M1946" s="28" t="n">
        <v>3</v>
      </c>
    </row>
    <row r="1947" customFormat="false" ht="15" hidden="false" customHeight="false" outlineLevel="0" collapsed="false">
      <c r="A1947" s="27" t="n">
        <v>44858</v>
      </c>
      <c r="B1947" s="28" t="n">
        <v>2023</v>
      </c>
      <c r="C1947" s="28" t="s">
        <v>243</v>
      </c>
      <c r="D1947" s="28" t="s">
        <v>44</v>
      </c>
      <c r="E1947" s="28" t="s">
        <v>730</v>
      </c>
      <c r="F1947" s="28" t="s">
        <v>142</v>
      </c>
      <c r="G1947" s="28" t="s">
        <v>143</v>
      </c>
      <c r="H1947" s="28" t="s">
        <v>376</v>
      </c>
      <c r="I1947" s="29" t="n">
        <v>1630000</v>
      </c>
      <c r="J1947" s="29" t="n">
        <v>1222500</v>
      </c>
      <c r="K1947" s="28" t="n">
        <v>8.5</v>
      </c>
      <c r="L1947" s="28" t="n">
        <v>300</v>
      </c>
      <c r="M1947" s="28" t="n">
        <v>12</v>
      </c>
    </row>
    <row r="1948" customFormat="false" ht="15" hidden="false" customHeight="false" outlineLevel="0" collapsed="false">
      <c r="A1948" s="27" t="n">
        <v>44858</v>
      </c>
      <c r="B1948" s="28" t="n">
        <v>2023</v>
      </c>
      <c r="C1948" s="28" t="s">
        <v>243</v>
      </c>
      <c r="D1948" s="28" t="s">
        <v>46</v>
      </c>
      <c r="E1948" s="28" t="s">
        <v>780</v>
      </c>
      <c r="F1948" s="28" t="s">
        <v>142</v>
      </c>
      <c r="G1948" s="28" t="s">
        <v>148</v>
      </c>
      <c r="H1948" s="28" t="s">
        <v>771</v>
      </c>
      <c r="I1948" s="29" t="n">
        <v>25000</v>
      </c>
      <c r="J1948" s="29" t="n">
        <v>21250</v>
      </c>
      <c r="K1948" s="28" t="n">
        <v>9</v>
      </c>
      <c r="L1948" s="28" t="n">
        <v>120</v>
      </c>
      <c r="M1948" s="28" t="n">
        <v>10</v>
      </c>
    </row>
    <row r="1949" customFormat="false" ht="15" hidden="false" customHeight="false" outlineLevel="0" collapsed="false">
      <c r="A1949" s="27" t="n">
        <v>44858</v>
      </c>
      <c r="B1949" s="28" t="n">
        <v>2023</v>
      </c>
      <c r="C1949" s="28" t="s">
        <v>140</v>
      </c>
      <c r="D1949" s="28" t="s">
        <v>47</v>
      </c>
      <c r="E1949" s="28" t="s">
        <v>908</v>
      </c>
      <c r="F1949" s="28" t="s">
        <v>142</v>
      </c>
      <c r="G1949" s="28" t="s">
        <v>148</v>
      </c>
      <c r="H1949" s="28" t="s">
        <v>269</v>
      </c>
      <c r="I1949" s="29" t="n">
        <v>100000</v>
      </c>
      <c r="J1949" s="29" t="n">
        <v>85000</v>
      </c>
      <c r="K1949" s="28" t="n">
        <v>9</v>
      </c>
      <c r="L1949" s="28" t="n">
        <v>120</v>
      </c>
      <c r="M1949" s="28" t="n">
        <v>3</v>
      </c>
    </row>
    <row r="1950" customFormat="false" ht="15" hidden="false" customHeight="false" outlineLevel="0" collapsed="false">
      <c r="A1950" s="27" t="n">
        <v>44859</v>
      </c>
      <c r="B1950" s="28" t="n">
        <v>2023</v>
      </c>
      <c r="C1950" s="28" t="s">
        <v>235</v>
      </c>
      <c r="D1950" s="28" t="s">
        <v>42</v>
      </c>
      <c r="E1950" s="28" t="s">
        <v>705</v>
      </c>
      <c r="F1950" s="28" t="s">
        <v>142</v>
      </c>
      <c r="G1950" s="28" t="s">
        <v>441</v>
      </c>
      <c r="H1950" s="28" t="s">
        <v>269</v>
      </c>
      <c r="I1950" s="29" t="n">
        <v>1421500</v>
      </c>
      <c r="J1950" s="29" t="n">
        <v>1066125</v>
      </c>
      <c r="K1950" s="28" t="n">
        <v>8.5</v>
      </c>
      <c r="L1950" s="28" t="n">
        <v>300</v>
      </c>
      <c r="M1950" s="28" t="n">
        <v>3</v>
      </c>
    </row>
    <row r="1951" customFormat="false" ht="15" hidden="false" customHeight="false" outlineLevel="0" collapsed="false">
      <c r="A1951" s="27" t="n">
        <v>44859</v>
      </c>
      <c r="B1951" s="28" t="n">
        <v>2023</v>
      </c>
      <c r="C1951" s="28" t="s">
        <v>163</v>
      </c>
      <c r="D1951" s="28" t="s">
        <v>42</v>
      </c>
      <c r="E1951" s="28" t="s">
        <v>753</v>
      </c>
      <c r="F1951" s="28" t="s">
        <v>142</v>
      </c>
      <c r="G1951" s="28" t="s">
        <v>143</v>
      </c>
      <c r="H1951" s="28" t="s">
        <v>621</v>
      </c>
      <c r="I1951" s="29" t="n">
        <v>434000</v>
      </c>
      <c r="J1951" s="29" t="n">
        <v>325500</v>
      </c>
      <c r="K1951" s="28" t="n">
        <v>9</v>
      </c>
      <c r="L1951" s="28" t="n">
        <v>120</v>
      </c>
      <c r="M1951" s="28" t="n">
        <v>13</v>
      </c>
    </row>
    <row r="1952" customFormat="false" ht="15" hidden="false" customHeight="false" outlineLevel="0" collapsed="false">
      <c r="A1952" s="27" t="n">
        <v>44859</v>
      </c>
      <c r="B1952" s="28" t="n">
        <v>2023</v>
      </c>
      <c r="C1952" s="28" t="s">
        <v>203</v>
      </c>
      <c r="D1952" s="28" t="s">
        <v>48</v>
      </c>
      <c r="E1952" s="28" t="s">
        <v>498</v>
      </c>
      <c r="F1952" s="28" t="s">
        <v>147</v>
      </c>
      <c r="G1952" s="28" t="s">
        <v>148</v>
      </c>
      <c r="H1952" s="28" t="s">
        <v>162</v>
      </c>
      <c r="I1952" s="29" t="n">
        <v>189400</v>
      </c>
      <c r="J1952" s="29" t="n">
        <v>94700</v>
      </c>
      <c r="K1952" s="28" t="n">
        <v>2.99</v>
      </c>
      <c r="L1952" s="28" t="n">
        <v>120</v>
      </c>
      <c r="M1952" s="28" t="n">
        <v>1</v>
      </c>
    </row>
    <row r="1953" customFormat="false" ht="15" hidden="false" customHeight="false" outlineLevel="0" collapsed="false">
      <c r="A1953" s="27" t="n">
        <v>44859</v>
      </c>
      <c r="B1953" s="28" t="n">
        <v>2023</v>
      </c>
      <c r="C1953" s="28" t="s">
        <v>172</v>
      </c>
      <c r="D1953" s="28" t="s">
        <v>48</v>
      </c>
      <c r="E1953" s="28" t="s">
        <v>362</v>
      </c>
      <c r="F1953" s="28" t="s">
        <v>142</v>
      </c>
      <c r="G1953" s="28" t="s">
        <v>148</v>
      </c>
      <c r="H1953" s="28" t="s">
        <v>144</v>
      </c>
      <c r="I1953" s="29" t="n">
        <v>3950000</v>
      </c>
      <c r="J1953" s="29" t="n">
        <v>2962500</v>
      </c>
      <c r="K1953" s="28" t="n">
        <v>8.5</v>
      </c>
      <c r="L1953" s="28" t="n">
        <v>102</v>
      </c>
      <c r="M1953" s="28" t="n">
        <v>10</v>
      </c>
    </row>
    <row r="1954" customFormat="false" ht="15" hidden="false" customHeight="false" outlineLevel="0" collapsed="false">
      <c r="A1954" s="27" t="n">
        <v>44859</v>
      </c>
      <c r="B1954" s="28" t="n">
        <v>2023</v>
      </c>
      <c r="C1954" s="28" t="s">
        <v>172</v>
      </c>
      <c r="D1954" s="28" t="s">
        <v>42</v>
      </c>
      <c r="E1954" s="28" t="s">
        <v>717</v>
      </c>
      <c r="F1954" s="28" t="s">
        <v>147</v>
      </c>
      <c r="G1954" s="28" t="s">
        <v>148</v>
      </c>
      <c r="H1954" s="28" t="s">
        <v>248</v>
      </c>
      <c r="I1954" s="29" t="n">
        <v>250000</v>
      </c>
      <c r="J1954" s="29" t="n">
        <v>125000</v>
      </c>
      <c r="K1954" s="28" t="n">
        <v>8.25</v>
      </c>
      <c r="L1954" s="28" t="n">
        <v>60</v>
      </c>
      <c r="M1954" s="28" t="n">
        <v>12</v>
      </c>
    </row>
    <row r="1955" customFormat="false" ht="15" hidden="false" customHeight="false" outlineLevel="0" collapsed="false">
      <c r="A1955" s="27" t="n">
        <v>44860</v>
      </c>
      <c r="B1955" s="28" t="n">
        <v>2023</v>
      </c>
      <c r="C1955" s="28" t="s">
        <v>332</v>
      </c>
      <c r="D1955" s="28" t="s">
        <v>48</v>
      </c>
      <c r="E1955" s="28" t="s">
        <v>362</v>
      </c>
      <c r="F1955" s="28" t="s">
        <v>142</v>
      </c>
      <c r="G1955" s="28" t="s">
        <v>148</v>
      </c>
      <c r="H1955" s="28" t="s">
        <v>573</v>
      </c>
      <c r="I1955" s="29" t="n">
        <v>605900</v>
      </c>
      <c r="J1955" s="29" t="n">
        <v>454425</v>
      </c>
      <c r="K1955" s="28" t="n">
        <v>8.5</v>
      </c>
      <c r="L1955" s="28" t="n">
        <v>300</v>
      </c>
      <c r="M1955" s="28" t="n">
        <v>3</v>
      </c>
    </row>
    <row r="1956" customFormat="false" ht="15" hidden="false" customHeight="false" outlineLevel="0" collapsed="false">
      <c r="A1956" s="27" t="n">
        <v>44861</v>
      </c>
      <c r="B1956" s="28" t="n">
        <v>2023</v>
      </c>
      <c r="C1956" s="28" t="s">
        <v>196</v>
      </c>
      <c r="D1956" s="28" t="s">
        <v>48</v>
      </c>
      <c r="E1956" s="28" t="s">
        <v>210</v>
      </c>
      <c r="F1956" s="28" t="s">
        <v>142</v>
      </c>
      <c r="G1956" s="28" t="s">
        <v>148</v>
      </c>
      <c r="H1956" s="28" t="s">
        <v>165</v>
      </c>
      <c r="I1956" s="29" t="n">
        <v>453500</v>
      </c>
      <c r="J1956" s="29" t="n">
        <v>340125</v>
      </c>
      <c r="K1956" s="28" t="n">
        <v>8.25</v>
      </c>
      <c r="L1956" s="28" t="n">
        <v>114</v>
      </c>
      <c r="M1956" s="28" t="n">
        <v>14</v>
      </c>
    </row>
    <row r="1957" customFormat="false" ht="15" hidden="false" customHeight="false" outlineLevel="0" collapsed="false">
      <c r="A1957" s="27" t="n">
        <v>44861</v>
      </c>
      <c r="B1957" s="28" t="n">
        <v>2023</v>
      </c>
      <c r="C1957" s="28" t="s">
        <v>169</v>
      </c>
      <c r="D1957" s="28" t="s">
        <v>50</v>
      </c>
      <c r="E1957" s="28" t="s">
        <v>193</v>
      </c>
      <c r="F1957" s="28" t="s">
        <v>142</v>
      </c>
      <c r="G1957" s="28" t="s">
        <v>148</v>
      </c>
      <c r="H1957" s="28" t="s">
        <v>501</v>
      </c>
      <c r="I1957" s="29" t="n">
        <v>475000</v>
      </c>
      <c r="J1957" s="29" t="n">
        <v>356250</v>
      </c>
      <c r="K1957" s="28" t="n">
        <v>9</v>
      </c>
      <c r="L1957" s="28" t="n">
        <v>124</v>
      </c>
      <c r="M1957" s="28" t="n">
        <v>44</v>
      </c>
    </row>
    <row r="1958" customFormat="false" ht="15" hidden="false" customHeight="false" outlineLevel="0" collapsed="false">
      <c r="A1958" s="27" t="n">
        <v>44861</v>
      </c>
      <c r="B1958" s="28" t="n">
        <v>2023</v>
      </c>
      <c r="C1958" s="28" t="s">
        <v>169</v>
      </c>
      <c r="D1958" s="28" t="s">
        <v>45</v>
      </c>
      <c r="E1958" s="28" t="s">
        <v>824</v>
      </c>
      <c r="F1958" s="28" t="s">
        <v>142</v>
      </c>
      <c r="G1958" s="28" t="s">
        <v>148</v>
      </c>
      <c r="H1958" s="28" t="s">
        <v>171</v>
      </c>
      <c r="I1958" s="29" t="n">
        <v>150000</v>
      </c>
      <c r="J1958" s="29" t="n">
        <v>127500</v>
      </c>
      <c r="K1958" s="28" t="n">
        <v>10</v>
      </c>
      <c r="L1958" s="28" t="n">
        <v>157</v>
      </c>
      <c r="M1958" s="28" t="n">
        <v>3</v>
      </c>
    </row>
    <row r="1959" customFormat="false" ht="15" hidden="false" customHeight="false" outlineLevel="0" collapsed="false">
      <c r="A1959" s="27" t="n">
        <v>44861</v>
      </c>
      <c r="B1959" s="28" t="n">
        <v>2023</v>
      </c>
      <c r="C1959" s="28" t="s">
        <v>169</v>
      </c>
      <c r="D1959" s="28" t="s">
        <v>48</v>
      </c>
      <c r="E1959" s="28" t="s">
        <v>270</v>
      </c>
      <c r="F1959" s="28" t="s">
        <v>142</v>
      </c>
      <c r="G1959" s="28" t="s">
        <v>152</v>
      </c>
      <c r="H1959" s="28" t="s">
        <v>359</v>
      </c>
      <c r="I1959" s="29" t="n">
        <v>316000</v>
      </c>
      <c r="J1959" s="29" t="n">
        <v>237000</v>
      </c>
      <c r="K1959" s="28" t="n">
        <v>8.75</v>
      </c>
      <c r="L1959" s="28" t="n">
        <v>120</v>
      </c>
      <c r="M1959" s="28" t="n">
        <v>9</v>
      </c>
    </row>
    <row r="1960" customFormat="false" ht="15" hidden="false" customHeight="false" outlineLevel="0" collapsed="false">
      <c r="A1960" s="27" t="n">
        <v>44861</v>
      </c>
      <c r="B1960" s="28" t="n">
        <v>2023</v>
      </c>
      <c r="C1960" s="28" t="s">
        <v>206</v>
      </c>
      <c r="D1960" s="28" t="s">
        <v>48</v>
      </c>
      <c r="E1960" s="28" t="s">
        <v>704</v>
      </c>
      <c r="F1960" s="28" t="s">
        <v>147</v>
      </c>
      <c r="G1960" s="28" t="s">
        <v>152</v>
      </c>
      <c r="H1960" s="28" t="s">
        <v>144</v>
      </c>
      <c r="I1960" s="29" t="n">
        <v>200000</v>
      </c>
      <c r="J1960" s="29" t="n">
        <v>100000</v>
      </c>
      <c r="K1960" s="28" t="n">
        <v>7.99</v>
      </c>
      <c r="L1960" s="28" t="n">
        <v>120</v>
      </c>
      <c r="M1960" s="28" t="n">
        <v>30</v>
      </c>
    </row>
    <row r="1961" customFormat="false" ht="15" hidden="false" customHeight="false" outlineLevel="0" collapsed="false">
      <c r="A1961" s="27" t="n">
        <v>44861</v>
      </c>
      <c r="B1961" s="28" t="n">
        <v>2023</v>
      </c>
      <c r="C1961" s="28" t="s">
        <v>169</v>
      </c>
      <c r="D1961" s="28" t="s">
        <v>46</v>
      </c>
      <c r="E1961" s="28" t="s">
        <v>813</v>
      </c>
      <c r="F1961" s="28" t="s">
        <v>142</v>
      </c>
      <c r="G1961" s="28" t="s">
        <v>152</v>
      </c>
      <c r="H1961" s="28" t="s">
        <v>200</v>
      </c>
      <c r="I1961" s="29" t="n">
        <v>479500</v>
      </c>
      <c r="J1961" s="29" t="n">
        <v>359625</v>
      </c>
      <c r="K1961" s="28" t="n">
        <v>9.25</v>
      </c>
      <c r="L1961" s="28" t="n">
        <v>120</v>
      </c>
      <c r="M1961" s="28" t="n">
        <v>6</v>
      </c>
    </row>
    <row r="1962" customFormat="false" ht="15" hidden="false" customHeight="false" outlineLevel="0" collapsed="false">
      <c r="A1962" s="27" t="n">
        <v>44861</v>
      </c>
      <c r="B1962" s="28" t="n">
        <v>2023</v>
      </c>
      <c r="C1962" s="28" t="s">
        <v>169</v>
      </c>
      <c r="D1962" s="28" t="s">
        <v>50</v>
      </c>
      <c r="E1962" s="28" t="s">
        <v>193</v>
      </c>
      <c r="F1962" s="28" t="s">
        <v>147</v>
      </c>
      <c r="G1962" s="28" t="s">
        <v>148</v>
      </c>
      <c r="H1962" s="28" t="s">
        <v>501</v>
      </c>
      <c r="I1962" s="29" t="n">
        <v>250000</v>
      </c>
      <c r="J1962" s="29" t="n">
        <v>125000</v>
      </c>
      <c r="K1962" s="28" t="n">
        <v>9</v>
      </c>
      <c r="L1962" s="28" t="n">
        <v>120</v>
      </c>
      <c r="M1962" s="28" t="n">
        <v>44</v>
      </c>
    </row>
    <row r="1963" customFormat="false" ht="15" hidden="false" customHeight="false" outlineLevel="0" collapsed="false">
      <c r="A1963" s="27" t="n">
        <v>44862</v>
      </c>
      <c r="B1963" s="28" t="n">
        <v>2023</v>
      </c>
      <c r="C1963" s="28" t="s">
        <v>257</v>
      </c>
      <c r="D1963" s="28" t="s">
        <v>46</v>
      </c>
      <c r="E1963" s="28" t="s">
        <v>702</v>
      </c>
      <c r="F1963" s="28" t="s">
        <v>142</v>
      </c>
      <c r="G1963" s="28" t="s">
        <v>152</v>
      </c>
      <c r="H1963" s="28" t="s">
        <v>306</v>
      </c>
      <c r="I1963" s="29" t="n">
        <v>157300</v>
      </c>
      <c r="J1963" s="29" t="n">
        <v>117975</v>
      </c>
      <c r="K1963" s="28" t="n">
        <v>7.25</v>
      </c>
      <c r="L1963" s="28" t="n">
        <v>120</v>
      </c>
      <c r="M1963" s="28" t="n">
        <v>9</v>
      </c>
    </row>
    <row r="1964" customFormat="false" ht="15" hidden="false" customHeight="false" outlineLevel="0" collapsed="false">
      <c r="A1964" s="27" t="n">
        <v>44862</v>
      </c>
      <c r="B1964" s="28" t="n">
        <v>2023</v>
      </c>
      <c r="C1964" s="28" t="s">
        <v>172</v>
      </c>
      <c r="D1964" s="28" t="s">
        <v>46</v>
      </c>
      <c r="E1964" s="28" t="s">
        <v>909</v>
      </c>
      <c r="F1964" s="28" t="s">
        <v>142</v>
      </c>
      <c r="G1964" s="28" t="s">
        <v>148</v>
      </c>
      <c r="H1964" s="28" t="s">
        <v>771</v>
      </c>
      <c r="I1964" s="29" t="n">
        <v>19000</v>
      </c>
      <c r="J1964" s="29" t="n">
        <v>16150</v>
      </c>
      <c r="K1964" s="28" t="n">
        <v>9</v>
      </c>
      <c r="L1964" s="28" t="n">
        <v>120</v>
      </c>
      <c r="M1964" s="28" t="n">
        <v>1</v>
      </c>
    </row>
    <row r="1965" customFormat="false" ht="15" hidden="false" customHeight="false" outlineLevel="0" collapsed="false">
      <c r="A1965" s="27" t="n">
        <v>44862</v>
      </c>
      <c r="B1965" s="28" t="n">
        <v>2023</v>
      </c>
      <c r="C1965" s="28" t="s">
        <v>172</v>
      </c>
      <c r="D1965" s="28" t="s">
        <v>52</v>
      </c>
      <c r="E1965" s="28" t="s">
        <v>720</v>
      </c>
      <c r="F1965" s="28" t="s">
        <v>147</v>
      </c>
      <c r="G1965" s="28" t="s">
        <v>148</v>
      </c>
      <c r="H1965" s="28" t="s">
        <v>162</v>
      </c>
      <c r="I1965" s="29" t="n">
        <v>130000</v>
      </c>
      <c r="J1965" s="29" t="n">
        <v>65000</v>
      </c>
      <c r="K1965" s="28" t="n">
        <v>2.99</v>
      </c>
      <c r="L1965" s="28" t="n">
        <v>144</v>
      </c>
      <c r="M1965" s="28" t="n">
        <v>2</v>
      </c>
    </row>
    <row r="1966" customFormat="false" ht="15" hidden="false" customHeight="false" outlineLevel="0" collapsed="false">
      <c r="A1966" s="27" t="n">
        <v>44862</v>
      </c>
      <c r="B1966" s="28" t="n">
        <v>2023</v>
      </c>
      <c r="C1966" s="28" t="s">
        <v>172</v>
      </c>
      <c r="D1966" s="28" t="s">
        <v>53</v>
      </c>
      <c r="E1966" s="28" t="s">
        <v>910</v>
      </c>
      <c r="F1966" s="28" t="s">
        <v>142</v>
      </c>
      <c r="G1966" s="28" t="s">
        <v>152</v>
      </c>
      <c r="H1966" s="28" t="s">
        <v>144</v>
      </c>
      <c r="I1966" s="29" t="n">
        <v>5000000</v>
      </c>
      <c r="J1966" s="29" t="n">
        <v>3750000</v>
      </c>
      <c r="K1966" s="28" t="n">
        <v>9</v>
      </c>
      <c r="L1966" s="28" t="n">
        <v>120</v>
      </c>
      <c r="M1966" s="28" t="n">
        <v>6</v>
      </c>
    </row>
    <row r="1967" customFormat="false" ht="15" hidden="false" customHeight="false" outlineLevel="0" collapsed="false">
      <c r="A1967" s="27" t="n">
        <v>44862</v>
      </c>
      <c r="B1967" s="28" t="n">
        <v>2023</v>
      </c>
      <c r="C1967" s="28" t="s">
        <v>243</v>
      </c>
      <c r="D1967" s="28" t="s">
        <v>46</v>
      </c>
      <c r="E1967" s="28" t="s">
        <v>780</v>
      </c>
      <c r="F1967" s="28" t="s">
        <v>142</v>
      </c>
      <c r="G1967" s="28" t="s">
        <v>148</v>
      </c>
      <c r="H1967" s="28" t="s">
        <v>200</v>
      </c>
      <c r="I1967" s="29" t="n">
        <v>150000</v>
      </c>
      <c r="J1967" s="29" t="n">
        <v>127500</v>
      </c>
      <c r="K1967" s="28" t="n">
        <v>9.25</v>
      </c>
      <c r="L1967" s="28" t="n">
        <v>99</v>
      </c>
      <c r="M1967" s="28" t="n">
        <v>7</v>
      </c>
    </row>
    <row r="1968" customFormat="false" ht="15" hidden="false" customHeight="false" outlineLevel="0" collapsed="false">
      <c r="A1968" s="27" t="n">
        <v>44865</v>
      </c>
      <c r="B1968" s="28" t="n">
        <v>2023</v>
      </c>
      <c r="C1968" s="28" t="s">
        <v>394</v>
      </c>
      <c r="D1968" s="28" t="s">
        <v>43</v>
      </c>
      <c r="E1968" s="28" t="s">
        <v>811</v>
      </c>
      <c r="F1968" s="28" t="s">
        <v>142</v>
      </c>
      <c r="G1968" s="28" t="s">
        <v>148</v>
      </c>
      <c r="H1968" s="28" t="s">
        <v>314</v>
      </c>
      <c r="I1968" s="29" t="n">
        <v>2134500</v>
      </c>
      <c r="J1968" s="29" t="n">
        <v>1600875</v>
      </c>
      <c r="K1968" s="28" t="n">
        <v>8.75</v>
      </c>
      <c r="L1968" s="28" t="n">
        <v>120</v>
      </c>
      <c r="M1968" s="28" t="n">
        <v>2</v>
      </c>
    </row>
    <row r="1969" customFormat="false" ht="15" hidden="false" customHeight="false" outlineLevel="0" collapsed="false">
      <c r="A1969" s="27" t="n">
        <v>44866</v>
      </c>
      <c r="B1969" s="28" t="n">
        <v>2023</v>
      </c>
      <c r="C1969" s="28" t="s">
        <v>172</v>
      </c>
      <c r="D1969" s="28" t="s">
        <v>42</v>
      </c>
      <c r="E1969" s="28" t="s">
        <v>717</v>
      </c>
      <c r="F1969" s="28" t="s">
        <v>142</v>
      </c>
      <c r="G1969" s="28" t="s">
        <v>152</v>
      </c>
      <c r="H1969" s="28" t="s">
        <v>592</v>
      </c>
      <c r="I1969" s="29" t="n">
        <v>600000</v>
      </c>
      <c r="J1969" s="29" t="n">
        <v>450000</v>
      </c>
      <c r="K1969" s="28" t="n">
        <v>8.25</v>
      </c>
      <c r="L1969" s="28" t="n">
        <v>120</v>
      </c>
      <c r="M1969" s="28" t="n">
        <v>10</v>
      </c>
    </row>
    <row r="1970" customFormat="false" ht="15" hidden="false" customHeight="false" outlineLevel="0" collapsed="false">
      <c r="A1970" s="27" t="n">
        <v>44866</v>
      </c>
      <c r="B1970" s="28" t="n">
        <v>2023</v>
      </c>
      <c r="C1970" s="28" t="s">
        <v>145</v>
      </c>
      <c r="D1970" s="28" t="s">
        <v>50</v>
      </c>
      <c r="E1970" s="28" t="s">
        <v>724</v>
      </c>
      <c r="F1970" s="28" t="s">
        <v>147</v>
      </c>
      <c r="G1970" s="28" t="s">
        <v>148</v>
      </c>
      <c r="H1970" s="28" t="s">
        <v>159</v>
      </c>
      <c r="I1970" s="29" t="n">
        <v>10000</v>
      </c>
      <c r="J1970" s="29" t="n">
        <v>5000</v>
      </c>
      <c r="K1970" s="28" t="n">
        <v>12.75</v>
      </c>
      <c r="L1970" s="28" t="n">
        <v>30</v>
      </c>
      <c r="M1970" s="28" t="n">
        <v>2</v>
      </c>
    </row>
    <row r="1971" customFormat="false" ht="15" hidden="false" customHeight="false" outlineLevel="0" collapsed="false">
      <c r="A1971" s="27" t="n">
        <v>44867</v>
      </c>
      <c r="B1971" s="28" t="n">
        <v>2023</v>
      </c>
      <c r="C1971" s="28" t="s">
        <v>172</v>
      </c>
      <c r="D1971" s="28" t="s">
        <v>42</v>
      </c>
      <c r="E1971" s="28" t="s">
        <v>717</v>
      </c>
      <c r="F1971" s="28" t="s">
        <v>147</v>
      </c>
      <c r="G1971" s="28" t="s">
        <v>148</v>
      </c>
      <c r="H1971" s="28" t="s">
        <v>248</v>
      </c>
      <c r="I1971" s="29" t="n">
        <v>100000</v>
      </c>
      <c r="J1971" s="29" t="n">
        <v>50000</v>
      </c>
      <c r="K1971" s="28" t="n">
        <v>9.25</v>
      </c>
      <c r="L1971" s="28" t="n">
        <v>60</v>
      </c>
      <c r="M1971" s="28" t="n">
        <v>8</v>
      </c>
    </row>
    <row r="1972" customFormat="false" ht="15" hidden="false" customHeight="false" outlineLevel="0" collapsed="false">
      <c r="A1972" s="27" t="n">
        <v>44867</v>
      </c>
      <c r="B1972" s="28" t="n">
        <v>2023</v>
      </c>
      <c r="C1972" s="28" t="s">
        <v>379</v>
      </c>
      <c r="D1972" s="28" t="s">
        <v>47</v>
      </c>
      <c r="E1972" s="28" t="s">
        <v>911</v>
      </c>
      <c r="F1972" s="28" t="s">
        <v>147</v>
      </c>
      <c r="G1972" s="28" t="s">
        <v>148</v>
      </c>
      <c r="H1972" s="28" t="s">
        <v>306</v>
      </c>
      <c r="I1972" s="29" t="n">
        <v>315000</v>
      </c>
      <c r="J1972" s="29" t="n">
        <v>157500</v>
      </c>
      <c r="K1972" s="28" t="n">
        <v>6.95</v>
      </c>
      <c r="L1972" s="28" t="n">
        <v>84</v>
      </c>
      <c r="M1972" s="28" t="n">
        <v>12</v>
      </c>
    </row>
    <row r="1973" customFormat="false" ht="15" hidden="false" customHeight="false" outlineLevel="0" collapsed="false">
      <c r="A1973" s="27" t="n">
        <v>44869</v>
      </c>
      <c r="B1973" s="28" t="n">
        <v>2023</v>
      </c>
      <c r="C1973" s="28" t="s">
        <v>603</v>
      </c>
      <c r="D1973" s="28" t="s">
        <v>45</v>
      </c>
      <c r="E1973" s="28" t="s">
        <v>356</v>
      </c>
      <c r="F1973" s="28" t="s">
        <v>142</v>
      </c>
      <c r="G1973" s="28" t="s">
        <v>143</v>
      </c>
      <c r="H1973" s="28" t="s">
        <v>275</v>
      </c>
      <c r="I1973" s="29" t="n">
        <v>170000</v>
      </c>
      <c r="J1973" s="29" t="n">
        <v>127500</v>
      </c>
      <c r="K1973" s="28" t="n">
        <v>9</v>
      </c>
      <c r="L1973" s="28" t="n">
        <v>120</v>
      </c>
      <c r="M1973" s="28" t="n">
        <v>4</v>
      </c>
    </row>
    <row r="1974" customFormat="false" ht="15" hidden="false" customHeight="false" outlineLevel="0" collapsed="false">
      <c r="A1974" s="27" t="n">
        <v>44869</v>
      </c>
      <c r="B1974" s="28" t="n">
        <v>2023</v>
      </c>
      <c r="C1974" s="28" t="s">
        <v>203</v>
      </c>
      <c r="D1974" s="28" t="s">
        <v>48</v>
      </c>
      <c r="E1974" s="28" t="s">
        <v>304</v>
      </c>
      <c r="F1974" s="28" t="s">
        <v>194</v>
      </c>
      <c r="G1974" s="28" t="s">
        <v>148</v>
      </c>
      <c r="H1974" s="28" t="s">
        <v>407</v>
      </c>
      <c r="I1974" s="29" t="n">
        <v>150000</v>
      </c>
      <c r="J1974" s="29" t="n">
        <v>127500</v>
      </c>
      <c r="K1974" s="28" t="n">
        <v>9</v>
      </c>
      <c r="L1974" s="28" t="n">
        <v>95</v>
      </c>
      <c r="M1974" s="28" t="n">
        <v>2</v>
      </c>
    </row>
    <row r="1975" customFormat="false" ht="15" hidden="false" customHeight="false" outlineLevel="0" collapsed="false">
      <c r="A1975" s="27" t="n">
        <v>44869</v>
      </c>
      <c r="B1975" s="28" t="n">
        <v>2023</v>
      </c>
      <c r="C1975" s="28" t="s">
        <v>603</v>
      </c>
      <c r="D1975" s="28" t="s">
        <v>52</v>
      </c>
      <c r="E1975" s="28" t="s">
        <v>720</v>
      </c>
      <c r="F1975" s="28" t="s">
        <v>147</v>
      </c>
      <c r="G1975" s="28" t="s">
        <v>441</v>
      </c>
      <c r="H1975" s="28" t="s">
        <v>220</v>
      </c>
      <c r="I1975" s="29" t="n">
        <v>45000</v>
      </c>
      <c r="J1975" s="29" t="n">
        <v>22500</v>
      </c>
      <c r="K1975" s="28" t="n">
        <v>7.59</v>
      </c>
      <c r="L1975" s="28" t="n">
        <v>75</v>
      </c>
      <c r="M1975" s="28" t="n">
        <v>1</v>
      </c>
    </row>
    <row r="1976" customFormat="false" ht="15" hidden="false" customHeight="false" outlineLevel="0" collapsed="false">
      <c r="A1976" s="27" t="n">
        <v>44872</v>
      </c>
      <c r="B1976" s="28" t="n">
        <v>2023</v>
      </c>
      <c r="C1976" s="28" t="s">
        <v>603</v>
      </c>
      <c r="D1976" s="28" t="s">
        <v>57</v>
      </c>
      <c r="E1976" s="28" t="s">
        <v>721</v>
      </c>
      <c r="F1976" s="28" t="s">
        <v>142</v>
      </c>
      <c r="G1976" s="28" t="s">
        <v>148</v>
      </c>
      <c r="H1976" s="28" t="s">
        <v>171</v>
      </c>
      <c r="I1976" s="29" t="n">
        <v>150000</v>
      </c>
      <c r="J1976" s="29" t="n">
        <v>127500</v>
      </c>
      <c r="K1976" s="28" t="n">
        <v>10</v>
      </c>
      <c r="L1976" s="28" t="n">
        <v>153</v>
      </c>
      <c r="M1976" s="28" t="n">
        <v>10</v>
      </c>
    </row>
    <row r="1977" customFormat="false" ht="15" hidden="false" customHeight="false" outlineLevel="0" collapsed="false">
      <c r="A1977" s="27" t="n">
        <v>44873</v>
      </c>
      <c r="B1977" s="28" t="n">
        <v>2023</v>
      </c>
      <c r="C1977" s="28" t="s">
        <v>196</v>
      </c>
      <c r="D1977" s="28" t="s">
        <v>42</v>
      </c>
      <c r="E1977" s="28" t="s">
        <v>717</v>
      </c>
      <c r="F1977" s="28" t="s">
        <v>147</v>
      </c>
      <c r="G1977" s="28" t="s">
        <v>441</v>
      </c>
      <c r="H1977" s="28" t="s">
        <v>205</v>
      </c>
      <c r="I1977" s="29" t="n">
        <v>25000</v>
      </c>
      <c r="J1977" s="29" t="n">
        <v>12500</v>
      </c>
      <c r="K1977" s="28" t="n">
        <v>12.05</v>
      </c>
      <c r="L1977" s="28" t="n">
        <v>101</v>
      </c>
      <c r="M1977" s="28" t="n">
        <v>9</v>
      </c>
    </row>
    <row r="1978" customFormat="false" ht="15" hidden="false" customHeight="false" outlineLevel="0" collapsed="false">
      <c r="A1978" s="27" t="n">
        <v>44873</v>
      </c>
      <c r="B1978" s="28" t="n">
        <v>2023</v>
      </c>
      <c r="C1978" s="28" t="s">
        <v>206</v>
      </c>
      <c r="D1978" s="28" t="s">
        <v>45</v>
      </c>
      <c r="E1978" s="28" t="s">
        <v>708</v>
      </c>
      <c r="F1978" s="28" t="s">
        <v>142</v>
      </c>
      <c r="G1978" s="28" t="s">
        <v>148</v>
      </c>
      <c r="H1978" s="28" t="s">
        <v>211</v>
      </c>
      <c r="I1978" s="29" t="n">
        <v>250000</v>
      </c>
      <c r="J1978" s="29" t="n">
        <v>187500</v>
      </c>
      <c r="K1978" s="28" t="n">
        <v>9</v>
      </c>
      <c r="L1978" s="28" t="n">
        <v>120</v>
      </c>
      <c r="M1978" s="28" t="n">
        <v>4</v>
      </c>
    </row>
    <row r="1979" customFormat="false" ht="15" hidden="false" customHeight="false" outlineLevel="0" collapsed="false">
      <c r="A1979" s="27" t="n">
        <v>44873</v>
      </c>
      <c r="B1979" s="28" t="n">
        <v>2023</v>
      </c>
      <c r="C1979" s="28" t="s">
        <v>379</v>
      </c>
      <c r="D1979" s="28" t="s">
        <v>53</v>
      </c>
      <c r="E1979" s="28" t="s">
        <v>383</v>
      </c>
      <c r="F1979" s="28" t="s">
        <v>142</v>
      </c>
      <c r="G1979" s="28" t="s">
        <v>441</v>
      </c>
      <c r="H1979" s="28" t="s">
        <v>306</v>
      </c>
      <c r="I1979" s="29" t="n">
        <v>265600</v>
      </c>
      <c r="J1979" s="29" t="n">
        <v>199200</v>
      </c>
      <c r="K1979" s="28" t="n">
        <v>6.75</v>
      </c>
      <c r="L1979" s="28" t="n">
        <v>240</v>
      </c>
      <c r="M1979" s="28" t="n">
        <v>2</v>
      </c>
    </row>
    <row r="1980" customFormat="false" ht="15" hidden="false" customHeight="false" outlineLevel="0" collapsed="false">
      <c r="A1980" s="27" t="n">
        <v>44874</v>
      </c>
      <c r="B1980" s="28" t="n">
        <v>2023</v>
      </c>
      <c r="C1980" s="28" t="s">
        <v>206</v>
      </c>
      <c r="D1980" s="28" t="s">
        <v>42</v>
      </c>
      <c r="E1980" s="28" t="s">
        <v>226</v>
      </c>
      <c r="F1980" s="28" t="s">
        <v>142</v>
      </c>
      <c r="G1980" s="28" t="s">
        <v>148</v>
      </c>
      <c r="H1980" s="28" t="s">
        <v>453</v>
      </c>
      <c r="I1980" s="29" t="n">
        <v>279600</v>
      </c>
      <c r="J1980" s="29" t="n">
        <v>209700</v>
      </c>
      <c r="K1980" s="28" t="n">
        <v>8.5</v>
      </c>
      <c r="L1980" s="28" t="n">
        <v>129</v>
      </c>
      <c r="M1980" s="28" t="n">
        <v>10</v>
      </c>
    </row>
    <row r="1981" customFormat="false" ht="15" hidden="false" customHeight="false" outlineLevel="0" collapsed="false">
      <c r="A1981" s="27" t="n">
        <v>44874</v>
      </c>
      <c r="B1981" s="28" t="n">
        <v>2023</v>
      </c>
      <c r="C1981" s="28" t="s">
        <v>145</v>
      </c>
      <c r="D1981" s="28" t="s">
        <v>48</v>
      </c>
      <c r="E1981" s="28" t="s">
        <v>736</v>
      </c>
      <c r="F1981" s="28" t="s">
        <v>142</v>
      </c>
      <c r="G1981" s="28" t="s">
        <v>148</v>
      </c>
      <c r="H1981" s="28" t="s">
        <v>200</v>
      </c>
      <c r="I1981" s="29" t="n">
        <v>1700000</v>
      </c>
      <c r="J1981" s="29" t="n">
        <v>1275000</v>
      </c>
      <c r="K1981" s="28" t="n">
        <v>9.25</v>
      </c>
      <c r="L1981" s="28" t="n">
        <v>88</v>
      </c>
      <c r="M1981" s="28" t="n">
        <v>130</v>
      </c>
    </row>
    <row r="1982" customFormat="false" ht="15" hidden="false" customHeight="false" outlineLevel="0" collapsed="false">
      <c r="A1982" s="27" t="n">
        <v>44875</v>
      </c>
      <c r="B1982" s="28" t="n">
        <v>2023</v>
      </c>
      <c r="C1982" s="28" t="s">
        <v>500</v>
      </c>
      <c r="D1982" s="28" t="s">
        <v>45</v>
      </c>
      <c r="E1982" s="28" t="s">
        <v>912</v>
      </c>
      <c r="F1982" s="28" t="s">
        <v>142</v>
      </c>
      <c r="G1982" s="28" t="s">
        <v>148</v>
      </c>
      <c r="H1982" s="28" t="s">
        <v>165</v>
      </c>
      <c r="I1982" s="29" t="n">
        <v>1337000</v>
      </c>
      <c r="J1982" s="29" t="n">
        <v>1002750</v>
      </c>
      <c r="K1982" s="28" t="n">
        <v>7.75</v>
      </c>
      <c r="L1982" s="28" t="n">
        <v>120</v>
      </c>
      <c r="M1982" s="28" t="n">
        <v>25</v>
      </c>
    </row>
    <row r="1983" customFormat="false" ht="15" hidden="false" customHeight="false" outlineLevel="0" collapsed="false">
      <c r="A1983" s="27" t="n">
        <v>44875</v>
      </c>
      <c r="B1983" s="28" t="n">
        <v>2023</v>
      </c>
      <c r="C1983" s="28" t="s">
        <v>163</v>
      </c>
      <c r="D1983" s="28" t="s">
        <v>48</v>
      </c>
      <c r="E1983" s="28" t="s">
        <v>277</v>
      </c>
      <c r="F1983" s="28" t="s">
        <v>142</v>
      </c>
      <c r="G1983" s="28" t="s">
        <v>148</v>
      </c>
      <c r="H1983" s="28" t="s">
        <v>827</v>
      </c>
      <c r="I1983" s="29" t="n">
        <v>435400</v>
      </c>
      <c r="J1983" s="29" t="n">
        <v>326550</v>
      </c>
      <c r="K1983" s="28" t="n">
        <v>8.5</v>
      </c>
      <c r="L1983" s="28" t="n">
        <v>301</v>
      </c>
      <c r="M1983" s="28" t="n">
        <v>5</v>
      </c>
    </row>
    <row r="1984" customFormat="false" ht="15" hidden="false" customHeight="false" outlineLevel="0" collapsed="false">
      <c r="A1984" s="27" t="n">
        <v>44879</v>
      </c>
      <c r="B1984" s="28" t="n">
        <v>2023</v>
      </c>
      <c r="C1984" s="28" t="s">
        <v>166</v>
      </c>
      <c r="D1984" s="28" t="s">
        <v>50</v>
      </c>
      <c r="E1984" s="28" t="s">
        <v>193</v>
      </c>
      <c r="F1984" s="28" t="s">
        <v>147</v>
      </c>
      <c r="G1984" s="28" t="s">
        <v>148</v>
      </c>
      <c r="H1984" s="28" t="s">
        <v>278</v>
      </c>
      <c r="I1984" s="29" t="n">
        <v>250000</v>
      </c>
      <c r="J1984" s="29" t="n">
        <v>125000</v>
      </c>
      <c r="K1984" s="28" t="n">
        <v>7.75</v>
      </c>
      <c r="L1984" s="28" t="n">
        <v>120</v>
      </c>
      <c r="M1984" s="28" t="n">
        <v>22</v>
      </c>
    </row>
    <row r="1985" customFormat="false" ht="15" hidden="false" customHeight="false" outlineLevel="0" collapsed="false">
      <c r="A1985" s="27" t="n">
        <v>44879</v>
      </c>
      <c r="B1985" s="28" t="n">
        <v>2023</v>
      </c>
      <c r="C1985" s="28" t="s">
        <v>196</v>
      </c>
      <c r="D1985" s="28" t="s">
        <v>42</v>
      </c>
      <c r="E1985" s="28" t="s">
        <v>753</v>
      </c>
      <c r="F1985" s="28" t="s">
        <v>147</v>
      </c>
      <c r="G1985" s="28" t="s">
        <v>148</v>
      </c>
      <c r="H1985" s="28" t="s">
        <v>205</v>
      </c>
      <c r="I1985" s="29" t="n">
        <v>50000</v>
      </c>
      <c r="J1985" s="29" t="n">
        <v>25000</v>
      </c>
      <c r="K1985" s="28" t="n">
        <v>10.75</v>
      </c>
      <c r="L1985" s="28" t="n">
        <v>120</v>
      </c>
      <c r="M1985" s="28" t="n">
        <v>10</v>
      </c>
    </row>
    <row r="1986" customFormat="false" ht="15" hidden="false" customHeight="false" outlineLevel="0" collapsed="false">
      <c r="A1986" s="27" t="n">
        <v>44879</v>
      </c>
      <c r="B1986" s="28" t="n">
        <v>2023</v>
      </c>
      <c r="C1986" s="28" t="s">
        <v>172</v>
      </c>
      <c r="D1986" s="28" t="s">
        <v>42</v>
      </c>
      <c r="E1986" s="28" t="s">
        <v>784</v>
      </c>
      <c r="F1986" s="28" t="s">
        <v>142</v>
      </c>
      <c r="G1986" s="28" t="s">
        <v>143</v>
      </c>
      <c r="H1986" s="28" t="s">
        <v>592</v>
      </c>
      <c r="I1986" s="29" t="n">
        <v>200000</v>
      </c>
      <c r="J1986" s="29" t="n">
        <v>150000</v>
      </c>
      <c r="K1986" s="28" t="n">
        <v>8.25</v>
      </c>
      <c r="L1986" s="28" t="n">
        <v>120</v>
      </c>
      <c r="M1986" s="28" t="n">
        <v>7</v>
      </c>
    </row>
    <row r="1987" customFormat="false" ht="15" hidden="false" customHeight="false" outlineLevel="0" collapsed="false">
      <c r="A1987" s="27" t="n">
        <v>44879</v>
      </c>
      <c r="B1987" s="28" t="n">
        <v>2023</v>
      </c>
      <c r="C1987" s="28" t="s">
        <v>169</v>
      </c>
      <c r="D1987" s="28" t="s">
        <v>46</v>
      </c>
      <c r="E1987" s="28" t="s">
        <v>727</v>
      </c>
      <c r="F1987" s="28" t="s">
        <v>142</v>
      </c>
      <c r="G1987" s="28" t="s">
        <v>148</v>
      </c>
      <c r="H1987" s="28" t="s">
        <v>275</v>
      </c>
      <c r="I1987" s="29" t="n">
        <v>25000</v>
      </c>
      <c r="J1987" s="29" t="n">
        <v>21250</v>
      </c>
      <c r="K1987" s="28" t="n">
        <v>11</v>
      </c>
      <c r="L1987" s="28" t="n">
        <v>84</v>
      </c>
      <c r="M1987" s="28" t="n">
        <v>5</v>
      </c>
    </row>
    <row r="1988" customFormat="false" ht="15" hidden="false" customHeight="false" outlineLevel="0" collapsed="false">
      <c r="A1988" s="27" t="n">
        <v>44880</v>
      </c>
      <c r="B1988" s="28" t="n">
        <v>2023</v>
      </c>
      <c r="C1988" s="28" t="s">
        <v>560</v>
      </c>
      <c r="D1988" s="28" t="s">
        <v>48</v>
      </c>
      <c r="E1988" s="28" t="s">
        <v>844</v>
      </c>
      <c r="F1988" s="28" t="s">
        <v>142</v>
      </c>
      <c r="G1988" s="28" t="s">
        <v>148</v>
      </c>
      <c r="H1988" s="28" t="s">
        <v>171</v>
      </c>
      <c r="I1988" s="29" t="n">
        <v>150000</v>
      </c>
      <c r="J1988" s="29" t="n">
        <v>127500</v>
      </c>
      <c r="K1988" s="28" t="n">
        <v>10</v>
      </c>
      <c r="L1988" s="28" t="n">
        <v>110</v>
      </c>
      <c r="M1988" s="28" t="n">
        <v>5</v>
      </c>
    </row>
    <row r="1989" customFormat="false" ht="15" hidden="false" customHeight="false" outlineLevel="0" collapsed="false">
      <c r="A1989" s="27" t="n">
        <v>44880</v>
      </c>
      <c r="B1989" s="28" t="n">
        <v>2023</v>
      </c>
      <c r="C1989" s="28" t="s">
        <v>460</v>
      </c>
      <c r="D1989" s="28" t="s">
        <v>47</v>
      </c>
      <c r="E1989" s="28" t="s">
        <v>913</v>
      </c>
      <c r="F1989" s="28" t="s">
        <v>142</v>
      </c>
      <c r="G1989" s="28" t="s">
        <v>148</v>
      </c>
      <c r="H1989" s="28" t="s">
        <v>523</v>
      </c>
      <c r="I1989" s="29" t="n">
        <v>2933500</v>
      </c>
      <c r="J1989" s="29" t="n">
        <v>2200125</v>
      </c>
      <c r="K1989" s="28" t="n">
        <v>9</v>
      </c>
      <c r="L1989" s="28" t="n">
        <v>300</v>
      </c>
      <c r="M1989" s="28" t="n">
        <v>23</v>
      </c>
    </row>
    <row r="1990" customFormat="false" ht="15" hidden="false" customHeight="false" outlineLevel="0" collapsed="false">
      <c r="A1990" s="27" t="n">
        <v>44882</v>
      </c>
      <c r="B1990" s="28" t="n">
        <v>2023</v>
      </c>
      <c r="C1990" s="28" t="s">
        <v>300</v>
      </c>
      <c r="D1990" s="28" t="s">
        <v>48</v>
      </c>
      <c r="E1990" s="28" t="s">
        <v>210</v>
      </c>
      <c r="F1990" s="28" t="s">
        <v>142</v>
      </c>
      <c r="G1990" s="28" t="s">
        <v>148</v>
      </c>
      <c r="H1990" s="28" t="s">
        <v>208</v>
      </c>
      <c r="I1990" s="29" t="n">
        <v>350000</v>
      </c>
      <c r="J1990" s="29" t="n">
        <v>262500</v>
      </c>
      <c r="K1990" s="28" t="n">
        <v>9</v>
      </c>
      <c r="L1990" s="28" t="n">
        <v>120</v>
      </c>
      <c r="M1990" s="28" t="n">
        <v>1</v>
      </c>
    </row>
    <row r="1991" customFormat="false" ht="15" hidden="false" customHeight="false" outlineLevel="0" collapsed="false">
      <c r="A1991" s="27" t="n">
        <v>44882</v>
      </c>
      <c r="B1991" s="28" t="n">
        <v>2023</v>
      </c>
      <c r="C1991" s="28" t="s">
        <v>166</v>
      </c>
      <c r="D1991" s="28" t="s">
        <v>52</v>
      </c>
      <c r="E1991" s="28" t="s">
        <v>715</v>
      </c>
      <c r="F1991" s="28" t="s">
        <v>147</v>
      </c>
      <c r="G1991" s="28" t="s">
        <v>441</v>
      </c>
      <c r="H1991" s="28" t="s">
        <v>205</v>
      </c>
      <c r="I1991" s="29" t="n">
        <v>30000</v>
      </c>
      <c r="J1991" s="29" t="n">
        <v>15000</v>
      </c>
      <c r="K1991" s="28" t="n">
        <v>12.8</v>
      </c>
      <c r="L1991" s="28" t="n">
        <v>120</v>
      </c>
      <c r="M1991" s="28" t="n">
        <v>1</v>
      </c>
    </row>
    <row r="1992" customFormat="false" ht="15" hidden="false" customHeight="false" outlineLevel="0" collapsed="false">
      <c r="A1992" s="27" t="n">
        <v>44883</v>
      </c>
      <c r="B1992" s="28" t="n">
        <v>2023</v>
      </c>
      <c r="C1992" s="28" t="s">
        <v>353</v>
      </c>
      <c r="D1992" s="28" t="s">
        <v>42</v>
      </c>
      <c r="E1992" s="28" t="s">
        <v>226</v>
      </c>
      <c r="F1992" s="28" t="s">
        <v>142</v>
      </c>
      <c r="G1992" s="28" t="s">
        <v>148</v>
      </c>
      <c r="H1992" s="28" t="s">
        <v>211</v>
      </c>
      <c r="I1992" s="29" t="n">
        <v>200000</v>
      </c>
      <c r="J1992" s="29" t="n">
        <v>150000</v>
      </c>
      <c r="K1992" s="28" t="n">
        <v>9</v>
      </c>
      <c r="L1992" s="28" t="n">
        <v>120</v>
      </c>
      <c r="M1992" s="28" t="n">
        <v>6</v>
      </c>
    </row>
    <row r="1993" customFormat="false" ht="15" hidden="false" customHeight="false" outlineLevel="0" collapsed="false">
      <c r="A1993" s="27" t="n">
        <v>44883</v>
      </c>
      <c r="B1993" s="28" t="n">
        <v>2023</v>
      </c>
      <c r="C1993" s="28" t="s">
        <v>272</v>
      </c>
      <c r="D1993" s="28" t="s">
        <v>56</v>
      </c>
      <c r="E1993" s="28" t="s">
        <v>207</v>
      </c>
      <c r="F1993" s="28" t="s">
        <v>142</v>
      </c>
      <c r="G1993" s="28" t="s">
        <v>148</v>
      </c>
      <c r="H1993" s="28" t="s">
        <v>229</v>
      </c>
      <c r="I1993" s="29" t="n">
        <v>250000</v>
      </c>
      <c r="J1993" s="29" t="n">
        <v>187500</v>
      </c>
      <c r="K1993" s="28" t="n">
        <v>9</v>
      </c>
      <c r="L1993" s="28" t="n">
        <v>120</v>
      </c>
      <c r="M1993" s="28" t="n">
        <v>28</v>
      </c>
    </row>
    <row r="1994" customFormat="false" ht="15" hidden="false" customHeight="false" outlineLevel="0" collapsed="false">
      <c r="A1994" s="27" t="n">
        <v>44883</v>
      </c>
      <c r="B1994" s="28" t="n">
        <v>2023</v>
      </c>
      <c r="C1994" s="28" t="s">
        <v>292</v>
      </c>
      <c r="D1994" s="28" t="s">
        <v>48</v>
      </c>
      <c r="E1994" s="28" t="s">
        <v>905</v>
      </c>
      <c r="F1994" s="28" t="s">
        <v>142</v>
      </c>
      <c r="G1994" s="28" t="s">
        <v>148</v>
      </c>
      <c r="H1994" s="28" t="s">
        <v>211</v>
      </c>
      <c r="I1994" s="29" t="n">
        <v>350000</v>
      </c>
      <c r="J1994" s="29" t="n">
        <v>262500</v>
      </c>
      <c r="K1994" s="28" t="n">
        <v>9</v>
      </c>
      <c r="L1994" s="28" t="n">
        <v>180</v>
      </c>
      <c r="M1994" s="28" t="n">
        <v>5</v>
      </c>
    </row>
    <row r="1995" customFormat="false" ht="15" hidden="false" customHeight="false" outlineLevel="0" collapsed="false">
      <c r="A1995" s="27" t="n">
        <v>44883</v>
      </c>
      <c r="B1995" s="28" t="n">
        <v>2023</v>
      </c>
      <c r="C1995" s="28" t="s">
        <v>421</v>
      </c>
      <c r="D1995" s="28" t="s">
        <v>43</v>
      </c>
      <c r="E1995" s="28" t="s">
        <v>914</v>
      </c>
      <c r="F1995" s="28" t="s">
        <v>142</v>
      </c>
      <c r="G1995" s="28" t="s">
        <v>143</v>
      </c>
      <c r="H1995" s="28" t="s">
        <v>404</v>
      </c>
      <c r="I1995" s="29" t="n">
        <v>2418000</v>
      </c>
      <c r="J1995" s="29" t="n">
        <v>1813500</v>
      </c>
      <c r="K1995" s="28" t="n">
        <v>6.75</v>
      </c>
      <c r="L1995" s="28" t="n">
        <v>300</v>
      </c>
      <c r="M1995" s="28" t="n">
        <v>19</v>
      </c>
    </row>
    <row r="1996" customFormat="false" ht="15" hidden="false" customHeight="false" outlineLevel="0" collapsed="false">
      <c r="A1996" s="27" t="n">
        <v>44883</v>
      </c>
      <c r="B1996" s="28" t="n">
        <v>2023</v>
      </c>
      <c r="C1996" s="28" t="s">
        <v>235</v>
      </c>
      <c r="D1996" s="28" t="s">
        <v>52</v>
      </c>
      <c r="E1996" s="28" t="s">
        <v>915</v>
      </c>
      <c r="F1996" s="28" t="s">
        <v>147</v>
      </c>
      <c r="G1996" s="28" t="s">
        <v>441</v>
      </c>
      <c r="H1996" s="28" t="s">
        <v>168</v>
      </c>
      <c r="I1996" s="29" t="n">
        <v>50000</v>
      </c>
      <c r="J1996" s="29" t="n">
        <v>25000</v>
      </c>
      <c r="K1996" s="28" t="n">
        <v>10.75</v>
      </c>
      <c r="L1996" s="28" t="n">
        <v>120</v>
      </c>
      <c r="M1996" s="28" t="n">
        <v>0</v>
      </c>
    </row>
    <row r="1997" customFormat="false" ht="15" hidden="false" customHeight="false" outlineLevel="0" collapsed="false">
      <c r="A1997" s="27" t="n">
        <v>44885</v>
      </c>
      <c r="B1997" s="28" t="n">
        <v>2023</v>
      </c>
      <c r="C1997" s="28" t="s">
        <v>206</v>
      </c>
      <c r="D1997" s="28" t="s">
        <v>42</v>
      </c>
      <c r="E1997" s="28" t="s">
        <v>717</v>
      </c>
      <c r="F1997" s="28" t="s">
        <v>142</v>
      </c>
      <c r="G1997" s="28" t="s">
        <v>148</v>
      </c>
      <c r="H1997" s="28" t="s">
        <v>162</v>
      </c>
      <c r="I1997" s="29" t="n">
        <v>639400</v>
      </c>
      <c r="J1997" s="29" t="n">
        <v>479550</v>
      </c>
      <c r="K1997" s="28" t="n">
        <v>7.75</v>
      </c>
      <c r="L1997" s="28" t="n">
        <v>120</v>
      </c>
      <c r="M1997" s="28" t="n">
        <v>72</v>
      </c>
    </row>
    <row r="1998" customFormat="false" ht="15" hidden="false" customHeight="false" outlineLevel="0" collapsed="false">
      <c r="A1998" s="27" t="n">
        <v>44886</v>
      </c>
      <c r="B1998" s="28" t="n">
        <v>2023</v>
      </c>
      <c r="C1998" s="28" t="s">
        <v>418</v>
      </c>
      <c r="D1998" s="28" t="s">
        <v>43</v>
      </c>
      <c r="E1998" s="28" t="s">
        <v>916</v>
      </c>
      <c r="F1998" s="28" t="s">
        <v>142</v>
      </c>
      <c r="G1998" s="28" t="s">
        <v>441</v>
      </c>
      <c r="H1998" s="28" t="s">
        <v>306</v>
      </c>
      <c r="I1998" s="29" t="n">
        <v>721600</v>
      </c>
      <c r="J1998" s="29" t="n">
        <v>541200</v>
      </c>
      <c r="K1998" s="28" t="n">
        <v>8</v>
      </c>
      <c r="L1998" s="28" t="n">
        <v>240</v>
      </c>
      <c r="M1998" s="28" t="n">
        <v>27</v>
      </c>
    </row>
    <row r="1999" customFormat="false" ht="15" hidden="false" customHeight="false" outlineLevel="0" collapsed="false">
      <c r="A1999" s="27" t="n">
        <v>44887</v>
      </c>
      <c r="B1999" s="28" t="n">
        <v>2023</v>
      </c>
      <c r="C1999" s="28" t="s">
        <v>163</v>
      </c>
      <c r="D1999" s="28" t="s">
        <v>48</v>
      </c>
      <c r="E1999" s="28" t="s">
        <v>210</v>
      </c>
      <c r="F1999" s="28" t="s">
        <v>142</v>
      </c>
      <c r="G1999" s="28" t="s">
        <v>148</v>
      </c>
      <c r="H1999" s="28" t="s">
        <v>171</v>
      </c>
      <c r="I1999" s="29" t="n">
        <v>350000</v>
      </c>
      <c r="J1999" s="29" t="n">
        <v>262500</v>
      </c>
      <c r="K1999" s="28" t="n">
        <v>9</v>
      </c>
      <c r="L1999" s="28" t="n">
        <v>120</v>
      </c>
      <c r="M1999" s="28" t="n">
        <v>6</v>
      </c>
    </row>
    <row r="2000" customFormat="false" ht="15" hidden="false" customHeight="false" outlineLevel="0" collapsed="false">
      <c r="A2000" s="27" t="n">
        <v>44887</v>
      </c>
      <c r="B2000" s="28" t="n">
        <v>2023</v>
      </c>
      <c r="C2000" s="28" t="s">
        <v>163</v>
      </c>
      <c r="D2000" s="28" t="s">
        <v>48</v>
      </c>
      <c r="E2000" s="28" t="s">
        <v>210</v>
      </c>
      <c r="F2000" s="28" t="s">
        <v>142</v>
      </c>
      <c r="G2000" s="28" t="s">
        <v>148</v>
      </c>
      <c r="H2000" s="28" t="s">
        <v>208</v>
      </c>
      <c r="I2000" s="29" t="n">
        <v>225000</v>
      </c>
      <c r="J2000" s="29" t="n">
        <v>168750</v>
      </c>
      <c r="K2000" s="28" t="n">
        <v>9</v>
      </c>
      <c r="L2000" s="28" t="n">
        <v>120</v>
      </c>
      <c r="M2000" s="28" t="n">
        <v>2</v>
      </c>
    </row>
    <row r="2001" customFormat="false" ht="15" hidden="false" customHeight="false" outlineLevel="0" collapsed="false">
      <c r="A2001" s="27" t="n">
        <v>44887</v>
      </c>
      <c r="B2001" s="28" t="n">
        <v>2023</v>
      </c>
      <c r="C2001" s="28" t="s">
        <v>166</v>
      </c>
      <c r="D2001" s="28" t="s">
        <v>46</v>
      </c>
      <c r="E2001" s="28" t="s">
        <v>741</v>
      </c>
      <c r="F2001" s="28" t="s">
        <v>194</v>
      </c>
      <c r="G2001" s="28" t="s">
        <v>152</v>
      </c>
      <c r="H2001" s="28" t="s">
        <v>149</v>
      </c>
      <c r="I2001" s="29" t="n">
        <v>4115000</v>
      </c>
      <c r="J2001" s="29" t="n">
        <v>3086250</v>
      </c>
      <c r="K2001" s="28" t="n">
        <v>7.25</v>
      </c>
      <c r="L2001" s="28" t="n">
        <v>300</v>
      </c>
      <c r="M2001" s="28" t="n">
        <v>13</v>
      </c>
    </row>
    <row r="2002" customFormat="false" ht="15" hidden="false" customHeight="false" outlineLevel="0" collapsed="false">
      <c r="A2002" s="27" t="n">
        <v>44888</v>
      </c>
      <c r="B2002" s="28" t="n">
        <v>2023</v>
      </c>
      <c r="C2002" s="28" t="s">
        <v>196</v>
      </c>
      <c r="D2002" s="28" t="s">
        <v>48</v>
      </c>
      <c r="E2002" s="28" t="s">
        <v>362</v>
      </c>
      <c r="F2002" s="28" t="s">
        <v>142</v>
      </c>
      <c r="G2002" s="28" t="s">
        <v>148</v>
      </c>
      <c r="H2002" s="28" t="s">
        <v>200</v>
      </c>
      <c r="I2002" s="29" t="n">
        <v>150000</v>
      </c>
      <c r="J2002" s="29" t="n">
        <v>127500</v>
      </c>
      <c r="K2002" s="28" t="n">
        <v>9.25</v>
      </c>
      <c r="L2002" s="28" t="n">
        <v>120</v>
      </c>
      <c r="M2002" s="28" t="n">
        <v>12</v>
      </c>
    </row>
    <row r="2003" customFormat="false" ht="15" hidden="false" customHeight="false" outlineLevel="0" collapsed="false">
      <c r="A2003" s="27" t="n">
        <v>44888</v>
      </c>
      <c r="B2003" s="28" t="n">
        <v>2023</v>
      </c>
      <c r="C2003" s="28" t="s">
        <v>169</v>
      </c>
      <c r="D2003" s="28" t="s">
        <v>44</v>
      </c>
      <c r="E2003" s="28" t="s">
        <v>167</v>
      </c>
      <c r="F2003" s="28" t="s">
        <v>142</v>
      </c>
      <c r="G2003" s="28" t="s">
        <v>441</v>
      </c>
      <c r="H2003" s="28" t="s">
        <v>494</v>
      </c>
      <c r="I2003" s="29" t="n">
        <v>566000</v>
      </c>
      <c r="J2003" s="29" t="n">
        <v>424500</v>
      </c>
      <c r="K2003" s="28" t="n">
        <v>9</v>
      </c>
      <c r="L2003" s="28" t="n">
        <v>120</v>
      </c>
      <c r="M2003" s="28" t="n">
        <v>40</v>
      </c>
    </row>
    <row r="2004" customFormat="false" ht="15" hidden="false" customHeight="false" outlineLevel="0" collapsed="false">
      <c r="A2004" s="27" t="n">
        <v>44888</v>
      </c>
      <c r="B2004" s="28" t="n">
        <v>2023</v>
      </c>
      <c r="C2004" s="28" t="s">
        <v>332</v>
      </c>
      <c r="D2004" s="28" t="s">
        <v>52</v>
      </c>
      <c r="E2004" s="28" t="s">
        <v>720</v>
      </c>
      <c r="F2004" s="28" t="s">
        <v>142</v>
      </c>
      <c r="G2004" s="28" t="s">
        <v>148</v>
      </c>
      <c r="H2004" s="28" t="s">
        <v>171</v>
      </c>
      <c r="I2004" s="29" t="n">
        <v>117000</v>
      </c>
      <c r="J2004" s="29" t="n">
        <v>99450</v>
      </c>
      <c r="K2004" s="28" t="n">
        <v>10</v>
      </c>
      <c r="L2004" s="28" t="n">
        <v>89</v>
      </c>
      <c r="M2004" s="28" t="n">
        <v>12</v>
      </c>
    </row>
    <row r="2005" customFormat="false" ht="15" hidden="false" customHeight="false" outlineLevel="0" collapsed="false">
      <c r="A2005" s="27" t="n">
        <v>44890</v>
      </c>
      <c r="B2005" s="28" t="n">
        <v>2023</v>
      </c>
      <c r="C2005" s="28" t="s">
        <v>145</v>
      </c>
      <c r="D2005" s="28" t="s">
        <v>48</v>
      </c>
      <c r="E2005" s="28" t="s">
        <v>342</v>
      </c>
      <c r="F2005" s="28" t="s">
        <v>147</v>
      </c>
      <c r="G2005" s="28" t="s">
        <v>148</v>
      </c>
      <c r="H2005" s="28" t="s">
        <v>162</v>
      </c>
      <c r="I2005" s="29" t="n">
        <v>350000</v>
      </c>
      <c r="J2005" s="29" t="n">
        <v>175000</v>
      </c>
      <c r="K2005" s="28" t="n">
        <v>11.2</v>
      </c>
      <c r="L2005" s="28" t="n">
        <v>120</v>
      </c>
      <c r="M2005" s="28" t="n">
        <v>10</v>
      </c>
    </row>
    <row r="2006" customFormat="false" ht="15" hidden="false" customHeight="false" outlineLevel="0" collapsed="false">
      <c r="A2006" s="27" t="n">
        <v>44893</v>
      </c>
      <c r="B2006" s="28" t="n">
        <v>2023</v>
      </c>
      <c r="C2006" s="28" t="s">
        <v>206</v>
      </c>
      <c r="D2006" s="28" t="s">
        <v>46</v>
      </c>
      <c r="E2006" s="28" t="s">
        <v>702</v>
      </c>
      <c r="F2006" s="28" t="s">
        <v>142</v>
      </c>
      <c r="G2006" s="28" t="s">
        <v>441</v>
      </c>
      <c r="H2006" s="28" t="s">
        <v>168</v>
      </c>
      <c r="I2006" s="29" t="n">
        <v>900000</v>
      </c>
      <c r="J2006" s="29" t="n">
        <v>675000</v>
      </c>
      <c r="K2006" s="28" t="n">
        <v>8.62</v>
      </c>
      <c r="L2006" s="28" t="n">
        <v>120</v>
      </c>
      <c r="M2006" s="28" t="n">
        <v>25</v>
      </c>
    </row>
    <row r="2007" customFormat="false" ht="15" hidden="false" customHeight="false" outlineLevel="0" collapsed="false">
      <c r="A2007" s="27" t="n">
        <v>44894</v>
      </c>
      <c r="B2007" s="28" t="n">
        <v>2023</v>
      </c>
      <c r="C2007" s="28" t="s">
        <v>198</v>
      </c>
      <c r="D2007" s="28" t="s">
        <v>51</v>
      </c>
      <c r="E2007" s="28" t="s">
        <v>779</v>
      </c>
      <c r="F2007" s="28" t="s">
        <v>142</v>
      </c>
      <c r="G2007" s="28" t="s">
        <v>148</v>
      </c>
      <c r="H2007" s="28" t="s">
        <v>463</v>
      </c>
      <c r="I2007" s="29" t="n">
        <v>393000</v>
      </c>
      <c r="J2007" s="29" t="n">
        <v>294750</v>
      </c>
      <c r="K2007" s="28" t="n">
        <v>9</v>
      </c>
      <c r="L2007" s="28" t="n">
        <v>300</v>
      </c>
      <c r="M2007" s="28" t="n">
        <v>1</v>
      </c>
    </row>
    <row r="2008" customFormat="false" ht="15" hidden="false" customHeight="false" outlineLevel="0" collapsed="false">
      <c r="A2008" s="27" t="n">
        <v>44894</v>
      </c>
      <c r="B2008" s="28" t="n">
        <v>2023</v>
      </c>
      <c r="C2008" s="28" t="s">
        <v>249</v>
      </c>
      <c r="D2008" s="28" t="s">
        <v>42</v>
      </c>
      <c r="E2008" s="28" t="s">
        <v>176</v>
      </c>
      <c r="F2008" s="28" t="s">
        <v>147</v>
      </c>
      <c r="G2008" s="28" t="s">
        <v>441</v>
      </c>
      <c r="H2008" s="28" t="s">
        <v>391</v>
      </c>
      <c r="I2008" s="29" t="n">
        <v>40000</v>
      </c>
      <c r="J2008" s="29" t="n">
        <v>20000</v>
      </c>
      <c r="K2008" s="28" t="n">
        <v>8</v>
      </c>
      <c r="L2008" s="28" t="n">
        <v>60</v>
      </c>
      <c r="M2008" s="28" t="n">
        <v>2</v>
      </c>
    </row>
    <row r="2009" customFormat="false" ht="15" hidden="false" customHeight="false" outlineLevel="0" collapsed="false">
      <c r="A2009" s="27" t="n">
        <v>44894</v>
      </c>
      <c r="B2009" s="28" t="n">
        <v>2023</v>
      </c>
      <c r="C2009" s="28" t="s">
        <v>560</v>
      </c>
      <c r="D2009" s="28" t="s">
        <v>43</v>
      </c>
      <c r="E2009" s="28" t="s">
        <v>732</v>
      </c>
      <c r="F2009" s="28" t="s">
        <v>142</v>
      </c>
      <c r="G2009" s="28" t="s">
        <v>148</v>
      </c>
      <c r="H2009" s="28" t="s">
        <v>200</v>
      </c>
      <c r="I2009" s="29" t="n">
        <v>75000</v>
      </c>
      <c r="J2009" s="29" t="n">
        <v>63750</v>
      </c>
      <c r="K2009" s="28" t="n">
        <v>9.25</v>
      </c>
      <c r="L2009" s="28" t="n">
        <v>88</v>
      </c>
      <c r="M2009" s="28" t="n">
        <v>0</v>
      </c>
    </row>
    <row r="2010" customFormat="false" ht="15" hidden="false" customHeight="false" outlineLevel="0" collapsed="false">
      <c r="A2010" s="27" t="n">
        <v>44895</v>
      </c>
      <c r="B2010" s="28" t="n">
        <v>2023</v>
      </c>
      <c r="C2010" s="28" t="s">
        <v>172</v>
      </c>
      <c r="D2010" s="28" t="s">
        <v>44</v>
      </c>
      <c r="E2010" s="28" t="s">
        <v>167</v>
      </c>
      <c r="F2010" s="28" t="s">
        <v>142</v>
      </c>
      <c r="G2010" s="28" t="s">
        <v>148</v>
      </c>
      <c r="H2010" s="28" t="s">
        <v>171</v>
      </c>
      <c r="I2010" s="29" t="n">
        <v>150000</v>
      </c>
      <c r="J2010" s="29" t="n">
        <v>127500</v>
      </c>
      <c r="K2010" s="28" t="n">
        <v>10</v>
      </c>
      <c r="L2010" s="28" t="n">
        <v>120</v>
      </c>
      <c r="M2010" s="28" t="n">
        <v>15</v>
      </c>
    </row>
    <row r="2011" customFormat="false" ht="15" hidden="false" customHeight="false" outlineLevel="0" collapsed="false">
      <c r="A2011" s="27" t="n">
        <v>44895</v>
      </c>
      <c r="B2011" s="28" t="n">
        <v>2023</v>
      </c>
      <c r="C2011" s="28" t="s">
        <v>172</v>
      </c>
      <c r="D2011" s="28" t="s">
        <v>43</v>
      </c>
      <c r="E2011" s="28" t="s">
        <v>588</v>
      </c>
      <c r="F2011" s="28" t="s">
        <v>142</v>
      </c>
      <c r="G2011" s="28" t="s">
        <v>148</v>
      </c>
      <c r="H2011" s="28" t="s">
        <v>376</v>
      </c>
      <c r="I2011" s="29" t="n">
        <v>300000</v>
      </c>
      <c r="J2011" s="29" t="n">
        <v>225000</v>
      </c>
      <c r="K2011" s="28" t="n">
        <v>9</v>
      </c>
      <c r="L2011" s="28" t="n">
        <v>126</v>
      </c>
      <c r="M2011" s="28" t="n">
        <v>16</v>
      </c>
    </row>
    <row r="2012" customFormat="false" ht="15" hidden="false" customHeight="false" outlineLevel="0" collapsed="false">
      <c r="A2012" s="27" t="n">
        <v>44895</v>
      </c>
      <c r="B2012" s="28" t="n">
        <v>2023</v>
      </c>
      <c r="C2012" s="28" t="s">
        <v>316</v>
      </c>
      <c r="D2012" s="28" t="s">
        <v>45</v>
      </c>
      <c r="E2012" s="28" t="s">
        <v>222</v>
      </c>
      <c r="F2012" s="28" t="s">
        <v>194</v>
      </c>
      <c r="G2012" s="28" t="s">
        <v>148</v>
      </c>
      <c r="H2012" s="28" t="s">
        <v>195</v>
      </c>
      <c r="I2012" s="29" t="n">
        <v>230000</v>
      </c>
      <c r="J2012" s="29" t="n">
        <v>172500</v>
      </c>
      <c r="K2012" s="28" t="n">
        <v>5.25</v>
      </c>
      <c r="L2012" s="28" t="n">
        <v>300</v>
      </c>
      <c r="M2012" s="28" t="n">
        <v>2</v>
      </c>
    </row>
    <row r="2013" customFormat="false" ht="15" hidden="false" customHeight="false" outlineLevel="0" collapsed="false">
      <c r="A2013" s="27" t="n">
        <v>44896</v>
      </c>
      <c r="B2013" s="28" t="n">
        <v>2023</v>
      </c>
      <c r="C2013" s="28" t="s">
        <v>166</v>
      </c>
      <c r="D2013" s="28" t="s">
        <v>47</v>
      </c>
      <c r="E2013" s="28" t="s">
        <v>849</v>
      </c>
      <c r="F2013" s="28" t="s">
        <v>147</v>
      </c>
      <c r="G2013" s="28" t="s">
        <v>148</v>
      </c>
      <c r="H2013" s="28" t="s">
        <v>159</v>
      </c>
      <c r="I2013" s="29" t="n">
        <v>5000</v>
      </c>
      <c r="J2013" s="29" t="n">
        <v>2500</v>
      </c>
      <c r="K2013" s="28" t="n">
        <v>13.5</v>
      </c>
      <c r="L2013" s="28" t="n">
        <v>26</v>
      </c>
      <c r="M2013" s="28" t="n">
        <v>2</v>
      </c>
    </row>
    <row r="2014" customFormat="false" ht="15" hidden="false" customHeight="false" outlineLevel="0" collapsed="false">
      <c r="A2014" s="27" t="n">
        <v>44896</v>
      </c>
      <c r="B2014" s="28" t="n">
        <v>2023</v>
      </c>
      <c r="C2014" s="28" t="s">
        <v>636</v>
      </c>
      <c r="D2014" s="28" t="s">
        <v>52</v>
      </c>
      <c r="E2014" s="28" t="s">
        <v>701</v>
      </c>
      <c r="F2014" s="28" t="s">
        <v>147</v>
      </c>
      <c r="G2014" s="28" t="s">
        <v>441</v>
      </c>
      <c r="H2014" s="28" t="s">
        <v>168</v>
      </c>
      <c r="I2014" s="29" t="n">
        <v>25000</v>
      </c>
      <c r="J2014" s="29" t="n">
        <v>12500</v>
      </c>
      <c r="K2014" s="28" t="n">
        <v>12.25</v>
      </c>
      <c r="L2014" s="28" t="n">
        <v>120</v>
      </c>
      <c r="M2014" s="28" t="n">
        <v>3</v>
      </c>
    </row>
    <row r="2015" customFormat="false" ht="15" hidden="false" customHeight="false" outlineLevel="0" collapsed="false">
      <c r="A2015" s="27" t="n">
        <v>44897</v>
      </c>
      <c r="B2015" s="28" t="n">
        <v>2023</v>
      </c>
      <c r="C2015" s="28" t="s">
        <v>172</v>
      </c>
      <c r="D2015" s="28" t="s">
        <v>48</v>
      </c>
      <c r="E2015" s="28" t="s">
        <v>736</v>
      </c>
      <c r="F2015" s="28" t="s">
        <v>147</v>
      </c>
      <c r="G2015" s="28" t="s">
        <v>148</v>
      </c>
      <c r="H2015" s="28" t="s">
        <v>159</v>
      </c>
      <c r="I2015" s="29" t="n">
        <v>150000</v>
      </c>
      <c r="J2015" s="29" t="n">
        <v>75000</v>
      </c>
      <c r="K2015" s="28" t="n">
        <v>7.25</v>
      </c>
      <c r="L2015" s="28" t="n">
        <v>120</v>
      </c>
      <c r="M2015" s="28" t="n">
        <v>0</v>
      </c>
    </row>
    <row r="2016" customFormat="false" ht="15" hidden="false" customHeight="false" outlineLevel="0" collapsed="false">
      <c r="A2016" s="27" t="n">
        <v>44897</v>
      </c>
      <c r="B2016" s="28" t="n">
        <v>2023</v>
      </c>
      <c r="C2016" s="28" t="s">
        <v>163</v>
      </c>
      <c r="D2016" s="28" t="s">
        <v>46</v>
      </c>
      <c r="E2016" s="28" t="s">
        <v>702</v>
      </c>
      <c r="F2016" s="28" t="s">
        <v>142</v>
      </c>
      <c r="G2016" s="28" t="s">
        <v>148</v>
      </c>
      <c r="H2016" s="28" t="s">
        <v>486</v>
      </c>
      <c r="I2016" s="29" t="n">
        <v>2621000</v>
      </c>
      <c r="J2016" s="29" t="n">
        <v>1965750</v>
      </c>
      <c r="K2016" s="28" t="n">
        <v>7.6</v>
      </c>
      <c r="L2016" s="28" t="n">
        <v>300</v>
      </c>
      <c r="M2016" s="28" t="n">
        <v>55</v>
      </c>
    </row>
    <row r="2017" customFormat="false" ht="15" hidden="false" customHeight="false" outlineLevel="0" collapsed="false">
      <c r="A2017" s="27" t="n">
        <v>44897</v>
      </c>
      <c r="B2017" s="28" t="n">
        <v>2023</v>
      </c>
      <c r="C2017" s="28" t="s">
        <v>160</v>
      </c>
      <c r="D2017" s="28" t="s">
        <v>52</v>
      </c>
      <c r="E2017" s="28" t="s">
        <v>715</v>
      </c>
      <c r="F2017" s="28" t="s">
        <v>147</v>
      </c>
      <c r="G2017" s="28" t="s">
        <v>441</v>
      </c>
      <c r="H2017" s="28" t="s">
        <v>168</v>
      </c>
      <c r="I2017" s="29" t="n">
        <v>25000</v>
      </c>
      <c r="J2017" s="29" t="n">
        <v>12500</v>
      </c>
      <c r="K2017" s="28" t="n">
        <v>10.75</v>
      </c>
      <c r="L2017" s="28" t="n">
        <v>120</v>
      </c>
      <c r="M2017" s="28" t="n">
        <v>0</v>
      </c>
    </row>
    <row r="2018" customFormat="false" ht="15" hidden="false" customHeight="false" outlineLevel="0" collapsed="false">
      <c r="A2018" s="27" t="n">
        <v>44897</v>
      </c>
      <c r="B2018" s="28" t="n">
        <v>2023</v>
      </c>
      <c r="C2018" s="28" t="s">
        <v>166</v>
      </c>
      <c r="D2018" s="28" t="s">
        <v>47</v>
      </c>
      <c r="E2018" s="28" t="s">
        <v>917</v>
      </c>
      <c r="F2018" s="28" t="s">
        <v>147</v>
      </c>
      <c r="G2018" s="28" t="s">
        <v>441</v>
      </c>
      <c r="H2018" s="28" t="s">
        <v>191</v>
      </c>
      <c r="I2018" s="29" t="n">
        <v>20000</v>
      </c>
      <c r="J2018" s="29" t="n">
        <v>10000</v>
      </c>
      <c r="K2018" s="28" t="n">
        <v>12.4</v>
      </c>
      <c r="L2018" s="28" t="n">
        <v>75</v>
      </c>
      <c r="M2018" s="28" t="n">
        <v>0</v>
      </c>
    </row>
    <row r="2019" customFormat="false" ht="15" hidden="false" customHeight="false" outlineLevel="0" collapsed="false">
      <c r="A2019" s="27" t="n">
        <v>44897</v>
      </c>
      <c r="B2019" s="28" t="n">
        <v>2023</v>
      </c>
      <c r="C2019" s="28" t="s">
        <v>172</v>
      </c>
      <c r="D2019" s="28" t="s">
        <v>48</v>
      </c>
      <c r="E2019" s="28" t="s">
        <v>736</v>
      </c>
      <c r="F2019" s="28" t="s">
        <v>147</v>
      </c>
      <c r="G2019" s="28" t="s">
        <v>148</v>
      </c>
      <c r="H2019" s="28" t="s">
        <v>159</v>
      </c>
      <c r="I2019" s="29" t="n">
        <v>60000</v>
      </c>
      <c r="J2019" s="29" t="n">
        <v>30000</v>
      </c>
      <c r="K2019" s="28" t="n">
        <v>8.25</v>
      </c>
      <c r="L2019" s="28" t="n">
        <v>84</v>
      </c>
      <c r="M2019" s="28" t="n">
        <v>0</v>
      </c>
    </row>
    <row r="2020" customFormat="false" ht="15" hidden="false" customHeight="false" outlineLevel="0" collapsed="false">
      <c r="A2020" s="27" t="n">
        <v>44897</v>
      </c>
      <c r="B2020" s="28" t="n">
        <v>2023</v>
      </c>
      <c r="C2020" s="28" t="s">
        <v>344</v>
      </c>
      <c r="D2020" s="28" t="s">
        <v>44</v>
      </c>
      <c r="E2020" s="28" t="s">
        <v>730</v>
      </c>
      <c r="F2020" s="28" t="s">
        <v>142</v>
      </c>
      <c r="G2020" s="28" t="s">
        <v>148</v>
      </c>
      <c r="H2020" s="28" t="s">
        <v>291</v>
      </c>
      <c r="I2020" s="29" t="n">
        <v>3738000</v>
      </c>
      <c r="J2020" s="29" t="n">
        <v>2803500</v>
      </c>
      <c r="K2020" s="28" t="n">
        <v>8.5</v>
      </c>
      <c r="L2020" s="28" t="n">
        <v>300</v>
      </c>
      <c r="M2020" s="28" t="n">
        <v>36</v>
      </c>
    </row>
    <row r="2021" customFormat="false" ht="15" hidden="false" customHeight="false" outlineLevel="0" collapsed="false">
      <c r="A2021" s="27" t="n">
        <v>44898</v>
      </c>
      <c r="B2021" s="28" t="n">
        <v>2023</v>
      </c>
      <c r="C2021" s="28" t="s">
        <v>558</v>
      </c>
      <c r="D2021" s="28" t="s">
        <v>48</v>
      </c>
      <c r="E2021" s="28" t="s">
        <v>704</v>
      </c>
      <c r="F2021" s="28" t="s">
        <v>147</v>
      </c>
      <c r="G2021" s="28" t="s">
        <v>441</v>
      </c>
      <c r="H2021" s="28" t="s">
        <v>168</v>
      </c>
      <c r="I2021" s="29" t="n">
        <v>35000</v>
      </c>
      <c r="J2021" s="29" t="n">
        <v>17500</v>
      </c>
      <c r="K2021" s="28" t="n">
        <v>12.5</v>
      </c>
      <c r="L2021" s="28" t="n">
        <v>120</v>
      </c>
      <c r="M2021" s="28" t="n">
        <v>0</v>
      </c>
    </row>
    <row r="2022" customFormat="false" ht="15" hidden="false" customHeight="false" outlineLevel="0" collapsed="false">
      <c r="A2022" s="27" t="n">
        <v>44899</v>
      </c>
      <c r="B2022" s="28" t="n">
        <v>2023</v>
      </c>
      <c r="C2022" s="28" t="s">
        <v>169</v>
      </c>
      <c r="D2022" s="28" t="s">
        <v>48</v>
      </c>
      <c r="E2022" s="28" t="s">
        <v>765</v>
      </c>
      <c r="F2022" s="28" t="s">
        <v>147</v>
      </c>
      <c r="G2022" s="28" t="s">
        <v>148</v>
      </c>
      <c r="H2022" s="28" t="s">
        <v>162</v>
      </c>
      <c r="I2022" s="29" t="n">
        <v>300000</v>
      </c>
      <c r="J2022" s="29" t="n">
        <v>150000</v>
      </c>
      <c r="K2022" s="28" t="n">
        <v>9.75</v>
      </c>
      <c r="L2022" s="28" t="n">
        <v>120</v>
      </c>
      <c r="M2022" s="28" t="n">
        <v>5</v>
      </c>
    </row>
    <row r="2023" customFormat="false" ht="15" hidden="false" customHeight="false" outlineLevel="0" collapsed="false">
      <c r="A2023" s="27" t="n">
        <v>44900</v>
      </c>
      <c r="B2023" s="28" t="n">
        <v>2023</v>
      </c>
      <c r="C2023" s="28" t="s">
        <v>172</v>
      </c>
      <c r="D2023" s="28" t="s">
        <v>44</v>
      </c>
      <c r="E2023" s="28" t="s">
        <v>167</v>
      </c>
      <c r="F2023" s="28" t="s">
        <v>142</v>
      </c>
      <c r="G2023" s="28" t="s">
        <v>148</v>
      </c>
      <c r="H2023" s="28" t="s">
        <v>144</v>
      </c>
      <c r="I2023" s="29" t="n">
        <v>780000</v>
      </c>
      <c r="J2023" s="29" t="n">
        <v>585000</v>
      </c>
      <c r="K2023" s="28" t="n">
        <v>9</v>
      </c>
      <c r="L2023" s="28" t="n">
        <v>120</v>
      </c>
      <c r="M2023" s="28" t="n">
        <v>60</v>
      </c>
    </row>
    <row r="2024" customFormat="false" ht="15" hidden="false" customHeight="false" outlineLevel="0" collapsed="false">
      <c r="A2024" s="27" t="n">
        <v>44900</v>
      </c>
      <c r="B2024" s="28" t="n">
        <v>2023</v>
      </c>
      <c r="C2024" s="28" t="s">
        <v>918</v>
      </c>
      <c r="D2024" s="28" t="s">
        <v>49</v>
      </c>
      <c r="E2024" s="28" t="s">
        <v>919</v>
      </c>
      <c r="F2024" s="28" t="s">
        <v>142</v>
      </c>
      <c r="G2024" s="28" t="s">
        <v>152</v>
      </c>
      <c r="H2024" s="28" t="s">
        <v>314</v>
      </c>
      <c r="I2024" s="29" t="n">
        <v>2529000</v>
      </c>
      <c r="J2024" s="29" t="n">
        <v>1896750</v>
      </c>
      <c r="K2024" s="28" t="n">
        <v>8.25</v>
      </c>
      <c r="L2024" s="28" t="n">
        <v>300</v>
      </c>
      <c r="M2024" s="28" t="n">
        <v>14</v>
      </c>
    </row>
    <row r="2025" customFormat="false" ht="15" hidden="false" customHeight="false" outlineLevel="0" collapsed="false">
      <c r="A2025" s="27" t="n">
        <v>44900</v>
      </c>
      <c r="B2025" s="28" t="n">
        <v>2023</v>
      </c>
      <c r="C2025" s="28" t="s">
        <v>172</v>
      </c>
      <c r="D2025" s="28" t="s">
        <v>44</v>
      </c>
      <c r="E2025" s="28" t="s">
        <v>920</v>
      </c>
      <c r="F2025" s="28" t="s">
        <v>142</v>
      </c>
      <c r="G2025" s="28" t="s">
        <v>143</v>
      </c>
      <c r="H2025" s="28" t="s">
        <v>211</v>
      </c>
      <c r="I2025" s="29" t="n">
        <v>195000</v>
      </c>
      <c r="J2025" s="29" t="n">
        <v>146250</v>
      </c>
      <c r="K2025" s="28" t="n">
        <v>9.75</v>
      </c>
      <c r="L2025" s="28" t="n">
        <v>120</v>
      </c>
      <c r="M2025" s="28" t="n">
        <v>16</v>
      </c>
    </row>
    <row r="2026" customFormat="false" ht="15" hidden="false" customHeight="false" outlineLevel="0" collapsed="false">
      <c r="A2026" s="27" t="n">
        <v>44900</v>
      </c>
      <c r="B2026" s="28" t="n">
        <v>2023</v>
      </c>
      <c r="C2026" s="28" t="s">
        <v>344</v>
      </c>
      <c r="D2026" s="28" t="s">
        <v>44</v>
      </c>
      <c r="E2026" s="28" t="s">
        <v>167</v>
      </c>
      <c r="F2026" s="28" t="s">
        <v>147</v>
      </c>
      <c r="G2026" s="28" t="s">
        <v>441</v>
      </c>
      <c r="H2026" s="28" t="s">
        <v>587</v>
      </c>
      <c r="I2026" s="29" t="n">
        <v>100000</v>
      </c>
      <c r="J2026" s="29" t="n">
        <v>50000</v>
      </c>
      <c r="K2026" s="28" t="n">
        <v>9</v>
      </c>
      <c r="L2026" s="28" t="n">
        <v>72</v>
      </c>
      <c r="M2026" s="28" t="n">
        <v>4</v>
      </c>
    </row>
    <row r="2027" customFormat="false" ht="15" hidden="false" customHeight="false" outlineLevel="0" collapsed="false">
      <c r="A2027" s="27" t="n">
        <v>44900</v>
      </c>
      <c r="B2027" s="28" t="n">
        <v>2023</v>
      </c>
      <c r="C2027" s="28" t="s">
        <v>145</v>
      </c>
      <c r="D2027" s="28" t="s">
        <v>48</v>
      </c>
      <c r="E2027" s="28" t="s">
        <v>210</v>
      </c>
      <c r="F2027" s="28" t="s">
        <v>142</v>
      </c>
      <c r="G2027" s="28" t="s">
        <v>148</v>
      </c>
      <c r="H2027" s="28" t="s">
        <v>168</v>
      </c>
      <c r="I2027" s="29" t="n">
        <v>1712800</v>
      </c>
      <c r="J2027" s="29" t="n">
        <v>1284600</v>
      </c>
      <c r="K2027" s="28" t="n">
        <v>5.95</v>
      </c>
      <c r="L2027" s="28" t="n">
        <v>300</v>
      </c>
      <c r="M2027" s="28" t="n">
        <v>10</v>
      </c>
    </row>
    <row r="2028" customFormat="false" ht="15" hidden="false" customHeight="false" outlineLevel="0" collapsed="false">
      <c r="A2028" s="27" t="n">
        <v>44900</v>
      </c>
      <c r="B2028" s="28" t="n">
        <v>2023</v>
      </c>
      <c r="C2028" s="28" t="s">
        <v>230</v>
      </c>
      <c r="D2028" s="28" t="s">
        <v>49</v>
      </c>
      <c r="E2028" s="28" t="s">
        <v>793</v>
      </c>
      <c r="F2028" s="28" t="s">
        <v>142</v>
      </c>
      <c r="G2028" s="28" t="s">
        <v>441</v>
      </c>
      <c r="H2028" s="28" t="s">
        <v>619</v>
      </c>
      <c r="I2028" s="29" t="n">
        <v>560300</v>
      </c>
      <c r="J2028" s="29" t="n">
        <v>420225</v>
      </c>
      <c r="K2028" s="28" t="n">
        <v>9</v>
      </c>
      <c r="L2028" s="28" t="n">
        <v>300</v>
      </c>
      <c r="M2028" s="28" t="n">
        <v>4</v>
      </c>
    </row>
    <row r="2029" customFormat="false" ht="15" hidden="false" customHeight="false" outlineLevel="0" collapsed="false">
      <c r="A2029" s="27" t="n">
        <v>44900</v>
      </c>
      <c r="B2029" s="28" t="n">
        <v>2023</v>
      </c>
      <c r="C2029" s="28" t="s">
        <v>387</v>
      </c>
      <c r="D2029" s="28" t="s">
        <v>47</v>
      </c>
      <c r="E2029" s="28" t="s">
        <v>921</v>
      </c>
      <c r="F2029" s="28" t="s">
        <v>142</v>
      </c>
      <c r="G2029" s="28" t="s">
        <v>143</v>
      </c>
      <c r="H2029" s="28" t="s">
        <v>618</v>
      </c>
      <c r="I2029" s="29" t="n">
        <v>5000000</v>
      </c>
      <c r="J2029" s="29" t="n">
        <v>3750000</v>
      </c>
      <c r="K2029" s="28" t="n">
        <v>9.25</v>
      </c>
      <c r="L2029" s="28" t="n">
        <v>120</v>
      </c>
      <c r="M2029" s="28" t="n">
        <v>53</v>
      </c>
    </row>
    <row r="2030" customFormat="false" ht="15" hidden="false" customHeight="false" outlineLevel="0" collapsed="false">
      <c r="A2030" s="27" t="n">
        <v>44900</v>
      </c>
      <c r="B2030" s="28" t="n">
        <v>2023</v>
      </c>
      <c r="C2030" s="28" t="s">
        <v>172</v>
      </c>
      <c r="D2030" s="28" t="s">
        <v>44</v>
      </c>
      <c r="E2030" s="28" t="s">
        <v>920</v>
      </c>
      <c r="F2030" s="28" t="s">
        <v>147</v>
      </c>
      <c r="G2030" s="28" t="s">
        <v>143</v>
      </c>
      <c r="H2030" s="28" t="s">
        <v>211</v>
      </c>
      <c r="I2030" s="29" t="n">
        <v>50000</v>
      </c>
      <c r="J2030" s="29" t="n">
        <v>25000</v>
      </c>
      <c r="K2030" s="28" t="n">
        <v>9.75</v>
      </c>
      <c r="L2030" s="28" t="n">
        <v>120</v>
      </c>
      <c r="M2030" s="28" t="n">
        <v>16</v>
      </c>
    </row>
    <row r="2031" customFormat="false" ht="15" hidden="false" customHeight="false" outlineLevel="0" collapsed="false">
      <c r="A2031" s="27" t="n">
        <v>44900</v>
      </c>
      <c r="B2031" s="28" t="n">
        <v>2023</v>
      </c>
      <c r="C2031" s="28" t="s">
        <v>172</v>
      </c>
      <c r="D2031" s="28" t="s">
        <v>44</v>
      </c>
      <c r="E2031" s="28" t="s">
        <v>167</v>
      </c>
      <c r="F2031" s="28" t="s">
        <v>147</v>
      </c>
      <c r="G2031" s="28" t="s">
        <v>148</v>
      </c>
      <c r="H2031" s="28" t="s">
        <v>144</v>
      </c>
      <c r="I2031" s="29" t="n">
        <v>250000</v>
      </c>
      <c r="J2031" s="29" t="n">
        <v>125000</v>
      </c>
      <c r="K2031" s="28" t="n">
        <v>10</v>
      </c>
      <c r="L2031" s="28" t="n">
        <v>120</v>
      </c>
      <c r="M2031" s="28" t="n">
        <v>60</v>
      </c>
    </row>
    <row r="2032" customFormat="false" ht="15" hidden="false" customHeight="false" outlineLevel="0" collapsed="false">
      <c r="A2032" s="27" t="n">
        <v>44900</v>
      </c>
      <c r="B2032" s="28" t="n">
        <v>2023</v>
      </c>
      <c r="C2032" s="28" t="s">
        <v>344</v>
      </c>
      <c r="D2032" s="28" t="s">
        <v>44</v>
      </c>
      <c r="E2032" s="28" t="s">
        <v>167</v>
      </c>
      <c r="F2032" s="28" t="s">
        <v>194</v>
      </c>
      <c r="G2032" s="28" t="s">
        <v>152</v>
      </c>
      <c r="H2032" s="28" t="s">
        <v>587</v>
      </c>
      <c r="I2032" s="29" t="n">
        <v>525200</v>
      </c>
      <c r="J2032" s="29" t="n">
        <v>393900</v>
      </c>
      <c r="K2032" s="28" t="n">
        <v>9.5</v>
      </c>
      <c r="L2032" s="28" t="n">
        <v>120</v>
      </c>
      <c r="M2032" s="28" t="n">
        <v>4</v>
      </c>
    </row>
    <row r="2033" customFormat="false" ht="15" hidden="false" customHeight="false" outlineLevel="0" collapsed="false">
      <c r="A2033" s="27" t="n">
        <v>44901</v>
      </c>
      <c r="B2033" s="28" t="n">
        <v>2023</v>
      </c>
      <c r="C2033" s="28" t="s">
        <v>172</v>
      </c>
      <c r="D2033" s="28" t="s">
        <v>44</v>
      </c>
      <c r="E2033" s="28" t="s">
        <v>730</v>
      </c>
      <c r="F2033" s="28" t="s">
        <v>147</v>
      </c>
      <c r="G2033" s="28" t="s">
        <v>148</v>
      </c>
      <c r="H2033" s="28" t="s">
        <v>205</v>
      </c>
      <c r="I2033" s="29" t="n">
        <v>35000</v>
      </c>
      <c r="J2033" s="29" t="n">
        <v>17500</v>
      </c>
      <c r="K2033" s="28" t="n">
        <v>12.8</v>
      </c>
      <c r="L2033" s="28" t="n">
        <v>120</v>
      </c>
      <c r="M2033" s="28" t="n">
        <v>1</v>
      </c>
    </row>
    <row r="2034" customFormat="false" ht="15" hidden="false" customHeight="false" outlineLevel="0" collapsed="false">
      <c r="A2034" s="27" t="n">
        <v>44901</v>
      </c>
      <c r="B2034" s="28" t="n">
        <v>2023</v>
      </c>
      <c r="C2034" s="28" t="s">
        <v>140</v>
      </c>
      <c r="D2034" s="28" t="s">
        <v>48</v>
      </c>
      <c r="E2034" s="28" t="s">
        <v>704</v>
      </c>
      <c r="F2034" s="28" t="s">
        <v>142</v>
      </c>
      <c r="G2034" s="28" t="s">
        <v>148</v>
      </c>
      <c r="H2034" s="28" t="s">
        <v>144</v>
      </c>
      <c r="I2034" s="29" t="n">
        <v>700000</v>
      </c>
      <c r="J2034" s="29" t="n">
        <v>525000</v>
      </c>
      <c r="K2034" s="28" t="n">
        <v>8.97</v>
      </c>
      <c r="L2034" s="28" t="n">
        <v>120</v>
      </c>
      <c r="M2034" s="28" t="n">
        <v>2</v>
      </c>
    </row>
    <row r="2035" customFormat="false" ht="15" hidden="false" customHeight="false" outlineLevel="0" collapsed="false">
      <c r="A2035" s="27" t="n">
        <v>44902</v>
      </c>
      <c r="B2035" s="28" t="n">
        <v>2023</v>
      </c>
      <c r="C2035" s="28" t="s">
        <v>172</v>
      </c>
      <c r="D2035" s="28" t="s">
        <v>48</v>
      </c>
      <c r="E2035" s="28" t="s">
        <v>362</v>
      </c>
      <c r="F2035" s="28" t="s">
        <v>142</v>
      </c>
      <c r="G2035" s="28" t="s">
        <v>148</v>
      </c>
      <c r="H2035" s="28" t="s">
        <v>200</v>
      </c>
      <c r="I2035" s="29" t="n">
        <v>150000</v>
      </c>
      <c r="J2035" s="29" t="n">
        <v>127500</v>
      </c>
      <c r="K2035" s="28" t="n">
        <v>10</v>
      </c>
      <c r="L2035" s="28" t="n">
        <v>120</v>
      </c>
      <c r="M2035" s="28" t="n">
        <v>41</v>
      </c>
    </row>
    <row r="2036" customFormat="false" ht="15" hidden="false" customHeight="false" outlineLevel="0" collapsed="false">
      <c r="A2036" s="27" t="n">
        <v>44902</v>
      </c>
      <c r="B2036" s="28" t="n">
        <v>2023</v>
      </c>
      <c r="C2036" s="28" t="s">
        <v>166</v>
      </c>
      <c r="D2036" s="28" t="s">
        <v>43</v>
      </c>
      <c r="E2036" s="28" t="s">
        <v>922</v>
      </c>
      <c r="F2036" s="28" t="s">
        <v>147</v>
      </c>
      <c r="G2036" s="28" t="s">
        <v>148</v>
      </c>
      <c r="H2036" s="28" t="s">
        <v>159</v>
      </c>
      <c r="I2036" s="29" t="n">
        <v>100000</v>
      </c>
      <c r="J2036" s="29" t="n">
        <v>50000</v>
      </c>
      <c r="K2036" s="28" t="n">
        <v>11.5</v>
      </c>
      <c r="L2036" s="28" t="n">
        <v>120</v>
      </c>
      <c r="M2036" s="28" t="n">
        <v>6</v>
      </c>
    </row>
    <row r="2037" customFormat="false" ht="15" hidden="false" customHeight="false" outlineLevel="0" collapsed="false">
      <c r="A2037" s="27" t="n">
        <v>44902</v>
      </c>
      <c r="B2037" s="28" t="n">
        <v>2023</v>
      </c>
      <c r="C2037" s="28" t="s">
        <v>203</v>
      </c>
      <c r="D2037" s="28" t="s">
        <v>48</v>
      </c>
      <c r="E2037" s="28" t="s">
        <v>709</v>
      </c>
      <c r="F2037" s="28" t="s">
        <v>142</v>
      </c>
      <c r="G2037" s="28" t="s">
        <v>143</v>
      </c>
      <c r="H2037" s="28" t="s">
        <v>287</v>
      </c>
      <c r="I2037" s="29" t="n">
        <v>150000</v>
      </c>
      <c r="J2037" s="29" t="n">
        <v>127500</v>
      </c>
      <c r="K2037" s="28" t="n">
        <v>9.75</v>
      </c>
      <c r="L2037" s="28" t="n">
        <v>91</v>
      </c>
      <c r="M2037" s="28" t="n">
        <v>2</v>
      </c>
    </row>
    <row r="2038" customFormat="false" ht="15" hidden="false" customHeight="false" outlineLevel="0" collapsed="false">
      <c r="A2038" s="27" t="n">
        <v>44902</v>
      </c>
      <c r="B2038" s="28" t="n">
        <v>2023</v>
      </c>
      <c r="C2038" s="28" t="s">
        <v>203</v>
      </c>
      <c r="D2038" s="28" t="s">
        <v>44</v>
      </c>
      <c r="E2038" s="28" t="s">
        <v>923</v>
      </c>
      <c r="F2038" s="28" t="s">
        <v>142</v>
      </c>
      <c r="G2038" s="28" t="s">
        <v>143</v>
      </c>
      <c r="H2038" s="28" t="s">
        <v>211</v>
      </c>
      <c r="I2038" s="29" t="n">
        <v>285000</v>
      </c>
      <c r="J2038" s="29" t="n">
        <v>213750</v>
      </c>
      <c r="K2038" s="28" t="n">
        <v>9.75</v>
      </c>
      <c r="L2038" s="28" t="n">
        <v>120</v>
      </c>
      <c r="M2038" s="28" t="n">
        <v>43</v>
      </c>
    </row>
    <row r="2039" customFormat="false" ht="15" hidden="false" customHeight="false" outlineLevel="0" collapsed="false">
      <c r="A2039" s="27" t="n">
        <v>44902</v>
      </c>
      <c r="B2039" s="28" t="n">
        <v>2023</v>
      </c>
      <c r="C2039" s="28" t="s">
        <v>203</v>
      </c>
      <c r="D2039" s="28" t="s">
        <v>44</v>
      </c>
      <c r="E2039" s="28" t="s">
        <v>923</v>
      </c>
      <c r="F2039" s="28" t="s">
        <v>147</v>
      </c>
      <c r="G2039" s="28" t="s">
        <v>143</v>
      </c>
      <c r="H2039" s="28" t="s">
        <v>211</v>
      </c>
      <c r="I2039" s="29" t="n">
        <v>50000</v>
      </c>
      <c r="J2039" s="29" t="n">
        <v>25000</v>
      </c>
      <c r="K2039" s="28" t="n">
        <v>9.75</v>
      </c>
      <c r="L2039" s="28" t="n">
        <v>120</v>
      </c>
      <c r="M2039" s="28" t="n">
        <v>43</v>
      </c>
    </row>
    <row r="2040" customFormat="false" ht="15" hidden="false" customHeight="false" outlineLevel="0" collapsed="false">
      <c r="A2040" s="27" t="n">
        <v>44902</v>
      </c>
      <c r="B2040" s="28" t="n">
        <v>2023</v>
      </c>
      <c r="C2040" s="28" t="s">
        <v>172</v>
      </c>
      <c r="D2040" s="28" t="s">
        <v>52</v>
      </c>
      <c r="E2040" s="28" t="s">
        <v>720</v>
      </c>
      <c r="F2040" s="28" t="s">
        <v>147</v>
      </c>
      <c r="G2040" s="28" t="s">
        <v>148</v>
      </c>
      <c r="H2040" s="28" t="s">
        <v>428</v>
      </c>
      <c r="I2040" s="29" t="n">
        <v>400000</v>
      </c>
      <c r="J2040" s="29" t="n">
        <v>200000</v>
      </c>
      <c r="K2040" s="28" t="n">
        <v>8.45</v>
      </c>
      <c r="L2040" s="28" t="n">
        <v>120</v>
      </c>
      <c r="M2040" s="28" t="n">
        <v>20</v>
      </c>
    </row>
    <row r="2041" customFormat="false" ht="15" hidden="false" customHeight="false" outlineLevel="0" collapsed="false">
      <c r="A2041" s="27" t="n">
        <v>44902</v>
      </c>
      <c r="B2041" s="28" t="n">
        <v>2023</v>
      </c>
      <c r="C2041" s="28" t="s">
        <v>172</v>
      </c>
      <c r="D2041" s="28" t="s">
        <v>42</v>
      </c>
      <c r="E2041" s="28" t="s">
        <v>717</v>
      </c>
      <c r="F2041" s="28" t="s">
        <v>142</v>
      </c>
      <c r="G2041" s="28" t="s">
        <v>152</v>
      </c>
      <c r="H2041" s="28" t="s">
        <v>149</v>
      </c>
      <c r="I2041" s="29" t="n">
        <v>200000</v>
      </c>
      <c r="J2041" s="29" t="n">
        <v>150000</v>
      </c>
      <c r="K2041" s="28" t="n">
        <v>9.25</v>
      </c>
      <c r="L2041" s="28" t="n">
        <v>120</v>
      </c>
      <c r="M2041" s="28" t="n">
        <v>3</v>
      </c>
    </row>
    <row r="2042" customFormat="false" ht="15" hidden="false" customHeight="false" outlineLevel="0" collapsed="false">
      <c r="A2042" s="27" t="n">
        <v>44903</v>
      </c>
      <c r="B2042" s="28" t="n">
        <v>2023</v>
      </c>
      <c r="C2042" s="28" t="s">
        <v>175</v>
      </c>
      <c r="D2042" s="28" t="s">
        <v>48</v>
      </c>
      <c r="E2042" s="28" t="s">
        <v>712</v>
      </c>
      <c r="F2042" s="28" t="s">
        <v>142</v>
      </c>
      <c r="G2042" s="28" t="s">
        <v>143</v>
      </c>
      <c r="H2042" s="28" t="s">
        <v>372</v>
      </c>
      <c r="I2042" s="29" t="n">
        <v>90000</v>
      </c>
      <c r="J2042" s="29" t="n">
        <v>76500</v>
      </c>
      <c r="K2042" s="28" t="n">
        <v>9.75</v>
      </c>
      <c r="L2042" s="28" t="n">
        <v>90</v>
      </c>
      <c r="M2042" s="28" t="n">
        <v>5</v>
      </c>
    </row>
    <row r="2043" customFormat="false" ht="15" hidden="false" customHeight="false" outlineLevel="0" collapsed="false">
      <c r="A2043" s="27" t="n">
        <v>44903</v>
      </c>
      <c r="B2043" s="28" t="n">
        <v>2023</v>
      </c>
      <c r="C2043" s="28" t="s">
        <v>353</v>
      </c>
      <c r="D2043" s="28" t="s">
        <v>43</v>
      </c>
      <c r="E2043" s="28" t="s">
        <v>924</v>
      </c>
      <c r="F2043" s="28" t="s">
        <v>142</v>
      </c>
      <c r="G2043" s="28" t="s">
        <v>148</v>
      </c>
      <c r="H2043" s="28" t="s">
        <v>165</v>
      </c>
      <c r="I2043" s="29" t="n">
        <v>931000</v>
      </c>
      <c r="J2043" s="29" t="n">
        <v>698250</v>
      </c>
      <c r="K2043" s="28" t="n">
        <v>6.75</v>
      </c>
      <c r="L2043" s="28" t="n">
        <v>300</v>
      </c>
      <c r="M2043" s="28" t="n">
        <v>1</v>
      </c>
    </row>
    <row r="2044" customFormat="false" ht="15" hidden="false" customHeight="false" outlineLevel="0" collapsed="false">
      <c r="A2044" s="27" t="n">
        <v>44903</v>
      </c>
      <c r="B2044" s="28" t="n">
        <v>2023</v>
      </c>
      <c r="C2044" s="28" t="s">
        <v>140</v>
      </c>
      <c r="D2044" s="28" t="s">
        <v>51</v>
      </c>
      <c r="E2044" s="28" t="s">
        <v>773</v>
      </c>
      <c r="F2044" s="28" t="s">
        <v>142</v>
      </c>
      <c r="G2044" s="28" t="s">
        <v>152</v>
      </c>
      <c r="H2044" s="28" t="s">
        <v>501</v>
      </c>
      <c r="I2044" s="29" t="n">
        <v>2450000</v>
      </c>
      <c r="J2044" s="29" t="n">
        <v>1837500</v>
      </c>
      <c r="K2044" s="28" t="n">
        <v>9.75</v>
      </c>
      <c r="L2044" s="28" t="n">
        <v>120</v>
      </c>
      <c r="M2044" s="28" t="n">
        <v>87</v>
      </c>
    </row>
    <row r="2045" customFormat="false" ht="15" hidden="false" customHeight="false" outlineLevel="0" collapsed="false">
      <c r="A2045" s="27" t="n">
        <v>44904</v>
      </c>
      <c r="B2045" s="28" t="n">
        <v>2023</v>
      </c>
      <c r="C2045" s="28" t="s">
        <v>166</v>
      </c>
      <c r="D2045" s="28" t="s">
        <v>42</v>
      </c>
      <c r="E2045" s="28" t="s">
        <v>340</v>
      </c>
      <c r="F2045" s="28" t="s">
        <v>147</v>
      </c>
      <c r="G2045" s="28" t="s">
        <v>441</v>
      </c>
      <c r="H2045" s="28" t="s">
        <v>168</v>
      </c>
      <c r="I2045" s="29" t="n">
        <v>20000</v>
      </c>
      <c r="J2045" s="29" t="n">
        <v>10000</v>
      </c>
      <c r="K2045" s="28" t="n">
        <v>13.5</v>
      </c>
      <c r="L2045" s="28" t="n">
        <v>120</v>
      </c>
      <c r="M2045" s="28" t="n">
        <v>0</v>
      </c>
    </row>
    <row r="2046" customFormat="false" ht="15" hidden="false" customHeight="false" outlineLevel="0" collapsed="false">
      <c r="A2046" s="27" t="n">
        <v>44904</v>
      </c>
      <c r="B2046" s="28" t="n">
        <v>2023</v>
      </c>
      <c r="C2046" s="28" t="s">
        <v>488</v>
      </c>
      <c r="D2046" s="28" t="s">
        <v>42</v>
      </c>
      <c r="E2046" s="28" t="s">
        <v>705</v>
      </c>
      <c r="F2046" s="28" t="s">
        <v>142</v>
      </c>
      <c r="G2046" s="28" t="s">
        <v>152</v>
      </c>
      <c r="H2046" s="28" t="s">
        <v>289</v>
      </c>
      <c r="I2046" s="29" t="n">
        <v>718000</v>
      </c>
      <c r="J2046" s="29" t="n">
        <v>538500</v>
      </c>
      <c r="K2046" s="28" t="n">
        <v>8.5</v>
      </c>
      <c r="L2046" s="28" t="n">
        <v>300</v>
      </c>
      <c r="M2046" s="28" t="n">
        <v>4</v>
      </c>
    </row>
    <row r="2047" customFormat="false" ht="15" hidden="false" customHeight="false" outlineLevel="0" collapsed="false">
      <c r="A2047" s="27" t="n">
        <v>44904</v>
      </c>
      <c r="B2047" s="28" t="n">
        <v>2023</v>
      </c>
      <c r="C2047" s="28" t="s">
        <v>169</v>
      </c>
      <c r="D2047" s="28" t="s">
        <v>46</v>
      </c>
      <c r="E2047" s="28" t="s">
        <v>727</v>
      </c>
      <c r="F2047" s="28" t="s">
        <v>142</v>
      </c>
      <c r="G2047" s="28" t="s">
        <v>143</v>
      </c>
      <c r="H2047" s="28" t="s">
        <v>382</v>
      </c>
      <c r="I2047" s="29" t="n">
        <v>52500</v>
      </c>
      <c r="J2047" s="29" t="n">
        <v>39375</v>
      </c>
      <c r="K2047" s="28" t="n">
        <v>9.75</v>
      </c>
      <c r="L2047" s="28" t="n">
        <v>124</v>
      </c>
      <c r="M2047" s="28" t="n">
        <v>10</v>
      </c>
    </row>
    <row r="2048" customFormat="false" ht="15" hidden="false" customHeight="false" outlineLevel="0" collapsed="false">
      <c r="A2048" s="27" t="n">
        <v>44907</v>
      </c>
      <c r="B2048" s="28" t="n">
        <v>2023</v>
      </c>
      <c r="C2048" s="28" t="s">
        <v>230</v>
      </c>
      <c r="D2048" s="28" t="s">
        <v>47</v>
      </c>
      <c r="E2048" s="28" t="s">
        <v>373</v>
      </c>
      <c r="F2048" s="28" t="s">
        <v>142</v>
      </c>
      <c r="G2048" s="28" t="s">
        <v>152</v>
      </c>
      <c r="H2048" s="28" t="s">
        <v>281</v>
      </c>
      <c r="I2048" s="29" t="n">
        <v>264800</v>
      </c>
      <c r="J2048" s="29" t="n">
        <v>198600</v>
      </c>
      <c r="K2048" s="28" t="n">
        <v>9.75</v>
      </c>
      <c r="L2048" s="28" t="n">
        <v>120</v>
      </c>
      <c r="M2048" s="28" t="n">
        <v>8</v>
      </c>
    </row>
    <row r="2049" customFormat="false" ht="15" hidden="false" customHeight="false" outlineLevel="0" collapsed="false">
      <c r="A2049" s="27" t="n">
        <v>44907</v>
      </c>
      <c r="B2049" s="28" t="n">
        <v>2023</v>
      </c>
      <c r="C2049" s="28" t="s">
        <v>206</v>
      </c>
      <c r="D2049" s="28" t="s">
        <v>51</v>
      </c>
      <c r="E2049" s="28" t="s">
        <v>779</v>
      </c>
      <c r="F2049" s="28" t="s">
        <v>142</v>
      </c>
      <c r="G2049" s="28" t="s">
        <v>143</v>
      </c>
      <c r="H2049" s="28" t="s">
        <v>211</v>
      </c>
      <c r="I2049" s="29" t="n">
        <v>451500</v>
      </c>
      <c r="J2049" s="29" t="n">
        <v>338625</v>
      </c>
      <c r="K2049" s="28" t="n">
        <v>9.5</v>
      </c>
      <c r="L2049" s="28" t="n">
        <v>126</v>
      </c>
      <c r="M2049" s="28" t="n">
        <v>16</v>
      </c>
    </row>
    <row r="2050" customFormat="false" ht="15" hidden="false" customHeight="false" outlineLevel="0" collapsed="false">
      <c r="A2050" s="27" t="n">
        <v>44907</v>
      </c>
      <c r="B2050" s="28" t="n">
        <v>2023</v>
      </c>
      <c r="C2050" s="28" t="s">
        <v>206</v>
      </c>
      <c r="D2050" s="28" t="s">
        <v>51</v>
      </c>
      <c r="E2050" s="28" t="s">
        <v>779</v>
      </c>
      <c r="F2050" s="28" t="s">
        <v>147</v>
      </c>
      <c r="G2050" s="28" t="s">
        <v>143</v>
      </c>
      <c r="H2050" s="28" t="s">
        <v>211</v>
      </c>
      <c r="I2050" s="29" t="n">
        <v>48000</v>
      </c>
      <c r="J2050" s="29" t="n">
        <v>24000</v>
      </c>
      <c r="K2050" s="28" t="n">
        <v>9.5</v>
      </c>
      <c r="L2050" s="28" t="n">
        <v>120</v>
      </c>
      <c r="M2050" s="28" t="n">
        <v>16</v>
      </c>
    </row>
    <row r="2051" customFormat="false" ht="15" hidden="false" customHeight="false" outlineLevel="0" collapsed="false">
      <c r="A2051" s="27" t="n">
        <v>44907</v>
      </c>
      <c r="B2051" s="28" t="n">
        <v>2023</v>
      </c>
      <c r="C2051" s="28" t="s">
        <v>172</v>
      </c>
      <c r="D2051" s="28" t="s">
        <v>48</v>
      </c>
      <c r="E2051" s="28" t="s">
        <v>765</v>
      </c>
      <c r="F2051" s="28" t="s">
        <v>142</v>
      </c>
      <c r="G2051" s="28" t="s">
        <v>148</v>
      </c>
      <c r="H2051" s="28" t="s">
        <v>171</v>
      </c>
      <c r="I2051" s="29" t="n">
        <v>112000</v>
      </c>
      <c r="J2051" s="29" t="n">
        <v>95200</v>
      </c>
      <c r="K2051" s="28" t="n">
        <v>10.75</v>
      </c>
      <c r="L2051" s="28" t="n">
        <v>120</v>
      </c>
      <c r="M2051" s="28" t="n">
        <v>4</v>
      </c>
    </row>
    <row r="2052" customFormat="false" ht="15" hidden="false" customHeight="false" outlineLevel="0" collapsed="false">
      <c r="A2052" s="27" t="n">
        <v>44908</v>
      </c>
      <c r="B2052" s="28" t="n">
        <v>2023</v>
      </c>
      <c r="C2052" s="28" t="s">
        <v>172</v>
      </c>
      <c r="D2052" s="28" t="s">
        <v>45</v>
      </c>
      <c r="E2052" s="28" t="s">
        <v>912</v>
      </c>
      <c r="F2052" s="28" t="s">
        <v>147</v>
      </c>
      <c r="G2052" s="28" t="s">
        <v>148</v>
      </c>
      <c r="H2052" s="28" t="s">
        <v>205</v>
      </c>
      <c r="I2052" s="29" t="n">
        <v>50000</v>
      </c>
      <c r="J2052" s="29" t="n">
        <v>25000</v>
      </c>
      <c r="K2052" s="28" t="n">
        <v>12.8</v>
      </c>
      <c r="L2052" s="28" t="n">
        <v>120</v>
      </c>
      <c r="M2052" s="28" t="n">
        <v>0</v>
      </c>
    </row>
    <row r="2053" customFormat="false" ht="15" hidden="false" customHeight="false" outlineLevel="0" collapsed="false">
      <c r="A2053" s="27" t="n">
        <v>44908</v>
      </c>
      <c r="B2053" s="28" t="n">
        <v>2023</v>
      </c>
      <c r="C2053" s="28" t="s">
        <v>160</v>
      </c>
      <c r="D2053" s="28" t="s">
        <v>44</v>
      </c>
      <c r="E2053" s="28" t="s">
        <v>167</v>
      </c>
      <c r="F2053" s="28" t="s">
        <v>142</v>
      </c>
      <c r="G2053" s="28" t="s">
        <v>148</v>
      </c>
      <c r="H2053" s="28" t="s">
        <v>494</v>
      </c>
      <c r="I2053" s="29" t="n">
        <v>865900</v>
      </c>
      <c r="J2053" s="29" t="n">
        <v>649425</v>
      </c>
      <c r="K2053" s="28" t="n">
        <v>9.5</v>
      </c>
      <c r="L2053" s="28" t="n">
        <v>300</v>
      </c>
      <c r="M2053" s="28" t="n">
        <v>6</v>
      </c>
    </row>
    <row r="2054" customFormat="false" ht="15" hidden="false" customHeight="false" outlineLevel="0" collapsed="false">
      <c r="A2054" s="27" t="n">
        <v>44908</v>
      </c>
      <c r="B2054" s="28" t="n">
        <v>2023</v>
      </c>
      <c r="C2054" s="28" t="s">
        <v>166</v>
      </c>
      <c r="D2054" s="28" t="s">
        <v>46</v>
      </c>
      <c r="E2054" s="28" t="s">
        <v>746</v>
      </c>
      <c r="F2054" s="28" t="s">
        <v>142</v>
      </c>
      <c r="G2054" s="28" t="s">
        <v>148</v>
      </c>
      <c r="H2054" s="28" t="s">
        <v>208</v>
      </c>
      <c r="I2054" s="29" t="n">
        <v>350000</v>
      </c>
      <c r="J2054" s="29" t="n">
        <v>262500</v>
      </c>
      <c r="K2054" s="28" t="n">
        <v>9.75</v>
      </c>
      <c r="L2054" s="28" t="n">
        <v>120</v>
      </c>
      <c r="M2054" s="28" t="n">
        <v>3</v>
      </c>
    </row>
    <row r="2055" customFormat="false" ht="15" hidden="false" customHeight="false" outlineLevel="0" collapsed="false">
      <c r="A2055" s="27" t="n">
        <v>44908</v>
      </c>
      <c r="B2055" s="28" t="n">
        <v>2023</v>
      </c>
      <c r="C2055" s="28" t="s">
        <v>411</v>
      </c>
      <c r="D2055" s="28" t="s">
        <v>45</v>
      </c>
      <c r="E2055" s="28" t="s">
        <v>480</v>
      </c>
      <c r="F2055" s="28" t="s">
        <v>194</v>
      </c>
      <c r="G2055" s="28" t="s">
        <v>152</v>
      </c>
      <c r="H2055" s="28" t="s">
        <v>391</v>
      </c>
      <c r="I2055" s="29" t="n">
        <v>540000</v>
      </c>
      <c r="J2055" s="29" t="n">
        <v>405000</v>
      </c>
      <c r="K2055" s="28" t="n">
        <v>9.63</v>
      </c>
      <c r="L2055" s="28" t="n">
        <v>84</v>
      </c>
      <c r="M2055" s="28" t="n">
        <v>11</v>
      </c>
    </row>
    <row r="2056" customFormat="false" ht="15" hidden="false" customHeight="false" outlineLevel="0" collapsed="false">
      <c r="A2056" s="27" t="n">
        <v>44908</v>
      </c>
      <c r="B2056" s="28" t="n">
        <v>2023</v>
      </c>
      <c r="C2056" s="28" t="s">
        <v>145</v>
      </c>
      <c r="D2056" s="28" t="s">
        <v>48</v>
      </c>
      <c r="E2056" s="28" t="s">
        <v>925</v>
      </c>
      <c r="F2056" s="28" t="s">
        <v>147</v>
      </c>
      <c r="G2056" s="28" t="s">
        <v>143</v>
      </c>
      <c r="H2056" s="28" t="s">
        <v>159</v>
      </c>
      <c r="I2056" s="29" t="n">
        <v>180000</v>
      </c>
      <c r="J2056" s="29" t="n">
        <v>90000</v>
      </c>
      <c r="K2056" s="28" t="n">
        <v>8.75</v>
      </c>
      <c r="L2056" s="28" t="n">
        <v>120</v>
      </c>
      <c r="M2056" s="28" t="n">
        <v>3</v>
      </c>
    </row>
    <row r="2057" customFormat="false" ht="15" hidden="false" customHeight="false" outlineLevel="0" collapsed="false">
      <c r="A2057" s="27" t="n">
        <v>44908</v>
      </c>
      <c r="B2057" s="28" t="n">
        <v>2023</v>
      </c>
      <c r="C2057" s="28" t="s">
        <v>166</v>
      </c>
      <c r="D2057" s="28" t="s">
        <v>42</v>
      </c>
      <c r="E2057" s="28" t="s">
        <v>784</v>
      </c>
      <c r="F2057" s="28" t="s">
        <v>142</v>
      </c>
      <c r="G2057" s="28" t="s">
        <v>143</v>
      </c>
      <c r="H2057" s="28" t="s">
        <v>416</v>
      </c>
      <c r="I2057" s="29" t="n">
        <v>775000</v>
      </c>
      <c r="J2057" s="29" t="n">
        <v>581250</v>
      </c>
      <c r="K2057" s="28" t="n">
        <v>9.5</v>
      </c>
      <c r="L2057" s="28" t="n">
        <v>126</v>
      </c>
      <c r="M2057" s="28" t="n">
        <v>22</v>
      </c>
    </row>
    <row r="2058" customFormat="false" ht="15" hidden="false" customHeight="false" outlineLevel="0" collapsed="false">
      <c r="A2058" s="27" t="n">
        <v>44908</v>
      </c>
      <c r="B2058" s="28" t="n">
        <v>2023</v>
      </c>
      <c r="C2058" s="28" t="s">
        <v>265</v>
      </c>
      <c r="D2058" s="28" t="s">
        <v>51</v>
      </c>
      <c r="E2058" s="28" t="s">
        <v>779</v>
      </c>
      <c r="F2058" s="28" t="s">
        <v>147</v>
      </c>
      <c r="G2058" s="28" t="s">
        <v>148</v>
      </c>
      <c r="H2058" s="28" t="s">
        <v>266</v>
      </c>
      <c r="I2058" s="29" t="n">
        <v>290000</v>
      </c>
      <c r="J2058" s="29" t="n">
        <v>145000</v>
      </c>
      <c r="K2058" s="28" t="n">
        <v>7</v>
      </c>
      <c r="L2058" s="28" t="n">
        <v>306</v>
      </c>
      <c r="M2058" s="28" t="n">
        <v>4</v>
      </c>
    </row>
    <row r="2059" customFormat="false" ht="15" hidden="false" customHeight="false" outlineLevel="0" collapsed="false">
      <c r="A2059" s="27" t="n">
        <v>44908</v>
      </c>
      <c r="B2059" s="28" t="n">
        <v>2023</v>
      </c>
      <c r="C2059" s="28" t="s">
        <v>163</v>
      </c>
      <c r="D2059" s="28" t="s">
        <v>50</v>
      </c>
      <c r="E2059" s="28" t="s">
        <v>193</v>
      </c>
      <c r="F2059" s="28" t="s">
        <v>142</v>
      </c>
      <c r="G2059" s="28" t="s">
        <v>148</v>
      </c>
      <c r="H2059" s="28" t="s">
        <v>211</v>
      </c>
      <c r="I2059" s="29" t="n">
        <v>145000</v>
      </c>
      <c r="J2059" s="29" t="n">
        <v>123250</v>
      </c>
      <c r="K2059" s="28" t="n">
        <v>9.75</v>
      </c>
      <c r="L2059" s="28" t="n">
        <v>120</v>
      </c>
      <c r="M2059" s="28" t="n">
        <v>0</v>
      </c>
    </row>
    <row r="2060" customFormat="false" ht="15" hidden="false" customHeight="false" outlineLevel="0" collapsed="false">
      <c r="A2060" s="27" t="n">
        <v>44909</v>
      </c>
      <c r="B2060" s="28" t="n">
        <v>2023</v>
      </c>
      <c r="C2060" s="28" t="s">
        <v>166</v>
      </c>
      <c r="D2060" s="28" t="s">
        <v>51</v>
      </c>
      <c r="E2060" s="28" t="s">
        <v>779</v>
      </c>
      <c r="F2060" s="28" t="s">
        <v>147</v>
      </c>
      <c r="G2060" s="28" t="s">
        <v>143</v>
      </c>
      <c r="H2060" s="28" t="s">
        <v>211</v>
      </c>
      <c r="I2060" s="29" t="n">
        <v>50000</v>
      </c>
      <c r="J2060" s="29" t="n">
        <v>25000</v>
      </c>
      <c r="K2060" s="28" t="n">
        <v>9.75</v>
      </c>
      <c r="L2060" s="28" t="n">
        <v>120</v>
      </c>
      <c r="M2060" s="28" t="n">
        <v>26</v>
      </c>
    </row>
    <row r="2061" customFormat="false" ht="15" hidden="false" customHeight="false" outlineLevel="0" collapsed="false">
      <c r="A2061" s="27" t="n">
        <v>44909</v>
      </c>
      <c r="B2061" s="28" t="n">
        <v>2023</v>
      </c>
      <c r="C2061" s="28" t="s">
        <v>166</v>
      </c>
      <c r="D2061" s="28" t="s">
        <v>51</v>
      </c>
      <c r="E2061" s="28" t="s">
        <v>779</v>
      </c>
      <c r="F2061" s="28" t="s">
        <v>142</v>
      </c>
      <c r="G2061" s="28" t="s">
        <v>143</v>
      </c>
      <c r="H2061" s="28" t="s">
        <v>211</v>
      </c>
      <c r="I2061" s="29" t="n">
        <v>260000</v>
      </c>
      <c r="J2061" s="29" t="n">
        <v>195000</v>
      </c>
      <c r="K2061" s="28" t="n">
        <v>9.75</v>
      </c>
      <c r="L2061" s="28" t="n">
        <v>120</v>
      </c>
      <c r="M2061" s="28" t="n">
        <v>26</v>
      </c>
    </row>
    <row r="2062" customFormat="false" ht="15" hidden="false" customHeight="false" outlineLevel="0" collapsed="false">
      <c r="A2062" s="27" t="n">
        <v>44909</v>
      </c>
      <c r="B2062" s="28" t="n">
        <v>2023</v>
      </c>
      <c r="C2062" s="28" t="s">
        <v>172</v>
      </c>
      <c r="D2062" s="28" t="s">
        <v>44</v>
      </c>
      <c r="E2062" s="28" t="s">
        <v>729</v>
      </c>
      <c r="F2062" s="28" t="s">
        <v>142</v>
      </c>
      <c r="G2062" s="28" t="s">
        <v>148</v>
      </c>
      <c r="H2062" s="28" t="s">
        <v>171</v>
      </c>
      <c r="I2062" s="29" t="n">
        <v>100000</v>
      </c>
      <c r="J2062" s="29" t="n">
        <v>75000</v>
      </c>
      <c r="K2062" s="28" t="n">
        <v>10.75</v>
      </c>
      <c r="L2062" s="28" t="n">
        <v>120</v>
      </c>
      <c r="M2062" s="28" t="n">
        <v>2</v>
      </c>
    </row>
    <row r="2063" customFormat="false" ht="15" hidden="false" customHeight="false" outlineLevel="0" collapsed="false">
      <c r="A2063" s="27" t="n">
        <v>44910</v>
      </c>
      <c r="B2063" s="28" t="n">
        <v>2023</v>
      </c>
      <c r="C2063" s="28" t="s">
        <v>166</v>
      </c>
      <c r="D2063" s="28" t="s">
        <v>46</v>
      </c>
      <c r="E2063" s="28" t="s">
        <v>926</v>
      </c>
      <c r="F2063" s="28" t="s">
        <v>147</v>
      </c>
      <c r="G2063" s="28" t="s">
        <v>148</v>
      </c>
      <c r="H2063" s="28" t="s">
        <v>255</v>
      </c>
      <c r="I2063" s="29" t="n">
        <v>150000</v>
      </c>
      <c r="J2063" s="29" t="n">
        <v>75000</v>
      </c>
      <c r="K2063" s="28" t="n">
        <v>9.5</v>
      </c>
      <c r="L2063" s="28" t="n">
        <v>120</v>
      </c>
      <c r="M2063" s="28" t="n">
        <v>0</v>
      </c>
    </row>
    <row r="2064" customFormat="false" ht="15" hidden="false" customHeight="false" outlineLevel="0" collapsed="false">
      <c r="A2064" s="27" t="n">
        <v>44911</v>
      </c>
      <c r="B2064" s="28" t="n">
        <v>2023</v>
      </c>
      <c r="C2064" s="28" t="s">
        <v>163</v>
      </c>
      <c r="D2064" s="28" t="s">
        <v>46</v>
      </c>
      <c r="E2064" s="28" t="s">
        <v>927</v>
      </c>
      <c r="F2064" s="28" t="s">
        <v>142</v>
      </c>
      <c r="G2064" s="28" t="s">
        <v>152</v>
      </c>
      <c r="H2064" s="28" t="s">
        <v>320</v>
      </c>
      <c r="I2064" s="29" t="n">
        <v>774000</v>
      </c>
      <c r="J2064" s="29" t="n">
        <v>580500</v>
      </c>
      <c r="K2064" s="28" t="n">
        <v>9.75</v>
      </c>
      <c r="L2064" s="28" t="n">
        <v>120</v>
      </c>
      <c r="M2064" s="28" t="n">
        <v>10</v>
      </c>
    </row>
    <row r="2065" customFormat="false" ht="15" hidden="false" customHeight="false" outlineLevel="0" collapsed="false">
      <c r="A2065" s="27" t="n">
        <v>44914</v>
      </c>
      <c r="B2065" s="28" t="n">
        <v>2023</v>
      </c>
      <c r="C2065" s="28" t="s">
        <v>243</v>
      </c>
      <c r="D2065" s="28" t="s">
        <v>45</v>
      </c>
      <c r="E2065" s="28" t="s">
        <v>293</v>
      </c>
      <c r="F2065" s="28" t="s">
        <v>147</v>
      </c>
      <c r="G2065" s="28" t="s">
        <v>441</v>
      </c>
      <c r="H2065" s="28" t="s">
        <v>168</v>
      </c>
      <c r="I2065" s="29" t="n">
        <v>30000</v>
      </c>
      <c r="J2065" s="29" t="n">
        <v>15000</v>
      </c>
      <c r="K2065" s="28" t="n">
        <v>11.5</v>
      </c>
      <c r="L2065" s="28" t="n">
        <v>120</v>
      </c>
      <c r="M2065" s="28" t="n">
        <v>0</v>
      </c>
    </row>
    <row r="2066" customFormat="false" ht="15" hidden="false" customHeight="false" outlineLevel="0" collapsed="false">
      <c r="A2066" s="27" t="n">
        <v>44915</v>
      </c>
      <c r="B2066" s="28" t="n">
        <v>2023</v>
      </c>
      <c r="C2066" s="28" t="s">
        <v>540</v>
      </c>
      <c r="D2066" s="28" t="s">
        <v>44</v>
      </c>
      <c r="E2066" s="28" t="s">
        <v>730</v>
      </c>
      <c r="F2066" s="28" t="s">
        <v>194</v>
      </c>
      <c r="G2066" s="28" t="s">
        <v>148</v>
      </c>
      <c r="H2066" s="28" t="s">
        <v>808</v>
      </c>
      <c r="I2066" s="29" t="n">
        <v>645000</v>
      </c>
      <c r="J2066" s="29" t="n">
        <v>483750</v>
      </c>
      <c r="K2066" s="28" t="n">
        <v>6.55</v>
      </c>
      <c r="L2066" s="28" t="n">
        <v>300</v>
      </c>
      <c r="M2066" s="28" t="n">
        <v>16</v>
      </c>
    </row>
    <row r="2067" customFormat="false" ht="15" hidden="false" customHeight="false" outlineLevel="0" collapsed="false">
      <c r="A2067" s="27" t="n">
        <v>44915</v>
      </c>
      <c r="B2067" s="28" t="n">
        <v>2023</v>
      </c>
      <c r="C2067" s="28" t="s">
        <v>549</v>
      </c>
      <c r="D2067" s="28" t="s">
        <v>44</v>
      </c>
      <c r="E2067" s="28" t="s">
        <v>730</v>
      </c>
      <c r="F2067" s="28" t="s">
        <v>142</v>
      </c>
      <c r="G2067" s="28" t="s">
        <v>143</v>
      </c>
      <c r="H2067" s="28" t="s">
        <v>208</v>
      </c>
      <c r="I2067" s="29" t="n">
        <v>410000</v>
      </c>
      <c r="J2067" s="29" t="n">
        <v>307500</v>
      </c>
      <c r="K2067" s="28" t="n">
        <v>9</v>
      </c>
      <c r="L2067" s="28" t="n">
        <v>116</v>
      </c>
      <c r="M2067" s="28" t="n">
        <v>10</v>
      </c>
    </row>
    <row r="2068" customFormat="false" ht="15" hidden="false" customHeight="false" outlineLevel="0" collapsed="false">
      <c r="A2068" s="27" t="n">
        <v>44915</v>
      </c>
      <c r="B2068" s="28" t="n">
        <v>2023</v>
      </c>
      <c r="C2068" s="28" t="s">
        <v>140</v>
      </c>
      <c r="D2068" s="28" t="s">
        <v>45</v>
      </c>
      <c r="E2068" s="28" t="s">
        <v>824</v>
      </c>
      <c r="F2068" s="28" t="s">
        <v>142</v>
      </c>
      <c r="G2068" s="28" t="s">
        <v>148</v>
      </c>
      <c r="H2068" s="28" t="s">
        <v>162</v>
      </c>
      <c r="I2068" s="29" t="n">
        <v>350200</v>
      </c>
      <c r="J2068" s="29" t="n">
        <v>262650</v>
      </c>
      <c r="K2068" s="28" t="n">
        <v>4.83</v>
      </c>
      <c r="L2068" s="28" t="n">
        <v>121</v>
      </c>
      <c r="M2068" s="28" t="n">
        <v>2</v>
      </c>
    </row>
    <row r="2069" customFormat="false" ht="15" hidden="false" customHeight="false" outlineLevel="0" collapsed="false">
      <c r="A2069" s="27" t="n">
        <v>44916</v>
      </c>
      <c r="B2069" s="28" t="n">
        <v>2023</v>
      </c>
      <c r="C2069" s="28" t="s">
        <v>166</v>
      </c>
      <c r="D2069" s="28" t="s">
        <v>44</v>
      </c>
      <c r="E2069" s="28" t="s">
        <v>751</v>
      </c>
      <c r="F2069" s="28" t="s">
        <v>194</v>
      </c>
      <c r="G2069" s="28" t="s">
        <v>143</v>
      </c>
      <c r="H2069" s="28" t="s">
        <v>372</v>
      </c>
      <c r="I2069" s="29" t="n">
        <v>250000</v>
      </c>
      <c r="J2069" s="29" t="n">
        <v>187500</v>
      </c>
      <c r="K2069" s="28" t="n">
        <v>9.75</v>
      </c>
      <c r="L2069" s="28" t="n">
        <v>90</v>
      </c>
      <c r="M2069" s="28" t="n">
        <v>8</v>
      </c>
    </row>
    <row r="2070" customFormat="false" ht="15" hidden="false" customHeight="false" outlineLevel="0" collapsed="false">
      <c r="A2070" s="27" t="n">
        <v>44917</v>
      </c>
      <c r="B2070" s="28" t="n">
        <v>2023</v>
      </c>
      <c r="C2070" s="28" t="s">
        <v>172</v>
      </c>
      <c r="D2070" s="28" t="s">
        <v>45</v>
      </c>
      <c r="E2070" s="28" t="s">
        <v>740</v>
      </c>
      <c r="F2070" s="28" t="s">
        <v>142</v>
      </c>
      <c r="G2070" s="28" t="s">
        <v>143</v>
      </c>
      <c r="H2070" s="28" t="s">
        <v>287</v>
      </c>
      <c r="I2070" s="29" t="n">
        <v>150000</v>
      </c>
      <c r="J2070" s="29" t="n">
        <v>127500</v>
      </c>
      <c r="K2070" s="28" t="n">
        <v>9.75</v>
      </c>
      <c r="L2070" s="28" t="n">
        <v>120</v>
      </c>
      <c r="M2070" s="28" t="n">
        <v>3</v>
      </c>
    </row>
    <row r="2071" customFormat="false" ht="15" hidden="false" customHeight="false" outlineLevel="0" collapsed="false">
      <c r="A2071" s="27" t="n">
        <v>44917</v>
      </c>
      <c r="B2071" s="28" t="n">
        <v>2023</v>
      </c>
      <c r="C2071" s="28" t="s">
        <v>192</v>
      </c>
      <c r="D2071" s="28" t="s">
        <v>46</v>
      </c>
      <c r="E2071" s="28" t="s">
        <v>806</v>
      </c>
      <c r="F2071" s="28" t="s">
        <v>142</v>
      </c>
      <c r="G2071" s="28" t="s">
        <v>152</v>
      </c>
      <c r="H2071" s="28" t="s">
        <v>314</v>
      </c>
      <c r="I2071" s="29" t="n">
        <v>1069000</v>
      </c>
      <c r="J2071" s="29" t="n">
        <v>801750</v>
      </c>
      <c r="K2071" s="28" t="n">
        <v>9</v>
      </c>
      <c r="L2071" s="28" t="n">
        <v>300</v>
      </c>
      <c r="M2071" s="28" t="n">
        <v>9</v>
      </c>
    </row>
    <row r="2072" customFormat="false" ht="15" hidden="false" customHeight="false" outlineLevel="0" collapsed="false">
      <c r="A2072" s="27" t="n">
        <v>44917</v>
      </c>
      <c r="B2072" s="28" t="n">
        <v>2023</v>
      </c>
      <c r="C2072" s="28" t="s">
        <v>243</v>
      </c>
      <c r="D2072" s="28" t="s">
        <v>43</v>
      </c>
      <c r="E2072" s="28" t="s">
        <v>830</v>
      </c>
      <c r="F2072" s="28" t="s">
        <v>142</v>
      </c>
      <c r="G2072" s="28" t="s">
        <v>148</v>
      </c>
      <c r="H2072" s="28" t="s">
        <v>269</v>
      </c>
      <c r="I2072" s="29" t="n">
        <v>150000</v>
      </c>
      <c r="J2072" s="29" t="n">
        <v>127500</v>
      </c>
      <c r="K2072" s="28" t="n">
        <v>9.75</v>
      </c>
      <c r="L2072" s="28" t="n">
        <v>94</v>
      </c>
      <c r="M2072" s="28" t="n">
        <v>5</v>
      </c>
    </row>
    <row r="2073" customFormat="false" ht="15" hidden="false" customHeight="false" outlineLevel="0" collapsed="false">
      <c r="A2073" s="27" t="n">
        <v>44917</v>
      </c>
      <c r="B2073" s="28" t="n">
        <v>2023</v>
      </c>
      <c r="C2073" s="28" t="s">
        <v>172</v>
      </c>
      <c r="D2073" s="28" t="s">
        <v>53</v>
      </c>
      <c r="E2073" s="28" t="s">
        <v>928</v>
      </c>
      <c r="F2073" s="28" t="s">
        <v>142</v>
      </c>
      <c r="G2073" s="28" t="s">
        <v>148</v>
      </c>
      <c r="H2073" s="28" t="s">
        <v>269</v>
      </c>
      <c r="I2073" s="29" t="n">
        <v>150000</v>
      </c>
      <c r="J2073" s="29" t="n">
        <v>127500</v>
      </c>
      <c r="K2073" s="28" t="n">
        <v>9.75</v>
      </c>
      <c r="L2073" s="28" t="n">
        <v>120</v>
      </c>
      <c r="M2073" s="28" t="n">
        <v>1</v>
      </c>
    </row>
    <row r="2074" customFormat="false" ht="15" hidden="false" customHeight="false" outlineLevel="0" collapsed="false">
      <c r="A2074" s="27" t="n">
        <v>44917</v>
      </c>
      <c r="B2074" s="28" t="n">
        <v>2023</v>
      </c>
      <c r="C2074" s="28" t="s">
        <v>203</v>
      </c>
      <c r="D2074" s="28" t="s">
        <v>56</v>
      </c>
      <c r="E2074" s="28" t="s">
        <v>929</v>
      </c>
      <c r="F2074" s="28" t="s">
        <v>142</v>
      </c>
      <c r="G2074" s="28" t="s">
        <v>148</v>
      </c>
      <c r="H2074" s="28" t="s">
        <v>831</v>
      </c>
      <c r="I2074" s="29" t="n">
        <v>162000</v>
      </c>
      <c r="J2074" s="29" t="n">
        <v>121500</v>
      </c>
      <c r="K2074" s="28" t="n">
        <v>8.75</v>
      </c>
      <c r="L2074" s="28" t="n">
        <v>120</v>
      </c>
      <c r="M2074" s="28" t="n">
        <v>3</v>
      </c>
    </row>
    <row r="2075" customFormat="false" ht="15" hidden="false" customHeight="false" outlineLevel="0" collapsed="false">
      <c r="A2075" s="27" t="n">
        <v>44918</v>
      </c>
      <c r="B2075" s="28" t="n">
        <v>2023</v>
      </c>
      <c r="C2075" s="28" t="s">
        <v>172</v>
      </c>
      <c r="D2075" s="28" t="s">
        <v>46</v>
      </c>
      <c r="E2075" s="28" t="s">
        <v>930</v>
      </c>
      <c r="F2075" s="28" t="s">
        <v>147</v>
      </c>
      <c r="G2075" s="28" t="s">
        <v>148</v>
      </c>
      <c r="H2075" s="28" t="s">
        <v>248</v>
      </c>
      <c r="I2075" s="29" t="n">
        <v>82000</v>
      </c>
      <c r="J2075" s="29" t="n">
        <v>41000</v>
      </c>
      <c r="K2075" s="28" t="n">
        <v>10</v>
      </c>
      <c r="L2075" s="28" t="n">
        <v>28</v>
      </c>
      <c r="M2075" s="28" t="n">
        <v>3</v>
      </c>
    </row>
    <row r="2076" customFormat="false" ht="15" hidden="false" customHeight="false" outlineLevel="0" collapsed="false">
      <c r="A2076" s="27" t="n">
        <v>44922</v>
      </c>
      <c r="B2076" s="28" t="n">
        <v>2023</v>
      </c>
      <c r="C2076" s="28" t="s">
        <v>145</v>
      </c>
      <c r="D2076" s="28" t="s">
        <v>42</v>
      </c>
      <c r="E2076" s="28" t="s">
        <v>753</v>
      </c>
      <c r="F2076" s="28" t="s">
        <v>142</v>
      </c>
      <c r="G2076" s="28" t="s">
        <v>152</v>
      </c>
      <c r="H2076" s="28" t="s">
        <v>144</v>
      </c>
      <c r="I2076" s="29" t="n">
        <v>300000</v>
      </c>
      <c r="J2076" s="29" t="n">
        <v>225000</v>
      </c>
      <c r="K2076" s="28" t="n">
        <v>8.35</v>
      </c>
      <c r="L2076" s="28" t="n">
        <v>120</v>
      </c>
      <c r="M2076" s="28" t="n">
        <v>15</v>
      </c>
    </row>
    <row r="2077" customFormat="false" ht="15" hidden="false" customHeight="false" outlineLevel="0" collapsed="false">
      <c r="A2077" s="27" t="n">
        <v>44922</v>
      </c>
      <c r="B2077" s="28" t="n">
        <v>2023</v>
      </c>
      <c r="C2077" s="28" t="s">
        <v>172</v>
      </c>
      <c r="D2077" s="28" t="s">
        <v>50</v>
      </c>
      <c r="E2077" s="28" t="s">
        <v>724</v>
      </c>
      <c r="F2077" s="28" t="s">
        <v>147</v>
      </c>
      <c r="G2077" s="28" t="s">
        <v>441</v>
      </c>
      <c r="H2077" s="28" t="s">
        <v>168</v>
      </c>
      <c r="I2077" s="29" t="n">
        <v>25000</v>
      </c>
      <c r="J2077" s="29" t="n">
        <v>12500</v>
      </c>
      <c r="K2077" s="28" t="n">
        <v>12.5</v>
      </c>
      <c r="L2077" s="28" t="n">
        <v>120</v>
      </c>
      <c r="M2077" s="28" t="n">
        <v>4</v>
      </c>
    </row>
    <row r="2078" customFormat="false" ht="15" hidden="false" customHeight="false" outlineLevel="0" collapsed="false">
      <c r="A2078" s="27" t="n">
        <v>44922</v>
      </c>
      <c r="B2078" s="28" t="n">
        <v>2023</v>
      </c>
      <c r="C2078" s="28" t="s">
        <v>328</v>
      </c>
      <c r="D2078" s="28" t="s">
        <v>45</v>
      </c>
      <c r="E2078" s="28" t="s">
        <v>708</v>
      </c>
      <c r="F2078" s="28" t="s">
        <v>147</v>
      </c>
      <c r="G2078" s="28" t="s">
        <v>441</v>
      </c>
      <c r="H2078" s="28" t="s">
        <v>168</v>
      </c>
      <c r="I2078" s="29" t="n">
        <v>5000</v>
      </c>
      <c r="J2078" s="29" t="n">
        <v>2500</v>
      </c>
      <c r="K2078" s="28" t="n">
        <v>11.5</v>
      </c>
      <c r="L2078" s="28" t="n">
        <v>120</v>
      </c>
      <c r="M2078" s="28" t="n">
        <v>0</v>
      </c>
    </row>
    <row r="2079" customFormat="false" ht="15" hidden="false" customHeight="false" outlineLevel="0" collapsed="false">
      <c r="A2079" s="27" t="n">
        <v>44922</v>
      </c>
      <c r="B2079" s="28" t="n">
        <v>2023</v>
      </c>
      <c r="C2079" s="28" t="s">
        <v>166</v>
      </c>
      <c r="D2079" s="28" t="s">
        <v>45</v>
      </c>
      <c r="E2079" s="28" t="s">
        <v>708</v>
      </c>
      <c r="F2079" s="28" t="s">
        <v>142</v>
      </c>
      <c r="G2079" s="28" t="s">
        <v>148</v>
      </c>
      <c r="H2079" s="28" t="s">
        <v>171</v>
      </c>
      <c r="I2079" s="29" t="n">
        <v>45000</v>
      </c>
      <c r="J2079" s="29" t="n">
        <v>38250</v>
      </c>
      <c r="K2079" s="28" t="n">
        <v>10.75</v>
      </c>
      <c r="L2079" s="28" t="n">
        <v>120</v>
      </c>
      <c r="M2079" s="28" t="n">
        <v>2</v>
      </c>
    </row>
    <row r="2080" customFormat="false" ht="15" hidden="false" customHeight="false" outlineLevel="0" collapsed="false">
      <c r="A2080" s="27" t="n">
        <v>44924</v>
      </c>
      <c r="B2080" s="28" t="n">
        <v>2023</v>
      </c>
      <c r="C2080" s="28" t="s">
        <v>344</v>
      </c>
      <c r="D2080" s="28" t="s">
        <v>52</v>
      </c>
      <c r="E2080" s="28" t="s">
        <v>931</v>
      </c>
      <c r="F2080" s="28" t="s">
        <v>142</v>
      </c>
      <c r="G2080" s="28" t="s">
        <v>148</v>
      </c>
      <c r="H2080" s="28" t="s">
        <v>306</v>
      </c>
      <c r="I2080" s="29" t="n">
        <v>500000</v>
      </c>
      <c r="J2080" s="29" t="n">
        <v>375000</v>
      </c>
      <c r="K2080" s="28" t="n">
        <v>9</v>
      </c>
      <c r="L2080" s="28" t="n">
        <v>240</v>
      </c>
      <c r="M2080" s="28" t="n">
        <v>5</v>
      </c>
    </row>
    <row r="2081" customFormat="false" ht="15" hidden="false" customHeight="false" outlineLevel="0" collapsed="false">
      <c r="A2081" s="27" t="n">
        <v>44924</v>
      </c>
      <c r="B2081" s="28" t="n">
        <v>2023</v>
      </c>
      <c r="C2081" s="28" t="s">
        <v>160</v>
      </c>
      <c r="D2081" s="28" t="s">
        <v>50</v>
      </c>
      <c r="E2081" s="28" t="s">
        <v>754</v>
      </c>
      <c r="F2081" s="28" t="s">
        <v>142</v>
      </c>
      <c r="G2081" s="28" t="s">
        <v>143</v>
      </c>
      <c r="H2081" s="28" t="s">
        <v>211</v>
      </c>
      <c r="I2081" s="29" t="n">
        <v>280000</v>
      </c>
      <c r="J2081" s="29" t="n">
        <v>210000</v>
      </c>
      <c r="K2081" s="28" t="n">
        <v>9.75</v>
      </c>
      <c r="L2081" s="28" t="n">
        <v>120</v>
      </c>
      <c r="M2081" s="28" t="n">
        <v>4</v>
      </c>
    </row>
    <row r="2082" customFormat="false" ht="15" hidden="false" customHeight="false" outlineLevel="0" collapsed="false">
      <c r="A2082" s="27" t="n">
        <v>44924</v>
      </c>
      <c r="B2082" s="28" t="n">
        <v>2023</v>
      </c>
      <c r="C2082" s="28" t="s">
        <v>160</v>
      </c>
      <c r="D2082" s="28" t="s">
        <v>50</v>
      </c>
      <c r="E2082" s="28" t="s">
        <v>754</v>
      </c>
      <c r="F2082" s="28" t="s">
        <v>147</v>
      </c>
      <c r="G2082" s="28" t="s">
        <v>143</v>
      </c>
      <c r="H2082" s="28" t="s">
        <v>211</v>
      </c>
      <c r="I2082" s="29" t="n">
        <v>30000</v>
      </c>
      <c r="J2082" s="29" t="n">
        <v>15000</v>
      </c>
      <c r="K2082" s="28" t="n">
        <v>9.75</v>
      </c>
      <c r="L2082" s="28" t="n">
        <v>120</v>
      </c>
      <c r="M2082" s="28" t="n">
        <v>4</v>
      </c>
    </row>
    <row r="2083" customFormat="false" ht="15" hidden="false" customHeight="false" outlineLevel="0" collapsed="false">
      <c r="A2083" s="27" t="n">
        <v>44925</v>
      </c>
      <c r="B2083" s="28" t="n">
        <v>2023</v>
      </c>
      <c r="C2083" s="28" t="s">
        <v>169</v>
      </c>
      <c r="D2083" s="28" t="s">
        <v>48</v>
      </c>
      <c r="E2083" s="28" t="s">
        <v>767</v>
      </c>
      <c r="F2083" s="28" t="s">
        <v>147</v>
      </c>
      <c r="G2083" s="28" t="s">
        <v>148</v>
      </c>
      <c r="H2083" s="28" t="s">
        <v>205</v>
      </c>
      <c r="I2083" s="29" t="n">
        <v>40000</v>
      </c>
      <c r="J2083" s="29" t="n">
        <v>20000</v>
      </c>
      <c r="K2083" s="28" t="n">
        <v>14</v>
      </c>
      <c r="L2083" s="28" t="n">
        <v>120</v>
      </c>
      <c r="M2083" s="28" t="n">
        <v>5</v>
      </c>
    </row>
    <row r="2084" customFormat="false" ht="15" hidden="false" customHeight="false" outlineLevel="0" collapsed="false">
      <c r="A2084" s="27" t="n">
        <v>44929</v>
      </c>
      <c r="B2084" s="28" t="n">
        <v>2023</v>
      </c>
      <c r="C2084" s="28" t="s">
        <v>169</v>
      </c>
      <c r="D2084" s="28" t="s">
        <v>49</v>
      </c>
      <c r="E2084" s="28" t="s">
        <v>932</v>
      </c>
      <c r="F2084" s="28" t="s">
        <v>147</v>
      </c>
      <c r="G2084" s="28" t="s">
        <v>441</v>
      </c>
      <c r="H2084" s="28" t="s">
        <v>799</v>
      </c>
      <c r="I2084" s="29" t="n">
        <v>500000</v>
      </c>
      <c r="J2084" s="29" t="n">
        <v>250000</v>
      </c>
      <c r="K2084" s="28" t="n">
        <v>9</v>
      </c>
      <c r="L2084" s="28" t="n">
        <v>120</v>
      </c>
      <c r="M2084" s="28" t="n">
        <v>2</v>
      </c>
    </row>
    <row r="2085" customFormat="false" ht="15" hidden="false" customHeight="false" outlineLevel="0" collapsed="false">
      <c r="A2085" s="27" t="n">
        <v>44929</v>
      </c>
      <c r="B2085" s="28" t="n">
        <v>2023</v>
      </c>
      <c r="C2085" s="28" t="s">
        <v>172</v>
      </c>
      <c r="D2085" s="28" t="s">
        <v>44</v>
      </c>
      <c r="E2085" s="28" t="s">
        <v>729</v>
      </c>
      <c r="F2085" s="28" t="s">
        <v>147</v>
      </c>
      <c r="G2085" s="28" t="s">
        <v>143</v>
      </c>
      <c r="H2085" s="28" t="s">
        <v>162</v>
      </c>
      <c r="I2085" s="29" t="n">
        <v>231700</v>
      </c>
      <c r="J2085" s="29" t="n">
        <v>115850</v>
      </c>
      <c r="K2085" s="28" t="n">
        <v>4.49</v>
      </c>
      <c r="L2085" s="28" t="n">
        <v>300</v>
      </c>
      <c r="M2085" s="28" t="n">
        <v>1</v>
      </c>
    </row>
    <row r="2086" customFormat="false" ht="15" hidden="false" customHeight="false" outlineLevel="0" collapsed="false">
      <c r="A2086" s="27" t="n">
        <v>44929</v>
      </c>
      <c r="B2086" s="28" t="n">
        <v>2023</v>
      </c>
      <c r="C2086" s="28" t="s">
        <v>172</v>
      </c>
      <c r="D2086" s="28" t="s">
        <v>52</v>
      </c>
      <c r="E2086" s="28" t="s">
        <v>720</v>
      </c>
      <c r="F2086" s="28" t="s">
        <v>147</v>
      </c>
      <c r="G2086" s="28" t="s">
        <v>441</v>
      </c>
      <c r="H2086" s="28" t="s">
        <v>168</v>
      </c>
      <c r="I2086" s="29" t="n">
        <v>15000</v>
      </c>
      <c r="J2086" s="29" t="n">
        <v>7500</v>
      </c>
      <c r="K2086" s="28" t="n">
        <v>12</v>
      </c>
      <c r="L2086" s="28" t="n">
        <v>120</v>
      </c>
      <c r="M2086" s="28" t="n">
        <v>1</v>
      </c>
    </row>
    <row r="2087" customFormat="false" ht="15" hidden="false" customHeight="false" outlineLevel="0" collapsed="false">
      <c r="A2087" s="27" t="n">
        <v>44930</v>
      </c>
      <c r="B2087" s="28" t="n">
        <v>2023</v>
      </c>
      <c r="C2087" s="28" t="s">
        <v>140</v>
      </c>
      <c r="D2087" s="28" t="s">
        <v>42</v>
      </c>
      <c r="E2087" s="28" t="s">
        <v>753</v>
      </c>
      <c r="F2087" s="28" t="s">
        <v>142</v>
      </c>
      <c r="G2087" s="28" t="s">
        <v>143</v>
      </c>
      <c r="H2087" s="28" t="s">
        <v>227</v>
      </c>
      <c r="I2087" s="29" t="n">
        <v>222000</v>
      </c>
      <c r="J2087" s="29" t="n">
        <v>166500</v>
      </c>
      <c r="K2087" s="28" t="n">
        <v>10.25</v>
      </c>
      <c r="L2087" s="28" t="n">
        <v>120</v>
      </c>
      <c r="M2087" s="28" t="n">
        <v>6</v>
      </c>
    </row>
    <row r="2088" customFormat="false" ht="15" hidden="false" customHeight="false" outlineLevel="0" collapsed="false">
      <c r="A2088" s="27" t="n">
        <v>44930</v>
      </c>
      <c r="B2088" s="28" t="n">
        <v>2023</v>
      </c>
      <c r="C2088" s="28" t="s">
        <v>324</v>
      </c>
      <c r="D2088" s="28" t="s">
        <v>45</v>
      </c>
      <c r="E2088" s="28" t="s">
        <v>293</v>
      </c>
      <c r="F2088" s="28" t="s">
        <v>147</v>
      </c>
      <c r="G2088" s="28" t="s">
        <v>148</v>
      </c>
      <c r="H2088" s="28" t="s">
        <v>266</v>
      </c>
      <c r="I2088" s="29" t="n">
        <v>70000</v>
      </c>
      <c r="J2088" s="29" t="n">
        <v>35000</v>
      </c>
      <c r="K2088" s="28" t="n">
        <v>7.5</v>
      </c>
      <c r="L2088" s="28" t="n">
        <v>60</v>
      </c>
      <c r="M2088" s="28" t="n">
        <v>2</v>
      </c>
    </row>
    <row r="2089" customFormat="false" ht="15" hidden="false" customHeight="false" outlineLevel="0" collapsed="false">
      <c r="A2089" s="27" t="n">
        <v>44930</v>
      </c>
      <c r="B2089" s="28" t="n">
        <v>2023</v>
      </c>
      <c r="C2089" s="28" t="s">
        <v>243</v>
      </c>
      <c r="D2089" s="28" t="s">
        <v>52</v>
      </c>
      <c r="E2089" s="28" t="s">
        <v>715</v>
      </c>
      <c r="F2089" s="28" t="s">
        <v>147</v>
      </c>
      <c r="G2089" s="28" t="s">
        <v>441</v>
      </c>
      <c r="H2089" s="28" t="s">
        <v>168</v>
      </c>
      <c r="I2089" s="29" t="n">
        <v>15000</v>
      </c>
      <c r="J2089" s="29" t="n">
        <v>7500</v>
      </c>
      <c r="K2089" s="28" t="n">
        <v>13.5</v>
      </c>
      <c r="L2089" s="28" t="n">
        <v>120</v>
      </c>
      <c r="M2089" s="28" t="n">
        <v>0</v>
      </c>
    </row>
    <row r="2090" customFormat="false" ht="15" hidden="false" customHeight="false" outlineLevel="0" collapsed="false">
      <c r="A2090" s="27" t="n">
        <v>44930</v>
      </c>
      <c r="B2090" s="28" t="n">
        <v>2023</v>
      </c>
      <c r="C2090" s="28" t="s">
        <v>522</v>
      </c>
      <c r="D2090" s="28" t="s">
        <v>45</v>
      </c>
      <c r="E2090" s="28" t="s">
        <v>713</v>
      </c>
      <c r="F2090" s="28" t="s">
        <v>142</v>
      </c>
      <c r="G2090" s="28" t="s">
        <v>148</v>
      </c>
      <c r="H2090" s="28" t="s">
        <v>171</v>
      </c>
      <c r="I2090" s="29" t="n">
        <v>350000</v>
      </c>
      <c r="J2090" s="29" t="n">
        <v>262500</v>
      </c>
      <c r="K2090" s="28" t="n">
        <v>10.25</v>
      </c>
      <c r="L2090" s="28" t="n">
        <v>120</v>
      </c>
      <c r="M2090" s="28" t="n">
        <v>3</v>
      </c>
    </row>
    <row r="2091" customFormat="false" ht="15" hidden="false" customHeight="false" outlineLevel="0" collapsed="false">
      <c r="A2091" s="27" t="n">
        <v>44931</v>
      </c>
      <c r="B2091" s="28" t="n">
        <v>2023</v>
      </c>
      <c r="C2091" s="28" t="s">
        <v>163</v>
      </c>
      <c r="D2091" s="28" t="s">
        <v>45</v>
      </c>
      <c r="E2091" s="28" t="s">
        <v>293</v>
      </c>
      <c r="F2091" s="28" t="s">
        <v>142</v>
      </c>
      <c r="G2091" s="28" t="s">
        <v>148</v>
      </c>
      <c r="H2091" s="28" t="s">
        <v>171</v>
      </c>
      <c r="I2091" s="29" t="n">
        <v>150000</v>
      </c>
      <c r="J2091" s="29" t="n">
        <v>127500</v>
      </c>
      <c r="K2091" s="28" t="n">
        <v>11.25</v>
      </c>
      <c r="L2091" s="28" t="n">
        <v>120</v>
      </c>
      <c r="M2091" s="28" t="n">
        <v>2</v>
      </c>
    </row>
    <row r="2092" customFormat="false" ht="15" hidden="false" customHeight="false" outlineLevel="0" collapsed="false">
      <c r="A2092" s="27" t="n">
        <v>44932</v>
      </c>
      <c r="B2092" s="28" t="n">
        <v>2023</v>
      </c>
      <c r="C2092" s="28" t="s">
        <v>145</v>
      </c>
      <c r="D2092" s="28" t="s">
        <v>52</v>
      </c>
      <c r="E2092" s="28" t="s">
        <v>720</v>
      </c>
      <c r="F2092" s="28" t="s">
        <v>147</v>
      </c>
      <c r="G2092" s="28" t="s">
        <v>441</v>
      </c>
      <c r="H2092" s="28" t="s">
        <v>168</v>
      </c>
      <c r="I2092" s="29" t="n">
        <v>15000</v>
      </c>
      <c r="J2092" s="29" t="n">
        <v>7500</v>
      </c>
      <c r="K2092" s="28" t="n">
        <v>14</v>
      </c>
      <c r="L2092" s="28" t="n">
        <v>120</v>
      </c>
      <c r="M2092" s="28" t="n">
        <v>0</v>
      </c>
    </row>
    <row r="2093" customFormat="false" ht="15" hidden="false" customHeight="false" outlineLevel="0" collapsed="false">
      <c r="A2093" s="27" t="n">
        <v>44932</v>
      </c>
      <c r="B2093" s="28" t="n">
        <v>2023</v>
      </c>
      <c r="C2093" s="28" t="s">
        <v>163</v>
      </c>
      <c r="D2093" s="28" t="s">
        <v>44</v>
      </c>
      <c r="E2093" s="28" t="s">
        <v>920</v>
      </c>
      <c r="F2093" s="28" t="s">
        <v>142</v>
      </c>
      <c r="G2093" s="28" t="s">
        <v>143</v>
      </c>
      <c r="H2093" s="28" t="s">
        <v>144</v>
      </c>
      <c r="I2093" s="29" t="n">
        <v>150000</v>
      </c>
      <c r="J2093" s="29" t="n">
        <v>127500</v>
      </c>
      <c r="K2093" s="28" t="n">
        <v>10.5</v>
      </c>
      <c r="L2093" s="28" t="n">
        <v>120</v>
      </c>
      <c r="M2093" s="28" t="n">
        <v>80</v>
      </c>
    </row>
    <row r="2094" customFormat="false" ht="15" hidden="false" customHeight="false" outlineLevel="0" collapsed="false">
      <c r="A2094" s="27" t="n">
        <v>44932</v>
      </c>
      <c r="B2094" s="28" t="n">
        <v>2023</v>
      </c>
      <c r="C2094" s="28" t="s">
        <v>243</v>
      </c>
      <c r="D2094" s="28" t="s">
        <v>43</v>
      </c>
      <c r="E2094" s="28" t="s">
        <v>789</v>
      </c>
      <c r="F2094" s="28" t="s">
        <v>147</v>
      </c>
      <c r="G2094" s="28" t="s">
        <v>143</v>
      </c>
      <c r="H2094" s="28" t="s">
        <v>159</v>
      </c>
      <c r="I2094" s="29" t="n">
        <v>140000</v>
      </c>
      <c r="J2094" s="29" t="n">
        <v>70000</v>
      </c>
      <c r="K2094" s="28" t="n">
        <v>9.5</v>
      </c>
      <c r="L2094" s="28" t="n">
        <v>60</v>
      </c>
      <c r="M2094" s="28" t="n">
        <v>8</v>
      </c>
    </row>
    <row r="2095" customFormat="false" ht="15" hidden="false" customHeight="false" outlineLevel="0" collapsed="false">
      <c r="A2095" s="27" t="n">
        <v>44932</v>
      </c>
      <c r="B2095" s="28" t="n">
        <v>2023</v>
      </c>
      <c r="C2095" s="28" t="s">
        <v>166</v>
      </c>
      <c r="D2095" s="28" t="s">
        <v>45</v>
      </c>
      <c r="E2095" s="28" t="s">
        <v>798</v>
      </c>
      <c r="F2095" s="28" t="s">
        <v>147</v>
      </c>
      <c r="G2095" s="28" t="s">
        <v>441</v>
      </c>
      <c r="H2095" s="28" t="s">
        <v>799</v>
      </c>
      <c r="I2095" s="29" t="n">
        <v>500000</v>
      </c>
      <c r="J2095" s="29" t="n">
        <v>250000</v>
      </c>
      <c r="K2095" s="28" t="n">
        <v>9</v>
      </c>
      <c r="L2095" s="28" t="n">
        <v>120</v>
      </c>
      <c r="M2095" s="28" t="n">
        <v>8</v>
      </c>
    </row>
    <row r="2096" customFormat="false" ht="15" hidden="false" customHeight="false" outlineLevel="0" collapsed="false">
      <c r="A2096" s="27" t="n">
        <v>44932</v>
      </c>
      <c r="B2096" s="28" t="n">
        <v>2023</v>
      </c>
      <c r="C2096" s="28" t="s">
        <v>169</v>
      </c>
      <c r="D2096" s="28" t="s">
        <v>45</v>
      </c>
      <c r="E2096" s="28" t="s">
        <v>708</v>
      </c>
      <c r="F2096" s="28" t="s">
        <v>147</v>
      </c>
      <c r="G2096" s="28" t="s">
        <v>148</v>
      </c>
      <c r="H2096" s="28" t="s">
        <v>205</v>
      </c>
      <c r="I2096" s="29" t="n">
        <v>90000</v>
      </c>
      <c r="J2096" s="29" t="n">
        <v>45000</v>
      </c>
      <c r="K2096" s="28" t="n">
        <v>11.3</v>
      </c>
      <c r="L2096" s="28" t="n">
        <v>120</v>
      </c>
      <c r="M2096" s="28" t="n">
        <v>9</v>
      </c>
    </row>
    <row r="2097" customFormat="false" ht="15" hidden="false" customHeight="false" outlineLevel="0" collapsed="false">
      <c r="A2097" s="27" t="n">
        <v>44935</v>
      </c>
      <c r="B2097" s="28" t="n">
        <v>2023</v>
      </c>
      <c r="C2097" s="28" t="s">
        <v>145</v>
      </c>
      <c r="D2097" s="28" t="s">
        <v>43</v>
      </c>
      <c r="E2097" s="28" t="s">
        <v>933</v>
      </c>
      <c r="F2097" s="28" t="s">
        <v>142</v>
      </c>
      <c r="G2097" s="28" t="s">
        <v>441</v>
      </c>
      <c r="H2097" s="28" t="s">
        <v>285</v>
      </c>
      <c r="I2097" s="29" t="n">
        <v>203000</v>
      </c>
      <c r="J2097" s="29" t="n">
        <v>152250</v>
      </c>
      <c r="K2097" s="28" t="n">
        <v>10</v>
      </c>
      <c r="L2097" s="28" t="n">
        <v>120</v>
      </c>
      <c r="M2097" s="28" t="n">
        <v>8</v>
      </c>
    </row>
    <row r="2098" customFormat="false" ht="15" hidden="false" customHeight="false" outlineLevel="0" collapsed="false">
      <c r="A2098" s="27" t="n">
        <v>44935</v>
      </c>
      <c r="B2098" s="28" t="n">
        <v>2023</v>
      </c>
      <c r="C2098" s="28" t="s">
        <v>213</v>
      </c>
      <c r="D2098" s="28" t="s">
        <v>42</v>
      </c>
      <c r="E2098" s="28" t="s">
        <v>717</v>
      </c>
      <c r="F2098" s="28" t="s">
        <v>142</v>
      </c>
      <c r="G2098" s="28" t="s">
        <v>148</v>
      </c>
      <c r="H2098" s="28" t="s">
        <v>306</v>
      </c>
      <c r="I2098" s="29" t="n">
        <v>146000</v>
      </c>
      <c r="J2098" s="29" t="n">
        <v>124100</v>
      </c>
      <c r="K2098" s="28" t="n">
        <v>9.5</v>
      </c>
      <c r="L2098" s="28" t="n">
        <v>60</v>
      </c>
      <c r="M2098" s="28" t="n">
        <v>25</v>
      </c>
    </row>
    <row r="2099" customFormat="false" ht="15" hidden="false" customHeight="false" outlineLevel="0" collapsed="false">
      <c r="A2099" s="27" t="n">
        <v>44936</v>
      </c>
      <c r="B2099" s="28" t="n">
        <v>2023</v>
      </c>
      <c r="C2099" s="28" t="s">
        <v>166</v>
      </c>
      <c r="D2099" s="28" t="s">
        <v>48</v>
      </c>
      <c r="E2099" s="28" t="s">
        <v>304</v>
      </c>
      <c r="F2099" s="28" t="s">
        <v>142</v>
      </c>
      <c r="G2099" s="28" t="s">
        <v>148</v>
      </c>
      <c r="H2099" s="28" t="s">
        <v>171</v>
      </c>
      <c r="I2099" s="29" t="n">
        <v>150000</v>
      </c>
      <c r="J2099" s="29" t="n">
        <v>127500</v>
      </c>
      <c r="K2099" s="28" t="n">
        <v>11.25</v>
      </c>
      <c r="L2099" s="28" t="n">
        <v>120</v>
      </c>
      <c r="M2099" s="28" t="n">
        <v>0</v>
      </c>
    </row>
    <row r="2100" customFormat="false" ht="15" hidden="false" customHeight="false" outlineLevel="0" collapsed="false">
      <c r="A2100" s="27" t="n">
        <v>44937</v>
      </c>
      <c r="B2100" s="28" t="n">
        <v>2023</v>
      </c>
      <c r="C2100" s="28" t="s">
        <v>272</v>
      </c>
      <c r="D2100" s="28" t="s">
        <v>44</v>
      </c>
      <c r="E2100" s="28" t="s">
        <v>755</v>
      </c>
      <c r="F2100" s="28" t="s">
        <v>142</v>
      </c>
      <c r="G2100" s="28" t="s">
        <v>143</v>
      </c>
      <c r="H2100" s="28" t="s">
        <v>168</v>
      </c>
      <c r="I2100" s="29" t="n">
        <v>204000</v>
      </c>
      <c r="J2100" s="29" t="n">
        <v>153000</v>
      </c>
      <c r="K2100" s="28" t="n">
        <v>6.5</v>
      </c>
      <c r="L2100" s="28" t="n">
        <v>75</v>
      </c>
      <c r="M2100" s="28" t="n">
        <v>2</v>
      </c>
    </row>
    <row r="2101" customFormat="false" ht="15" hidden="false" customHeight="false" outlineLevel="0" collapsed="false">
      <c r="A2101" s="27" t="n">
        <v>44937</v>
      </c>
      <c r="B2101" s="28" t="n">
        <v>2023</v>
      </c>
      <c r="C2101" s="28" t="s">
        <v>243</v>
      </c>
      <c r="D2101" s="28" t="s">
        <v>52</v>
      </c>
      <c r="E2101" s="28" t="s">
        <v>934</v>
      </c>
      <c r="F2101" s="28" t="s">
        <v>147</v>
      </c>
      <c r="G2101" s="28" t="s">
        <v>441</v>
      </c>
      <c r="H2101" s="28" t="s">
        <v>168</v>
      </c>
      <c r="I2101" s="29" t="n">
        <v>10000</v>
      </c>
      <c r="J2101" s="29" t="n">
        <v>5000</v>
      </c>
      <c r="K2101" s="28" t="n">
        <v>13</v>
      </c>
      <c r="L2101" s="28" t="n">
        <v>120</v>
      </c>
      <c r="M2101" s="28" t="n">
        <v>5</v>
      </c>
    </row>
    <row r="2102" customFormat="false" ht="15" hidden="false" customHeight="false" outlineLevel="0" collapsed="false">
      <c r="A2102" s="27" t="n">
        <v>44937</v>
      </c>
      <c r="B2102" s="28" t="n">
        <v>2023</v>
      </c>
      <c r="C2102" s="28" t="s">
        <v>172</v>
      </c>
      <c r="D2102" s="28" t="s">
        <v>44</v>
      </c>
      <c r="E2102" s="28" t="s">
        <v>729</v>
      </c>
      <c r="F2102" s="28" t="s">
        <v>142</v>
      </c>
      <c r="G2102" s="28" t="s">
        <v>152</v>
      </c>
      <c r="H2102" s="28" t="s">
        <v>483</v>
      </c>
      <c r="I2102" s="29" t="n">
        <v>710000</v>
      </c>
      <c r="J2102" s="29" t="n">
        <v>532500</v>
      </c>
      <c r="K2102" s="28" t="n">
        <v>10</v>
      </c>
      <c r="L2102" s="28" t="n">
        <v>120</v>
      </c>
      <c r="M2102" s="28" t="n">
        <v>2</v>
      </c>
    </row>
    <row r="2103" customFormat="false" ht="15" hidden="false" customHeight="false" outlineLevel="0" collapsed="false">
      <c r="A2103" s="27" t="n">
        <v>44938</v>
      </c>
      <c r="B2103" s="28" t="n">
        <v>2023</v>
      </c>
      <c r="C2103" s="28" t="s">
        <v>160</v>
      </c>
      <c r="D2103" s="28" t="s">
        <v>52</v>
      </c>
      <c r="E2103" s="28" t="s">
        <v>716</v>
      </c>
      <c r="F2103" s="28" t="s">
        <v>147</v>
      </c>
      <c r="G2103" s="28" t="s">
        <v>441</v>
      </c>
      <c r="H2103" s="28" t="s">
        <v>168</v>
      </c>
      <c r="I2103" s="29" t="n">
        <v>15000</v>
      </c>
      <c r="J2103" s="29" t="n">
        <v>7500</v>
      </c>
      <c r="K2103" s="28" t="n">
        <v>14</v>
      </c>
      <c r="L2103" s="28" t="n">
        <v>120</v>
      </c>
      <c r="M2103" s="28" t="n">
        <v>0</v>
      </c>
    </row>
    <row r="2104" customFormat="false" ht="15" hidden="false" customHeight="false" outlineLevel="0" collapsed="false">
      <c r="A2104" s="27" t="n">
        <v>44938</v>
      </c>
      <c r="B2104" s="28" t="n">
        <v>2023</v>
      </c>
      <c r="C2104" s="28" t="s">
        <v>379</v>
      </c>
      <c r="D2104" s="28" t="s">
        <v>42</v>
      </c>
      <c r="E2104" s="28" t="s">
        <v>753</v>
      </c>
      <c r="F2104" s="28" t="s">
        <v>194</v>
      </c>
      <c r="G2104" s="28" t="s">
        <v>441</v>
      </c>
      <c r="H2104" s="28" t="s">
        <v>735</v>
      </c>
      <c r="I2104" s="29" t="n">
        <v>80000</v>
      </c>
      <c r="J2104" s="29" t="n">
        <v>68000</v>
      </c>
      <c r="K2104" s="28" t="n">
        <v>9.5</v>
      </c>
      <c r="L2104" s="28" t="n">
        <v>120</v>
      </c>
      <c r="M2104" s="28" t="n">
        <v>5</v>
      </c>
    </row>
    <row r="2105" customFormat="false" ht="15" hidden="false" customHeight="false" outlineLevel="0" collapsed="false">
      <c r="A2105" s="27" t="n">
        <v>44938</v>
      </c>
      <c r="B2105" s="28" t="n">
        <v>2023</v>
      </c>
      <c r="C2105" s="28" t="s">
        <v>172</v>
      </c>
      <c r="D2105" s="28" t="s">
        <v>46</v>
      </c>
      <c r="E2105" s="28" t="s">
        <v>909</v>
      </c>
      <c r="F2105" s="28" t="s">
        <v>142</v>
      </c>
      <c r="G2105" s="28" t="s">
        <v>143</v>
      </c>
      <c r="H2105" s="28" t="s">
        <v>211</v>
      </c>
      <c r="I2105" s="29" t="n">
        <v>350000</v>
      </c>
      <c r="J2105" s="29" t="n">
        <v>262500</v>
      </c>
      <c r="K2105" s="28" t="n">
        <v>10</v>
      </c>
      <c r="L2105" s="28" t="n">
        <v>120</v>
      </c>
      <c r="M2105" s="28" t="n">
        <v>10</v>
      </c>
    </row>
    <row r="2106" customFormat="false" ht="15" hidden="false" customHeight="false" outlineLevel="0" collapsed="false">
      <c r="A2106" s="27" t="n">
        <v>44938</v>
      </c>
      <c r="B2106" s="28" t="n">
        <v>2023</v>
      </c>
      <c r="C2106" s="28" t="s">
        <v>145</v>
      </c>
      <c r="D2106" s="28" t="s">
        <v>51</v>
      </c>
      <c r="E2106" s="28" t="s">
        <v>779</v>
      </c>
      <c r="F2106" s="28" t="s">
        <v>142</v>
      </c>
      <c r="G2106" s="28" t="s">
        <v>441</v>
      </c>
      <c r="H2106" s="28" t="s">
        <v>200</v>
      </c>
      <c r="I2106" s="29" t="n">
        <v>575000</v>
      </c>
      <c r="J2106" s="29" t="n">
        <v>431250</v>
      </c>
      <c r="K2106" s="28" t="n">
        <v>10.5</v>
      </c>
      <c r="L2106" s="28" t="n">
        <v>126</v>
      </c>
      <c r="M2106" s="28" t="n">
        <v>23</v>
      </c>
    </row>
    <row r="2107" customFormat="false" ht="15" hidden="false" customHeight="false" outlineLevel="0" collapsed="false">
      <c r="A2107" s="27" t="n">
        <v>44939</v>
      </c>
      <c r="B2107" s="28" t="n">
        <v>2023</v>
      </c>
      <c r="C2107" s="28" t="s">
        <v>169</v>
      </c>
      <c r="D2107" s="28" t="s">
        <v>46</v>
      </c>
      <c r="E2107" s="28" t="s">
        <v>806</v>
      </c>
      <c r="F2107" s="28" t="s">
        <v>142</v>
      </c>
      <c r="G2107" s="28" t="s">
        <v>441</v>
      </c>
      <c r="H2107" s="28" t="s">
        <v>536</v>
      </c>
      <c r="I2107" s="29" t="n">
        <v>4130000</v>
      </c>
      <c r="J2107" s="29" t="n">
        <v>3097500</v>
      </c>
      <c r="K2107" s="28" t="n">
        <v>9.25</v>
      </c>
      <c r="L2107" s="28" t="n">
        <v>300</v>
      </c>
      <c r="M2107" s="28" t="n">
        <v>47</v>
      </c>
    </row>
    <row r="2108" customFormat="false" ht="15" hidden="false" customHeight="false" outlineLevel="0" collapsed="false">
      <c r="A2108" s="27" t="n">
        <v>44939</v>
      </c>
      <c r="B2108" s="28" t="n">
        <v>2023</v>
      </c>
      <c r="C2108" s="28" t="s">
        <v>166</v>
      </c>
      <c r="D2108" s="28" t="s">
        <v>56</v>
      </c>
      <c r="E2108" s="28" t="s">
        <v>935</v>
      </c>
      <c r="F2108" s="28" t="s">
        <v>142</v>
      </c>
      <c r="G2108" s="28" t="s">
        <v>143</v>
      </c>
      <c r="H2108" s="28" t="s">
        <v>229</v>
      </c>
      <c r="I2108" s="29" t="n">
        <v>630000</v>
      </c>
      <c r="J2108" s="29" t="n">
        <v>472500</v>
      </c>
      <c r="K2108" s="28" t="n">
        <v>10.25</v>
      </c>
      <c r="L2108" s="28" t="n">
        <v>126</v>
      </c>
      <c r="M2108" s="28" t="n">
        <v>46</v>
      </c>
    </row>
    <row r="2109" customFormat="false" ht="15" hidden="false" customHeight="false" outlineLevel="0" collapsed="false">
      <c r="A2109" s="27" t="n">
        <v>44939</v>
      </c>
      <c r="B2109" s="28" t="n">
        <v>2023</v>
      </c>
      <c r="C2109" s="28" t="s">
        <v>203</v>
      </c>
      <c r="D2109" s="28" t="s">
        <v>51</v>
      </c>
      <c r="E2109" s="28" t="s">
        <v>936</v>
      </c>
      <c r="F2109" s="28" t="s">
        <v>142</v>
      </c>
      <c r="G2109" s="28" t="s">
        <v>143</v>
      </c>
      <c r="H2109" s="28" t="s">
        <v>211</v>
      </c>
      <c r="I2109" s="29" t="n">
        <v>709000</v>
      </c>
      <c r="J2109" s="29" t="n">
        <v>531750</v>
      </c>
      <c r="K2109" s="28" t="n">
        <v>10.25</v>
      </c>
      <c r="L2109" s="28" t="n">
        <v>120</v>
      </c>
      <c r="M2109" s="28" t="n">
        <v>21</v>
      </c>
    </row>
    <row r="2110" customFormat="false" ht="15" hidden="false" customHeight="false" outlineLevel="0" collapsed="false">
      <c r="A2110" s="27" t="n">
        <v>44939</v>
      </c>
      <c r="B2110" s="28" t="n">
        <v>2023</v>
      </c>
      <c r="C2110" s="28" t="s">
        <v>203</v>
      </c>
      <c r="D2110" s="28" t="s">
        <v>51</v>
      </c>
      <c r="E2110" s="28" t="s">
        <v>936</v>
      </c>
      <c r="F2110" s="28" t="s">
        <v>147</v>
      </c>
      <c r="G2110" s="28" t="s">
        <v>143</v>
      </c>
      <c r="H2110" s="28" t="s">
        <v>211</v>
      </c>
      <c r="I2110" s="29" t="n">
        <v>50000</v>
      </c>
      <c r="J2110" s="29" t="n">
        <v>25000</v>
      </c>
      <c r="K2110" s="28" t="n">
        <v>10.25</v>
      </c>
      <c r="L2110" s="28" t="n">
        <v>120</v>
      </c>
      <c r="M2110" s="28" t="n">
        <v>21</v>
      </c>
    </row>
    <row r="2111" customFormat="false" ht="15" hidden="false" customHeight="false" outlineLevel="0" collapsed="false">
      <c r="A2111" s="27" t="n">
        <v>44939</v>
      </c>
      <c r="B2111" s="28" t="n">
        <v>2023</v>
      </c>
      <c r="C2111" s="28" t="s">
        <v>303</v>
      </c>
      <c r="D2111" s="28" t="s">
        <v>49</v>
      </c>
      <c r="E2111" s="28" t="s">
        <v>710</v>
      </c>
      <c r="F2111" s="28" t="s">
        <v>142</v>
      </c>
      <c r="G2111" s="28" t="s">
        <v>441</v>
      </c>
      <c r="H2111" s="28" t="s">
        <v>275</v>
      </c>
      <c r="I2111" s="29" t="n">
        <v>54000</v>
      </c>
      <c r="J2111" s="29" t="n">
        <v>45900</v>
      </c>
      <c r="K2111" s="28" t="n">
        <v>10.25</v>
      </c>
      <c r="L2111" s="28" t="n">
        <v>120</v>
      </c>
      <c r="M2111" s="28" t="n">
        <v>4</v>
      </c>
    </row>
    <row r="2112" customFormat="false" ht="15" hidden="false" customHeight="false" outlineLevel="0" collapsed="false">
      <c r="A2112" s="27" t="n">
        <v>44942</v>
      </c>
      <c r="B2112" s="28" t="n">
        <v>2023</v>
      </c>
      <c r="C2112" s="28" t="s">
        <v>160</v>
      </c>
      <c r="D2112" s="28" t="s">
        <v>42</v>
      </c>
      <c r="E2112" s="28" t="s">
        <v>717</v>
      </c>
      <c r="F2112" s="28" t="s">
        <v>142</v>
      </c>
      <c r="G2112" s="28" t="s">
        <v>441</v>
      </c>
      <c r="H2112" s="28" t="s">
        <v>200</v>
      </c>
      <c r="I2112" s="29" t="n">
        <v>250000</v>
      </c>
      <c r="J2112" s="29" t="n">
        <v>187500</v>
      </c>
      <c r="K2112" s="28" t="n">
        <v>10.5</v>
      </c>
      <c r="L2112" s="28" t="n">
        <v>120</v>
      </c>
      <c r="M2112" s="28" t="n">
        <v>12</v>
      </c>
    </row>
    <row r="2113" customFormat="false" ht="15" hidden="false" customHeight="false" outlineLevel="0" collapsed="false">
      <c r="A2113" s="27" t="n">
        <v>44943</v>
      </c>
      <c r="B2113" s="28" t="n">
        <v>2023</v>
      </c>
      <c r="C2113" s="28" t="s">
        <v>145</v>
      </c>
      <c r="D2113" s="28" t="s">
        <v>42</v>
      </c>
      <c r="E2113" s="28" t="s">
        <v>753</v>
      </c>
      <c r="F2113" s="28" t="s">
        <v>142</v>
      </c>
      <c r="G2113" s="28" t="s">
        <v>441</v>
      </c>
      <c r="H2113" s="28" t="s">
        <v>494</v>
      </c>
      <c r="I2113" s="29" t="n">
        <v>2130100</v>
      </c>
      <c r="J2113" s="29" t="n">
        <v>1597575</v>
      </c>
      <c r="K2113" s="28" t="n">
        <v>10</v>
      </c>
      <c r="L2113" s="28" t="n">
        <v>128</v>
      </c>
      <c r="M2113" s="28" t="n">
        <v>75</v>
      </c>
    </row>
    <row r="2114" customFormat="false" ht="15" hidden="false" customHeight="false" outlineLevel="0" collapsed="false">
      <c r="A2114" s="27" t="n">
        <v>44943</v>
      </c>
      <c r="B2114" s="28" t="n">
        <v>2023</v>
      </c>
      <c r="C2114" s="28" t="s">
        <v>332</v>
      </c>
      <c r="D2114" s="28" t="s">
        <v>55</v>
      </c>
      <c r="E2114" s="28" t="s">
        <v>552</v>
      </c>
      <c r="F2114" s="28" t="s">
        <v>142</v>
      </c>
      <c r="G2114" s="28" t="s">
        <v>143</v>
      </c>
      <c r="H2114" s="28" t="s">
        <v>372</v>
      </c>
      <c r="I2114" s="29" t="n">
        <v>994000</v>
      </c>
      <c r="J2114" s="29" t="n">
        <v>745500</v>
      </c>
      <c r="K2114" s="28" t="n">
        <v>10.25</v>
      </c>
      <c r="L2114" s="28" t="n">
        <v>300</v>
      </c>
      <c r="M2114" s="28" t="n">
        <v>8</v>
      </c>
    </row>
    <row r="2115" customFormat="false" ht="15" hidden="false" customHeight="false" outlineLevel="0" collapsed="false">
      <c r="A2115" s="27" t="n">
        <v>44943</v>
      </c>
      <c r="B2115" s="28" t="n">
        <v>2023</v>
      </c>
      <c r="C2115" s="28" t="s">
        <v>198</v>
      </c>
      <c r="D2115" s="28" t="s">
        <v>43</v>
      </c>
      <c r="E2115" s="28" t="s">
        <v>732</v>
      </c>
      <c r="F2115" s="28" t="s">
        <v>194</v>
      </c>
      <c r="G2115" s="28" t="s">
        <v>148</v>
      </c>
      <c r="H2115" s="28" t="s">
        <v>937</v>
      </c>
      <c r="I2115" s="29" t="n">
        <v>500000</v>
      </c>
      <c r="J2115" s="29" t="n">
        <v>375000</v>
      </c>
      <c r="K2115" s="28" t="n">
        <v>10.25</v>
      </c>
      <c r="L2115" s="28" t="n">
        <v>94</v>
      </c>
      <c r="M2115" s="28" t="n">
        <v>3</v>
      </c>
    </row>
    <row r="2116" customFormat="false" ht="15" hidden="false" customHeight="false" outlineLevel="0" collapsed="false">
      <c r="A2116" s="27" t="n">
        <v>44943</v>
      </c>
      <c r="B2116" s="28" t="n">
        <v>2023</v>
      </c>
      <c r="C2116" s="28" t="s">
        <v>145</v>
      </c>
      <c r="D2116" s="28" t="s">
        <v>47</v>
      </c>
      <c r="E2116" s="28" t="s">
        <v>938</v>
      </c>
      <c r="F2116" s="28" t="s">
        <v>142</v>
      </c>
      <c r="G2116" s="28" t="s">
        <v>143</v>
      </c>
      <c r="H2116" s="28" t="s">
        <v>306</v>
      </c>
      <c r="I2116" s="29" t="n">
        <v>250000</v>
      </c>
      <c r="J2116" s="29" t="n">
        <v>187500</v>
      </c>
      <c r="K2116" s="28" t="n">
        <v>8.5</v>
      </c>
      <c r="L2116" s="28" t="n">
        <v>120</v>
      </c>
      <c r="M2116" s="28" t="n">
        <v>11</v>
      </c>
    </row>
    <row r="2117" customFormat="false" ht="15" hidden="false" customHeight="false" outlineLevel="0" collapsed="false">
      <c r="A2117" s="27" t="n">
        <v>44944</v>
      </c>
      <c r="B2117" s="28" t="n">
        <v>2023</v>
      </c>
      <c r="C2117" s="28" t="s">
        <v>172</v>
      </c>
      <c r="D2117" s="28" t="s">
        <v>48</v>
      </c>
      <c r="E2117" s="28" t="s">
        <v>815</v>
      </c>
      <c r="F2117" s="28" t="s">
        <v>147</v>
      </c>
      <c r="G2117" s="28" t="s">
        <v>441</v>
      </c>
      <c r="H2117" s="28" t="s">
        <v>168</v>
      </c>
      <c r="I2117" s="29" t="n">
        <v>15000</v>
      </c>
      <c r="J2117" s="29" t="n">
        <v>7500</v>
      </c>
      <c r="K2117" s="28" t="n">
        <v>14</v>
      </c>
      <c r="L2117" s="28" t="n">
        <v>120</v>
      </c>
      <c r="M2117" s="28" t="n">
        <v>3</v>
      </c>
    </row>
    <row r="2118" customFormat="false" ht="15" hidden="false" customHeight="false" outlineLevel="0" collapsed="false">
      <c r="A2118" s="27" t="n">
        <v>44944</v>
      </c>
      <c r="B2118" s="28" t="n">
        <v>2023</v>
      </c>
      <c r="C2118" s="28" t="s">
        <v>265</v>
      </c>
      <c r="D2118" s="28" t="s">
        <v>43</v>
      </c>
      <c r="E2118" s="28" t="s">
        <v>830</v>
      </c>
      <c r="F2118" s="28" t="s">
        <v>142</v>
      </c>
      <c r="G2118" s="28" t="s">
        <v>148</v>
      </c>
      <c r="H2118" s="28" t="s">
        <v>469</v>
      </c>
      <c r="I2118" s="29" t="n">
        <v>118000</v>
      </c>
      <c r="J2118" s="29" t="n">
        <v>100300</v>
      </c>
      <c r="K2118" s="28" t="n">
        <v>7.75</v>
      </c>
      <c r="L2118" s="28" t="n">
        <v>84</v>
      </c>
      <c r="M2118" s="28" t="n">
        <v>1</v>
      </c>
    </row>
    <row r="2119" customFormat="false" ht="15" hidden="false" customHeight="false" outlineLevel="0" collapsed="false">
      <c r="A2119" s="27" t="n">
        <v>44945</v>
      </c>
      <c r="B2119" s="28" t="n">
        <v>2023</v>
      </c>
      <c r="C2119" s="28" t="s">
        <v>163</v>
      </c>
      <c r="D2119" s="28" t="s">
        <v>46</v>
      </c>
      <c r="E2119" s="28" t="s">
        <v>746</v>
      </c>
      <c r="F2119" s="28" t="s">
        <v>142</v>
      </c>
      <c r="G2119" s="28" t="s">
        <v>148</v>
      </c>
      <c r="H2119" s="28" t="s">
        <v>494</v>
      </c>
      <c r="I2119" s="29" t="n">
        <v>329000</v>
      </c>
      <c r="J2119" s="29" t="n">
        <v>246750</v>
      </c>
      <c r="K2119" s="28" t="n">
        <v>10.75</v>
      </c>
      <c r="L2119" s="28" t="n">
        <v>120</v>
      </c>
      <c r="M2119" s="28" t="n">
        <v>1</v>
      </c>
    </row>
    <row r="2120" customFormat="false" ht="15" hidden="false" customHeight="false" outlineLevel="0" collapsed="false">
      <c r="A2120" s="27" t="n">
        <v>44945</v>
      </c>
      <c r="B2120" s="28" t="n">
        <v>2023</v>
      </c>
      <c r="C2120" s="28" t="s">
        <v>349</v>
      </c>
      <c r="D2120" s="28" t="s">
        <v>42</v>
      </c>
      <c r="E2120" s="28" t="s">
        <v>705</v>
      </c>
      <c r="F2120" s="28" t="s">
        <v>142</v>
      </c>
      <c r="G2120" s="28" t="s">
        <v>152</v>
      </c>
      <c r="H2120" s="28" t="s">
        <v>325</v>
      </c>
      <c r="I2120" s="29" t="n">
        <v>3104000</v>
      </c>
      <c r="J2120" s="29" t="n">
        <v>2328000</v>
      </c>
      <c r="K2120" s="28" t="n">
        <v>7.5</v>
      </c>
      <c r="L2120" s="28" t="n">
        <v>300</v>
      </c>
      <c r="M2120" s="28" t="n">
        <v>8</v>
      </c>
    </row>
    <row r="2121" customFormat="false" ht="15" hidden="false" customHeight="false" outlineLevel="0" collapsed="false">
      <c r="A2121" s="27" t="n">
        <v>44946</v>
      </c>
      <c r="B2121" s="28" t="n">
        <v>2023</v>
      </c>
      <c r="C2121" s="28" t="s">
        <v>257</v>
      </c>
      <c r="D2121" s="28" t="s">
        <v>46</v>
      </c>
      <c r="E2121" s="28" t="s">
        <v>727</v>
      </c>
      <c r="F2121" s="28" t="s">
        <v>142</v>
      </c>
      <c r="G2121" s="28" t="s">
        <v>152</v>
      </c>
      <c r="H2121" s="28" t="s">
        <v>144</v>
      </c>
      <c r="I2121" s="29" t="n">
        <v>1200000</v>
      </c>
      <c r="J2121" s="29" t="n">
        <v>900000</v>
      </c>
      <c r="K2121" s="28" t="n">
        <v>8.5</v>
      </c>
      <c r="L2121" s="28" t="n">
        <v>120</v>
      </c>
      <c r="M2121" s="28" t="n">
        <v>202</v>
      </c>
    </row>
    <row r="2122" customFormat="false" ht="15" hidden="false" customHeight="false" outlineLevel="0" collapsed="false">
      <c r="A2122" s="27" t="n">
        <v>44946</v>
      </c>
      <c r="B2122" s="28" t="n">
        <v>2023</v>
      </c>
      <c r="C2122" s="28" t="s">
        <v>169</v>
      </c>
      <c r="D2122" s="28" t="s">
        <v>44</v>
      </c>
      <c r="E2122" s="28" t="s">
        <v>863</v>
      </c>
      <c r="F2122" s="28" t="s">
        <v>147</v>
      </c>
      <c r="G2122" s="28" t="s">
        <v>148</v>
      </c>
      <c r="H2122" s="28" t="s">
        <v>205</v>
      </c>
      <c r="I2122" s="29" t="n">
        <v>39000</v>
      </c>
      <c r="J2122" s="29" t="n">
        <v>19500</v>
      </c>
      <c r="K2122" s="28" t="n">
        <v>13.3</v>
      </c>
      <c r="L2122" s="28" t="n">
        <v>120</v>
      </c>
      <c r="M2122" s="28" t="n">
        <v>4</v>
      </c>
    </row>
    <row r="2123" customFormat="false" ht="15" hidden="false" customHeight="false" outlineLevel="0" collapsed="false">
      <c r="A2123" s="27" t="n">
        <v>44946</v>
      </c>
      <c r="B2123" s="28" t="n">
        <v>2023</v>
      </c>
      <c r="C2123" s="28" t="s">
        <v>166</v>
      </c>
      <c r="D2123" s="28" t="s">
        <v>43</v>
      </c>
      <c r="E2123" s="28" t="s">
        <v>871</v>
      </c>
      <c r="F2123" s="28" t="s">
        <v>142</v>
      </c>
      <c r="G2123" s="28" t="s">
        <v>152</v>
      </c>
      <c r="H2123" s="28" t="s">
        <v>592</v>
      </c>
      <c r="I2123" s="29" t="n">
        <v>520000</v>
      </c>
      <c r="J2123" s="29" t="n">
        <v>390000</v>
      </c>
      <c r="K2123" s="28" t="n">
        <v>9.5</v>
      </c>
      <c r="L2123" s="28" t="n">
        <v>120</v>
      </c>
      <c r="M2123" s="28" t="n">
        <v>4</v>
      </c>
    </row>
    <row r="2124" customFormat="false" ht="15" hidden="false" customHeight="false" outlineLevel="0" collapsed="false">
      <c r="A2124" s="27" t="n">
        <v>44946</v>
      </c>
      <c r="B2124" s="28" t="n">
        <v>2023</v>
      </c>
      <c r="C2124" s="28" t="s">
        <v>272</v>
      </c>
      <c r="D2124" s="28" t="s">
        <v>49</v>
      </c>
      <c r="E2124" s="28" t="s">
        <v>939</v>
      </c>
      <c r="F2124" s="28" t="s">
        <v>142</v>
      </c>
      <c r="G2124" s="28" t="s">
        <v>148</v>
      </c>
      <c r="H2124" s="28" t="s">
        <v>171</v>
      </c>
      <c r="I2124" s="29" t="n">
        <v>150000</v>
      </c>
      <c r="J2124" s="29" t="n">
        <v>127500</v>
      </c>
      <c r="K2124" s="28" t="n">
        <v>11.25</v>
      </c>
      <c r="L2124" s="28" t="n">
        <v>120</v>
      </c>
      <c r="M2124" s="28" t="n">
        <v>2</v>
      </c>
    </row>
    <row r="2125" customFormat="false" ht="15" hidden="false" customHeight="false" outlineLevel="0" collapsed="false">
      <c r="A2125" s="27" t="n">
        <v>44946</v>
      </c>
      <c r="B2125" s="28" t="n">
        <v>2023</v>
      </c>
      <c r="C2125" s="28" t="s">
        <v>206</v>
      </c>
      <c r="D2125" s="28" t="s">
        <v>44</v>
      </c>
      <c r="E2125" s="28" t="s">
        <v>751</v>
      </c>
      <c r="F2125" s="28" t="s">
        <v>142</v>
      </c>
      <c r="G2125" s="28" t="s">
        <v>441</v>
      </c>
      <c r="H2125" s="28" t="s">
        <v>269</v>
      </c>
      <c r="I2125" s="29" t="n">
        <v>31000</v>
      </c>
      <c r="J2125" s="29" t="n">
        <v>26350</v>
      </c>
      <c r="K2125" s="28" t="n">
        <v>11.25</v>
      </c>
      <c r="L2125" s="28" t="n">
        <v>120</v>
      </c>
      <c r="M2125" s="28" t="n">
        <v>6</v>
      </c>
    </row>
    <row r="2126" customFormat="false" ht="15" hidden="false" customHeight="false" outlineLevel="0" collapsed="false">
      <c r="A2126" s="27" t="n">
        <v>44950</v>
      </c>
      <c r="B2126" s="28" t="n">
        <v>2023</v>
      </c>
      <c r="C2126" s="28" t="s">
        <v>169</v>
      </c>
      <c r="D2126" s="28" t="s">
        <v>48</v>
      </c>
      <c r="E2126" s="28" t="s">
        <v>362</v>
      </c>
      <c r="F2126" s="28" t="s">
        <v>147</v>
      </c>
      <c r="G2126" s="28" t="s">
        <v>148</v>
      </c>
      <c r="H2126" s="28" t="s">
        <v>159</v>
      </c>
      <c r="I2126" s="29" t="n">
        <v>10200</v>
      </c>
      <c r="J2126" s="29" t="n">
        <v>5100</v>
      </c>
      <c r="K2126" s="28" t="n">
        <v>8.99</v>
      </c>
      <c r="L2126" s="28" t="n">
        <v>60</v>
      </c>
      <c r="M2126" s="28" t="n">
        <v>4</v>
      </c>
    </row>
    <row r="2127" customFormat="false" ht="15" hidden="false" customHeight="false" outlineLevel="0" collapsed="false">
      <c r="A2127" s="27" t="n">
        <v>44950</v>
      </c>
      <c r="B2127" s="28" t="n">
        <v>2023</v>
      </c>
      <c r="C2127" s="28" t="s">
        <v>243</v>
      </c>
      <c r="D2127" s="28" t="s">
        <v>43</v>
      </c>
      <c r="E2127" s="28" t="s">
        <v>830</v>
      </c>
      <c r="F2127" s="28" t="s">
        <v>142</v>
      </c>
      <c r="G2127" s="28" t="s">
        <v>148</v>
      </c>
      <c r="H2127" s="28" t="s">
        <v>200</v>
      </c>
      <c r="I2127" s="29" t="n">
        <v>320000</v>
      </c>
      <c r="J2127" s="29" t="n">
        <v>240000</v>
      </c>
      <c r="K2127" s="28" t="n">
        <v>10.5</v>
      </c>
      <c r="L2127" s="28" t="n">
        <v>120</v>
      </c>
      <c r="M2127" s="28" t="n">
        <v>14</v>
      </c>
    </row>
    <row r="2128" customFormat="false" ht="15" hidden="false" customHeight="false" outlineLevel="0" collapsed="false">
      <c r="A2128" s="27" t="n">
        <v>44950</v>
      </c>
      <c r="B2128" s="28" t="n">
        <v>2023</v>
      </c>
      <c r="C2128" s="28" t="s">
        <v>203</v>
      </c>
      <c r="D2128" s="28" t="s">
        <v>48</v>
      </c>
      <c r="E2128" s="28" t="s">
        <v>840</v>
      </c>
      <c r="F2128" s="28" t="s">
        <v>142</v>
      </c>
      <c r="G2128" s="28" t="s">
        <v>152</v>
      </c>
      <c r="H2128" s="28" t="s">
        <v>281</v>
      </c>
      <c r="I2128" s="29" t="n">
        <v>359000</v>
      </c>
      <c r="J2128" s="29" t="n">
        <v>269250</v>
      </c>
      <c r="K2128" s="28" t="n">
        <v>10</v>
      </c>
      <c r="L2128" s="28" t="n">
        <v>120</v>
      </c>
      <c r="M2128" s="28" t="n">
        <v>5</v>
      </c>
    </row>
    <row r="2129" customFormat="false" ht="15" hidden="false" customHeight="false" outlineLevel="0" collapsed="false">
      <c r="A2129" s="27" t="n">
        <v>44950</v>
      </c>
      <c r="B2129" s="28" t="n">
        <v>2023</v>
      </c>
      <c r="C2129" s="28" t="s">
        <v>169</v>
      </c>
      <c r="D2129" s="28" t="s">
        <v>48</v>
      </c>
      <c r="E2129" s="28" t="s">
        <v>362</v>
      </c>
      <c r="F2129" s="28" t="s">
        <v>147</v>
      </c>
      <c r="G2129" s="28" t="s">
        <v>148</v>
      </c>
      <c r="H2129" s="28" t="s">
        <v>159</v>
      </c>
      <c r="I2129" s="29" t="n">
        <v>15000</v>
      </c>
      <c r="J2129" s="29" t="n">
        <v>7500</v>
      </c>
      <c r="K2129" s="28" t="n">
        <v>14</v>
      </c>
      <c r="L2129" s="28" t="n">
        <v>97</v>
      </c>
      <c r="M2129" s="28" t="n">
        <v>4</v>
      </c>
    </row>
    <row r="2130" customFormat="false" ht="15" hidden="false" customHeight="false" outlineLevel="0" collapsed="false">
      <c r="A2130" s="27" t="n">
        <v>44951</v>
      </c>
      <c r="B2130" s="28" t="n">
        <v>2023</v>
      </c>
      <c r="C2130" s="28" t="s">
        <v>230</v>
      </c>
      <c r="D2130" s="28" t="s">
        <v>52</v>
      </c>
      <c r="E2130" s="28" t="s">
        <v>720</v>
      </c>
      <c r="F2130" s="28" t="s">
        <v>147</v>
      </c>
      <c r="G2130" s="28" t="s">
        <v>441</v>
      </c>
      <c r="H2130" s="28" t="s">
        <v>220</v>
      </c>
      <c r="I2130" s="29" t="n">
        <v>45600</v>
      </c>
      <c r="J2130" s="29" t="n">
        <v>22800</v>
      </c>
      <c r="K2130" s="28" t="n">
        <v>11</v>
      </c>
      <c r="L2130" s="28" t="n">
        <v>84</v>
      </c>
      <c r="M2130" s="28" t="n">
        <v>1</v>
      </c>
    </row>
    <row r="2131" customFormat="false" ht="15" hidden="false" customHeight="false" outlineLevel="0" collapsed="false">
      <c r="A2131" s="27" t="n">
        <v>44951</v>
      </c>
      <c r="B2131" s="28" t="n">
        <v>2023</v>
      </c>
      <c r="C2131" s="28" t="s">
        <v>169</v>
      </c>
      <c r="D2131" s="28" t="s">
        <v>48</v>
      </c>
      <c r="E2131" s="28" t="s">
        <v>765</v>
      </c>
      <c r="F2131" s="28" t="s">
        <v>147</v>
      </c>
      <c r="G2131" s="28" t="s">
        <v>148</v>
      </c>
      <c r="H2131" s="28" t="s">
        <v>159</v>
      </c>
      <c r="I2131" s="29" t="n">
        <v>50000</v>
      </c>
      <c r="J2131" s="29" t="n">
        <v>25000</v>
      </c>
      <c r="K2131" s="28" t="n">
        <v>9.75</v>
      </c>
      <c r="L2131" s="28" t="n">
        <v>120</v>
      </c>
      <c r="M2131" s="28" t="n">
        <v>2</v>
      </c>
    </row>
    <row r="2132" customFormat="false" ht="15" hidden="false" customHeight="false" outlineLevel="0" collapsed="false">
      <c r="A2132" s="27" t="n">
        <v>44951</v>
      </c>
      <c r="B2132" s="28" t="n">
        <v>2023</v>
      </c>
      <c r="C2132" s="28" t="s">
        <v>527</v>
      </c>
      <c r="D2132" s="28" t="s">
        <v>49</v>
      </c>
      <c r="E2132" s="28" t="s">
        <v>940</v>
      </c>
      <c r="F2132" s="28" t="s">
        <v>142</v>
      </c>
      <c r="G2132" s="28" t="s">
        <v>148</v>
      </c>
      <c r="H2132" s="28" t="s">
        <v>179</v>
      </c>
      <c r="I2132" s="29" t="n">
        <v>808000</v>
      </c>
      <c r="J2132" s="29" t="n">
        <v>606000</v>
      </c>
      <c r="K2132" s="28" t="n">
        <v>8.5</v>
      </c>
      <c r="L2132" s="28" t="n">
        <v>300</v>
      </c>
      <c r="M2132" s="28" t="n">
        <v>2</v>
      </c>
    </row>
    <row r="2133" customFormat="false" ht="15" hidden="false" customHeight="false" outlineLevel="0" collapsed="false">
      <c r="A2133" s="27" t="n">
        <v>44952</v>
      </c>
      <c r="B2133" s="28" t="n">
        <v>2023</v>
      </c>
      <c r="C2133" s="28" t="s">
        <v>310</v>
      </c>
      <c r="D2133" s="28" t="s">
        <v>43</v>
      </c>
      <c r="E2133" s="28" t="s">
        <v>245</v>
      </c>
      <c r="F2133" s="28" t="s">
        <v>283</v>
      </c>
      <c r="G2133" s="28" t="s">
        <v>148</v>
      </c>
      <c r="H2133" s="28" t="s">
        <v>306</v>
      </c>
      <c r="I2133" s="29" t="n">
        <v>500000</v>
      </c>
      <c r="J2133" s="29" t="n">
        <v>375000</v>
      </c>
      <c r="K2133" s="28" t="n">
        <v>9.25</v>
      </c>
      <c r="L2133" s="28" t="n">
        <v>120</v>
      </c>
      <c r="M2133" s="28" t="n">
        <v>5</v>
      </c>
    </row>
    <row r="2134" customFormat="false" ht="15" hidden="false" customHeight="false" outlineLevel="0" collapsed="false">
      <c r="A2134" s="27" t="n">
        <v>44953</v>
      </c>
      <c r="B2134" s="28" t="n">
        <v>2023</v>
      </c>
      <c r="C2134" s="28" t="s">
        <v>183</v>
      </c>
      <c r="D2134" s="28" t="s">
        <v>46</v>
      </c>
      <c r="E2134" s="28" t="s">
        <v>746</v>
      </c>
      <c r="F2134" s="28" t="s">
        <v>142</v>
      </c>
      <c r="G2134" s="28" t="s">
        <v>148</v>
      </c>
      <c r="H2134" s="28" t="s">
        <v>281</v>
      </c>
      <c r="I2134" s="29" t="n">
        <v>998300</v>
      </c>
      <c r="J2134" s="29" t="n">
        <v>748725</v>
      </c>
      <c r="K2134" s="28" t="n">
        <v>7.5</v>
      </c>
      <c r="L2134" s="28" t="n">
        <v>300</v>
      </c>
      <c r="M2134" s="28" t="n">
        <v>1</v>
      </c>
    </row>
    <row r="2135" customFormat="false" ht="15" hidden="false" customHeight="false" outlineLevel="0" collapsed="false">
      <c r="A2135" s="27" t="n">
        <v>44956</v>
      </c>
      <c r="B2135" s="28" t="n">
        <v>2023</v>
      </c>
      <c r="C2135" s="28" t="s">
        <v>252</v>
      </c>
      <c r="D2135" s="28" t="s">
        <v>52</v>
      </c>
      <c r="E2135" s="28" t="s">
        <v>731</v>
      </c>
      <c r="F2135" s="28" t="s">
        <v>147</v>
      </c>
      <c r="G2135" s="28" t="s">
        <v>148</v>
      </c>
      <c r="H2135" s="28" t="s">
        <v>191</v>
      </c>
      <c r="I2135" s="29" t="n">
        <v>25000</v>
      </c>
      <c r="J2135" s="29" t="n">
        <v>12500</v>
      </c>
      <c r="K2135" s="28" t="n">
        <v>11.4</v>
      </c>
      <c r="L2135" s="28" t="n">
        <v>120</v>
      </c>
      <c r="M2135" s="28" t="n">
        <v>0</v>
      </c>
    </row>
    <row r="2136" customFormat="false" ht="15" hidden="false" customHeight="false" outlineLevel="0" collapsed="false">
      <c r="A2136" s="27" t="n">
        <v>44956</v>
      </c>
      <c r="B2136" s="28" t="n">
        <v>2023</v>
      </c>
      <c r="C2136" s="28" t="s">
        <v>172</v>
      </c>
      <c r="D2136" s="28" t="s">
        <v>44</v>
      </c>
      <c r="E2136" s="28" t="s">
        <v>863</v>
      </c>
      <c r="F2136" s="28" t="s">
        <v>147</v>
      </c>
      <c r="G2136" s="28" t="s">
        <v>143</v>
      </c>
      <c r="H2136" s="28" t="s">
        <v>799</v>
      </c>
      <c r="I2136" s="29" t="n">
        <v>150000</v>
      </c>
      <c r="J2136" s="29" t="n">
        <v>75000</v>
      </c>
      <c r="K2136" s="28" t="n">
        <v>10</v>
      </c>
      <c r="L2136" s="28" t="n">
        <v>120</v>
      </c>
      <c r="M2136" s="28" t="n">
        <v>1</v>
      </c>
    </row>
    <row r="2137" customFormat="false" ht="15" hidden="false" customHeight="false" outlineLevel="0" collapsed="false">
      <c r="A2137" s="27" t="n">
        <v>44956</v>
      </c>
      <c r="B2137" s="28" t="n">
        <v>2023</v>
      </c>
      <c r="C2137" s="28" t="s">
        <v>163</v>
      </c>
      <c r="D2137" s="28" t="s">
        <v>50</v>
      </c>
      <c r="E2137" s="28" t="s">
        <v>754</v>
      </c>
      <c r="F2137" s="28" t="s">
        <v>142</v>
      </c>
      <c r="G2137" s="28" t="s">
        <v>143</v>
      </c>
      <c r="H2137" s="28" t="s">
        <v>287</v>
      </c>
      <c r="I2137" s="29" t="n">
        <v>150000</v>
      </c>
      <c r="J2137" s="29" t="n">
        <v>127500</v>
      </c>
      <c r="K2137" s="28" t="n">
        <v>10.25</v>
      </c>
      <c r="L2137" s="28" t="n">
        <v>120</v>
      </c>
      <c r="M2137" s="28" t="n">
        <v>2</v>
      </c>
    </row>
    <row r="2138" customFormat="false" ht="15" hidden="false" customHeight="false" outlineLevel="0" collapsed="false">
      <c r="A2138" s="27" t="n">
        <v>44956</v>
      </c>
      <c r="B2138" s="28" t="n">
        <v>2023</v>
      </c>
      <c r="C2138" s="28" t="s">
        <v>172</v>
      </c>
      <c r="D2138" s="28" t="s">
        <v>56</v>
      </c>
      <c r="E2138" s="28" t="s">
        <v>772</v>
      </c>
      <c r="F2138" s="28" t="s">
        <v>142</v>
      </c>
      <c r="G2138" s="28" t="s">
        <v>148</v>
      </c>
      <c r="H2138" s="28" t="s">
        <v>372</v>
      </c>
      <c r="I2138" s="29" t="n">
        <v>440000</v>
      </c>
      <c r="J2138" s="29" t="n">
        <v>330000</v>
      </c>
      <c r="K2138" s="28" t="n">
        <v>9.75</v>
      </c>
      <c r="L2138" s="28" t="n">
        <v>108</v>
      </c>
      <c r="M2138" s="28" t="n">
        <v>11</v>
      </c>
    </row>
    <row r="2139" customFormat="false" ht="15" hidden="false" customHeight="false" outlineLevel="0" collapsed="false">
      <c r="A2139" s="27" t="n">
        <v>44956</v>
      </c>
      <c r="B2139" s="28" t="n">
        <v>2023</v>
      </c>
      <c r="C2139" s="28" t="s">
        <v>206</v>
      </c>
      <c r="D2139" s="28" t="s">
        <v>54</v>
      </c>
      <c r="E2139" s="28" t="s">
        <v>791</v>
      </c>
      <c r="F2139" s="28" t="s">
        <v>142</v>
      </c>
      <c r="G2139" s="28" t="s">
        <v>148</v>
      </c>
      <c r="H2139" s="28" t="s">
        <v>667</v>
      </c>
      <c r="I2139" s="29" t="n">
        <v>301500</v>
      </c>
      <c r="J2139" s="29" t="n">
        <v>226125</v>
      </c>
      <c r="K2139" s="28" t="n">
        <v>8.49</v>
      </c>
      <c r="L2139" s="28" t="n">
        <v>300</v>
      </c>
      <c r="M2139" s="28" t="n">
        <v>5</v>
      </c>
    </row>
    <row r="2140" customFormat="false" ht="15" hidden="false" customHeight="false" outlineLevel="0" collapsed="false">
      <c r="A2140" s="27" t="n">
        <v>44957</v>
      </c>
      <c r="B2140" s="28" t="n">
        <v>2023</v>
      </c>
      <c r="C2140" s="28" t="s">
        <v>172</v>
      </c>
      <c r="D2140" s="28" t="s">
        <v>48</v>
      </c>
      <c r="E2140" s="28" t="s">
        <v>704</v>
      </c>
      <c r="F2140" s="28" t="s">
        <v>194</v>
      </c>
      <c r="G2140" s="28" t="s">
        <v>152</v>
      </c>
      <c r="H2140" s="28" t="s">
        <v>799</v>
      </c>
      <c r="I2140" s="29" t="n">
        <v>2037000</v>
      </c>
      <c r="J2140" s="29" t="n">
        <v>1527750</v>
      </c>
      <c r="K2140" s="28" t="n">
        <v>10.25</v>
      </c>
      <c r="L2140" s="28" t="n">
        <v>120</v>
      </c>
      <c r="M2140" s="28" t="n">
        <v>7</v>
      </c>
    </row>
    <row r="2141" customFormat="false" ht="15" hidden="false" customHeight="false" outlineLevel="0" collapsed="false">
      <c r="A2141" s="27" t="n">
        <v>44957</v>
      </c>
      <c r="B2141" s="28" t="n">
        <v>2023</v>
      </c>
      <c r="C2141" s="28" t="s">
        <v>169</v>
      </c>
      <c r="D2141" s="28" t="s">
        <v>45</v>
      </c>
      <c r="E2141" s="28" t="s">
        <v>824</v>
      </c>
      <c r="F2141" s="28" t="s">
        <v>147</v>
      </c>
      <c r="G2141" s="28" t="s">
        <v>148</v>
      </c>
      <c r="H2141" s="28" t="s">
        <v>799</v>
      </c>
      <c r="I2141" s="29" t="n">
        <v>100000</v>
      </c>
      <c r="J2141" s="29" t="n">
        <v>50000</v>
      </c>
      <c r="K2141" s="28" t="n">
        <v>10.25</v>
      </c>
      <c r="L2141" s="28" t="n">
        <v>120</v>
      </c>
      <c r="M2141" s="28" t="n">
        <v>17</v>
      </c>
    </row>
    <row r="2142" customFormat="false" ht="15" hidden="false" customHeight="false" outlineLevel="0" collapsed="false">
      <c r="A2142" s="27" t="n">
        <v>44957</v>
      </c>
      <c r="B2142" s="28" t="n">
        <v>2023</v>
      </c>
      <c r="C2142" s="28" t="s">
        <v>169</v>
      </c>
      <c r="D2142" s="28" t="s">
        <v>45</v>
      </c>
      <c r="E2142" s="28" t="s">
        <v>824</v>
      </c>
      <c r="F2142" s="28" t="s">
        <v>194</v>
      </c>
      <c r="G2142" s="28" t="s">
        <v>148</v>
      </c>
      <c r="H2142" s="28" t="s">
        <v>799</v>
      </c>
      <c r="I2142" s="29" t="n">
        <v>400000</v>
      </c>
      <c r="J2142" s="29" t="n">
        <v>300000</v>
      </c>
      <c r="K2142" s="28" t="n">
        <v>10.25</v>
      </c>
      <c r="L2142" s="28" t="n">
        <v>120</v>
      </c>
      <c r="M2142" s="28" t="n">
        <v>17</v>
      </c>
    </row>
    <row r="2143" customFormat="false" ht="15" hidden="false" customHeight="false" outlineLevel="0" collapsed="false">
      <c r="A2143" s="27" t="n">
        <v>44957</v>
      </c>
      <c r="B2143" s="28" t="n">
        <v>2023</v>
      </c>
      <c r="C2143" s="28" t="s">
        <v>310</v>
      </c>
      <c r="D2143" s="28" t="s">
        <v>46</v>
      </c>
      <c r="E2143" s="28" t="s">
        <v>930</v>
      </c>
      <c r="F2143" s="28" t="s">
        <v>283</v>
      </c>
      <c r="G2143" s="28" t="s">
        <v>148</v>
      </c>
      <c r="H2143" s="28" t="s">
        <v>306</v>
      </c>
      <c r="I2143" s="29" t="n">
        <v>100000</v>
      </c>
      <c r="J2143" s="29" t="n">
        <v>85000</v>
      </c>
      <c r="K2143" s="28" t="n">
        <v>8.5</v>
      </c>
      <c r="L2143" s="28" t="n">
        <v>120</v>
      </c>
      <c r="M2143" s="28" t="n">
        <v>6</v>
      </c>
    </row>
    <row r="2144" customFormat="false" ht="15" hidden="false" customHeight="false" outlineLevel="0" collapsed="false">
      <c r="A2144" s="27" t="n">
        <v>44957</v>
      </c>
      <c r="B2144" s="28" t="n">
        <v>2023</v>
      </c>
      <c r="C2144" s="28" t="s">
        <v>169</v>
      </c>
      <c r="D2144" s="28" t="s">
        <v>42</v>
      </c>
      <c r="E2144" s="28" t="s">
        <v>717</v>
      </c>
      <c r="F2144" s="28" t="s">
        <v>147</v>
      </c>
      <c r="G2144" s="28" t="s">
        <v>441</v>
      </c>
      <c r="H2144" s="28" t="s">
        <v>191</v>
      </c>
      <c r="I2144" s="29" t="n">
        <v>25000</v>
      </c>
      <c r="J2144" s="29" t="n">
        <v>12500</v>
      </c>
      <c r="K2144" s="28" t="n">
        <v>12.9</v>
      </c>
      <c r="L2144" s="28" t="n">
        <v>112</v>
      </c>
      <c r="M2144" s="28" t="n">
        <v>0</v>
      </c>
    </row>
    <row r="2145" customFormat="false" ht="15" hidden="false" customHeight="false" outlineLevel="0" collapsed="false">
      <c r="A2145" s="27" t="n">
        <v>44957</v>
      </c>
      <c r="B2145" s="28" t="n">
        <v>2023</v>
      </c>
      <c r="C2145" s="28" t="s">
        <v>206</v>
      </c>
      <c r="D2145" s="28" t="s">
        <v>48</v>
      </c>
      <c r="E2145" s="28" t="s">
        <v>736</v>
      </c>
      <c r="F2145" s="28" t="s">
        <v>142</v>
      </c>
      <c r="G2145" s="28" t="s">
        <v>148</v>
      </c>
      <c r="H2145" s="28" t="s">
        <v>171</v>
      </c>
      <c r="I2145" s="29" t="n">
        <v>150000</v>
      </c>
      <c r="J2145" s="29" t="n">
        <v>127500</v>
      </c>
      <c r="K2145" s="28" t="n">
        <v>11.25</v>
      </c>
      <c r="L2145" s="28" t="n">
        <v>120</v>
      </c>
      <c r="M2145" s="28" t="n">
        <v>6</v>
      </c>
    </row>
    <row r="2146" customFormat="false" ht="15" hidden="false" customHeight="false" outlineLevel="0" collapsed="false">
      <c r="A2146" s="27" t="n">
        <v>44958</v>
      </c>
      <c r="B2146" s="28" t="n">
        <v>2023</v>
      </c>
      <c r="C2146" s="28" t="s">
        <v>172</v>
      </c>
      <c r="D2146" s="28" t="s">
        <v>45</v>
      </c>
      <c r="E2146" s="28" t="s">
        <v>906</v>
      </c>
      <c r="F2146" s="28" t="s">
        <v>142</v>
      </c>
      <c r="G2146" s="28" t="s">
        <v>143</v>
      </c>
      <c r="H2146" s="28" t="s">
        <v>211</v>
      </c>
      <c r="I2146" s="29" t="n">
        <v>772000</v>
      </c>
      <c r="J2146" s="29" t="n">
        <v>579000</v>
      </c>
      <c r="K2146" s="28" t="n">
        <v>10</v>
      </c>
      <c r="L2146" s="28" t="n">
        <v>120</v>
      </c>
      <c r="M2146" s="28" t="n">
        <v>9</v>
      </c>
    </row>
    <row r="2147" customFormat="false" ht="15" hidden="false" customHeight="false" outlineLevel="0" collapsed="false">
      <c r="A2147" s="27" t="n">
        <v>44958</v>
      </c>
      <c r="B2147" s="28" t="n">
        <v>2023</v>
      </c>
      <c r="C2147" s="28" t="s">
        <v>169</v>
      </c>
      <c r="D2147" s="28" t="s">
        <v>42</v>
      </c>
      <c r="E2147" s="28" t="s">
        <v>717</v>
      </c>
      <c r="F2147" s="28" t="s">
        <v>142</v>
      </c>
      <c r="G2147" s="28" t="s">
        <v>143</v>
      </c>
      <c r="H2147" s="28" t="s">
        <v>211</v>
      </c>
      <c r="I2147" s="29" t="n">
        <v>773500</v>
      </c>
      <c r="J2147" s="29" t="n">
        <v>580125</v>
      </c>
      <c r="K2147" s="28" t="n">
        <v>10.25</v>
      </c>
      <c r="L2147" s="28" t="n">
        <v>120</v>
      </c>
      <c r="M2147" s="28" t="n">
        <v>73</v>
      </c>
    </row>
    <row r="2148" customFormat="false" ht="15" hidden="false" customHeight="false" outlineLevel="0" collapsed="false">
      <c r="A2148" s="27" t="n">
        <v>44959</v>
      </c>
      <c r="B2148" s="28" t="n">
        <v>2023</v>
      </c>
      <c r="C2148" s="28" t="s">
        <v>332</v>
      </c>
      <c r="D2148" s="28" t="s">
        <v>47</v>
      </c>
      <c r="E2148" s="28" t="s">
        <v>941</v>
      </c>
      <c r="F2148" s="28" t="s">
        <v>142</v>
      </c>
      <c r="G2148" s="28" t="s">
        <v>148</v>
      </c>
      <c r="H2148" s="28" t="s">
        <v>171</v>
      </c>
      <c r="I2148" s="29" t="n">
        <v>150000</v>
      </c>
      <c r="J2148" s="29" t="n">
        <v>127500</v>
      </c>
      <c r="K2148" s="28" t="n">
        <v>11.25</v>
      </c>
      <c r="L2148" s="28" t="n">
        <v>120</v>
      </c>
      <c r="M2148" s="28" t="n">
        <v>11</v>
      </c>
    </row>
    <row r="2149" customFormat="false" ht="15" hidden="false" customHeight="false" outlineLevel="0" collapsed="false">
      <c r="A2149" s="27" t="n">
        <v>44960</v>
      </c>
      <c r="B2149" s="28" t="n">
        <v>2023</v>
      </c>
      <c r="C2149" s="28" t="s">
        <v>252</v>
      </c>
      <c r="D2149" s="28" t="s">
        <v>43</v>
      </c>
      <c r="E2149" s="28" t="s">
        <v>830</v>
      </c>
      <c r="F2149" s="28" t="s">
        <v>142</v>
      </c>
      <c r="G2149" s="28" t="s">
        <v>441</v>
      </c>
      <c r="H2149" s="28" t="s">
        <v>227</v>
      </c>
      <c r="I2149" s="29" t="n">
        <v>4340000</v>
      </c>
      <c r="J2149" s="29" t="n">
        <v>3255000</v>
      </c>
      <c r="K2149" s="28" t="n">
        <v>10.25</v>
      </c>
      <c r="L2149" s="28" t="n">
        <v>303</v>
      </c>
      <c r="M2149" s="28" t="n">
        <v>24</v>
      </c>
    </row>
    <row r="2150" customFormat="false" ht="15" hidden="false" customHeight="false" outlineLevel="0" collapsed="false">
      <c r="A2150" s="27" t="n">
        <v>44960</v>
      </c>
      <c r="B2150" s="28" t="n">
        <v>2023</v>
      </c>
      <c r="C2150" s="28" t="s">
        <v>169</v>
      </c>
      <c r="D2150" s="28" t="s">
        <v>42</v>
      </c>
      <c r="E2150" s="28" t="s">
        <v>717</v>
      </c>
      <c r="F2150" s="28" t="s">
        <v>147</v>
      </c>
      <c r="G2150" s="28" t="s">
        <v>143</v>
      </c>
      <c r="H2150" s="28" t="s">
        <v>211</v>
      </c>
      <c r="I2150" s="29" t="n">
        <v>30000</v>
      </c>
      <c r="J2150" s="29" t="n">
        <v>15000</v>
      </c>
      <c r="K2150" s="28" t="n">
        <v>10.25</v>
      </c>
      <c r="L2150" s="28" t="n">
        <v>120</v>
      </c>
      <c r="M2150" s="28" t="n">
        <v>73</v>
      </c>
    </row>
    <row r="2151" customFormat="false" ht="15" hidden="false" customHeight="false" outlineLevel="0" collapsed="false">
      <c r="A2151" s="27" t="n">
        <v>44960</v>
      </c>
      <c r="B2151" s="28" t="n">
        <v>2023</v>
      </c>
      <c r="C2151" s="28" t="s">
        <v>172</v>
      </c>
      <c r="D2151" s="28" t="s">
        <v>44</v>
      </c>
      <c r="E2151" s="28" t="s">
        <v>729</v>
      </c>
      <c r="F2151" s="28" t="s">
        <v>142</v>
      </c>
      <c r="G2151" s="28" t="s">
        <v>441</v>
      </c>
      <c r="H2151" s="28" t="s">
        <v>275</v>
      </c>
      <c r="I2151" s="29" t="n">
        <v>1840000</v>
      </c>
      <c r="J2151" s="29" t="n">
        <v>1380000</v>
      </c>
      <c r="K2151" s="28" t="n">
        <v>9.5</v>
      </c>
      <c r="L2151" s="28" t="n">
        <v>300</v>
      </c>
      <c r="M2151" s="28" t="n">
        <v>1</v>
      </c>
    </row>
    <row r="2152" customFormat="false" ht="15" hidden="false" customHeight="false" outlineLevel="0" collapsed="false">
      <c r="A2152" s="27" t="n">
        <v>44963</v>
      </c>
      <c r="B2152" s="28" t="n">
        <v>2023</v>
      </c>
      <c r="C2152" s="28" t="s">
        <v>201</v>
      </c>
      <c r="D2152" s="28" t="s">
        <v>46</v>
      </c>
      <c r="E2152" s="28" t="s">
        <v>813</v>
      </c>
      <c r="F2152" s="28" t="s">
        <v>194</v>
      </c>
      <c r="G2152" s="28" t="s">
        <v>152</v>
      </c>
      <c r="H2152" s="28" t="s">
        <v>159</v>
      </c>
      <c r="I2152" s="29" t="n">
        <v>311500</v>
      </c>
      <c r="J2152" s="29" t="n">
        <v>233625</v>
      </c>
      <c r="K2152" s="28" t="n">
        <v>10.25</v>
      </c>
      <c r="L2152" s="28" t="n">
        <v>120</v>
      </c>
      <c r="M2152" s="28" t="n">
        <v>14</v>
      </c>
    </row>
    <row r="2153" customFormat="false" ht="15" hidden="false" customHeight="false" outlineLevel="0" collapsed="false">
      <c r="A2153" s="27" t="n">
        <v>44963</v>
      </c>
      <c r="B2153" s="28" t="n">
        <v>2023</v>
      </c>
      <c r="C2153" s="28" t="s">
        <v>140</v>
      </c>
      <c r="D2153" s="28" t="s">
        <v>45</v>
      </c>
      <c r="E2153" s="28" t="s">
        <v>708</v>
      </c>
      <c r="F2153" s="28" t="s">
        <v>194</v>
      </c>
      <c r="G2153" s="28" t="s">
        <v>143</v>
      </c>
      <c r="H2153" s="28" t="s">
        <v>287</v>
      </c>
      <c r="I2153" s="29" t="n">
        <v>150000</v>
      </c>
      <c r="J2153" s="29" t="n">
        <v>127500</v>
      </c>
      <c r="K2153" s="28" t="n">
        <v>10.25</v>
      </c>
      <c r="L2153" s="28" t="n">
        <v>120</v>
      </c>
      <c r="M2153" s="28" t="n">
        <v>4</v>
      </c>
    </row>
    <row r="2154" customFormat="false" ht="15" hidden="false" customHeight="false" outlineLevel="0" collapsed="false">
      <c r="A2154" s="27" t="n">
        <v>44963</v>
      </c>
      <c r="B2154" s="28" t="n">
        <v>2023</v>
      </c>
      <c r="C2154" s="28" t="s">
        <v>344</v>
      </c>
      <c r="D2154" s="28" t="s">
        <v>43</v>
      </c>
      <c r="E2154" s="28" t="s">
        <v>942</v>
      </c>
      <c r="F2154" s="28" t="s">
        <v>142</v>
      </c>
      <c r="G2154" s="28" t="s">
        <v>441</v>
      </c>
      <c r="H2154" s="28" t="s">
        <v>208</v>
      </c>
      <c r="I2154" s="29" t="n">
        <v>200000</v>
      </c>
      <c r="J2154" s="29" t="n">
        <v>150000</v>
      </c>
      <c r="K2154" s="28" t="n">
        <v>10.25</v>
      </c>
      <c r="L2154" s="28" t="n">
        <v>120</v>
      </c>
      <c r="M2154" s="28" t="n">
        <v>0</v>
      </c>
    </row>
    <row r="2155" customFormat="false" ht="15" hidden="false" customHeight="false" outlineLevel="0" collapsed="false">
      <c r="A2155" s="27" t="n">
        <v>44964</v>
      </c>
      <c r="B2155" s="28" t="n">
        <v>2023</v>
      </c>
      <c r="C2155" s="28" t="s">
        <v>169</v>
      </c>
      <c r="D2155" s="28" t="s">
        <v>43</v>
      </c>
      <c r="E2155" s="28" t="s">
        <v>816</v>
      </c>
      <c r="F2155" s="28" t="s">
        <v>194</v>
      </c>
      <c r="G2155" s="28" t="s">
        <v>143</v>
      </c>
      <c r="H2155" s="28" t="s">
        <v>516</v>
      </c>
      <c r="I2155" s="29" t="n">
        <v>975000</v>
      </c>
      <c r="J2155" s="29" t="n">
        <v>731250</v>
      </c>
      <c r="K2155" s="28" t="n">
        <v>9.25</v>
      </c>
      <c r="L2155" s="28" t="n">
        <v>120</v>
      </c>
      <c r="M2155" s="28" t="n">
        <v>12</v>
      </c>
    </row>
    <row r="2156" customFormat="false" ht="15" hidden="false" customHeight="false" outlineLevel="0" collapsed="false">
      <c r="A2156" s="27" t="n">
        <v>44965</v>
      </c>
      <c r="B2156" s="28" t="n">
        <v>2023</v>
      </c>
      <c r="C2156" s="28" t="s">
        <v>145</v>
      </c>
      <c r="D2156" s="28" t="s">
        <v>46</v>
      </c>
      <c r="E2156" s="28" t="s">
        <v>770</v>
      </c>
      <c r="F2156" s="28" t="s">
        <v>142</v>
      </c>
      <c r="G2156" s="28" t="s">
        <v>148</v>
      </c>
      <c r="H2156" s="28" t="s">
        <v>168</v>
      </c>
      <c r="I2156" s="29" t="n">
        <v>248000</v>
      </c>
      <c r="J2156" s="29" t="n">
        <v>186000</v>
      </c>
      <c r="K2156" s="28" t="n">
        <v>8.1</v>
      </c>
      <c r="L2156" s="28" t="n">
        <v>120</v>
      </c>
      <c r="M2156" s="28" t="n">
        <v>2</v>
      </c>
    </row>
    <row r="2157" customFormat="false" ht="15" hidden="false" customHeight="false" outlineLevel="0" collapsed="false">
      <c r="A2157" s="27" t="n">
        <v>44965</v>
      </c>
      <c r="B2157" s="28" t="n">
        <v>2023</v>
      </c>
      <c r="C2157" s="28" t="s">
        <v>172</v>
      </c>
      <c r="D2157" s="28" t="s">
        <v>45</v>
      </c>
      <c r="E2157" s="28" t="s">
        <v>356</v>
      </c>
      <c r="F2157" s="28" t="s">
        <v>142</v>
      </c>
      <c r="G2157" s="28" t="s">
        <v>148</v>
      </c>
      <c r="H2157" s="28" t="s">
        <v>171</v>
      </c>
      <c r="I2157" s="29" t="n">
        <v>126000</v>
      </c>
      <c r="J2157" s="29" t="n">
        <v>107100</v>
      </c>
      <c r="K2157" s="28" t="n">
        <v>11.25</v>
      </c>
      <c r="L2157" s="28" t="n">
        <v>120</v>
      </c>
      <c r="M2157" s="28" t="n">
        <v>4</v>
      </c>
    </row>
    <row r="2158" customFormat="false" ht="15" hidden="false" customHeight="false" outlineLevel="0" collapsed="false">
      <c r="A2158" s="27" t="n">
        <v>44966</v>
      </c>
      <c r="B2158" s="28" t="n">
        <v>2023</v>
      </c>
      <c r="C2158" s="28" t="s">
        <v>243</v>
      </c>
      <c r="D2158" s="28" t="s">
        <v>42</v>
      </c>
      <c r="E2158" s="28" t="s">
        <v>753</v>
      </c>
      <c r="F2158" s="28" t="s">
        <v>142</v>
      </c>
      <c r="G2158" s="28" t="s">
        <v>148</v>
      </c>
      <c r="H2158" s="28" t="s">
        <v>299</v>
      </c>
      <c r="I2158" s="29" t="n">
        <v>859600</v>
      </c>
      <c r="J2158" s="29" t="n">
        <v>644700</v>
      </c>
      <c r="K2158" s="28" t="n">
        <v>10.25</v>
      </c>
      <c r="L2158" s="28" t="n">
        <v>120</v>
      </c>
      <c r="M2158" s="28" t="n">
        <v>2</v>
      </c>
    </row>
    <row r="2159" customFormat="false" ht="15" hidden="false" customHeight="false" outlineLevel="0" collapsed="false">
      <c r="A2159" s="27" t="n">
        <v>44966</v>
      </c>
      <c r="B2159" s="28" t="n">
        <v>2023</v>
      </c>
      <c r="C2159" s="28" t="s">
        <v>196</v>
      </c>
      <c r="D2159" s="28" t="s">
        <v>48</v>
      </c>
      <c r="E2159" s="28" t="s">
        <v>304</v>
      </c>
      <c r="F2159" s="28" t="s">
        <v>147</v>
      </c>
      <c r="G2159" s="28" t="s">
        <v>441</v>
      </c>
      <c r="H2159" s="28" t="s">
        <v>159</v>
      </c>
      <c r="I2159" s="29" t="n">
        <v>75000</v>
      </c>
      <c r="J2159" s="29" t="n">
        <v>37500</v>
      </c>
      <c r="K2159" s="28" t="n">
        <v>9.75</v>
      </c>
      <c r="L2159" s="28" t="n">
        <v>120</v>
      </c>
      <c r="M2159" s="28" t="n">
        <v>6</v>
      </c>
    </row>
    <row r="2160" customFormat="false" ht="15" hidden="false" customHeight="false" outlineLevel="0" collapsed="false">
      <c r="A2160" s="27" t="n">
        <v>44966</v>
      </c>
      <c r="B2160" s="28" t="n">
        <v>2023</v>
      </c>
      <c r="C2160" s="28" t="s">
        <v>387</v>
      </c>
      <c r="D2160" s="28" t="s">
        <v>42</v>
      </c>
      <c r="E2160" s="28" t="s">
        <v>753</v>
      </c>
      <c r="F2160" s="28" t="s">
        <v>142</v>
      </c>
      <c r="G2160" s="28" t="s">
        <v>148</v>
      </c>
      <c r="H2160" s="28" t="s">
        <v>171</v>
      </c>
      <c r="I2160" s="29" t="n">
        <v>150000</v>
      </c>
      <c r="J2160" s="29" t="n">
        <v>127500</v>
      </c>
      <c r="K2160" s="28" t="n">
        <v>11.25</v>
      </c>
      <c r="L2160" s="28" t="n">
        <v>94</v>
      </c>
      <c r="M2160" s="28" t="n">
        <v>26</v>
      </c>
    </row>
    <row r="2161" customFormat="false" ht="15" hidden="false" customHeight="false" outlineLevel="0" collapsed="false">
      <c r="A2161" s="27" t="n">
        <v>44966</v>
      </c>
      <c r="B2161" s="28" t="n">
        <v>2023</v>
      </c>
      <c r="C2161" s="28" t="s">
        <v>154</v>
      </c>
      <c r="D2161" s="28" t="s">
        <v>44</v>
      </c>
      <c r="E2161" s="28" t="s">
        <v>755</v>
      </c>
      <c r="F2161" s="28" t="s">
        <v>142</v>
      </c>
      <c r="G2161" s="28" t="s">
        <v>148</v>
      </c>
      <c r="H2161" s="28" t="s">
        <v>144</v>
      </c>
      <c r="I2161" s="29" t="n">
        <v>4850000</v>
      </c>
      <c r="J2161" s="29" t="n">
        <v>3637500</v>
      </c>
      <c r="K2161" s="28" t="n">
        <v>7</v>
      </c>
      <c r="L2161" s="28" t="n">
        <v>312</v>
      </c>
      <c r="M2161" s="28" t="n">
        <v>17</v>
      </c>
    </row>
    <row r="2162" customFormat="false" ht="15" hidden="false" customHeight="false" outlineLevel="0" collapsed="false">
      <c r="A2162" s="27" t="n">
        <v>44966</v>
      </c>
      <c r="B2162" s="28" t="n">
        <v>2023</v>
      </c>
      <c r="C2162" s="28" t="s">
        <v>172</v>
      </c>
      <c r="D2162" s="28" t="s">
        <v>48</v>
      </c>
      <c r="E2162" s="28" t="s">
        <v>304</v>
      </c>
      <c r="F2162" s="28" t="s">
        <v>147</v>
      </c>
      <c r="G2162" s="28" t="s">
        <v>148</v>
      </c>
      <c r="H2162" s="28" t="s">
        <v>159</v>
      </c>
      <c r="I2162" s="29" t="n">
        <v>100000</v>
      </c>
      <c r="J2162" s="29" t="n">
        <v>50000</v>
      </c>
      <c r="K2162" s="28" t="n">
        <v>12</v>
      </c>
      <c r="L2162" s="28" t="n">
        <v>120</v>
      </c>
      <c r="M2162" s="28" t="n">
        <v>0</v>
      </c>
    </row>
    <row r="2163" customFormat="false" ht="15" hidden="false" customHeight="false" outlineLevel="0" collapsed="false">
      <c r="A2163" s="27" t="n">
        <v>44967</v>
      </c>
      <c r="B2163" s="28" t="n">
        <v>2023</v>
      </c>
      <c r="C2163" s="28" t="s">
        <v>328</v>
      </c>
      <c r="D2163" s="28" t="s">
        <v>47</v>
      </c>
      <c r="E2163" s="28" t="s">
        <v>327</v>
      </c>
      <c r="F2163" s="28" t="s">
        <v>142</v>
      </c>
      <c r="G2163" s="28" t="s">
        <v>152</v>
      </c>
      <c r="H2163" s="28" t="s">
        <v>191</v>
      </c>
      <c r="I2163" s="29" t="n">
        <v>2274700</v>
      </c>
      <c r="J2163" s="29" t="n">
        <v>1706025</v>
      </c>
      <c r="K2163" s="28" t="n">
        <v>6.75</v>
      </c>
      <c r="L2163" s="28" t="n">
        <v>120</v>
      </c>
      <c r="M2163" s="28" t="n">
        <v>58</v>
      </c>
    </row>
    <row r="2164" customFormat="false" ht="15" hidden="false" customHeight="false" outlineLevel="0" collapsed="false">
      <c r="A2164" s="27" t="n">
        <v>44967</v>
      </c>
      <c r="B2164" s="28" t="n">
        <v>2023</v>
      </c>
      <c r="C2164" s="28" t="s">
        <v>328</v>
      </c>
      <c r="D2164" s="28" t="s">
        <v>47</v>
      </c>
      <c r="E2164" s="28" t="s">
        <v>327</v>
      </c>
      <c r="F2164" s="28" t="s">
        <v>147</v>
      </c>
      <c r="G2164" s="28" t="s">
        <v>441</v>
      </c>
      <c r="H2164" s="28" t="s">
        <v>191</v>
      </c>
      <c r="I2164" s="29" t="n">
        <v>500000</v>
      </c>
      <c r="J2164" s="29" t="n">
        <v>250000</v>
      </c>
      <c r="K2164" s="28" t="n">
        <v>8.5</v>
      </c>
      <c r="L2164" s="28" t="n">
        <v>120</v>
      </c>
      <c r="M2164" s="28" t="n">
        <v>58</v>
      </c>
    </row>
    <row r="2165" customFormat="false" ht="15" hidden="false" customHeight="false" outlineLevel="0" collapsed="false">
      <c r="A2165" s="27" t="n">
        <v>44971</v>
      </c>
      <c r="B2165" s="28" t="n">
        <v>2023</v>
      </c>
      <c r="C2165" s="28" t="s">
        <v>484</v>
      </c>
      <c r="D2165" s="28" t="s">
        <v>45</v>
      </c>
      <c r="E2165" s="28" t="s">
        <v>222</v>
      </c>
      <c r="F2165" s="28" t="s">
        <v>142</v>
      </c>
      <c r="G2165" s="28" t="s">
        <v>152</v>
      </c>
      <c r="H2165" s="28" t="s">
        <v>255</v>
      </c>
      <c r="I2165" s="29" t="n">
        <v>1626500</v>
      </c>
      <c r="J2165" s="29" t="n">
        <v>1219875</v>
      </c>
      <c r="K2165" s="28" t="n">
        <v>9.25</v>
      </c>
      <c r="L2165" s="28" t="n">
        <v>300</v>
      </c>
      <c r="M2165" s="28" t="n">
        <v>19</v>
      </c>
    </row>
    <row r="2166" customFormat="false" ht="15" hidden="false" customHeight="false" outlineLevel="0" collapsed="false">
      <c r="A2166" s="27" t="n">
        <v>44971</v>
      </c>
      <c r="B2166" s="28" t="n">
        <v>2023</v>
      </c>
      <c r="C2166" s="28" t="s">
        <v>312</v>
      </c>
      <c r="D2166" s="28" t="s">
        <v>49</v>
      </c>
      <c r="E2166" s="28" t="s">
        <v>809</v>
      </c>
      <c r="F2166" s="28" t="s">
        <v>147</v>
      </c>
      <c r="G2166" s="28" t="s">
        <v>441</v>
      </c>
      <c r="H2166" s="28" t="s">
        <v>168</v>
      </c>
      <c r="I2166" s="29" t="n">
        <v>15000</v>
      </c>
      <c r="J2166" s="29" t="n">
        <v>7500</v>
      </c>
      <c r="K2166" s="28" t="n">
        <v>12</v>
      </c>
      <c r="L2166" s="28" t="n">
        <v>120</v>
      </c>
      <c r="M2166" s="28" t="n">
        <v>2</v>
      </c>
    </row>
    <row r="2167" customFormat="false" ht="15" hidden="false" customHeight="false" outlineLevel="0" collapsed="false">
      <c r="A2167" s="27" t="n">
        <v>44971</v>
      </c>
      <c r="B2167" s="28" t="n">
        <v>2023</v>
      </c>
      <c r="C2167" s="28" t="s">
        <v>166</v>
      </c>
      <c r="D2167" s="28" t="s">
        <v>42</v>
      </c>
      <c r="E2167" s="28" t="s">
        <v>943</v>
      </c>
      <c r="F2167" s="28" t="s">
        <v>147</v>
      </c>
      <c r="G2167" s="28" t="s">
        <v>148</v>
      </c>
      <c r="H2167" s="28" t="s">
        <v>159</v>
      </c>
      <c r="I2167" s="29" t="n">
        <v>70000</v>
      </c>
      <c r="J2167" s="29" t="n">
        <v>35000</v>
      </c>
      <c r="K2167" s="28" t="n">
        <v>10.5</v>
      </c>
      <c r="L2167" s="28" t="n">
        <v>120</v>
      </c>
      <c r="M2167" s="28" t="n">
        <v>1</v>
      </c>
    </row>
    <row r="2168" customFormat="false" ht="15" hidden="false" customHeight="false" outlineLevel="0" collapsed="false">
      <c r="A2168" s="27" t="n">
        <v>44972</v>
      </c>
      <c r="B2168" s="28" t="n">
        <v>2023</v>
      </c>
      <c r="C2168" s="28" t="s">
        <v>163</v>
      </c>
      <c r="D2168" s="28" t="s">
        <v>56</v>
      </c>
      <c r="E2168" s="28" t="s">
        <v>935</v>
      </c>
      <c r="F2168" s="28" t="s">
        <v>147</v>
      </c>
      <c r="G2168" s="28" t="s">
        <v>143</v>
      </c>
      <c r="H2168" s="28" t="s">
        <v>211</v>
      </c>
      <c r="I2168" s="29" t="n">
        <v>25000</v>
      </c>
      <c r="J2168" s="29" t="n">
        <v>12500</v>
      </c>
      <c r="K2168" s="28" t="n">
        <v>9.75</v>
      </c>
      <c r="L2168" s="28" t="n">
        <v>120</v>
      </c>
      <c r="M2168" s="28" t="n">
        <v>6</v>
      </c>
    </row>
    <row r="2169" customFormat="false" ht="15" hidden="false" customHeight="false" outlineLevel="0" collapsed="false">
      <c r="A2169" s="27" t="n">
        <v>44972</v>
      </c>
      <c r="B2169" s="28" t="n">
        <v>2023</v>
      </c>
      <c r="C2169" s="28" t="s">
        <v>166</v>
      </c>
      <c r="D2169" s="28" t="s">
        <v>48</v>
      </c>
      <c r="E2169" s="28" t="s">
        <v>736</v>
      </c>
      <c r="F2169" s="28" t="s">
        <v>147</v>
      </c>
      <c r="G2169" s="28" t="s">
        <v>148</v>
      </c>
      <c r="H2169" s="28" t="s">
        <v>159</v>
      </c>
      <c r="I2169" s="29" t="n">
        <v>35000</v>
      </c>
      <c r="J2169" s="29" t="n">
        <v>17500</v>
      </c>
      <c r="K2169" s="28" t="n">
        <v>14</v>
      </c>
      <c r="L2169" s="28" t="n">
        <v>120</v>
      </c>
      <c r="M2169" s="28" t="n">
        <v>20</v>
      </c>
    </row>
    <row r="2170" customFormat="false" ht="15" hidden="false" customHeight="false" outlineLevel="0" collapsed="false">
      <c r="A2170" s="27" t="n">
        <v>44972</v>
      </c>
      <c r="B2170" s="28" t="n">
        <v>2023</v>
      </c>
      <c r="C2170" s="28" t="s">
        <v>172</v>
      </c>
      <c r="D2170" s="28" t="s">
        <v>49</v>
      </c>
      <c r="E2170" s="28" t="s">
        <v>809</v>
      </c>
      <c r="F2170" s="28" t="s">
        <v>142</v>
      </c>
      <c r="G2170" s="28" t="s">
        <v>148</v>
      </c>
      <c r="H2170" s="28" t="s">
        <v>771</v>
      </c>
      <c r="I2170" s="29" t="n">
        <v>25000</v>
      </c>
      <c r="J2170" s="29" t="n">
        <v>21250</v>
      </c>
      <c r="K2170" s="28" t="n">
        <v>10.25</v>
      </c>
      <c r="L2170" s="28" t="n">
        <v>120</v>
      </c>
      <c r="M2170" s="28" t="n">
        <v>1</v>
      </c>
    </row>
    <row r="2171" customFormat="false" ht="15" hidden="false" customHeight="false" outlineLevel="0" collapsed="false">
      <c r="A2171" s="27" t="n">
        <v>44972</v>
      </c>
      <c r="B2171" s="28" t="n">
        <v>2023</v>
      </c>
      <c r="C2171" s="28" t="s">
        <v>172</v>
      </c>
      <c r="D2171" s="28" t="s">
        <v>42</v>
      </c>
      <c r="E2171" s="28" t="s">
        <v>784</v>
      </c>
      <c r="F2171" s="28" t="s">
        <v>194</v>
      </c>
      <c r="G2171" s="28" t="s">
        <v>148</v>
      </c>
      <c r="H2171" s="28" t="s">
        <v>605</v>
      </c>
      <c r="I2171" s="29" t="n">
        <v>259000</v>
      </c>
      <c r="J2171" s="29" t="n">
        <v>194250</v>
      </c>
      <c r="K2171" s="28" t="n">
        <v>10.5</v>
      </c>
      <c r="L2171" s="28" t="n">
        <v>126</v>
      </c>
      <c r="M2171" s="28" t="n">
        <v>8</v>
      </c>
    </row>
    <row r="2172" customFormat="false" ht="15" hidden="false" customHeight="false" outlineLevel="0" collapsed="false">
      <c r="A2172" s="27" t="n">
        <v>44972</v>
      </c>
      <c r="B2172" s="28" t="n">
        <v>2023</v>
      </c>
      <c r="C2172" s="28" t="s">
        <v>163</v>
      </c>
      <c r="D2172" s="28" t="s">
        <v>56</v>
      </c>
      <c r="E2172" s="28" t="s">
        <v>935</v>
      </c>
      <c r="F2172" s="28" t="s">
        <v>142</v>
      </c>
      <c r="G2172" s="28" t="s">
        <v>143</v>
      </c>
      <c r="H2172" s="28" t="s">
        <v>211</v>
      </c>
      <c r="I2172" s="29" t="n">
        <v>265000</v>
      </c>
      <c r="J2172" s="29" t="n">
        <v>198750</v>
      </c>
      <c r="K2172" s="28" t="n">
        <v>9.75</v>
      </c>
      <c r="L2172" s="28" t="n">
        <v>120</v>
      </c>
      <c r="M2172" s="28" t="n">
        <v>6</v>
      </c>
    </row>
    <row r="2173" customFormat="false" ht="15" hidden="false" customHeight="false" outlineLevel="0" collapsed="false">
      <c r="A2173" s="27" t="n">
        <v>44972</v>
      </c>
      <c r="B2173" s="28" t="n">
        <v>2023</v>
      </c>
      <c r="C2173" s="28" t="s">
        <v>169</v>
      </c>
      <c r="D2173" s="28" t="s">
        <v>45</v>
      </c>
      <c r="E2173" s="28" t="s">
        <v>745</v>
      </c>
      <c r="F2173" s="28" t="s">
        <v>147</v>
      </c>
      <c r="G2173" s="28" t="s">
        <v>148</v>
      </c>
      <c r="H2173" s="28" t="s">
        <v>159</v>
      </c>
      <c r="I2173" s="29" t="n">
        <v>100000</v>
      </c>
      <c r="J2173" s="29" t="n">
        <v>50000</v>
      </c>
      <c r="K2173" s="28" t="n">
        <v>11.25</v>
      </c>
      <c r="L2173" s="28" t="n">
        <v>56</v>
      </c>
      <c r="M2173" s="28" t="n">
        <v>3</v>
      </c>
    </row>
    <row r="2174" customFormat="false" ht="15" hidden="false" customHeight="false" outlineLevel="0" collapsed="false">
      <c r="A2174" s="27" t="n">
        <v>44973</v>
      </c>
      <c r="B2174" s="28" t="n">
        <v>2023</v>
      </c>
      <c r="C2174" s="28" t="s">
        <v>140</v>
      </c>
      <c r="D2174" s="28" t="s">
        <v>48</v>
      </c>
      <c r="E2174" s="28" t="s">
        <v>944</v>
      </c>
      <c r="F2174" s="28" t="s">
        <v>142</v>
      </c>
      <c r="G2174" s="28" t="s">
        <v>148</v>
      </c>
      <c r="H2174" s="28" t="s">
        <v>211</v>
      </c>
      <c r="I2174" s="29" t="n">
        <v>350000</v>
      </c>
      <c r="J2174" s="29" t="n">
        <v>262500</v>
      </c>
      <c r="K2174" s="28" t="n">
        <v>10.25</v>
      </c>
      <c r="L2174" s="28" t="n">
        <v>120</v>
      </c>
      <c r="M2174" s="28" t="n">
        <v>5</v>
      </c>
    </row>
    <row r="2175" customFormat="false" ht="15" hidden="false" customHeight="false" outlineLevel="0" collapsed="false">
      <c r="A2175" s="27" t="n">
        <v>44973</v>
      </c>
      <c r="B2175" s="28" t="n">
        <v>2023</v>
      </c>
      <c r="C2175" s="28" t="s">
        <v>172</v>
      </c>
      <c r="D2175" s="28" t="s">
        <v>56</v>
      </c>
      <c r="E2175" s="28" t="s">
        <v>758</v>
      </c>
      <c r="F2175" s="28" t="s">
        <v>142</v>
      </c>
      <c r="G2175" s="28" t="s">
        <v>143</v>
      </c>
      <c r="H2175" s="28" t="s">
        <v>211</v>
      </c>
      <c r="I2175" s="29" t="n">
        <v>329500</v>
      </c>
      <c r="J2175" s="29" t="n">
        <v>247125</v>
      </c>
      <c r="K2175" s="28" t="n">
        <v>10.25</v>
      </c>
      <c r="L2175" s="28" t="n">
        <v>120</v>
      </c>
      <c r="M2175" s="28" t="n">
        <v>20</v>
      </c>
    </row>
    <row r="2176" customFormat="false" ht="15" hidden="false" customHeight="false" outlineLevel="0" collapsed="false">
      <c r="A2176" s="27" t="n">
        <v>44973</v>
      </c>
      <c r="B2176" s="28" t="n">
        <v>2023</v>
      </c>
      <c r="C2176" s="28" t="s">
        <v>203</v>
      </c>
      <c r="D2176" s="28" t="s">
        <v>47</v>
      </c>
      <c r="E2176" s="28" t="s">
        <v>707</v>
      </c>
      <c r="F2176" s="28" t="s">
        <v>142</v>
      </c>
      <c r="G2176" s="28" t="s">
        <v>148</v>
      </c>
      <c r="H2176" s="28" t="s">
        <v>200</v>
      </c>
      <c r="I2176" s="29" t="n">
        <v>120000</v>
      </c>
      <c r="J2176" s="29" t="n">
        <v>102000</v>
      </c>
      <c r="K2176" s="28" t="n">
        <v>10.5</v>
      </c>
      <c r="L2176" s="28" t="n">
        <v>120</v>
      </c>
      <c r="M2176" s="28" t="n">
        <v>10</v>
      </c>
    </row>
    <row r="2177" customFormat="false" ht="15" hidden="false" customHeight="false" outlineLevel="0" collapsed="false">
      <c r="A2177" s="27" t="n">
        <v>44973</v>
      </c>
      <c r="B2177" s="28" t="n">
        <v>2023</v>
      </c>
      <c r="C2177" s="28" t="s">
        <v>216</v>
      </c>
      <c r="D2177" s="28" t="s">
        <v>47</v>
      </c>
      <c r="E2177" s="28" t="s">
        <v>776</v>
      </c>
      <c r="F2177" s="28" t="s">
        <v>142</v>
      </c>
      <c r="G2177" s="28" t="s">
        <v>148</v>
      </c>
      <c r="H2177" s="28" t="s">
        <v>457</v>
      </c>
      <c r="I2177" s="29" t="n">
        <v>1720000</v>
      </c>
      <c r="J2177" s="29" t="n">
        <v>1290000</v>
      </c>
      <c r="K2177" s="28" t="n">
        <v>10</v>
      </c>
      <c r="L2177" s="28" t="n">
        <v>240</v>
      </c>
      <c r="M2177" s="28" t="n">
        <v>17</v>
      </c>
    </row>
    <row r="2178" customFormat="false" ht="15" hidden="false" customHeight="false" outlineLevel="0" collapsed="false">
      <c r="A2178" s="27" t="n">
        <v>44973</v>
      </c>
      <c r="B2178" s="28" t="n">
        <v>2023</v>
      </c>
      <c r="C2178" s="28" t="s">
        <v>175</v>
      </c>
      <c r="D2178" s="28" t="s">
        <v>51</v>
      </c>
      <c r="E2178" s="28" t="s">
        <v>779</v>
      </c>
      <c r="F2178" s="28" t="s">
        <v>142</v>
      </c>
      <c r="G2178" s="28" t="s">
        <v>143</v>
      </c>
      <c r="H2178" s="28" t="s">
        <v>372</v>
      </c>
      <c r="I2178" s="29" t="n">
        <v>300000</v>
      </c>
      <c r="J2178" s="29" t="n">
        <v>225000</v>
      </c>
      <c r="K2178" s="28" t="n">
        <v>10.5</v>
      </c>
      <c r="L2178" s="28" t="n">
        <v>99</v>
      </c>
      <c r="M2178" s="28" t="n">
        <v>16</v>
      </c>
    </row>
    <row r="2179" customFormat="false" ht="15" hidden="false" customHeight="false" outlineLevel="0" collapsed="false">
      <c r="A2179" s="27" t="n">
        <v>44973</v>
      </c>
      <c r="B2179" s="28" t="n">
        <v>2023</v>
      </c>
      <c r="C2179" s="28" t="s">
        <v>675</v>
      </c>
      <c r="D2179" s="28" t="s">
        <v>42</v>
      </c>
      <c r="E2179" s="28" t="s">
        <v>945</v>
      </c>
      <c r="F2179" s="28" t="s">
        <v>283</v>
      </c>
      <c r="G2179" s="28" t="s">
        <v>441</v>
      </c>
      <c r="H2179" s="28" t="s">
        <v>306</v>
      </c>
      <c r="I2179" s="29" t="n">
        <v>25000</v>
      </c>
      <c r="J2179" s="29" t="n">
        <v>21250</v>
      </c>
      <c r="K2179" s="28" t="n">
        <v>8.75</v>
      </c>
      <c r="L2179" s="28" t="n">
        <v>48</v>
      </c>
      <c r="M2179" s="28" t="n">
        <v>2</v>
      </c>
    </row>
    <row r="2180" customFormat="false" ht="15" hidden="false" customHeight="false" outlineLevel="0" collapsed="false">
      <c r="A2180" s="27" t="n">
        <v>44973</v>
      </c>
      <c r="B2180" s="28" t="n">
        <v>2023</v>
      </c>
      <c r="C2180" s="28" t="s">
        <v>172</v>
      </c>
      <c r="D2180" s="28" t="s">
        <v>56</v>
      </c>
      <c r="E2180" s="28" t="s">
        <v>758</v>
      </c>
      <c r="F2180" s="28" t="s">
        <v>147</v>
      </c>
      <c r="G2180" s="28" t="s">
        <v>143</v>
      </c>
      <c r="H2180" s="28" t="s">
        <v>211</v>
      </c>
      <c r="I2180" s="29" t="n">
        <v>30000</v>
      </c>
      <c r="J2180" s="29" t="n">
        <v>15000</v>
      </c>
      <c r="K2180" s="28" t="n">
        <v>10.25</v>
      </c>
      <c r="L2180" s="28" t="n">
        <v>120</v>
      </c>
      <c r="M2180" s="28" t="n">
        <v>11</v>
      </c>
    </row>
    <row r="2181" customFormat="false" ht="15" hidden="false" customHeight="false" outlineLevel="0" collapsed="false">
      <c r="A2181" s="27" t="n">
        <v>44974</v>
      </c>
      <c r="B2181" s="28" t="n">
        <v>2023</v>
      </c>
      <c r="C2181" s="28" t="s">
        <v>145</v>
      </c>
      <c r="D2181" s="28" t="s">
        <v>42</v>
      </c>
      <c r="E2181" s="28" t="s">
        <v>717</v>
      </c>
      <c r="F2181" s="28" t="s">
        <v>194</v>
      </c>
      <c r="G2181" s="28" t="s">
        <v>143</v>
      </c>
      <c r="H2181" s="28" t="s">
        <v>605</v>
      </c>
      <c r="I2181" s="29" t="n">
        <v>275500</v>
      </c>
      <c r="J2181" s="29" t="n">
        <v>234175</v>
      </c>
      <c r="K2181" s="28" t="n">
        <v>10.25</v>
      </c>
      <c r="L2181" s="28" t="n">
        <v>120</v>
      </c>
      <c r="M2181" s="28" t="n">
        <v>56</v>
      </c>
    </row>
    <row r="2182" customFormat="false" ht="15" hidden="false" customHeight="false" outlineLevel="0" collapsed="false">
      <c r="A2182" s="27" t="n">
        <v>44974</v>
      </c>
      <c r="B2182" s="28" t="n">
        <v>2023</v>
      </c>
      <c r="C2182" s="28" t="s">
        <v>243</v>
      </c>
      <c r="D2182" s="28" t="s">
        <v>44</v>
      </c>
      <c r="E2182" s="28" t="s">
        <v>167</v>
      </c>
      <c r="F2182" s="28" t="s">
        <v>147</v>
      </c>
      <c r="G2182" s="28" t="s">
        <v>441</v>
      </c>
      <c r="H2182" s="28" t="s">
        <v>168</v>
      </c>
      <c r="I2182" s="29" t="n">
        <v>15000</v>
      </c>
      <c r="J2182" s="29" t="n">
        <v>7500</v>
      </c>
      <c r="K2182" s="28" t="n">
        <v>13.5</v>
      </c>
      <c r="L2182" s="28" t="n">
        <v>120</v>
      </c>
      <c r="M2182" s="28" t="n">
        <v>13</v>
      </c>
    </row>
    <row r="2183" customFormat="false" ht="15" hidden="false" customHeight="false" outlineLevel="0" collapsed="false">
      <c r="A2183" s="27" t="n">
        <v>44974</v>
      </c>
      <c r="B2183" s="28" t="n">
        <v>2023</v>
      </c>
      <c r="C2183" s="28" t="s">
        <v>603</v>
      </c>
      <c r="D2183" s="28" t="s">
        <v>57</v>
      </c>
      <c r="E2183" s="28" t="s">
        <v>721</v>
      </c>
      <c r="F2183" s="28" t="s">
        <v>142</v>
      </c>
      <c r="G2183" s="28" t="s">
        <v>148</v>
      </c>
      <c r="H2183" s="28" t="s">
        <v>171</v>
      </c>
      <c r="I2183" s="29" t="n">
        <v>150000</v>
      </c>
      <c r="J2183" s="29" t="n">
        <v>127500</v>
      </c>
      <c r="K2183" s="28" t="n">
        <v>11.25</v>
      </c>
      <c r="L2183" s="28" t="n">
        <v>157</v>
      </c>
      <c r="M2183" s="28" t="n">
        <v>9</v>
      </c>
    </row>
    <row r="2184" customFormat="false" ht="15" hidden="false" customHeight="false" outlineLevel="0" collapsed="false">
      <c r="A2184" s="27" t="n">
        <v>44977</v>
      </c>
      <c r="B2184" s="28" t="n">
        <v>2023</v>
      </c>
      <c r="C2184" s="28" t="s">
        <v>160</v>
      </c>
      <c r="D2184" s="28" t="s">
        <v>51</v>
      </c>
      <c r="E2184" s="28" t="s">
        <v>779</v>
      </c>
      <c r="F2184" s="28" t="s">
        <v>142</v>
      </c>
      <c r="G2184" s="28" t="s">
        <v>143</v>
      </c>
      <c r="H2184" s="28" t="s">
        <v>211</v>
      </c>
      <c r="I2184" s="29" t="n">
        <v>288000</v>
      </c>
      <c r="J2184" s="29" t="n">
        <v>216000</v>
      </c>
      <c r="K2184" s="28" t="n">
        <v>10.25</v>
      </c>
      <c r="L2184" s="28" t="n">
        <v>120</v>
      </c>
      <c r="M2184" s="28" t="n">
        <v>9</v>
      </c>
    </row>
    <row r="2185" customFormat="false" ht="15" hidden="false" customHeight="false" outlineLevel="0" collapsed="false">
      <c r="A2185" s="27" t="n">
        <v>44977</v>
      </c>
      <c r="B2185" s="28" t="n">
        <v>2023</v>
      </c>
      <c r="C2185" s="28" t="s">
        <v>160</v>
      </c>
      <c r="D2185" s="28" t="s">
        <v>51</v>
      </c>
      <c r="E2185" s="28" t="s">
        <v>779</v>
      </c>
      <c r="F2185" s="28" t="s">
        <v>147</v>
      </c>
      <c r="G2185" s="28" t="s">
        <v>143</v>
      </c>
      <c r="H2185" s="28" t="s">
        <v>211</v>
      </c>
      <c r="I2185" s="29" t="n">
        <v>30000</v>
      </c>
      <c r="J2185" s="29" t="n">
        <v>15000</v>
      </c>
      <c r="K2185" s="28" t="n">
        <v>10.25</v>
      </c>
      <c r="L2185" s="28" t="n">
        <v>120</v>
      </c>
      <c r="M2185" s="28" t="n">
        <v>9</v>
      </c>
    </row>
    <row r="2186" customFormat="false" ht="15" hidden="false" customHeight="false" outlineLevel="0" collapsed="false">
      <c r="A2186" s="27" t="n">
        <v>44978</v>
      </c>
      <c r="B2186" s="28" t="n">
        <v>2023</v>
      </c>
      <c r="C2186" s="28" t="s">
        <v>349</v>
      </c>
      <c r="D2186" s="28" t="s">
        <v>48</v>
      </c>
      <c r="E2186" s="28" t="s">
        <v>767</v>
      </c>
      <c r="F2186" s="28" t="s">
        <v>142</v>
      </c>
      <c r="G2186" s="28" t="s">
        <v>148</v>
      </c>
      <c r="H2186" s="28" t="s">
        <v>171</v>
      </c>
      <c r="I2186" s="29" t="n">
        <v>150000</v>
      </c>
      <c r="J2186" s="29" t="n">
        <v>127500</v>
      </c>
      <c r="K2186" s="28" t="n">
        <v>11.25</v>
      </c>
      <c r="L2186" s="28" t="n">
        <v>120</v>
      </c>
      <c r="M2186" s="28" t="n">
        <v>4</v>
      </c>
    </row>
    <row r="2187" customFormat="false" ht="15" hidden="false" customHeight="false" outlineLevel="0" collapsed="false">
      <c r="A2187" s="27" t="n">
        <v>44978</v>
      </c>
      <c r="B2187" s="28" t="n">
        <v>2023</v>
      </c>
      <c r="C2187" s="28" t="s">
        <v>243</v>
      </c>
      <c r="D2187" s="28" t="s">
        <v>47</v>
      </c>
      <c r="E2187" s="28" t="s">
        <v>946</v>
      </c>
      <c r="F2187" s="28" t="s">
        <v>142</v>
      </c>
      <c r="G2187" s="28" t="s">
        <v>143</v>
      </c>
      <c r="H2187" s="28" t="s">
        <v>372</v>
      </c>
      <c r="I2187" s="29" t="n">
        <v>150000</v>
      </c>
      <c r="J2187" s="29" t="n">
        <v>127500</v>
      </c>
      <c r="K2187" s="28" t="n">
        <v>10.25</v>
      </c>
      <c r="L2187" s="28" t="n">
        <v>90</v>
      </c>
      <c r="M2187" s="28" t="n">
        <v>4</v>
      </c>
    </row>
    <row r="2188" customFormat="false" ht="15" hidden="false" customHeight="false" outlineLevel="0" collapsed="false">
      <c r="A2188" s="27" t="n">
        <v>44979</v>
      </c>
      <c r="B2188" s="28" t="n">
        <v>2023</v>
      </c>
      <c r="C2188" s="28" t="s">
        <v>488</v>
      </c>
      <c r="D2188" s="28" t="s">
        <v>44</v>
      </c>
      <c r="E2188" s="28" t="s">
        <v>167</v>
      </c>
      <c r="F2188" s="28" t="s">
        <v>142</v>
      </c>
      <c r="G2188" s="28" t="s">
        <v>148</v>
      </c>
      <c r="H2188" s="28" t="s">
        <v>211</v>
      </c>
      <c r="I2188" s="29" t="n">
        <v>350000</v>
      </c>
      <c r="J2188" s="29" t="n">
        <v>262500</v>
      </c>
      <c r="K2188" s="28" t="n">
        <v>10.25</v>
      </c>
      <c r="L2188" s="28" t="n">
        <v>120</v>
      </c>
      <c r="M2188" s="28" t="n">
        <v>15</v>
      </c>
    </row>
    <row r="2189" customFormat="false" ht="15" hidden="false" customHeight="false" outlineLevel="0" collapsed="false">
      <c r="A2189" s="27" t="n">
        <v>44979</v>
      </c>
      <c r="B2189" s="28" t="n">
        <v>2023</v>
      </c>
      <c r="C2189" s="28" t="s">
        <v>172</v>
      </c>
      <c r="D2189" s="28" t="s">
        <v>42</v>
      </c>
      <c r="E2189" s="28" t="s">
        <v>753</v>
      </c>
      <c r="F2189" s="28" t="s">
        <v>194</v>
      </c>
      <c r="G2189" s="28" t="s">
        <v>143</v>
      </c>
      <c r="H2189" s="28" t="s">
        <v>605</v>
      </c>
      <c r="I2189" s="29" t="n">
        <v>605000</v>
      </c>
      <c r="J2189" s="29" t="n">
        <v>453750</v>
      </c>
      <c r="K2189" s="28" t="n">
        <v>8.5</v>
      </c>
      <c r="L2189" s="28" t="n">
        <v>120</v>
      </c>
      <c r="M2189" s="28" t="n">
        <v>27</v>
      </c>
    </row>
    <row r="2190" customFormat="false" ht="15" hidden="false" customHeight="false" outlineLevel="0" collapsed="false">
      <c r="A2190" s="27" t="n">
        <v>44979</v>
      </c>
      <c r="B2190" s="28" t="n">
        <v>2023</v>
      </c>
      <c r="C2190" s="28" t="s">
        <v>172</v>
      </c>
      <c r="D2190" s="28" t="s">
        <v>44</v>
      </c>
      <c r="E2190" s="28" t="s">
        <v>167</v>
      </c>
      <c r="F2190" s="28" t="s">
        <v>142</v>
      </c>
      <c r="G2190" s="28" t="s">
        <v>148</v>
      </c>
      <c r="H2190" s="28" t="s">
        <v>275</v>
      </c>
      <c r="I2190" s="29" t="n">
        <v>160500</v>
      </c>
      <c r="J2190" s="29" t="n">
        <v>120375</v>
      </c>
      <c r="K2190" s="28" t="n">
        <v>10.25</v>
      </c>
      <c r="L2190" s="28" t="n">
        <v>120</v>
      </c>
      <c r="M2190" s="28" t="n">
        <v>5</v>
      </c>
    </row>
    <row r="2191" customFormat="false" ht="15" hidden="false" customHeight="false" outlineLevel="0" collapsed="false">
      <c r="A2191" s="27" t="n">
        <v>44979</v>
      </c>
      <c r="B2191" s="28" t="n">
        <v>2023</v>
      </c>
      <c r="C2191" s="28" t="s">
        <v>172</v>
      </c>
      <c r="D2191" s="28" t="s">
        <v>48</v>
      </c>
      <c r="E2191" s="28" t="s">
        <v>905</v>
      </c>
      <c r="F2191" s="28" t="s">
        <v>142</v>
      </c>
      <c r="G2191" s="28" t="s">
        <v>148</v>
      </c>
      <c r="H2191" s="28" t="s">
        <v>200</v>
      </c>
      <c r="I2191" s="29" t="n">
        <v>60000</v>
      </c>
      <c r="J2191" s="29" t="n">
        <v>51000</v>
      </c>
      <c r="K2191" s="28" t="n">
        <v>10.5</v>
      </c>
      <c r="L2191" s="28" t="n">
        <v>120</v>
      </c>
      <c r="M2191" s="28" t="n">
        <v>3</v>
      </c>
    </row>
    <row r="2192" customFormat="false" ht="15" hidden="false" customHeight="false" outlineLevel="0" collapsed="false">
      <c r="A2192" s="27" t="n">
        <v>44980</v>
      </c>
      <c r="B2192" s="28" t="n">
        <v>2023</v>
      </c>
      <c r="C2192" s="28" t="s">
        <v>172</v>
      </c>
      <c r="D2192" s="28" t="s">
        <v>42</v>
      </c>
      <c r="E2192" s="28" t="s">
        <v>784</v>
      </c>
      <c r="F2192" s="28" t="s">
        <v>147</v>
      </c>
      <c r="G2192" s="28" t="s">
        <v>143</v>
      </c>
      <c r="H2192" s="28" t="s">
        <v>211</v>
      </c>
      <c r="I2192" s="29" t="n">
        <v>25000</v>
      </c>
      <c r="J2192" s="29" t="n">
        <v>12500</v>
      </c>
      <c r="K2192" s="28" t="n">
        <v>10.25</v>
      </c>
      <c r="L2192" s="28" t="n">
        <v>120</v>
      </c>
      <c r="M2192" s="28" t="n">
        <v>20</v>
      </c>
    </row>
    <row r="2193" customFormat="false" ht="15" hidden="false" customHeight="false" outlineLevel="0" collapsed="false">
      <c r="A2193" s="27" t="n">
        <v>44980</v>
      </c>
      <c r="B2193" s="28" t="n">
        <v>2023</v>
      </c>
      <c r="C2193" s="28" t="s">
        <v>172</v>
      </c>
      <c r="D2193" s="28" t="s">
        <v>42</v>
      </c>
      <c r="E2193" s="28" t="s">
        <v>784</v>
      </c>
      <c r="F2193" s="28" t="s">
        <v>142</v>
      </c>
      <c r="G2193" s="28" t="s">
        <v>143</v>
      </c>
      <c r="H2193" s="28" t="s">
        <v>211</v>
      </c>
      <c r="I2193" s="29" t="n">
        <v>602200</v>
      </c>
      <c r="J2193" s="29" t="n">
        <v>451650</v>
      </c>
      <c r="K2193" s="28" t="n">
        <v>10.25</v>
      </c>
      <c r="L2193" s="28" t="n">
        <v>120</v>
      </c>
      <c r="M2193" s="28" t="n">
        <v>20</v>
      </c>
    </row>
    <row r="2194" customFormat="false" ht="15" hidden="false" customHeight="false" outlineLevel="0" collapsed="false">
      <c r="A2194" s="27" t="n">
        <v>44981</v>
      </c>
      <c r="B2194" s="28" t="n">
        <v>2023</v>
      </c>
      <c r="C2194" s="28" t="s">
        <v>379</v>
      </c>
      <c r="D2194" s="28" t="s">
        <v>45</v>
      </c>
      <c r="E2194" s="28" t="s">
        <v>713</v>
      </c>
      <c r="F2194" s="28" t="s">
        <v>283</v>
      </c>
      <c r="G2194" s="28" t="s">
        <v>148</v>
      </c>
      <c r="H2194" s="28" t="s">
        <v>306</v>
      </c>
      <c r="I2194" s="29" t="n">
        <v>500000</v>
      </c>
      <c r="J2194" s="29" t="n">
        <v>375000</v>
      </c>
      <c r="K2194" s="28" t="n">
        <v>8.75</v>
      </c>
      <c r="L2194" s="28" t="n">
        <v>60</v>
      </c>
      <c r="M2194" s="28" t="n">
        <v>15</v>
      </c>
    </row>
    <row r="2195" customFormat="false" ht="15" hidden="false" customHeight="false" outlineLevel="0" collapsed="false">
      <c r="A2195" s="27" t="n">
        <v>44981</v>
      </c>
      <c r="B2195" s="28" t="n">
        <v>2023</v>
      </c>
      <c r="C2195" s="28" t="s">
        <v>172</v>
      </c>
      <c r="D2195" s="28" t="s">
        <v>50</v>
      </c>
      <c r="E2195" s="28" t="s">
        <v>261</v>
      </c>
      <c r="F2195" s="28" t="s">
        <v>147</v>
      </c>
      <c r="G2195" s="28" t="s">
        <v>148</v>
      </c>
      <c r="H2195" s="28" t="s">
        <v>205</v>
      </c>
      <c r="I2195" s="29" t="n">
        <v>90000</v>
      </c>
      <c r="J2195" s="29" t="n">
        <v>45000</v>
      </c>
      <c r="K2195" s="28" t="n">
        <v>11.3</v>
      </c>
      <c r="L2195" s="28" t="n">
        <v>120</v>
      </c>
      <c r="M2195" s="28" t="n">
        <v>12</v>
      </c>
    </row>
    <row r="2196" customFormat="false" ht="15" hidden="false" customHeight="false" outlineLevel="0" collapsed="false">
      <c r="A2196" s="27" t="n">
        <v>44981</v>
      </c>
      <c r="B2196" s="28" t="n">
        <v>2023</v>
      </c>
      <c r="C2196" s="28" t="s">
        <v>140</v>
      </c>
      <c r="D2196" s="28" t="s">
        <v>56</v>
      </c>
      <c r="E2196" s="28" t="s">
        <v>929</v>
      </c>
      <c r="F2196" s="28" t="s">
        <v>147</v>
      </c>
      <c r="G2196" s="28" t="s">
        <v>441</v>
      </c>
      <c r="H2196" s="28" t="s">
        <v>168</v>
      </c>
      <c r="I2196" s="29" t="n">
        <v>10000</v>
      </c>
      <c r="J2196" s="29" t="n">
        <v>5000</v>
      </c>
      <c r="K2196" s="28" t="n">
        <v>13.5</v>
      </c>
      <c r="L2196" s="28" t="n">
        <v>120</v>
      </c>
      <c r="M2196" s="28" t="n">
        <v>0</v>
      </c>
    </row>
    <row r="2197" customFormat="false" ht="15" hidden="false" customHeight="false" outlineLevel="0" collapsed="false">
      <c r="A2197" s="27" t="n">
        <v>44981</v>
      </c>
      <c r="B2197" s="28" t="n">
        <v>2023</v>
      </c>
      <c r="C2197" s="28" t="s">
        <v>460</v>
      </c>
      <c r="D2197" s="28" t="s">
        <v>42</v>
      </c>
      <c r="E2197" s="28" t="s">
        <v>717</v>
      </c>
      <c r="F2197" s="28" t="s">
        <v>142</v>
      </c>
      <c r="G2197" s="28" t="s">
        <v>152</v>
      </c>
      <c r="H2197" s="28" t="s">
        <v>149</v>
      </c>
      <c r="I2197" s="29" t="n">
        <v>500000</v>
      </c>
      <c r="J2197" s="29" t="n">
        <v>375000</v>
      </c>
      <c r="K2197" s="28" t="n">
        <v>9.75</v>
      </c>
      <c r="L2197" s="28" t="n">
        <v>120</v>
      </c>
      <c r="M2197" s="28" t="n">
        <v>25</v>
      </c>
    </row>
    <row r="2198" customFormat="false" ht="15" hidden="false" customHeight="false" outlineLevel="0" collapsed="false">
      <c r="A2198" s="27" t="n">
        <v>44984</v>
      </c>
      <c r="B2198" s="28" t="n">
        <v>2023</v>
      </c>
      <c r="C2198" s="28" t="s">
        <v>368</v>
      </c>
      <c r="D2198" s="28" t="s">
        <v>42</v>
      </c>
      <c r="E2198" s="28" t="s">
        <v>753</v>
      </c>
      <c r="F2198" s="28" t="s">
        <v>194</v>
      </c>
      <c r="G2198" s="28" t="s">
        <v>143</v>
      </c>
      <c r="H2198" s="28" t="s">
        <v>251</v>
      </c>
      <c r="I2198" s="29" t="n">
        <v>300000</v>
      </c>
      <c r="J2198" s="29" t="n">
        <v>225000</v>
      </c>
      <c r="K2198" s="28" t="n">
        <v>9</v>
      </c>
      <c r="L2198" s="28" t="n">
        <v>60</v>
      </c>
      <c r="M2198" s="28" t="n">
        <v>15</v>
      </c>
    </row>
    <row r="2199" customFormat="false" ht="15" hidden="false" customHeight="false" outlineLevel="0" collapsed="false">
      <c r="A2199" s="27" t="n">
        <v>44984</v>
      </c>
      <c r="B2199" s="28" t="n">
        <v>2023</v>
      </c>
      <c r="C2199" s="28" t="s">
        <v>206</v>
      </c>
      <c r="D2199" s="28" t="s">
        <v>46</v>
      </c>
      <c r="E2199" s="28" t="s">
        <v>727</v>
      </c>
      <c r="F2199" s="28" t="s">
        <v>147</v>
      </c>
      <c r="G2199" s="28" t="s">
        <v>441</v>
      </c>
      <c r="H2199" s="28" t="s">
        <v>200</v>
      </c>
      <c r="I2199" s="29" t="n">
        <v>25000</v>
      </c>
      <c r="J2199" s="29" t="n">
        <v>12500</v>
      </c>
      <c r="K2199" s="28" t="n">
        <v>14</v>
      </c>
      <c r="L2199" s="28" t="n">
        <v>120</v>
      </c>
      <c r="M2199" s="28" t="n">
        <v>2</v>
      </c>
    </row>
    <row r="2200" customFormat="false" ht="15" hidden="false" customHeight="false" outlineLevel="0" collapsed="false">
      <c r="A2200" s="27" t="n">
        <v>44984</v>
      </c>
      <c r="B2200" s="28" t="n">
        <v>2023</v>
      </c>
      <c r="C2200" s="28" t="s">
        <v>243</v>
      </c>
      <c r="D2200" s="28" t="s">
        <v>44</v>
      </c>
      <c r="E2200" s="28" t="s">
        <v>863</v>
      </c>
      <c r="F2200" s="28" t="s">
        <v>147</v>
      </c>
      <c r="G2200" s="28" t="s">
        <v>441</v>
      </c>
      <c r="H2200" s="28" t="s">
        <v>168</v>
      </c>
      <c r="I2200" s="29" t="n">
        <v>15000</v>
      </c>
      <c r="J2200" s="29" t="n">
        <v>7500</v>
      </c>
      <c r="K2200" s="28" t="n">
        <v>13</v>
      </c>
      <c r="L2200" s="28" t="n">
        <v>120</v>
      </c>
      <c r="M2200" s="28" t="n">
        <v>2</v>
      </c>
    </row>
    <row r="2201" customFormat="false" ht="15" hidden="false" customHeight="false" outlineLevel="0" collapsed="false">
      <c r="A2201" s="27" t="n">
        <v>44984</v>
      </c>
      <c r="B2201" s="28" t="n">
        <v>2023</v>
      </c>
      <c r="C2201" s="28" t="s">
        <v>172</v>
      </c>
      <c r="D2201" s="28" t="s">
        <v>52</v>
      </c>
      <c r="E2201" s="28" t="s">
        <v>894</v>
      </c>
      <c r="F2201" s="28" t="s">
        <v>147</v>
      </c>
      <c r="G2201" s="28" t="s">
        <v>148</v>
      </c>
      <c r="H2201" s="28" t="s">
        <v>205</v>
      </c>
      <c r="I2201" s="29" t="n">
        <v>100000</v>
      </c>
      <c r="J2201" s="29" t="n">
        <v>50000</v>
      </c>
      <c r="K2201" s="28" t="n">
        <v>12</v>
      </c>
      <c r="L2201" s="28" t="n">
        <v>79</v>
      </c>
      <c r="M2201" s="28" t="n">
        <v>31</v>
      </c>
    </row>
    <row r="2202" customFormat="false" ht="15" hidden="false" customHeight="false" outlineLevel="0" collapsed="false">
      <c r="A2202" s="27" t="n">
        <v>44985</v>
      </c>
      <c r="B2202" s="28" t="n">
        <v>2023</v>
      </c>
      <c r="C2202" s="28" t="s">
        <v>169</v>
      </c>
      <c r="D2202" s="28" t="s">
        <v>51</v>
      </c>
      <c r="E2202" s="28" t="s">
        <v>779</v>
      </c>
      <c r="F2202" s="28" t="s">
        <v>147</v>
      </c>
      <c r="G2202" s="28" t="s">
        <v>143</v>
      </c>
      <c r="H2202" s="28" t="s">
        <v>211</v>
      </c>
      <c r="I2202" s="29" t="n">
        <v>40000</v>
      </c>
      <c r="J2202" s="29" t="n">
        <v>20000</v>
      </c>
      <c r="K2202" s="28" t="n">
        <v>10.25</v>
      </c>
      <c r="L2202" s="28" t="n">
        <v>120</v>
      </c>
      <c r="M2202" s="28" t="n">
        <v>10</v>
      </c>
    </row>
    <row r="2203" customFormat="false" ht="15" hidden="false" customHeight="false" outlineLevel="0" collapsed="false">
      <c r="A2203" s="27" t="n">
        <v>44985</v>
      </c>
      <c r="B2203" s="28" t="n">
        <v>2023</v>
      </c>
      <c r="C2203" s="28" t="s">
        <v>172</v>
      </c>
      <c r="D2203" s="28" t="s">
        <v>54</v>
      </c>
      <c r="E2203" s="28" t="s">
        <v>791</v>
      </c>
      <c r="F2203" s="28" t="s">
        <v>194</v>
      </c>
      <c r="G2203" s="28" t="s">
        <v>143</v>
      </c>
      <c r="H2203" s="28" t="s">
        <v>947</v>
      </c>
      <c r="I2203" s="29" t="n">
        <v>150000</v>
      </c>
      <c r="J2203" s="29" t="n">
        <v>127500</v>
      </c>
      <c r="K2203" s="28" t="n">
        <v>10.25</v>
      </c>
      <c r="L2203" s="28" t="n">
        <v>120</v>
      </c>
      <c r="M2203" s="28" t="n">
        <v>6</v>
      </c>
    </row>
    <row r="2204" customFormat="false" ht="15" hidden="false" customHeight="false" outlineLevel="0" collapsed="false">
      <c r="A2204" s="27" t="n">
        <v>44985</v>
      </c>
      <c r="B2204" s="28" t="n">
        <v>2023</v>
      </c>
      <c r="C2204" s="28" t="s">
        <v>172</v>
      </c>
      <c r="D2204" s="28" t="s">
        <v>45</v>
      </c>
      <c r="E2204" s="28" t="s">
        <v>874</v>
      </c>
      <c r="F2204" s="28" t="s">
        <v>147</v>
      </c>
      <c r="G2204" s="28" t="s">
        <v>148</v>
      </c>
      <c r="H2204" s="28" t="s">
        <v>191</v>
      </c>
      <c r="I2204" s="29" t="n">
        <v>50000</v>
      </c>
      <c r="J2204" s="29" t="n">
        <v>25000</v>
      </c>
      <c r="K2204" s="28" t="n">
        <v>12</v>
      </c>
      <c r="L2204" s="28" t="n">
        <v>120</v>
      </c>
      <c r="M2204" s="28" t="n">
        <v>2</v>
      </c>
    </row>
    <row r="2205" customFormat="false" ht="15" hidden="false" customHeight="false" outlineLevel="0" collapsed="false">
      <c r="A2205" s="27" t="n">
        <v>44985</v>
      </c>
      <c r="B2205" s="28" t="n">
        <v>2023</v>
      </c>
      <c r="C2205" s="28" t="s">
        <v>169</v>
      </c>
      <c r="D2205" s="28" t="s">
        <v>51</v>
      </c>
      <c r="E2205" s="28" t="s">
        <v>779</v>
      </c>
      <c r="F2205" s="28" t="s">
        <v>142</v>
      </c>
      <c r="G2205" s="28" t="s">
        <v>143</v>
      </c>
      <c r="H2205" s="28" t="s">
        <v>211</v>
      </c>
      <c r="I2205" s="29" t="n">
        <v>540000</v>
      </c>
      <c r="J2205" s="29" t="n">
        <v>405000</v>
      </c>
      <c r="K2205" s="28" t="n">
        <v>10.25</v>
      </c>
      <c r="L2205" s="28" t="n">
        <v>120</v>
      </c>
      <c r="M2205" s="28" t="n">
        <v>10</v>
      </c>
    </row>
    <row r="2206" customFormat="false" ht="15" hidden="false" customHeight="false" outlineLevel="0" collapsed="false">
      <c r="A2206" s="27" t="n">
        <v>44985</v>
      </c>
      <c r="B2206" s="28" t="n">
        <v>2023</v>
      </c>
      <c r="C2206" s="28" t="s">
        <v>201</v>
      </c>
      <c r="D2206" s="28" t="s">
        <v>43</v>
      </c>
      <c r="E2206" s="28" t="s">
        <v>948</v>
      </c>
      <c r="F2206" s="28" t="s">
        <v>194</v>
      </c>
      <c r="G2206" s="28" t="s">
        <v>143</v>
      </c>
      <c r="H2206" s="28" t="s">
        <v>949</v>
      </c>
      <c r="I2206" s="29" t="n">
        <v>129200</v>
      </c>
      <c r="J2206" s="29" t="n">
        <v>109820</v>
      </c>
      <c r="K2206" s="28" t="n">
        <v>10.75</v>
      </c>
      <c r="L2206" s="28" t="n">
        <v>120</v>
      </c>
      <c r="M2206" s="28" t="n">
        <v>3</v>
      </c>
    </row>
    <row r="2207" customFormat="false" ht="15" hidden="false" customHeight="false" outlineLevel="0" collapsed="false">
      <c r="A2207" s="27" t="n">
        <v>44985</v>
      </c>
      <c r="B2207" s="28" t="n">
        <v>2023</v>
      </c>
      <c r="C2207" s="28" t="s">
        <v>160</v>
      </c>
      <c r="D2207" s="28" t="s">
        <v>51</v>
      </c>
      <c r="E2207" s="28" t="s">
        <v>936</v>
      </c>
      <c r="F2207" s="28" t="s">
        <v>147</v>
      </c>
      <c r="G2207" s="28" t="s">
        <v>441</v>
      </c>
      <c r="H2207" s="28" t="s">
        <v>168</v>
      </c>
      <c r="I2207" s="29" t="n">
        <v>10000</v>
      </c>
      <c r="J2207" s="29" t="n">
        <v>5000</v>
      </c>
      <c r="K2207" s="28" t="n">
        <v>12</v>
      </c>
      <c r="L2207" s="28" t="n">
        <v>120</v>
      </c>
      <c r="M2207" s="28" t="n">
        <v>0</v>
      </c>
    </row>
    <row r="2208" customFormat="false" ht="15" hidden="false" customHeight="false" outlineLevel="0" collapsed="false">
      <c r="A2208" s="27" t="n">
        <v>44985</v>
      </c>
      <c r="B2208" s="28" t="n">
        <v>2023</v>
      </c>
      <c r="C2208" s="28" t="s">
        <v>203</v>
      </c>
      <c r="D2208" s="28" t="s">
        <v>48</v>
      </c>
      <c r="E2208" s="28" t="s">
        <v>815</v>
      </c>
      <c r="F2208" s="28" t="s">
        <v>147</v>
      </c>
      <c r="G2208" s="28" t="s">
        <v>441</v>
      </c>
      <c r="H2208" s="28" t="s">
        <v>168</v>
      </c>
      <c r="I2208" s="29" t="n">
        <v>15000</v>
      </c>
      <c r="J2208" s="29" t="n">
        <v>7500</v>
      </c>
      <c r="K2208" s="28" t="n">
        <v>12</v>
      </c>
      <c r="L2208" s="28" t="n">
        <v>120</v>
      </c>
      <c r="M2208" s="28" t="n">
        <v>0</v>
      </c>
    </row>
    <row r="2209" customFormat="false" ht="15" hidden="false" customHeight="false" outlineLevel="0" collapsed="false">
      <c r="A2209" s="27" t="n">
        <v>44986</v>
      </c>
      <c r="B2209" s="28" t="n">
        <v>2023</v>
      </c>
      <c r="C2209" s="28" t="s">
        <v>213</v>
      </c>
      <c r="D2209" s="28" t="s">
        <v>52</v>
      </c>
      <c r="E2209" s="28" t="s">
        <v>742</v>
      </c>
      <c r="F2209" s="28" t="s">
        <v>142</v>
      </c>
      <c r="G2209" s="28" t="s">
        <v>148</v>
      </c>
      <c r="H2209" s="28" t="s">
        <v>275</v>
      </c>
      <c r="I2209" s="29" t="n">
        <v>350000</v>
      </c>
      <c r="J2209" s="29" t="n">
        <v>262500</v>
      </c>
      <c r="K2209" s="28" t="n">
        <v>10.5</v>
      </c>
      <c r="L2209" s="28" t="n">
        <v>120</v>
      </c>
      <c r="M2209" s="28" t="n">
        <v>3</v>
      </c>
    </row>
    <row r="2210" customFormat="false" ht="15" hidden="false" customHeight="false" outlineLevel="0" collapsed="false">
      <c r="A2210" s="27" t="n">
        <v>44987</v>
      </c>
      <c r="B2210" s="28" t="n">
        <v>2023</v>
      </c>
      <c r="C2210" s="28" t="s">
        <v>172</v>
      </c>
      <c r="D2210" s="28" t="s">
        <v>48</v>
      </c>
      <c r="E2210" s="28" t="s">
        <v>840</v>
      </c>
      <c r="F2210" s="28" t="s">
        <v>147</v>
      </c>
      <c r="G2210" s="28" t="s">
        <v>148</v>
      </c>
      <c r="H2210" s="28" t="s">
        <v>205</v>
      </c>
      <c r="I2210" s="29" t="n">
        <v>115000</v>
      </c>
      <c r="J2210" s="29" t="n">
        <v>57500</v>
      </c>
      <c r="K2210" s="28" t="n">
        <v>11.55</v>
      </c>
      <c r="L2210" s="28" t="n">
        <v>120</v>
      </c>
      <c r="M2210" s="28" t="n">
        <v>6</v>
      </c>
    </row>
    <row r="2211" customFormat="false" ht="15" hidden="false" customHeight="false" outlineLevel="0" collapsed="false">
      <c r="A2211" s="27" t="n">
        <v>44987</v>
      </c>
      <c r="B2211" s="28" t="n">
        <v>2023</v>
      </c>
      <c r="C2211" s="28" t="s">
        <v>198</v>
      </c>
      <c r="D2211" s="28" t="s">
        <v>48</v>
      </c>
      <c r="E2211" s="28" t="s">
        <v>304</v>
      </c>
      <c r="F2211" s="28" t="s">
        <v>142</v>
      </c>
      <c r="G2211" s="28" t="s">
        <v>148</v>
      </c>
      <c r="H2211" s="28" t="s">
        <v>171</v>
      </c>
      <c r="I2211" s="29" t="n">
        <v>150000</v>
      </c>
      <c r="J2211" s="29" t="n">
        <v>127500</v>
      </c>
      <c r="K2211" s="28" t="n">
        <v>11.5</v>
      </c>
      <c r="L2211" s="28" t="n">
        <v>120</v>
      </c>
      <c r="M2211" s="28" t="n">
        <v>1</v>
      </c>
    </row>
    <row r="2212" customFormat="false" ht="15" hidden="false" customHeight="false" outlineLevel="0" collapsed="false">
      <c r="A2212" s="27" t="n">
        <v>44987</v>
      </c>
      <c r="B2212" s="28" t="n">
        <v>2023</v>
      </c>
      <c r="C2212" s="28" t="s">
        <v>172</v>
      </c>
      <c r="D2212" s="28" t="s">
        <v>48</v>
      </c>
      <c r="E2212" s="28" t="s">
        <v>736</v>
      </c>
      <c r="F2212" s="28" t="s">
        <v>147</v>
      </c>
      <c r="G2212" s="28" t="s">
        <v>148</v>
      </c>
      <c r="H2212" s="28" t="s">
        <v>162</v>
      </c>
      <c r="I2212" s="29" t="n">
        <v>500000</v>
      </c>
      <c r="J2212" s="29" t="n">
        <v>250000</v>
      </c>
      <c r="K2212" s="28" t="n">
        <v>10.5</v>
      </c>
      <c r="L2212" s="28" t="n">
        <v>120</v>
      </c>
      <c r="M2212" s="28" t="n">
        <v>12</v>
      </c>
    </row>
    <row r="2213" customFormat="false" ht="15" hidden="false" customHeight="false" outlineLevel="0" collapsed="false">
      <c r="A2213" s="27" t="n">
        <v>44987</v>
      </c>
      <c r="B2213" s="28" t="n">
        <v>2023</v>
      </c>
      <c r="C2213" s="28" t="s">
        <v>243</v>
      </c>
      <c r="D2213" s="28" t="s">
        <v>46</v>
      </c>
      <c r="E2213" s="28" t="s">
        <v>780</v>
      </c>
      <c r="F2213" s="28" t="s">
        <v>194</v>
      </c>
      <c r="G2213" s="28" t="s">
        <v>148</v>
      </c>
      <c r="H2213" s="28" t="s">
        <v>950</v>
      </c>
      <c r="I2213" s="29" t="n">
        <v>150000</v>
      </c>
      <c r="J2213" s="29" t="n">
        <v>127500</v>
      </c>
      <c r="K2213" s="28" t="n">
        <v>11.25</v>
      </c>
      <c r="L2213" s="28" t="n">
        <v>102</v>
      </c>
      <c r="M2213" s="28" t="n">
        <v>2</v>
      </c>
    </row>
    <row r="2214" customFormat="false" ht="15" hidden="false" customHeight="false" outlineLevel="0" collapsed="false">
      <c r="A2214" s="27" t="n">
        <v>44988</v>
      </c>
      <c r="B2214" s="28" t="n">
        <v>2023</v>
      </c>
      <c r="C2214" s="28" t="s">
        <v>235</v>
      </c>
      <c r="D2214" s="28" t="s">
        <v>50</v>
      </c>
      <c r="E2214" s="28" t="s">
        <v>951</v>
      </c>
      <c r="F2214" s="28" t="s">
        <v>147</v>
      </c>
      <c r="G2214" s="28" t="s">
        <v>441</v>
      </c>
      <c r="H2214" s="28" t="s">
        <v>211</v>
      </c>
      <c r="I2214" s="29" t="n">
        <v>25000</v>
      </c>
      <c r="J2214" s="29" t="n">
        <v>12500</v>
      </c>
      <c r="K2214" s="28" t="n">
        <v>10</v>
      </c>
      <c r="L2214" s="28" t="n">
        <v>120</v>
      </c>
      <c r="M2214" s="28" t="n">
        <v>10</v>
      </c>
    </row>
    <row r="2215" customFormat="false" ht="15" hidden="false" customHeight="false" outlineLevel="0" collapsed="false">
      <c r="A2215" s="27" t="n">
        <v>44988</v>
      </c>
      <c r="B2215" s="28" t="n">
        <v>2023</v>
      </c>
      <c r="C2215" s="28" t="s">
        <v>235</v>
      </c>
      <c r="D2215" s="28" t="s">
        <v>50</v>
      </c>
      <c r="E2215" s="28" t="s">
        <v>951</v>
      </c>
      <c r="F2215" s="28" t="s">
        <v>142</v>
      </c>
      <c r="G2215" s="28" t="s">
        <v>441</v>
      </c>
      <c r="H2215" s="28" t="s">
        <v>211</v>
      </c>
      <c r="I2215" s="29" t="n">
        <v>311000</v>
      </c>
      <c r="J2215" s="29" t="n">
        <v>233250</v>
      </c>
      <c r="K2215" s="28" t="n">
        <v>10</v>
      </c>
      <c r="L2215" s="28" t="n">
        <v>120</v>
      </c>
      <c r="M2215" s="28" t="n">
        <v>10</v>
      </c>
    </row>
    <row r="2216" customFormat="false" ht="15" hidden="false" customHeight="false" outlineLevel="0" collapsed="false">
      <c r="A2216" s="27" t="n">
        <v>44988</v>
      </c>
      <c r="B2216" s="28" t="n">
        <v>2023</v>
      </c>
      <c r="C2216" s="28" t="s">
        <v>166</v>
      </c>
      <c r="D2216" s="28" t="s">
        <v>45</v>
      </c>
      <c r="E2216" s="28" t="s">
        <v>356</v>
      </c>
      <c r="F2216" s="28" t="s">
        <v>142</v>
      </c>
      <c r="G2216" s="28" t="s">
        <v>148</v>
      </c>
      <c r="H2216" s="28" t="s">
        <v>771</v>
      </c>
      <c r="I2216" s="29" t="n">
        <v>25000</v>
      </c>
      <c r="J2216" s="29" t="n">
        <v>21250</v>
      </c>
      <c r="K2216" s="28" t="n">
        <v>10.5</v>
      </c>
      <c r="L2216" s="28" t="n">
        <v>96</v>
      </c>
      <c r="M2216" s="28" t="n">
        <v>5</v>
      </c>
    </row>
    <row r="2217" customFormat="false" ht="15" hidden="false" customHeight="false" outlineLevel="0" collapsed="false">
      <c r="A2217" s="27" t="n">
        <v>44991</v>
      </c>
      <c r="B2217" s="28" t="n">
        <v>2023</v>
      </c>
      <c r="C2217" s="28" t="s">
        <v>243</v>
      </c>
      <c r="D2217" s="28" t="s">
        <v>47</v>
      </c>
      <c r="E2217" s="28" t="s">
        <v>373</v>
      </c>
      <c r="F2217" s="28" t="s">
        <v>142</v>
      </c>
      <c r="G2217" s="28" t="s">
        <v>143</v>
      </c>
      <c r="H2217" s="28" t="s">
        <v>281</v>
      </c>
      <c r="I2217" s="29" t="n">
        <v>1575000</v>
      </c>
      <c r="J2217" s="29" t="n">
        <v>1181250</v>
      </c>
      <c r="K2217" s="28" t="n">
        <v>9.75</v>
      </c>
      <c r="L2217" s="28" t="n">
        <v>132</v>
      </c>
      <c r="M2217" s="28" t="n">
        <v>12</v>
      </c>
    </row>
    <row r="2218" customFormat="false" ht="15" hidden="false" customHeight="false" outlineLevel="0" collapsed="false">
      <c r="A2218" s="27" t="n">
        <v>44991</v>
      </c>
      <c r="B2218" s="28" t="n">
        <v>2023</v>
      </c>
      <c r="C2218" s="28" t="s">
        <v>310</v>
      </c>
      <c r="D2218" s="28" t="s">
        <v>43</v>
      </c>
      <c r="E2218" s="28" t="s">
        <v>916</v>
      </c>
      <c r="F2218" s="28" t="s">
        <v>283</v>
      </c>
      <c r="G2218" s="28" t="s">
        <v>148</v>
      </c>
      <c r="H2218" s="28" t="s">
        <v>306</v>
      </c>
      <c r="I2218" s="29" t="n">
        <v>80000</v>
      </c>
      <c r="J2218" s="29" t="n">
        <v>68000</v>
      </c>
      <c r="K2218" s="28" t="n">
        <v>8.75</v>
      </c>
      <c r="L2218" s="28" t="n">
        <v>120</v>
      </c>
      <c r="M2218" s="28" t="n">
        <v>2</v>
      </c>
    </row>
    <row r="2219" customFormat="false" ht="15" hidden="false" customHeight="false" outlineLevel="0" collapsed="false">
      <c r="A2219" s="27" t="n">
        <v>44991</v>
      </c>
      <c r="B2219" s="28" t="n">
        <v>2023</v>
      </c>
      <c r="C2219" s="28" t="s">
        <v>169</v>
      </c>
      <c r="D2219" s="28" t="s">
        <v>45</v>
      </c>
      <c r="E2219" s="28" t="s">
        <v>740</v>
      </c>
      <c r="F2219" s="28" t="s">
        <v>147</v>
      </c>
      <c r="G2219" s="28" t="s">
        <v>148</v>
      </c>
      <c r="H2219" s="28" t="s">
        <v>191</v>
      </c>
      <c r="I2219" s="29" t="n">
        <v>200000</v>
      </c>
      <c r="J2219" s="29" t="n">
        <v>100000</v>
      </c>
      <c r="K2219" s="28" t="n">
        <v>10.6</v>
      </c>
      <c r="L2219" s="28" t="n">
        <v>120</v>
      </c>
      <c r="M2219" s="28" t="n">
        <v>0</v>
      </c>
    </row>
    <row r="2220" customFormat="false" ht="15" hidden="false" customHeight="false" outlineLevel="0" collapsed="false">
      <c r="A2220" s="27" t="n">
        <v>44991</v>
      </c>
      <c r="B2220" s="28" t="n">
        <v>2023</v>
      </c>
      <c r="C2220" s="28" t="s">
        <v>384</v>
      </c>
      <c r="D2220" s="28" t="s">
        <v>52</v>
      </c>
      <c r="E2220" s="28" t="s">
        <v>599</v>
      </c>
      <c r="F2220" s="28" t="s">
        <v>147</v>
      </c>
      <c r="G2220" s="28" t="s">
        <v>148</v>
      </c>
      <c r="H2220" s="28" t="s">
        <v>428</v>
      </c>
      <c r="I2220" s="29" t="n">
        <v>450000</v>
      </c>
      <c r="J2220" s="29" t="n">
        <v>225000</v>
      </c>
      <c r="K2220" s="28" t="n">
        <v>8.8</v>
      </c>
      <c r="L2220" s="28" t="n">
        <v>120</v>
      </c>
      <c r="M2220" s="28" t="n">
        <v>80</v>
      </c>
    </row>
    <row r="2221" customFormat="false" ht="15" hidden="false" customHeight="false" outlineLevel="0" collapsed="false">
      <c r="A2221" s="27" t="n">
        <v>44991</v>
      </c>
      <c r="B2221" s="28" t="n">
        <v>2023</v>
      </c>
      <c r="C2221" s="28" t="s">
        <v>169</v>
      </c>
      <c r="D2221" s="28" t="s">
        <v>50</v>
      </c>
      <c r="E2221" s="28" t="s">
        <v>724</v>
      </c>
      <c r="F2221" s="28" t="s">
        <v>147</v>
      </c>
      <c r="G2221" s="28" t="s">
        <v>148</v>
      </c>
      <c r="H2221" s="28" t="s">
        <v>159</v>
      </c>
      <c r="I2221" s="29" t="n">
        <v>7000</v>
      </c>
      <c r="J2221" s="29" t="n">
        <v>3500</v>
      </c>
      <c r="K2221" s="28" t="n">
        <v>14.25</v>
      </c>
      <c r="L2221" s="28" t="n">
        <v>107</v>
      </c>
      <c r="M2221" s="28" t="n">
        <v>6</v>
      </c>
    </row>
    <row r="2222" customFormat="false" ht="15" hidden="false" customHeight="false" outlineLevel="0" collapsed="false">
      <c r="A2222" s="27" t="n">
        <v>44991</v>
      </c>
      <c r="B2222" s="28" t="n">
        <v>2023</v>
      </c>
      <c r="C2222" s="28" t="s">
        <v>172</v>
      </c>
      <c r="D2222" s="28" t="s">
        <v>50</v>
      </c>
      <c r="E2222" s="28" t="s">
        <v>193</v>
      </c>
      <c r="F2222" s="28" t="s">
        <v>147</v>
      </c>
      <c r="G2222" s="28" t="s">
        <v>148</v>
      </c>
      <c r="H2222" s="28" t="s">
        <v>200</v>
      </c>
      <c r="I2222" s="29" t="n">
        <v>50000</v>
      </c>
      <c r="J2222" s="29" t="n">
        <v>25000</v>
      </c>
      <c r="K2222" s="28" t="n">
        <v>14.25</v>
      </c>
      <c r="L2222" s="28" t="n">
        <v>120</v>
      </c>
      <c r="M2222" s="28" t="n">
        <v>5</v>
      </c>
    </row>
    <row r="2223" customFormat="false" ht="15" hidden="false" customHeight="false" outlineLevel="0" collapsed="false">
      <c r="A2223" s="27" t="n">
        <v>44992</v>
      </c>
      <c r="B2223" s="28" t="n">
        <v>2023</v>
      </c>
      <c r="C2223" s="28" t="s">
        <v>203</v>
      </c>
      <c r="D2223" s="28" t="s">
        <v>44</v>
      </c>
      <c r="E2223" s="28" t="s">
        <v>923</v>
      </c>
      <c r="F2223" s="28" t="s">
        <v>147</v>
      </c>
      <c r="G2223" s="28" t="s">
        <v>148</v>
      </c>
      <c r="H2223" s="28" t="s">
        <v>428</v>
      </c>
      <c r="I2223" s="29" t="n">
        <v>20000</v>
      </c>
      <c r="J2223" s="29" t="n">
        <v>10000</v>
      </c>
      <c r="K2223" s="28" t="n">
        <v>14</v>
      </c>
      <c r="L2223" s="28" t="n">
        <v>84</v>
      </c>
      <c r="M2223" s="28" t="n">
        <v>7</v>
      </c>
    </row>
    <row r="2224" customFormat="false" ht="15" hidden="false" customHeight="false" outlineLevel="0" collapsed="false">
      <c r="A2224" s="27" t="n">
        <v>44992</v>
      </c>
      <c r="B2224" s="28" t="n">
        <v>2023</v>
      </c>
      <c r="C2224" s="28" t="s">
        <v>738</v>
      </c>
      <c r="D2224" s="28" t="s">
        <v>42</v>
      </c>
      <c r="E2224" s="28" t="s">
        <v>753</v>
      </c>
      <c r="F2224" s="28" t="s">
        <v>147</v>
      </c>
      <c r="G2224" s="28" t="s">
        <v>148</v>
      </c>
      <c r="H2224" s="28" t="s">
        <v>159</v>
      </c>
      <c r="I2224" s="29" t="n">
        <v>80000</v>
      </c>
      <c r="J2224" s="29" t="n">
        <v>40000</v>
      </c>
      <c r="K2224" s="28" t="n">
        <v>11</v>
      </c>
      <c r="L2224" s="28" t="n">
        <v>60</v>
      </c>
      <c r="M2224" s="28" t="n">
        <v>0</v>
      </c>
    </row>
    <row r="2225" customFormat="false" ht="15" hidden="false" customHeight="false" outlineLevel="0" collapsed="false">
      <c r="A2225" s="27" t="n">
        <v>44992</v>
      </c>
      <c r="B2225" s="28" t="n">
        <v>2023</v>
      </c>
      <c r="C2225" s="28" t="s">
        <v>206</v>
      </c>
      <c r="D2225" s="28" t="s">
        <v>48</v>
      </c>
      <c r="E2225" s="28" t="s">
        <v>736</v>
      </c>
      <c r="F2225" s="28" t="s">
        <v>142</v>
      </c>
      <c r="G2225" s="28" t="s">
        <v>148</v>
      </c>
      <c r="H2225" s="28" t="s">
        <v>165</v>
      </c>
      <c r="I2225" s="29" t="n">
        <v>1916000</v>
      </c>
      <c r="J2225" s="29" t="n">
        <v>1437000</v>
      </c>
      <c r="K2225" s="28" t="n">
        <v>7.99</v>
      </c>
      <c r="L2225" s="28" t="n">
        <v>300</v>
      </c>
      <c r="M2225" s="28" t="n">
        <v>1</v>
      </c>
    </row>
    <row r="2226" customFormat="false" ht="15" hidden="false" customHeight="false" outlineLevel="0" collapsed="false">
      <c r="A2226" s="27" t="n">
        <v>44992</v>
      </c>
      <c r="B2226" s="28" t="n">
        <v>2023</v>
      </c>
      <c r="C2226" s="28" t="s">
        <v>203</v>
      </c>
      <c r="D2226" s="28" t="s">
        <v>45</v>
      </c>
      <c r="E2226" s="28" t="s">
        <v>611</v>
      </c>
      <c r="F2226" s="28" t="s">
        <v>142</v>
      </c>
      <c r="G2226" s="28" t="s">
        <v>148</v>
      </c>
      <c r="H2226" s="28" t="s">
        <v>221</v>
      </c>
      <c r="I2226" s="29" t="n">
        <v>340000</v>
      </c>
      <c r="J2226" s="29" t="n">
        <v>255000</v>
      </c>
      <c r="K2226" s="28" t="n">
        <v>10.75</v>
      </c>
      <c r="L2226" s="28" t="n">
        <v>120</v>
      </c>
      <c r="M2226" s="28" t="n">
        <v>15</v>
      </c>
    </row>
    <row r="2227" customFormat="false" ht="15" hidden="false" customHeight="false" outlineLevel="0" collapsed="false">
      <c r="A2227" s="27" t="n">
        <v>44992</v>
      </c>
      <c r="B2227" s="28" t="n">
        <v>2023</v>
      </c>
      <c r="C2227" s="28" t="s">
        <v>292</v>
      </c>
      <c r="D2227" s="28" t="s">
        <v>43</v>
      </c>
      <c r="E2227" s="28" t="s">
        <v>830</v>
      </c>
      <c r="F2227" s="28" t="s">
        <v>147</v>
      </c>
      <c r="G2227" s="28" t="s">
        <v>143</v>
      </c>
      <c r="H2227" s="28" t="s">
        <v>482</v>
      </c>
      <c r="I2227" s="29" t="n">
        <v>75000</v>
      </c>
      <c r="J2227" s="29" t="n">
        <v>37500</v>
      </c>
      <c r="K2227" s="28" t="n">
        <v>9.25</v>
      </c>
      <c r="L2227" s="28" t="n">
        <v>72</v>
      </c>
      <c r="M2227" s="28" t="n">
        <v>2</v>
      </c>
    </row>
    <row r="2228" customFormat="false" ht="15" hidden="false" customHeight="false" outlineLevel="0" collapsed="false">
      <c r="A2228" s="27" t="n">
        <v>44993</v>
      </c>
      <c r="B2228" s="28" t="n">
        <v>2023</v>
      </c>
      <c r="C2228" s="28" t="s">
        <v>172</v>
      </c>
      <c r="D2228" s="28" t="s">
        <v>42</v>
      </c>
      <c r="E2228" s="28" t="s">
        <v>753</v>
      </c>
      <c r="F2228" s="28" t="s">
        <v>142</v>
      </c>
      <c r="G2228" s="28" t="s">
        <v>148</v>
      </c>
      <c r="H2228" s="28" t="s">
        <v>187</v>
      </c>
      <c r="I2228" s="29" t="n">
        <v>264000</v>
      </c>
      <c r="J2228" s="29" t="n">
        <v>198000</v>
      </c>
      <c r="K2228" s="28" t="n">
        <v>5.55</v>
      </c>
      <c r="L2228" s="28" t="n">
        <v>120</v>
      </c>
      <c r="M2228" s="28" t="n">
        <v>22</v>
      </c>
    </row>
    <row r="2229" customFormat="false" ht="15" hidden="false" customHeight="false" outlineLevel="0" collapsed="false">
      <c r="A2229" s="27" t="n">
        <v>44993</v>
      </c>
      <c r="B2229" s="28" t="n">
        <v>2023</v>
      </c>
      <c r="C2229" s="28" t="s">
        <v>500</v>
      </c>
      <c r="D2229" s="28" t="s">
        <v>48</v>
      </c>
      <c r="E2229" s="28" t="s">
        <v>362</v>
      </c>
      <c r="F2229" s="28" t="s">
        <v>142</v>
      </c>
      <c r="G2229" s="28" t="s">
        <v>148</v>
      </c>
      <c r="H2229" s="28" t="s">
        <v>208</v>
      </c>
      <c r="I2229" s="29" t="n">
        <v>310000</v>
      </c>
      <c r="J2229" s="29" t="n">
        <v>232500</v>
      </c>
      <c r="K2229" s="28" t="n">
        <v>10.5</v>
      </c>
      <c r="L2229" s="28" t="n">
        <v>120</v>
      </c>
      <c r="M2229" s="28" t="n">
        <v>4</v>
      </c>
    </row>
    <row r="2230" customFormat="false" ht="15" hidden="false" customHeight="false" outlineLevel="0" collapsed="false">
      <c r="A2230" s="27" t="n">
        <v>44993</v>
      </c>
      <c r="B2230" s="28" t="n">
        <v>2023</v>
      </c>
      <c r="C2230" s="28" t="s">
        <v>203</v>
      </c>
      <c r="D2230" s="28" t="s">
        <v>52</v>
      </c>
      <c r="E2230" s="28" t="s">
        <v>720</v>
      </c>
      <c r="F2230" s="28" t="s">
        <v>142</v>
      </c>
      <c r="G2230" s="28" t="s">
        <v>148</v>
      </c>
      <c r="H2230" s="28" t="s">
        <v>171</v>
      </c>
      <c r="I2230" s="29" t="n">
        <v>265000</v>
      </c>
      <c r="J2230" s="29" t="n">
        <v>198750</v>
      </c>
      <c r="K2230" s="28" t="n">
        <v>10.5</v>
      </c>
      <c r="L2230" s="28" t="n">
        <v>110</v>
      </c>
      <c r="M2230" s="28" t="n">
        <v>5</v>
      </c>
    </row>
    <row r="2231" customFormat="false" ht="15" hidden="false" customHeight="false" outlineLevel="0" collapsed="false">
      <c r="A2231" s="27" t="n">
        <v>44993</v>
      </c>
      <c r="B2231" s="28" t="n">
        <v>2023</v>
      </c>
      <c r="C2231" s="28" t="s">
        <v>172</v>
      </c>
      <c r="D2231" s="28" t="s">
        <v>51</v>
      </c>
      <c r="E2231" s="28" t="s">
        <v>779</v>
      </c>
      <c r="F2231" s="28" t="s">
        <v>147</v>
      </c>
      <c r="G2231" s="28" t="s">
        <v>143</v>
      </c>
      <c r="H2231" s="28" t="s">
        <v>211</v>
      </c>
      <c r="I2231" s="29" t="n">
        <v>30000</v>
      </c>
      <c r="J2231" s="29" t="n">
        <v>15000</v>
      </c>
      <c r="K2231" s="28" t="n">
        <v>10</v>
      </c>
      <c r="L2231" s="28" t="n">
        <v>120</v>
      </c>
      <c r="M2231" s="28" t="n">
        <v>5</v>
      </c>
    </row>
    <row r="2232" customFormat="false" ht="15" hidden="false" customHeight="false" outlineLevel="0" collapsed="false">
      <c r="A2232" s="27" t="n">
        <v>44993</v>
      </c>
      <c r="B2232" s="28" t="n">
        <v>2023</v>
      </c>
      <c r="C2232" s="28" t="s">
        <v>163</v>
      </c>
      <c r="D2232" s="28" t="s">
        <v>46</v>
      </c>
      <c r="E2232" s="28" t="s">
        <v>770</v>
      </c>
      <c r="F2232" s="28" t="s">
        <v>194</v>
      </c>
      <c r="G2232" s="28" t="s">
        <v>143</v>
      </c>
      <c r="H2232" s="28" t="s">
        <v>278</v>
      </c>
      <c r="I2232" s="29" t="n">
        <v>678200</v>
      </c>
      <c r="J2232" s="29" t="n">
        <v>508650</v>
      </c>
      <c r="K2232" s="28" t="n">
        <v>9.25</v>
      </c>
      <c r="L2232" s="28" t="n">
        <v>120</v>
      </c>
      <c r="M2232" s="28" t="n">
        <v>8</v>
      </c>
    </row>
    <row r="2233" customFormat="false" ht="15" hidden="false" customHeight="false" outlineLevel="0" collapsed="false">
      <c r="A2233" s="27" t="n">
        <v>44993</v>
      </c>
      <c r="B2233" s="28" t="n">
        <v>2023</v>
      </c>
      <c r="C2233" s="28" t="s">
        <v>172</v>
      </c>
      <c r="D2233" s="28" t="s">
        <v>51</v>
      </c>
      <c r="E2233" s="28" t="s">
        <v>779</v>
      </c>
      <c r="F2233" s="28" t="s">
        <v>142</v>
      </c>
      <c r="G2233" s="28" t="s">
        <v>143</v>
      </c>
      <c r="H2233" s="28" t="s">
        <v>211</v>
      </c>
      <c r="I2233" s="29" t="n">
        <v>318000</v>
      </c>
      <c r="J2233" s="29" t="n">
        <v>238500</v>
      </c>
      <c r="K2233" s="28" t="n">
        <v>10</v>
      </c>
      <c r="L2233" s="28" t="n">
        <v>120</v>
      </c>
      <c r="M2233" s="28" t="n">
        <v>5</v>
      </c>
    </row>
    <row r="2234" customFormat="false" ht="15" hidden="false" customHeight="false" outlineLevel="0" collapsed="false">
      <c r="A2234" s="27" t="n">
        <v>44993</v>
      </c>
      <c r="B2234" s="28" t="n">
        <v>2023</v>
      </c>
      <c r="C2234" s="28" t="s">
        <v>252</v>
      </c>
      <c r="D2234" s="28" t="s">
        <v>43</v>
      </c>
      <c r="E2234" s="28" t="s">
        <v>825</v>
      </c>
      <c r="F2234" s="28" t="s">
        <v>142</v>
      </c>
      <c r="G2234" s="28" t="s">
        <v>148</v>
      </c>
      <c r="H2234" s="28" t="s">
        <v>200</v>
      </c>
      <c r="I2234" s="29" t="n">
        <v>100000</v>
      </c>
      <c r="J2234" s="29" t="n">
        <v>85000</v>
      </c>
      <c r="K2234" s="28" t="n">
        <v>10.75</v>
      </c>
      <c r="L2234" s="28" t="n">
        <v>103</v>
      </c>
      <c r="M2234" s="28" t="n">
        <v>8</v>
      </c>
    </row>
    <row r="2235" customFormat="false" ht="15" hidden="false" customHeight="false" outlineLevel="0" collapsed="false">
      <c r="A2235" s="27" t="n">
        <v>44993</v>
      </c>
      <c r="B2235" s="28" t="n">
        <v>2023</v>
      </c>
      <c r="C2235" s="28" t="s">
        <v>169</v>
      </c>
      <c r="D2235" s="28" t="s">
        <v>43</v>
      </c>
      <c r="E2235" s="28" t="s">
        <v>952</v>
      </c>
      <c r="F2235" s="28" t="s">
        <v>142</v>
      </c>
      <c r="G2235" s="28" t="s">
        <v>148</v>
      </c>
      <c r="H2235" s="28" t="s">
        <v>494</v>
      </c>
      <c r="I2235" s="29" t="n">
        <v>765000</v>
      </c>
      <c r="J2235" s="29" t="n">
        <v>573750</v>
      </c>
      <c r="K2235" s="28" t="n">
        <v>9.75</v>
      </c>
      <c r="L2235" s="28" t="n">
        <v>126</v>
      </c>
      <c r="M2235" s="28" t="n">
        <v>150</v>
      </c>
    </row>
    <row r="2236" customFormat="false" ht="15" hidden="false" customHeight="false" outlineLevel="0" collapsed="false">
      <c r="A2236" s="27" t="n">
        <v>44995</v>
      </c>
      <c r="B2236" s="28" t="n">
        <v>2023</v>
      </c>
      <c r="C2236" s="28" t="s">
        <v>172</v>
      </c>
      <c r="D2236" s="28" t="s">
        <v>48</v>
      </c>
      <c r="E2236" s="28" t="s">
        <v>815</v>
      </c>
      <c r="F2236" s="28" t="s">
        <v>147</v>
      </c>
      <c r="G2236" s="28" t="s">
        <v>148</v>
      </c>
      <c r="H2236" s="28" t="s">
        <v>159</v>
      </c>
      <c r="I2236" s="29" t="n">
        <v>97000</v>
      </c>
      <c r="J2236" s="29" t="n">
        <v>48500</v>
      </c>
      <c r="K2236" s="28" t="n">
        <v>12.25</v>
      </c>
      <c r="L2236" s="28" t="n">
        <v>89</v>
      </c>
      <c r="M2236" s="28" t="n">
        <v>3</v>
      </c>
    </row>
    <row r="2237" customFormat="false" ht="15" hidden="false" customHeight="false" outlineLevel="0" collapsed="false">
      <c r="A2237" s="27" t="n">
        <v>44995</v>
      </c>
      <c r="B2237" s="28" t="n">
        <v>2023</v>
      </c>
      <c r="C2237" s="28" t="s">
        <v>169</v>
      </c>
      <c r="D2237" s="28" t="s">
        <v>43</v>
      </c>
      <c r="E2237" s="28" t="s">
        <v>757</v>
      </c>
      <c r="F2237" s="28" t="s">
        <v>142</v>
      </c>
      <c r="G2237" s="28" t="s">
        <v>143</v>
      </c>
      <c r="H2237" s="28" t="s">
        <v>953</v>
      </c>
      <c r="I2237" s="29" t="n">
        <v>405000</v>
      </c>
      <c r="J2237" s="29" t="n">
        <v>303750</v>
      </c>
      <c r="K2237" s="28" t="n">
        <v>10.75</v>
      </c>
      <c r="L2237" s="28" t="n">
        <v>120</v>
      </c>
      <c r="M2237" s="28" t="n">
        <v>23</v>
      </c>
    </row>
    <row r="2238" customFormat="false" ht="15" hidden="false" customHeight="false" outlineLevel="0" collapsed="false">
      <c r="A2238" s="27" t="n">
        <v>44998</v>
      </c>
      <c r="B2238" s="28" t="n">
        <v>2023</v>
      </c>
      <c r="C2238" s="28" t="s">
        <v>206</v>
      </c>
      <c r="D2238" s="28" t="s">
        <v>49</v>
      </c>
      <c r="E2238" s="28" t="s">
        <v>954</v>
      </c>
      <c r="F2238" s="28" t="s">
        <v>147</v>
      </c>
      <c r="G2238" s="28" t="s">
        <v>441</v>
      </c>
      <c r="H2238" s="28" t="s">
        <v>168</v>
      </c>
      <c r="I2238" s="29" t="n">
        <v>5000</v>
      </c>
      <c r="J2238" s="29" t="n">
        <v>2500</v>
      </c>
      <c r="K2238" s="28" t="n">
        <v>13.75</v>
      </c>
      <c r="L2238" s="28" t="n">
        <v>120</v>
      </c>
      <c r="M2238" s="28" t="n">
        <v>0</v>
      </c>
    </row>
    <row r="2239" customFormat="false" ht="15" hidden="false" customHeight="false" outlineLevel="0" collapsed="false">
      <c r="A2239" s="27" t="n">
        <v>44998</v>
      </c>
      <c r="B2239" s="28" t="n">
        <v>2023</v>
      </c>
      <c r="C2239" s="28" t="s">
        <v>169</v>
      </c>
      <c r="D2239" s="28" t="s">
        <v>50</v>
      </c>
      <c r="E2239" s="28" t="s">
        <v>737</v>
      </c>
      <c r="F2239" s="28" t="s">
        <v>147</v>
      </c>
      <c r="G2239" s="28" t="s">
        <v>148</v>
      </c>
      <c r="H2239" s="28" t="s">
        <v>278</v>
      </c>
      <c r="I2239" s="29" t="n">
        <v>500000</v>
      </c>
      <c r="J2239" s="29" t="n">
        <v>250000</v>
      </c>
      <c r="K2239" s="28" t="n">
        <v>10.25</v>
      </c>
      <c r="L2239" s="28" t="n">
        <v>72</v>
      </c>
      <c r="M2239" s="28" t="n">
        <v>13</v>
      </c>
    </row>
    <row r="2240" customFormat="false" ht="15" hidden="false" customHeight="false" outlineLevel="0" collapsed="false">
      <c r="A2240" s="27" t="n">
        <v>44998</v>
      </c>
      <c r="B2240" s="28" t="n">
        <v>2023</v>
      </c>
      <c r="C2240" s="28" t="s">
        <v>312</v>
      </c>
      <c r="D2240" s="28" t="s">
        <v>51</v>
      </c>
      <c r="E2240" s="28" t="s">
        <v>779</v>
      </c>
      <c r="F2240" s="28" t="s">
        <v>147</v>
      </c>
      <c r="G2240" s="28" t="s">
        <v>148</v>
      </c>
      <c r="H2240" s="28" t="s">
        <v>396</v>
      </c>
      <c r="I2240" s="29" t="n">
        <v>45000</v>
      </c>
      <c r="J2240" s="29" t="n">
        <v>22500</v>
      </c>
      <c r="K2240" s="28" t="n">
        <v>9.75</v>
      </c>
      <c r="L2240" s="28" t="n">
        <v>72</v>
      </c>
      <c r="M2240" s="28" t="n">
        <v>2</v>
      </c>
    </row>
    <row r="2241" customFormat="false" ht="15" hidden="false" customHeight="false" outlineLevel="0" collapsed="false">
      <c r="A2241" s="27" t="n">
        <v>44998</v>
      </c>
      <c r="B2241" s="28" t="n">
        <v>2023</v>
      </c>
      <c r="C2241" s="28" t="s">
        <v>303</v>
      </c>
      <c r="D2241" s="28" t="s">
        <v>42</v>
      </c>
      <c r="E2241" s="28" t="s">
        <v>705</v>
      </c>
      <c r="F2241" s="28" t="s">
        <v>142</v>
      </c>
      <c r="G2241" s="28" t="s">
        <v>441</v>
      </c>
      <c r="H2241" s="28" t="s">
        <v>955</v>
      </c>
      <c r="I2241" s="29" t="n">
        <v>4790000</v>
      </c>
      <c r="J2241" s="29" t="n">
        <v>3592500</v>
      </c>
      <c r="K2241" s="28" t="n">
        <v>9.25</v>
      </c>
      <c r="L2241" s="28" t="n">
        <v>300</v>
      </c>
      <c r="M2241" s="28" t="n">
        <v>16</v>
      </c>
    </row>
    <row r="2242" customFormat="false" ht="15" hidden="false" customHeight="false" outlineLevel="0" collapsed="false">
      <c r="A2242" s="27" t="n">
        <v>44998</v>
      </c>
      <c r="B2242" s="28" t="n">
        <v>2023</v>
      </c>
      <c r="C2242" s="28" t="s">
        <v>607</v>
      </c>
      <c r="D2242" s="28" t="s">
        <v>50</v>
      </c>
      <c r="E2242" s="28" t="s">
        <v>711</v>
      </c>
      <c r="F2242" s="28" t="s">
        <v>142</v>
      </c>
      <c r="G2242" s="28" t="s">
        <v>143</v>
      </c>
      <c r="H2242" s="28" t="s">
        <v>287</v>
      </c>
      <c r="I2242" s="29" t="n">
        <v>150000</v>
      </c>
      <c r="J2242" s="29" t="n">
        <v>127500</v>
      </c>
      <c r="K2242" s="28" t="n">
        <v>10.5</v>
      </c>
      <c r="L2242" s="28" t="n">
        <v>120</v>
      </c>
      <c r="M2242" s="28" t="n">
        <v>6</v>
      </c>
    </row>
    <row r="2243" customFormat="false" ht="15" hidden="false" customHeight="false" outlineLevel="0" collapsed="false">
      <c r="A2243" s="27" t="n">
        <v>44998</v>
      </c>
      <c r="B2243" s="28" t="n">
        <v>2023</v>
      </c>
      <c r="C2243" s="28" t="s">
        <v>172</v>
      </c>
      <c r="D2243" s="28" t="s">
        <v>49</v>
      </c>
      <c r="E2243" s="28" t="s">
        <v>956</v>
      </c>
      <c r="F2243" s="28" t="s">
        <v>142</v>
      </c>
      <c r="G2243" s="28" t="s">
        <v>148</v>
      </c>
      <c r="H2243" s="28" t="s">
        <v>269</v>
      </c>
      <c r="I2243" s="29" t="n">
        <v>150000</v>
      </c>
      <c r="J2243" s="29" t="n">
        <v>127500</v>
      </c>
      <c r="K2243" s="28" t="n">
        <v>10.5</v>
      </c>
      <c r="L2243" s="28" t="n">
        <v>120</v>
      </c>
      <c r="M2243" s="28" t="n">
        <v>2</v>
      </c>
    </row>
    <row r="2244" customFormat="false" ht="15" hidden="false" customHeight="false" outlineLevel="0" collapsed="false">
      <c r="A2244" s="27" t="n">
        <v>44999</v>
      </c>
      <c r="B2244" s="28" t="n">
        <v>2023</v>
      </c>
      <c r="C2244" s="28" t="s">
        <v>549</v>
      </c>
      <c r="D2244" s="28" t="s">
        <v>49</v>
      </c>
      <c r="E2244" s="28" t="s">
        <v>957</v>
      </c>
      <c r="F2244" s="28" t="s">
        <v>147</v>
      </c>
      <c r="G2244" s="28" t="s">
        <v>148</v>
      </c>
      <c r="H2244" s="28" t="s">
        <v>200</v>
      </c>
      <c r="I2244" s="29" t="n">
        <v>50000</v>
      </c>
      <c r="J2244" s="29" t="n">
        <v>25000</v>
      </c>
      <c r="K2244" s="28" t="n">
        <v>14.25</v>
      </c>
      <c r="L2244" s="28" t="n">
        <v>120</v>
      </c>
      <c r="M2244" s="28" t="n">
        <v>5</v>
      </c>
    </row>
    <row r="2245" customFormat="false" ht="15" hidden="false" customHeight="false" outlineLevel="0" collapsed="false">
      <c r="A2245" s="27" t="n">
        <v>44999</v>
      </c>
      <c r="B2245" s="28" t="n">
        <v>2023</v>
      </c>
      <c r="C2245" s="28" t="s">
        <v>140</v>
      </c>
      <c r="D2245" s="28" t="s">
        <v>43</v>
      </c>
      <c r="E2245" s="28" t="s">
        <v>958</v>
      </c>
      <c r="F2245" s="28" t="s">
        <v>142</v>
      </c>
      <c r="G2245" s="28" t="s">
        <v>148</v>
      </c>
      <c r="H2245" s="28" t="s">
        <v>953</v>
      </c>
      <c r="I2245" s="29" t="n">
        <v>150000</v>
      </c>
      <c r="J2245" s="29" t="n">
        <v>127500</v>
      </c>
      <c r="K2245" s="28" t="n">
        <v>10.75</v>
      </c>
      <c r="L2245" s="28" t="n">
        <v>120</v>
      </c>
      <c r="M2245" s="28" t="n">
        <v>3</v>
      </c>
    </row>
    <row r="2246" customFormat="false" ht="15" hidden="false" customHeight="false" outlineLevel="0" collapsed="false">
      <c r="A2246" s="27" t="n">
        <v>44999</v>
      </c>
      <c r="B2246" s="28" t="n">
        <v>2023</v>
      </c>
      <c r="C2246" s="28" t="s">
        <v>172</v>
      </c>
      <c r="D2246" s="28" t="s">
        <v>45</v>
      </c>
      <c r="E2246" s="28" t="s">
        <v>824</v>
      </c>
      <c r="F2246" s="28" t="s">
        <v>147</v>
      </c>
      <c r="G2246" s="28" t="s">
        <v>441</v>
      </c>
      <c r="H2246" s="28" t="s">
        <v>159</v>
      </c>
      <c r="I2246" s="29" t="n">
        <v>100000</v>
      </c>
      <c r="J2246" s="29" t="n">
        <v>50000</v>
      </c>
      <c r="K2246" s="28" t="n">
        <v>10</v>
      </c>
      <c r="L2246" s="28" t="n">
        <v>120</v>
      </c>
      <c r="M2246" s="28" t="n">
        <v>2</v>
      </c>
    </row>
    <row r="2247" customFormat="false" ht="15" hidden="false" customHeight="false" outlineLevel="0" collapsed="false">
      <c r="A2247" s="27" t="n">
        <v>44999</v>
      </c>
      <c r="B2247" s="28" t="n">
        <v>2023</v>
      </c>
      <c r="C2247" s="28" t="s">
        <v>203</v>
      </c>
      <c r="D2247" s="28" t="s">
        <v>45</v>
      </c>
      <c r="E2247" s="28" t="s">
        <v>824</v>
      </c>
      <c r="F2247" s="28" t="s">
        <v>142</v>
      </c>
      <c r="G2247" s="28" t="s">
        <v>148</v>
      </c>
      <c r="H2247" s="28" t="s">
        <v>200</v>
      </c>
      <c r="I2247" s="29" t="n">
        <v>350000</v>
      </c>
      <c r="J2247" s="29" t="n">
        <v>262500</v>
      </c>
      <c r="K2247" s="28" t="n">
        <v>10.75</v>
      </c>
      <c r="L2247" s="28" t="n">
        <v>103</v>
      </c>
      <c r="M2247" s="28" t="n">
        <v>37</v>
      </c>
    </row>
    <row r="2248" customFormat="false" ht="15" hidden="false" customHeight="false" outlineLevel="0" collapsed="false">
      <c r="A2248" s="27" t="n">
        <v>44999</v>
      </c>
      <c r="B2248" s="28" t="n">
        <v>2023</v>
      </c>
      <c r="C2248" s="28" t="s">
        <v>160</v>
      </c>
      <c r="D2248" s="28" t="s">
        <v>48</v>
      </c>
      <c r="E2248" s="28" t="s">
        <v>346</v>
      </c>
      <c r="F2248" s="28" t="s">
        <v>142</v>
      </c>
      <c r="G2248" s="28" t="s">
        <v>152</v>
      </c>
      <c r="H2248" s="28" t="s">
        <v>388</v>
      </c>
      <c r="I2248" s="29" t="n">
        <v>967000</v>
      </c>
      <c r="J2248" s="29" t="n">
        <v>725250</v>
      </c>
      <c r="K2248" s="28" t="n">
        <v>10.5</v>
      </c>
      <c r="L2248" s="28" t="n">
        <v>120</v>
      </c>
      <c r="M2248" s="28" t="n">
        <v>1</v>
      </c>
    </row>
    <row r="2249" customFormat="false" ht="15" hidden="false" customHeight="false" outlineLevel="0" collapsed="false">
      <c r="A2249" s="27" t="n">
        <v>44999</v>
      </c>
      <c r="B2249" s="28" t="n">
        <v>2023</v>
      </c>
      <c r="C2249" s="28" t="s">
        <v>172</v>
      </c>
      <c r="D2249" s="28" t="s">
        <v>57</v>
      </c>
      <c r="E2249" s="28" t="s">
        <v>474</v>
      </c>
      <c r="F2249" s="28" t="s">
        <v>142</v>
      </c>
      <c r="G2249" s="28" t="s">
        <v>148</v>
      </c>
      <c r="H2249" s="28" t="s">
        <v>953</v>
      </c>
      <c r="I2249" s="29" t="n">
        <v>300000</v>
      </c>
      <c r="J2249" s="29" t="n">
        <v>255000</v>
      </c>
      <c r="K2249" s="28" t="n">
        <v>10.75</v>
      </c>
      <c r="L2249" s="28" t="n">
        <v>120</v>
      </c>
      <c r="M2249" s="28" t="n">
        <v>10</v>
      </c>
    </row>
    <row r="2250" customFormat="false" ht="15" hidden="false" customHeight="false" outlineLevel="0" collapsed="false">
      <c r="A2250" s="27" t="n">
        <v>44999</v>
      </c>
      <c r="B2250" s="28" t="n">
        <v>2023</v>
      </c>
      <c r="C2250" s="28" t="s">
        <v>196</v>
      </c>
      <c r="D2250" s="28" t="s">
        <v>48</v>
      </c>
      <c r="E2250" s="28" t="s">
        <v>304</v>
      </c>
      <c r="F2250" s="28" t="s">
        <v>147</v>
      </c>
      <c r="G2250" s="28" t="s">
        <v>148</v>
      </c>
      <c r="H2250" s="28" t="s">
        <v>205</v>
      </c>
      <c r="I2250" s="29" t="n">
        <v>160000</v>
      </c>
      <c r="J2250" s="29" t="n">
        <v>80000</v>
      </c>
      <c r="K2250" s="28" t="n">
        <v>11.55</v>
      </c>
      <c r="L2250" s="28" t="n">
        <v>120</v>
      </c>
      <c r="M2250" s="28" t="n">
        <v>6</v>
      </c>
    </row>
    <row r="2251" customFormat="false" ht="15" hidden="false" customHeight="false" outlineLevel="0" collapsed="false">
      <c r="A2251" s="27" t="n">
        <v>45000</v>
      </c>
      <c r="B2251" s="28" t="n">
        <v>2023</v>
      </c>
      <c r="C2251" s="28" t="s">
        <v>169</v>
      </c>
      <c r="D2251" s="28" t="s">
        <v>43</v>
      </c>
      <c r="E2251" s="28" t="s">
        <v>749</v>
      </c>
      <c r="F2251" s="28" t="s">
        <v>142</v>
      </c>
      <c r="G2251" s="28" t="s">
        <v>441</v>
      </c>
      <c r="H2251" s="28" t="s">
        <v>159</v>
      </c>
      <c r="I2251" s="29" t="n">
        <v>340000</v>
      </c>
      <c r="J2251" s="29" t="n">
        <v>255000</v>
      </c>
      <c r="K2251" s="28" t="n">
        <v>10.5</v>
      </c>
      <c r="L2251" s="28" t="n">
        <v>120</v>
      </c>
      <c r="M2251" s="28" t="n">
        <v>4</v>
      </c>
    </row>
    <row r="2252" customFormat="false" ht="15" hidden="false" customHeight="false" outlineLevel="0" collapsed="false">
      <c r="A2252" s="27" t="n">
        <v>45000</v>
      </c>
      <c r="B2252" s="28" t="n">
        <v>2023</v>
      </c>
      <c r="C2252" s="28" t="s">
        <v>235</v>
      </c>
      <c r="D2252" s="28" t="s">
        <v>44</v>
      </c>
      <c r="E2252" s="28" t="s">
        <v>339</v>
      </c>
      <c r="F2252" s="28" t="s">
        <v>142</v>
      </c>
      <c r="G2252" s="28" t="s">
        <v>143</v>
      </c>
      <c r="H2252" s="28" t="s">
        <v>211</v>
      </c>
      <c r="I2252" s="29" t="n">
        <v>539000</v>
      </c>
      <c r="J2252" s="29" t="n">
        <v>404250</v>
      </c>
      <c r="K2252" s="28" t="n">
        <v>10.25</v>
      </c>
      <c r="L2252" s="28" t="n">
        <v>126</v>
      </c>
      <c r="M2252" s="28" t="n">
        <v>5</v>
      </c>
    </row>
    <row r="2253" customFormat="false" ht="15" hidden="false" customHeight="false" outlineLevel="0" collapsed="false">
      <c r="A2253" s="27" t="n">
        <v>45000</v>
      </c>
      <c r="B2253" s="28" t="n">
        <v>2023</v>
      </c>
      <c r="C2253" s="28" t="s">
        <v>169</v>
      </c>
      <c r="D2253" s="28" t="s">
        <v>44</v>
      </c>
      <c r="E2253" s="28" t="s">
        <v>759</v>
      </c>
      <c r="F2253" s="28" t="s">
        <v>147</v>
      </c>
      <c r="G2253" s="28" t="s">
        <v>148</v>
      </c>
      <c r="H2253" s="28" t="s">
        <v>205</v>
      </c>
      <c r="I2253" s="29" t="n">
        <v>18000</v>
      </c>
      <c r="J2253" s="29" t="n">
        <v>9000</v>
      </c>
      <c r="K2253" s="28" t="n">
        <v>12.25</v>
      </c>
      <c r="L2253" s="28" t="n">
        <v>120</v>
      </c>
      <c r="M2253" s="28" t="n">
        <v>9</v>
      </c>
    </row>
    <row r="2254" customFormat="false" ht="15" hidden="false" customHeight="false" outlineLevel="0" collapsed="false">
      <c r="A2254" s="27" t="n">
        <v>45002</v>
      </c>
      <c r="B2254" s="28" t="n">
        <v>2023</v>
      </c>
      <c r="C2254" s="28" t="s">
        <v>196</v>
      </c>
      <c r="D2254" s="28" t="s">
        <v>48</v>
      </c>
      <c r="E2254" s="28" t="s">
        <v>304</v>
      </c>
      <c r="F2254" s="28" t="s">
        <v>142</v>
      </c>
      <c r="G2254" s="28" t="s">
        <v>441</v>
      </c>
      <c r="H2254" s="28" t="s">
        <v>149</v>
      </c>
      <c r="I2254" s="29" t="n">
        <v>204000</v>
      </c>
      <c r="J2254" s="29" t="n">
        <v>153000</v>
      </c>
      <c r="K2254" s="28" t="n">
        <v>8.75</v>
      </c>
      <c r="L2254" s="28" t="n">
        <v>300</v>
      </c>
      <c r="M2254" s="28" t="n">
        <v>3</v>
      </c>
    </row>
    <row r="2255" customFormat="false" ht="15" hidden="false" customHeight="false" outlineLevel="0" collapsed="false">
      <c r="A2255" s="27" t="n">
        <v>45002</v>
      </c>
      <c r="B2255" s="28" t="n">
        <v>2023</v>
      </c>
      <c r="C2255" s="28" t="s">
        <v>169</v>
      </c>
      <c r="D2255" s="28" t="s">
        <v>44</v>
      </c>
      <c r="E2255" s="28" t="s">
        <v>759</v>
      </c>
      <c r="F2255" s="28" t="s">
        <v>147</v>
      </c>
      <c r="G2255" s="28" t="s">
        <v>148</v>
      </c>
      <c r="H2255" s="28" t="s">
        <v>205</v>
      </c>
      <c r="I2255" s="29" t="n">
        <v>54300</v>
      </c>
      <c r="J2255" s="29" t="n">
        <v>27150</v>
      </c>
      <c r="K2255" s="28" t="n">
        <v>12.25</v>
      </c>
      <c r="L2255" s="28" t="n">
        <v>48</v>
      </c>
      <c r="M2255" s="28" t="n">
        <v>9</v>
      </c>
    </row>
    <row r="2256" customFormat="false" ht="15" hidden="false" customHeight="false" outlineLevel="0" collapsed="false">
      <c r="A2256" s="27" t="n">
        <v>45002</v>
      </c>
      <c r="B2256" s="28" t="n">
        <v>2023</v>
      </c>
      <c r="C2256" s="28" t="s">
        <v>163</v>
      </c>
      <c r="D2256" s="28" t="s">
        <v>45</v>
      </c>
      <c r="E2256" s="28" t="s">
        <v>835</v>
      </c>
      <c r="F2256" s="28" t="s">
        <v>142</v>
      </c>
      <c r="G2256" s="28" t="s">
        <v>148</v>
      </c>
      <c r="H2256" s="28" t="s">
        <v>208</v>
      </c>
      <c r="I2256" s="29" t="n">
        <v>107000</v>
      </c>
      <c r="J2256" s="29" t="n">
        <v>90950</v>
      </c>
      <c r="K2256" s="28" t="n">
        <v>10.5</v>
      </c>
      <c r="L2256" s="28" t="n">
        <v>120</v>
      </c>
      <c r="M2256" s="28" t="n">
        <v>3</v>
      </c>
    </row>
    <row r="2257" customFormat="false" ht="15" hidden="false" customHeight="false" outlineLevel="0" collapsed="false">
      <c r="A2257" s="27" t="n">
        <v>45005</v>
      </c>
      <c r="B2257" s="28" t="n">
        <v>2023</v>
      </c>
      <c r="C2257" s="28" t="s">
        <v>640</v>
      </c>
      <c r="D2257" s="28" t="s">
        <v>51</v>
      </c>
      <c r="E2257" s="28" t="s">
        <v>779</v>
      </c>
      <c r="F2257" s="28" t="s">
        <v>142</v>
      </c>
      <c r="G2257" s="28" t="s">
        <v>143</v>
      </c>
      <c r="H2257" s="28" t="s">
        <v>211</v>
      </c>
      <c r="I2257" s="29" t="n">
        <v>822900</v>
      </c>
      <c r="J2257" s="29" t="n">
        <v>617175</v>
      </c>
      <c r="K2257" s="28" t="n">
        <v>10.25</v>
      </c>
      <c r="L2257" s="28" t="n">
        <v>120</v>
      </c>
      <c r="M2257" s="28" t="n">
        <v>10</v>
      </c>
    </row>
    <row r="2258" customFormat="false" ht="15" hidden="false" customHeight="false" outlineLevel="0" collapsed="false">
      <c r="A2258" s="27" t="n">
        <v>45005</v>
      </c>
      <c r="B2258" s="28" t="n">
        <v>2023</v>
      </c>
      <c r="C2258" s="28" t="s">
        <v>640</v>
      </c>
      <c r="D2258" s="28" t="s">
        <v>51</v>
      </c>
      <c r="E2258" s="28" t="s">
        <v>779</v>
      </c>
      <c r="F2258" s="28" t="s">
        <v>147</v>
      </c>
      <c r="G2258" s="28" t="s">
        <v>143</v>
      </c>
      <c r="H2258" s="28" t="s">
        <v>211</v>
      </c>
      <c r="I2258" s="29" t="n">
        <v>30000</v>
      </c>
      <c r="J2258" s="29" t="n">
        <v>15000</v>
      </c>
      <c r="K2258" s="28" t="n">
        <v>10.25</v>
      </c>
      <c r="L2258" s="28" t="n">
        <v>120</v>
      </c>
      <c r="M2258" s="28" t="n">
        <v>10</v>
      </c>
    </row>
    <row r="2259" customFormat="false" ht="15" hidden="false" customHeight="false" outlineLevel="0" collapsed="false">
      <c r="A2259" s="27" t="n">
        <v>45005</v>
      </c>
      <c r="B2259" s="28" t="n">
        <v>2023</v>
      </c>
      <c r="C2259" s="28" t="s">
        <v>166</v>
      </c>
      <c r="D2259" s="28" t="s">
        <v>52</v>
      </c>
      <c r="E2259" s="28" t="s">
        <v>720</v>
      </c>
      <c r="F2259" s="28" t="s">
        <v>147</v>
      </c>
      <c r="G2259" s="28" t="s">
        <v>143</v>
      </c>
      <c r="H2259" s="28" t="s">
        <v>159</v>
      </c>
      <c r="I2259" s="29" t="n">
        <v>30000</v>
      </c>
      <c r="J2259" s="29" t="n">
        <v>15000</v>
      </c>
      <c r="K2259" s="28" t="n">
        <v>10.25</v>
      </c>
      <c r="L2259" s="28" t="n">
        <v>120</v>
      </c>
      <c r="M2259" s="28" t="n">
        <v>4</v>
      </c>
    </row>
    <row r="2260" customFormat="false" ht="15" hidden="false" customHeight="false" outlineLevel="0" collapsed="false">
      <c r="A2260" s="27" t="n">
        <v>45005</v>
      </c>
      <c r="B2260" s="28" t="n">
        <v>2023</v>
      </c>
      <c r="C2260" s="28" t="s">
        <v>201</v>
      </c>
      <c r="D2260" s="28" t="s">
        <v>51</v>
      </c>
      <c r="E2260" s="28" t="s">
        <v>492</v>
      </c>
      <c r="F2260" s="28" t="s">
        <v>142</v>
      </c>
      <c r="G2260" s="28" t="s">
        <v>143</v>
      </c>
      <c r="H2260" s="28" t="s">
        <v>438</v>
      </c>
      <c r="I2260" s="29" t="n">
        <v>4800000</v>
      </c>
      <c r="J2260" s="29" t="n">
        <v>3600000</v>
      </c>
      <c r="K2260" s="28" t="n">
        <v>9.75</v>
      </c>
      <c r="L2260" s="28" t="n">
        <v>120</v>
      </c>
      <c r="M2260" s="28" t="n">
        <v>173</v>
      </c>
    </row>
    <row r="2261" customFormat="false" ht="15" hidden="false" customHeight="false" outlineLevel="0" collapsed="false">
      <c r="A2261" s="27" t="n">
        <v>45006</v>
      </c>
      <c r="B2261" s="28" t="n">
        <v>2023</v>
      </c>
      <c r="C2261" s="28" t="s">
        <v>203</v>
      </c>
      <c r="D2261" s="28" t="s">
        <v>45</v>
      </c>
      <c r="E2261" s="28" t="s">
        <v>708</v>
      </c>
      <c r="F2261" s="28" t="s">
        <v>142</v>
      </c>
      <c r="G2261" s="28" t="s">
        <v>143</v>
      </c>
      <c r="H2261" s="28" t="s">
        <v>287</v>
      </c>
      <c r="I2261" s="29" t="n">
        <v>150000</v>
      </c>
      <c r="J2261" s="29" t="n">
        <v>127500</v>
      </c>
      <c r="K2261" s="28" t="n">
        <v>10.5</v>
      </c>
      <c r="L2261" s="28" t="n">
        <v>120</v>
      </c>
      <c r="M2261" s="28" t="n">
        <v>3</v>
      </c>
    </row>
    <row r="2262" customFormat="false" ht="15" hidden="false" customHeight="false" outlineLevel="0" collapsed="false">
      <c r="A2262" s="27" t="n">
        <v>45006</v>
      </c>
      <c r="B2262" s="28" t="n">
        <v>2023</v>
      </c>
      <c r="C2262" s="28" t="s">
        <v>393</v>
      </c>
      <c r="D2262" s="28" t="s">
        <v>42</v>
      </c>
      <c r="E2262" s="28" t="s">
        <v>705</v>
      </c>
      <c r="F2262" s="28" t="s">
        <v>194</v>
      </c>
      <c r="G2262" s="28" t="s">
        <v>152</v>
      </c>
      <c r="H2262" s="28" t="s">
        <v>211</v>
      </c>
      <c r="I2262" s="29" t="n">
        <v>3975000</v>
      </c>
      <c r="J2262" s="29" t="n">
        <v>2981250</v>
      </c>
      <c r="K2262" s="28" t="n">
        <v>10</v>
      </c>
      <c r="L2262" s="28" t="n">
        <v>300</v>
      </c>
      <c r="M2262" s="28" t="n">
        <v>15</v>
      </c>
    </row>
    <row r="2263" customFormat="false" ht="15" hidden="false" customHeight="false" outlineLevel="0" collapsed="false">
      <c r="A2263" s="27" t="n">
        <v>45006</v>
      </c>
      <c r="B2263" s="28" t="n">
        <v>2023</v>
      </c>
      <c r="C2263" s="28" t="s">
        <v>172</v>
      </c>
      <c r="D2263" s="28" t="s">
        <v>48</v>
      </c>
      <c r="E2263" s="28" t="s">
        <v>277</v>
      </c>
      <c r="F2263" s="28" t="s">
        <v>194</v>
      </c>
      <c r="G2263" s="28" t="s">
        <v>148</v>
      </c>
      <c r="H2263" s="28" t="s">
        <v>605</v>
      </c>
      <c r="I2263" s="29" t="n">
        <v>350000</v>
      </c>
      <c r="J2263" s="29" t="n">
        <v>262500</v>
      </c>
      <c r="K2263" s="28" t="n">
        <v>10.25</v>
      </c>
      <c r="L2263" s="28" t="n">
        <v>120</v>
      </c>
      <c r="M2263" s="28" t="n">
        <v>3</v>
      </c>
    </row>
    <row r="2264" customFormat="false" ht="15" hidden="false" customHeight="false" outlineLevel="0" collapsed="false">
      <c r="A2264" s="27" t="n">
        <v>45007</v>
      </c>
      <c r="B2264" s="28" t="n">
        <v>2023</v>
      </c>
      <c r="C2264" s="28" t="s">
        <v>300</v>
      </c>
      <c r="D2264" s="28" t="s">
        <v>46</v>
      </c>
      <c r="E2264" s="28" t="s">
        <v>813</v>
      </c>
      <c r="F2264" s="28" t="s">
        <v>194</v>
      </c>
      <c r="G2264" s="28" t="s">
        <v>152</v>
      </c>
      <c r="H2264" s="28" t="s">
        <v>354</v>
      </c>
      <c r="I2264" s="29" t="n">
        <v>180000</v>
      </c>
      <c r="J2264" s="29" t="n">
        <v>135000</v>
      </c>
      <c r="K2264" s="28" t="n">
        <v>7.25</v>
      </c>
      <c r="L2264" s="28" t="n">
        <v>120</v>
      </c>
      <c r="M2264" s="28" t="n">
        <v>3</v>
      </c>
    </row>
    <row r="2265" customFormat="false" ht="15" hidden="false" customHeight="false" outlineLevel="0" collapsed="false">
      <c r="A2265" s="27" t="n">
        <v>45007</v>
      </c>
      <c r="B2265" s="28" t="n">
        <v>2023</v>
      </c>
      <c r="C2265" s="28" t="s">
        <v>166</v>
      </c>
      <c r="D2265" s="28" t="s">
        <v>48</v>
      </c>
      <c r="E2265" s="28" t="s">
        <v>840</v>
      </c>
      <c r="F2265" s="28" t="s">
        <v>142</v>
      </c>
      <c r="G2265" s="28" t="s">
        <v>148</v>
      </c>
      <c r="H2265" s="28" t="s">
        <v>211</v>
      </c>
      <c r="I2265" s="29" t="n">
        <v>235000</v>
      </c>
      <c r="J2265" s="29" t="n">
        <v>176250</v>
      </c>
      <c r="K2265" s="28" t="n">
        <v>10.5</v>
      </c>
      <c r="L2265" s="28" t="n">
        <v>120</v>
      </c>
      <c r="M2265" s="28" t="n">
        <v>1</v>
      </c>
    </row>
    <row r="2266" customFormat="false" ht="15" hidden="false" customHeight="false" outlineLevel="0" collapsed="false">
      <c r="A2266" s="27" t="n">
        <v>45008</v>
      </c>
      <c r="B2266" s="28" t="n">
        <v>2023</v>
      </c>
      <c r="C2266" s="28" t="s">
        <v>166</v>
      </c>
      <c r="D2266" s="28" t="s">
        <v>50</v>
      </c>
      <c r="E2266" s="28" t="s">
        <v>724</v>
      </c>
      <c r="F2266" s="28" t="s">
        <v>142</v>
      </c>
      <c r="G2266" s="28" t="s">
        <v>143</v>
      </c>
      <c r="H2266" s="28" t="s">
        <v>287</v>
      </c>
      <c r="I2266" s="29" t="n">
        <v>150000</v>
      </c>
      <c r="J2266" s="29" t="n">
        <v>127500</v>
      </c>
      <c r="K2266" s="28" t="n">
        <v>10.5</v>
      </c>
      <c r="L2266" s="28" t="n">
        <v>120</v>
      </c>
      <c r="M2266" s="28" t="n">
        <v>6</v>
      </c>
    </row>
    <row r="2267" customFormat="false" ht="15" hidden="false" customHeight="false" outlineLevel="0" collapsed="false">
      <c r="A2267" s="27" t="n">
        <v>45008</v>
      </c>
      <c r="B2267" s="28" t="n">
        <v>2023</v>
      </c>
      <c r="C2267" s="28" t="s">
        <v>252</v>
      </c>
      <c r="D2267" s="28" t="s">
        <v>51</v>
      </c>
      <c r="E2267" s="28" t="s">
        <v>779</v>
      </c>
      <c r="F2267" s="28" t="s">
        <v>194</v>
      </c>
      <c r="G2267" s="28" t="s">
        <v>148</v>
      </c>
      <c r="H2267" s="28" t="s">
        <v>278</v>
      </c>
      <c r="I2267" s="29" t="n">
        <v>4750000</v>
      </c>
      <c r="J2267" s="29" t="n">
        <v>3562500</v>
      </c>
      <c r="K2267" s="28" t="n">
        <v>8.75</v>
      </c>
      <c r="L2267" s="28" t="n">
        <v>300</v>
      </c>
      <c r="M2267" s="28" t="n">
        <v>31</v>
      </c>
    </row>
    <row r="2268" customFormat="false" ht="15" hidden="false" customHeight="false" outlineLevel="0" collapsed="false">
      <c r="A2268" s="27" t="n">
        <v>45008</v>
      </c>
      <c r="B2268" s="28" t="n">
        <v>2023</v>
      </c>
      <c r="C2268" s="28" t="s">
        <v>310</v>
      </c>
      <c r="D2268" s="28" t="s">
        <v>46</v>
      </c>
      <c r="E2268" s="28" t="s">
        <v>927</v>
      </c>
      <c r="F2268" s="28" t="s">
        <v>142</v>
      </c>
      <c r="G2268" s="28" t="s">
        <v>148</v>
      </c>
      <c r="H2268" s="28" t="s">
        <v>306</v>
      </c>
      <c r="I2268" s="29" t="n">
        <v>115000</v>
      </c>
      <c r="J2268" s="29" t="n">
        <v>97750</v>
      </c>
      <c r="K2268" s="28" t="n">
        <v>8.75</v>
      </c>
      <c r="L2268" s="28" t="n">
        <v>60</v>
      </c>
      <c r="M2268" s="28" t="n">
        <v>13</v>
      </c>
    </row>
    <row r="2269" customFormat="false" ht="15" hidden="false" customHeight="false" outlineLevel="0" collapsed="false">
      <c r="A2269" s="27" t="n">
        <v>45009</v>
      </c>
      <c r="B2269" s="28" t="n">
        <v>2023</v>
      </c>
      <c r="C2269" s="28" t="s">
        <v>160</v>
      </c>
      <c r="D2269" s="28" t="s">
        <v>42</v>
      </c>
      <c r="E2269" s="28" t="s">
        <v>717</v>
      </c>
      <c r="F2269" s="28" t="s">
        <v>142</v>
      </c>
      <c r="G2269" s="28" t="s">
        <v>148</v>
      </c>
      <c r="H2269" s="28" t="s">
        <v>953</v>
      </c>
      <c r="I2269" s="29" t="n">
        <v>75000</v>
      </c>
      <c r="J2269" s="29" t="n">
        <v>56250</v>
      </c>
      <c r="K2269" s="28" t="n">
        <v>10.75</v>
      </c>
      <c r="L2269" s="28" t="n">
        <v>120</v>
      </c>
      <c r="M2269" s="28" t="n">
        <v>12</v>
      </c>
    </row>
    <row r="2270" customFormat="false" ht="15" hidden="false" customHeight="false" outlineLevel="0" collapsed="false">
      <c r="A2270" s="27" t="n">
        <v>45009</v>
      </c>
      <c r="B2270" s="28" t="n">
        <v>2023</v>
      </c>
      <c r="C2270" s="28" t="s">
        <v>303</v>
      </c>
      <c r="D2270" s="28" t="s">
        <v>52</v>
      </c>
      <c r="E2270" s="28" t="s">
        <v>720</v>
      </c>
      <c r="F2270" s="28" t="s">
        <v>194</v>
      </c>
      <c r="G2270" s="28" t="s">
        <v>148</v>
      </c>
      <c r="H2270" s="28" t="s">
        <v>227</v>
      </c>
      <c r="I2270" s="29" t="n">
        <v>350000</v>
      </c>
      <c r="J2270" s="29" t="n">
        <v>262500</v>
      </c>
      <c r="K2270" s="28" t="n">
        <v>10.5</v>
      </c>
      <c r="L2270" s="28" t="n">
        <v>120</v>
      </c>
      <c r="M2270" s="28" t="n">
        <v>76</v>
      </c>
    </row>
    <row r="2271" customFormat="false" ht="15" hidden="false" customHeight="false" outlineLevel="0" collapsed="false">
      <c r="A2271" s="27" t="n">
        <v>45012</v>
      </c>
      <c r="B2271" s="28" t="n">
        <v>2023</v>
      </c>
      <c r="C2271" s="28" t="s">
        <v>169</v>
      </c>
      <c r="D2271" s="28" t="s">
        <v>51</v>
      </c>
      <c r="E2271" s="28" t="s">
        <v>779</v>
      </c>
      <c r="F2271" s="28" t="s">
        <v>147</v>
      </c>
      <c r="G2271" s="28" t="s">
        <v>148</v>
      </c>
      <c r="H2271" s="28" t="s">
        <v>953</v>
      </c>
      <c r="I2271" s="29" t="n">
        <v>25000</v>
      </c>
      <c r="J2271" s="29" t="n">
        <v>12500</v>
      </c>
      <c r="K2271" s="28" t="n">
        <v>10.75</v>
      </c>
      <c r="L2271" s="28" t="n">
        <v>120</v>
      </c>
      <c r="M2271" s="28" t="n">
        <v>1</v>
      </c>
    </row>
    <row r="2272" customFormat="false" ht="15" hidden="false" customHeight="false" outlineLevel="0" collapsed="false">
      <c r="A2272" s="27" t="n">
        <v>45012</v>
      </c>
      <c r="B2272" s="28" t="n">
        <v>2023</v>
      </c>
      <c r="C2272" s="28" t="s">
        <v>163</v>
      </c>
      <c r="D2272" s="28" t="s">
        <v>46</v>
      </c>
      <c r="E2272" s="28" t="s">
        <v>813</v>
      </c>
      <c r="F2272" s="28" t="s">
        <v>147</v>
      </c>
      <c r="G2272" s="28" t="s">
        <v>441</v>
      </c>
      <c r="H2272" s="28" t="s">
        <v>168</v>
      </c>
      <c r="I2272" s="29" t="n">
        <v>15000</v>
      </c>
      <c r="J2272" s="29" t="n">
        <v>7500</v>
      </c>
      <c r="K2272" s="28" t="n">
        <v>13.25</v>
      </c>
      <c r="L2272" s="28" t="n">
        <v>120</v>
      </c>
      <c r="M2272" s="28" t="n">
        <v>0</v>
      </c>
    </row>
    <row r="2273" customFormat="false" ht="15" hidden="false" customHeight="false" outlineLevel="0" collapsed="false">
      <c r="A2273" s="27" t="n">
        <v>45012</v>
      </c>
      <c r="B2273" s="28" t="n">
        <v>2023</v>
      </c>
      <c r="C2273" s="28" t="s">
        <v>423</v>
      </c>
      <c r="D2273" s="28" t="s">
        <v>48</v>
      </c>
      <c r="E2273" s="28" t="s">
        <v>959</v>
      </c>
      <c r="F2273" s="28" t="s">
        <v>142</v>
      </c>
      <c r="G2273" s="28" t="s">
        <v>148</v>
      </c>
      <c r="H2273" s="28" t="s">
        <v>171</v>
      </c>
      <c r="I2273" s="29" t="n">
        <v>109000</v>
      </c>
      <c r="J2273" s="29" t="n">
        <v>92650</v>
      </c>
      <c r="K2273" s="28" t="n">
        <v>11.5</v>
      </c>
      <c r="L2273" s="28" t="n">
        <v>159</v>
      </c>
      <c r="M2273" s="28" t="n">
        <v>0</v>
      </c>
    </row>
    <row r="2274" customFormat="false" ht="15" hidden="false" customHeight="false" outlineLevel="0" collapsed="false">
      <c r="A2274" s="27" t="n">
        <v>45012</v>
      </c>
      <c r="B2274" s="28" t="n">
        <v>2023</v>
      </c>
      <c r="C2274" s="28" t="s">
        <v>344</v>
      </c>
      <c r="D2274" s="28" t="s">
        <v>45</v>
      </c>
      <c r="E2274" s="28" t="s">
        <v>874</v>
      </c>
      <c r="F2274" s="28" t="s">
        <v>147</v>
      </c>
      <c r="G2274" s="28" t="s">
        <v>148</v>
      </c>
      <c r="H2274" s="28" t="s">
        <v>159</v>
      </c>
      <c r="I2274" s="29" t="n">
        <v>7500</v>
      </c>
      <c r="J2274" s="29" t="n">
        <v>3750</v>
      </c>
      <c r="K2274" s="28" t="n">
        <v>14.25</v>
      </c>
      <c r="L2274" s="28" t="n">
        <v>120</v>
      </c>
      <c r="M2274" s="28" t="n">
        <v>3</v>
      </c>
    </row>
    <row r="2275" customFormat="false" ht="15" hidden="false" customHeight="false" outlineLevel="0" collapsed="false">
      <c r="A2275" s="27" t="n">
        <v>45013</v>
      </c>
      <c r="B2275" s="28" t="n">
        <v>2023</v>
      </c>
      <c r="C2275" s="28" t="s">
        <v>310</v>
      </c>
      <c r="D2275" s="28" t="s">
        <v>47</v>
      </c>
      <c r="E2275" s="28" t="s">
        <v>960</v>
      </c>
      <c r="F2275" s="28" t="s">
        <v>283</v>
      </c>
      <c r="G2275" s="28" t="s">
        <v>441</v>
      </c>
      <c r="H2275" s="28" t="s">
        <v>306</v>
      </c>
      <c r="I2275" s="29" t="n">
        <v>175000</v>
      </c>
      <c r="J2275" s="29" t="n">
        <v>131250</v>
      </c>
      <c r="K2275" s="28" t="n">
        <v>9</v>
      </c>
      <c r="L2275" s="28" t="n">
        <v>132</v>
      </c>
      <c r="M2275" s="28" t="n">
        <v>7</v>
      </c>
    </row>
    <row r="2276" customFormat="false" ht="15" hidden="false" customHeight="false" outlineLevel="0" collapsed="false">
      <c r="A2276" s="27" t="n">
        <v>45013</v>
      </c>
      <c r="B2276" s="28" t="n">
        <v>2023</v>
      </c>
      <c r="C2276" s="28" t="s">
        <v>421</v>
      </c>
      <c r="D2276" s="28" t="s">
        <v>42</v>
      </c>
      <c r="E2276" s="28" t="s">
        <v>705</v>
      </c>
      <c r="F2276" s="28" t="s">
        <v>142</v>
      </c>
      <c r="G2276" s="28" t="s">
        <v>152</v>
      </c>
      <c r="H2276" s="28" t="s">
        <v>326</v>
      </c>
      <c r="I2276" s="29" t="n">
        <v>4150000</v>
      </c>
      <c r="J2276" s="29" t="n">
        <v>3112500</v>
      </c>
      <c r="K2276" s="28" t="n">
        <v>9</v>
      </c>
      <c r="L2276" s="28" t="n">
        <v>300</v>
      </c>
      <c r="M2276" s="28" t="n">
        <v>4</v>
      </c>
    </row>
    <row r="2277" customFormat="false" ht="15" hidden="false" customHeight="false" outlineLevel="0" collapsed="false">
      <c r="A2277" s="27" t="n">
        <v>45014</v>
      </c>
      <c r="B2277" s="28" t="n">
        <v>2023</v>
      </c>
      <c r="C2277" s="28" t="s">
        <v>172</v>
      </c>
      <c r="D2277" s="28" t="s">
        <v>45</v>
      </c>
      <c r="E2277" s="28" t="s">
        <v>356</v>
      </c>
      <c r="F2277" s="28" t="s">
        <v>147</v>
      </c>
      <c r="G2277" s="28" t="s">
        <v>441</v>
      </c>
      <c r="H2277" s="28" t="s">
        <v>168</v>
      </c>
      <c r="I2277" s="29" t="n">
        <v>25000</v>
      </c>
      <c r="J2277" s="29" t="n">
        <v>12500</v>
      </c>
      <c r="K2277" s="28" t="n">
        <v>13.25</v>
      </c>
      <c r="L2277" s="28" t="n">
        <v>120</v>
      </c>
      <c r="M2277" s="28" t="n">
        <v>2</v>
      </c>
    </row>
    <row r="2278" customFormat="false" ht="15" hidden="false" customHeight="false" outlineLevel="0" collapsed="false">
      <c r="A2278" s="27" t="n">
        <v>45014</v>
      </c>
      <c r="B2278" s="28" t="n">
        <v>2023</v>
      </c>
      <c r="C2278" s="28" t="s">
        <v>640</v>
      </c>
      <c r="D2278" s="28" t="s">
        <v>44</v>
      </c>
      <c r="E2278" s="28" t="s">
        <v>167</v>
      </c>
      <c r="F2278" s="28" t="s">
        <v>142</v>
      </c>
      <c r="G2278" s="28" t="s">
        <v>148</v>
      </c>
      <c r="H2278" s="28" t="s">
        <v>953</v>
      </c>
      <c r="I2278" s="29" t="n">
        <v>170000</v>
      </c>
      <c r="J2278" s="29" t="n">
        <v>127500</v>
      </c>
      <c r="K2278" s="28" t="n">
        <v>10.75</v>
      </c>
      <c r="L2278" s="28" t="n">
        <v>120</v>
      </c>
      <c r="M2278" s="28" t="n">
        <v>59</v>
      </c>
    </row>
    <row r="2279" customFormat="false" ht="15" hidden="false" customHeight="false" outlineLevel="0" collapsed="false">
      <c r="A2279" s="27" t="n">
        <v>45015</v>
      </c>
      <c r="B2279" s="28" t="n">
        <v>2023</v>
      </c>
      <c r="C2279" s="28" t="s">
        <v>163</v>
      </c>
      <c r="D2279" s="28" t="s">
        <v>46</v>
      </c>
      <c r="E2279" s="28" t="s">
        <v>813</v>
      </c>
      <c r="F2279" s="28" t="s">
        <v>142</v>
      </c>
      <c r="G2279" s="28" t="s">
        <v>148</v>
      </c>
      <c r="H2279" s="28" t="s">
        <v>211</v>
      </c>
      <c r="I2279" s="29" t="n">
        <v>932000</v>
      </c>
      <c r="J2279" s="29" t="n">
        <v>699000</v>
      </c>
      <c r="K2279" s="28" t="n">
        <v>10</v>
      </c>
      <c r="L2279" s="28" t="n">
        <v>120</v>
      </c>
      <c r="M2279" s="28" t="n">
        <v>10</v>
      </c>
    </row>
    <row r="2280" customFormat="false" ht="15" hidden="false" customHeight="false" outlineLevel="0" collapsed="false">
      <c r="A2280" s="27" t="n">
        <v>45015</v>
      </c>
      <c r="B2280" s="28" t="n">
        <v>2023</v>
      </c>
      <c r="C2280" s="28" t="s">
        <v>172</v>
      </c>
      <c r="D2280" s="28" t="s">
        <v>45</v>
      </c>
      <c r="E2280" s="28" t="s">
        <v>708</v>
      </c>
      <c r="F2280" s="28" t="s">
        <v>147</v>
      </c>
      <c r="G2280" s="28" t="s">
        <v>148</v>
      </c>
      <c r="H2280" s="28" t="s">
        <v>159</v>
      </c>
      <c r="I2280" s="29" t="n">
        <v>80000</v>
      </c>
      <c r="J2280" s="29" t="n">
        <v>40000</v>
      </c>
      <c r="K2280" s="28" t="n">
        <v>12.25</v>
      </c>
      <c r="L2280" s="28" t="n">
        <v>98</v>
      </c>
      <c r="M2280" s="28" t="n">
        <v>10</v>
      </c>
    </row>
    <row r="2281" customFormat="false" ht="15" hidden="false" customHeight="false" outlineLevel="0" collapsed="false">
      <c r="A2281" s="27" t="n">
        <v>45015</v>
      </c>
      <c r="B2281" s="28" t="n">
        <v>2023</v>
      </c>
      <c r="C2281" s="28" t="s">
        <v>206</v>
      </c>
      <c r="D2281" s="28" t="s">
        <v>46</v>
      </c>
      <c r="E2281" s="28" t="s">
        <v>770</v>
      </c>
      <c r="F2281" s="28" t="s">
        <v>142</v>
      </c>
      <c r="G2281" s="28" t="s">
        <v>441</v>
      </c>
      <c r="H2281" s="28" t="s">
        <v>281</v>
      </c>
      <c r="I2281" s="29" t="n">
        <v>1562400</v>
      </c>
      <c r="J2281" s="29" t="n">
        <v>1171800</v>
      </c>
      <c r="K2281" s="28" t="n">
        <v>9.75</v>
      </c>
      <c r="L2281" s="28" t="n">
        <v>304</v>
      </c>
      <c r="M2281" s="28" t="n">
        <v>3</v>
      </c>
    </row>
    <row r="2282" customFormat="false" ht="15" hidden="false" customHeight="false" outlineLevel="0" collapsed="false">
      <c r="A2282" s="27" t="n">
        <v>45015</v>
      </c>
      <c r="B2282" s="28" t="n">
        <v>2023</v>
      </c>
      <c r="C2282" s="28" t="s">
        <v>213</v>
      </c>
      <c r="D2282" s="28" t="s">
        <v>51</v>
      </c>
      <c r="E2282" s="28" t="s">
        <v>779</v>
      </c>
      <c r="F2282" s="28" t="s">
        <v>142</v>
      </c>
      <c r="G2282" s="28" t="s">
        <v>152</v>
      </c>
      <c r="H2282" s="28" t="s">
        <v>501</v>
      </c>
      <c r="I2282" s="29" t="n">
        <v>680000</v>
      </c>
      <c r="J2282" s="29" t="n">
        <v>510000</v>
      </c>
      <c r="K2282" s="28" t="n">
        <v>10.5</v>
      </c>
      <c r="L2282" s="28" t="n">
        <v>120</v>
      </c>
      <c r="M2282" s="28" t="n">
        <v>8</v>
      </c>
    </row>
    <row r="2283" customFormat="false" ht="15" hidden="false" customHeight="false" outlineLevel="0" collapsed="false">
      <c r="A2283" s="27" t="n">
        <v>45015</v>
      </c>
      <c r="B2283" s="28" t="n">
        <v>2023</v>
      </c>
      <c r="C2283" s="28" t="s">
        <v>163</v>
      </c>
      <c r="D2283" s="28" t="s">
        <v>46</v>
      </c>
      <c r="E2283" s="28" t="s">
        <v>813</v>
      </c>
      <c r="F2283" s="28" t="s">
        <v>147</v>
      </c>
      <c r="G2283" s="28" t="s">
        <v>148</v>
      </c>
      <c r="H2283" s="28" t="s">
        <v>211</v>
      </c>
      <c r="I2283" s="29" t="n">
        <v>50000</v>
      </c>
      <c r="J2283" s="29" t="n">
        <v>25000</v>
      </c>
      <c r="K2283" s="28" t="n">
        <v>10</v>
      </c>
      <c r="L2283" s="28" t="n">
        <v>120</v>
      </c>
      <c r="M2283" s="28" t="n">
        <v>10</v>
      </c>
    </row>
    <row r="2284" customFormat="false" ht="15" hidden="false" customHeight="false" outlineLevel="0" collapsed="false">
      <c r="A2284" s="27" t="n">
        <v>45015</v>
      </c>
      <c r="B2284" s="28" t="n">
        <v>2023</v>
      </c>
      <c r="C2284" s="28" t="s">
        <v>206</v>
      </c>
      <c r="D2284" s="28" t="s">
        <v>46</v>
      </c>
      <c r="E2284" s="28" t="s">
        <v>770</v>
      </c>
      <c r="F2284" s="28" t="s">
        <v>147</v>
      </c>
      <c r="G2284" s="28" t="s">
        <v>441</v>
      </c>
      <c r="H2284" s="28" t="s">
        <v>281</v>
      </c>
      <c r="I2284" s="29" t="n">
        <v>50000</v>
      </c>
      <c r="J2284" s="29" t="n">
        <v>25000</v>
      </c>
      <c r="K2284" s="28" t="n">
        <v>9.75</v>
      </c>
      <c r="L2284" s="28" t="n">
        <v>120</v>
      </c>
      <c r="M2284" s="28" t="n">
        <v>5</v>
      </c>
    </row>
    <row r="2285" customFormat="false" ht="15" hidden="false" customHeight="false" outlineLevel="0" collapsed="false">
      <c r="A2285" s="27" t="n">
        <v>45015</v>
      </c>
      <c r="B2285" s="28" t="n">
        <v>2023</v>
      </c>
      <c r="C2285" s="28" t="s">
        <v>166</v>
      </c>
      <c r="D2285" s="28" t="s">
        <v>44</v>
      </c>
      <c r="E2285" s="28" t="s">
        <v>755</v>
      </c>
      <c r="F2285" s="28" t="s">
        <v>142</v>
      </c>
      <c r="G2285" s="28" t="s">
        <v>148</v>
      </c>
      <c r="H2285" s="28" t="s">
        <v>171</v>
      </c>
      <c r="I2285" s="29" t="n">
        <v>150000</v>
      </c>
      <c r="J2285" s="29" t="n">
        <v>127500</v>
      </c>
      <c r="K2285" s="28" t="n">
        <v>11.5</v>
      </c>
      <c r="L2285" s="28" t="n">
        <v>117</v>
      </c>
      <c r="M2285" s="28" t="n">
        <v>8</v>
      </c>
    </row>
    <row r="2286" customFormat="false" ht="15" hidden="false" customHeight="false" outlineLevel="0" collapsed="false">
      <c r="A2286" s="27" t="n">
        <v>45016</v>
      </c>
      <c r="B2286" s="28" t="n">
        <v>2023</v>
      </c>
      <c r="C2286" s="28" t="s">
        <v>145</v>
      </c>
      <c r="D2286" s="28" t="s">
        <v>52</v>
      </c>
      <c r="E2286" s="28" t="s">
        <v>961</v>
      </c>
      <c r="F2286" s="28" t="s">
        <v>142</v>
      </c>
      <c r="G2286" s="28" t="s">
        <v>148</v>
      </c>
      <c r="H2286" s="28" t="s">
        <v>171</v>
      </c>
      <c r="I2286" s="29" t="n">
        <v>150000</v>
      </c>
      <c r="J2286" s="29" t="n">
        <v>127500</v>
      </c>
      <c r="K2286" s="28" t="n">
        <v>11.5</v>
      </c>
      <c r="L2286" s="28" t="n">
        <v>120</v>
      </c>
      <c r="M2286" s="28" t="n">
        <v>2</v>
      </c>
    </row>
    <row r="2287" customFormat="false" ht="15" hidden="false" customHeight="false" outlineLevel="0" collapsed="false">
      <c r="A2287" s="27" t="n">
        <v>45016</v>
      </c>
      <c r="B2287" s="28" t="n">
        <v>2023</v>
      </c>
      <c r="C2287" s="28" t="s">
        <v>172</v>
      </c>
      <c r="D2287" s="28" t="s">
        <v>49</v>
      </c>
      <c r="E2287" s="28" t="s">
        <v>659</v>
      </c>
      <c r="F2287" s="28" t="s">
        <v>147</v>
      </c>
      <c r="G2287" s="28" t="s">
        <v>148</v>
      </c>
      <c r="H2287" s="28" t="s">
        <v>428</v>
      </c>
      <c r="I2287" s="29" t="n">
        <v>250000</v>
      </c>
      <c r="J2287" s="29" t="n">
        <v>125000</v>
      </c>
      <c r="K2287" s="28" t="n">
        <v>9.65</v>
      </c>
      <c r="L2287" s="28" t="n">
        <v>120</v>
      </c>
      <c r="M2287" s="28" t="n">
        <v>10</v>
      </c>
    </row>
    <row r="2288" customFormat="false" ht="15" hidden="false" customHeight="false" outlineLevel="0" collapsed="false">
      <c r="A2288" s="27" t="n">
        <v>45016</v>
      </c>
      <c r="B2288" s="28" t="n">
        <v>2023</v>
      </c>
      <c r="C2288" s="28" t="s">
        <v>303</v>
      </c>
      <c r="D2288" s="28" t="s">
        <v>45</v>
      </c>
      <c r="E2288" s="28" t="s">
        <v>708</v>
      </c>
      <c r="F2288" s="28" t="s">
        <v>142</v>
      </c>
      <c r="G2288" s="28" t="s">
        <v>156</v>
      </c>
      <c r="H2288" s="28" t="s">
        <v>275</v>
      </c>
      <c r="I2288" s="29" t="n">
        <v>306000</v>
      </c>
      <c r="J2288" s="29" t="n">
        <v>229500</v>
      </c>
      <c r="K2288" s="28" t="n">
        <v>10.5</v>
      </c>
      <c r="L2288" s="28" t="n">
        <v>120</v>
      </c>
      <c r="M2288" s="28" t="n">
        <v>10</v>
      </c>
    </row>
    <row r="2289" customFormat="false" ht="15" hidden="false" customHeight="false" outlineLevel="0" collapsed="false">
      <c r="A2289" s="27" t="n">
        <v>45016</v>
      </c>
      <c r="B2289" s="28" t="n">
        <v>2023</v>
      </c>
      <c r="C2289" s="28" t="s">
        <v>160</v>
      </c>
      <c r="D2289" s="28" t="s">
        <v>44</v>
      </c>
      <c r="E2289" s="28" t="s">
        <v>897</v>
      </c>
      <c r="F2289" s="28" t="s">
        <v>147</v>
      </c>
      <c r="G2289" s="28" t="s">
        <v>148</v>
      </c>
      <c r="H2289" s="28" t="s">
        <v>159</v>
      </c>
      <c r="I2289" s="29" t="n">
        <v>100000</v>
      </c>
      <c r="J2289" s="29" t="n">
        <v>50000</v>
      </c>
      <c r="K2289" s="28" t="n">
        <v>11</v>
      </c>
      <c r="L2289" s="28" t="n">
        <v>72</v>
      </c>
      <c r="M2289" s="28" t="n">
        <v>50</v>
      </c>
    </row>
    <row r="2290" customFormat="false" ht="15" hidden="false" customHeight="false" outlineLevel="0" collapsed="false">
      <c r="A2290" s="27" t="n">
        <v>45019</v>
      </c>
      <c r="B2290" s="28" t="n">
        <v>2023</v>
      </c>
      <c r="C2290" s="28" t="s">
        <v>172</v>
      </c>
      <c r="D2290" s="28" t="s">
        <v>43</v>
      </c>
      <c r="E2290" s="28" t="s">
        <v>496</v>
      </c>
      <c r="F2290" s="28" t="s">
        <v>142</v>
      </c>
      <c r="G2290" s="28" t="s">
        <v>148</v>
      </c>
      <c r="H2290" s="28" t="s">
        <v>171</v>
      </c>
      <c r="I2290" s="29" t="n">
        <v>150000</v>
      </c>
      <c r="J2290" s="29" t="n">
        <v>127500</v>
      </c>
      <c r="K2290" s="28" t="n">
        <v>11.75</v>
      </c>
      <c r="L2290" s="28" t="n">
        <v>120</v>
      </c>
      <c r="M2290" s="28" t="n">
        <v>0</v>
      </c>
    </row>
    <row r="2291" customFormat="false" ht="15" hidden="false" customHeight="false" outlineLevel="0" collapsed="false">
      <c r="A2291" s="27" t="n">
        <v>45019</v>
      </c>
      <c r="B2291" s="28" t="n">
        <v>2023</v>
      </c>
      <c r="C2291" s="28" t="s">
        <v>344</v>
      </c>
      <c r="D2291" s="28" t="s">
        <v>45</v>
      </c>
      <c r="E2291" s="28" t="s">
        <v>611</v>
      </c>
      <c r="F2291" s="28" t="s">
        <v>147</v>
      </c>
      <c r="G2291" s="28" t="s">
        <v>441</v>
      </c>
      <c r="H2291" s="28" t="s">
        <v>159</v>
      </c>
      <c r="I2291" s="29" t="n">
        <v>25000</v>
      </c>
      <c r="J2291" s="29" t="n">
        <v>12500</v>
      </c>
      <c r="K2291" s="28" t="n">
        <v>9</v>
      </c>
      <c r="L2291" s="28" t="n">
        <v>120</v>
      </c>
      <c r="M2291" s="28" t="n">
        <v>1</v>
      </c>
    </row>
    <row r="2292" customFormat="false" ht="15" hidden="false" customHeight="false" outlineLevel="0" collapsed="false">
      <c r="A2292" s="27" t="n">
        <v>45019</v>
      </c>
      <c r="B2292" s="28" t="n">
        <v>2023</v>
      </c>
      <c r="C2292" s="28" t="s">
        <v>206</v>
      </c>
      <c r="D2292" s="28" t="s">
        <v>44</v>
      </c>
      <c r="E2292" s="28" t="s">
        <v>759</v>
      </c>
      <c r="F2292" s="28" t="s">
        <v>142</v>
      </c>
      <c r="G2292" s="28" t="s">
        <v>152</v>
      </c>
      <c r="H2292" s="28" t="s">
        <v>827</v>
      </c>
      <c r="I2292" s="29" t="n">
        <v>698000</v>
      </c>
      <c r="J2292" s="29" t="n">
        <v>523500</v>
      </c>
      <c r="K2292" s="28" t="n">
        <v>10.25</v>
      </c>
      <c r="L2292" s="28" t="n">
        <v>120</v>
      </c>
      <c r="M2292" s="28" t="n">
        <v>7</v>
      </c>
    </row>
    <row r="2293" customFormat="false" ht="15" hidden="false" customHeight="false" outlineLevel="0" collapsed="false">
      <c r="A2293" s="27" t="n">
        <v>45020</v>
      </c>
      <c r="B2293" s="28" t="n">
        <v>2023</v>
      </c>
      <c r="C2293" s="28" t="s">
        <v>252</v>
      </c>
      <c r="D2293" s="28" t="s">
        <v>43</v>
      </c>
      <c r="E2293" s="28" t="s">
        <v>788</v>
      </c>
      <c r="F2293" s="28" t="s">
        <v>147</v>
      </c>
      <c r="G2293" s="28" t="s">
        <v>148</v>
      </c>
      <c r="H2293" s="28" t="s">
        <v>159</v>
      </c>
      <c r="I2293" s="29" t="n">
        <v>107700</v>
      </c>
      <c r="J2293" s="29" t="n">
        <v>53850</v>
      </c>
      <c r="K2293" s="28" t="n">
        <v>12.5</v>
      </c>
      <c r="L2293" s="28" t="n">
        <v>84</v>
      </c>
      <c r="M2293" s="28" t="n">
        <v>16</v>
      </c>
    </row>
    <row r="2294" customFormat="false" ht="15" hidden="false" customHeight="false" outlineLevel="0" collapsed="false">
      <c r="A2294" s="27" t="n">
        <v>45020</v>
      </c>
      <c r="B2294" s="28" t="n">
        <v>2023</v>
      </c>
      <c r="C2294" s="28" t="s">
        <v>172</v>
      </c>
      <c r="D2294" s="28" t="s">
        <v>48</v>
      </c>
      <c r="E2294" s="28" t="s">
        <v>736</v>
      </c>
      <c r="F2294" s="28" t="s">
        <v>147</v>
      </c>
      <c r="G2294" s="28" t="s">
        <v>148</v>
      </c>
      <c r="H2294" s="28" t="s">
        <v>162</v>
      </c>
      <c r="I2294" s="29" t="n">
        <v>500000</v>
      </c>
      <c r="J2294" s="29" t="n">
        <v>250000</v>
      </c>
      <c r="K2294" s="28" t="n">
        <v>10.75</v>
      </c>
      <c r="L2294" s="28" t="n">
        <v>120</v>
      </c>
      <c r="M2294" s="28" t="n">
        <v>5</v>
      </c>
    </row>
    <row r="2295" customFormat="false" ht="15" hidden="false" customHeight="false" outlineLevel="0" collapsed="false">
      <c r="A2295" s="27" t="n">
        <v>45020</v>
      </c>
      <c r="B2295" s="28" t="n">
        <v>2023</v>
      </c>
      <c r="C2295" s="28" t="s">
        <v>467</v>
      </c>
      <c r="D2295" s="28" t="s">
        <v>52</v>
      </c>
      <c r="E2295" s="28" t="s">
        <v>720</v>
      </c>
      <c r="F2295" s="28" t="s">
        <v>142</v>
      </c>
      <c r="G2295" s="28" t="s">
        <v>148</v>
      </c>
      <c r="H2295" s="28" t="s">
        <v>469</v>
      </c>
      <c r="I2295" s="29" t="n">
        <v>76500</v>
      </c>
      <c r="J2295" s="29" t="n">
        <v>65025</v>
      </c>
      <c r="K2295" s="28" t="n">
        <v>8</v>
      </c>
      <c r="L2295" s="28" t="n">
        <v>60</v>
      </c>
      <c r="M2295" s="28" t="n">
        <v>1</v>
      </c>
    </row>
    <row r="2296" customFormat="false" ht="15" hidden="false" customHeight="false" outlineLevel="0" collapsed="false">
      <c r="A2296" s="27" t="n">
        <v>45020</v>
      </c>
      <c r="B2296" s="28" t="n">
        <v>2023</v>
      </c>
      <c r="C2296" s="28" t="s">
        <v>252</v>
      </c>
      <c r="D2296" s="28" t="s">
        <v>43</v>
      </c>
      <c r="E2296" s="28" t="s">
        <v>788</v>
      </c>
      <c r="F2296" s="28" t="s">
        <v>147</v>
      </c>
      <c r="G2296" s="28" t="s">
        <v>148</v>
      </c>
      <c r="H2296" s="28" t="s">
        <v>159</v>
      </c>
      <c r="I2296" s="29" t="n">
        <v>30000</v>
      </c>
      <c r="J2296" s="29" t="n">
        <v>15000</v>
      </c>
      <c r="K2296" s="28" t="n">
        <v>14.5</v>
      </c>
      <c r="L2296" s="28" t="n">
        <v>100</v>
      </c>
      <c r="M2296" s="28" t="n">
        <v>16</v>
      </c>
    </row>
    <row r="2297" customFormat="false" ht="15" hidden="false" customHeight="false" outlineLevel="0" collapsed="false">
      <c r="A2297" s="27" t="n">
        <v>45020</v>
      </c>
      <c r="B2297" s="28" t="n">
        <v>2023</v>
      </c>
      <c r="C2297" s="28" t="s">
        <v>172</v>
      </c>
      <c r="D2297" s="28" t="s">
        <v>46</v>
      </c>
      <c r="E2297" s="28" t="s">
        <v>746</v>
      </c>
      <c r="F2297" s="28" t="s">
        <v>194</v>
      </c>
      <c r="G2297" s="28" t="s">
        <v>143</v>
      </c>
      <c r="H2297" s="28" t="s">
        <v>278</v>
      </c>
      <c r="I2297" s="29" t="n">
        <v>1193200</v>
      </c>
      <c r="J2297" s="29" t="n">
        <v>894900</v>
      </c>
      <c r="K2297" s="28" t="n">
        <v>10.75</v>
      </c>
      <c r="L2297" s="28" t="n">
        <v>120</v>
      </c>
      <c r="M2297" s="28" t="n">
        <v>9</v>
      </c>
    </row>
    <row r="2298" customFormat="false" ht="15" hidden="false" customHeight="false" outlineLevel="0" collapsed="false">
      <c r="A2298" s="27" t="n">
        <v>45020</v>
      </c>
      <c r="B2298" s="28" t="n">
        <v>2023</v>
      </c>
      <c r="C2298" s="28" t="s">
        <v>252</v>
      </c>
      <c r="D2298" s="28" t="s">
        <v>42</v>
      </c>
      <c r="E2298" s="28" t="s">
        <v>717</v>
      </c>
      <c r="F2298" s="28" t="s">
        <v>142</v>
      </c>
      <c r="G2298" s="28" t="s">
        <v>148</v>
      </c>
      <c r="H2298" s="28" t="s">
        <v>211</v>
      </c>
      <c r="I2298" s="29" t="n">
        <v>270000</v>
      </c>
      <c r="J2298" s="29" t="n">
        <v>202500</v>
      </c>
      <c r="K2298" s="28" t="n">
        <v>10.75</v>
      </c>
      <c r="L2298" s="28" t="n">
        <v>122</v>
      </c>
      <c r="M2298" s="28" t="n">
        <v>10</v>
      </c>
    </row>
    <row r="2299" customFormat="false" ht="15" hidden="false" customHeight="false" outlineLevel="0" collapsed="false">
      <c r="A2299" s="27" t="n">
        <v>45020</v>
      </c>
      <c r="B2299" s="28" t="n">
        <v>2023</v>
      </c>
      <c r="C2299" s="28" t="s">
        <v>172</v>
      </c>
      <c r="D2299" s="28" t="s">
        <v>43</v>
      </c>
      <c r="E2299" s="28" t="s">
        <v>962</v>
      </c>
      <c r="F2299" s="28" t="s">
        <v>147</v>
      </c>
      <c r="G2299" s="28" t="s">
        <v>441</v>
      </c>
      <c r="H2299" s="28" t="s">
        <v>205</v>
      </c>
      <c r="I2299" s="29" t="n">
        <v>25000</v>
      </c>
      <c r="J2299" s="29" t="n">
        <v>12500</v>
      </c>
      <c r="K2299" s="28" t="n">
        <v>12.5</v>
      </c>
      <c r="L2299" s="28" t="n">
        <v>120</v>
      </c>
      <c r="M2299" s="28" t="n">
        <v>0</v>
      </c>
    </row>
    <row r="2300" customFormat="false" ht="15" hidden="false" customHeight="false" outlineLevel="0" collapsed="false">
      <c r="A2300" s="27" t="n">
        <v>45021</v>
      </c>
      <c r="B2300" s="28" t="n">
        <v>2023</v>
      </c>
      <c r="C2300" s="28" t="s">
        <v>172</v>
      </c>
      <c r="D2300" s="28" t="s">
        <v>46</v>
      </c>
      <c r="E2300" s="28" t="s">
        <v>813</v>
      </c>
      <c r="F2300" s="28" t="s">
        <v>142</v>
      </c>
      <c r="G2300" s="28" t="s">
        <v>152</v>
      </c>
      <c r="H2300" s="28" t="s">
        <v>144</v>
      </c>
      <c r="I2300" s="29" t="n">
        <v>1100000</v>
      </c>
      <c r="J2300" s="29" t="n">
        <v>825000</v>
      </c>
      <c r="K2300" s="28" t="n">
        <v>9</v>
      </c>
      <c r="L2300" s="28" t="n">
        <v>120</v>
      </c>
      <c r="M2300" s="28" t="n">
        <v>40</v>
      </c>
    </row>
    <row r="2301" customFormat="false" ht="15" hidden="false" customHeight="false" outlineLevel="0" collapsed="false">
      <c r="A2301" s="27" t="n">
        <v>45021</v>
      </c>
      <c r="B2301" s="28" t="n">
        <v>2023</v>
      </c>
      <c r="C2301" s="28" t="s">
        <v>145</v>
      </c>
      <c r="D2301" s="28" t="s">
        <v>42</v>
      </c>
      <c r="E2301" s="28" t="s">
        <v>753</v>
      </c>
      <c r="F2301" s="28" t="s">
        <v>194</v>
      </c>
      <c r="G2301" s="28" t="s">
        <v>152</v>
      </c>
      <c r="H2301" s="28" t="s">
        <v>963</v>
      </c>
      <c r="I2301" s="29" t="n">
        <v>480000</v>
      </c>
      <c r="J2301" s="29" t="n">
        <v>360000</v>
      </c>
      <c r="K2301" s="28" t="n">
        <v>8.75</v>
      </c>
      <c r="L2301" s="28" t="n">
        <v>120</v>
      </c>
      <c r="M2301" s="28" t="n">
        <v>17</v>
      </c>
    </row>
    <row r="2302" customFormat="false" ht="15" hidden="false" customHeight="false" outlineLevel="0" collapsed="false">
      <c r="A2302" s="27" t="n">
        <v>45022</v>
      </c>
      <c r="B2302" s="28" t="n">
        <v>2023</v>
      </c>
      <c r="C2302" s="28" t="s">
        <v>568</v>
      </c>
      <c r="D2302" s="28" t="s">
        <v>55</v>
      </c>
      <c r="E2302" s="28" t="s">
        <v>676</v>
      </c>
      <c r="F2302" s="28" t="s">
        <v>283</v>
      </c>
      <c r="G2302" s="28" t="s">
        <v>148</v>
      </c>
      <c r="H2302" s="28" t="s">
        <v>306</v>
      </c>
      <c r="I2302" s="29" t="n">
        <v>4500000</v>
      </c>
      <c r="J2302" s="29" t="n">
        <v>3375000</v>
      </c>
      <c r="K2302" s="28" t="n">
        <v>9</v>
      </c>
      <c r="L2302" s="28" t="n">
        <v>48</v>
      </c>
      <c r="M2302" s="28" t="n">
        <v>5</v>
      </c>
    </row>
    <row r="2303" customFormat="false" ht="15" hidden="false" customHeight="false" outlineLevel="0" collapsed="false">
      <c r="A2303" s="27" t="n">
        <v>45022</v>
      </c>
      <c r="B2303" s="28" t="n">
        <v>2023</v>
      </c>
      <c r="C2303" s="28" t="s">
        <v>344</v>
      </c>
      <c r="D2303" s="28" t="s">
        <v>45</v>
      </c>
      <c r="E2303" s="28" t="s">
        <v>708</v>
      </c>
      <c r="F2303" s="28" t="s">
        <v>147</v>
      </c>
      <c r="G2303" s="28" t="s">
        <v>148</v>
      </c>
      <c r="H2303" s="28" t="s">
        <v>159</v>
      </c>
      <c r="I2303" s="29" t="n">
        <v>15000</v>
      </c>
      <c r="J2303" s="29" t="n">
        <v>7500</v>
      </c>
      <c r="K2303" s="28" t="n">
        <v>10.5</v>
      </c>
      <c r="L2303" s="28" t="n">
        <v>48</v>
      </c>
      <c r="M2303" s="28" t="n">
        <v>0</v>
      </c>
    </row>
    <row r="2304" customFormat="false" ht="15" hidden="false" customHeight="false" outlineLevel="0" collapsed="false">
      <c r="A2304" s="27" t="n">
        <v>45022</v>
      </c>
      <c r="B2304" s="28" t="n">
        <v>2023</v>
      </c>
      <c r="C2304" s="28" t="s">
        <v>206</v>
      </c>
      <c r="D2304" s="28" t="s">
        <v>42</v>
      </c>
      <c r="E2304" s="28" t="s">
        <v>753</v>
      </c>
      <c r="F2304" s="28" t="s">
        <v>194</v>
      </c>
      <c r="G2304" s="28" t="s">
        <v>143</v>
      </c>
      <c r="H2304" s="28" t="s">
        <v>482</v>
      </c>
      <c r="I2304" s="29" t="n">
        <v>405000</v>
      </c>
      <c r="J2304" s="29" t="n">
        <v>303750</v>
      </c>
      <c r="K2304" s="28" t="n">
        <v>10</v>
      </c>
      <c r="L2304" s="28" t="n">
        <v>121</v>
      </c>
      <c r="M2304" s="28" t="n">
        <v>81</v>
      </c>
    </row>
    <row r="2305" customFormat="false" ht="15" hidden="false" customHeight="false" outlineLevel="0" collapsed="false">
      <c r="A2305" s="27" t="n">
        <v>45022</v>
      </c>
      <c r="B2305" s="28" t="n">
        <v>2023</v>
      </c>
      <c r="C2305" s="28" t="s">
        <v>421</v>
      </c>
      <c r="D2305" s="28" t="s">
        <v>48</v>
      </c>
      <c r="E2305" s="28" t="s">
        <v>840</v>
      </c>
      <c r="F2305" s="28" t="s">
        <v>147</v>
      </c>
      <c r="G2305" s="28" t="s">
        <v>441</v>
      </c>
      <c r="H2305" s="28" t="s">
        <v>168</v>
      </c>
      <c r="I2305" s="29" t="n">
        <v>10000</v>
      </c>
      <c r="J2305" s="29" t="n">
        <v>5000</v>
      </c>
      <c r="K2305" s="28" t="n">
        <v>14</v>
      </c>
      <c r="L2305" s="28" t="n">
        <v>120</v>
      </c>
      <c r="M2305" s="28" t="n">
        <v>1</v>
      </c>
    </row>
    <row r="2306" customFormat="false" ht="15" hidden="false" customHeight="false" outlineLevel="0" collapsed="false">
      <c r="A2306" s="27" t="n">
        <v>45022</v>
      </c>
      <c r="B2306" s="28" t="n">
        <v>2023</v>
      </c>
      <c r="C2306" s="28" t="s">
        <v>230</v>
      </c>
      <c r="D2306" s="28" t="s">
        <v>42</v>
      </c>
      <c r="E2306" s="28" t="s">
        <v>753</v>
      </c>
      <c r="F2306" s="28" t="s">
        <v>142</v>
      </c>
      <c r="G2306" s="28" t="s">
        <v>143</v>
      </c>
      <c r="H2306" s="28" t="s">
        <v>291</v>
      </c>
      <c r="I2306" s="29" t="n">
        <v>867000</v>
      </c>
      <c r="J2306" s="29" t="n">
        <v>650250</v>
      </c>
      <c r="K2306" s="28" t="n">
        <v>10.5</v>
      </c>
      <c r="L2306" s="28" t="n">
        <v>120</v>
      </c>
      <c r="M2306" s="28" t="n">
        <v>40</v>
      </c>
    </row>
    <row r="2307" customFormat="false" ht="15" hidden="false" customHeight="false" outlineLevel="0" collapsed="false">
      <c r="A2307" s="27" t="n">
        <v>45023</v>
      </c>
      <c r="B2307" s="28" t="n">
        <v>2023</v>
      </c>
      <c r="C2307" s="28" t="s">
        <v>328</v>
      </c>
      <c r="D2307" s="28" t="s">
        <v>42</v>
      </c>
      <c r="E2307" s="28" t="s">
        <v>828</v>
      </c>
      <c r="F2307" s="28" t="s">
        <v>142</v>
      </c>
      <c r="G2307" s="28" t="s">
        <v>148</v>
      </c>
      <c r="H2307" s="28" t="s">
        <v>306</v>
      </c>
      <c r="I2307" s="29" t="n">
        <v>260000</v>
      </c>
      <c r="J2307" s="29" t="n">
        <v>195000</v>
      </c>
      <c r="K2307" s="28" t="n">
        <v>8.5</v>
      </c>
      <c r="L2307" s="28" t="n">
        <v>120</v>
      </c>
      <c r="M2307" s="28" t="n">
        <v>5</v>
      </c>
    </row>
    <row r="2308" customFormat="false" ht="15" hidden="false" customHeight="false" outlineLevel="0" collapsed="false">
      <c r="A2308" s="27" t="n">
        <v>45026</v>
      </c>
      <c r="B2308" s="28" t="n">
        <v>2023</v>
      </c>
      <c r="C2308" s="28" t="s">
        <v>163</v>
      </c>
      <c r="D2308" s="28" t="s">
        <v>48</v>
      </c>
      <c r="E2308" s="28" t="s">
        <v>210</v>
      </c>
      <c r="F2308" s="28" t="s">
        <v>142</v>
      </c>
      <c r="G2308" s="28" t="s">
        <v>143</v>
      </c>
      <c r="H2308" s="28" t="s">
        <v>278</v>
      </c>
      <c r="I2308" s="29" t="n">
        <v>150000</v>
      </c>
      <c r="J2308" s="29" t="n">
        <v>127500</v>
      </c>
      <c r="K2308" s="28" t="n">
        <v>10.75</v>
      </c>
      <c r="L2308" s="28" t="n">
        <v>120</v>
      </c>
      <c r="M2308" s="28" t="n">
        <v>3</v>
      </c>
    </row>
    <row r="2309" customFormat="false" ht="15" hidden="false" customHeight="false" outlineLevel="0" collapsed="false">
      <c r="A2309" s="27" t="n">
        <v>45026</v>
      </c>
      <c r="B2309" s="28" t="n">
        <v>2023</v>
      </c>
      <c r="C2309" s="28" t="s">
        <v>546</v>
      </c>
      <c r="D2309" s="28" t="s">
        <v>42</v>
      </c>
      <c r="E2309" s="28" t="s">
        <v>705</v>
      </c>
      <c r="F2309" s="28" t="s">
        <v>142</v>
      </c>
      <c r="G2309" s="28" t="s">
        <v>441</v>
      </c>
      <c r="H2309" s="28" t="s">
        <v>326</v>
      </c>
      <c r="I2309" s="29" t="n">
        <v>3197000</v>
      </c>
      <c r="J2309" s="29" t="n">
        <v>2397750</v>
      </c>
      <c r="K2309" s="28" t="n">
        <v>9.25</v>
      </c>
      <c r="L2309" s="28" t="n">
        <v>300</v>
      </c>
      <c r="M2309" s="28" t="n">
        <v>2</v>
      </c>
    </row>
    <row r="2310" customFormat="false" ht="15" hidden="false" customHeight="false" outlineLevel="0" collapsed="false">
      <c r="A2310" s="27" t="n">
        <v>45027</v>
      </c>
      <c r="B2310" s="28" t="n">
        <v>2023</v>
      </c>
      <c r="C2310" s="28" t="s">
        <v>488</v>
      </c>
      <c r="D2310" s="28" t="s">
        <v>50</v>
      </c>
      <c r="E2310" s="28" t="s">
        <v>724</v>
      </c>
      <c r="F2310" s="28" t="s">
        <v>142</v>
      </c>
      <c r="G2310" s="28" t="s">
        <v>148</v>
      </c>
      <c r="H2310" s="28" t="s">
        <v>171</v>
      </c>
      <c r="I2310" s="29" t="n">
        <v>270000</v>
      </c>
      <c r="J2310" s="29" t="n">
        <v>202500</v>
      </c>
      <c r="K2310" s="28" t="n">
        <v>10.75</v>
      </c>
      <c r="L2310" s="28" t="n">
        <v>120</v>
      </c>
      <c r="M2310" s="28" t="n">
        <v>54</v>
      </c>
    </row>
    <row r="2311" customFormat="false" ht="15" hidden="false" customHeight="false" outlineLevel="0" collapsed="false">
      <c r="A2311" s="27" t="n">
        <v>45028</v>
      </c>
      <c r="B2311" s="28" t="n">
        <v>2023</v>
      </c>
      <c r="C2311" s="28" t="s">
        <v>196</v>
      </c>
      <c r="D2311" s="28" t="s">
        <v>43</v>
      </c>
      <c r="E2311" s="28" t="s">
        <v>757</v>
      </c>
      <c r="F2311" s="28" t="s">
        <v>194</v>
      </c>
      <c r="G2311" s="28" t="s">
        <v>148</v>
      </c>
      <c r="H2311" s="28" t="s">
        <v>605</v>
      </c>
      <c r="I2311" s="29" t="n">
        <v>254000</v>
      </c>
      <c r="J2311" s="29" t="n">
        <v>190500</v>
      </c>
      <c r="K2311" s="28" t="n">
        <v>10.5</v>
      </c>
      <c r="L2311" s="28" t="n">
        <v>131</v>
      </c>
      <c r="M2311" s="28" t="n">
        <v>10</v>
      </c>
    </row>
    <row r="2312" customFormat="false" ht="15" hidden="false" customHeight="false" outlineLevel="0" collapsed="false">
      <c r="A2312" s="27" t="n">
        <v>45029</v>
      </c>
      <c r="B2312" s="28" t="n">
        <v>2023</v>
      </c>
      <c r="C2312" s="28" t="s">
        <v>316</v>
      </c>
      <c r="D2312" s="28" t="s">
        <v>43</v>
      </c>
      <c r="E2312" s="28" t="s">
        <v>757</v>
      </c>
      <c r="F2312" s="28" t="s">
        <v>147</v>
      </c>
      <c r="G2312" s="28" t="s">
        <v>143</v>
      </c>
      <c r="H2312" s="28" t="s">
        <v>246</v>
      </c>
      <c r="I2312" s="29" t="n">
        <v>75000</v>
      </c>
      <c r="J2312" s="29" t="n">
        <v>37500</v>
      </c>
      <c r="K2312" s="28" t="n">
        <v>8</v>
      </c>
      <c r="L2312" s="28" t="n">
        <v>47</v>
      </c>
      <c r="M2312" s="28" t="n">
        <v>2</v>
      </c>
    </row>
    <row r="2313" customFormat="false" ht="15" hidden="false" customHeight="false" outlineLevel="0" collapsed="false">
      <c r="A2313" s="27" t="n">
        <v>45029</v>
      </c>
      <c r="B2313" s="28" t="n">
        <v>2023</v>
      </c>
      <c r="C2313" s="28" t="s">
        <v>140</v>
      </c>
      <c r="D2313" s="28" t="s">
        <v>44</v>
      </c>
      <c r="E2313" s="28" t="s">
        <v>755</v>
      </c>
      <c r="F2313" s="28" t="s">
        <v>142</v>
      </c>
      <c r="G2313" s="28" t="s">
        <v>148</v>
      </c>
      <c r="H2313" s="28" t="s">
        <v>171</v>
      </c>
      <c r="I2313" s="29" t="n">
        <v>149400</v>
      </c>
      <c r="J2313" s="29" t="n">
        <v>126990</v>
      </c>
      <c r="K2313" s="28" t="n">
        <v>11.75</v>
      </c>
      <c r="L2313" s="28" t="n">
        <v>120</v>
      </c>
      <c r="M2313" s="28" t="n">
        <v>2</v>
      </c>
    </row>
    <row r="2314" customFormat="false" ht="15" hidden="false" customHeight="false" outlineLevel="0" collapsed="false">
      <c r="A2314" s="27" t="n">
        <v>45030</v>
      </c>
      <c r="B2314" s="28" t="n">
        <v>2023</v>
      </c>
      <c r="C2314" s="28" t="s">
        <v>163</v>
      </c>
      <c r="D2314" s="28" t="s">
        <v>43</v>
      </c>
      <c r="E2314" s="28" t="s">
        <v>825</v>
      </c>
      <c r="F2314" s="28" t="s">
        <v>142</v>
      </c>
      <c r="G2314" s="28" t="s">
        <v>148</v>
      </c>
      <c r="H2314" s="28" t="s">
        <v>211</v>
      </c>
      <c r="I2314" s="29" t="n">
        <v>347000</v>
      </c>
      <c r="J2314" s="29" t="n">
        <v>260250</v>
      </c>
      <c r="K2314" s="28" t="n">
        <v>10.75</v>
      </c>
      <c r="L2314" s="28" t="n">
        <v>120</v>
      </c>
      <c r="M2314" s="28" t="n">
        <v>2</v>
      </c>
    </row>
    <row r="2315" customFormat="false" ht="15" hidden="false" customHeight="false" outlineLevel="0" collapsed="false">
      <c r="A2315" s="27" t="n">
        <v>45030</v>
      </c>
      <c r="B2315" s="28" t="n">
        <v>2023</v>
      </c>
      <c r="C2315" s="28" t="s">
        <v>238</v>
      </c>
      <c r="D2315" s="28" t="s">
        <v>53</v>
      </c>
      <c r="E2315" s="28" t="s">
        <v>703</v>
      </c>
      <c r="F2315" s="28" t="s">
        <v>142</v>
      </c>
      <c r="G2315" s="28" t="s">
        <v>152</v>
      </c>
      <c r="H2315" s="28" t="s">
        <v>144</v>
      </c>
      <c r="I2315" s="29" t="n">
        <v>850000</v>
      </c>
      <c r="J2315" s="29" t="n">
        <v>637500</v>
      </c>
      <c r="K2315" s="28" t="n">
        <v>8.5</v>
      </c>
      <c r="L2315" s="28" t="n">
        <v>300</v>
      </c>
      <c r="M2315" s="28" t="n">
        <v>2</v>
      </c>
    </row>
    <row r="2316" customFormat="false" ht="15" hidden="false" customHeight="false" outlineLevel="0" collapsed="false">
      <c r="A2316" s="27" t="n">
        <v>45033</v>
      </c>
      <c r="B2316" s="28" t="n">
        <v>2023</v>
      </c>
      <c r="C2316" s="28" t="s">
        <v>172</v>
      </c>
      <c r="D2316" s="28" t="s">
        <v>44</v>
      </c>
      <c r="E2316" s="28" t="s">
        <v>167</v>
      </c>
      <c r="F2316" s="28" t="s">
        <v>194</v>
      </c>
      <c r="G2316" s="28" t="s">
        <v>152</v>
      </c>
      <c r="H2316" s="28" t="s">
        <v>799</v>
      </c>
      <c r="I2316" s="29" t="n">
        <v>662900</v>
      </c>
      <c r="J2316" s="29" t="n">
        <v>497175</v>
      </c>
      <c r="K2316" s="28" t="n">
        <v>10.5</v>
      </c>
      <c r="L2316" s="28" t="n">
        <v>120</v>
      </c>
      <c r="M2316" s="28" t="n">
        <v>169</v>
      </c>
    </row>
    <row r="2317" customFormat="false" ht="15" hidden="false" customHeight="false" outlineLevel="0" collapsed="false">
      <c r="A2317" s="27" t="n">
        <v>45033</v>
      </c>
      <c r="B2317" s="28" t="n">
        <v>2023</v>
      </c>
      <c r="C2317" s="28" t="s">
        <v>423</v>
      </c>
      <c r="D2317" s="28" t="s">
        <v>46</v>
      </c>
      <c r="E2317" s="28" t="s">
        <v>770</v>
      </c>
      <c r="F2317" s="28" t="s">
        <v>142</v>
      </c>
      <c r="G2317" s="28" t="s">
        <v>143</v>
      </c>
      <c r="H2317" s="28" t="s">
        <v>211</v>
      </c>
      <c r="I2317" s="29" t="n">
        <v>350000</v>
      </c>
      <c r="J2317" s="29" t="n">
        <v>262500</v>
      </c>
      <c r="K2317" s="28" t="n">
        <v>10.5</v>
      </c>
      <c r="L2317" s="28" t="n">
        <v>120</v>
      </c>
      <c r="M2317" s="28" t="n">
        <v>12</v>
      </c>
    </row>
    <row r="2318" customFormat="false" ht="15" hidden="false" customHeight="false" outlineLevel="0" collapsed="false">
      <c r="A2318" s="27" t="n">
        <v>45033</v>
      </c>
      <c r="B2318" s="28" t="n">
        <v>2023</v>
      </c>
      <c r="C2318" s="28" t="s">
        <v>353</v>
      </c>
      <c r="D2318" s="28" t="s">
        <v>43</v>
      </c>
      <c r="E2318" s="28" t="s">
        <v>942</v>
      </c>
      <c r="F2318" s="28" t="s">
        <v>147</v>
      </c>
      <c r="G2318" s="28" t="s">
        <v>152</v>
      </c>
      <c r="H2318" s="28" t="s">
        <v>281</v>
      </c>
      <c r="I2318" s="29" t="n">
        <v>475000</v>
      </c>
      <c r="J2318" s="29" t="n">
        <v>237500</v>
      </c>
      <c r="K2318" s="28" t="n">
        <v>8</v>
      </c>
      <c r="L2318" s="28" t="n">
        <v>120</v>
      </c>
      <c r="M2318" s="28" t="n">
        <v>18</v>
      </c>
    </row>
    <row r="2319" customFormat="false" ht="15" hidden="false" customHeight="false" outlineLevel="0" collapsed="false">
      <c r="A2319" s="27" t="n">
        <v>45034</v>
      </c>
      <c r="B2319" s="28" t="n">
        <v>2023</v>
      </c>
      <c r="C2319" s="28" t="s">
        <v>169</v>
      </c>
      <c r="D2319" s="28" t="s">
        <v>53</v>
      </c>
      <c r="E2319" s="28" t="s">
        <v>964</v>
      </c>
      <c r="F2319" s="28" t="s">
        <v>142</v>
      </c>
      <c r="G2319" s="28" t="s">
        <v>148</v>
      </c>
      <c r="H2319" s="28" t="s">
        <v>165</v>
      </c>
      <c r="I2319" s="29" t="n">
        <v>485000</v>
      </c>
      <c r="J2319" s="29" t="n">
        <v>363750</v>
      </c>
      <c r="K2319" s="28" t="n">
        <v>7.75</v>
      </c>
      <c r="L2319" s="28" t="n">
        <v>300</v>
      </c>
      <c r="M2319" s="28" t="n">
        <v>1</v>
      </c>
    </row>
    <row r="2320" customFormat="false" ht="15" hidden="false" customHeight="false" outlineLevel="0" collapsed="false">
      <c r="A2320" s="27" t="n">
        <v>45035</v>
      </c>
      <c r="B2320" s="28" t="n">
        <v>2023</v>
      </c>
      <c r="C2320" s="28" t="s">
        <v>166</v>
      </c>
      <c r="D2320" s="28" t="s">
        <v>48</v>
      </c>
      <c r="E2320" s="28" t="s">
        <v>342</v>
      </c>
      <c r="F2320" s="28" t="s">
        <v>142</v>
      </c>
      <c r="G2320" s="28" t="s">
        <v>441</v>
      </c>
      <c r="H2320" s="28" t="s">
        <v>621</v>
      </c>
      <c r="I2320" s="29" t="n">
        <v>892300</v>
      </c>
      <c r="J2320" s="29" t="n">
        <v>669225</v>
      </c>
      <c r="K2320" s="28" t="n">
        <v>10.25</v>
      </c>
      <c r="L2320" s="28" t="n">
        <v>120</v>
      </c>
      <c r="M2320" s="28" t="n">
        <v>2</v>
      </c>
    </row>
    <row r="2321" customFormat="false" ht="15" hidden="false" customHeight="false" outlineLevel="0" collapsed="false">
      <c r="A2321" s="27" t="n">
        <v>45035</v>
      </c>
      <c r="B2321" s="28" t="n">
        <v>2023</v>
      </c>
      <c r="C2321" s="28" t="s">
        <v>166</v>
      </c>
      <c r="D2321" s="28" t="s">
        <v>52</v>
      </c>
      <c r="E2321" s="28" t="s">
        <v>720</v>
      </c>
      <c r="F2321" s="28" t="s">
        <v>147</v>
      </c>
      <c r="G2321" s="28" t="s">
        <v>148</v>
      </c>
      <c r="H2321" s="28" t="s">
        <v>162</v>
      </c>
      <c r="I2321" s="29" t="n">
        <v>177000</v>
      </c>
      <c r="J2321" s="29" t="n">
        <v>88500</v>
      </c>
      <c r="K2321" s="28" t="n">
        <v>7.19</v>
      </c>
      <c r="L2321" s="28" t="n">
        <v>120</v>
      </c>
      <c r="M2321" s="28" t="n">
        <v>18</v>
      </c>
    </row>
    <row r="2322" customFormat="false" ht="15" hidden="false" customHeight="false" outlineLevel="0" collapsed="false">
      <c r="A2322" s="27" t="n">
        <v>45035</v>
      </c>
      <c r="B2322" s="28" t="n">
        <v>2023</v>
      </c>
      <c r="C2322" s="28" t="s">
        <v>198</v>
      </c>
      <c r="D2322" s="28" t="s">
        <v>43</v>
      </c>
      <c r="E2322" s="28" t="s">
        <v>933</v>
      </c>
      <c r="F2322" s="28" t="s">
        <v>147</v>
      </c>
      <c r="G2322" s="28" t="s">
        <v>143</v>
      </c>
      <c r="H2322" s="28" t="s">
        <v>159</v>
      </c>
      <c r="I2322" s="29" t="n">
        <v>250000</v>
      </c>
      <c r="J2322" s="29" t="n">
        <v>125000</v>
      </c>
      <c r="K2322" s="28" t="n">
        <v>10</v>
      </c>
      <c r="L2322" s="28" t="n">
        <v>60</v>
      </c>
      <c r="M2322" s="28" t="n">
        <v>2</v>
      </c>
    </row>
    <row r="2323" customFormat="false" ht="15" hidden="false" customHeight="false" outlineLevel="0" collapsed="false">
      <c r="A2323" s="27" t="n">
        <v>45035</v>
      </c>
      <c r="B2323" s="28" t="n">
        <v>2023</v>
      </c>
      <c r="C2323" s="28" t="s">
        <v>160</v>
      </c>
      <c r="D2323" s="28" t="s">
        <v>42</v>
      </c>
      <c r="E2323" s="28" t="s">
        <v>705</v>
      </c>
      <c r="F2323" s="28" t="s">
        <v>142</v>
      </c>
      <c r="G2323" s="28" t="s">
        <v>441</v>
      </c>
      <c r="H2323" s="28" t="s">
        <v>592</v>
      </c>
      <c r="I2323" s="29" t="n">
        <v>3840000</v>
      </c>
      <c r="J2323" s="29" t="n">
        <v>2880000</v>
      </c>
      <c r="K2323" s="28" t="n">
        <v>8.75</v>
      </c>
      <c r="L2323" s="28" t="n">
        <v>300</v>
      </c>
      <c r="M2323" s="28" t="n">
        <v>12</v>
      </c>
    </row>
    <row r="2324" customFormat="false" ht="15" hidden="false" customHeight="false" outlineLevel="0" collapsed="false">
      <c r="A2324" s="27" t="n">
        <v>45035</v>
      </c>
      <c r="B2324" s="28" t="n">
        <v>2023</v>
      </c>
      <c r="C2324" s="28" t="s">
        <v>379</v>
      </c>
      <c r="D2324" s="28" t="s">
        <v>47</v>
      </c>
      <c r="E2324" s="28" t="s">
        <v>901</v>
      </c>
      <c r="F2324" s="28" t="s">
        <v>142</v>
      </c>
      <c r="G2324" s="28" t="s">
        <v>152</v>
      </c>
      <c r="H2324" s="28" t="s">
        <v>326</v>
      </c>
      <c r="I2324" s="29" t="n">
        <v>681100</v>
      </c>
      <c r="J2324" s="29" t="n">
        <v>510825</v>
      </c>
      <c r="K2324" s="28" t="n">
        <v>10.75</v>
      </c>
      <c r="L2324" s="28" t="n">
        <v>120</v>
      </c>
      <c r="M2324" s="28" t="n">
        <v>2</v>
      </c>
    </row>
    <row r="2325" customFormat="false" ht="15" hidden="false" customHeight="false" outlineLevel="0" collapsed="false">
      <c r="A2325" s="27" t="n">
        <v>45035</v>
      </c>
      <c r="B2325" s="28" t="n">
        <v>2023</v>
      </c>
      <c r="C2325" s="28" t="s">
        <v>172</v>
      </c>
      <c r="D2325" s="28" t="s">
        <v>42</v>
      </c>
      <c r="E2325" s="28" t="s">
        <v>717</v>
      </c>
      <c r="F2325" s="28" t="s">
        <v>142</v>
      </c>
      <c r="G2325" s="28" t="s">
        <v>143</v>
      </c>
      <c r="H2325" s="28" t="s">
        <v>501</v>
      </c>
      <c r="I2325" s="29" t="n">
        <v>1228000</v>
      </c>
      <c r="J2325" s="29" t="n">
        <v>921000</v>
      </c>
      <c r="K2325" s="28" t="n">
        <v>10.75</v>
      </c>
      <c r="L2325" s="28" t="n">
        <v>126</v>
      </c>
      <c r="M2325" s="28" t="n">
        <v>25</v>
      </c>
    </row>
    <row r="2326" customFormat="false" ht="15" hidden="false" customHeight="false" outlineLevel="0" collapsed="false">
      <c r="A2326" s="27" t="n">
        <v>45035</v>
      </c>
      <c r="B2326" s="28" t="n">
        <v>2023</v>
      </c>
      <c r="C2326" s="28" t="s">
        <v>169</v>
      </c>
      <c r="D2326" s="28" t="s">
        <v>43</v>
      </c>
      <c r="E2326" s="28" t="s">
        <v>788</v>
      </c>
      <c r="F2326" s="28" t="s">
        <v>194</v>
      </c>
      <c r="G2326" s="28" t="s">
        <v>143</v>
      </c>
      <c r="H2326" s="28" t="s">
        <v>363</v>
      </c>
      <c r="I2326" s="29" t="n">
        <v>950000</v>
      </c>
      <c r="J2326" s="29" t="n">
        <v>712500</v>
      </c>
      <c r="K2326" s="28" t="n">
        <v>9</v>
      </c>
      <c r="L2326" s="28" t="n">
        <v>132</v>
      </c>
      <c r="M2326" s="28" t="n">
        <v>26</v>
      </c>
    </row>
    <row r="2327" customFormat="false" ht="15" hidden="false" customHeight="false" outlineLevel="0" collapsed="false">
      <c r="A2327" s="27" t="n">
        <v>45035</v>
      </c>
      <c r="B2327" s="28" t="n">
        <v>2023</v>
      </c>
      <c r="C2327" s="28" t="s">
        <v>172</v>
      </c>
      <c r="D2327" s="28" t="s">
        <v>46</v>
      </c>
      <c r="E2327" s="28" t="s">
        <v>702</v>
      </c>
      <c r="F2327" s="28" t="s">
        <v>147</v>
      </c>
      <c r="G2327" s="28" t="s">
        <v>148</v>
      </c>
      <c r="H2327" s="28" t="s">
        <v>205</v>
      </c>
      <c r="I2327" s="29" t="n">
        <v>116000</v>
      </c>
      <c r="J2327" s="29" t="n">
        <v>58000</v>
      </c>
      <c r="K2327" s="28" t="n">
        <v>11.8</v>
      </c>
      <c r="L2327" s="28" t="n">
        <v>97</v>
      </c>
      <c r="M2327" s="28" t="n">
        <v>2</v>
      </c>
    </row>
    <row r="2328" customFormat="false" ht="15" hidden="false" customHeight="false" outlineLevel="0" collapsed="false">
      <c r="A2328" s="27" t="n">
        <v>45036</v>
      </c>
      <c r="B2328" s="28" t="n">
        <v>2023</v>
      </c>
      <c r="C2328" s="28" t="s">
        <v>196</v>
      </c>
      <c r="D2328" s="28" t="s">
        <v>48</v>
      </c>
      <c r="E2328" s="28" t="s">
        <v>304</v>
      </c>
      <c r="F2328" s="28" t="s">
        <v>147</v>
      </c>
      <c r="G2328" s="28" t="s">
        <v>148</v>
      </c>
      <c r="H2328" s="28" t="s">
        <v>159</v>
      </c>
      <c r="I2328" s="29" t="n">
        <v>36000</v>
      </c>
      <c r="J2328" s="29" t="n">
        <v>18000</v>
      </c>
      <c r="K2328" s="28" t="n">
        <v>14.5</v>
      </c>
      <c r="L2328" s="28" t="n">
        <v>120</v>
      </c>
      <c r="M2328" s="28" t="n">
        <v>3</v>
      </c>
    </row>
    <row r="2329" customFormat="false" ht="15" hidden="false" customHeight="false" outlineLevel="0" collapsed="false">
      <c r="A2329" s="27" t="n">
        <v>45036</v>
      </c>
      <c r="B2329" s="28" t="n">
        <v>2023</v>
      </c>
      <c r="C2329" s="28" t="s">
        <v>172</v>
      </c>
      <c r="D2329" s="28" t="s">
        <v>45</v>
      </c>
      <c r="E2329" s="28" t="s">
        <v>748</v>
      </c>
      <c r="F2329" s="28" t="s">
        <v>142</v>
      </c>
      <c r="G2329" s="28" t="s">
        <v>143</v>
      </c>
      <c r="H2329" s="28" t="s">
        <v>211</v>
      </c>
      <c r="I2329" s="29" t="n">
        <v>265000</v>
      </c>
      <c r="J2329" s="29" t="n">
        <v>198750</v>
      </c>
      <c r="K2329" s="28" t="n">
        <v>10.5</v>
      </c>
      <c r="L2329" s="28" t="n">
        <v>120</v>
      </c>
      <c r="M2329" s="28" t="n">
        <v>20</v>
      </c>
    </row>
    <row r="2330" customFormat="false" ht="15" hidden="false" customHeight="false" outlineLevel="0" collapsed="false">
      <c r="A2330" s="27" t="n">
        <v>45037</v>
      </c>
      <c r="B2330" s="28" t="n">
        <v>2023</v>
      </c>
      <c r="C2330" s="28" t="s">
        <v>172</v>
      </c>
      <c r="D2330" s="28" t="s">
        <v>48</v>
      </c>
      <c r="E2330" s="28" t="s">
        <v>815</v>
      </c>
      <c r="F2330" s="28" t="s">
        <v>142</v>
      </c>
      <c r="G2330" s="28" t="s">
        <v>148</v>
      </c>
      <c r="H2330" s="28" t="s">
        <v>953</v>
      </c>
      <c r="I2330" s="29" t="n">
        <v>200000</v>
      </c>
      <c r="J2330" s="29" t="n">
        <v>170000</v>
      </c>
      <c r="K2330" s="28" t="n">
        <v>11</v>
      </c>
      <c r="L2330" s="28" t="n">
        <v>120</v>
      </c>
      <c r="M2330" s="28" t="n">
        <v>6</v>
      </c>
    </row>
    <row r="2331" customFormat="false" ht="15" hidden="false" customHeight="false" outlineLevel="0" collapsed="false">
      <c r="A2331" s="27" t="n">
        <v>45037</v>
      </c>
      <c r="B2331" s="28" t="n">
        <v>2023</v>
      </c>
      <c r="C2331" s="28" t="s">
        <v>303</v>
      </c>
      <c r="D2331" s="28" t="s">
        <v>43</v>
      </c>
      <c r="E2331" s="28" t="s">
        <v>952</v>
      </c>
      <c r="F2331" s="28" t="s">
        <v>142</v>
      </c>
      <c r="G2331" s="28" t="s">
        <v>148</v>
      </c>
      <c r="H2331" s="28" t="s">
        <v>165</v>
      </c>
      <c r="I2331" s="29" t="n">
        <v>590000</v>
      </c>
      <c r="J2331" s="29" t="n">
        <v>442500</v>
      </c>
      <c r="K2331" s="28" t="n">
        <v>9.5</v>
      </c>
      <c r="L2331" s="28" t="n">
        <v>120</v>
      </c>
      <c r="M2331" s="28" t="n">
        <v>29</v>
      </c>
    </row>
    <row r="2332" customFormat="false" ht="15" hidden="false" customHeight="false" outlineLevel="0" collapsed="false">
      <c r="A2332" s="27" t="n">
        <v>45037</v>
      </c>
      <c r="B2332" s="28" t="n">
        <v>2023</v>
      </c>
      <c r="C2332" s="28" t="s">
        <v>166</v>
      </c>
      <c r="D2332" s="28" t="s">
        <v>46</v>
      </c>
      <c r="E2332" s="28" t="s">
        <v>702</v>
      </c>
      <c r="F2332" s="28" t="s">
        <v>147</v>
      </c>
      <c r="G2332" s="28" t="s">
        <v>441</v>
      </c>
      <c r="H2332" s="28" t="s">
        <v>191</v>
      </c>
      <c r="I2332" s="29" t="n">
        <v>25000</v>
      </c>
      <c r="J2332" s="29" t="n">
        <v>12500</v>
      </c>
      <c r="K2332" s="28" t="n">
        <v>13.4</v>
      </c>
      <c r="L2332" s="28" t="n">
        <v>120</v>
      </c>
      <c r="M2332" s="28" t="n">
        <v>5</v>
      </c>
    </row>
    <row r="2333" customFormat="false" ht="15" hidden="false" customHeight="false" outlineLevel="0" collapsed="false">
      <c r="A2333" s="27" t="n">
        <v>45041</v>
      </c>
      <c r="B2333" s="28" t="n">
        <v>2023</v>
      </c>
      <c r="C2333" s="28" t="s">
        <v>421</v>
      </c>
      <c r="D2333" s="28" t="s">
        <v>43</v>
      </c>
      <c r="E2333" s="28" t="s">
        <v>757</v>
      </c>
      <c r="F2333" s="28" t="s">
        <v>142</v>
      </c>
      <c r="G2333" s="28" t="s">
        <v>152</v>
      </c>
      <c r="H2333" s="28" t="s">
        <v>314</v>
      </c>
      <c r="I2333" s="29" t="n">
        <v>2364000</v>
      </c>
      <c r="J2333" s="29" t="n">
        <v>1773000</v>
      </c>
      <c r="K2333" s="28" t="n">
        <v>10.25</v>
      </c>
      <c r="L2333" s="28" t="n">
        <v>120</v>
      </c>
      <c r="M2333" s="28" t="n">
        <v>35</v>
      </c>
    </row>
    <row r="2334" customFormat="false" ht="15" hidden="false" customHeight="false" outlineLevel="0" collapsed="false">
      <c r="A2334" s="27" t="n">
        <v>45042</v>
      </c>
      <c r="B2334" s="28" t="n">
        <v>2023</v>
      </c>
      <c r="C2334" s="28" t="s">
        <v>172</v>
      </c>
      <c r="D2334" s="28" t="s">
        <v>48</v>
      </c>
      <c r="E2334" s="28" t="s">
        <v>362</v>
      </c>
      <c r="F2334" s="28" t="s">
        <v>147</v>
      </c>
      <c r="G2334" s="28" t="s">
        <v>441</v>
      </c>
      <c r="H2334" s="28" t="s">
        <v>162</v>
      </c>
      <c r="I2334" s="29" t="n">
        <v>356800</v>
      </c>
      <c r="J2334" s="29" t="n">
        <v>178400</v>
      </c>
      <c r="K2334" s="28" t="n">
        <v>5.76</v>
      </c>
      <c r="L2334" s="28" t="n">
        <v>300</v>
      </c>
      <c r="M2334" s="28" t="n">
        <v>2</v>
      </c>
    </row>
    <row r="2335" customFormat="false" ht="15" hidden="false" customHeight="false" outlineLevel="0" collapsed="false">
      <c r="A2335" s="27" t="n">
        <v>45043</v>
      </c>
      <c r="B2335" s="28" t="n">
        <v>2023</v>
      </c>
      <c r="C2335" s="28" t="s">
        <v>310</v>
      </c>
      <c r="D2335" s="28" t="s">
        <v>43</v>
      </c>
      <c r="E2335" s="28" t="s">
        <v>952</v>
      </c>
      <c r="F2335" s="28" t="s">
        <v>142</v>
      </c>
      <c r="G2335" s="28" t="s">
        <v>143</v>
      </c>
      <c r="H2335" s="28" t="s">
        <v>382</v>
      </c>
      <c r="I2335" s="29" t="n">
        <v>614000</v>
      </c>
      <c r="J2335" s="29" t="n">
        <v>460500</v>
      </c>
      <c r="K2335" s="28" t="n">
        <v>10.75</v>
      </c>
      <c r="L2335" s="28" t="n">
        <v>124</v>
      </c>
      <c r="M2335" s="28" t="n">
        <v>100</v>
      </c>
    </row>
    <row r="2336" customFormat="false" ht="15" hidden="false" customHeight="false" outlineLevel="0" collapsed="false">
      <c r="A2336" s="27" t="n">
        <v>45043</v>
      </c>
      <c r="B2336" s="28" t="n">
        <v>2023</v>
      </c>
      <c r="C2336" s="28" t="s">
        <v>312</v>
      </c>
      <c r="D2336" s="28" t="s">
        <v>42</v>
      </c>
      <c r="E2336" s="28" t="s">
        <v>717</v>
      </c>
      <c r="F2336" s="28" t="s">
        <v>147</v>
      </c>
      <c r="G2336" s="28" t="s">
        <v>143</v>
      </c>
      <c r="H2336" s="28" t="s">
        <v>396</v>
      </c>
      <c r="I2336" s="29" t="n">
        <v>500000</v>
      </c>
      <c r="J2336" s="29" t="n">
        <v>250000</v>
      </c>
      <c r="K2336" s="28" t="n">
        <v>8.5</v>
      </c>
      <c r="L2336" s="28" t="n">
        <v>72</v>
      </c>
      <c r="M2336" s="28" t="n">
        <v>50</v>
      </c>
    </row>
    <row r="2337" customFormat="false" ht="15" hidden="false" customHeight="false" outlineLevel="0" collapsed="false">
      <c r="A2337" s="27" t="n">
        <v>45043</v>
      </c>
      <c r="B2337" s="28" t="n">
        <v>2023</v>
      </c>
      <c r="C2337" s="28" t="s">
        <v>198</v>
      </c>
      <c r="D2337" s="28" t="s">
        <v>47</v>
      </c>
      <c r="E2337" s="28" t="s">
        <v>760</v>
      </c>
      <c r="F2337" s="28" t="s">
        <v>142</v>
      </c>
      <c r="G2337" s="28" t="s">
        <v>143</v>
      </c>
      <c r="H2337" s="28" t="s">
        <v>372</v>
      </c>
      <c r="I2337" s="29" t="n">
        <v>660000</v>
      </c>
      <c r="J2337" s="29" t="n">
        <v>495000</v>
      </c>
      <c r="K2337" s="28" t="n">
        <v>9.75</v>
      </c>
      <c r="L2337" s="28" t="n">
        <v>126</v>
      </c>
      <c r="M2337" s="28" t="n">
        <v>28</v>
      </c>
    </row>
    <row r="2338" customFormat="false" ht="15" hidden="false" customHeight="false" outlineLevel="0" collapsed="false">
      <c r="A2338" s="27" t="n">
        <v>45043</v>
      </c>
      <c r="B2338" s="28" t="n">
        <v>2023</v>
      </c>
      <c r="C2338" s="28" t="s">
        <v>203</v>
      </c>
      <c r="D2338" s="28" t="s">
        <v>48</v>
      </c>
      <c r="E2338" s="28" t="s">
        <v>210</v>
      </c>
      <c r="F2338" s="28" t="s">
        <v>142</v>
      </c>
      <c r="G2338" s="28" t="s">
        <v>148</v>
      </c>
      <c r="H2338" s="28" t="s">
        <v>171</v>
      </c>
      <c r="I2338" s="29" t="n">
        <v>123500</v>
      </c>
      <c r="J2338" s="29" t="n">
        <v>104975</v>
      </c>
      <c r="K2338" s="28" t="n">
        <v>11.75</v>
      </c>
      <c r="L2338" s="28" t="n">
        <v>100</v>
      </c>
      <c r="M2338" s="28" t="n">
        <v>4</v>
      </c>
    </row>
    <row r="2339" customFormat="false" ht="15" hidden="false" customHeight="false" outlineLevel="0" collapsed="false">
      <c r="A2339" s="27" t="n">
        <v>45044</v>
      </c>
      <c r="B2339" s="28" t="n">
        <v>2023</v>
      </c>
      <c r="C2339" s="28" t="s">
        <v>249</v>
      </c>
      <c r="D2339" s="28" t="s">
        <v>49</v>
      </c>
      <c r="E2339" s="28" t="s">
        <v>965</v>
      </c>
      <c r="F2339" s="28" t="s">
        <v>142</v>
      </c>
      <c r="G2339" s="28" t="s">
        <v>148</v>
      </c>
      <c r="H2339" s="28" t="s">
        <v>171</v>
      </c>
      <c r="I2339" s="29" t="n">
        <v>150000</v>
      </c>
      <c r="J2339" s="29" t="n">
        <v>127500</v>
      </c>
      <c r="K2339" s="28" t="n">
        <v>11.75</v>
      </c>
      <c r="L2339" s="28" t="n">
        <v>160</v>
      </c>
      <c r="M2339" s="28" t="n">
        <v>31</v>
      </c>
    </row>
    <row r="2340" customFormat="false" ht="15" hidden="false" customHeight="false" outlineLevel="0" collapsed="false">
      <c r="A2340" s="27" t="n">
        <v>45044</v>
      </c>
      <c r="B2340" s="28" t="n">
        <v>2023</v>
      </c>
      <c r="C2340" s="28" t="s">
        <v>166</v>
      </c>
      <c r="D2340" s="28" t="s">
        <v>48</v>
      </c>
      <c r="E2340" s="28" t="s">
        <v>304</v>
      </c>
      <c r="F2340" s="28" t="s">
        <v>142</v>
      </c>
      <c r="G2340" s="28" t="s">
        <v>148</v>
      </c>
      <c r="H2340" s="28" t="s">
        <v>171</v>
      </c>
      <c r="I2340" s="29" t="n">
        <v>94900</v>
      </c>
      <c r="J2340" s="29" t="n">
        <v>80665</v>
      </c>
      <c r="K2340" s="28" t="n">
        <v>11.75</v>
      </c>
      <c r="L2340" s="28" t="n">
        <v>120</v>
      </c>
      <c r="M2340" s="28" t="n">
        <v>0</v>
      </c>
    </row>
    <row r="2341" customFormat="false" ht="15" hidden="false" customHeight="false" outlineLevel="0" collapsed="false">
      <c r="A2341" s="27" t="n">
        <v>45047</v>
      </c>
      <c r="B2341" s="28" t="n">
        <v>2023</v>
      </c>
      <c r="C2341" s="28" t="s">
        <v>310</v>
      </c>
      <c r="D2341" s="28" t="s">
        <v>44</v>
      </c>
      <c r="E2341" s="28" t="s">
        <v>729</v>
      </c>
      <c r="F2341" s="28" t="s">
        <v>283</v>
      </c>
      <c r="G2341" s="28" t="s">
        <v>441</v>
      </c>
      <c r="H2341" s="28" t="s">
        <v>306</v>
      </c>
      <c r="I2341" s="29" t="n">
        <v>25000</v>
      </c>
      <c r="J2341" s="29" t="n">
        <v>21250</v>
      </c>
      <c r="K2341" s="28" t="n">
        <v>9.5</v>
      </c>
      <c r="L2341" s="28" t="n">
        <v>23</v>
      </c>
      <c r="M2341" s="28" t="n">
        <v>3</v>
      </c>
    </row>
    <row r="2342" customFormat="false" ht="15" hidden="false" customHeight="false" outlineLevel="0" collapsed="false">
      <c r="A2342" s="27" t="n">
        <v>45047</v>
      </c>
      <c r="B2342" s="28" t="n">
        <v>2023</v>
      </c>
      <c r="C2342" s="28" t="s">
        <v>160</v>
      </c>
      <c r="D2342" s="28" t="s">
        <v>52</v>
      </c>
      <c r="E2342" s="28" t="s">
        <v>720</v>
      </c>
      <c r="F2342" s="28" t="s">
        <v>142</v>
      </c>
      <c r="G2342" s="28" t="s">
        <v>148</v>
      </c>
      <c r="H2342" s="28" t="s">
        <v>275</v>
      </c>
      <c r="I2342" s="29" t="n">
        <v>350000</v>
      </c>
      <c r="J2342" s="29" t="n">
        <v>262500</v>
      </c>
      <c r="K2342" s="28" t="n">
        <v>10.75</v>
      </c>
      <c r="L2342" s="28" t="n">
        <v>120</v>
      </c>
      <c r="M2342" s="28" t="n">
        <v>6</v>
      </c>
    </row>
    <row r="2343" customFormat="false" ht="15" hidden="false" customHeight="false" outlineLevel="0" collapsed="false">
      <c r="A2343" s="27" t="n">
        <v>45048</v>
      </c>
      <c r="B2343" s="28" t="n">
        <v>2023</v>
      </c>
      <c r="C2343" s="28" t="s">
        <v>216</v>
      </c>
      <c r="D2343" s="28" t="s">
        <v>44</v>
      </c>
      <c r="E2343" s="28" t="s">
        <v>755</v>
      </c>
      <c r="F2343" s="28" t="s">
        <v>147</v>
      </c>
      <c r="G2343" s="28" t="s">
        <v>143</v>
      </c>
      <c r="H2343" s="28" t="s">
        <v>162</v>
      </c>
      <c r="I2343" s="29" t="n">
        <v>325900</v>
      </c>
      <c r="J2343" s="29" t="n">
        <v>162950</v>
      </c>
      <c r="K2343" s="28" t="n">
        <v>4.34</v>
      </c>
      <c r="L2343" s="28" t="n">
        <v>300</v>
      </c>
      <c r="M2343" s="28" t="n">
        <v>11</v>
      </c>
    </row>
    <row r="2344" customFormat="false" ht="15" hidden="false" customHeight="false" outlineLevel="0" collapsed="false">
      <c r="A2344" s="27" t="n">
        <v>45048</v>
      </c>
      <c r="B2344" s="28" t="n">
        <v>2023</v>
      </c>
      <c r="C2344" s="28" t="s">
        <v>166</v>
      </c>
      <c r="D2344" s="28" t="s">
        <v>45</v>
      </c>
      <c r="E2344" s="28" t="s">
        <v>708</v>
      </c>
      <c r="F2344" s="28" t="s">
        <v>147</v>
      </c>
      <c r="G2344" s="28" t="s">
        <v>441</v>
      </c>
      <c r="H2344" s="28" t="s">
        <v>205</v>
      </c>
      <c r="I2344" s="29" t="n">
        <v>60000</v>
      </c>
      <c r="J2344" s="29" t="n">
        <v>30000</v>
      </c>
      <c r="K2344" s="28" t="n">
        <v>12.5</v>
      </c>
      <c r="L2344" s="28" t="n">
        <v>120</v>
      </c>
      <c r="M2344" s="28" t="n">
        <v>1</v>
      </c>
    </row>
    <row r="2345" customFormat="false" ht="15" hidden="false" customHeight="false" outlineLevel="0" collapsed="false">
      <c r="A2345" s="27" t="n">
        <v>45048</v>
      </c>
      <c r="B2345" s="28" t="n">
        <v>2023</v>
      </c>
      <c r="C2345" s="28" t="s">
        <v>243</v>
      </c>
      <c r="D2345" s="28" t="s">
        <v>51</v>
      </c>
      <c r="E2345" s="28" t="s">
        <v>779</v>
      </c>
      <c r="F2345" s="28" t="s">
        <v>147</v>
      </c>
      <c r="G2345" s="28" t="s">
        <v>441</v>
      </c>
      <c r="H2345" s="28" t="s">
        <v>159</v>
      </c>
      <c r="I2345" s="29" t="n">
        <v>350000</v>
      </c>
      <c r="J2345" s="29" t="n">
        <v>175000</v>
      </c>
      <c r="K2345" s="28" t="n">
        <v>9</v>
      </c>
      <c r="L2345" s="28" t="n">
        <v>126</v>
      </c>
      <c r="M2345" s="28" t="n">
        <v>12</v>
      </c>
    </row>
    <row r="2346" customFormat="false" ht="15" hidden="false" customHeight="false" outlineLevel="0" collapsed="false">
      <c r="A2346" s="27" t="n">
        <v>45048</v>
      </c>
      <c r="B2346" s="28" t="n">
        <v>2023</v>
      </c>
      <c r="C2346" s="28" t="s">
        <v>172</v>
      </c>
      <c r="D2346" s="28" t="s">
        <v>42</v>
      </c>
      <c r="E2346" s="28" t="s">
        <v>753</v>
      </c>
      <c r="F2346" s="28" t="s">
        <v>142</v>
      </c>
      <c r="G2346" s="28" t="s">
        <v>143</v>
      </c>
      <c r="H2346" s="28" t="s">
        <v>211</v>
      </c>
      <c r="I2346" s="29" t="n">
        <v>340300</v>
      </c>
      <c r="J2346" s="29" t="n">
        <v>255225</v>
      </c>
      <c r="K2346" s="28" t="n">
        <v>10.75</v>
      </c>
      <c r="L2346" s="28" t="n">
        <v>120</v>
      </c>
      <c r="M2346" s="28" t="n">
        <v>9</v>
      </c>
    </row>
    <row r="2347" customFormat="false" ht="15" hidden="false" customHeight="false" outlineLevel="0" collapsed="false">
      <c r="A2347" s="27" t="n">
        <v>45048</v>
      </c>
      <c r="B2347" s="28" t="n">
        <v>2023</v>
      </c>
      <c r="C2347" s="28" t="s">
        <v>324</v>
      </c>
      <c r="D2347" s="28" t="s">
        <v>42</v>
      </c>
      <c r="E2347" s="28" t="s">
        <v>705</v>
      </c>
      <c r="F2347" s="28" t="s">
        <v>142</v>
      </c>
      <c r="G2347" s="28" t="s">
        <v>152</v>
      </c>
      <c r="H2347" s="28" t="s">
        <v>326</v>
      </c>
      <c r="I2347" s="29" t="n">
        <v>3100000</v>
      </c>
      <c r="J2347" s="29" t="n">
        <v>2325000</v>
      </c>
      <c r="K2347" s="28" t="n">
        <v>9</v>
      </c>
      <c r="L2347" s="28" t="n">
        <v>300</v>
      </c>
      <c r="M2347" s="28" t="n">
        <v>9</v>
      </c>
    </row>
    <row r="2348" customFormat="false" ht="15" hidden="false" customHeight="false" outlineLevel="0" collapsed="false">
      <c r="A2348" s="27" t="n">
        <v>45048</v>
      </c>
      <c r="B2348" s="28" t="n">
        <v>2023</v>
      </c>
      <c r="C2348" s="28" t="s">
        <v>243</v>
      </c>
      <c r="D2348" s="28" t="s">
        <v>51</v>
      </c>
      <c r="E2348" s="28" t="s">
        <v>779</v>
      </c>
      <c r="F2348" s="28" t="s">
        <v>147</v>
      </c>
      <c r="G2348" s="28" t="s">
        <v>441</v>
      </c>
      <c r="H2348" s="28" t="s">
        <v>159</v>
      </c>
      <c r="I2348" s="29" t="n">
        <v>25000</v>
      </c>
      <c r="J2348" s="29" t="n">
        <v>12500</v>
      </c>
      <c r="K2348" s="28" t="n">
        <v>9</v>
      </c>
      <c r="L2348" s="28" t="n">
        <v>120</v>
      </c>
      <c r="M2348" s="28" t="n">
        <v>12</v>
      </c>
    </row>
    <row r="2349" customFormat="false" ht="15" hidden="false" customHeight="false" outlineLevel="0" collapsed="false">
      <c r="A2349" s="27" t="n">
        <v>45049</v>
      </c>
      <c r="B2349" s="28" t="n">
        <v>2023</v>
      </c>
      <c r="C2349" s="28" t="s">
        <v>140</v>
      </c>
      <c r="D2349" s="28" t="s">
        <v>48</v>
      </c>
      <c r="E2349" s="28" t="s">
        <v>840</v>
      </c>
      <c r="F2349" s="28" t="s">
        <v>142</v>
      </c>
      <c r="G2349" s="28" t="s">
        <v>148</v>
      </c>
      <c r="H2349" s="28" t="s">
        <v>577</v>
      </c>
      <c r="I2349" s="29" t="n">
        <v>780000</v>
      </c>
      <c r="J2349" s="29" t="n">
        <v>585000</v>
      </c>
      <c r="K2349" s="28" t="n">
        <v>10.5</v>
      </c>
      <c r="L2349" s="28" t="n">
        <v>120</v>
      </c>
      <c r="M2349" s="28" t="n">
        <v>5</v>
      </c>
    </row>
    <row r="2350" customFormat="false" ht="15" hidden="false" customHeight="false" outlineLevel="0" collapsed="false">
      <c r="A2350" s="27" t="n">
        <v>45049</v>
      </c>
      <c r="B2350" s="28" t="n">
        <v>2023</v>
      </c>
      <c r="C2350" s="28" t="s">
        <v>172</v>
      </c>
      <c r="D2350" s="28" t="s">
        <v>50</v>
      </c>
      <c r="E2350" s="28" t="s">
        <v>193</v>
      </c>
      <c r="F2350" s="28" t="s">
        <v>147</v>
      </c>
      <c r="G2350" s="28" t="s">
        <v>148</v>
      </c>
      <c r="H2350" s="28" t="s">
        <v>162</v>
      </c>
      <c r="I2350" s="29" t="n">
        <v>78900</v>
      </c>
      <c r="J2350" s="29" t="n">
        <v>39450</v>
      </c>
      <c r="K2350" s="28" t="n">
        <v>5.94</v>
      </c>
      <c r="L2350" s="28" t="n">
        <v>120</v>
      </c>
      <c r="M2350" s="28" t="n">
        <v>0</v>
      </c>
    </row>
    <row r="2351" customFormat="false" ht="15" hidden="false" customHeight="false" outlineLevel="0" collapsed="false">
      <c r="A2351" s="27" t="n">
        <v>45049</v>
      </c>
      <c r="B2351" s="28" t="n">
        <v>2023</v>
      </c>
      <c r="C2351" s="28" t="s">
        <v>303</v>
      </c>
      <c r="D2351" s="28" t="s">
        <v>52</v>
      </c>
      <c r="E2351" s="28" t="s">
        <v>742</v>
      </c>
      <c r="F2351" s="28" t="s">
        <v>147</v>
      </c>
      <c r="G2351" s="28" t="s">
        <v>148</v>
      </c>
      <c r="H2351" s="28" t="s">
        <v>220</v>
      </c>
      <c r="I2351" s="29" t="n">
        <v>65000</v>
      </c>
      <c r="J2351" s="29" t="n">
        <v>32500</v>
      </c>
      <c r="K2351" s="28" t="n">
        <v>8.64</v>
      </c>
      <c r="L2351" s="28" t="n">
        <v>60</v>
      </c>
      <c r="M2351" s="28" t="n">
        <v>4</v>
      </c>
    </row>
    <row r="2352" customFormat="false" ht="15" hidden="false" customHeight="false" outlineLevel="0" collapsed="false">
      <c r="A2352" s="27" t="n">
        <v>45049</v>
      </c>
      <c r="B2352" s="28" t="n">
        <v>2023</v>
      </c>
      <c r="C2352" s="28" t="s">
        <v>292</v>
      </c>
      <c r="D2352" s="28" t="s">
        <v>42</v>
      </c>
      <c r="E2352" s="28" t="s">
        <v>784</v>
      </c>
      <c r="F2352" s="28" t="s">
        <v>142</v>
      </c>
      <c r="G2352" s="28" t="s">
        <v>143</v>
      </c>
      <c r="H2352" s="28" t="s">
        <v>382</v>
      </c>
      <c r="I2352" s="29" t="n">
        <v>855000</v>
      </c>
      <c r="J2352" s="29" t="n">
        <v>641250</v>
      </c>
      <c r="K2352" s="28" t="n">
        <v>10.75</v>
      </c>
      <c r="L2352" s="28" t="n">
        <v>126</v>
      </c>
      <c r="M2352" s="28" t="n">
        <v>130</v>
      </c>
    </row>
    <row r="2353" customFormat="false" ht="15" hidden="false" customHeight="false" outlineLevel="0" collapsed="false">
      <c r="A2353" s="27" t="n">
        <v>45049</v>
      </c>
      <c r="B2353" s="28" t="n">
        <v>2023</v>
      </c>
      <c r="C2353" s="28" t="s">
        <v>209</v>
      </c>
      <c r="D2353" s="28" t="s">
        <v>47</v>
      </c>
      <c r="E2353" s="28" t="s">
        <v>966</v>
      </c>
      <c r="F2353" s="28" t="s">
        <v>283</v>
      </c>
      <c r="G2353" s="28" t="s">
        <v>148</v>
      </c>
      <c r="H2353" s="28" t="s">
        <v>799</v>
      </c>
      <c r="I2353" s="29" t="n">
        <v>1650000</v>
      </c>
      <c r="J2353" s="29" t="n">
        <v>1485000</v>
      </c>
      <c r="K2353" s="28" t="n">
        <v>10.5</v>
      </c>
      <c r="L2353" s="28" t="n">
        <v>120</v>
      </c>
      <c r="M2353" s="28" t="n">
        <v>40</v>
      </c>
    </row>
    <row r="2354" customFormat="false" ht="15" hidden="false" customHeight="false" outlineLevel="0" collapsed="false">
      <c r="A2354" s="27" t="n">
        <v>45050</v>
      </c>
      <c r="B2354" s="28" t="n">
        <v>2023</v>
      </c>
      <c r="C2354" s="28" t="s">
        <v>252</v>
      </c>
      <c r="D2354" s="28" t="s">
        <v>46</v>
      </c>
      <c r="E2354" s="28" t="s">
        <v>930</v>
      </c>
      <c r="F2354" s="28" t="s">
        <v>142</v>
      </c>
      <c r="G2354" s="28" t="s">
        <v>152</v>
      </c>
      <c r="H2354" s="28" t="s">
        <v>149</v>
      </c>
      <c r="I2354" s="29" t="n">
        <v>483000</v>
      </c>
      <c r="J2354" s="29" t="n">
        <v>362250</v>
      </c>
      <c r="K2354" s="28" t="n">
        <v>9.5</v>
      </c>
      <c r="L2354" s="28" t="n">
        <v>300</v>
      </c>
      <c r="M2354" s="28" t="n">
        <v>5</v>
      </c>
    </row>
    <row r="2355" customFormat="false" ht="15" hidden="false" customHeight="false" outlineLevel="0" collapsed="false">
      <c r="A2355" s="27" t="n">
        <v>45050</v>
      </c>
      <c r="B2355" s="28" t="n">
        <v>2023</v>
      </c>
      <c r="C2355" s="28" t="s">
        <v>140</v>
      </c>
      <c r="D2355" s="28" t="s">
        <v>42</v>
      </c>
      <c r="E2355" s="28" t="s">
        <v>753</v>
      </c>
      <c r="F2355" s="28" t="s">
        <v>142</v>
      </c>
      <c r="G2355" s="28" t="s">
        <v>441</v>
      </c>
      <c r="H2355" s="28" t="s">
        <v>229</v>
      </c>
      <c r="I2355" s="29" t="n">
        <v>150000</v>
      </c>
      <c r="J2355" s="29" t="n">
        <v>127500</v>
      </c>
      <c r="K2355" s="28" t="n">
        <v>10.75</v>
      </c>
      <c r="L2355" s="28" t="n">
        <v>126</v>
      </c>
      <c r="M2355" s="28" t="n">
        <v>18</v>
      </c>
    </row>
    <row r="2356" customFormat="false" ht="15" hidden="false" customHeight="false" outlineLevel="0" collapsed="false">
      <c r="A2356" s="27" t="n">
        <v>45050</v>
      </c>
      <c r="B2356" s="28" t="n">
        <v>2023</v>
      </c>
      <c r="C2356" s="28" t="s">
        <v>175</v>
      </c>
      <c r="D2356" s="28" t="s">
        <v>48</v>
      </c>
      <c r="E2356" s="28" t="s">
        <v>762</v>
      </c>
      <c r="F2356" s="28" t="s">
        <v>147</v>
      </c>
      <c r="G2356" s="28" t="s">
        <v>441</v>
      </c>
      <c r="H2356" s="28" t="s">
        <v>159</v>
      </c>
      <c r="I2356" s="29" t="n">
        <v>42400</v>
      </c>
      <c r="J2356" s="29" t="n">
        <v>21200</v>
      </c>
      <c r="K2356" s="28" t="n">
        <v>11.5</v>
      </c>
      <c r="L2356" s="28" t="n">
        <v>60</v>
      </c>
      <c r="M2356" s="28" t="n">
        <v>6</v>
      </c>
    </row>
    <row r="2357" customFormat="false" ht="15" hidden="false" customHeight="false" outlineLevel="0" collapsed="false">
      <c r="A2357" s="27" t="n">
        <v>45051</v>
      </c>
      <c r="B2357" s="28" t="n">
        <v>2023</v>
      </c>
      <c r="C2357" s="28" t="s">
        <v>332</v>
      </c>
      <c r="D2357" s="28" t="s">
        <v>46</v>
      </c>
      <c r="E2357" s="28" t="s">
        <v>727</v>
      </c>
      <c r="F2357" s="28" t="s">
        <v>194</v>
      </c>
      <c r="G2357" s="28" t="s">
        <v>143</v>
      </c>
      <c r="H2357" s="28" t="s">
        <v>391</v>
      </c>
      <c r="I2357" s="29" t="n">
        <v>165000</v>
      </c>
      <c r="J2357" s="29" t="n">
        <v>123750</v>
      </c>
      <c r="K2357" s="28" t="n">
        <v>9.71</v>
      </c>
      <c r="L2357" s="28" t="n">
        <v>84</v>
      </c>
      <c r="M2357" s="28" t="n">
        <v>7</v>
      </c>
    </row>
    <row r="2358" customFormat="false" ht="15" hidden="false" customHeight="false" outlineLevel="0" collapsed="false">
      <c r="A2358" s="27" t="n">
        <v>45054</v>
      </c>
      <c r="B2358" s="28" t="n">
        <v>2023</v>
      </c>
      <c r="C2358" s="28" t="s">
        <v>140</v>
      </c>
      <c r="D2358" s="28" t="s">
        <v>50</v>
      </c>
      <c r="E2358" s="28" t="s">
        <v>724</v>
      </c>
      <c r="F2358" s="28" t="s">
        <v>142</v>
      </c>
      <c r="G2358" s="28" t="s">
        <v>148</v>
      </c>
      <c r="H2358" s="28" t="s">
        <v>953</v>
      </c>
      <c r="I2358" s="29" t="n">
        <v>150000</v>
      </c>
      <c r="J2358" s="29" t="n">
        <v>127500</v>
      </c>
      <c r="K2358" s="28" t="n">
        <v>11</v>
      </c>
      <c r="L2358" s="28" t="n">
        <v>120</v>
      </c>
      <c r="M2358" s="28" t="n">
        <v>25</v>
      </c>
    </row>
    <row r="2359" customFormat="false" ht="15" hidden="false" customHeight="false" outlineLevel="0" collapsed="false">
      <c r="A2359" s="27" t="n">
        <v>45054</v>
      </c>
      <c r="B2359" s="28" t="n">
        <v>2023</v>
      </c>
      <c r="C2359" s="28" t="s">
        <v>163</v>
      </c>
      <c r="D2359" s="28" t="s">
        <v>44</v>
      </c>
      <c r="E2359" s="28" t="s">
        <v>863</v>
      </c>
      <c r="F2359" s="28" t="s">
        <v>142</v>
      </c>
      <c r="G2359" s="28" t="s">
        <v>152</v>
      </c>
      <c r="H2359" s="28" t="s">
        <v>287</v>
      </c>
      <c r="I2359" s="29" t="n">
        <v>1373000</v>
      </c>
      <c r="J2359" s="29" t="n">
        <v>1029750</v>
      </c>
      <c r="K2359" s="28" t="n">
        <v>10.75</v>
      </c>
      <c r="L2359" s="28" t="n">
        <v>120</v>
      </c>
      <c r="M2359" s="28" t="n">
        <v>24</v>
      </c>
    </row>
    <row r="2360" customFormat="false" ht="15" hidden="false" customHeight="false" outlineLevel="0" collapsed="false">
      <c r="A2360" s="27" t="n">
        <v>45055</v>
      </c>
      <c r="B2360" s="28" t="n">
        <v>2023</v>
      </c>
      <c r="C2360" s="28" t="s">
        <v>292</v>
      </c>
      <c r="D2360" s="28" t="s">
        <v>56</v>
      </c>
      <c r="E2360" s="28" t="s">
        <v>772</v>
      </c>
      <c r="F2360" s="28" t="s">
        <v>147</v>
      </c>
      <c r="G2360" s="28" t="s">
        <v>148</v>
      </c>
      <c r="H2360" s="28" t="s">
        <v>482</v>
      </c>
      <c r="I2360" s="29" t="n">
        <v>50000</v>
      </c>
      <c r="J2360" s="29" t="n">
        <v>25000</v>
      </c>
      <c r="K2360" s="28" t="n">
        <v>9</v>
      </c>
      <c r="L2360" s="28" t="n">
        <v>72</v>
      </c>
      <c r="M2360" s="28" t="n">
        <v>60</v>
      </c>
    </row>
    <row r="2361" customFormat="false" ht="15" hidden="false" customHeight="false" outlineLevel="0" collapsed="false">
      <c r="A2361" s="27" t="n">
        <v>45055</v>
      </c>
      <c r="B2361" s="28" t="n">
        <v>2023</v>
      </c>
      <c r="C2361" s="28" t="s">
        <v>163</v>
      </c>
      <c r="D2361" s="28" t="s">
        <v>43</v>
      </c>
      <c r="E2361" s="28" t="s">
        <v>967</v>
      </c>
      <c r="F2361" s="28" t="s">
        <v>147</v>
      </c>
      <c r="G2361" s="28" t="s">
        <v>143</v>
      </c>
      <c r="H2361" s="28" t="s">
        <v>953</v>
      </c>
      <c r="I2361" s="29" t="n">
        <v>50000</v>
      </c>
      <c r="J2361" s="29" t="n">
        <v>25000</v>
      </c>
      <c r="K2361" s="28" t="n">
        <v>14.5</v>
      </c>
      <c r="L2361" s="28" t="n">
        <v>120</v>
      </c>
      <c r="M2361" s="28" t="n">
        <v>2</v>
      </c>
    </row>
    <row r="2362" customFormat="false" ht="15" hidden="false" customHeight="false" outlineLevel="0" collapsed="false">
      <c r="A2362" s="27" t="n">
        <v>45055</v>
      </c>
      <c r="B2362" s="28" t="n">
        <v>2023</v>
      </c>
      <c r="C2362" s="28" t="s">
        <v>201</v>
      </c>
      <c r="D2362" s="28" t="s">
        <v>53</v>
      </c>
      <c r="E2362" s="28" t="s">
        <v>968</v>
      </c>
      <c r="F2362" s="28" t="s">
        <v>147</v>
      </c>
      <c r="G2362" s="28" t="s">
        <v>441</v>
      </c>
      <c r="H2362" s="28" t="s">
        <v>168</v>
      </c>
      <c r="I2362" s="29" t="n">
        <v>15000</v>
      </c>
      <c r="J2362" s="29" t="n">
        <v>7500</v>
      </c>
      <c r="K2362" s="28" t="n">
        <v>12.5</v>
      </c>
      <c r="L2362" s="28" t="n">
        <v>120</v>
      </c>
      <c r="M2362" s="28" t="n">
        <v>8</v>
      </c>
    </row>
    <row r="2363" customFormat="false" ht="15" hidden="false" customHeight="false" outlineLevel="0" collapsed="false">
      <c r="A2363" s="27" t="n">
        <v>45055</v>
      </c>
      <c r="B2363" s="28" t="n">
        <v>2023</v>
      </c>
      <c r="C2363" s="28" t="s">
        <v>163</v>
      </c>
      <c r="D2363" s="28" t="s">
        <v>46</v>
      </c>
      <c r="E2363" s="28" t="s">
        <v>702</v>
      </c>
      <c r="F2363" s="28" t="s">
        <v>142</v>
      </c>
      <c r="G2363" s="28" t="s">
        <v>441</v>
      </c>
      <c r="H2363" s="28" t="s">
        <v>969</v>
      </c>
      <c r="I2363" s="29" t="n">
        <v>1403000</v>
      </c>
      <c r="J2363" s="29" t="n">
        <v>1052250</v>
      </c>
      <c r="K2363" s="28" t="n">
        <v>9.75</v>
      </c>
      <c r="L2363" s="28" t="n">
        <v>129</v>
      </c>
      <c r="M2363" s="28" t="n">
        <v>22</v>
      </c>
    </row>
    <row r="2364" customFormat="false" ht="15" hidden="false" customHeight="false" outlineLevel="0" collapsed="false">
      <c r="A2364" s="27" t="n">
        <v>45056</v>
      </c>
      <c r="B2364" s="28" t="n">
        <v>2023</v>
      </c>
      <c r="C2364" s="28" t="s">
        <v>310</v>
      </c>
      <c r="D2364" s="28" t="s">
        <v>44</v>
      </c>
      <c r="E2364" s="28" t="s">
        <v>759</v>
      </c>
      <c r="F2364" s="28" t="s">
        <v>147</v>
      </c>
      <c r="G2364" s="28" t="s">
        <v>148</v>
      </c>
      <c r="H2364" s="28" t="s">
        <v>306</v>
      </c>
      <c r="I2364" s="29" t="n">
        <v>74200</v>
      </c>
      <c r="J2364" s="29" t="n">
        <v>37100</v>
      </c>
      <c r="K2364" s="28" t="n">
        <v>8.15</v>
      </c>
      <c r="L2364" s="28" t="n">
        <v>60</v>
      </c>
      <c r="M2364" s="28" t="n">
        <v>13</v>
      </c>
    </row>
    <row r="2365" customFormat="false" ht="15" hidden="false" customHeight="false" outlineLevel="0" collapsed="false">
      <c r="A2365" s="27" t="n">
        <v>45056</v>
      </c>
      <c r="B2365" s="28" t="n">
        <v>2023</v>
      </c>
      <c r="C2365" s="28" t="s">
        <v>166</v>
      </c>
      <c r="D2365" s="28" t="s">
        <v>47</v>
      </c>
      <c r="E2365" s="28" t="s">
        <v>898</v>
      </c>
      <c r="F2365" s="28" t="s">
        <v>142</v>
      </c>
      <c r="G2365" s="28" t="s">
        <v>441</v>
      </c>
      <c r="H2365" s="28" t="s">
        <v>953</v>
      </c>
      <c r="I2365" s="29" t="n">
        <v>140000</v>
      </c>
      <c r="J2365" s="29" t="n">
        <v>119000</v>
      </c>
      <c r="K2365" s="28" t="n">
        <v>11</v>
      </c>
      <c r="L2365" s="28" t="n">
        <v>120</v>
      </c>
      <c r="M2365" s="28" t="n">
        <v>2</v>
      </c>
    </row>
    <row r="2366" customFormat="false" ht="15" hidden="false" customHeight="false" outlineLevel="0" collapsed="false">
      <c r="A2366" s="27" t="n">
        <v>45057</v>
      </c>
      <c r="B2366" s="28" t="n">
        <v>2023</v>
      </c>
      <c r="C2366" s="28" t="s">
        <v>145</v>
      </c>
      <c r="D2366" s="28" t="s">
        <v>48</v>
      </c>
      <c r="E2366" s="28" t="s">
        <v>277</v>
      </c>
      <c r="F2366" s="28" t="s">
        <v>142</v>
      </c>
      <c r="G2366" s="28" t="s">
        <v>148</v>
      </c>
      <c r="H2366" s="28" t="s">
        <v>144</v>
      </c>
      <c r="I2366" s="29" t="n">
        <v>1200000</v>
      </c>
      <c r="J2366" s="29" t="n">
        <v>900000</v>
      </c>
      <c r="K2366" s="28" t="n">
        <v>8.75</v>
      </c>
      <c r="L2366" s="28" t="n">
        <v>102</v>
      </c>
      <c r="M2366" s="28" t="n">
        <v>35</v>
      </c>
    </row>
    <row r="2367" customFormat="false" ht="15" hidden="false" customHeight="false" outlineLevel="0" collapsed="false">
      <c r="A2367" s="27" t="n">
        <v>45057</v>
      </c>
      <c r="B2367" s="28" t="n">
        <v>2023</v>
      </c>
      <c r="C2367" s="28" t="s">
        <v>145</v>
      </c>
      <c r="D2367" s="28" t="s">
        <v>48</v>
      </c>
      <c r="E2367" s="28" t="s">
        <v>277</v>
      </c>
      <c r="F2367" s="28" t="s">
        <v>147</v>
      </c>
      <c r="G2367" s="28" t="s">
        <v>148</v>
      </c>
      <c r="H2367" s="28" t="s">
        <v>144</v>
      </c>
      <c r="I2367" s="29" t="n">
        <v>500000</v>
      </c>
      <c r="J2367" s="29" t="n">
        <v>250000</v>
      </c>
      <c r="K2367" s="28" t="n">
        <v>8.75</v>
      </c>
      <c r="L2367" s="28" t="n">
        <v>102</v>
      </c>
      <c r="M2367" s="28" t="n">
        <v>35</v>
      </c>
    </row>
    <row r="2368" customFormat="false" ht="15" hidden="false" customHeight="false" outlineLevel="0" collapsed="false">
      <c r="A2368" s="27" t="n">
        <v>45057</v>
      </c>
      <c r="B2368" s="28" t="n">
        <v>2023</v>
      </c>
      <c r="C2368" s="28" t="s">
        <v>172</v>
      </c>
      <c r="D2368" s="28" t="s">
        <v>48</v>
      </c>
      <c r="E2368" s="28" t="s">
        <v>736</v>
      </c>
      <c r="F2368" s="28" t="s">
        <v>147</v>
      </c>
      <c r="G2368" s="28" t="s">
        <v>148</v>
      </c>
      <c r="H2368" s="28" t="s">
        <v>162</v>
      </c>
      <c r="I2368" s="29" t="n">
        <v>420000</v>
      </c>
      <c r="J2368" s="29" t="n">
        <v>210000</v>
      </c>
      <c r="K2368" s="28" t="n">
        <v>11</v>
      </c>
      <c r="L2368" s="28" t="n">
        <v>120</v>
      </c>
      <c r="M2368" s="28" t="n">
        <v>9</v>
      </c>
    </row>
    <row r="2369" customFormat="false" ht="15" hidden="false" customHeight="false" outlineLevel="0" collapsed="false">
      <c r="A2369" s="27" t="n">
        <v>45057</v>
      </c>
      <c r="B2369" s="28" t="n">
        <v>2023</v>
      </c>
      <c r="C2369" s="28" t="s">
        <v>421</v>
      </c>
      <c r="D2369" s="28" t="s">
        <v>47</v>
      </c>
      <c r="E2369" s="28" t="s">
        <v>284</v>
      </c>
      <c r="F2369" s="28" t="s">
        <v>194</v>
      </c>
      <c r="G2369" s="28" t="s">
        <v>152</v>
      </c>
      <c r="H2369" s="28" t="s">
        <v>144</v>
      </c>
      <c r="I2369" s="29" t="n">
        <v>725000</v>
      </c>
      <c r="J2369" s="29" t="n">
        <v>543750</v>
      </c>
      <c r="K2369" s="28" t="n">
        <v>10</v>
      </c>
      <c r="L2369" s="28" t="n">
        <v>120</v>
      </c>
      <c r="M2369" s="28" t="n">
        <v>16</v>
      </c>
    </row>
    <row r="2370" customFormat="false" ht="15" hidden="false" customHeight="false" outlineLevel="0" collapsed="false">
      <c r="A2370" s="27" t="n">
        <v>45058</v>
      </c>
      <c r="B2370" s="28" t="n">
        <v>2023</v>
      </c>
      <c r="C2370" s="28" t="s">
        <v>332</v>
      </c>
      <c r="D2370" s="28" t="s">
        <v>45</v>
      </c>
      <c r="E2370" s="28" t="s">
        <v>222</v>
      </c>
      <c r="F2370" s="28" t="s">
        <v>147</v>
      </c>
      <c r="G2370" s="28" t="s">
        <v>143</v>
      </c>
      <c r="H2370" s="28" t="s">
        <v>159</v>
      </c>
      <c r="I2370" s="29" t="n">
        <v>125000</v>
      </c>
      <c r="J2370" s="29" t="n">
        <v>62500</v>
      </c>
      <c r="K2370" s="28" t="n">
        <v>10.25</v>
      </c>
      <c r="L2370" s="28" t="n">
        <v>84</v>
      </c>
      <c r="M2370" s="28" t="n">
        <v>0</v>
      </c>
    </row>
    <row r="2371" customFormat="false" ht="15" hidden="false" customHeight="false" outlineLevel="0" collapsed="false">
      <c r="A2371" s="27" t="n">
        <v>45058</v>
      </c>
      <c r="B2371" s="28" t="n">
        <v>2023</v>
      </c>
      <c r="C2371" s="28" t="s">
        <v>169</v>
      </c>
      <c r="D2371" s="28" t="s">
        <v>46</v>
      </c>
      <c r="E2371" s="28" t="s">
        <v>770</v>
      </c>
      <c r="F2371" s="28" t="s">
        <v>142</v>
      </c>
      <c r="G2371" s="28" t="s">
        <v>148</v>
      </c>
      <c r="H2371" s="28" t="s">
        <v>211</v>
      </c>
      <c r="I2371" s="29" t="n">
        <v>460000</v>
      </c>
      <c r="J2371" s="29" t="n">
        <v>345000</v>
      </c>
      <c r="K2371" s="28" t="n">
        <v>11</v>
      </c>
      <c r="L2371" s="28" t="n">
        <v>129</v>
      </c>
      <c r="M2371" s="28" t="n">
        <v>10</v>
      </c>
    </row>
    <row r="2372" customFormat="false" ht="15" hidden="false" customHeight="false" outlineLevel="0" collapsed="false">
      <c r="A2372" s="27" t="n">
        <v>45058</v>
      </c>
      <c r="B2372" s="28" t="n">
        <v>2023</v>
      </c>
      <c r="C2372" s="28" t="s">
        <v>172</v>
      </c>
      <c r="D2372" s="28" t="s">
        <v>42</v>
      </c>
      <c r="E2372" s="28" t="s">
        <v>753</v>
      </c>
      <c r="F2372" s="28" t="s">
        <v>142</v>
      </c>
      <c r="G2372" s="28" t="s">
        <v>143</v>
      </c>
      <c r="H2372" s="28" t="s">
        <v>211</v>
      </c>
      <c r="I2372" s="29" t="n">
        <v>350000</v>
      </c>
      <c r="J2372" s="29" t="n">
        <v>262500</v>
      </c>
      <c r="K2372" s="28" t="n">
        <v>10.5</v>
      </c>
      <c r="L2372" s="28" t="n">
        <v>126</v>
      </c>
      <c r="M2372" s="28" t="n">
        <v>46</v>
      </c>
    </row>
    <row r="2373" customFormat="false" ht="15" hidden="false" customHeight="false" outlineLevel="0" collapsed="false">
      <c r="A2373" s="27" t="n">
        <v>45058</v>
      </c>
      <c r="B2373" s="28" t="n">
        <v>2023</v>
      </c>
      <c r="C2373" s="28" t="s">
        <v>332</v>
      </c>
      <c r="D2373" s="28" t="s">
        <v>45</v>
      </c>
      <c r="E2373" s="28" t="s">
        <v>222</v>
      </c>
      <c r="F2373" s="28" t="s">
        <v>147</v>
      </c>
      <c r="G2373" s="28" t="s">
        <v>143</v>
      </c>
      <c r="H2373" s="28" t="s">
        <v>159</v>
      </c>
      <c r="I2373" s="29" t="n">
        <v>125000</v>
      </c>
      <c r="J2373" s="29" t="n">
        <v>62500</v>
      </c>
      <c r="K2373" s="28" t="n">
        <v>10</v>
      </c>
      <c r="L2373" s="28" t="n">
        <v>120</v>
      </c>
      <c r="M2373" s="28" t="n">
        <v>0</v>
      </c>
    </row>
    <row r="2374" customFormat="false" ht="15" hidden="false" customHeight="false" outlineLevel="0" collapsed="false">
      <c r="A2374" s="27" t="n">
        <v>45058</v>
      </c>
      <c r="B2374" s="28" t="n">
        <v>2023</v>
      </c>
      <c r="C2374" s="28" t="s">
        <v>172</v>
      </c>
      <c r="D2374" s="28" t="s">
        <v>48</v>
      </c>
      <c r="E2374" s="28" t="s">
        <v>765</v>
      </c>
      <c r="F2374" s="28" t="s">
        <v>142</v>
      </c>
      <c r="G2374" s="28" t="s">
        <v>441</v>
      </c>
      <c r="H2374" s="28" t="s">
        <v>278</v>
      </c>
      <c r="I2374" s="29" t="n">
        <v>350000</v>
      </c>
      <c r="J2374" s="29" t="n">
        <v>262500</v>
      </c>
      <c r="K2374" s="28" t="n">
        <v>10.75</v>
      </c>
      <c r="L2374" s="28" t="n">
        <v>120</v>
      </c>
      <c r="M2374" s="28" t="n">
        <v>9</v>
      </c>
    </row>
    <row r="2375" customFormat="false" ht="15" hidden="false" customHeight="false" outlineLevel="0" collapsed="false">
      <c r="A2375" s="27" t="n">
        <v>45058</v>
      </c>
      <c r="B2375" s="28" t="n">
        <v>2023</v>
      </c>
      <c r="C2375" s="28" t="s">
        <v>169</v>
      </c>
      <c r="D2375" s="28" t="s">
        <v>46</v>
      </c>
      <c r="E2375" s="28" t="s">
        <v>770</v>
      </c>
      <c r="F2375" s="28" t="s">
        <v>147</v>
      </c>
      <c r="G2375" s="28" t="s">
        <v>143</v>
      </c>
      <c r="H2375" s="28" t="s">
        <v>211</v>
      </c>
      <c r="I2375" s="29" t="n">
        <v>40000</v>
      </c>
      <c r="J2375" s="29" t="n">
        <v>20000</v>
      </c>
      <c r="K2375" s="28" t="n">
        <v>11</v>
      </c>
      <c r="L2375" s="28" t="n">
        <v>120</v>
      </c>
      <c r="M2375" s="28" t="n">
        <v>10</v>
      </c>
    </row>
    <row r="2376" customFormat="false" ht="15" hidden="false" customHeight="false" outlineLevel="0" collapsed="false">
      <c r="A2376" s="27" t="n">
        <v>45058</v>
      </c>
      <c r="B2376" s="28" t="n">
        <v>2023</v>
      </c>
      <c r="C2376" s="28" t="s">
        <v>421</v>
      </c>
      <c r="D2376" s="28" t="s">
        <v>47</v>
      </c>
      <c r="E2376" s="28" t="s">
        <v>284</v>
      </c>
      <c r="F2376" s="28" t="s">
        <v>147</v>
      </c>
      <c r="G2376" s="28" t="s">
        <v>152</v>
      </c>
      <c r="H2376" s="28" t="s">
        <v>144</v>
      </c>
      <c r="I2376" s="29" t="n">
        <v>150000</v>
      </c>
      <c r="J2376" s="29" t="n">
        <v>75000</v>
      </c>
      <c r="K2376" s="28" t="n">
        <v>10</v>
      </c>
      <c r="L2376" s="28" t="n">
        <v>120</v>
      </c>
      <c r="M2376" s="28" t="n">
        <v>16</v>
      </c>
    </row>
    <row r="2377" customFormat="false" ht="15" hidden="false" customHeight="false" outlineLevel="0" collapsed="false">
      <c r="A2377" s="27" t="n">
        <v>45061</v>
      </c>
      <c r="B2377" s="28" t="n">
        <v>2023</v>
      </c>
      <c r="C2377" s="28" t="s">
        <v>206</v>
      </c>
      <c r="D2377" s="28" t="s">
        <v>48</v>
      </c>
      <c r="E2377" s="28" t="s">
        <v>342</v>
      </c>
      <c r="F2377" s="28" t="s">
        <v>147</v>
      </c>
      <c r="G2377" s="28" t="s">
        <v>148</v>
      </c>
      <c r="H2377" s="28" t="s">
        <v>428</v>
      </c>
      <c r="I2377" s="29" t="n">
        <v>75000</v>
      </c>
      <c r="J2377" s="29" t="n">
        <v>37500</v>
      </c>
      <c r="K2377" s="28" t="n">
        <v>13.2</v>
      </c>
      <c r="L2377" s="28" t="n">
        <v>120</v>
      </c>
      <c r="M2377" s="28" t="n">
        <v>5</v>
      </c>
    </row>
    <row r="2378" customFormat="false" ht="15" hidden="false" customHeight="false" outlineLevel="0" collapsed="false">
      <c r="A2378" s="27" t="n">
        <v>45062</v>
      </c>
      <c r="B2378" s="28" t="n">
        <v>2023</v>
      </c>
      <c r="C2378" s="28" t="s">
        <v>235</v>
      </c>
      <c r="D2378" s="28" t="s">
        <v>48</v>
      </c>
      <c r="E2378" s="28" t="s">
        <v>277</v>
      </c>
      <c r="F2378" s="28" t="s">
        <v>142</v>
      </c>
      <c r="G2378" s="28" t="s">
        <v>148</v>
      </c>
      <c r="H2378" s="28" t="s">
        <v>388</v>
      </c>
      <c r="I2378" s="29" t="n">
        <v>686000</v>
      </c>
      <c r="J2378" s="29" t="n">
        <v>514500</v>
      </c>
      <c r="K2378" s="28" t="n">
        <v>10.75</v>
      </c>
      <c r="L2378" s="28" t="n">
        <v>120</v>
      </c>
      <c r="M2378" s="28" t="n">
        <v>3</v>
      </c>
    </row>
    <row r="2379" customFormat="false" ht="15" hidden="false" customHeight="false" outlineLevel="0" collapsed="false">
      <c r="A2379" s="27" t="n">
        <v>45062</v>
      </c>
      <c r="B2379" s="28" t="n">
        <v>2023</v>
      </c>
      <c r="C2379" s="28" t="s">
        <v>169</v>
      </c>
      <c r="D2379" s="28" t="s">
        <v>43</v>
      </c>
      <c r="E2379" s="28" t="s">
        <v>893</v>
      </c>
      <c r="F2379" s="28" t="s">
        <v>142</v>
      </c>
      <c r="G2379" s="28" t="s">
        <v>143</v>
      </c>
      <c r="H2379" s="28" t="s">
        <v>325</v>
      </c>
      <c r="I2379" s="29" t="n">
        <v>225000</v>
      </c>
      <c r="J2379" s="29" t="n">
        <v>168750</v>
      </c>
      <c r="K2379" s="28" t="n">
        <v>10</v>
      </c>
      <c r="L2379" s="28" t="n">
        <v>120</v>
      </c>
      <c r="M2379" s="28" t="n">
        <v>3</v>
      </c>
    </row>
    <row r="2380" customFormat="false" ht="15" hidden="false" customHeight="false" outlineLevel="0" collapsed="false">
      <c r="A2380" s="27" t="n">
        <v>45063</v>
      </c>
      <c r="B2380" s="28" t="n">
        <v>2023</v>
      </c>
      <c r="C2380" s="28" t="s">
        <v>970</v>
      </c>
      <c r="D2380" s="28" t="s">
        <v>47</v>
      </c>
      <c r="E2380" s="28" t="s">
        <v>921</v>
      </c>
      <c r="F2380" s="28" t="s">
        <v>142</v>
      </c>
      <c r="G2380" s="28" t="s">
        <v>148</v>
      </c>
      <c r="H2380" s="28" t="s">
        <v>171</v>
      </c>
      <c r="I2380" s="29" t="n">
        <v>150000</v>
      </c>
      <c r="J2380" s="29" t="n">
        <v>127500</v>
      </c>
      <c r="K2380" s="28" t="n">
        <v>11.75</v>
      </c>
      <c r="L2380" s="28" t="n">
        <v>120</v>
      </c>
      <c r="M2380" s="28" t="n">
        <v>1</v>
      </c>
    </row>
    <row r="2381" customFormat="false" ht="15" hidden="false" customHeight="false" outlineLevel="0" collapsed="false">
      <c r="A2381" s="27" t="n">
        <v>45064</v>
      </c>
      <c r="B2381" s="28" t="n">
        <v>2023</v>
      </c>
      <c r="C2381" s="28" t="s">
        <v>163</v>
      </c>
      <c r="D2381" s="28" t="s">
        <v>44</v>
      </c>
      <c r="E2381" s="28" t="s">
        <v>167</v>
      </c>
      <c r="F2381" s="28" t="s">
        <v>142</v>
      </c>
      <c r="G2381" s="28" t="s">
        <v>148</v>
      </c>
      <c r="H2381" s="28" t="s">
        <v>191</v>
      </c>
      <c r="I2381" s="29" t="n">
        <v>730000</v>
      </c>
      <c r="J2381" s="29" t="n">
        <v>547500</v>
      </c>
      <c r="K2381" s="28" t="n">
        <v>7.5</v>
      </c>
      <c r="L2381" s="28" t="n">
        <v>300</v>
      </c>
      <c r="M2381" s="28" t="n">
        <v>2</v>
      </c>
    </row>
    <row r="2382" customFormat="false" ht="15" hidden="false" customHeight="false" outlineLevel="0" collapsed="false">
      <c r="A2382" s="27" t="n">
        <v>45064</v>
      </c>
      <c r="B2382" s="28" t="n">
        <v>2023</v>
      </c>
      <c r="C2382" s="28" t="s">
        <v>353</v>
      </c>
      <c r="D2382" s="28" t="s">
        <v>52</v>
      </c>
      <c r="E2382" s="28" t="s">
        <v>731</v>
      </c>
      <c r="F2382" s="28" t="s">
        <v>147</v>
      </c>
      <c r="G2382" s="28" t="s">
        <v>441</v>
      </c>
      <c r="H2382" s="28" t="s">
        <v>220</v>
      </c>
      <c r="I2382" s="29" t="n">
        <v>30600</v>
      </c>
      <c r="J2382" s="29" t="n">
        <v>15300</v>
      </c>
      <c r="K2382" s="28" t="n">
        <v>11.29</v>
      </c>
      <c r="L2382" s="28" t="n">
        <v>60</v>
      </c>
      <c r="M2382" s="28" t="n">
        <v>2</v>
      </c>
    </row>
    <row r="2383" customFormat="false" ht="15" hidden="false" customHeight="false" outlineLevel="0" collapsed="false">
      <c r="A2383" s="27" t="n">
        <v>45064</v>
      </c>
      <c r="B2383" s="28" t="n">
        <v>2023</v>
      </c>
      <c r="C2383" s="28" t="s">
        <v>175</v>
      </c>
      <c r="D2383" s="28" t="s">
        <v>42</v>
      </c>
      <c r="E2383" s="28" t="s">
        <v>784</v>
      </c>
      <c r="F2383" s="28" t="s">
        <v>142</v>
      </c>
      <c r="G2383" s="28" t="s">
        <v>143</v>
      </c>
      <c r="H2383" s="28" t="s">
        <v>416</v>
      </c>
      <c r="I2383" s="29" t="n">
        <v>350000</v>
      </c>
      <c r="J2383" s="29" t="n">
        <v>262500</v>
      </c>
      <c r="K2383" s="28" t="n">
        <v>10.5</v>
      </c>
      <c r="L2383" s="28" t="n">
        <v>126</v>
      </c>
      <c r="M2383" s="28" t="n">
        <v>13</v>
      </c>
    </row>
    <row r="2384" customFormat="false" ht="15" hidden="false" customHeight="false" outlineLevel="0" collapsed="false">
      <c r="A2384" s="27" t="n">
        <v>45064</v>
      </c>
      <c r="B2384" s="28" t="n">
        <v>2023</v>
      </c>
      <c r="C2384" s="28" t="s">
        <v>252</v>
      </c>
      <c r="D2384" s="28" t="s">
        <v>47</v>
      </c>
      <c r="E2384" s="28" t="s">
        <v>373</v>
      </c>
      <c r="F2384" s="28" t="s">
        <v>194</v>
      </c>
      <c r="G2384" s="28" t="s">
        <v>441</v>
      </c>
      <c r="H2384" s="28" t="s">
        <v>605</v>
      </c>
      <c r="I2384" s="29" t="n">
        <v>191000</v>
      </c>
      <c r="J2384" s="29" t="n">
        <v>143250</v>
      </c>
      <c r="K2384" s="28" t="n">
        <v>10.75</v>
      </c>
      <c r="L2384" s="28" t="n">
        <v>120</v>
      </c>
      <c r="M2384" s="28" t="n">
        <v>16</v>
      </c>
    </row>
    <row r="2385" customFormat="false" ht="15" hidden="false" customHeight="false" outlineLevel="0" collapsed="false">
      <c r="A2385" s="27" t="n">
        <v>45065</v>
      </c>
      <c r="B2385" s="28" t="n">
        <v>2023</v>
      </c>
      <c r="C2385" s="28" t="s">
        <v>230</v>
      </c>
      <c r="D2385" s="28" t="s">
        <v>42</v>
      </c>
      <c r="E2385" s="28" t="s">
        <v>753</v>
      </c>
      <c r="F2385" s="28" t="s">
        <v>142</v>
      </c>
      <c r="G2385" s="28" t="s">
        <v>152</v>
      </c>
      <c r="H2385" s="28" t="s">
        <v>971</v>
      </c>
      <c r="I2385" s="29" t="n">
        <v>2853000</v>
      </c>
      <c r="J2385" s="29" t="n">
        <v>2139750</v>
      </c>
      <c r="K2385" s="28" t="n">
        <v>10</v>
      </c>
      <c r="L2385" s="28" t="n">
        <v>120</v>
      </c>
      <c r="M2385" s="28" t="n">
        <v>82</v>
      </c>
    </row>
    <row r="2386" customFormat="false" ht="15" hidden="false" customHeight="false" outlineLevel="0" collapsed="false">
      <c r="A2386" s="27" t="n">
        <v>45065</v>
      </c>
      <c r="B2386" s="28" t="n">
        <v>2023</v>
      </c>
      <c r="C2386" s="28" t="s">
        <v>344</v>
      </c>
      <c r="D2386" s="28" t="s">
        <v>45</v>
      </c>
      <c r="E2386" s="28" t="s">
        <v>708</v>
      </c>
      <c r="F2386" s="28" t="s">
        <v>142</v>
      </c>
      <c r="G2386" s="28" t="s">
        <v>143</v>
      </c>
      <c r="H2386" s="28" t="s">
        <v>287</v>
      </c>
      <c r="I2386" s="29" t="n">
        <v>150000</v>
      </c>
      <c r="J2386" s="29" t="n">
        <v>127500</v>
      </c>
      <c r="K2386" s="28" t="n">
        <v>10.75</v>
      </c>
      <c r="L2386" s="28" t="n">
        <v>120</v>
      </c>
      <c r="M2386" s="28" t="n">
        <v>3</v>
      </c>
    </row>
    <row r="2387" customFormat="false" ht="15" hidden="false" customHeight="false" outlineLevel="0" collapsed="false">
      <c r="A2387" s="27" t="n">
        <v>45065</v>
      </c>
      <c r="B2387" s="28" t="n">
        <v>2023</v>
      </c>
      <c r="C2387" s="28" t="s">
        <v>163</v>
      </c>
      <c r="D2387" s="28" t="s">
        <v>42</v>
      </c>
      <c r="E2387" s="28" t="s">
        <v>753</v>
      </c>
      <c r="F2387" s="28" t="s">
        <v>142</v>
      </c>
      <c r="G2387" s="28" t="s">
        <v>152</v>
      </c>
      <c r="H2387" s="28" t="s">
        <v>971</v>
      </c>
      <c r="I2387" s="29" t="n">
        <v>3700000</v>
      </c>
      <c r="J2387" s="29" t="n">
        <v>2775000</v>
      </c>
      <c r="K2387" s="28" t="n">
        <v>10</v>
      </c>
      <c r="L2387" s="28" t="n">
        <v>168</v>
      </c>
      <c r="M2387" s="28" t="n">
        <v>82</v>
      </c>
    </row>
    <row r="2388" customFormat="false" ht="15" hidden="false" customHeight="false" outlineLevel="0" collapsed="false">
      <c r="A2388" s="27" t="n">
        <v>45065</v>
      </c>
      <c r="B2388" s="28" t="n">
        <v>2023</v>
      </c>
      <c r="C2388" s="28" t="s">
        <v>172</v>
      </c>
      <c r="D2388" s="28" t="s">
        <v>42</v>
      </c>
      <c r="E2388" s="28" t="s">
        <v>753</v>
      </c>
      <c r="F2388" s="28" t="s">
        <v>142</v>
      </c>
      <c r="G2388" s="28" t="s">
        <v>143</v>
      </c>
      <c r="H2388" s="28" t="s">
        <v>416</v>
      </c>
      <c r="I2388" s="29" t="n">
        <v>740000</v>
      </c>
      <c r="J2388" s="29" t="n">
        <v>555000</v>
      </c>
      <c r="K2388" s="28" t="n">
        <v>10.5</v>
      </c>
      <c r="L2388" s="28" t="n">
        <v>126</v>
      </c>
      <c r="M2388" s="28" t="n">
        <v>14</v>
      </c>
    </row>
    <row r="2389" customFormat="false" ht="15" hidden="false" customHeight="false" outlineLevel="0" collapsed="false">
      <c r="A2389" s="27" t="n">
        <v>45068</v>
      </c>
      <c r="B2389" s="28" t="n">
        <v>2023</v>
      </c>
      <c r="C2389" s="28" t="s">
        <v>198</v>
      </c>
      <c r="D2389" s="28" t="s">
        <v>45</v>
      </c>
      <c r="E2389" s="28" t="s">
        <v>835</v>
      </c>
      <c r="F2389" s="28" t="s">
        <v>142</v>
      </c>
      <c r="G2389" s="28" t="s">
        <v>148</v>
      </c>
      <c r="H2389" s="28" t="s">
        <v>208</v>
      </c>
      <c r="I2389" s="29" t="n">
        <v>250000</v>
      </c>
      <c r="J2389" s="29" t="n">
        <v>187500</v>
      </c>
      <c r="K2389" s="28" t="n">
        <v>10.75</v>
      </c>
      <c r="L2389" s="28" t="n">
        <v>120</v>
      </c>
      <c r="M2389" s="28" t="n">
        <v>0</v>
      </c>
    </row>
    <row r="2390" customFormat="false" ht="15" hidden="false" customHeight="false" outlineLevel="0" collapsed="false">
      <c r="A2390" s="27" t="n">
        <v>45068</v>
      </c>
      <c r="B2390" s="28" t="n">
        <v>2023</v>
      </c>
      <c r="C2390" s="28" t="s">
        <v>312</v>
      </c>
      <c r="D2390" s="28" t="s">
        <v>52</v>
      </c>
      <c r="E2390" s="28" t="s">
        <v>720</v>
      </c>
      <c r="F2390" s="28" t="s">
        <v>147</v>
      </c>
      <c r="G2390" s="28" t="s">
        <v>441</v>
      </c>
      <c r="H2390" s="28" t="s">
        <v>168</v>
      </c>
      <c r="I2390" s="29" t="n">
        <v>25000</v>
      </c>
      <c r="J2390" s="29" t="n">
        <v>12500</v>
      </c>
      <c r="K2390" s="28" t="n">
        <v>14</v>
      </c>
      <c r="L2390" s="28" t="n">
        <v>95</v>
      </c>
      <c r="M2390" s="28" t="n">
        <v>9</v>
      </c>
    </row>
    <row r="2391" customFormat="false" ht="15" hidden="false" customHeight="false" outlineLevel="0" collapsed="false">
      <c r="A2391" s="27" t="n">
        <v>45068</v>
      </c>
      <c r="B2391" s="28" t="n">
        <v>2023</v>
      </c>
      <c r="C2391" s="28" t="s">
        <v>172</v>
      </c>
      <c r="D2391" s="28" t="s">
        <v>42</v>
      </c>
      <c r="E2391" s="28" t="s">
        <v>784</v>
      </c>
      <c r="F2391" s="28" t="s">
        <v>142</v>
      </c>
      <c r="G2391" s="28" t="s">
        <v>148</v>
      </c>
      <c r="H2391" s="28" t="s">
        <v>494</v>
      </c>
      <c r="I2391" s="29" t="n">
        <v>348600</v>
      </c>
      <c r="J2391" s="29" t="n">
        <v>261450</v>
      </c>
      <c r="K2391" s="28" t="n">
        <v>10.5</v>
      </c>
      <c r="L2391" s="28" t="n">
        <v>120</v>
      </c>
      <c r="M2391" s="28" t="n">
        <v>11</v>
      </c>
    </row>
    <row r="2392" customFormat="false" ht="15" hidden="false" customHeight="false" outlineLevel="0" collapsed="false">
      <c r="A2392" s="27" t="n">
        <v>45068</v>
      </c>
      <c r="B2392" s="28" t="n">
        <v>2023</v>
      </c>
      <c r="C2392" s="28" t="s">
        <v>160</v>
      </c>
      <c r="D2392" s="28" t="s">
        <v>48</v>
      </c>
      <c r="E2392" s="28" t="s">
        <v>815</v>
      </c>
      <c r="F2392" s="28" t="s">
        <v>147</v>
      </c>
      <c r="G2392" s="28" t="s">
        <v>441</v>
      </c>
      <c r="H2392" s="28" t="s">
        <v>168</v>
      </c>
      <c r="I2392" s="29" t="n">
        <v>50000</v>
      </c>
      <c r="J2392" s="29" t="n">
        <v>25000</v>
      </c>
      <c r="K2392" s="28" t="n">
        <v>12.5</v>
      </c>
      <c r="L2392" s="28" t="n">
        <v>120</v>
      </c>
      <c r="M2392" s="28" t="n">
        <v>0</v>
      </c>
    </row>
    <row r="2393" customFormat="false" ht="15" hidden="false" customHeight="false" outlineLevel="0" collapsed="false">
      <c r="A2393" s="27" t="n">
        <v>45068</v>
      </c>
      <c r="B2393" s="28" t="n">
        <v>2023</v>
      </c>
      <c r="C2393" s="28" t="s">
        <v>172</v>
      </c>
      <c r="D2393" s="28" t="s">
        <v>42</v>
      </c>
      <c r="E2393" s="28" t="s">
        <v>717</v>
      </c>
      <c r="F2393" s="28" t="s">
        <v>147</v>
      </c>
      <c r="G2393" s="28" t="s">
        <v>441</v>
      </c>
      <c r="H2393" s="28" t="s">
        <v>205</v>
      </c>
      <c r="I2393" s="29" t="n">
        <v>25000</v>
      </c>
      <c r="J2393" s="29" t="n">
        <v>12500</v>
      </c>
      <c r="K2393" s="28" t="n">
        <v>12.5</v>
      </c>
      <c r="L2393" s="28" t="n">
        <v>72</v>
      </c>
      <c r="M2393" s="28" t="n">
        <v>2</v>
      </c>
    </row>
    <row r="2394" customFormat="false" ht="15" hidden="false" customHeight="false" outlineLevel="0" collapsed="false">
      <c r="A2394" s="27" t="n">
        <v>45069</v>
      </c>
      <c r="B2394" s="28" t="n">
        <v>2023</v>
      </c>
      <c r="C2394" s="28" t="s">
        <v>332</v>
      </c>
      <c r="D2394" s="28" t="s">
        <v>45</v>
      </c>
      <c r="E2394" s="28" t="s">
        <v>222</v>
      </c>
      <c r="F2394" s="28" t="s">
        <v>142</v>
      </c>
      <c r="G2394" s="28" t="s">
        <v>441</v>
      </c>
      <c r="H2394" s="28" t="s">
        <v>494</v>
      </c>
      <c r="I2394" s="29" t="n">
        <v>1000000</v>
      </c>
      <c r="J2394" s="29" t="n">
        <v>750000</v>
      </c>
      <c r="K2394" s="28" t="n">
        <v>10.5</v>
      </c>
      <c r="L2394" s="28" t="n">
        <v>120</v>
      </c>
      <c r="M2394" s="28" t="n">
        <v>20</v>
      </c>
    </row>
    <row r="2395" customFormat="false" ht="15" hidden="false" customHeight="false" outlineLevel="0" collapsed="false">
      <c r="A2395" s="27" t="n">
        <v>45069</v>
      </c>
      <c r="B2395" s="28" t="n">
        <v>2023</v>
      </c>
      <c r="C2395" s="28" t="s">
        <v>206</v>
      </c>
      <c r="D2395" s="28" t="s">
        <v>42</v>
      </c>
      <c r="E2395" s="28" t="s">
        <v>717</v>
      </c>
      <c r="F2395" s="28" t="s">
        <v>194</v>
      </c>
      <c r="G2395" s="28" t="s">
        <v>441</v>
      </c>
      <c r="H2395" s="28" t="s">
        <v>605</v>
      </c>
      <c r="I2395" s="29" t="n">
        <v>150000</v>
      </c>
      <c r="J2395" s="29" t="n">
        <v>127500</v>
      </c>
      <c r="K2395" s="28" t="n">
        <v>11.25</v>
      </c>
      <c r="L2395" s="28" t="n">
        <v>120</v>
      </c>
      <c r="M2395" s="28" t="n">
        <v>48</v>
      </c>
    </row>
    <row r="2396" customFormat="false" ht="15" hidden="false" customHeight="false" outlineLevel="0" collapsed="false">
      <c r="A2396" s="27" t="n">
        <v>45069</v>
      </c>
      <c r="B2396" s="28" t="n">
        <v>2023</v>
      </c>
      <c r="C2396" s="28" t="s">
        <v>332</v>
      </c>
      <c r="D2396" s="28" t="s">
        <v>45</v>
      </c>
      <c r="E2396" s="28" t="s">
        <v>222</v>
      </c>
      <c r="F2396" s="28" t="s">
        <v>147</v>
      </c>
      <c r="G2396" s="28" t="s">
        <v>441</v>
      </c>
      <c r="H2396" s="28" t="s">
        <v>494</v>
      </c>
      <c r="I2396" s="29" t="n">
        <v>50000</v>
      </c>
      <c r="J2396" s="29" t="n">
        <v>25000</v>
      </c>
      <c r="K2396" s="28" t="n">
        <v>10.75</v>
      </c>
      <c r="L2396" s="28" t="n">
        <v>120</v>
      </c>
      <c r="M2396" s="28" t="n">
        <v>20</v>
      </c>
    </row>
    <row r="2397" customFormat="false" ht="15" hidden="false" customHeight="false" outlineLevel="0" collapsed="false">
      <c r="A2397" s="27" t="n">
        <v>45070</v>
      </c>
      <c r="B2397" s="28" t="n">
        <v>2023</v>
      </c>
      <c r="C2397" s="28" t="s">
        <v>252</v>
      </c>
      <c r="D2397" s="28" t="s">
        <v>48</v>
      </c>
      <c r="E2397" s="28" t="s">
        <v>362</v>
      </c>
      <c r="F2397" s="28" t="s">
        <v>147</v>
      </c>
      <c r="G2397" s="28" t="s">
        <v>148</v>
      </c>
      <c r="H2397" s="28" t="s">
        <v>162</v>
      </c>
      <c r="I2397" s="29" t="n">
        <v>400000</v>
      </c>
      <c r="J2397" s="29" t="n">
        <v>200000</v>
      </c>
      <c r="K2397" s="28" t="n">
        <v>6.23</v>
      </c>
      <c r="L2397" s="28" t="n">
        <v>120</v>
      </c>
      <c r="M2397" s="28" t="n">
        <v>10</v>
      </c>
    </row>
    <row r="2398" customFormat="false" ht="15" hidden="false" customHeight="false" outlineLevel="0" collapsed="false">
      <c r="A2398" s="27" t="n">
        <v>45070</v>
      </c>
      <c r="B2398" s="28" t="n">
        <v>2023</v>
      </c>
      <c r="C2398" s="28" t="s">
        <v>172</v>
      </c>
      <c r="D2398" s="28" t="s">
        <v>46</v>
      </c>
      <c r="E2398" s="28" t="s">
        <v>702</v>
      </c>
      <c r="F2398" s="28" t="s">
        <v>142</v>
      </c>
      <c r="G2398" s="28" t="s">
        <v>143</v>
      </c>
      <c r="H2398" s="28" t="s">
        <v>144</v>
      </c>
      <c r="I2398" s="29" t="n">
        <v>1350000</v>
      </c>
      <c r="J2398" s="29" t="n">
        <v>1012500</v>
      </c>
      <c r="K2398" s="28" t="n">
        <v>10</v>
      </c>
      <c r="L2398" s="28" t="n">
        <v>126</v>
      </c>
      <c r="M2398" s="28" t="n">
        <v>6</v>
      </c>
    </row>
    <row r="2399" customFormat="false" ht="15" hidden="false" customHeight="false" outlineLevel="0" collapsed="false">
      <c r="A2399" s="27" t="n">
        <v>45070</v>
      </c>
      <c r="B2399" s="28" t="n">
        <v>2023</v>
      </c>
      <c r="C2399" s="28" t="s">
        <v>508</v>
      </c>
      <c r="D2399" s="28" t="s">
        <v>43</v>
      </c>
      <c r="E2399" s="28" t="s">
        <v>886</v>
      </c>
      <c r="F2399" s="28" t="s">
        <v>142</v>
      </c>
      <c r="G2399" s="28" t="s">
        <v>441</v>
      </c>
      <c r="H2399" s="28" t="s">
        <v>215</v>
      </c>
      <c r="I2399" s="29" t="n">
        <v>830000</v>
      </c>
      <c r="J2399" s="29" t="n">
        <v>622500</v>
      </c>
      <c r="K2399" s="28" t="n">
        <v>9</v>
      </c>
      <c r="L2399" s="28" t="n">
        <v>216</v>
      </c>
      <c r="M2399" s="28" t="n">
        <v>3</v>
      </c>
    </row>
    <row r="2400" customFormat="false" ht="15" hidden="false" customHeight="false" outlineLevel="0" collapsed="false">
      <c r="A2400" s="27" t="n">
        <v>45070</v>
      </c>
      <c r="B2400" s="28" t="n">
        <v>2023</v>
      </c>
      <c r="C2400" s="28" t="s">
        <v>169</v>
      </c>
      <c r="D2400" s="28" t="s">
        <v>42</v>
      </c>
      <c r="E2400" s="28" t="s">
        <v>753</v>
      </c>
      <c r="F2400" s="28" t="s">
        <v>147</v>
      </c>
      <c r="G2400" s="28" t="s">
        <v>143</v>
      </c>
      <c r="H2400" s="28" t="s">
        <v>159</v>
      </c>
      <c r="I2400" s="29" t="n">
        <v>82000</v>
      </c>
      <c r="J2400" s="29" t="n">
        <v>41000</v>
      </c>
      <c r="K2400" s="28" t="n">
        <v>10.75</v>
      </c>
      <c r="L2400" s="28" t="n">
        <v>60</v>
      </c>
      <c r="M2400" s="28" t="n">
        <v>16</v>
      </c>
    </row>
    <row r="2401" customFormat="false" ht="15" hidden="false" customHeight="false" outlineLevel="0" collapsed="false">
      <c r="A2401" s="27" t="n">
        <v>45070</v>
      </c>
      <c r="B2401" s="28" t="n">
        <v>2023</v>
      </c>
      <c r="C2401" s="28" t="s">
        <v>169</v>
      </c>
      <c r="D2401" s="28" t="s">
        <v>42</v>
      </c>
      <c r="E2401" s="28" t="s">
        <v>753</v>
      </c>
      <c r="F2401" s="28" t="s">
        <v>147</v>
      </c>
      <c r="G2401" s="28" t="s">
        <v>143</v>
      </c>
      <c r="H2401" s="28" t="s">
        <v>159</v>
      </c>
      <c r="I2401" s="29" t="n">
        <v>20000</v>
      </c>
      <c r="J2401" s="29" t="n">
        <v>10000</v>
      </c>
      <c r="K2401" s="28" t="n">
        <v>14.5</v>
      </c>
      <c r="L2401" s="28" t="n">
        <v>120</v>
      </c>
      <c r="M2401" s="28" t="n">
        <v>16</v>
      </c>
    </row>
    <row r="2402" customFormat="false" ht="15" hidden="false" customHeight="false" outlineLevel="0" collapsed="false">
      <c r="A2402" s="27" t="n">
        <v>45070</v>
      </c>
      <c r="B2402" s="28" t="n">
        <v>2023</v>
      </c>
      <c r="C2402" s="28" t="s">
        <v>172</v>
      </c>
      <c r="D2402" s="28" t="s">
        <v>45</v>
      </c>
      <c r="E2402" s="28" t="s">
        <v>293</v>
      </c>
      <c r="F2402" s="28" t="s">
        <v>142</v>
      </c>
      <c r="G2402" s="28" t="s">
        <v>148</v>
      </c>
      <c r="H2402" s="28" t="s">
        <v>771</v>
      </c>
      <c r="I2402" s="29" t="n">
        <v>150000</v>
      </c>
      <c r="J2402" s="29" t="n">
        <v>127500</v>
      </c>
      <c r="K2402" s="28" t="n">
        <v>10.75</v>
      </c>
      <c r="L2402" s="28" t="n">
        <v>120</v>
      </c>
      <c r="M2402" s="28" t="n">
        <v>7</v>
      </c>
    </row>
    <row r="2403" customFormat="false" ht="15" hidden="false" customHeight="false" outlineLevel="0" collapsed="false">
      <c r="A2403" s="27" t="n">
        <v>45070</v>
      </c>
      <c r="B2403" s="28" t="n">
        <v>2023</v>
      </c>
      <c r="C2403" s="28" t="s">
        <v>166</v>
      </c>
      <c r="D2403" s="28" t="s">
        <v>42</v>
      </c>
      <c r="E2403" s="28" t="s">
        <v>717</v>
      </c>
      <c r="F2403" s="28" t="s">
        <v>142</v>
      </c>
      <c r="G2403" s="28" t="s">
        <v>441</v>
      </c>
      <c r="H2403" s="28" t="s">
        <v>579</v>
      </c>
      <c r="I2403" s="29" t="n">
        <v>1143000</v>
      </c>
      <c r="J2403" s="29" t="n">
        <v>857250</v>
      </c>
      <c r="K2403" s="28" t="n">
        <v>10.75</v>
      </c>
      <c r="L2403" s="28" t="n">
        <v>120</v>
      </c>
      <c r="M2403" s="28" t="n">
        <v>30</v>
      </c>
    </row>
    <row r="2404" customFormat="false" ht="15" hidden="false" customHeight="false" outlineLevel="0" collapsed="false">
      <c r="A2404" s="27" t="n">
        <v>45070</v>
      </c>
      <c r="B2404" s="28" t="n">
        <v>2023</v>
      </c>
      <c r="C2404" s="28" t="s">
        <v>206</v>
      </c>
      <c r="D2404" s="28" t="s">
        <v>43</v>
      </c>
      <c r="E2404" s="28" t="s">
        <v>972</v>
      </c>
      <c r="F2404" s="28" t="s">
        <v>142</v>
      </c>
      <c r="G2404" s="28" t="s">
        <v>148</v>
      </c>
      <c r="H2404" s="28" t="s">
        <v>269</v>
      </c>
      <c r="I2404" s="29" t="n">
        <v>75000</v>
      </c>
      <c r="J2404" s="29" t="n">
        <v>63750</v>
      </c>
      <c r="K2404" s="28" t="n">
        <v>10.75</v>
      </c>
      <c r="L2404" s="28" t="n">
        <v>120</v>
      </c>
      <c r="M2404" s="28" t="n">
        <v>0</v>
      </c>
    </row>
    <row r="2405" customFormat="false" ht="15" hidden="false" customHeight="false" outlineLevel="0" collapsed="false">
      <c r="A2405" s="27" t="n">
        <v>45071</v>
      </c>
      <c r="B2405" s="28" t="n">
        <v>2023</v>
      </c>
      <c r="C2405" s="28" t="s">
        <v>206</v>
      </c>
      <c r="D2405" s="28" t="s">
        <v>51</v>
      </c>
      <c r="E2405" s="28" t="s">
        <v>800</v>
      </c>
      <c r="F2405" s="28" t="s">
        <v>147</v>
      </c>
      <c r="G2405" s="28" t="s">
        <v>148</v>
      </c>
      <c r="H2405" s="28" t="s">
        <v>159</v>
      </c>
      <c r="I2405" s="29" t="n">
        <v>25000</v>
      </c>
      <c r="J2405" s="29" t="n">
        <v>12500</v>
      </c>
      <c r="K2405" s="28" t="n">
        <v>11</v>
      </c>
      <c r="L2405" s="28" t="n">
        <v>41</v>
      </c>
      <c r="M2405" s="28" t="n">
        <v>20</v>
      </c>
    </row>
    <row r="2406" customFormat="false" ht="15" hidden="false" customHeight="false" outlineLevel="0" collapsed="false">
      <c r="A2406" s="27" t="n">
        <v>45071</v>
      </c>
      <c r="B2406" s="28" t="n">
        <v>2023</v>
      </c>
      <c r="C2406" s="28" t="s">
        <v>198</v>
      </c>
      <c r="D2406" s="28" t="s">
        <v>43</v>
      </c>
      <c r="E2406" s="28" t="s">
        <v>933</v>
      </c>
      <c r="F2406" s="28" t="s">
        <v>142</v>
      </c>
      <c r="G2406" s="28" t="s">
        <v>148</v>
      </c>
      <c r="H2406" s="28" t="s">
        <v>281</v>
      </c>
      <c r="I2406" s="29" t="n">
        <v>733300</v>
      </c>
      <c r="J2406" s="29" t="n">
        <v>549975</v>
      </c>
      <c r="K2406" s="28" t="n">
        <v>8.5</v>
      </c>
      <c r="L2406" s="28" t="n">
        <v>300</v>
      </c>
      <c r="M2406" s="28" t="n">
        <v>22</v>
      </c>
    </row>
    <row r="2407" customFormat="false" ht="15" hidden="false" customHeight="false" outlineLevel="0" collapsed="false">
      <c r="A2407" s="27" t="n">
        <v>45072</v>
      </c>
      <c r="B2407" s="28" t="n">
        <v>2023</v>
      </c>
      <c r="C2407" s="28" t="s">
        <v>201</v>
      </c>
      <c r="D2407" s="28" t="s">
        <v>54</v>
      </c>
      <c r="E2407" s="28" t="s">
        <v>973</v>
      </c>
      <c r="F2407" s="28" t="s">
        <v>142</v>
      </c>
      <c r="G2407" s="28" t="s">
        <v>148</v>
      </c>
      <c r="H2407" s="28" t="s">
        <v>171</v>
      </c>
      <c r="I2407" s="29" t="n">
        <v>150000</v>
      </c>
      <c r="J2407" s="29" t="n">
        <v>127500</v>
      </c>
      <c r="K2407" s="28" t="n">
        <v>11.75</v>
      </c>
      <c r="L2407" s="28" t="n">
        <v>120</v>
      </c>
      <c r="M2407" s="28" t="n">
        <v>1</v>
      </c>
    </row>
    <row r="2408" customFormat="false" ht="15" hidden="false" customHeight="false" outlineLevel="0" collapsed="false">
      <c r="A2408" s="27" t="n">
        <v>45072</v>
      </c>
      <c r="B2408" s="28" t="n">
        <v>2023</v>
      </c>
      <c r="C2408" s="28" t="s">
        <v>560</v>
      </c>
      <c r="D2408" s="28" t="s">
        <v>42</v>
      </c>
      <c r="E2408" s="28" t="s">
        <v>705</v>
      </c>
      <c r="F2408" s="28" t="s">
        <v>142</v>
      </c>
      <c r="G2408" s="28" t="s">
        <v>148</v>
      </c>
      <c r="H2408" s="28" t="s">
        <v>516</v>
      </c>
      <c r="I2408" s="29" t="n">
        <v>2314400</v>
      </c>
      <c r="J2408" s="29" t="n">
        <v>1735800</v>
      </c>
      <c r="K2408" s="28" t="n">
        <v>10</v>
      </c>
      <c r="L2408" s="28" t="n">
        <v>300</v>
      </c>
      <c r="M2408" s="28" t="n">
        <v>5</v>
      </c>
    </row>
    <row r="2409" customFormat="false" ht="15" hidden="false" customHeight="false" outlineLevel="0" collapsed="false">
      <c r="A2409" s="27" t="n">
        <v>45072</v>
      </c>
      <c r="B2409" s="28" t="n">
        <v>2023</v>
      </c>
      <c r="C2409" s="28" t="s">
        <v>172</v>
      </c>
      <c r="D2409" s="28" t="s">
        <v>47</v>
      </c>
      <c r="E2409" s="28" t="s">
        <v>974</v>
      </c>
      <c r="F2409" s="28" t="s">
        <v>147</v>
      </c>
      <c r="G2409" s="28" t="s">
        <v>152</v>
      </c>
      <c r="H2409" s="28" t="s">
        <v>159</v>
      </c>
      <c r="I2409" s="29" t="n">
        <v>100000</v>
      </c>
      <c r="J2409" s="29" t="n">
        <v>50000</v>
      </c>
      <c r="K2409" s="28" t="n">
        <v>9</v>
      </c>
      <c r="L2409" s="28" t="n">
        <v>120</v>
      </c>
      <c r="M2409" s="28" t="n">
        <v>9</v>
      </c>
    </row>
    <row r="2410" customFormat="false" ht="15" hidden="false" customHeight="false" outlineLevel="0" collapsed="false">
      <c r="A2410" s="27" t="n">
        <v>45072</v>
      </c>
      <c r="B2410" s="28" t="n">
        <v>2023</v>
      </c>
      <c r="C2410" s="28" t="s">
        <v>172</v>
      </c>
      <c r="D2410" s="28" t="s">
        <v>47</v>
      </c>
      <c r="E2410" s="28" t="s">
        <v>974</v>
      </c>
      <c r="F2410" s="28" t="s">
        <v>142</v>
      </c>
      <c r="G2410" s="28" t="s">
        <v>152</v>
      </c>
      <c r="H2410" s="28" t="s">
        <v>159</v>
      </c>
      <c r="I2410" s="29" t="n">
        <v>1815000</v>
      </c>
      <c r="J2410" s="29" t="n">
        <v>1361250</v>
      </c>
      <c r="K2410" s="28" t="n">
        <v>9</v>
      </c>
      <c r="L2410" s="28" t="n">
        <v>162</v>
      </c>
      <c r="M2410" s="28" t="n">
        <v>9</v>
      </c>
    </row>
    <row r="2411" customFormat="false" ht="15" hidden="false" customHeight="false" outlineLevel="0" collapsed="false">
      <c r="A2411" s="27" t="n">
        <v>45076</v>
      </c>
      <c r="B2411" s="28" t="n">
        <v>2023</v>
      </c>
      <c r="C2411" s="28" t="s">
        <v>332</v>
      </c>
      <c r="D2411" s="28" t="s">
        <v>47</v>
      </c>
      <c r="E2411" s="28" t="s">
        <v>901</v>
      </c>
      <c r="F2411" s="28" t="s">
        <v>194</v>
      </c>
      <c r="G2411" s="28" t="s">
        <v>152</v>
      </c>
      <c r="H2411" s="28" t="s">
        <v>391</v>
      </c>
      <c r="I2411" s="29" t="n">
        <v>648000</v>
      </c>
      <c r="J2411" s="29" t="n">
        <v>486000</v>
      </c>
      <c r="K2411" s="28" t="n">
        <v>7.5</v>
      </c>
      <c r="L2411" s="28" t="n">
        <v>84</v>
      </c>
      <c r="M2411" s="28" t="n">
        <v>13</v>
      </c>
    </row>
    <row r="2412" customFormat="false" ht="15" hidden="false" customHeight="false" outlineLevel="0" collapsed="false">
      <c r="A2412" s="27" t="n">
        <v>45076</v>
      </c>
      <c r="B2412" s="28" t="n">
        <v>2023</v>
      </c>
      <c r="C2412" s="28" t="s">
        <v>203</v>
      </c>
      <c r="D2412" s="28" t="s">
        <v>44</v>
      </c>
      <c r="E2412" s="28" t="s">
        <v>863</v>
      </c>
      <c r="F2412" s="28" t="s">
        <v>142</v>
      </c>
      <c r="G2412" s="28" t="s">
        <v>148</v>
      </c>
      <c r="H2412" s="28" t="s">
        <v>168</v>
      </c>
      <c r="I2412" s="29" t="n">
        <v>348500</v>
      </c>
      <c r="J2412" s="29" t="n">
        <v>261375</v>
      </c>
      <c r="K2412" s="28" t="n">
        <v>5.87</v>
      </c>
      <c r="L2412" s="28" t="n">
        <v>300</v>
      </c>
      <c r="M2412" s="28" t="n">
        <v>6</v>
      </c>
    </row>
    <row r="2413" customFormat="false" ht="15" hidden="false" customHeight="false" outlineLevel="0" collapsed="false">
      <c r="A2413" s="27" t="n">
        <v>45077</v>
      </c>
      <c r="B2413" s="28" t="n">
        <v>2023</v>
      </c>
      <c r="C2413" s="28" t="s">
        <v>272</v>
      </c>
      <c r="D2413" s="28" t="s">
        <v>42</v>
      </c>
      <c r="E2413" s="28" t="s">
        <v>784</v>
      </c>
      <c r="F2413" s="28" t="s">
        <v>147</v>
      </c>
      <c r="G2413" s="28" t="s">
        <v>143</v>
      </c>
      <c r="H2413" s="28" t="s">
        <v>211</v>
      </c>
      <c r="I2413" s="29" t="n">
        <v>25000</v>
      </c>
      <c r="J2413" s="29" t="n">
        <v>12500</v>
      </c>
      <c r="K2413" s="28" t="n">
        <v>10.75</v>
      </c>
      <c r="L2413" s="28" t="n">
        <v>120</v>
      </c>
      <c r="M2413" s="28" t="n">
        <v>17</v>
      </c>
    </row>
    <row r="2414" customFormat="false" ht="15" hidden="false" customHeight="false" outlineLevel="0" collapsed="false">
      <c r="A2414" s="27" t="n">
        <v>45077</v>
      </c>
      <c r="B2414" s="28" t="n">
        <v>2023</v>
      </c>
      <c r="C2414" s="28" t="s">
        <v>763</v>
      </c>
      <c r="D2414" s="28" t="s">
        <v>42</v>
      </c>
      <c r="E2414" s="28" t="s">
        <v>717</v>
      </c>
      <c r="F2414" s="28" t="s">
        <v>142</v>
      </c>
      <c r="G2414" s="28" t="s">
        <v>143</v>
      </c>
      <c r="H2414" s="28" t="s">
        <v>227</v>
      </c>
      <c r="I2414" s="29" t="n">
        <v>134000</v>
      </c>
      <c r="J2414" s="29" t="n">
        <v>113900</v>
      </c>
      <c r="K2414" s="28" t="n">
        <v>10.75</v>
      </c>
      <c r="L2414" s="28" t="n">
        <v>120</v>
      </c>
      <c r="M2414" s="28" t="n">
        <v>15</v>
      </c>
    </row>
    <row r="2415" customFormat="false" ht="15" hidden="false" customHeight="false" outlineLevel="0" collapsed="false">
      <c r="A2415" s="27" t="n">
        <v>45077</v>
      </c>
      <c r="B2415" s="28" t="n">
        <v>2023</v>
      </c>
      <c r="C2415" s="28" t="s">
        <v>272</v>
      </c>
      <c r="D2415" s="28" t="s">
        <v>42</v>
      </c>
      <c r="E2415" s="28" t="s">
        <v>784</v>
      </c>
      <c r="F2415" s="28" t="s">
        <v>142</v>
      </c>
      <c r="G2415" s="28" t="s">
        <v>143</v>
      </c>
      <c r="H2415" s="28" t="s">
        <v>211</v>
      </c>
      <c r="I2415" s="29" t="n">
        <v>402100</v>
      </c>
      <c r="J2415" s="29" t="n">
        <v>301575</v>
      </c>
      <c r="K2415" s="28" t="n">
        <v>10.75</v>
      </c>
      <c r="L2415" s="28" t="n">
        <v>129</v>
      </c>
      <c r="M2415" s="28" t="n">
        <v>17</v>
      </c>
    </row>
    <row r="2416" customFormat="false" ht="15" hidden="false" customHeight="false" outlineLevel="0" collapsed="false">
      <c r="A2416" s="27" t="n">
        <v>45077</v>
      </c>
      <c r="B2416" s="28" t="n">
        <v>2023</v>
      </c>
      <c r="C2416" s="28" t="s">
        <v>235</v>
      </c>
      <c r="D2416" s="28" t="s">
        <v>50</v>
      </c>
      <c r="E2416" s="28" t="s">
        <v>193</v>
      </c>
      <c r="F2416" s="28" t="s">
        <v>142</v>
      </c>
      <c r="G2416" s="28" t="s">
        <v>148</v>
      </c>
      <c r="H2416" s="28" t="s">
        <v>953</v>
      </c>
      <c r="I2416" s="29" t="n">
        <v>85000</v>
      </c>
      <c r="J2416" s="29" t="n">
        <v>72250</v>
      </c>
      <c r="K2416" s="28" t="n">
        <v>11</v>
      </c>
      <c r="L2416" s="28" t="n">
        <v>120</v>
      </c>
      <c r="M2416" s="28" t="n">
        <v>22</v>
      </c>
    </row>
    <row r="2417" customFormat="false" ht="15" hidden="false" customHeight="false" outlineLevel="0" collapsed="false">
      <c r="A2417" s="27" t="n">
        <v>45078</v>
      </c>
      <c r="B2417" s="28" t="n">
        <v>2023</v>
      </c>
      <c r="C2417" s="28" t="s">
        <v>157</v>
      </c>
      <c r="D2417" s="28" t="s">
        <v>47</v>
      </c>
      <c r="E2417" s="28" t="s">
        <v>975</v>
      </c>
      <c r="F2417" s="28" t="s">
        <v>142</v>
      </c>
      <c r="G2417" s="28" t="s">
        <v>148</v>
      </c>
      <c r="H2417" s="28" t="s">
        <v>208</v>
      </c>
      <c r="I2417" s="29" t="n">
        <v>350000</v>
      </c>
      <c r="J2417" s="29" t="n">
        <v>262500</v>
      </c>
      <c r="K2417" s="28" t="n">
        <v>11</v>
      </c>
      <c r="L2417" s="28" t="n">
        <v>120</v>
      </c>
      <c r="M2417" s="28" t="n">
        <v>2</v>
      </c>
    </row>
    <row r="2418" customFormat="false" ht="15" hidden="false" customHeight="false" outlineLevel="0" collapsed="false">
      <c r="A2418" s="27" t="n">
        <v>45078</v>
      </c>
      <c r="B2418" s="28" t="n">
        <v>2023</v>
      </c>
      <c r="C2418" s="28" t="s">
        <v>172</v>
      </c>
      <c r="D2418" s="28" t="s">
        <v>56</v>
      </c>
      <c r="E2418" s="28" t="s">
        <v>929</v>
      </c>
      <c r="F2418" s="28" t="s">
        <v>142</v>
      </c>
      <c r="G2418" s="28" t="s">
        <v>148</v>
      </c>
      <c r="H2418" s="28" t="s">
        <v>275</v>
      </c>
      <c r="I2418" s="29" t="n">
        <v>477000</v>
      </c>
      <c r="J2418" s="29" t="n">
        <v>357750</v>
      </c>
      <c r="K2418" s="28" t="n">
        <v>10.5</v>
      </c>
      <c r="L2418" s="28" t="n">
        <v>120</v>
      </c>
      <c r="M2418" s="28" t="n">
        <v>2</v>
      </c>
    </row>
    <row r="2419" customFormat="false" ht="15" hidden="false" customHeight="false" outlineLevel="0" collapsed="false">
      <c r="A2419" s="27" t="n">
        <v>45078</v>
      </c>
      <c r="B2419" s="28" t="n">
        <v>2023</v>
      </c>
      <c r="C2419" s="28" t="s">
        <v>198</v>
      </c>
      <c r="D2419" s="28" t="s">
        <v>51</v>
      </c>
      <c r="E2419" s="28" t="s">
        <v>726</v>
      </c>
      <c r="F2419" s="28" t="s">
        <v>142</v>
      </c>
      <c r="G2419" s="28" t="s">
        <v>148</v>
      </c>
      <c r="H2419" s="28" t="s">
        <v>211</v>
      </c>
      <c r="I2419" s="29" t="n">
        <v>210000</v>
      </c>
      <c r="J2419" s="29" t="n">
        <v>157500</v>
      </c>
      <c r="K2419" s="28" t="n">
        <v>11</v>
      </c>
      <c r="L2419" s="28" t="n">
        <v>120</v>
      </c>
      <c r="M2419" s="28" t="n">
        <v>2</v>
      </c>
    </row>
    <row r="2420" customFormat="false" ht="15" hidden="false" customHeight="false" outlineLevel="0" collapsed="false">
      <c r="A2420" s="27" t="n">
        <v>45078</v>
      </c>
      <c r="B2420" s="28" t="n">
        <v>2023</v>
      </c>
      <c r="C2420" s="28" t="s">
        <v>303</v>
      </c>
      <c r="D2420" s="28" t="s">
        <v>45</v>
      </c>
      <c r="E2420" s="28" t="s">
        <v>976</v>
      </c>
      <c r="F2420" s="28" t="s">
        <v>194</v>
      </c>
      <c r="G2420" s="28" t="s">
        <v>148</v>
      </c>
      <c r="H2420" s="28" t="s">
        <v>937</v>
      </c>
      <c r="I2420" s="29" t="n">
        <v>225000</v>
      </c>
      <c r="J2420" s="29" t="n">
        <v>168750</v>
      </c>
      <c r="K2420" s="28" t="n">
        <v>11</v>
      </c>
      <c r="L2420" s="28" t="n">
        <v>120</v>
      </c>
      <c r="M2420" s="28" t="n">
        <v>4</v>
      </c>
    </row>
    <row r="2421" customFormat="false" ht="15" hidden="false" customHeight="false" outlineLevel="0" collapsed="false">
      <c r="A2421" s="27" t="n">
        <v>45079</v>
      </c>
      <c r="B2421" s="28" t="n">
        <v>2023</v>
      </c>
      <c r="C2421" s="28" t="s">
        <v>169</v>
      </c>
      <c r="D2421" s="28" t="s">
        <v>51</v>
      </c>
      <c r="E2421" s="28" t="s">
        <v>492</v>
      </c>
      <c r="F2421" s="28" t="s">
        <v>147</v>
      </c>
      <c r="G2421" s="28" t="s">
        <v>143</v>
      </c>
      <c r="H2421" s="28" t="s">
        <v>159</v>
      </c>
      <c r="I2421" s="29" t="n">
        <v>130000</v>
      </c>
      <c r="J2421" s="29" t="n">
        <v>65000</v>
      </c>
      <c r="K2421" s="28" t="n">
        <v>11.5</v>
      </c>
      <c r="L2421" s="28" t="n">
        <v>66</v>
      </c>
      <c r="M2421" s="28" t="n">
        <v>6</v>
      </c>
    </row>
    <row r="2422" customFormat="false" ht="15" hidden="false" customHeight="false" outlineLevel="0" collapsed="false">
      <c r="A2422" s="27" t="n">
        <v>45079</v>
      </c>
      <c r="B2422" s="28" t="n">
        <v>2023</v>
      </c>
      <c r="C2422" s="28" t="s">
        <v>738</v>
      </c>
      <c r="D2422" s="28" t="s">
        <v>45</v>
      </c>
      <c r="E2422" s="28" t="s">
        <v>708</v>
      </c>
      <c r="F2422" s="28" t="s">
        <v>147</v>
      </c>
      <c r="G2422" s="28" t="s">
        <v>148</v>
      </c>
      <c r="H2422" s="28" t="s">
        <v>191</v>
      </c>
      <c r="I2422" s="29" t="n">
        <v>35000</v>
      </c>
      <c r="J2422" s="29" t="n">
        <v>17500</v>
      </c>
      <c r="K2422" s="28" t="n">
        <v>12.15</v>
      </c>
      <c r="L2422" s="28" t="n">
        <v>120</v>
      </c>
      <c r="M2422" s="28" t="n">
        <v>0</v>
      </c>
    </row>
    <row r="2423" customFormat="false" ht="15" hidden="false" customHeight="false" outlineLevel="0" collapsed="false">
      <c r="A2423" s="27" t="n">
        <v>45079</v>
      </c>
      <c r="B2423" s="28" t="n">
        <v>2023</v>
      </c>
      <c r="C2423" s="28" t="s">
        <v>169</v>
      </c>
      <c r="D2423" s="28" t="s">
        <v>51</v>
      </c>
      <c r="E2423" s="28" t="s">
        <v>492</v>
      </c>
      <c r="F2423" s="28" t="s">
        <v>147</v>
      </c>
      <c r="G2423" s="28" t="s">
        <v>143</v>
      </c>
      <c r="H2423" s="28" t="s">
        <v>159</v>
      </c>
      <c r="I2423" s="29" t="n">
        <v>20000</v>
      </c>
      <c r="J2423" s="29" t="n">
        <v>10000</v>
      </c>
      <c r="K2423" s="28" t="n">
        <v>10.75</v>
      </c>
      <c r="L2423" s="28" t="n">
        <v>120</v>
      </c>
      <c r="M2423" s="28" t="n">
        <v>6</v>
      </c>
    </row>
    <row r="2424" customFormat="false" ht="15" hidden="false" customHeight="false" outlineLevel="0" collapsed="false">
      <c r="A2424" s="27" t="n">
        <v>45079</v>
      </c>
      <c r="B2424" s="28" t="n">
        <v>2023</v>
      </c>
      <c r="C2424" s="28" t="s">
        <v>312</v>
      </c>
      <c r="D2424" s="28" t="s">
        <v>48</v>
      </c>
      <c r="E2424" s="28" t="s">
        <v>815</v>
      </c>
      <c r="F2424" s="28" t="s">
        <v>142</v>
      </c>
      <c r="G2424" s="28" t="s">
        <v>148</v>
      </c>
      <c r="H2424" s="28" t="s">
        <v>953</v>
      </c>
      <c r="I2424" s="29" t="n">
        <v>3000000</v>
      </c>
      <c r="J2424" s="29" t="n">
        <v>2250000</v>
      </c>
      <c r="K2424" s="28" t="n">
        <v>11.25</v>
      </c>
      <c r="L2424" s="28" t="n">
        <v>120</v>
      </c>
      <c r="M2424" s="28" t="n">
        <v>25</v>
      </c>
    </row>
    <row r="2425" customFormat="false" ht="15" hidden="false" customHeight="false" outlineLevel="0" collapsed="false">
      <c r="A2425" s="27" t="n">
        <v>45082</v>
      </c>
      <c r="B2425" s="28" t="n">
        <v>2023</v>
      </c>
      <c r="C2425" s="28" t="s">
        <v>332</v>
      </c>
      <c r="D2425" s="28" t="s">
        <v>52</v>
      </c>
      <c r="E2425" s="28" t="s">
        <v>720</v>
      </c>
      <c r="F2425" s="28" t="s">
        <v>142</v>
      </c>
      <c r="G2425" s="28" t="s">
        <v>148</v>
      </c>
      <c r="H2425" s="28" t="s">
        <v>171</v>
      </c>
      <c r="I2425" s="29" t="n">
        <v>42300</v>
      </c>
      <c r="J2425" s="29" t="n">
        <v>35955</v>
      </c>
      <c r="K2425" s="28" t="n">
        <v>12</v>
      </c>
      <c r="L2425" s="28" t="n">
        <v>95</v>
      </c>
      <c r="M2425" s="28" t="n">
        <v>10</v>
      </c>
    </row>
    <row r="2426" customFormat="false" ht="15" hidden="false" customHeight="false" outlineLevel="0" collapsed="false">
      <c r="A2426" s="27" t="n">
        <v>45082</v>
      </c>
      <c r="B2426" s="28" t="n">
        <v>2023</v>
      </c>
      <c r="C2426" s="28" t="s">
        <v>172</v>
      </c>
      <c r="D2426" s="28" t="s">
        <v>45</v>
      </c>
      <c r="E2426" s="28" t="s">
        <v>824</v>
      </c>
      <c r="F2426" s="28" t="s">
        <v>147</v>
      </c>
      <c r="G2426" s="28" t="s">
        <v>148</v>
      </c>
      <c r="H2426" s="28" t="s">
        <v>205</v>
      </c>
      <c r="I2426" s="29" t="n">
        <v>150000</v>
      </c>
      <c r="J2426" s="29" t="n">
        <v>75000</v>
      </c>
      <c r="K2426" s="28" t="n">
        <v>11.75</v>
      </c>
      <c r="L2426" s="28" t="n">
        <v>83</v>
      </c>
      <c r="M2426" s="28" t="n">
        <v>0</v>
      </c>
    </row>
    <row r="2427" customFormat="false" ht="15" hidden="false" customHeight="false" outlineLevel="0" collapsed="false">
      <c r="A2427" s="27" t="n">
        <v>45082</v>
      </c>
      <c r="B2427" s="28" t="n">
        <v>2023</v>
      </c>
      <c r="C2427" s="28" t="s">
        <v>166</v>
      </c>
      <c r="D2427" s="28" t="s">
        <v>44</v>
      </c>
      <c r="E2427" s="28" t="s">
        <v>755</v>
      </c>
      <c r="F2427" s="28" t="s">
        <v>147</v>
      </c>
      <c r="G2427" s="28" t="s">
        <v>148</v>
      </c>
      <c r="H2427" s="28" t="s">
        <v>205</v>
      </c>
      <c r="I2427" s="29" t="n">
        <v>99000</v>
      </c>
      <c r="J2427" s="29" t="n">
        <v>49500</v>
      </c>
      <c r="K2427" s="28" t="n">
        <v>11.05</v>
      </c>
      <c r="L2427" s="28" t="n">
        <v>100</v>
      </c>
      <c r="M2427" s="28" t="n">
        <v>0</v>
      </c>
    </row>
    <row r="2428" customFormat="false" ht="15" hidden="false" customHeight="false" outlineLevel="0" collapsed="false">
      <c r="A2428" s="27" t="n">
        <v>45082</v>
      </c>
      <c r="B2428" s="28" t="n">
        <v>2023</v>
      </c>
      <c r="C2428" s="28" t="s">
        <v>216</v>
      </c>
      <c r="D2428" s="28" t="s">
        <v>50</v>
      </c>
      <c r="E2428" s="28" t="s">
        <v>853</v>
      </c>
      <c r="F2428" s="28" t="s">
        <v>194</v>
      </c>
      <c r="G2428" s="28" t="s">
        <v>143</v>
      </c>
      <c r="H2428" s="28" t="s">
        <v>799</v>
      </c>
      <c r="I2428" s="29" t="n">
        <v>275000</v>
      </c>
      <c r="J2428" s="29" t="n">
        <v>206250</v>
      </c>
      <c r="K2428" s="28" t="n">
        <v>10.75</v>
      </c>
      <c r="L2428" s="28" t="n">
        <v>120</v>
      </c>
      <c r="M2428" s="28" t="n">
        <v>5</v>
      </c>
    </row>
    <row r="2429" customFormat="false" ht="15" hidden="false" customHeight="false" outlineLevel="0" collapsed="false">
      <c r="A2429" s="27" t="n">
        <v>45082</v>
      </c>
      <c r="B2429" s="28" t="n">
        <v>2023</v>
      </c>
      <c r="C2429" s="28" t="s">
        <v>169</v>
      </c>
      <c r="D2429" s="28" t="s">
        <v>42</v>
      </c>
      <c r="E2429" s="28" t="s">
        <v>717</v>
      </c>
      <c r="F2429" s="28" t="s">
        <v>147</v>
      </c>
      <c r="G2429" s="28" t="s">
        <v>148</v>
      </c>
      <c r="H2429" s="28" t="s">
        <v>159</v>
      </c>
      <c r="I2429" s="29" t="n">
        <v>90000</v>
      </c>
      <c r="J2429" s="29" t="n">
        <v>45000</v>
      </c>
      <c r="K2429" s="28" t="n">
        <v>12.75</v>
      </c>
      <c r="L2429" s="28" t="n">
        <v>120</v>
      </c>
      <c r="M2429" s="28" t="n">
        <v>15</v>
      </c>
    </row>
    <row r="2430" customFormat="false" ht="15" hidden="false" customHeight="false" outlineLevel="0" collapsed="false">
      <c r="A2430" s="27" t="n">
        <v>45082</v>
      </c>
      <c r="B2430" s="28" t="n">
        <v>2023</v>
      </c>
      <c r="C2430" s="28" t="s">
        <v>145</v>
      </c>
      <c r="D2430" s="28" t="s">
        <v>46</v>
      </c>
      <c r="E2430" s="28" t="s">
        <v>727</v>
      </c>
      <c r="F2430" s="28" t="s">
        <v>194</v>
      </c>
      <c r="G2430" s="28" t="s">
        <v>441</v>
      </c>
      <c r="H2430" s="28" t="s">
        <v>799</v>
      </c>
      <c r="I2430" s="29" t="n">
        <v>296000</v>
      </c>
      <c r="J2430" s="29" t="n">
        <v>222000</v>
      </c>
      <c r="K2430" s="28" t="n">
        <v>11</v>
      </c>
      <c r="L2430" s="28" t="n">
        <v>120</v>
      </c>
      <c r="M2430" s="28" t="n">
        <v>13</v>
      </c>
    </row>
    <row r="2431" customFormat="false" ht="15" hidden="false" customHeight="false" outlineLevel="0" collapsed="false">
      <c r="A2431" s="27" t="n">
        <v>45083</v>
      </c>
      <c r="B2431" s="28" t="n">
        <v>2023</v>
      </c>
      <c r="C2431" s="28" t="s">
        <v>484</v>
      </c>
      <c r="D2431" s="28" t="s">
        <v>48</v>
      </c>
      <c r="E2431" s="28" t="s">
        <v>815</v>
      </c>
      <c r="F2431" s="28" t="s">
        <v>142</v>
      </c>
      <c r="G2431" s="28" t="s">
        <v>148</v>
      </c>
      <c r="H2431" s="28" t="s">
        <v>953</v>
      </c>
      <c r="I2431" s="29" t="n">
        <v>350000</v>
      </c>
      <c r="J2431" s="29" t="n">
        <v>262500</v>
      </c>
      <c r="K2431" s="28" t="n">
        <v>11.25</v>
      </c>
      <c r="L2431" s="28" t="n">
        <v>120</v>
      </c>
      <c r="M2431" s="28" t="n">
        <v>200</v>
      </c>
    </row>
    <row r="2432" customFormat="false" ht="15" hidden="false" customHeight="false" outlineLevel="0" collapsed="false">
      <c r="A2432" s="27" t="n">
        <v>45083</v>
      </c>
      <c r="B2432" s="28" t="n">
        <v>2023</v>
      </c>
      <c r="C2432" s="28" t="s">
        <v>172</v>
      </c>
      <c r="D2432" s="28" t="s">
        <v>48</v>
      </c>
      <c r="E2432" s="28" t="s">
        <v>362</v>
      </c>
      <c r="F2432" s="28" t="s">
        <v>147</v>
      </c>
      <c r="G2432" s="28" t="s">
        <v>148</v>
      </c>
      <c r="H2432" s="28" t="s">
        <v>159</v>
      </c>
      <c r="I2432" s="29" t="n">
        <v>250000</v>
      </c>
      <c r="J2432" s="29" t="n">
        <v>125000</v>
      </c>
      <c r="K2432" s="28" t="n">
        <v>12</v>
      </c>
      <c r="L2432" s="28" t="n">
        <v>120</v>
      </c>
      <c r="M2432" s="28" t="n">
        <v>4</v>
      </c>
    </row>
    <row r="2433" customFormat="false" ht="15" hidden="false" customHeight="false" outlineLevel="0" collapsed="false">
      <c r="A2433" s="27" t="n">
        <v>45083</v>
      </c>
      <c r="B2433" s="28" t="n">
        <v>2023</v>
      </c>
      <c r="C2433" s="28" t="s">
        <v>172</v>
      </c>
      <c r="D2433" s="28" t="s">
        <v>42</v>
      </c>
      <c r="E2433" s="28" t="s">
        <v>717</v>
      </c>
      <c r="F2433" s="28" t="s">
        <v>147</v>
      </c>
      <c r="G2433" s="28" t="s">
        <v>143</v>
      </c>
      <c r="H2433" s="28" t="s">
        <v>159</v>
      </c>
      <c r="I2433" s="29" t="n">
        <v>164000</v>
      </c>
      <c r="J2433" s="29" t="n">
        <v>82000</v>
      </c>
      <c r="K2433" s="28" t="n">
        <v>12.75</v>
      </c>
      <c r="L2433" s="28" t="n">
        <v>60</v>
      </c>
      <c r="M2433" s="28" t="n">
        <v>23</v>
      </c>
    </row>
    <row r="2434" customFormat="false" ht="15" hidden="false" customHeight="false" outlineLevel="0" collapsed="false">
      <c r="A2434" s="27" t="n">
        <v>45083</v>
      </c>
      <c r="B2434" s="28" t="n">
        <v>2023</v>
      </c>
      <c r="C2434" s="28" t="s">
        <v>172</v>
      </c>
      <c r="D2434" s="28" t="s">
        <v>42</v>
      </c>
      <c r="E2434" s="28" t="s">
        <v>717</v>
      </c>
      <c r="F2434" s="28" t="s">
        <v>147</v>
      </c>
      <c r="G2434" s="28" t="s">
        <v>143</v>
      </c>
      <c r="H2434" s="28" t="s">
        <v>159</v>
      </c>
      <c r="I2434" s="29" t="n">
        <v>30000</v>
      </c>
      <c r="J2434" s="29" t="n">
        <v>15000</v>
      </c>
      <c r="K2434" s="28" t="n">
        <v>12.75</v>
      </c>
      <c r="L2434" s="28" t="n">
        <v>97</v>
      </c>
      <c r="M2434" s="28" t="n">
        <v>23</v>
      </c>
    </row>
    <row r="2435" customFormat="false" ht="15" hidden="false" customHeight="false" outlineLevel="0" collapsed="false">
      <c r="A2435" s="27" t="n">
        <v>45083</v>
      </c>
      <c r="B2435" s="28" t="n">
        <v>2023</v>
      </c>
      <c r="C2435" s="28" t="s">
        <v>357</v>
      </c>
      <c r="D2435" s="28" t="s">
        <v>49</v>
      </c>
      <c r="E2435" s="28" t="s">
        <v>575</v>
      </c>
      <c r="F2435" s="28" t="s">
        <v>147</v>
      </c>
      <c r="G2435" s="28" t="s">
        <v>148</v>
      </c>
      <c r="H2435" s="28" t="s">
        <v>159</v>
      </c>
      <c r="I2435" s="29" t="n">
        <v>25000</v>
      </c>
      <c r="J2435" s="29" t="n">
        <v>12500</v>
      </c>
      <c r="K2435" s="28" t="n">
        <v>14.75</v>
      </c>
      <c r="L2435" s="28" t="n">
        <v>120</v>
      </c>
      <c r="M2435" s="28" t="n">
        <v>5</v>
      </c>
    </row>
    <row r="2436" customFormat="false" ht="15" hidden="false" customHeight="false" outlineLevel="0" collapsed="false">
      <c r="A2436" s="27" t="n">
        <v>45083</v>
      </c>
      <c r="B2436" s="28" t="n">
        <v>2023</v>
      </c>
      <c r="C2436" s="28" t="s">
        <v>172</v>
      </c>
      <c r="D2436" s="28" t="s">
        <v>52</v>
      </c>
      <c r="E2436" s="28" t="s">
        <v>599</v>
      </c>
      <c r="F2436" s="28" t="s">
        <v>142</v>
      </c>
      <c r="G2436" s="28" t="s">
        <v>148</v>
      </c>
      <c r="H2436" s="28" t="s">
        <v>854</v>
      </c>
      <c r="I2436" s="29" t="n">
        <v>1550000</v>
      </c>
      <c r="J2436" s="29" t="n">
        <v>1162500</v>
      </c>
      <c r="K2436" s="28" t="n">
        <v>11</v>
      </c>
      <c r="L2436" s="28" t="n">
        <v>120</v>
      </c>
      <c r="M2436" s="28" t="n">
        <v>31</v>
      </c>
    </row>
    <row r="2437" customFormat="false" ht="15" hidden="false" customHeight="false" outlineLevel="0" collapsed="false">
      <c r="A2437" s="27" t="n">
        <v>45083</v>
      </c>
      <c r="B2437" s="28" t="n">
        <v>2023</v>
      </c>
      <c r="C2437" s="28" t="s">
        <v>310</v>
      </c>
      <c r="D2437" s="28" t="s">
        <v>43</v>
      </c>
      <c r="E2437" s="28" t="s">
        <v>788</v>
      </c>
      <c r="F2437" s="28" t="s">
        <v>142</v>
      </c>
      <c r="G2437" s="28" t="s">
        <v>148</v>
      </c>
      <c r="H2437" s="28" t="s">
        <v>306</v>
      </c>
      <c r="I2437" s="29" t="n">
        <v>675000</v>
      </c>
      <c r="J2437" s="29" t="n">
        <v>506250</v>
      </c>
      <c r="K2437" s="28" t="n">
        <v>8.5</v>
      </c>
      <c r="L2437" s="28" t="n">
        <v>60</v>
      </c>
      <c r="M2437" s="28" t="n">
        <v>20</v>
      </c>
    </row>
    <row r="2438" customFormat="false" ht="15" hidden="false" customHeight="false" outlineLevel="0" collapsed="false">
      <c r="A2438" s="27" t="n">
        <v>45083</v>
      </c>
      <c r="B2438" s="28" t="n">
        <v>2023</v>
      </c>
      <c r="C2438" s="28" t="s">
        <v>172</v>
      </c>
      <c r="D2438" s="28" t="s">
        <v>42</v>
      </c>
      <c r="E2438" s="28" t="s">
        <v>717</v>
      </c>
      <c r="F2438" s="28" t="s">
        <v>147</v>
      </c>
      <c r="G2438" s="28" t="s">
        <v>143</v>
      </c>
      <c r="H2438" s="28" t="s">
        <v>159</v>
      </c>
      <c r="I2438" s="29" t="n">
        <v>56000</v>
      </c>
      <c r="J2438" s="29" t="n">
        <v>28000</v>
      </c>
      <c r="K2438" s="28" t="n">
        <v>12.75</v>
      </c>
      <c r="L2438" s="28" t="n">
        <v>60</v>
      </c>
      <c r="M2438" s="28" t="n">
        <v>23</v>
      </c>
    </row>
    <row r="2439" customFormat="false" ht="15" hidden="false" customHeight="false" outlineLevel="0" collapsed="false">
      <c r="A2439" s="27" t="n">
        <v>45083</v>
      </c>
      <c r="B2439" s="28" t="n">
        <v>2023</v>
      </c>
      <c r="C2439" s="28" t="s">
        <v>140</v>
      </c>
      <c r="D2439" s="28" t="s">
        <v>47</v>
      </c>
      <c r="E2439" s="28" t="s">
        <v>977</v>
      </c>
      <c r="F2439" s="28" t="s">
        <v>142</v>
      </c>
      <c r="G2439" s="28" t="s">
        <v>148</v>
      </c>
      <c r="H2439" s="28" t="s">
        <v>171</v>
      </c>
      <c r="I2439" s="29" t="n">
        <v>150000</v>
      </c>
      <c r="J2439" s="29" t="n">
        <v>127500</v>
      </c>
      <c r="K2439" s="28" t="n">
        <v>12</v>
      </c>
      <c r="L2439" s="28" t="n">
        <v>120</v>
      </c>
      <c r="M2439" s="28" t="n">
        <v>3</v>
      </c>
    </row>
    <row r="2440" customFormat="false" ht="15" hidden="false" customHeight="false" outlineLevel="0" collapsed="false">
      <c r="A2440" s="27" t="n">
        <v>45083</v>
      </c>
      <c r="B2440" s="28" t="n">
        <v>2023</v>
      </c>
      <c r="C2440" s="28" t="s">
        <v>172</v>
      </c>
      <c r="D2440" s="28" t="s">
        <v>52</v>
      </c>
      <c r="E2440" s="28" t="s">
        <v>599</v>
      </c>
      <c r="F2440" s="28" t="s">
        <v>147</v>
      </c>
      <c r="G2440" s="28" t="s">
        <v>148</v>
      </c>
      <c r="H2440" s="28" t="s">
        <v>854</v>
      </c>
      <c r="I2440" s="29" t="n">
        <v>150000</v>
      </c>
      <c r="J2440" s="29" t="n">
        <v>75000</v>
      </c>
      <c r="K2440" s="28" t="n">
        <v>11</v>
      </c>
      <c r="L2440" s="28" t="n">
        <v>120</v>
      </c>
      <c r="M2440" s="28" t="n">
        <v>31</v>
      </c>
    </row>
    <row r="2441" customFormat="false" ht="15" hidden="false" customHeight="false" outlineLevel="0" collapsed="false">
      <c r="A2441" s="27" t="n">
        <v>45083</v>
      </c>
      <c r="B2441" s="28" t="n">
        <v>2023</v>
      </c>
      <c r="C2441" s="28" t="s">
        <v>198</v>
      </c>
      <c r="D2441" s="28" t="s">
        <v>42</v>
      </c>
      <c r="E2441" s="28" t="s">
        <v>828</v>
      </c>
      <c r="F2441" s="28" t="s">
        <v>194</v>
      </c>
      <c r="G2441" s="28" t="s">
        <v>148</v>
      </c>
      <c r="H2441" s="28" t="s">
        <v>456</v>
      </c>
      <c r="I2441" s="29" t="n">
        <v>695000</v>
      </c>
      <c r="J2441" s="29" t="n">
        <v>521250</v>
      </c>
      <c r="K2441" s="28" t="n">
        <v>10.75</v>
      </c>
      <c r="L2441" s="28" t="n">
        <v>126</v>
      </c>
      <c r="M2441" s="28" t="n">
        <v>57</v>
      </c>
    </row>
    <row r="2442" customFormat="false" ht="15" hidden="false" customHeight="false" outlineLevel="0" collapsed="false">
      <c r="A2442" s="27" t="n">
        <v>45084</v>
      </c>
      <c r="B2442" s="28" t="n">
        <v>2023</v>
      </c>
      <c r="C2442" s="28" t="s">
        <v>145</v>
      </c>
      <c r="D2442" s="28" t="s">
        <v>48</v>
      </c>
      <c r="E2442" s="28" t="s">
        <v>210</v>
      </c>
      <c r="F2442" s="28" t="s">
        <v>142</v>
      </c>
      <c r="G2442" s="28" t="s">
        <v>148</v>
      </c>
      <c r="H2442" s="28" t="s">
        <v>953</v>
      </c>
      <c r="I2442" s="29" t="n">
        <v>120000</v>
      </c>
      <c r="J2442" s="29" t="n">
        <v>102000</v>
      </c>
      <c r="K2442" s="28" t="n">
        <v>11.25</v>
      </c>
      <c r="L2442" s="28" t="n">
        <v>120</v>
      </c>
      <c r="M2442" s="28" t="n">
        <v>1</v>
      </c>
    </row>
    <row r="2443" customFormat="false" ht="15" hidden="false" customHeight="false" outlineLevel="0" collapsed="false">
      <c r="A2443" s="27" t="n">
        <v>45084</v>
      </c>
      <c r="B2443" s="28" t="n">
        <v>2023</v>
      </c>
      <c r="C2443" s="28" t="s">
        <v>203</v>
      </c>
      <c r="D2443" s="28" t="s">
        <v>42</v>
      </c>
      <c r="E2443" s="28" t="s">
        <v>784</v>
      </c>
      <c r="F2443" s="28" t="s">
        <v>142</v>
      </c>
      <c r="G2443" s="28" t="s">
        <v>148</v>
      </c>
      <c r="H2443" s="28" t="s">
        <v>953</v>
      </c>
      <c r="I2443" s="29" t="n">
        <v>870000</v>
      </c>
      <c r="J2443" s="29" t="n">
        <v>652500</v>
      </c>
      <c r="K2443" s="28" t="n">
        <v>11.25</v>
      </c>
      <c r="L2443" s="28" t="n">
        <v>96</v>
      </c>
      <c r="M2443" s="28" t="n">
        <v>38</v>
      </c>
    </row>
    <row r="2444" customFormat="false" ht="15" hidden="false" customHeight="false" outlineLevel="0" collapsed="false">
      <c r="A2444" s="27" t="n">
        <v>45085</v>
      </c>
      <c r="B2444" s="28" t="n">
        <v>2023</v>
      </c>
      <c r="C2444" s="28" t="s">
        <v>163</v>
      </c>
      <c r="D2444" s="28" t="s">
        <v>52</v>
      </c>
      <c r="E2444" s="28" t="s">
        <v>978</v>
      </c>
      <c r="F2444" s="28" t="s">
        <v>147</v>
      </c>
      <c r="G2444" s="28" t="s">
        <v>441</v>
      </c>
      <c r="H2444" s="28" t="s">
        <v>168</v>
      </c>
      <c r="I2444" s="29" t="n">
        <v>30000</v>
      </c>
      <c r="J2444" s="29" t="n">
        <v>15000</v>
      </c>
      <c r="K2444" s="28" t="n">
        <v>12.75</v>
      </c>
      <c r="L2444" s="28" t="n">
        <v>120</v>
      </c>
      <c r="M2444" s="28" t="n">
        <v>8</v>
      </c>
    </row>
    <row r="2445" customFormat="false" ht="15" hidden="false" customHeight="false" outlineLevel="0" collapsed="false">
      <c r="A2445" s="27" t="n">
        <v>45085</v>
      </c>
      <c r="B2445" s="28" t="n">
        <v>2023</v>
      </c>
      <c r="C2445" s="28" t="s">
        <v>979</v>
      </c>
      <c r="D2445" s="28" t="s">
        <v>48</v>
      </c>
      <c r="E2445" s="28" t="s">
        <v>762</v>
      </c>
      <c r="F2445" s="28" t="s">
        <v>147</v>
      </c>
      <c r="G2445" s="28" t="s">
        <v>143</v>
      </c>
      <c r="H2445" s="28" t="s">
        <v>266</v>
      </c>
      <c r="I2445" s="29" t="n">
        <v>488000</v>
      </c>
      <c r="J2445" s="29" t="n">
        <v>244000</v>
      </c>
      <c r="K2445" s="28" t="n">
        <v>7.49</v>
      </c>
      <c r="L2445" s="28" t="n">
        <v>312</v>
      </c>
      <c r="M2445" s="28" t="n">
        <v>16</v>
      </c>
    </row>
    <row r="2446" customFormat="false" ht="15" hidden="false" customHeight="false" outlineLevel="0" collapsed="false">
      <c r="A2446" s="27" t="n">
        <v>45085</v>
      </c>
      <c r="B2446" s="28" t="n">
        <v>2023</v>
      </c>
      <c r="C2446" s="28" t="s">
        <v>172</v>
      </c>
      <c r="D2446" s="28" t="s">
        <v>43</v>
      </c>
      <c r="E2446" s="28" t="s">
        <v>837</v>
      </c>
      <c r="F2446" s="28" t="s">
        <v>147</v>
      </c>
      <c r="G2446" s="28" t="s">
        <v>441</v>
      </c>
      <c r="H2446" s="28" t="s">
        <v>159</v>
      </c>
      <c r="I2446" s="29" t="n">
        <v>25000</v>
      </c>
      <c r="J2446" s="29" t="n">
        <v>12500</v>
      </c>
      <c r="K2446" s="28" t="n">
        <v>14.75</v>
      </c>
      <c r="L2446" s="28" t="n">
        <v>120</v>
      </c>
      <c r="M2446" s="28" t="n">
        <v>4</v>
      </c>
    </row>
    <row r="2447" customFormat="false" ht="15" hidden="false" customHeight="false" outlineLevel="0" collapsed="false">
      <c r="A2447" s="27" t="n">
        <v>45085</v>
      </c>
      <c r="B2447" s="28" t="n">
        <v>2023</v>
      </c>
      <c r="C2447" s="28" t="s">
        <v>172</v>
      </c>
      <c r="D2447" s="28" t="s">
        <v>43</v>
      </c>
      <c r="E2447" s="28" t="s">
        <v>837</v>
      </c>
      <c r="F2447" s="28" t="s">
        <v>147</v>
      </c>
      <c r="G2447" s="28" t="s">
        <v>441</v>
      </c>
      <c r="H2447" s="28" t="s">
        <v>159</v>
      </c>
      <c r="I2447" s="29" t="n">
        <v>97700</v>
      </c>
      <c r="J2447" s="29" t="n">
        <v>48850</v>
      </c>
      <c r="K2447" s="28" t="n">
        <v>11.25</v>
      </c>
      <c r="L2447" s="28" t="n">
        <v>60</v>
      </c>
      <c r="M2447" s="28" t="n">
        <v>4</v>
      </c>
    </row>
    <row r="2448" customFormat="false" ht="15" hidden="false" customHeight="false" outlineLevel="0" collapsed="false">
      <c r="A2448" s="27" t="n">
        <v>45085</v>
      </c>
      <c r="B2448" s="28" t="n">
        <v>2023</v>
      </c>
      <c r="C2448" s="28" t="s">
        <v>303</v>
      </c>
      <c r="D2448" s="28" t="s">
        <v>46</v>
      </c>
      <c r="E2448" s="28" t="s">
        <v>813</v>
      </c>
      <c r="F2448" s="28" t="s">
        <v>142</v>
      </c>
      <c r="G2448" s="28" t="s">
        <v>441</v>
      </c>
      <c r="H2448" s="28" t="s">
        <v>494</v>
      </c>
      <c r="I2448" s="29" t="n">
        <v>820000</v>
      </c>
      <c r="J2448" s="29" t="n">
        <v>615000</v>
      </c>
      <c r="K2448" s="28" t="n">
        <v>9.75</v>
      </c>
      <c r="L2448" s="28" t="n">
        <v>240</v>
      </c>
      <c r="M2448" s="28" t="n">
        <v>8</v>
      </c>
    </row>
    <row r="2449" customFormat="false" ht="15" hidden="false" customHeight="false" outlineLevel="0" collapsed="false">
      <c r="A2449" s="27" t="n">
        <v>45089</v>
      </c>
      <c r="B2449" s="28" t="n">
        <v>2023</v>
      </c>
      <c r="C2449" s="28" t="s">
        <v>172</v>
      </c>
      <c r="D2449" s="28" t="s">
        <v>48</v>
      </c>
      <c r="E2449" s="28" t="s">
        <v>342</v>
      </c>
      <c r="F2449" s="28" t="s">
        <v>147</v>
      </c>
      <c r="G2449" s="28" t="s">
        <v>148</v>
      </c>
      <c r="H2449" s="28" t="s">
        <v>159</v>
      </c>
      <c r="I2449" s="29" t="n">
        <v>100000</v>
      </c>
      <c r="J2449" s="29" t="n">
        <v>50000</v>
      </c>
      <c r="K2449" s="28" t="n">
        <v>9.49</v>
      </c>
      <c r="L2449" s="28" t="n">
        <v>16</v>
      </c>
      <c r="M2449" s="28" t="n">
        <v>6</v>
      </c>
    </row>
    <row r="2450" customFormat="false" ht="15" hidden="false" customHeight="false" outlineLevel="0" collapsed="false">
      <c r="A2450" s="27" t="n">
        <v>45089</v>
      </c>
      <c r="B2450" s="28" t="n">
        <v>2023</v>
      </c>
      <c r="C2450" s="28" t="s">
        <v>172</v>
      </c>
      <c r="D2450" s="28" t="s">
        <v>44</v>
      </c>
      <c r="E2450" s="28" t="s">
        <v>729</v>
      </c>
      <c r="F2450" s="28" t="s">
        <v>147</v>
      </c>
      <c r="G2450" s="28" t="s">
        <v>441</v>
      </c>
      <c r="H2450" s="28" t="s">
        <v>205</v>
      </c>
      <c r="I2450" s="29" t="n">
        <v>50000</v>
      </c>
      <c r="J2450" s="29" t="n">
        <v>25000</v>
      </c>
      <c r="K2450" s="28" t="n">
        <v>13.75</v>
      </c>
      <c r="L2450" s="28" t="n">
        <v>120</v>
      </c>
      <c r="M2450" s="28" t="n">
        <v>3</v>
      </c>
    </row>
    <row r="2451" customFormat="false" ht="15" hidden="false" customHeight="false" outlineLevel="0" collapsed="false">
      <c r="A2451" s="27" t="n">
        <v>45089</v>
      </c>
      <c r="B2451" s="28" t="n">
        <v>2023</v>
      </c>
      <c r="C2451" s="28" t="s">
        <v>316</v>
      </c>
      <c r="D2451" s="28" t="s">
        <v>42</v>
      </c>
      <c r="E2451" s="28" t="s">
        <v>784</v>
      </c>
      <c r="F2451" s="28" t="s">
        <v>142</v>
      </c>
      <c r="G2451" s="28" t="s">
        <v>143</v>
      </c>
      <c r="H2451" s="28" t="s">
        <v>980</v>
      </c>
      <c r="I2451" s="29" t="n">
        <v>435000</v>
      </c>
      <c r="J2451" s="29" t="n">
        <v>326250</v>
      </c>
      <c r="K2451" s="28" t="n">
        <v>11</v>
      </c>
      <c r="L2451" s="28" t="n">
        <v>120</v>
      </c>
      <c r="M2451" s="28" t="n">
        <v>16</v>
      </c>
    </row>
    <row r="2452" customFormat="false" ht="15" hidden="false" customHeight="false" outlineLevel="0" collapsed="false">
      <c r="A2452" s="27" t="n">
        <v>45089</v>
      </c>
      <c r="B2452" s="28" t="n">
        <v>2023</v>
      </c>
      <c r="C2452" s="28" t="s">
        <v>203</v>
      </c>
      <c r="D2452" s="28" t="s">
        <v>46</v>
      </c>
      <c r="E2452" s="28" t="s">
        <v>746</v>
      </c>
      <c r="F2452" s="28" t="s">
        <v>142</v>
      </c>
      <c r="G2452" s="28" t="s">
        <v>148</v>
      </c>
      <c r="H2452" s="28" t="s">
        <v>281</v>
      </c>
      <c r="I2452" s="29" t="n">
        <v>219700</v>
      </c>
      <c r="J2452" s="29" t="n">
        <v>109850</v>
      </c>
      <c r="K2452" s="28" t="n">
        <v>8</v>
      </c>
      <c r="L2452" s="28" t="n">
        <v>300</v>
      </c>
      <c r="M2452" s="28" t="n">
        <v>2</v>
      </c>
    </row>
    <row r="2453" customFormat="false" ht="15" hidden="false" customHeight="false" outlineLevel="0" collapsed="false">
      <c r="A2453" s="27" t="n">
        <v>45089</v>
      </c>
      <c r="B2453" s="28" t="n">
        <v>2023</v>
      </c>
      <c r="C2453" s="28" t="s">
        <v>249</v>
      </c>
      <c r="D2453" s="28" t="s">
        <v>42</v>
      </c>
      <c r="E2453" s="28" t="s">
        <v>945</v>
      </c>
      <c r="F2453" s="28" t="s">
        <v>142</v>
      </c>
      <c r="G2453" s="28" t="s">
        <v>152</v>
      </c>
      <c r="H2453" s="28" t="s">
        <v>223</v>
      </c>
      <c r="I2453" s="29" t="n">
        <v>1519000</v>
      </c>
      <c r="J2453" s="29" t="n">
        <v>1139250</v>
      </c>
      <c r="K2453" s="28" t="n">
        <v>9.25</v>
      </c>
      <c r="L2453" s="28" t="n">
        <v>300</v>
      </c>
      <c r="M2453" s="28" t="n">
        <v>4</v>
      </c>
    </row>
    <row r="2454" customFormat="false" ht="15" hidden="false" customHeight="false" outlineLevel="0" collapsed="false">
      <c r="A2454" s="27" t="n">
        <v>45091</v>
      </c>
      <c r="B2454" s="28" t="n">
        <v>2023</v>
      </c>
      <c r="C2454" s="28" t="s">
        <v>172</v>
      </c>
      <c r="D2454" s="28" t="s">
        <v>50</v>
      </c>
      <c r="E2454" s="28" t="s">
        <v>754</v>
      </c>
      <c r="F2454" s="28" t="s">
        <v>147</v>
      </c>
      <c r="G2454" s="28" t="s">
        <v>152</v>
      </c>
      <c r="H2454" s="28" t="s">
        <v>325</v>
      </c>
      <c r="I2454" s="29" t="n">
        <v>75000</v>
      </c>
      <c r="J2454" s="29" t="n">
        <v>37500</v>
      </c>
      <c r="K2454" s="28" t="n">
        <v>10.25</v>
      </c>
      <c r="L2454" s="28" t="n">
        <v>120</v>
      </c>
      <c r="M2454" s="28" t="n">
        <v>21</v>
      </c>
    </row>
    <row r="2455" customFormat="false" ht="15" hidden="false" customHeight="false" outlineLevel="0" collapsed="false">
      <c r="A2455" s="27" t="n">
        <v>45091</v>
      </c>
      <c r="B2455" s="28" t="n">
        <v>2023</v>
      </c>
      <c r="C2455" s="28" t="s">
        <v>172</v>
      </c>
      <c r="D2455" s="28" t="s">
        <v>50</v>
      </c>
      <c r="E2455" s="28" t="s">
        <v>754</v>
      </c>
      <c r="F2455" s="28" t="s">
        <v>142</v>
      </c>
      <c r="G2455" s="28" t="s">
        <v>152</v>
      </c>
      <c r="H2455" s="28" t="s">
        <v>325</v>
      </c>
      <c r="I2455" s="29" t="n">
        <v>925000</v>
      </c>
      <c r="J2455" s="29" t="n">
        <v>693750</v>
      </c>
      <c r="K2455" s="28" t="n">
        <v>8</v>
      </c>
      <c r="L2455" s="28" t="n">
        <v>120</v>
      </c>
      <c r="M2455" s="28" t="n">
        <v>21</v>
      </c>
    </row>
    <row r="2456" customFormat="false" ht="15" hidden="false" customHeight="false" outlineLevel="0" collapsed="false">
      <c r="A2456" s="27" t="n">
        <v>45092</v>
      </c>
      <c r="B2456" s="28" t="n">
        <v>2023</v>
      </c>
      <c r="C2456" s="28" t="s">
        <v>169</v>
      </c>
      <c r="D2456" s="28" t="s">
        <v>42</v>
      </c>
      <c r="E2456" s="28" t="s">
        <v>717</v>
      </c>
      <c r="F2456" s="28" t="s">
        <v>142</v>
      </c>
      <c r="G2456" s="28" t="s">
        <v>143</v>
      </c>
      <c r="H2456" s="28" t="s">
        <v>171</v>
      </c>
      <c r="I2456" s="29" t="n">
        <v>4310900</v>
      </c>
      <c r="J2456" s="29" t="n">
        <v>3233175</v>
      </c>
      <c r="K2456" s="28" t="n">
        <v>11.25</v>
      </c>
      <c r="L2456" s="28" t="n">
        <v>300</v>
      </c>
      <c r="M2456" s="28" t="n">
        <v>38</v>
      </c>
    </row>
    <row r="2457" customFormat="false" ht="15" hidden="false" customHeight="false" outlineLevel="0" collapsed="false">
      <c r="A2457" s="27" t="n">
        <v>45092</v>
      </c>
      <c r="B2457" s="28" t="n">
        <v>2023</v>
      </c>
      <c r="C2457" s="28" t="s">
        <v>201</v>
      </c>
      <c r="D2457" s="28" t="s">
        <v>52</v>
      </c>
      <c r="E2457" s="28" t="s">
        <v>981</v>
      </c>
      <c r="F2457" s="28" t="s">
        <v>142</v>
      </c>
      <c r="G2457" s="28" t="s">
        <v>152</v>
      </c>
      <c r="H2457" s="28" t="s">
        <v>372</v>
      </c>
      <c r="I2457" s="29" t="n">
        <v>180000</v>
      </c>
      <c r="J2457" s="29" t="n">
        <v>135000</v>
      </c>
      <c r="K2457" s="28" t="n">
        <v>11</v>
      </c>
      <c r="L2457" s="28" t="n">
        <v>120</v>
      </c>
      <c r="M2457" s="28" t="n">
        <v>17</v>
      </c>
    </row>
    <row r="2458" customFormat="false" ht="15" hidden="false" customHeight="false" outlineLevel="0" collapsed="false">
      <c r="A2458" s="27" t="n">
        <v>45092</v>
      </c>
      <c r="B2458" s="28" t="n">
        <v>2023</v>
      </c>
      <c r="C2458" s="28" t="s">
        <v>603</v>
      </c>
      <c r="D2458" s="28" t="s">
        <v>44</v>
      </c>
      <c r="E2458" s="28" t="s">
        <v>167</v>
      </c>
      <c r="F2458" s="28" t="s">
        <v>147</v>
      </c>
      <c r="G2458" s="28" t="s">
        <v>441</v>
      </c>
      <c r="H2458" s="28" t="s">
        <v>338</v>
      </c>
      <c r="I2458" s="29" t="n">
        <v>200000</v>
      </c>
      <c r="J2458" s="29" t="n">
        <v>100000</v>
      </c>
      <c r="K2458" s="28" t="n">
        <v>10.25</v>
      </c>
      <c r="L2458" s="28" t="n">
        <v>84</v>
      </c>
      <c r="M2458" s="28" t="n">
        <v>6</v>
      </c>
    </row>
    <row r="2459" customFormat="false" ht="15" hidden="false" customHeight="false" outlineLevel="0" collapsed="false">
      <c r="A2459" s="27" t="n">
        <v>45093</v>
      </c>
      <c r="B2459" s="28" t="n">
        <v>2023</v>
      </c>
      <c r="C2459" s="28" t="s">
        <v>216</v>
      </c>
      <c r="D2459" s="28" t="s">
        <v>53</v>
      </c>
      <c r="E2459" s="28" t="s">
        <v>718</v>
      </c>
      <c r="F2459" s="28" t="s">
        <v>147</v>
      </c>
      <c r="G2459" s="28" t="s">
        <v>441</v>
      </c>
      <c r="H2459" s="28" t="s">
        <v>799</v>
      </c>
      <c r="I2459" s="29" t="n">
        <v>250000</v>
      </c>
      <c r="J2459" s="29" t="n">
        <v>125000</v>
      </c>
      <c r="K2459" s="28" t="n">
        <v>10.25</v>
      </c>
      <c r="L2459" s="28" t="n">
        <v>120</v>
      </c>
      <c r="M2459" s="28" t="n">
        <v>3</v>
      </c>
    </row>
    <row r="2460" customFormat="false" ht="15" hidden="false" customHeight="false" outlineLevel="0" collapsed="false">
      <c r="A2460" s="27" t="n">
        <v>45093</v>
      </c>
      <c r="B2460" s="28" t="n">
        <v>2023</v>
      </c>
      <c r="C2460" s="28" t="s">
        <v>316</v>
      </c>
      <c r="D2460" s="28" t="s">
        <v>44</v>
      </c>
      <c r="E2460" s="28" t="s">
        <v>982</v>
      </c>
      <c r="F2460" s="28" t="s">
        <v>142</v>
      </c>
      <c r="G2460" s="28" t="s">
        <v>143</v>
      </c>
      <c r="H2460" s="28" t="s">
        <v>168</v>
      </c>
      <c r="I2460" s="29" t="n">
        <v>847000</v>
      </c>
      <c r="J2460" s="29" t="n">
        <v>635250</v>
      </c>
      <c r="K2460" s="28" t="n">
        <v>6.76</v>
      </c>
      <c r="L2460" s="28" t="n">
        <v>300</v>
      </c>
      <c r="M2460" s="28" t="n">
        <v>7</v>
      </c>
    </row>
    <row r="2461" customFormat="false" ht="15" hidden="false" customHeight="false" outlineLevel="0" collapsed="false">
      <c r="A2461" s="27" t="n">
        <v>45093</v>
      </c>
      <c r="B2461" s="28" t="n">
        <v>2023</v>
      </c>
      <c r="C2461" s="28" t="s">
        <v>140</v>
      </c>
      <c r="D2461" s="28" t="s">
        <v>42</v>
      </c>
      <c r="E2461" s="28" t="s">
        <v>753</v>
      </c>
      <c r="F2461" s="28" t="s">
        <v>147</v>
      </c>
      <c r="G2461" s="28" t="s">
        <v>143</v>
      </c>
      <c r="H2461" s="28" t="s">
        <v>211</v>
      </c>
      <c r="I2461" s="29" t="n">
        <v>40000</v>
      </c>
      <c r="J2461" s="29" t="n">
        <v>20000</v>
      </c>
      <c r="K2461" s="28" t="n">
        <v>10.75</v>
      </c>
      <c r="L2461" s="28" t="n">
        <v>120</v>
      </c>
      <c r="M2461" s="28" t="n">
        <v>12</v>
      </c>
    </row>
    <row r="2462" customFormat="false" ht="15" hidden="false" customHeight="false" outlineLevel="0" collapsed="false">
      <c r="A2462" s="27" t="n">
        <v>45093</v>
      </c>
      <c r="B2462" s="28" t="n">
        <v>2023</v>
      </c>
      <c r="C2462" s="28" t="s">
        <v>163</v>
      </c>
      <c r="D2462" s="28" t="s">
        <v>48</v>
      </c>
      <c r="E2462" s="28" t="s">
        <v>815</v>
      </c>
      <c r="F2462" s="28" t="s">
        <v>142</v>
      </c>
      <c r="G2462" s="28" t="s">
        <v>148</v>
      </c>
      <c r="H2462" s="28" t="s">
        <v>229</v>
      </c>
      <c r="I2462" s="29" t="n">
        <v>100000</v>
      </c>
      <c r="J2462" s="29" t="n">
        <v>85000</v>
      </c>
      <c r="K2462" s="28" t="n">
        <v>11</v>
      </c>
      <c r="L2462" s="28" t="n">
        <v>120</v>
      </c>
      <c r="M2462" s="28" t="n">
        <v>2</v>
      </c>
    </row>
    <row r="2463" customFormat="false" ht="15" hidden="false" customHeight="false" outlineLevel="0" collapsed="false">
      <c r="A2463" s="27" t="n">
        <v>45093</v>
      </c>
      <c r="B2463" s="28" t="n">
        <v>2023</v>
      </c>
      <c r="C2463" s="28" t="s">
        <v>140</v>
      </c>
      <c r="D2463" s="28" t="s">
        <v>42</v>
      </c>
      <c r="E2463" s="28" t="s">
        <v>753</v>
      </c>
      <c r="F2463" s="28" t="s">
        <v>142</v>
      </c>
      <c r="G2463" s="28" t="s">
        <v>143</v>
      </c>
      <c r="H2463" s="28" t="s">
        <v>211</v>
      </c>
      <c r="I2463" s="29" t="n">
        <v>500000</v>
      </c>
      <c r="J2463" s="29" t="n">
        <v>375000</v>
      </c>
      <c r="K2463" s="28" t="n">
        <v>10.75</v>
      </c>
      <c r="L2463" s="28" t="n">
        <v>120</v>
      </c>
      <c r="M2463" s="28" t="n">
        <v>12</v>
      </c>
    </row>
    <row r="2464" customFormat="false" ht="15" hidden="false" customHeight="false" outlineLevel="0" collapsed="false">
      <c r="A2464" s="27" t="n">
        <v>45097</v>
      </c>
      <c r="B2464" s="28" t="n">
        <v>2023</v>
      </c>
      <c r="C2464" s="28" t="s">
        <v>140</v>
      </c>
      <c r="D2464" s="28" t="s">
        <v>52</v>
      </c>
      <c r="E2464" s="28" t="s">
        <v>716</v>
      </c>
      <c r="F2464" s="28" t="s">
        <v>147</v>
      </c>
      <c r="G2464" s="28" t="s">
        <v>441</v>
      </c>
      <c r="H2464" s="28" t="s">
        <v>168</v>
      </c>
      <c r="I2464" s="29" t="n">
        <v>15000</v>
      </c>
      <c r="J2464" s="29" t="n">
        <v>7500</v>
      </c>
      <c r="K2464" s="28" t="n">
        <v>13.75</v>
      </c>
      <c r="L2464" s="28" t="n">
        <v>120</v>
      </c>
      <c r="M2464" s="28" t="n">
        <v>3</v>
      </c>
    </row>
    <row r="2465" customFormat="false" ht="15" hidden="false" customHeight="false" outlineLevel="0" collapsed="false">
      <c r="A2465" s="27" t="n">
        <v>45097</v>
      </c>
      <c r="B2465" s="28" t="n">
        <v>2023</v>
      </c>
      <c r="C2465" s="28" t="s">
        <v>263</v>
      </c>
      <c r="D2465" s="28" t="s">
        <v>44</v>
      </c>
      <c r="E2465" s="28" t="s">
        <v>783</v>
      </c>
      <c r="F2465" s="28" t="s">
        <v>147</v>
      </c>
      <c r="G2465" s="28" t="s">
        <v>148</v>
      </c>
      <c r="H2465" s="28" t="s">
        <v>428</v>
      </c>
      <c r="I2465" s="29" t="n">
        <v>10000</v>
      </c>
      <c r="J2465" s="29" t="n">
        <v>5000</v>
      </c>
      <c r="K2465" s="28" t="n">
        <v>14.25</v>
      </c>
      <c r="L2465" s="28" t="n">
        <v>120</v>
      </c>
      <c r="M2465" s="28" t="n">
        <v>50</v>
      </c>
    </row>
    <row r="2466" customFormat="false" ht="15" hidden="false" customHeight="false" outlineLevel="0" collapsed="false">
      <c r="A2466" s="27" t="n">
        <v>45097</v>
      </c>
      <c r="B2466" s="28" t="n">
        <v>2023</v>
      </c>
      <c r="C2466" s="28" t="s">
        <v>379</v>
      </c>
      <c r="D2466" s="28" t="s">
        <v>45</v>
      </c>
      <c r="E2466" s="28" t="s">
        <v>480</v>
      </c>
      <c r="F2466" s="28" t="s">
        <v>142</v>
      </c>
      <c r="G2466" s="28" t="s">
        <v>148</v>
      </c>
      <c r="H2466" s="28" t="s">
        <v>494</v>
      </c>
      <c r="I2466" s="29" t="n">
        <v>2100000</v>
      </c>
      <c r="J2466" s="29" t="n">
        <v>1575000</v>
      </c>
      <c r="K2466" s="28" t="n">
        <v>9.75</v>
      </c>
      <c r="L2466" s="28" t="n">
        <v>156</v>
      </c>
      <c r="M2466" s="28" t="n">
        <v>3</v>
      </c>
    </row>
    <row r="2467" customFormat="false" ht="15" hidden="false" customHeight="false" outlineLevel="0" collapsed="false">
      <c r="A2467" s="27" t="n">
        <v>45097</v>
      </c>
      <c r="B2467" s="28" t="n">
        <v>2023</v>
      </c>
      <c r="C2467" s="28" t="s">
        <v>172</v>
      </c>
      <c r="D2467" s="28" t="s">
        <v>46</v>
      </c>
      <c r="E2467" s="28" t="s">
        <v>770</v>
      </c>
      <c r="F2467" s="28" t="s">
        <v>147</v>
      </c>
      <c r="G2467" s="28" t="s">
        <v>148</v>
      </c>
      <c r="H2467" s="28" t="s">
        <v>159</v>
      </c>
      <c r="I2467" s="29" t="n">
        <v>100000</v>
      </c>
      <c r="J2467" s="29" t="n">
        <v>50000</v>
      </c>
      <c r="K2467" s="28" t="n">
        <v>12.75</v>
      </c>
      <c r="L2467" s="28" t="n">
        <v>82</v>
      </c>
      <c r="M2467" s="28" t="n">
        <v>0</v>
      </c>
    </row>
    <row r="2468" customFormat="false" ht="15" hidden="false" customHeight="false" outlineLevel="0" collapsed="false">
      <c r="A2468" s="27" t="n">
        <v>45097</v>
      </c>
      <c r="B2468" s="28" t="n">
        <v>2023</v>
      </c>
      <c r="C2468" s="28" t="s">
        <v>169</v>
      </c>
      <c r="D2468" s="28" t="s">
        <v>48</v>
      </c>
      <c r="E2468" s="28" t="s">
        <v>736</v>
      </c>
      <c r="F2468" s="28" t="s">
        <v>142</v>
      </c>
      <c r="G2468" s="28" t="s">
        <v>148</v>
      </c>
      <c r="H2468" s="28" t="s">
        <v>275</v>
      </c>
      <c r="I2468" s="29" t="n">
        <v>350000</v>
      </c>
      <c r="J2468" s="29" t="n">
        <v>262500</v>
      </c>
      <c r="K2468" s="28" t="n">
        <v>11</v>
      </c>
      <c r="L2468" s="28" t="n">
        <v>120</v>
      </c>
      <c r="M2468" s="28" t="n">
        <v>9</v>
      </c>
    </row>
    <row r="2469" customFormat="false" ht="15" hidden="false" customHeight="false" outlineLevel="0" collapsed="false">
      <c r="A2469" s="27" t="n">
        <v>45098</v>
      </c>
      <c r="B2469" s="28" t="n">
        <v>2023</v>
      </c>
      <c r="C2469" s="28" t="s">
        <v>163</v>
      </c>
      <c r="D2469" s="28" t="s">
        <v>46</v>
      </c>
      <c r="E2469" s="28" t="s">
        <v>746</v>
      </c>
      <c r="F2469" s="28" t="s">
        <v>142</v>
      </c>
      <c r="G2469" s="28" t="s">
        <v>152</v>
      </c>
      <c r="H2469" s="28" t="s">
        <v>382</v>
      </c>
      <c r="I2469" s="29" t="n">
        <v>291000</v>
      </c>
      <c r="J2469" s="29" t="n">
        <v>218250</v>
      </c>
      <c r="K2469" s="28" t="n">
        <v>11.25</v>
      </c>
      <c r="L2469" s="28" t="n">
        <v>120</v>
      </c>
      <c r="M2469" s="28" t="n">
        <v>8</v>
      </c>
    </row>
    <row r="2470" customFormat="false" ht="15" hidden="false" customHeight="false" outlineLevel="0" collapsed="false">
      <c r="A2470" s="27" t="n">
        <v>45099</v>
      </c>
      <c r="B2470" s="28" t="n">
        <v>2023</v>
      </c>
      <c r="C2470" s="28" t="s">
        <v>173</v>
      </c>
      <c r="D2470" s="28" t="s">
        <v>55</v>
      </c>
      <c r="E2470" s="28" t="s">
        <v>552</v>
      </c>
      <c r="F2470" s="28" t="s">
        <v>283</v>
      </c>
      <c r="G2470" s="28" t="s">
        <v>148</v>
      </c>
      <c r="H2470" s="28" t="s">
        <v>306</v>
      </c>
      <c r="I2470" s="29" t="n">
        <v>1500000</v>
      </c>
      <c r="J2470" s="29" t="n">
        <v>1125000</v>
      </c>
      <c r="K2470" s="28" t="n">
        <v>9.75</v>
      </c>
      <c r="L2470" s="28" t="n">
        <v>39</v>
      </c>
      <c r="M2470" s="28" t="n">
        <v>10</v>
      </c>
    </row>
    <row r="2471" customFormat="false" ht="15" hidden="false" customHeight="false" outlineLevel="0" collapsed="false">
      <c r="A2471" s="27" t="n">
        <v>45099</v>
      </c>
      <c r="B2471" s="28" t="n">
        <v>2023</v>
      </c>
      <c r="C2471" s="28" t="s">
        <v>216</v>
      </c>
      <c r="D2471" s="28" t="s">
        <v>46</v>
      </c>
      <c r="E2471" s="28" t="s">
        <v>813</v>
      </c>
      <c r="F2471" s="28" t="s">
        <v>147</v>
      </c>
      <c r="G2471" s="28" t="s">
        <v>441</v>
      </c>
      <c r="H2471" s="28" t="s">
        <v>621</v>
      </c>
      <c r="I2471" s="29" t="n">
        <v>100000</v>
      </c>
      <c r="J2471" s="29" t="n">
        <v>50000</v>
      </c>
      <c r="K2471" s="28" t="n">
        <v>11</v>
      </c>
      <c r="L2471" s="28" t="n">
        <v>120</v>
      </c>
      <c r="M2471" s="28" t="n">
        <v>25</v>
      </c>
    </row>
    <row r="2472" customFormat="false" ht="15" hidden="false" customHeight="false" outlineLevel="0" collapsed="false">
      <c r="A2472" s="27" t="n">
        <v>45099</v>
      </c>
      <c r="B2472" s="28" t="n">
        <v>2023</v>
      </c>
      <c r="C2472" s="28" t="s">
        <v>216</v>
      </c>
      <c r="D2472" s="28" t="s">
        <v>46</v>
      </c>
      <c r="E2472" s="28" t="s">
        <v>813</v>
      </c>
      <c r="F2472" s="28" t="s">
        <v>142</v>
      </c>
      <c r="G2472" s="28" t="s">
        <v>441</v>
      </c>
      <c r="H2472" s="28" t="s">
        <v>621</v>
      </c>
      <c r="I2472" s="29" t="n">
        <v>4933000</v>
      </c>
      <c r="J2472" s="29" t="n">
        <v>3699750</v>
      </c>
      <c r="K2472" s="28" t="n">
        <v>10.25</v>
      </c>
      <c r="L2472" s="28" t="n">
        <v>120</v>
      </c>
      <c r="M2472" s="28" t="n">
        <v>25</v>
      </c>
    </row>
    <row r="2473" customFormat="false" ht="15" hidden="false" customHeight="false" outlineLevel="0" collapsed="false">
      <c r="A2473" s="27" t="n">
        <v>45099</v>
      </c>
      <c r="B2473" s="28" t="n">
        <v>2023</v>
      </c>
      <c r="C2473" s="28" t="s">
        <v>160</v>
      </c>
      <c r="D2473" s="28" t="s">
        <v>44</v>
      </c>
      <c r="E2473" s="28" t="s">
        <v>983</v>
      </c>
      <c r="F2473" s="28" t="s">
        <v>147</v>
      </c>
      <c r="G2473" s="28" t="s">
        <v>441</v>
      </c>
      <c r="H2473" s="28" t="s">
        <v>168</v>
      </c>
      <c r="I2473" s="29" t="n">
        <v>35000</v>
      </c>
      <c r="J2473" s="29" t="n">
        <v>17500</v>
      </c>
      <c r="K2473" s="28" t="n">
        <v>12.75</v>
      </c>
      <c r="L2473" s="28" t="n">
        <v>120</v>
      </c>
      <c r="M2473" s="28" t="n">
        <v>13</v>
      </c>
    </row>
    <row r="2474" customFormat="false" ht="15" hidden="false" customHeight="false" outlineLevel="0" collapsed="false">
      <c r="A2474" s="27" t="n">
        <v>45099</v>
      </c>
      <c r="B2474" s="28" t="n">
        <v>2023</v>
      </c>
      <c r="C2474" s="28" t="s">
        <v>163</v>
      </c>
      <c r="D2474" s="28" t="s">
        <v>51</v>
      </c>
      <c r="E2474" s="28" t="s">
        <v>779</v>
      </c>
      <c r="F2474" s="28" t="s">
        <v>142</v>
      </c>
      <c r="G2474" s="28" t="s">
        <v>441</v>
      </c>
      <c r="H2474" s="28" t="s">
        <v>388</v>
      </c>
      <c r="I2474" s="29" t="n">
        <v>2257000</v>
      </c>
      <c r="J2474" s="29" t="n">
        <v>1692750</v>
      </c>
      <c r="K2474" s="28" t="n">
        <v>11</v>
      </c>
      <c r="L2474" s="28" t="n">
        <v>105</v>
      </c>
      <c r="M2474" s="28" t="n">
        <v>2</v>
      </c>
    </row>
    <row r="2475" customFormat="false" ht="15" hidden="false" customHeight="false" outlineLevel="0" collapsed="false">
      <c r="A2475" s="27" t="n">
        <v>45100</v>
      </c>
      <c r="B2475" s="28" t="n">
        <v>2023</v>
      </c>
      <c r="C2475" s="28" t="s">
        <v>201</v>
      </c>
      <c r="D2475" s="28" t="s">
        <v>48</v>
      </c>
      <c r="E2475" s="28" t="s">
        <v>815</v>
      </c>
      <c r="F2475" s="28" t="s">
        <v>147</v>
      </c>
      <c r="G2475" s="28" t="s">
        <v>441</v>
      </c>
      <c r="H2475" s="28" t="s">
        <v>205</v>
      </c>
      <c r="I2475" s="29" t="n">
        <v>25000</v>
      </c>
      <c r="J2475" s="29" t="n">
        <v>12500</v>
      </c>
      <c r="K2475" s="28" t="n">
        <v>13.75</v>
      </c>
      <c r="L2475" s="28" t="n">
        <v>48</v>
      </c>
      <c r="M2475" s="28" t="n">
        <v>2</v>
      </c>
    </row>
    <row r="2476" customFormat="false" ht="15" hidden="false" customHeight="false" outlineLevel="0" collapsed="false">
      <c r="A2476" s="27" t="n">
        <v>45102</v>
      </c>
      <c r="B2476" s="28" t="n">
        <v>2023</v>
      </c>
      <c r="C2476" s="28" t="s">
        <v>169</v>
      </c>
      <c r="D2476" s="28" t="s">
        <v>48</v>
      </c>
      <c r="E2476" s="28" t="s">
        <v>362</v>
      </c>
      <c r="F2476" s="28" t="s">
        <v>147</v>
      </c>
      <c r="G2476" s="28" t="s">
        <v>148</v>
      </c>
      <c r="H2476" s="28" t="s">
        <v>428</v>
      </c>
      <c r="I2476" s="29" t="n">
        <v>20000</v>
      </c>
      <c r="J2476" s="29" t="n">
        <v>10000</v>
      </c>
      <c r="K2476" s="28" t="n">
        <v>14.85</v>
      </c>
      <c r="L2476" s="28" t="n">
        <v>84</v>
      </c>
      <c r="M2476" s="28" t="n">
        <v>5</v>
      </c>
    </row>
    <row r="2477" customFormat="false" ht="15" hidden="false" customHeight="false" outlineLevel="0" collapsed="false">
      <c r="A2477" s="27" t="n">
        <v>45103</v>
      </c>
      <c r="B2477" s="28" t="n">
        <v>2023</v>
      </c>
      <c r="C2477" s="28" t="s">
        <v>172</v>
      </c>
      <c r="D2477" s="28" t="s">
        <v>46</v>
      </c>
      <c r="E2477" s="28" t="s">
        <v>770</v>
      </c>
      <c r="F2477" s="28" t="s">
        <v>142</v>
      </c>
      <c r="G2477" s="28" t="s">
        <v>143</v>
      </c>
      <c r="H2477" s="28" t="s">
        <v>211</v>
      </c>
      <c r="I2477" s="29" t="n">
        <v>340000</v>
      </c>
      <c r="J2477" s="29" t="n">
        <v>255000</v>
      </c>
      <c r="K2477" s="28" t="n">
        <v>11</v>
      </c>
      <c r="L2477" s="28" t="n">
        <v>120</v>
      </c>
      <c r="M2477" s="28" t="n">
        <v>12</v>
      </c>
    </row>
    <row r="2478" customFormat="false" ht="15" hidden="false" customHeight="false" outlineLevel="0" collapsed="false">
      <c r="A2478" s="27" t="n">
        <v>45103</v>
      </c>
      <c r="B2478" s="28" t="n">
        <v>2023</v>
      </c>
      <c r="C2478" s="28" t="s">
        <v>169</v>
      </c>
      <c r="D2478" s="28" t="s">
        <v>45</v>
      </c>
      <c r="E2478" s="28" t="s">
        <v>708</v>
      </c>
      <c r="F2478" s="28" t="s">
        <v>147</v>
      </c>
      <c r="G2478" s="28" t="s">
        <v>143</v>
      </c>
      <c r="H2478" s="28" t="s">
        <v>159</v>
      </c>
      <c r="I2478" s="29" t="n">
        <v>200000</v>
      </c>
      <c r="J2478" s="29" t="n">
        <v>100000</v>
      </c>
      <c r="K2478" s="28" t="n">
        <v>10.75</v>
      </c>
      <c r="L2478" s="28" t="n">
        <v>108</v>
      </c>
      <c r="M2478" s="28" t="n">
        <v>5</v>
      </c>
    </row>
    <row r="2479" customFormat="false" ht="15" hidden="false" customHeight="false" outlineLevel="0" collapsed="false">
      <c r="A2479" s="27" t="n">
        <v>45103</v>
      </c>
      <c r="B2479" s="28" t="n">
        <v>2023</v>
      </c>
      <c r="C2479" s="28" t="s">
        <v>169</v>
      </c>
      <c r="D2479" s="28" t="s">
        <v>45</v>
      </c>
      <c r="E2479" s="28" t="s">
        <v>708</v>
      </c>
      <c r="F2479" s="28" t="s">
        <v>147</v>
      </c>
      <c r="G2479" s="28" t="s">
        <v>143</v>
      </c>
      <c r="H2479" s="28" t="s">
        <v>159</v>
      </c>
      <c r="I2479" s="29" t="n">
        <v>25000</v>
      </c>
      <c r="J2479" s="29" t="n">
        <v>12500</v>
      </c>
      <c r="K2479" s="28" t="n">
        <v>14.75</v>
      </c>
      <c r="L2479" s="28" t="n">
        <v>72</v>
      </c>
      <c r="M2479" s="28" t="n">
        <v>5</v>
      </c>
    </row>
    <row r="2480" customFormat="false" ht="15" hidden="false" customHeight="false" outlineLevel="0" collapsed="false">
      <c r="A2480" s="27" t="n">
        <v>45103</v>
      </c>
      <c r="B2480" s="28" t="n">
        <v>2023</v>
      </c>
      <c r="C2480" s="28" t="s">
        <v>196</v>
      </c>
      <c r="D2480" s="28" t="s">
        <v>50</v>
      </c>
      <c r="E2480" s="28" t="s">
        <v>984</v>
      </c>
      <c r="F2480" s="28" t="s">
        <v>147</v>
      </c>
      <c r="G2480" s="28" t="s">
        <v>148</v>
      </c>
      <c r="H2480" s="28" t="s">
        <v>191</v>
      </c>
      <c r="I2480" s="29" t="n">
        <v>100000</v>
      </c>
      <c r="J2480" s="29" t="n">
        <v>50000</v>
      </c>
      <c r="K2480" s="28" t="n">
        <v>11.25</v>
      </c>
      <c r="L2480" s="28" t="n">
        <v>120</v>
      </c>
      <c r="M2480" s="28" t="n">
        <v>0</v>
      </c>
    </row>
    <row r="2481" customFormat="false" ht="15" hidden="false" customHeight="false" outlineLevel="0" collapsed="false">
      <c r="A2481" s="27" t="n">
        <v>45103</v>
      </c>
      <c r="B2481" s="28" t="n">
        <v>2023</v>
      </c>
      <c r="C2481" s="28" t="s">
        <v>549</v>
      </c>
      <c r="D2481" s="28" t="s">
        <v>45</v>
      </c>
      <c r="E2481" s="28" t="s">
        <v>708</v>
      </c>
      <c r="F2481" s="28" t="s">
        <v>142</v>
      </c>
      <c r="G2481" s="28" t="s">
        <v>148</v>
      </c>
      <c r="H2481" s="28" t="s">
        <v>211</v>
      </c>
      <c r="I2481" s="29" t="n">
        <v>265000</v>
      </c>
      <c r="J2481" s="29" t="n">
        <v>198750</v>
      </c>
      <c r="K2481" s="28" t="n">
        <v>11</v>
      </c>
      <c r="L2481" s="28" t="n">
        <v>120</v>
      </c>
      <c r="M2481" s="28" t="n">
        <v>2</v>
      </c>
    </row>
    <row r="2482" customFormat="false" ht="15" hidden="false" customHeight="false" outlineLevel="0" collapsed="false">
      <c r="A2482" s="27" t="n">
        <v>45103</v>
      </c>
      <c r="B2482" s="28" t="n">
        <v>2023</v>
      </c>
      <c r="C2482" s="28" t="s">
        <v>172</v>
      </c>
      <c r="D2482" s="28" t="s">
        <v>46</v>
      </c>
      <c r="E2482" s="28" t="s">
        <v>770</v>
      </c>
      <c r="F2482" s="28" t="s">
        <v>147</v>
      </c>
      <c r="G2482" s="28" t="s">
        <v>143</v>
      </c>
      <c r="H2482" s="28" t="s">
        <v>211</v>
      </c>
      <c r="I2482" s="29" t="n">
        <v>30000</v>
      </c>
      <c r="J2482" s="29" t="n">
        <v>15000</v>
      </c>
      <c r="K2482" s="28" t="n">
        <v>11</v>
      </c>
      <c r="L2482" s="28" t="n">
        <v>120</v>
      </c>
      <c r="M2482" s="28" t="n">
        <v>12</v>
      </c>
    </row>
    <row r="2483" customFormat="false" ht="15" hidden="false" customHeight="false" outlineLevel="0" collapsed="false">
      <c r="A2483" s="27" t="n">
        <v>45103</v>
      </c>
      <c r="B2483" s="28" t="n">
        <v>2023</v>
      </c>
      <c r="C2483" s="28" t="s">
        <v>243</v>
      </c>
      <c r="D2483" s="28" t="s">
        <v>44</v>
      </c>
      <c r="E2483" s="28" t="s">
        <v>783</v>
      </c>
      <c r="F2483" s="28" t="s">
        <v>142</v>
      </c>
      <c r="G2483" s="28" t="s">
        <v>148</v>
      </c>
      <c r="H2483" s="28" t="s">
        <v>372</v>
      </c>
      <c r="I2483" s="29" t="n">
        <v>250000</v>
      </c>
      <c r="J2483" s="29" t="n">
        <v>187500</v>
      </c>
      <c r="K2483" s="28" t="n">
        <v>11</v>
      </c>
      <c r="L2483" s="28" t="n">
        <v>120</v>
      </c>
      <c r="M2483" s="28" t="n">
        <v>3</v>
      </c>
    </row>
    <row r="2484" customFormat="false" ht="15" hidden="false" customHeight="false" outlineLevel="0" collapsed="false">
      <c r="A2484" s="27" t="n">
        <v>45104</v>
      </c>
      <c r="B2484" s="28" t="n">
        <v>2023</v>
      </c>
      <c r="C2484" s="28" t="s">
        <v>303</v>
      </c>
      <c r="D2484" s="28" t="s">
        <v>42</v>
      </c>
      <c r="E2484" s="28" t="s">
        <v>717</v>
      </c>
      <c r="F2484" s="28" t="s">
        <v>142</v>
      </c>
      <c r="G2484" s="28" t="s">
        <v>143</v>
      </c>
      <c r="H2484" s="28" t="s">
        <v>211</v>
      </c>
      <c r="I2484" s="29" t="n">
        <v>620000</v>
      </c>
      <c r="J2484" s="29" t="n">
        <v>465000</v>
      </c>
      <c r="K2484" s="28" t="n">
        <v>10.75</v>
      </c>
      <c r="L2484" s="28" t="n">
        <v>112</v>
      </c>
      <c r="M2484" s="28" t="n">
        <v>94</v>
      </c>
    </row>
    <row r="2485" customFormat="false" ht="15" hidden="false" customHeight="false" outlineLevel="0" collapsed="false">
      <c r="A2485" s="27" t="n">
        <v>45104</v>
      </c>
      <c r="B2485" s="28" t="n">
        <v>2023</v>
      </c>
      <c r="C2485" s="28" t="s">
        <v>163</v>
      </c>
      <c r="D2485" s="28" t="s">
        <v>51</v>
      </c>
      <c r="E2485" s="28" t="s">
        <v>779</v>
      </c>
      <c r="F2485" s="28" t="s">
        <v>142</v>
      </c>
      <c r="G2485" s="28" t="s">
        <v>143</v>
      </c>
      <c r="H2485" s="28" t="s">
        <v>494</v>
      </c>
      <c r="I2485" s="29" t="n">
        <v>378000</v>
      </c>
      <c r="J2485" s="29" t="n">
        <v>283500</v>
      </c>
      <c r="K2485" s="28" t="n">
        <v>11.25</v>
      </c>
      <c r="L2485" s="28" t="n">
        <v>120</v>
      </c>
      <c r="M2485" s="28" t="n">
        <v>6</v>
      </c>
    </row>
    <row r="2486" customFormat="false" ht="15" hidden="false" customHeight="false" outlineLevel="0" collapsed="false">
      <c r="A2486" s="27" t="n">
        <v>45104</v>
      </c>
      <c r="B2486" s="28" t="n">
        <v>2023</v>
      </c>
      <c r="C2486" s="28" t="s">
        <v>636</v>
      </c>
      <c r="D2486" s="28" t="s">
        <v>50</v>
      </c>
      <c r="E2486" s="28" t="s">
        <v>193</v>
      </c>
      <c r="F2486" s="28" t="s">
        <v>147</v>
      </c>
      <c r="G2486" s="28" t="s">
        <v>148</v>
      </c>
      <c r="H2486" s="28" t="s">
        <v>159</v>
      </c>
      <c r="I2486" s="29" t="n">
        <v>55000</v>
      </c>
      <c r="J2486" s="29" t="n">
        <v>27500</v>
      </c>
      <c r="K2486" s="28" t="n">
        <v>10.5</v>
      </c>
      <c r="L2486" s="28" t="n">
        <v>60</v>
      </c>
      <c r="M2486" s="28" t="n">
        <v>0</v>
      </c>
    </row>
    <row r="2487" customFormat="false" ht="15" hidden="false" customHeight="false" outlineLevel="0" collapsed="false">
      <c r="A2487" s="27" t="n">
        <v>45105</v>
      </c>
      <c r="B2487" s="28" t="n">
        <v>2023</v>
      </c>
      <c r="C2487" s="28" t="s">
        <v>140</v>
      </c>
      <c r="D2487" s="28" t="s">
        <v>48</v>
      </c>
      <c r="E2487" s="28" t="s">
        <v>277</v>
      </c>
      <c r="F2487" s="28" t="s">
        <v>283</v>
      </c>
      <c r="G2487" s="28" t="s">
        <v>152</v>
      </c>
      <c r="H2487" s="28" t="s">
        <v>501</v>
      </c>
      <c r="I2487" s="29" t="n">
        <v>3605000</v>
      </c>
      <c r="J2487" s="29" t="n">
        <v>3244500</v>
      </c>
      <c r="K2487" s="28" t="n">
        <v>10.5</v>
      </c>
      <c r="L2487" s="28" t="n">
        <v>120</v>
      </c>
      <c r="M2487" s="28" t="n">
        <v>60</v>
      </c>
    </row>
    <row r="2488" customFormat="false" ht="15" hidden="false" customHeight="false" outlineLevel="0" collapsed="false">
      <c r="A2488" s="27" t="n">
        <v>45105</v>
      </c>
      <c r="B2488" s="28" t="n">
        <v>2023</v>
      </c>
      <c r="C2488" s="28" t="s">
        <v>166</v>
      </c>
      <c r="D2488" s="28" t="s">
        <v>57</v>
      </c>
      <c r="E2488" s="28" t="s">
        <v>985</v>
      </c>
      <c r="F2488" s="28" t="s">
        <v>147</v>
      </c>
      <c r="G2488" s="28" t="s">
        <v>148</v>
      </c>
      <c r="H2488" s="28" t="s">
        <v>162</v>
      </c>
      <c r="I2488" s="29" t="n">
        <v>318600</v>
      </c>
      <c r="J2488" s="29" t="n">
        <v>159300</v>
      </c>
      <c r="K2488" s="28" t="n">
        <v>5.26</v>
      </c>
      <c r="L2488" s="28" t="n">
        <v>300</v>
      </c>
      <c r="M2488" s="28" t="n">
        <v>3</v>
      </c>
    </row>
    <row r="2489" customFormat="false" ht="15" hidden="false" customHeight="false" outlineLevel="0" collapsed="false">
      <c r="A2489" s="27" t="n">
        <v>45105</v>
      </c>
      <c r="B2489" s="28" t="n">
        <v>2023</v>
      </c>
      <c r="C2489" s="28" t="s">
        <v>303</v>
      </c>
      <c r="D2489" s="28" t="s">
        <v>51</v>
      </c>
      <c r="E2489" s="28" t="s">
        <v>936</v>
      </c>
      <c r="F2489" s="28" t="s">
        <v>147</v>
      </c>
      <c r="G2489" s="28" t="s">
        <v>148</v>
      </c>
      <c r="H2489" s="28" t="s">
        <v>338</v>
      </c>
      <c r="I2489" s="29" t="n">
        <v>101100</v>
      </c>
      <c r="J2489" s="29" t="n">
        <v>50550</v>
      </c>
      <c r="K2489" s="28" t="n">
        <v>9.25</v>
      </c>
      <c r="L2489" s="28" t="n">
        <v>72</v>
      </c>
      <c r="M2489" s="28" t="n">
        <v>8</v>
      </c>
    </row>
    <row r="2490" customFormat="false" ht="15" hidden="false" customHeight="false" outlineLevel="0" collapsed="false">
      <c r="A2490" s="27" t="n">
        <v>45105</v>
      </c>
      <c r="B2490" s="28" t="n">
        <v>2023</v>
      </c>
      <c r="C2490" s="28" t="s">
        <v>140</v>
      </c>
      <c r="D2490" s="28" t="s">
        <v>48</v>
      </c>
      <c r="E2490" s="28" t="s">
        <v>277</v>
      </c>
      <c r="F2490" s="28" t="s">
        <v>147</v>
      </c>
      <c r="G2490" s="28" t="s">
        <v>148</v>
      </c>
      <c r="H2490" s="28" t="s">
        <v>501</v>
      </c>
      <c r="I2490" s="29" t="n">
        <v>500000</v>
      </c>
      <c r="J2490" s="29" t="n">
        <v>250000</v>
      </c>
      <c r="K2490" s="28" t="n">
        <v>10.5</v>
      </c>
      <c r="L2490" s="28" t="n">
        <v>120</v>
      </c>
      <c r="M2490" s="28" t="n">
        <v>60</v>
      </c>
    </row>
    <row r="2491" customFormat="false" ht="15" hidden="false" customHeight="false" outlineLevel="0" collapsed="false">
      <c r="A2491" s="27" t="n">
        <v>45105</v>
      </c>
      <c r="B2491" s="28" t="n">
        <v>2023</v>
      </c>
      <c r="C2491" s="28" t="s">
        <v>241</v>
      </c>
      <c r="D2491" s="28" t="s">
        <v>44</v>
      </c>
      <c r="E2491" s="28" t="s">
        <v>920</v>
      </c>
      <c r="F2491" s="28" t="s">
        <v>142</v>
      </c>
      <c r="G2491" s="28" t="s">
        <v>148</v>
      </c>
      <c r="H2491" s="28" t="s">
        <v>179</v>
      </c>
      <c r="I2491" s="29" t="n">
        <v>760000</v>
      </c>
      <c r="J2491" s="29" t="n">
        <v>570000</v>
      </c>
      <c r="K2491" s="28" t="n">
        <v>9.25</v>
      </c>
      <c r="L2491" s="28" t="n">
        <v>300</v>
      </c>
      <c r="M2491" s="28" t="n">
        <v>26</v>
      </c>
    </row>
    <row r="2492" customFormat="false" ht="15" hidden="false" customHeight="false" outlineLevel="0" collapsed="false">
      <c r="A2492" s="27" t="n">
        <v>45107</v>
      </c>
      <c r="B2492" s="28" t="n">
        <v>2023</v>
      </c>
      <c r="C2492" s="28" t="s">
        <v>460</v>
      </c>
      <c r="D2492" s="28" t="s">
        <v>45</v>
      </c>
      <c r="E2492" s="28" t="s">
        <v>713</v>
      </c>
      <c r="F2492" s="28" t="s">
        <v>283</v>
      </c>
      <c r="G2492" s="28" t="s">
        <v>148</v>
      </c>
      <c r="H2492" s="28" t="s">
        <v>986</v>
      </c>
      <c r="I2492" s="29" t="n">
        <v>1000000</v>
      </c>
      <c r="J2492" s="29" t="n">
        <v>750000</v>
      </c>
      <c r="K2492" s="28" t="n">
        <v>10.5</v>
      </c>
      <c r="L2492" s="28" t="n">
        <v>60</v>
      </c>
      <c r="M2492" s="28" t="n">
        <v>2</v>
      </c>
    </row>
    <row r="2493" customFormat="false" ht="15" hidden="false" customHeight="false" outlineLevel="0" collapsed="false">
      <c r="A2493" s="27" t="n">
        <v>45110</v>
      </c>
      <c r="B2493" s="28" t="n">
        <v>2023</v>
      </c>
      <c r="C2493" s="28" t="s">
        <v>150</v>
      </c>
      <c r="D2493" s="28" t="s">
        <v>47</v>
      </c>
      <c r="E2493" s="28" t="s">
        <v>373</v>
      </c>
      <c r="F2493" s="28" t="s">
        <v>142</v>
      </c>
      <c r="G2493" s="28" t="s">
        <v>148</v>
      </c>
      <c r="H2493" s="28" t="s">
        <v>314</v>
      </c>
      <c r="I2493" s="29" t="n">
        <v>861000</v>
      </c>
      <c r="J2493" s="29" t="n">
        <v>645750</v>
      </c>
      <c r="K2493" s="28" t="n">
        <v>10.5</v>
      </c>
      <c r="L2493" s="28" t="n">
        <v>132</v>
      </c>
      <c r="M2493" s="28" t="n">
        <v>15</v>
      </c>
    </row>
    <row r="2494" customFormat="false" ht="15" hidden="false" customHeight="false" outlineLevel="0" collapsed="false">
      <c r="A2494" s="27" t="n">
        <v>45112</v>
      </c>
      <c r="B2494" s="28" t="n">
        <v>2023</v>
      </c>
      <c r="C2494" s="28" t="s">
        <v>272</v>
      </c>
      <c r="D2494" s="28" t="s">
        <v>56</v>
      </c>
      <c r="E2494" s="28" t="s">
        <v>207</v>
      </c>
      <c r="F2494" s="28" t="s">
        <v>142</v>
      </c>
      <c r="G2494" s="28" t="s">
        <v>441</v>
      </c>
      <c r="H2494" s="28" t="s">
        <v>229</v>
      </c>
      <c r="I2494" s="29" t="n">
        <v>150000</v>
      </c>
      <c r="J2494" s="29" t="n">
        <v>127500</v>
      </c>
      <c r="K2494" s="28" t="n">
        <v>11</v>
      </c>
      <c r="L2494" s="28" t="n">
        <v>120</v>
      </c>
      <c r="M2494" s="28" t="n">
        <v>2</v>
      </c>
    </row>
    <row r="2495" customFormat="false" ht="15" hidden="false" customHeight="false" outlineLevel="0" collapsed="false">
      <c r="A2495" s="27" t="n">
        <v>45112</v>
      </c>
      <c r="B2495" s="28" t="n">
        <v>2023</v>
      </c>
      <c r="C2495" s="28" t="s">
        <v>243</v>
      </c>
      <c r="D2495" s="28" t="s">
        <v>52</v>
      </c>
      <c r="E2495" s="28" t="s">
        <v>599</v>
      </c>
      <c r="F2495" s="28" t="s">
        <v>147</v>
      </c>
      <c r="G2495" s="28" t="s">
        <v>148</v>
      </c>
      <c r="H2495" s="28" t="s">
        <v>428</v>
      </c>
      <c r="I2495" s="29" t="n">
        <v>250000</v>
      </c>
      <c r="J2495" s="29" t="n">
        <v>125000</v>
      </c>
      <c r="K2495" s="28" t="n">
        <v>10.4</v>
      </c>
      <c r="L2495" s="28" t="n">
        <v>120</v>
      </c>
      <c r="M2495" s="28" t="n">
        <v>31</v>
      </c>
    </row>
    <row r="2496" customFormat="false" ht="15" hidden="false" customHeight="false" outlineLevel="0" collapsed="false">
      <c r="A2496" s="27" t="n">
        <v>45112</v>
      </c>
      <c r="B2496" s="28" t="n">
        <v>2023</v>
      </c>
      <c r="C2496" s="28" t="s">
        <v>198</v>
      </c>
      <c r="D2496" s="28" t="s">
        <v>45</v>
      </c>
      <c r="E2496" s="28" t="s">
        <v>222</v>
      </c>
      <c r="F2496" s="28" t="s">
        <v>147</v>
      </c>
      <c r="G2496" s="28" t="s">
        <v>148</v>
      </c>
      <c r="H2496" s="28" t="s">
        <v>229</v>
      </c>
      <c r="I2496" s="29" t="n">
        <v>250000</v>
      </c>
      <c r="J2496" s="29" t="n">
        <v>125000</v>
      </c>
      <c r="K2496" s="28" t="n">
        <v>11</v>
      </c>
      <c r="L2496" s="28" t="n">
        <v>120</v>
      </c>
      <c r="M2496" s="28" t="n">
        <v>14</v>
      </c>
    </row>
    <row r="2497" customFormat="false" ht="15" hidden="false" customHeight="false" outlineLevel="0" collapsed="false">
      <c r="A2497" s="27" t="n">
        <v>45113</v>
      </c>
      <c r="B2497" s="28" t="n">
        <v>2023</v>
      </c>
      <c r="C2497" s="28" t="s">
        <v>172</v>
      </c>
      <c r="D2497" s="28" t="s">
        <v>53</v>
      </c>
      <c r="E2497" s="28" t="s">
        <v>383</v>
      </c>
      <c r="F2497" s="28" t="s">
        <v>142</v>
      </c>
      <c r="G2497" s="28" t="s">
        <v>148</v>
      </c>
      <c r="H2497" s="28" t="s">
        <v>211</v>
      </c>
      <c r="I2497" s="29" t="n">
        <v>350000</v>
      </c>
      <c r="J2497" s="29" t="n">
        <v>262500</v>
      </c>
      <c r="K2497" s="28" t="n">
        <v>11</v>
      </c>
      <c r="L2497" s="28" t="n">
        <v>120</v>
      </c>
      <c r="M2497" s="28" t="n">
        <v>4</v>
      </c>
    </row>
    <row r="2498" customFormat="false" ht="15" hidden="false" customHeight="false" outlineLevel="0" collapsed="false">
      <c r="A2498" s="27" t="n">
        <v>45113</v>
      </c>
      <c r="B2498" s="28" t="n">
        <v>2023</v>
      </c>
      <c r="C2498" s="28" t="s">
        <v>344</v>
      </c>
      <c r="D2498" s="28" t="s">
        <v>43</v>
      </c>
      <c r="E2498" s="28" t="s">
        <v>841</v>
      </c>
      <c r="F2498" s="28" t="s">
        <v>147</v>
      </c>
      <c r="G2498" s="28" t="s">
        <v>148</v>
      </c>
      <c r="H2498" s="28" t="s">
        <v>159</v>
      </c>
      <c r="I2498" s="29" t="n">
        <v>40000</v>
      </c>
      <c r="J2498" s="29" t="n">
        <v>20000</v>
      </c>
      <c r="K2498" s="28" t="n">
        <v>14.75</v>
      </c>
      <c r="L2498" s="28" t="n">
        <v>82</v>
      </c>
      <c r="M2498" s="28" t="n">
        <v>0</v>
      </c>
    </row>
    <row r="2499" customFormat="false" ht="15" hidden="false" customHeight="false" outlineLevel="0" collapsed="false">
      <c r="A2499" s="27" t="n">
        <v>45114</v>
      </c>
      <c r="B2499" s="28" t="n">
        <v>2023</v>
      </c>
      <c r="C2499" s="28" t="s">
        <v>169</v>
      </c>
      <c r="D2499" s="28" t="s">
        <v>48</v>
      </c>
      <c r="E2499" s="28" t="s">
        <v>925</v>
      </c>
      <c r="F2499" s="28" t="s">
        <v>147</v>
      </c>
      <c r="G2499" s="28" t="s">
        <v>148</v>
      </c>
      <c r="H2499" s="28" t="s">
        <v>205</v>
      </c>
      <c r="I2499" s="29" t="n">
        <v>100000</v>
      </c>
      <c r="J2499" s="29" t="n">
        <v>50000</v>
      </c>
      <c r="K2499" s="28" t="n">
        <v>11.75</v>
      </c>
      <c r="L2499" s="28" t="n">
        <v>120</v>
      </c>
      <c r="M2499" s="28" t="n">
        <v>0</v>
      </c>
    </row>
    <row r="2500" customFormat="false" ht="15" hidden="false" customHeight="false" outlineLevel="0" collapsed="false">
      <c r="A2500" s="27" t="n">
        <v>45114</v>
      </c>
      <c r="B2500" s="28" t="n">
        <v>2023</v>
      </c>
      <c r="C2500" s="28" t="s">
        <v>175</v>
      </c>
      <c r="D2500" s="28" t="s">
        <v>45</v>
      </c>
      <c r="E2500" s="28" t="s">
        <v>745</v>
      </c>
      <c r="F2500" s="28" t="s">
        <v>142</v>
      </c>
      <c r="G2500" s="28" t="s">
        <v>148</v>
      </c>
      <c r="H2500" s="28" t="s">
        <v>171</v>
      </c>
      <c r="I2500" s="29" t="n">
        <v>150000</v>
      </c>
      <c r="J2500" s="29" t="n">
        <v>127500</v>
      </c>
      <c r="K2500" s="28" t="n">
        <v>12</v>
      </c>
      <c r="L2500" s="28" t="n">
        <v>120</v>
      </c>
      <c r="M2500" s="28" t="n">
        <v>0</v>
      </c>
    </row>
    <row r="2501" customFormat="false" ht="15" hidden="false" customHeight="false" outlineLevel="0" collapsed="false">
      <c r="A2501" s="27" t="n">
        <v>45114</v>
      </c>
      <c r="B2501" s="28" t="n">
        <v>2023</v>
      </c>
      <c r="C2501" s="28" t="s">
        <v>203</v>
      </c>
      <c r="D2501" s="28" t="s">
        <v>42</v>
      </c>
      <c r="E2501" s="28" t="s">
        <v>340</v>
      </c>
      <c r="F2501" s="28" t="s">
        <v>142</v>
      </c>
      <c r="G2501" s="28" t="s">
        <v>148</v>
      </c>
      <c r="H2501" s="28" t="s">
        <v>269</v>
      </c>
      <c r="I2501" s="29" t="n">
        <v>50000</v>
      </c>
      <c r="J2501" s="29" t="n">
        <v>42500</v>
      </c>
      <c r="K2501" s="28" t="n">
        <v>12</v>
      </c>
      <c r="L2501" s="28" t="n">
        <v>120</v>
      </c>
      <c r="M2501" s="28" t="n">
        <v>0</v>
      </c>
    </row>
    <row r="2502" customFormat="false" ht="15" hidden="false" customHeight="false" outlineLevel="0" collapsed="false">
      <c r="A2502" s="27" t="n">
        <v>45114</v>
      </c>
      <c r="B2502" s="28" t="n">
        <v>2023</v>
      </c>
      <c r="C2502" s="28" t="s">
        <v>423</v>
      </c>
      <c r="D2502" s="28" t="s">
        <v>42</v>
      </c>
      <c r="E2502" s="28" t="s">
        <v>226</v>
      </c>
      <c r="F2502" s="28" t="s">
        <v>142</v>
      </c>
      <c r="G2502" s="28" t="s">
        <v>441</v>
      </c>
      <c r="H2502" s="28" t="s">
        <v>987</v>
      </c>
      <c r="I2502" s="29" t="n">
        <v>1425000</v>
      </c>
      <c r="J2502" s="29" t="n">
        <v>1068750</v>
      </c>
      <c r="K2502" s="28" t="n">
        <v>11</v>
      </c>
      <c r="L2502" s="28" t="n">
        <v>312</v>
      </c>
      <c r="M2502" s="28" t="n">
        <v>6</v>
      </c>
    </row>
    <row r="2503" customFormat="false" ht="15" hidden="false" customHeight="false" outlineLevel="0" collapsed="false">
      <c r="A2503" s="27" t="n">
        <v>45117</v>
      </c>
      <c r="B2503" s="28" t="n">
        <v>2023</v>
      </c>
      <c r="C2503" s="28" t="s">
        <v>198</v>
      </c>
      <c r="D2503" s="28" t="s">
        <v>44</v>
      </c>
      <c r="E2503" s="28" t="s">
        <v>982</v>
      </c>
      <c r="F2503" s="28" t="s">
        <v>142</v>
      </c>
      <c r="G2503" s="28" t="s">
        <v>148</v>
      </c>
      <c r="H2503" s="28" t="s">
        <v>275</v>
      </c>
      <c r="I2503" s="29" t="n">
        <v>91000</v>
      </c>
      <c r="J2503" s="29" t="n">
        <v>77350</v>
      </c>
      <c r="K2503" s="28" t="n">
        <v>11</v>
      </c>
      <c r="L2503" s="28" t="n">
        <v>120</v>
      </c>
      <c r="M2503" s="28" t="n">
        <v>4</v>
      </c>
    </row>
    <row r="2504" customFormat="false" ht="15" hidden="false" customHeight="false" outlineLevel="0" collapsed="false">
      <c r="A2504" s="27" t="n">
        <v>45117</v>
      </c>
      <c r="B2504" s="28" t="n">
        <v>2023</v>
      </c>
      <c r="C2504" s="28" t="s">
        <v>332</v>
      </c>
      <c r="D2504" s="28" t="s">
        <v>54</v>
      </c>
      <c r="E2504" s="28" t="s">
        <v>791</v>
      </c>
      <c r="F2504" s="28" t="s">
        <v>142</v>
      </c>
      <c r="G2504" s="28" t="s">
        <v>148</v>
      </c>
      <c r="H2504" s="28" t="s">
        <v>208</v>
      </c>
      <c r="I2504" s="29" t="n">
        <v>50000</v>
      </c>
      <c r="J2504" s="29" t="n">
        <v>42500</v>
      </c>
      <c r="K2504" s="28" t="n">
        <v>11</v>
      </c>
      <c r="L2504" s="28" t="n">
        <v>120</v>
      </c>
      <c r="M2504" s="28" t="n">
        <v>0</v>
      </c>
    </row>
    <row r="2505" customFormat="false" ht="15" hidden="false" customHeight="false" outlineLevel="0" collapsed="false">
      <c r="A2505" s="27" t="n">
        <v>45117</v>
      </c>
      <c r="B2505" s="28" t="n">
        <v>2023</v>
      </c>
      <c r="C2505" s="28" t="s">
        <v>206</v>
      </c>
      <c r="D2505" s="28" t="s">
        <v>51</v>
      </c>
      <c r="E2505" s="28" t="s">
        <v>779</v>
      </c>
      <c r="F2505" s="28" t="s">
        <v>147</v>
      </c>
      <c r="G2505" s="28" t="s">
        <v>143</v>
      </c>
      <c r="H2505" s="28" t="s">
        <v>159</v>
      </c>
      <c r="I2505" s="29" t="n">
        <v>238000</v>
      </c>
      <c r="J2505" s="29" t="n">
        <v>119000</v>
      </c>
      <c r="K2505" s="28" t="n">
        <v>10.25</v>
      </c>
      <c r="L2505" s="28" t="n">
        <v>132</v>
      </c>
      <c r="M2505" s="28" t="n">
        <v>5</v>
      </c>
    </row>
    <row r="2506" customFormat="false" ht="15" hidden="false" customHeight="false" outlineLevel="0" collapsed="false">
      <c r="A2506" s="27" t="n">
        <v>45117</v>
      </c>
      <c r="B2506" s="28" t="n">
        <v>2023</v>
      </c>
      <c r="C2506" s="28" t="s">
        <v>292</v>
      </c>
      <c r="D2506" s="28" t="s">
        <v>56</v>
      </c>
      <c r="E2506" s="28" t="s">
        <v>988</v>
      </c>
      <c r="F2506" s="28" t="s">
        <v>147</v>
      </c>
      <c r="G2506" s="28" t="s">
        <v>143</v>
      </c>
      <c r="H2506" s="28" t="s">
        <v>482</v>
      </c>
      <c r="I2506" s="29" t="n">
        <v>400000</v>
      </c>
      <c r="J2506" s="29" t="n">
        <v>200000</v>
      </c>
      <c r="K2506" s="28" t="n">
        <v>7.5</v>
      </c>
      <c r="L2506" s="28" t="n">
        <v>84</v>
      </c>
      <c r="M2506" s="28" t="n">
        <v>11</v>
      </c>
    </row>
    <row r="2507" customFormat="false" ht="15" hidden="false" customHeight="false" outlineLevel="0" collapsed="false">
      <c r="A2507" s="27" t="n">
        <v>45117</v>
      </c>
      <c r="B2507" s="28" t="n">
        <v>2023</v>
      </c>
      <c r="C2507" s="28" t="s">
        <v>560</v>
      </c>
      <c r="D2507" s="28" t="s">
        <v>42</v>
      </c>
      <c r="E2507" s="28" t="s">
        <v>717</v>
      </c>
      <c r="F2507" s="28" t="s">
        <v>147</v>
      </c>
      <c r="G2507" s="28" t="s">
        <v>148</v>
      </c>
      <c r="H2507" s="28" t="s">
        <v>953</v>
      </c>
      <c r="I2507" s="29" t="n">
        <v>50000</v>
      </c>
      <c r="J2507" s="29" t="n">
        <v>25000</v>
      </c>
      <c r="K2507" s="28" t="n">
        <v>14.75</v>
      </c>
      <c r="L2507" s="28" t="n">
        <v>120</v>
      </c>
      <c r="M2507" s="28" t="n">
        <v>2</v>
      </c>
    </row>
    <row r="2508" customFormat="false" ht="15" hidden="false" customHeight="false" outlineLevel="0" collapsed="false">
      <c r="A2508" s="27" t="n">
        <v>45118</v>
      </c>
      <c r="B2508" s="28" t="n">
        <v>2023</v>
      </c>
      <c r="C2508" s="28" t="s">
        <v>172</v>
      </c>
      <c r="D2508" s="28" t="s">
        <v>48</v>
      </c>
      <c r="E2508" s="28" t="s">
        <v>765</v>
      </c>
      <c r="F2508" s="28" t="s">
        <v>147</v>
      </c>
      <c r="G2508" s="28" t="s">
        <v>148</v>
      </c>
      <c r="H2508" s="28" t="s">
        <v>162</v>
      </c>
      <c r="I2508" s="29" t="n">
        <v>350000</v>
      </c>
      <c r="J2508" s="29" t="n">
        <v>175000</v>
      </c>
      <c r="K2508" s="28" t="n">
        <v>11</v>
      </c>
      <c r="L2508" s="28" t="n">
        <v>120</v>
      </c>
      <c r="M2508" s="28" t="n">
        <v>6</v>
      </c>
    </row>
    <row r="2509" customFormat="false" ht="15" hidden="false" customHeight="false" outlineLevel="0" collapsed="false">
      <c r="A2509" s="27" t="n">
        <v>45118</v>
      </c>
      <c r="B2509" s="28" t="n">
        <v>2023</v>
      </c>
      <c r="C2509" s="28" t="s">
        <v>209</v>
      </c>
      <c r="D2509" s="28" t="s">
        <v>51</v>
      </c>
      <c r="E2509" s="28" t="s">
        <v>801</v>
      </c>
      <c r="F2509" s="28" t="s">
        <v>147</v>
      </c>
      <c r="G2509" s="28" t="s">
        <v>148</v>
      </c>
      <c r="H2509" s="28" t="s">
        <v>428</v>
      </c>
      <c r="I2509" s="29" t="n">
        <v>400000</v>
      </c>
      <c r="J2509" s="29" t="n">
        <v>200000</v>
      </c>
      <c r="K2509" s="28" t="n">
        <v>9.55</v>
      </c>
      <c r="L2509" s="28" t="n">
        <v>120</v>
      </c>
      <c r="M2509" s="28" t="n">
        <v>3</v>
      </c>
    </row>
    <row r="2510" customFormat="false" ht="15" hidden="false" customHeight="false" outlineLevel="0" collapsed="false">
      <c r="A2510" s="27" t="n">
        <v>45118</v>
      </c>
      <c r="B2510" s="28" t="n">
        <v>2023</v>
      </c>
      <c r="C2510" s="28" t="s">
        <v>166</v>
      </c>
      <c r="D2510" s="28" t="s">
        <v>47</v>
      </c>
      <c r="E2510" s="28" t="s">
        <v>873</v>
      </c>
      <c r="F2510" s="28" t="s">
        <v>147</v>
      </c>
      <c r="G2510" s="28" t="s">
        <v>441</v>
      </c>
      <c r="H2510" s="28" t="s">
        <v>205</v>
      </c>
      <c r="I2510" s="29" t="n">
        <v>25000</v>
      </c>
      <c r="J2510" s="29" t="n">
        <v>12500</v>
      </c>
      <c r="K2510" s="28" t="n">
        <v>13.05</v>
      </c>
      <c r="L2510" s="28" t="n">
        <v>120</v>
      </c>
      <c r="M2510" s="28" t="n">
        <v>0</v>
      </c>
    </row>
    <row r="2511" customFormat="false" ht="15" hidden="false" customHeight="false" outlineLevel="0" collapsed="false">
      <c r="A2511" s="27" t="n">
        <v>45119</v>
      </c>
      <c r="B2511" s="28" t="n">
        <v>2023</v>
      </c>
      <c r="C2511" s="28" t="s">
        <v>140</v>
      </c>
      <c r="D2511" s="28" t="s">
        <v>50</v>
      </c>
      <c r="E2511" s="28" t="s">
        <v>785</v>
      </c>
      <c r="F2511" s="28" t="s">
        <v>142</v>
      </c>
      <c r="G2511" s="28" t="s">
        <v>143</v>
      </c>
      <c r="H2511" s="28" t="s">
        <v>287</v>
      </c>
      <c r="I2511" s="29" t="n">
        <v>150000</v>
      </c>
      <c r="J2511" s="29" t="n">
        <v>127500</v>
      </c>
      <c r="K2511" s="28" t="n">
        <v>11</v>
      </c>
      <c r="L2511" s="28" t="n">
        <v>120</v>
      </c>
      <c r="M2511" s="28" t="n">
        <v>5</v>
      </c>
    </row>
    <row r="2512" customFormat="false" ht="15" hidden="false" customHeight="false" outlineLevel="0" collapsed="false">
      <c r="A2512" s="27" t="n">
        <v>45119</v>
      </c>
      <c r="B2512" s="28" t="n">
        <v>2023</v>
      </c>
      <c r="C2512" s="28" t="s">
        <v>203</v>
      </c>
      <c r="D2512" s="28" t="s">
        <v>47</v>
      </c>
      <c r="E2512" s="28" t="s">
        <v>989</v>
      </c>
      <c r="F2512" s="28" t="s">
        <v>142</v>
      </c>
      <c r="G2512" s="28" t="s">
        <v>148</v>
      </c>
      <c r="H2512" s="28" t="s">
        <v>953</v>
      </c>
      <c r="I2512" s="29" t="n">
        <v>965000</v>
      </c>
      <c r="J2512" s="29" t="n">
        <v>723750</v>
      </c>
      <c r="K2512" s="28" t="n">
        <v>11.25</v>
      </c>
      <c r="L2512" s="28" t="n">
        <v>120</v>
      </c>
      <c r="M2512" s="28" t="n">
        <v>24</v>
      </c>
    </row>
    <row r="2513" customFormat="false" ht="15" hidden="false" customHeight="false" outlineLevel="0" collapsed="false">
      <c r="A2513" s="27" t="n">
        <v>45120</v>
      </c>
      <c r="B2513" s="28" t="n">
        <v>2023</v>
      </c>
      <c r="C2513" s="28" t="s">
        <v>163</v>
      </c>
      <c r="D2513" s="28" t="s">
        <v>50</v>
      </c>
      <c r="E2513" s="28" t="s">
        <v>507</v>
      </c>
      <c r="F2513" s="28" t="s">
        <v>147</v>
      </c>
      <c r="G2513" s="28" t="s">
        <v>441</v>
      </c>
      <c r="H2513" s="28" t="s">
        <v>168</v>
      </c>
      <c r="I2513" s="29" t="n">
        <v>15000</v>
      </c>
      <c r="J2513" s="29" t="n">
        <v>7500</v>
      </c>
      <c r="K2513" s="28" t="n">
        <v>13.75</v>
      </c>
      <c r="L2513" s="28" t="n">
        <v>120</v>
      </c>
      <c r="M2513" s="28" t="n">
        <v>0</v>
      </c>
    </row>
    <row r="2514" customFormat="false" ht="15" hidden="false" customHeight="false" outlineLevel="0" collapsed="false">
      <c r="A2514" s="27" t="n">
        <v>45120</v>
      </c>
      <c r="B2514" s="28" t="n">
        <v>2023</v>
      </c>
      <c r="C2514" s="28" t="s">
        <v>203</v>
      </c>
      <c r="D2514" s="28" t="s">
        <v>45</v>
      </c>
      <c r="E2514" s="28" t="s">
        <v>713</v>
      </c>
      <c r="F2514" s="28" t="s">
        <v>142</v>
      </c>
      <c r="G2514" s="28" t="s">
        <v>148</v>
      </c>
      <c r="H2514" s="28" t="s">
        <v>211</v>
      </c>
      <c r="I2514" s="29" t="n">
        <v>350000</v>
      </c>
      <c r="J2514" s="29" t="n">
        <v>262500</v>
      </c>
      <c r="K2514" s="28" t="n">
        <v>11</v>
      </c>
      <c r="L2514" s="28" t="n">
        <v>120</v>
      </c>
      <c r="M2514" s="28" t="n">
        <v>1</v>
      </c>
    </row>
    <row r="2515" customFormat="false" ht="15" hidden="false" customHeight="false" outlineLevel="0" collapsed="false">
      <c r="A2515" s="27" t="n">
        <v>45120</v>
      </c>
      <c r="B2515" s="28" t="n">
        <v>2023</v>
      </c>
      <c r="C2515" s="28" t="s">
        <v>172</v>
      </c>
      <c r="D2515" s="28" t="s">
        <v>50</v>
      </c>
      <c r="E2515" s="28" t="s">
        <v>990</v>
      </c>
      <c r="F2515" s="28" t="s">
        <v>194</v>
      </c>
      <c r="G2515" s="28" t="s">
        <v>143</v>
      </c>
      <c r="H2515" s="28" t="s">
        <v>605</v>
      </c>
      <c r="I2515" s="29" t="n">
        <v>405000</v>
      </c>
      <c r="J2515" s="29" t="n">
        <v>303750</v>
      </c>
      <c r="K2515" s="28" t="n">
        <v>11.25</v>
      </c>
      <c r="L2515" s="28" t="n">
        <v>123</v>
      </c>
      <c r="M2515" s="28" t="n">
        <v>19</v>
      </c>
    </row>
    <row r="2516" customFormat="false" ht="15" hidden="false" customHeight="false" outlineLevel="0" collapsed="false">
      <c r="A2516" s="27" t="n">
        <v>45120</v>
      </c>
      <c r="B2516" s="28" t="n">
        <v>2023</v>
      </c>
      <c r="C2516" s="28" t="s">
        <v>183</v>
      </c>
      <c r="D2516" s="28" t="s">
        <v>50</v>
      </c>
      <c r="E2516" s="28" t="s">
        <v>389</v>
      </c>
      <c r="F2516" s="28" t="s">
        <v>142</v>
      </c>
      <c r="G2516" s="28" t="s">
        <v>148</v>
      </c>
      <c r="H2516" s="28" t="s">
        <v>208</v>
      </c>
      <c r="I2516" s="29" t="n">
        <v>60000</v>
      </c>
      <c r="J2516" s="29" t="n">
        <v>51000</v>
      </c>
      <c r="K2516" s="28" t="n">
        <v>11</v>
      </c>
      <c r="L2516" s="28" t="n">
        <v>120</v>
      </c>
      <c r="M2516" s="28" t="n">
        <v>0</v>
      </c>
    </row>
    <row r="2517" customFormat="false" ht="15" hidden="false" customHeight="false" outlineLevel="0" collapsed="false">
      <c r="A2517" s="27" t="n">
        <v>45121</v>
      </c>
      <c r="B2517" s="28" t="n">
        <v>2023</v>
      </c>
      <c r="C2517" s="28" t="s">
        <v>172</v>
      </c>
      <c r="D2517" s="28" t="s">
        <v>53</v>
      </c>
      <c r="E2517" s="28" t="s">
        <v>964</v>
      </c>
      <c r="F2517" s="28" t="s">
        <v>142</v>
      </c>
      <c r="G2517" s="28" t="s">
        <v>148</v>
      </c>
      <c r="H2517" s="28" t="s">
        <v>211</v>
      </c>
      <c r="I2517" s="29" t="n">
        <v>200000</v>
      </c>
      <c r="J2517" s="29" t="n">
        <v>150000</v>
      </c>
      <c r="K2517" s="28" t="n">
        <v>11</v>
      </c>
      <c r="L2517" s="28" t="n">
        <v>120</v>
      </c>
      <c r="M2517" s="28" t="n">
        <v>10</v>
      </c>
    </row>
    <row r="2518" customFormat="false" ht="15" hidden="false" customHeight="false" outlineLevel="0" collapsed="false">
      <c r="A2518" s="27" t="n">
        <v>45121</v>
      </c>
      <c r="B2518" s="28" t="n">
        <v>2023</v>
      </c>
      <c r="C2518" s="28" t="s">
        <v>169</v>
      </c>
      <c r="D2518" s="28" t="s">
        <v>42</v>
      </c>
      <c r="E2518" s="28" t="s">
        <v>753</v>
      </c>
      <c r="F2518" s="28" t="s">
        <v>142</v>
      </c>
      <c r="G2518" s="28" t="s">
        <v>143</v>
      </c>
      <c r="H2518" s="28" t="s">
        <v>438</v>
      </c>
      <c r="I2518" s="29" t="n">
        <v>950000</v>
      </c>
      <c r="J2518" s="29" t="n">
        <v>712500</v>
      </c>
      <c r="K2518" s="28" t="n">
        <v>10.25</v>
      </c>
      <c r="L2518" s="28" t="n">
        <v>127</v>
      </c>
      <c r="M2518" s="28" t="n">
        <v>16</v>
      </c>
    </row>
    <row r="2519" customFormat="false" ht="15" hidden="false" customHeight="false" outlineLevel="0" collapsed="false">
      <c r="A2519" s="27" t="n">
        <v>45124</v>
      </c>
      <c r="B2519" s="28" t="n">
        <v>2023</v>
      </c>
      <c r="C2519" s="28" t="s">
        <v>172</v>
      </c>
      <c r="D2519" s="28" t="s">
        <v>46</v>
      </c>
      <c r="E2519" s="28" t="s">
        <v>813</v>
      </c>
      <c r="F2519" s="28" t="s">
        <v>147</v>
      </c>
      <c r="G2519" s="28" t="s">
        <v>441</v>
      </c>
      <c r="H2519" s="28" t="s">
        <v>159</v>
      </c>
      <c r="I2519" s="29" t="n">
        <v>25000</v>
      </c>
      <c r="J2519" s="29" t="n">
        <v>12500</v>
      </c>
      <c r="K2519" s="28" t="n">
        <v>14.75</v>
      </c>
      <c r="L2519" s="28" t="n">
        <v>120</v>
      </c>
      <c r="M2519" s="28" t="n">
        <v>5</v>
      </c>
    </row>
    <row r="2520" customFormat="false" ht="15" hidden="false" customHeight="false" outlineLevel="0" collapsed="false">
      <c r="A2520" s="27" t="n">
        <v>45124</v>
      </c>
      <c r="B2520" s="28" t="n">
        <v>2023</v>
      </c>
      <c r="C2520" s="28" t="s">
        <v>344</v>
      </c>
      <c r="D2520" s="28" t="s">
        <v>49</v>
      </c>
      <c r="E2520" s="28" t="s">
        <v>940</v>
      </c>
      <c r="F2520" s="28" t="s">
        <v>142</v>
      </c>
      <c r="G2520" s="28" t="s">
        <v>152</v>
      </c>
      <c r="H2520" s="28" t="s">
        <v>494</v>
      </c>
      <c r="I2520" s="29" t="n">
        <v>1780000</v>
      </c>
      <c r="J2520" s="29" t="n">
        <v>1335000</v>
      </c>
      <c r="K2520" s="28" t="n">
        <v>9.25</v>
      </c>
      <c r="L2520" s="28" t="n">
        <v>120</v>
      </c>
      <c r="M2520" s="28" t="n">
        <v>12</v>
      </c>
    </row>
    <row r="2521" customFormat="false" ht="15" hidden="false" customHeight="false" outlineLevel="0" collapsed="false">
      <c r="A2521" s="27" t="n">
        <v>45124</v>
      </c>
      <c r="B2521" s="28" t="n">
        <v>2023</v>
      </c>
      <c r="C2521" s="28" t="s">
        <v>979</v>
      </c>
      <c r="D2521" s="28" t="s">
        <v>42</v>
      </c>
      <c r="E2521" s="28" t="s">
        <v>705</v>
      </c>
      <c r="F2521" s="28" t="s">
        <v>142</v>
      </c>
      <c r="G2521" s="28" t="s">
        <v>152</v>
      </c>
      <c r="H2521" s="28" t="s">
        <v>211</v>
      </c>
      <c r="I2521" s="29" t="n">
        <v>2100000</v>
      </c>
      <c r="J2521" s="29" t="n">
        <v>1575000</v>
      </c>
      <c r="K2521" s="28" t="n">
        <v>9.75</v>
      </c>
      <c r="L2521" s="28" t="n">
        <v>300</v>
      </c>
      <c r="M2521" s="28" t="n">
        <v>4</v>
      </c>
    </row>
    <row r="2522" customFormat="false" ht="15" hidden="false" customHeight="false" outlineLevel="0" collapsed="false">
      <c r="A2522" s="27" t="n">
        <v>45124</v>
      </c>
      <c r="B2522" s="28" t="n">
        <v>2023</v>
      </c>
      <c r="C2522" s="28" t="s">
        <v>608</v>
      </c>
      <c r="D2522" s="28" t="s">
        <v>45</v>
      </c>
      <c r="E2522" s="28" t="s">
        <v>872</v>
      </c>
      <c r="F2522" s="28" t="s">
        <v>147</v>
      </c>
      <c r="G2522" s="28" t="s">
        <v>441</v>
      </c>
      <c r="H2522" s="28" t="s">
        <v>191</v>
      </c>
      <c r="I2522" s="29" t="n">
        <v>20000</v>
      </c>
      <c r="J2522" s="29" t="n">
        <v>10000</v>
      </c>
      <c r="K2522" s="28" t="n">
        <v>14.75</v>
      </c>
      <c r="L2522" s="28" t="n">
        <v>17</v>
      </c>
      <c r="M2522" s="28" t="n">
        <v>3</v>
      </c>
    </row>
    <row r="2523" customFormat="false" ht="15" hidden="false" customHeight="false" outlineLevel="0" collapsed="false">
      <c r="A2523" s="27" t="n">
        <v>45124</v>
      </c>
      <c r="B2523" s="28" t="n">
        <v>2023</v>
      </c>
      <c r="C2523" s="28" t="s">
        <v>172</v>
      </c>
      <c r="D2523" s="28" t="s">
        <v>46</v>
      </c>
      <c r="E2523" s="28" t="s">
        <v>813</v>
      </c>
      <c r="F2523" s="28" t="s">
        <v>147</v>
      </c>
      <c r="G2523" s="28" t="s">
        <v>441</v>
      </c>
      <c r="H2523" s="28" t="s">
        <v>159</v>
      </c>
      <c r="I2523" s="29" t="n">
        <v>70000</v>
      </c>
      <c r="J2523" s="29" t="n">
        <v>35000</v>
      </c>
      <c r="K2523" s="28" t="n">
        <v>10.75</v>
      </c>
      <c r="L2523" s="28" t="n">
        <v>60</v>
      </c>
      <c r="M2523" s="28" t="n">
        <v>5</v>
      </c>
    </row>
    <row r="2524" customFormat="false" ht="15" hidden="false" customHeight="false" outlineLevel="0" collapsed="false">
      <c r="A2524" s="27" t="n">
        <v>45124</v>
      </c>
      <c r="B2524" s="28" t="n">
        <v>2023</v>
      </c>
      <c r="C2524" s="28" t="s">
        <v>169</v>
      </c>
      <c r="D2524" s="28" t="s">
        <v>56</v>
      </c>
      <c r="E2524" s="28" t="s">
        <v>929</v>
      </c>
      <c r="F2524" s="28" t="s">
        <v>147</v>
      </c>
      <c r="G2524" s="28" t="s">
        <v>441</v>
      </c>
      <c r="H2524" s="28" t="s">
        <v>168</v>
      </c>
      <c r="I2524" s="29" t="n">
        <v>10000</v>
      </c>
      <c r="J2524" s="29" t="n">
        <v>5000</v>
      </c>
      <c r="K2524" s="28" t="n">
        <v>14.75</v>
      </c>
      <c r="L2524" s="28" t="n">
        <v>120</v>
      </c>
      <c r="M2524" s="28" t="n">
        <v>0</v>
      </c>
    </row>
    <row r="2525" customFormat="false" ht="15" hidden="false" customHeight="false" outlineLevel="0" collapsed="false">
      <c r="A2525" s="27" t="n">
        <v>45124</v>
      </c>
      <c r="B2525" s="28" t="n">
        <v>2023</v>
      </c>
      <c r="C2525" s="28" t="s">
        <v>344</v>
      </c>
      <c r="D2525" s="28" t="s">
        <v>49</v>
      </c>
      <c r="E2525" s="28" t="s">
        <v>940</v>
      </c>
      <c r="F2525" s="28" t="s">
        <v>147</v>
      </c>
      <c r="G2525" s="28" t="s">
        <v>152</v>
      </c>
      <c r="H2525" s="28" t="s">
        <v>494</v>
      </c>
      <c r="I2525" s="29" t="n">
        <v>350000</v>
      </c>
      <c r="J2525" s="29" t="n">
        <v>175000</v>
      </c>
      <c r="K2525" s="28" t="n">
        <v>9.25</v>
      </c>
      <c r="L2525" s="28" t="n">
        <v>120</v>
      </c>
      <c r="M2525" s="28" t="n">
        <v>12</v>
      </c>
    </row>
    <row r="2526" customFormat="false" ht="15" hidden="false" customHeight="false" outlineLevel="0" collapsed="false">
      <c r="A2526" s="27" t="n">
        <v>45124</v>
      </c>
      <c r="B2526" s="28" t="n">
        <v>2023</v>
      </c>
      <c r="C2526" s="28" t="s">
        <v>172</v>
      </c>
      <c r="D2526" s="28" t="s">
        <v>43</v>
      </c>
      <c r="E2526" s="28" t="s">
        <v>952</v>
      </c>
      <c r="F2526" s="28" t="s">
        <v>194</v>
      </c>
      <c r="G2526" s="28" t="s">
        <v>143</v>
      </c>
      <c r="H2526" s="28" t="s">
        <v>605</v>
      </c>
      <c r="I2526" s="29" t="n">
        <v>1845500</v>
      </c>
      <c r="J2526" s="29" t="n">
        <v>1384125</v>
      </c>
      <c r="K2526" s="28" t="n">
        <v>10.5</v>
      </c>
      <c r="L2526" s="28" t="n">
        <v>132</v>
      </c>
      <c r="M2526" s="28" t="n">
        <v>32</v>
      </c>
    </row>
    <row r="2527" customFormat="false" ht="15" hidden="false" customHeight="false" outlineLevel="0" collapsed="false">
      <c r="A2527" s="27" t="n">
        <v>45125</v>
      </c>
      <c r="B2527" s="28" t="n">
        <v>2023</v>
      </c>
      <c r="C2527" s="28" t="s">
        <v>540</v>
      </c>
      <c r="D2527" s="28" t="s">
        <v>43</v>
      </c>
      <c r="E2527" s="28" t="s">
        <v>841</v>
      </c>
      <c r="F2527" s="28" t="s">
        <v>142</v>
      </c>
      <c r="G2527" s="28" t="s">
        <v>148</v>
      </c>
      <c r="H2527" s="28" t="s">
        <v>165</v>
      </c>
      <c r="I2527" s="29" t="n">
        <v>471000</v>
      </c>
      <c r="J2527" s="29" t="n">
        <v>353250</v>
      </c>
      <c r="K2527" s="28" t="n">
        <v>7.75</v>
      </c>
      <c r="L2527" s="28" t="n">
        <v>300</v>
      </c>
      <c r="M2527" s="28" t="n">
        <v>9</v>
      </c>
    </row>
    <row r="2528" customFormat="false" ht="15" hidden="false" customHeight="false" outlineLevel="0" collapsed="false">
      <c r="A2528" s="27" t="n">
        <v>45125</v>
      </c>
      <c r="B2528" s="28" t="n">
        <v>2023</v>
      </c>
      <c r="C2528" s="28" t="s">
        <v>169</v>
      </c>
      <c r="D2528" s="28" t="s">
        <v>45</v>
      </c>
      <c r="E2528" s="28" t="s">
        <v>222</v>
      </c>
      <c r="F2528" s="28" t="s">
        <v>194</v>
      </c>
      <c r="G2528" s="28" t="s">
        <v>152</v>
      </c>
      <c r="H2528" s="28" t="s">
        <v>278</v>
      </c>
      <c r="I2528" s="29" t="n">
        <v>650000</v>
      </c>
      <c r="J2528" s="29" t="n">
        <v>487500</v>
      </c>
      <c r="K2528" s="28" t="n">
        <v>10.5</v>
      </c>
      <c r="L2528" s="28" t="n">
        <v>120</v>
      </c>
      <c r="M2528" s="28" t="n">
        <v>3</v>
      </c>
    </row>
    <row r="2529" customFormat="false" ht="15" hidden="false" customHeight="false" outlineLevel="0" collapsed="false">
      <c r="A2529" s="27" t="n">
        <v>45126</v>
      </c>
      <c r="B2529" s="28" t="n">
        <v>2023</v>
      </c>
      <c r="C2529" s="28" t="s">
        <v>607</v>
      </c>
      <c r="D2529" s="28" t="s">
        <v>45</v>
      </c>
      <c r="E2529" s="28" t="s">
        <v>912</v>
      </c>
      <c r="F2529" s="28" t="s">
        <v>283</v>
      </c>
      <c r="G2529" s="28" t="s">
        <v>441</v>
      </c>
      <c r="H2529" s="28" t="s">
        <v>179</v>
      </c>
      <c r="I2529" s="29" t="n">
        <v>495000</v>
      </c>
      <c r="J2529" s="29" t="n">
        <v>371250</v>
      </c>
      <c r="K2529" s="28" t="n">
        <v>9.25</v>
      </c>
      <c r="L2529" s="28" t="n">
        <v>37</v>
      </c>
      <c r="M2529" s="28" t="n">
        <v>78</v>
      </c>
    </row>
    <row r="2530" customFormat="false" ht="15" hidden="false" customHeight="false" outlineLevel="0" collapsed="false">
      <c r="A2530" s="27" t="n">
        <v>45126</v>
      </c>
      <c r="B2530" s="28" t="n">
        <v>2023</v>
      </c>
      <c r="C2530" s="28" t="s">
        <v>166</v>
      </c>
      <c r="D2530" s="28" t="s">
        <v>45</v>
      </c>
      <c r="E2530" s="28" t="s">
        <v>222</v>
      </c>
      <c r="F2530" s="28" t="s">
        <v>147</v>
      </c>
      <c r="G2530" s="28" t="s">
        <v>148</v>
      </c>
      <c r="H2530" s="28" t="s">
        <v>159</v>
      </c>
      <c r="I2530" s="29" t="n">
        <v>50000</v>
      </c>
      <c r="J2530" s="29" t="n">
        <v>25000</v>
      </c>
      <c r="K2530" s="28" t="n">
        <v>12</v>
      </c>
      <c r="L2530" s="28" t="n">
        <v>120</v>
      </c>
      <c r="M2530" s="28" t="n">
        <v>2</v>
      </c>
    </row>
    <row r="2531" customFormat="false" ht="15" hidden="false" customHeight="false" outlineLevel="0" collapsed="false">
      <c r="A2531" s="27" t="n">
        <v>45126</v>
      </c>
      <c r="B2531" s="28" t="n">
        <v>2023</v>
      </c>
      <c r="C2531" s="28" t="s">
        <v>172</v>
      </c>
      <c r="D2531" s="28" t="s">
        <v>48</v>
      </c>
      <c r="E2531" s="28" t="s">
        <v>736</v>
      </c>
      <c r="F2531" s="28" t="s">
        <v>142</v>
      </c>
      <c r="G2531" s="28" t="s">
        <v>148</v>
      </c>
      <c r="H2531" s="28" t="s">
        <v>275</v>
      </c>
      <c r="I2531" s="29" t="n">
        <v>303500</v>
      </c>
      <c r="J2531" s="29" t="n">
        <v>227625</v>
      </c>
      <c r="K2531" s="28" t="n">
        <v>11</v>
      </c>
      <c r="L2531" s="28" t="n">
        <v>120</v>
      </c>
      <c r="M2531" s="28" t="n">
        <v>4</v>
      </c>
    </row>
    <row r="2532" customFormat="false" ht="15" hidden="false" customHeight="false" outlineLevel="0" collapsed="false">
      <c r="A2532" s="27" t="n">
        <v>45126</v>
      </c>
      <c r="B2532" s="28" t="n">
        <v>2023</v>
      </c>
      <c r="C2532" s="28" t="s">
        <v>312</v>
      </c>
      <c r="D2532" s="28" t="s">
        <v>52</v>
      </c>
      <c r="E2532" s="28" t="s">
        <v>715</v>
      </c>
      <c r="F2532" s="28" t="s">
        <v>147</v>
      </c>
      <c r="G2532" s="28" t="s">
        <v>441</v>
      </c>
      <c r="H2532" s="28" t="s">
        <v>168</v>
      </c>
      <c r="I2532" s="29" t="n">
        <v>10000</v>
      </c>
      <c r="J2532" s="29" t="n">
        <v>5000</v>
      </c>
      <c r="K2532" s="28" t="n">
        <v>13.75</v>
      </c>
      <c r="L2532" s="28" t="n">
        <v>120</v>
      </c>
      <c r="M2532" s="28" t="n">
        <v>0</v>
      </c>
    </row>
    <row r="2533" customFormat="false" ht="15" hidden="false" customHeight="false" outlineLevel="0" collapsed="false">
      <c r="A2533" s="27" t="n">
        <v>45127</v>
      </c>
      <c r="B2533" s="28" t="n">
        <v>2023</v>
      </c>
      <c r="C2533" s="28" t="s">
        <v>235</v>
      </c>
      <c r="D2533" s="28" t="s">
        <v>42</v>
      </c>
      <c r="E2533" s="28" t="s">
        <v>717</v>
      </c>
      <c r="F2533" s="28" t="s">
        <v>142</v>
      </c>
      <c r="G2533" s="28" t="s">
        <v>441</v>
      </c>
      <c r="H2533" s="28" t="s">
        <v>208</v>
      </c>
      <c r="I2533" s="29" t="n">
        <v>162000</v>
      </c>
      <c r="J2533" s="29" t="n">
        <v>121500</v>
      </c>
      <c r="K2533" s="28" t="n">
        <v>11</v>
      </c>
      <c r="L2533" s="28" t="n">
        <v>120</v>
      </c>
      <c r="M2533" s="28" t="n">
        <v>0</v>
      </c>
    </row>
    <row r="2534" customFormat="false" ht="15" hidden="false" customHeight="false" outlineLevel="0" collapsed="false">
      <c r="A2534" s="27" t="n">
        <v>45127</v>
      </c>
      <c r="B2534" s="28" t="n">
        <v>2023</v>
      </c>
      <c r="C2534" s="28" t="s">
        <v>198</v>
      </c>
      <c r="D2534" s="28" t="s">
        <v>51</v>
      </c>
      <c r="E2534" s="28" t="s">
        <v>726</v>
      </c>
      <c r="F2534" s="28" t="s">
        <v>147</v>
      </c>
      <c r="G2534" s="28" t="s">
        <v>441</v>
      </c>
      <c r="H2534" s="28" t="s">
        <v>168</v>
      </c>
      <c r="I2534" s="29" t="n">
        <v>50000</v>
      </c>
      <c r="J2534" s="29" t="n">
        <v>25000</v>
      </c>
      <c r="K2534" s="28" t="n">
        <v>12.75</v>
      </c>
      <c r="L2534" s="28" t="n">
        <v>120</v>
      </c>
      <c r="M2534" s="28" t="n">
        <v>2</v>
      </c>
    </row>
    <row r="2535" customFormat="false" ht="15" hidden="false" customHeight="false" outlineLevel="0" collapsed="false">
      <c r="A2535" s="27" t="n">
        <v>45131</v>
      </c>
      <c r="B2535" s="28" t="n">
        <v>2023</v>
      </c>
      <c r="C2535" s="28" t="s">
        <v>203</v>
      </c>
      <c r="D2535" s="28" t="s">
        <v>50</v>
      </c>
      <c r="E2535" s="28" t="s">
        <v>193</v>
      </c>
      <c r="F2535" s="28" t="s">
        <v>147</v>
      </c>
      <c r="G2535" s="28" t="s">
        <v>441</v>
      </c>
      <c r="H2535" s="28" t="s">
        <v>168</v>
      </c>
      <c r="I2535" s="29" t="n">
        <v>10000</v>
      </c>
      <c r="J2535" s="29" t="n">
        <v>5000</v>
      </c>
      <c r="K2535" s="28" t="n">
        <v>12.75</v>
      </c>
      <c r="L2535" s="28" t="n">
        <v>120</v>
      </c>
      <c r="M2535" s="28" t="n">
        <v>1</v>
      </c>
    </row>
    <row r="2536" customFormat="false" ht="15" hidden="false" customHeight="false" outlineLevel="0" collapsed="false">
      <c r="A2536" s="27" t="n">
        <v>45131</v>
      </c>
      <c r="B2536" s="28" t="n">
        <v>2023</v>
      </c>
      <c r="C2536" s="28" t="s">
        <v>238</v>
      </c>
      <c r="D2536" s="28" t="s">
        <v>42</v>
      </c>
      <c r="E2536" s="28" t="s">
        <v>784</v>
      </c>
      <c r="F2536" s="28" t="s">
        <v>142</v>
      </c>
      <c r="G2536" s="28" t="s">
        <v>143</v>
      </c>
      <c r="H2536" s="28" t="s">
        <v>457</v>
      </c>
      <c r="I2536" s="29" t="n">
        <v>818500</v>
      </c>
      <c r="J2536" s="29" t="n">
        <v>613875</v>
      </c>
      <c r="K2536" s="28" t="n">
        <v>11</v>
      </c>
      <c r="L2536" s="28" t="n">
        <v>249</v>
      </c>
      <c r="M2536" s="28" t="n">
        <v>27</v>
      </c>
    </row>
    <row r="2537" customFormat="false" ht="15" hidden="false" customHeight="false" outlineLevel="0" collapsed="false">
      <c r="A2537" s="27" t="n">
        <v>45131</v>
      </c>
      <c r="B2537" s="28" t="n">
        <v>2023</v>
      </c>
      <c r="C2537" s="28" t="s">
        <v>316</v>
      </c>
      <c r="D2537" s="28" t="s">
        <v>51</v>
      </c>
      <c r="E2537" s="28" t="s">
        <v>800</v>
      </c>
      <c r="F2537" s="28" t="s">
        <v>142</v>
      </c>
      <c r="G2537" s="28" t="s">
        <v>441</v>
      </c>
      <c r="H2537" s="28" t="s">
        <v>275</v>
      </c>
      <c r="I2537" s="29" t="n">
        <v>108000</v>
      </c>
      <c r="J2537" s="29" t="n">
        <v>91800</v>
      </c>
      <c r="K2537" s="28" t="n">
        <v>11</v>
      </c>
      <c r="L2537" s="28" t="n">
        <v>120</v>
      </c>
      <c r="M2537" s="28" t="n">
        <v>0</v>
      </c>
    </row>
    <row r="2538" customFormat="false" ht="15" hidden="false" customHeight="false" outlineLevel="0" collapsed="false">
      <c r="A2538" s="27" t="n">
        <v>45132</v>
      </c>
      <c r="B2538" s="28" t="n">
        <v>2023</v>
      </c>
      <c r="C2538" s="28" t="s">
        <v>488</v>
      </c>
      <c r="D2538" s="28" t="s">
        <v>52</v>
      </c>
      <c r="E2538" s="28" t="s">
        <v>715</v>
      </c>
      <c r="F2538" s="28" t="s">
        <v>147</v>
      </c>
      <c r="G2538" s="28" t="s">
        <v>441</v>
      </c>
      <c r="H2538" s="28" t="s">
        <v>168</v>
      </c>
      <c r="I2538" s="29" t="n">
        <v>20000</v>
      </c>
      <c r="J2538" s="29" t="n">
        <v>10000</v>
      </c>
      <c r="K2538" s="28" t="n">
        <v>14.25</v>
      </c>
      <c r="L2538" s="28" t="n">
        <v>120</v>
      </c>
      <c r="M2538" s="28" t="n">
        <v>2</v>
      </c>
    </row>
    <row r="2539" customFormat="false" ht="15" hidden="false" customHeight="false" outlineLevel="0" collapsed="false">
      <c r="A2539" s="27" t="n">
        <v>45133</v>
      </c>
      <c r="B2539" s="28" t="n">
        <v>2023</v>
      </c>
      <c r="C2539" s="28" t="s">
        <v>169</v>
      </c>
      <c r="D2539" s="28" t="s">
        <v>48</v>
      </c>
      <c r="E2539" s="28" t="s">
        <v>736</v>
      </c>
      <c r="F2539" s="28" t="s">
        <v>147</v>
      </c>
      <c r="G2539" s="28" t="s">
        <v>148</v>
      </c>
      <c r="H2539" s="28" t="s">
        <v>162</v>
      </c>
      <c r="I2539" s="29" t="n">
        <v>150000</v>
      </c>
      <c r="J2539" s="29" t="n">
        <v>75000</v>
      </c>
      <c r="K2539" s="28" t="n">
        <v>11</v>
      </c>
      <c r="L2539" s="28" t="n">
        <v>120</v>
      </c>
      <c r="M2539" s="28" t="n">
        <v>33</v>
      </c>
    </row>
    <row r="2540" customFormat="false" ht="15" hidden="false" customHeight="false" outlineLevel="0" collapsed="false">
      <c r="A2540" s="27" t="n">
        <v>45133</v>
      </c>
      <c r="B2540" s="28" t="n">
        <v>2023</v>
      </c>
      <c r="C2540" s="28" t="s">
        <v>169</v>
      </c>
      <c r="D2540" s="28" t="s">
        <v>48</v>
      </c>
      <c r="E2540" s="28" t="s">
        <v>210</v>
      </c>
      <c r="F2540" s="28" t="s">
        <v>142</v>
      </c>
      <c r="G2540" s="28" t="s">
        <v>441</v>
      </c>
      <c r="H2540" s="28" t="s">
        <v>281</v>
      </c>
      <c r="I2540" s="29" t="n">
        <v>375000</v>
      </c>
      <c r="J2540" s="29" t="n">
        <v>281250</v>
      </c>
      <c r="K2540" s="28" t="n">
        <v>11</v>
      </c>
      <c r="L2540" s="28" t="n">
        <v>120</v>
      </c>
      <c r="M2540" s="28" t="n">
        <v>13</v>
      </c>
    </row>
    <row r="2541" customFormat="false" ht="15" hidden="false" customHeight="false" outlineLevel="0" collapsed="false">
      <c r="A2541" s="27" t="n">
        <v>45133</v>
      </c>
      <c r="B2541" s="28" t="n">
        <v>2023</v>
      </c>
      <c r="C2541" s="28" t="s">
        <v>166</v>
      </c>
      <c r="D2541" s="28" t="s">
        <v>44</v>
      </c>
      <c r="E2541" s="28" t="s">
        <v>730</v>
      </c>
      <c r="F2541" s="28" t="s">
        <v>142</v>
      </c>
      <c r="G2541" s="28" t="s">
        <v>148</v>
      </c>
      <c r="H2541" s="28" t="s">
        <v>573</v>
      </c>
      <c r="I2541" s="29" t="n">
        <v>1599600</v>
      </c>
      <c r="J2541" s="29" t="n">
        <v>1199700</v>
      </c>
      <c r="K2541" s="28" t="n">
        <v>7.5</v>
      </c>
      <c r="L2541" s="28" t="n">
        <v>300</v>
      </c>
      <c r="M2541" s="28" t="n">
        <v>15</v>
      </c>
    </row>
    <row r="2542" customFormat="false" ht="15" hidden="false" customHeight="false" outlineLevel="0" collapsed="false">
      <c r="A2542" s="27" t="n">
        <v>45134</v>
      </c>
      <c r="B2542" s="28" t="n">
        <v>2023</v>
      </c>
      <c r="C2542" s="28" t="s">
        <v>169</v>
      </c>
      <c r="D2542" s="28" t="s">
        <v>42</v>
      </c>
      <c r="E2542" s="28" t="s">
        <v>753</v>
      </c>
      <c r="F2542" s="28" t="s">
        <v>142</v>
      </c>
      <c r="G2542" s="28" t="s">
        <v>143</v>
      </c>
      <c r="H2542" s="28" t="s">
        <v>211</v>
      </c>
      <c r="I2542" s="29" t="n">
        <v>463300</v>
      </c>
      <c r="J2542" s="29" t="n">
        <v>347475</v>
      </c>
      <c r="K2542" s="28" t="n">
        <v>10.5</v>
      </c>
      <c r="L2542" s="28" t="n">
        <v>84</v>
      </c>
      <c r="M2542" s="28" t="n">
        <v>32</v>
      </c>
    </row>
    <row r="2543" customFormat="false" ht="15" hidden="false" customHeight="false" outlineLevel="0" collapsed="false">
      <c r="A2543" s="27" t="n">
        <v>45134</v>
      </c>
      <c r="B2543" s="28" t="n">
        <v>2023</v>
      </c>
      <c r="C2543" s="28" t="s">
        <v>206</v>
      </c>
      <c r="D2543" s="28" t="s">
        <v>43</v>
      </c>
      <c r="E2543" s="28" t="s">
        <v>732</v>
      </c>
      <c r="F2543" s="28" t="s">
        <v>142</v>
      </c>
      <c r="G2543" s="28" t="s">
        <v>143</v>
      </c>
      <c r="H2543" s="28" t="s">
        <v>211</v>
      </c>
      <c r="I2543" s="29" t="n">
        <v>191500</v>
      </c>
      <c r="J2543" s="29" t="n">
        <v>143625</v>
      </c>
      <c r="K2543" s="28" t="n">
        <v>10.75</v>
      </c>
      <c r="L2543" s="28" t="n">
        <v>120</v>
      </c>
      <c r="M2543" s="28" t="n">
        <v>1</v>
      </c>
    </row>
    <row r="2544" customFormat="false" ht="15" hidden="false" customHeight="false" outlineLevel="0" collapsed="false">
      <c r="A2544" s="27" t="n">
        <v>45134</v>
      </c>
      <c r="B2544" s="28" t="n">
        <v>2023</v>
      </c>
      <c r="C2544" s="28" t="s">
        <v>206</v>
      </c>
      <c r="D2544" s="28" t="s">
        <v>43</v>
      </c>
      <c r="E2544" s="28" t="s">
        <v>732</v>
      </c>
      <c r="F2544" s="28" t="s">
        <v>147</v>
      </c>
      <c r="G2544" s="28" t="s">
        <v>143</v>
      </c>
      <c r="H2544" s="28" t="s">
        <v>211</v>
      </c>
      <c r="I2544" s="29" t="n">
        <v>30000</v>
      </c>
      <c r="J2544" s="29" t="n">
        <v>15000</v>
      </c>
      <c r="K2544" s="28" t="n">
        <v>10.75</v>
      </c>
      <c r="L2544" s="28" t="n">
        <v>120</v>
      </c>
      <c r="M2544" s="28" t="n">
        <v>1</v>
      </c>
    </row>
    <row r="2545" customFormat="false" ht="15" hidden="false" customHeight="false" outlineLevel="0" collapsed="false">
      <c r="A2545" s="27" t="n">
        <v>45134</v>
      </c>
      <c r="B2545" s="28" t="n">
        <v>2023</v>
      </c>
      <c r="C2545" s="28" t="s">
        <v>160</v>
      </c>
      <c r="D2545" s="28" t="s">
        <v>48</v>
      </c>
      <c r="E2545" s="28" t="s">
        <v>991</v>
      </c>
      <c r="F2545" s="28" t="s">
        <v>147</v>
      </c>
      <c r="G2545" s="28" t="s">
        <v>148</v>
      </c>
      <c r="H2545" s="28" t="s">
        <v>428</v>
      </c>
      <c r="I2545" s="29" t="n">
        <v>500000</v>
      </c>
      <c r="J2545" s="29" t="n">
        <v>250000</v>
      </c>
      <c r="K2545" s="28" t="n">
        <v>10.05</v>
      </c>
      <c r="L2545" s="28" t="n">
        <v>120</v>
      </c>
      <c r="M2545" s="28" t="n">
        <v>2</v>
      </c>
    </row>
    <row r="2546" customFormat="false" ht="15" hidden="false" customHeight="false" outlineLevel="0" collapsed="false">
      <c r="A2546" s="27" t="n">
        <v>45134</v>
      </c>
      <c r="B2546" s="28" t="n">
        <v>2023</v>
      </c>
      <c r="C2546" s="28" t="s">
        <v>560</v>
      </c>
      <c r="D2546" s="28" t="s">
        <v>42</v>
      </c>
      <c r="E2546" s="28" t="s">
        <v>753</v>
      </c>
      <c r="F2546" s="28" t="s">
        <v>142</v>
      </c>
      <c r="G2546" s="28" t="s">
        <v>152</v>
      </c>
      <c r="H2546" s="28" t="s">
        <v>438</v>
      </c>
      <c r="I2546" s="29" t="n">
        <v>250000</v>
      </c>
      <c r="J2546" s="29" t="n">
        <v>187500</v>
      </c>
      <c r="K2546" s="28" t="n">
        <v>10.5</v>
      </c>
      <c r="L2546" s="28" t="n">
        <v>120</v>
      </c>
      <c r="M2546" s="28" t="n">
        <v>13</v>
      </c>
    </row>
    <row r="2547" customFormat="false" ht="15" hidden="false" customHeight="false" outlineLevel="0" collapsed="false">
      <c r="A2547" s="27" t="n">
        <v>45134</v>
      </c>
      <c r="B2547" s="28" t="n">
        <v>2023</v>
      </c>
      <c r="C2547" s="28" t="s">
        <v>169</v>
      </c>
      <c r="D2547" s="28" t="s">
        <v>42</v>
      </c>
      <c r="E2547" s="28" t="s">
        <v>753</v>
      </c>
      <c r="F2547" s="28" t="s">
        <v>147</v>
      </c>
      <c r="G2547" s="28" t="s">
        <v>143</v>
      </c>
      <c r="H2547" s="28" t="s">
        <v>211</v>
      </c>
      <c r="I2547" s="29" t="n">
        <v>50000</v>
      </c>
      <c r="J2547" s="29" t="n">
        <v>25000</v>
      </c>
      <c r="K2547" s="28" t="n">
        <v>10.5</v>
      </c>
      <c r="L2547" s="28" t="n">
        <v>120</v>
      </c>
      <c r="M2547" s="28" t="n">
        <v>32</v>
      </c>
    </row>
    <row r="2548" customFormat="false" ht="15" hidden="false" customHeight="false" outlineLevel="0" collapsed="false">
      <c r="A2548" s="27" t="n">
        <v>45135</v>
      </c>
      <c r="B2548" s="28" t="n">
        <v>2023</v>
      </c>
      <c r="C2548" s="28" t="s">
        <v>172</v>
      </c>
      <c r="D2548" s="28" t="s">
        <v>48</v>
      </c>
      <c r="E2548" s="28" t="s">
        <v>840</v>
      </c>
      <c r="F2548" s="28" t="s">
        <v>142</v>
      </c>
      <c r="G2548" s="28" t="s">
        <v>152</v>
      </c>
      <c r="H2548" s="28" t="s">
        <v>144</v>
      </c>
      <c r="I2548" s="29" t="n">
        <v>3825000</v>
      </c>
      <c r="J2548" s="29" t="n">
        <v>2868750</v>
      </c>
      <c r="K2548" s="28" t="n">
        <v>8.9</v>
      </c>
      <c r="L2548" s="28" t="n">
        <v>120</v>
      </c>
      <c r="M2548" s="28" t="n">
        <v>28</v>
      </c>
    </row>
    <row r="2549" customFormat="false" ht="15" hidden="false" customHeight="false" outlineLevel="0" collapsed="false">
      <c r="A2549" s="27" t="n">
        <v>45135</v>
      </c>
      <c r="B2549" s="28" t="n">
        <v>2023</v>
      </c>
      <c r="C2549" s="28" t="s">
        <v>166</v>
      </c>
      <c r="D2549" s="28" t="s">
        <v>48</v>
      </c>
      <c r="E2549" s="28" t="s">
        <v>765</v>
      </c>
      <c r="F2549" s="28" t="s">
        <v>142</v>
      </c>
      <c r="G2549" s="28" t="s">
        <v>148</v>
      </c>
      <c r="H2549" s="28" t="s">
        <v>171</v>
      </c>
      <c r="I2549" s="29" t="n">
        <v>96000</v>
      </c>
      <c r="J2549" s="29" t="n">
        <v>81600</v>
      </c>
      <c r="K2549" s="28" t="n">
        <v>12</v>
      </c>
      <c r="L2549" s="28" t="n">
        <v>120</v>
      </c>
      <c r="M2549" s="28" t="n">
        <v>0</v>
      </c>
    </row>
    <row r="2550" customFormat="false" ht="15" hidden="false" customHeight="false" outlineLevel="0" collapsed="false">
      <c r="A2550" s="27" t="n">
        <v>45138</v>
      </c>
      <c r="B2550" s="28" t="n">
        <v>2023</v>
      </c>
      <c r="C2550" s="28" t="s">
        <v>206</v>
      </c>
      <c r="D2550" s="28" t="s">
        <v>47</v>
      </c>
      <c r="E2550" s="28" t="s">
        <v>992</v>
      </c>
      <c r="F2550" s="28" t="s">
        <v>142</v>
      </c>
      <c r="G2550" s="28" t="s">
        <v>148</v>
      </c>
      <c r="H2550" s="28" t="s">
        <v>269</v>
      </c>
      <c r="I2550" s="29" t="n">
        <v>64400</v>
      </c>
      <c r="J2550" s="29" t="n">
        <v>54740</v>
      </c>
      <c r="K2550" s="28" t="n">
        <v>11</v>
      </c>
      <c r="L2550" s="28" t="n">
        <v>120</v>
      </c>
      <c r="M2550" s="28" t="n">
        <v>2</v>
      </c>
    </row>
    <row r="2551" customFormat="false" ht="15" hidden="false" customHeight="false" outlineLevel="0" collapsed="false">
      <c r="A2551" s="27" t="n">
        <v>45138</v>
      </c>
      <c r="B2551" s="28" t="n">
        <v>2023</v>
      </c>
      <c r="C2551" s="28" t="s">
        <v>310</v>
      </c>
      <c r="D2551" s="28" t="s">
        <v>54</v>
      </c>
      <c r="E2551" s="28" t="s">
        <v>993</v>
      </c>
      <c r="F2551" s="28" t="s">
        <v>142</v>
      </c>
      <c r="G2551" s="28" t="s">
        <v>148</v>
      </c>
      <c r="H2551" s="28" t="s">
        <v>306</v>
      </c>
      <c r="I2551" s="29" t="n">
        <v>1250000</v>
      </c>
      <c r="J2551" s="29" t="n">
        <v>937500</v>
      </c>
      <c r="K2551" s="28" t="n">
        <v>8.55</v>
      </c>
      <c r="L2551" s="28" t="n">
        <v>84</v>
      </c>
      <c r="M2551" s="28" t="n">
        <v>5</v>
      </c>
    </row>
    <row r="2552" customFormat="false" ht="15" hidden="false" customHeight="false" outlineLevel="0" collapsed="false">
      <c r="A2552" s="27" t="n">
        <v>45138</v>
      </c>
      <c r="B2552" s="28" t="n">
        <v>2023</v>
      </c>
      <c r="C2552" s="28" t="s">
        <v>344</v>
      </c>
      <c r="D2552" s="28" t="s">
        <v>48</v>
      </c>
      <c r="E2552" s="28" t="s">
        <v>815</v>
      </c>
      <c r="F2552" s="28" t="s">
        <v>147</v>
      </c>
      <c r="G2552" s="28" t="s">
        <v>143</v>
      </c>
      <c r="H2552" s="28" t="s">
        <v>159</v>
      </c>
      <c r="I2552" s="29" t="n">
        <v>249000</v>
      </c>
      <c r="J2552" s="29" t="n">
        <v>124500</v>
      </c>
      <c r="K2552" s="28" t="n">
        <v>10.75</v>
      </c>
      <c r="L2552" s="28" t="n">
        <v>120</v>
      </c>
      <c r="M2552" s="28" t="n">
        <v>4</v>
      </c>
    </row>
    <row r="2553" customFormat="false" ht="15" hidden="false" customHeight="false" outlineLevel="0" collapsed="false">
      <c r="A2553" s="27" t="n">
        <v>45138</v>
      </c>
      <c r="B2553" s="28" t="n">
        <v>2023</v>
      </c>
      <c r="C2553" s="28" t="s">
        <v>484</v>
      </c>
      <c r="D2553" s="28" t="s">
        <v>45</v>
      </c>
      <c r="E2553" s="28" t="s">
        <v>222</v>
      </c>
      <c r="F2553" s="28" t="s">
        <v>147</v>
      </c>
      <c r="G2553" s="28" t="s">
        <v>441</v>
      </c>
      <c r="H2553" s="28" t="s">
        <v>255</v>
      </c>
      <c r="I2553" s="29" t="n">
        <v>200000</v>
      </c>
      <c r="J2553" s="29" t="n">
        <v>100000</v>
      </c>
      <c r="K2553" s="28" t="n">
        <v>10</v>
      </c>
      <c r="L2553" s="28" t="n">
        <v>120</v>
      </c>
      <c r="M2553" s="28" t="n">
        <v>18</v>
      </c>
    </row>
    <row r="2554" customFormat="false" ht="15" hidden="false" customHeight="false" outlineLevel="0" collapsed="false">
      <c r="A2554" s="27" t="n">
        <v>45138</v>
      </c>
      <c r="B2554" s="28" t="n">
        <v>2023</v>
      </c>
      <c r="C2554" s="28" t="s">
        <v>201</v>
      </c>
      <c r="D2554" s="28" t="s">
        <v>46</v>
      </c>
      <c r="E2554" s="28" t="s">
        <v>727</v>
      </c>
      <c r="F2554" s="28" t="s">
        <v>142</v>
      </c>
      <c r="G2554" s="28" t="s">
        <v>148</v>
      </c>
      <c r="H2554" s="28" t="s">
        <v>953</v>
      </c>
      <c r="I2554" s="29" t="n">
        <v>150000</v>
      </c>
      <c r="J2554" s="29" t="n">
        <v>127500</v>
      </c>
      <c r="K2554" s="28" t="n">
        <v>11.25</v>
      </c>
      <c r="L2554" s="28" t="n">
        <v>120</v>
      </c>
      <c r="M2554" s="28" t="n">
        <v>6</v>
      </c>
    </row>
    <row r="2555" customFormat="false" ht="15" hidden="false" customHeight="false" outlineLevel="0" collapsed="false">
      <c r="A2555" s="27" t="n">
        <v>45141</v>
      </c>
      <c r="B2555" s="28" t="n">
        <v>2023</v>
      </c>
      <c r="C2555" s="28" t="s">
        <v>272</v>
      </c>
      <c r="D2555" s="28" t="s">
        <v>42</v>
      </c>
      <c r="E2555" s="28" t="s">
        <v>784</v>
      </c>
      <c r="F2555" s="28" t="s">
        <v>142</v>
      </c>
      <c r="G2555" s="28" t="s">
        <v>148</v>
      </c>
      <c r="H2555" s="28" t="s">
        <v>221</v>
      </c>
      <c r="I2555" s="29" t="n">
        <v>150000</v>
      </c>
      <c r="J2555" s="29" t="n">
        <v>127500</v>
      </c>
      <c r="K2555" s="28" t="n">
        <v>11.5</v>
      </c>
      <c r="L2555" s="28" t="n">
        <v>120</v>
      </c>
      <c r="M2555" s="28" t="n">
        <v>2</v>
      </c>
    </row>
    <row r="2556" customFormat="false" ht="15" hidden="false" customHeight="false" outlineLevel="0" collapsed="false">
      <c r="A2556" s="27" t="n">
        <v>45141</v>
      </c>
      <c r="B2556" s="28" t="n">
        <v>2023</v>
      </c>
      <c r="C2556" s="28" t="s">
        <v>423</v>
      </c>
      <c r="D2556" s="28" t="s">
        <v>43</v>
      </c>
      <c r="E2556" s="28" t="s">
        <v>871</v>
      </c>
      <c r="F2556" s="28" t="s">
        <v>147</v>
      </c>
      <c r="G2556" s="28" t="s">
        <v>148</v>
      </c>
      <c r="H2556" s="28" t="s">
        <v>579</v>
      </c>
      <c r="I2556" s="29" t="n">
        <v>100000</v>
      </c>
      <c r="J2556" s="29" t="n">
        <v>50000</v>
      </c>
      <c r="K2556" s="28" t="n">
        <v>14.5</v>
      </c>
      <c r="L2556" s="28" t="n">
        <v>120</v>
      </c>
      <c r="M2556" s="28" t="n">
        <v>2</v>
      </c>
    </row>
    <row r="2557" customFormat="false" ht="15" hidden="false" customHeight="false" outlineLevel="0" collapsed="false">
      <c r="A2557" s="27" t="n">
        <v>45142</v>
      </c>
      <c r="B2557" s="28" t="n">
        <v>2023</v>
      </c>
      <c r="C2557" s="28" t="s">
        <v>196</v>
      </c>
      <c r="D2557" s="28" t="s">
        <v>42</v>
      </c>
      <c r="E2557" s="28" t="s">
        <v>717</v>
      </c>
      <c r="F2557" s="28" t="s">
        <v>147</v>
      </c>
      <c r="G2557" s="28" t="s">
        <v>148</v>
      </c>
      <c r="H2557" s="28" t="s">
        <v>159</v>
      </c>
      <c r="I2557" s="29" t="n">
        <v>50000</v>
      </c>
      <c r="J2557" s="29" t="n">
        <v>25000</v>
      </c>
      <c r="K2557" s="28" t="n">
        <v>11</v>
      </c>
      <c r="L2557" s="28" t="n">
        <v>103</v>
      </c>
      <c r="M2557" s="28" t="n">
        <v>2</v>
      </c>
    </row>
    <row r="2558" customFormat="false" ht="15" hidden="false" customHeight="false" outlineLevel="0" collapsed="false">
      <c r="A2558" s="27" t="n">
        <v>45142</v>
      </c>
      <c r="B2558" s="28" t="n">
        <v>2023</v>
      </c>
      <c r="C2558" s="28" t="s">
        <v>423</v>
      </c>
      <c r="D2558" s="28" t="s">
        <v>43</v>
      </c>
      <c r="E2558" s="28" t="s">
        <v>871</v>
      </c>
      <c r="F2558" s="28" t="s">
        <v>142</v>
      </c>
      <c r="G2558" s="28" t="s">
        <v>148</v>
      </c>
      <c r="H2558" s="28" t="s">
        <v>953</v>
      </c>
      <c r="I2558" s="29" t="n">
        <v>100000</v>
      </c>
      <c r="J2558" s="29" t="n">
        <v>85000</v>
      </c>
      <c r="K2558" s="28" t="n">
        <v>11.5</v>
      </c>
      <c r="L2558" s="28" t="n">
        <v>97</v>
      </c>
      <c r="M2558" s="28" t="n">
        <v>4</v>
      </c>
    </row>
    <row r="2559" customFormat="false" ht="15" hidden="false" customHeight="false" outlineLevel="0" collapsed="false">
      <c r="A2559" s="27" t="n">
        <v>45142</v>
      </c>
      <c r="B2559" s="28" t="n">
        <v>2023</v>
      </c>
      <c r="C2559" s="28" t="s">
        <v>166</v>
      </c>
      <c r="D2559" s="28" t="s">
        <v>49</v>
      </c>
      <c r="E2559" s="28" t="s">
        <v>994</v>
      </c>
      <c r="F2559" s="28" t="s">
        <v>147</v>
      </c>
      <c r="G2559" s="28" t="s">
        <v>148</v>
      </c>
      <c r="H2559" s="28" t="s">
        <v>159</v>
      </c>
      <c r="I2559" s="29" t="n">
        <v>150000</v>
      </c>
      <c r="J2559" s="29" t="n">
        <v>75000</v>
      </c>
      <c r="K2559" s="28" t="n">
        <v>11.5</v>
      </c>
      <c r="L2559" s="28" t="n">
        <v>120</v>
      </c>
      <c r="M2559" s="28" t="n">
        <v>5</v>
      </c>
    </row>
    <row r="2560" customFormat="false" ht="15" hidden="false" customHeight="false" outlineLevel="0" collapsed="false">
      <c r="A2560" s="27" t="n">
        <v>45143</v>
      </c>
      <c r="B2560" s="28" t="n">
        <v>2023</v>
      </c>
      <c r="C2560" s="28" t="s">
        <v>172</v>
      </c>
      <c r="D2560" s="28" t="s">
        <v>46</v>
      </c>
      <c r="E2560" s="28" t="s">
        <v>702</v>
      </c>
      <c r="F2560" s="28" t="s">
        <v>142</v>
      </c>
      <c r="G2560" s="28" t="s">
        <v>143</v>
      </c>
      <c r="H2560" s="28" t="s">
        <v>144</v>
      </c>
      <c r="I2560" s="29" t="n">
        <v>435000</v>
      </c>
      <c r="J2560" s="29" t="n">
        <v>326250</v>
      </c>
      <c r="K2560" s="28" t="n">
        <v>9.25</v>
      </c>
      <c r="L2560" s="28" t="n">
        <v>126</v>
      </c>
      <c r="M2560" s="28" t="n">
        <v>11</v>
      </c>
    </row>
    <row r="2561" customFormat="false" ht="15" hidden="false" customHeight="false" outlineLevel="0" collapsed="false">
      <c r="A2561" s="27" t="n">
        <v>45146</v>
      </c>
      <c r="B2561" s="28" t="n">
        <v>2023</v>
      </c>
      <c r="C2561" s="28" t="s">
        <v>166</v>
      </c>
      <c r="D2561" s="28" t="s">
        <v>52</v>
      </c>
      <c r="E2561" s="28" t="s">
        <v>720</v>
      </c>
      <c r="F2561" s="28" t="s">
        <v>147</v>
      </c>
      <c r="G2561" s="28" t="s">
        <v>148</v>
      </c>
      <c r="H2561" s="28" t="s">
        <v>205</v>
      </c>
      <c r="I2561" s="29" t="n">
        <v>10500</v>
      </c>
      <c r="J2561" s="29" t="n">
        <v>5250</v>
      </c>
      <c r="K2561" s="28" t="n">
        <v>14</v>
      </c>
      <c r="L2561" s="28" t="n">
        <v>120</v>
      </c>
      <c r="M2561" s="28" t="n">
        <v>1</v>
      </c>
    </row>
    <row r="2562" customFormat="false" ht="15" hidden="false" customHeight="false" outlineLevel="0" collapsed="false">
      <c r="A2562" s="27" t="n">
        <v>45146</v>
      </c>
      <c r="B2562" s="28" t="n">
        <v>2023</v>
      </c>
      <c r="C2562" s="28" t="s">
        <v>140</v>
      </c>
      <c r="D2562" s="28" t="s">
        <v>51</v>
      </c>
      <c r="E2562" s="28" t="s">
        <v>779</v>
      </c>
      <c r="F2562" s="28" t="s">
        <v>142</v>
      </c>
      <c r="G2562" s="28" t="s">
        <v>143</v>
      </c>
      <c r="H2562" s="28" t="s">
        <v>621</v>
      </c>
      <c r="I2562" s="29" t="n">
        <v>129000</v>
      </c>
      <c r="J2562" s="29" t="n">
        <v>109650</v>
      </c>
      <c r="K2562" s="28" t="n">
        <v>10.75</v>
      </c>
      <c r="L2562" s="28" t="n">
        <v>120</v>
      </c>
      <c r="M2562" s="28" t="n">
        <v>1</v>
      </c>
    </row>
    <row r="2563" customFormat="false" ht="15" hidden="false" customHeight="false" outlineLevel="0" collapsed="false">
      <c r="A2563" s="27" t="n">
        <v>45146</v>
      </c>
      <c r="B2563" s="28" t="n">
        <v>2023</v>
      </c>
      <c r="C2563" s="28" t="s">
        <v>172</v>
      </c>
      <c r="D2563" s="28" t="s">
        <v>48</v>
      </c>
      <c r="E2563" s="28" t="s">
        <v>767</v>
      </c>
      <c r="F2563" s="28" t="s">
        <v>283</v>
      </c>
      <c r="G2563" s="28" t="s">
        <v>152</v>
      </c>
      <c r="H2563" s="28" t="s">
        <v>644</v>
      </c>
      <c r="I2563" s="29" t="n">
        <v>3847000</v>
      </c>
      <c r="J2563" s="29" t="n">
        <v>3462300</v>
      </c>
      <c r="K2563" s="28" t="n">
        <v>11</v>
      </c>
      <c r="L2563" s="28" t="n">
        <v>120</v>
      </c>
      <c r="M2563" s="28" t="n">
        <v>18</v>
      </c>
    </row>
    <row r="2564" customFormat="false" ht="15" hidden="false" customHeight="false" outlineLevel="0" collapsed="false">
      <c r="A2564" s="27" t="n">
        <v>45147</v>
      </c>
      <c r="B2564" s="28" t="n">
        <v>2023</v>
      </c>
      <c r="C2564" s="28" t="s">
        <v>249</v>
      </c>
      <c r="D2564" s="28" t="s">
        <v>49</v>
      </c>
      <c r="E2564" s="28" t="s">
        <v>965</v>
      </c>
      <c r="F2564" s="28" t="s">
        <v>142</v>
      </c>
      <c r="G2564" s="28" t="s">
        <v>148</v>
      </c>
      <c r="H2564" s="28" t="s">
        <v>171</v>
      </c>
      <c r="I2564" s="29" t="n">
        <v>150000</v>
      </c>
      <c r="J2564" s="29" t="n">
        <v>127500</v>
      </c>
      <c r="K2564" s="28" t="n">
        <v>12.25</v>
      </c>
      <c r="L2564" s="28" t="n">
        <v>163</v>
      </c>
      <c r="M2564" s="28" t="n">
        <v>31</v>
      </c>
    </row>
    <row r="2565" customFormat="false" ht="15" hidden="false" customHeight="false" outlineLevel="0" collapsed="false">
      <c r="A2565" s="27" t="n">
        <v>45147</v>
      </c>
      <c r="B2565" s="28" t="n">
        <v>2023</v>
      </c>
      <c r="C2565" s="28" t="s">
        <v>488</v>
      </c>
      <c r="D2565" s="28" t="s">
        <v>44</v>
      </c>
      <c r="E2565" s="28" t="s">
        <v>863</v>
      </c>
      <c r="F2565" s="28" t="s">
        <v>142</v>
      </c>
      <c r="G2565" s="28" t="s">
        <v>143</v>
      </c>
      <c r="H2565" s="28" t="s">
        <v>314</v>
      </c>
      <c r="I2565" s="29" t="n">
        <v>407000</v>
      </c>
      <c r="J2565" s="29" t="n">
        <v>305250</v>
      </c>
      <c r="K2565" s="28" t="n">
        <v>10.75</v>
      </c>
      <c r="L2565" s="28" t="n">
        <v>129</v>
      </c>
      <c r="M2565" s="28" t="n">
        <v>4</v>
      </c>
    </row>
    <row r="2566" customFormat="false" ht="15" hidden="false" customHeight="false" outlineLevel="0" collapsed="false">
      <c r="A2566" s="27" t="n">
        <v>45147</v>
      </c>
      <c r="B2566" s="28" t="n">
        <v>2023</v>
      </c>
      <c r="C2566" s="28" t="s">
        <v>169</v>
      </c>
      <c r="D2566" s="28" t="s">
        <v>48</v>
      </c>
      <c r="E2566" s="28" t="s">
        <v>736</v>
      </c>
      <c r="F2566" s="28" t="s">
        <v>147</v>
      </c>
      <c r="G2566" s="28" t="s">
        <v>148</v>
      </c>
      <c r="H2566" s="28" t="s">
        <v>159</v>
      </c>
      <c r="I2566" s="29" t="n">
        <v>60000</v>
      </c>
      <c r="J2566" s="29" t="n">
        <v>30000</v>
      </c>
      <c r="K2566" s="28" t="n">
        <v>13</v>
      </c>
      <c r="L2566" s="28" t="n">
        <v>120</v>
      </c>
      <c r="M2566" s="28" t="n">
        <v>1</v>
      </c>
    </row>
    <row r="2567" customFormat="false" ht="15" hidden="false" customHeight="false" outlineLevel="0" collapsed="false">
      <c r="A2567" s="27" t="n">
        <v>45147</v>
      </c>
      <c r="B2567" s="28" t="n">
        <v>2023</v>
      </c>
      <c r="C2567" s="28" t="s">
        <v>169</v>
      </c>
      <c r="D2567" s="28" t="s">
        <v>52</v>
      </c>
      <c r="E2567" s="28" t="s">
        <v>961</v>
      </c>
      <c r="F2567" s="28" t="s">
        <v>194</v>
      </c>
      <c r="G2567" s="28" t="s">
        <v>152</v>
      </c>
      <c r="H2567" s="28" t="s">
        <v>799</v>
      </c>
      <c r="I2567" s="29" t="n">
        <v>2527000</v>
      </c>
      <c r="J2567" s="29" t="n">
        <v>1895250</v>
      </c>
      <c r="K2567" s="28" t="n">
        <v>11</v>
      </c>
      <c r="L2567" s="28" t="n">
        <v>156</v>
      </c>
      <c r="M2567" s="28" t="n">
        <v>104</v>
      </c>
    </row>
    <row r="2568" customFormat="false" ht="15" hidden="false" customHeight="false" outlineLevel="0" collapsed="false">
      <c r="A2568" s="27" t="n">
        <v>45149</v>
      </c>
      <c r="B2568" s="28" t="n">
        <v>2023</v>
      </c>
      <c r="C2568" s="28" t="s">
        <v>169</v>
      </c>
      <c r="D2568" s="28" t="s">
        <v>42</v>
      </c>
      <c r="E2568" s="28" t="s">
        <v>226</v>
      </c>
      <c r="F2568" s="28" t="s">
        <v>147</v>
      </c>
      <c r="G2568" s="28" t="s">
        <v>143</v>
      </c>
      <c r="H2568" s="28" t="s">
        <v>159</v>
      </c>
      <c r="I2568" s="29" t="n">
        <v>220000</v>
      </c>
      <c r="J2568" s="29" t="n">
        <v>110000</v>
      </c>
      <c r="K2568" s="28" t="n">
        <v>10.75</v>
      </c>
      <c r="L2568" s="28" t="n">
        <v>120</v>
      </c>
      <c r="M2568" s="28" t="n">
        <v>6</v>
      </c>
    </row>
    <row r="2569" customFormat="false" ht="15" hidden="false" customHeight="false" outlineLevel="0" collapsed="false">
      <c r="A2569" s="27" t="n">
        <v>45149</v>
      </c>
      <c r="B2569" s="28" t="n">
        <v>2023</v>
      </c>
      <c r="C2569" s="28" t="s">
        <v>169</v>
      </c>
      <c r="D2569" s="28" t="s">
        <v>42</v>
      </c>
      <c r="E2569" s="28" t="s">
        <v>226</v>
      </c>
      <c r="F2569" s="28" t="s">
        <v>147</v>
      </c>
      <c r="G2569" s="28" t="s">
        <v>143</v>
      </c>
      <c r="H2569" s="28" t="s">
        <v>159</v>
      </c>
      <c r="I2569" s="29" t="n">
        <v>25000</v>
      </c>
      <c r="J2569" s="29" t="n">
        <v>12500</v>
      </c>
      <c r="K2569" s="28" t="n">
        <v>11</v>
      </c>
      <c r="L2569" s="28" t="n">
        <v>120</v>
      </c>
      <c r="M2569" s="28" t="n">
        <v>6</v>
      </c>
    </row>
    <row r="2570" customFormat="false" ht="15" hidden="false" customHeight="false" outlineLevel="0" collapsed="false">
      <c r="A2570" s="27" t="n">
        <v>45149</v>
      </c>
      <c r="B2570" s="28" t="n">
        <v>2023</v>
      </c>
      <c r="C2570" s="28" t="s">
        <v>387</v>
      </c>
      <c r="D2570" s="28" t="s">
        <v>48</v>
      </c>
      <c r="E2570" s="28" t="s">
        <v>995</v>
      </c>
      <c r="F2570" s="28" t="s">
        <v>142</v>
      </c>
      <c r="G2570" s="28" t="s">
        <v>148</v>
      </c>
      <c r="H2570" s="28" t="s">
        <v>269</v>
      </c>
      <c r="I2570" s="29" t="n">
        <v>70000</v>
      </c>
      <c r="J2570" s="29" t="n">
        <v>59500</v>
      </c>
      <c r="K2570" s="28" t="n">
        <v>11.25</v>
      </c>
      <c r="L2570" s="28" t="n">
        <v>120</v>
      </c>
      <c r="M2570" s="28" t="n">
        <v>2</v>
      </c>
    </row>
    <row r="2571" customFormat="false" ht="15" hidden="false" customHeight="false" outlineLevel="0" collapsed="false">
      <c r="A2571" s="27" t="n">
        <v>45150</v>
      </c>
      <c r="B2571" s="28" t="n">
        <v>2023</v>
      </c>
      <c r="C2571" s="28" t="s">
        <v>172</v>
      </c>
      <c r="D2571" s="28" t="s">
        <v>42</v>
      </c>
      <c r="E2571" s="28" t="s">
        <v>717</v>
      </c>
      <c r="F2571" s="28" t="s">
        <v>147</v>
      </c>
      <c r="G2571" s="28" t="s">
        <v>148</v>
      </c>
      <c r="H2571" s="28" t="s">
        <v>248</v>
      </c>
      <c r="I2571" s="29" t="n">
        <v>250000</v>
      </c>
      <c r="J2571" s="29" t="n">
        <v>125000</v>
      </c>
      <c r="K2571" s="28" t="n">
        <v>11.5</v>
      </c>
      <c r="L2571" s="28" t="n">
        <v>84</v>
      </c>
      <c r="M2571" s="28" t="n">
        <v>15</v>
      </c>
    </row>
    <row r="2572" customFormat="false" ht="15" hidden="false" customHeight="false" outlineLevel="0" collapsed="false">
      <c r="A2572" s="27" t="n">
        <v>45150</v>
      </c>
      <c r="B2572" s="28" t="n">
        <v>2023</v>
      </c>
      <c r="C2572" s="28" t="s">
        <v>198</v>
      </c>
      <c r="D2572" s="28" t="s">
        <v>51</v>
      </c>
      <c r="E2572" s="28" t="s">
        <v>779</v>
      </c>
      <c r="F2572" s="28" t="s">
        <v>147</v>
      </c>
      <c r="G2572" s="28" t="s">
        <v>143</v>
      </c>
      <c r="H2572" s="28" t="s">
        <v>211</v>
      </c>
      <c r="I2572" s="29" t="n">
        <v>40000</v>
      </c>
      <c r="J2572" s="29" t="n">
        <v>20000</v>
      </c>
      <c r="K2572" s="28" t="n">
        <v>11.25</v>
      </c>
      <c r="L2572" s="28" t="n">
        <v>120</v>
      </c>
      <c r="M2572" s="28" t="n">
        <v>23</v>
      </c>
    </row>
    <row r="2573" customFormat="false" ht="15" hidden="false" customHeight="false" outlineLevel="0" collapsed="false">
      <c r="A2573" s="27" t="n">
        <v>45150</v>
      </c>
      <c r="B2573" s="28" t="n">
        <v>2023</v>
      </c>
      <c r="C2573" s="28" t="s">
        <v>196</v>
      </c>
      <c r="D2573" s="28" t="s">
        <v>48</v>
      </c>
      <c r="E2573" s="28" t="s">
        <v>304</v>
      </c>
      <c r="F2573" s="28" t="s">
        <v>147</v>
      </c>
      <c r="G2573" s="28" t="s">
        <v>148</v>
      </c>
      <c r="H2573" s="28" t="s">
        <v>953</v>
      </c>
      <c r="I2573" s="29" t="n">
        <v>50000</v>
      </c>
      <c r="J2573" s="29" t="n">
        <v>25000</v>
      </c>
      <c r="K2573" s="28" t="n">
        <v>15</v>
      </c>
      <c r="L2573" s="28" t="n">
        <v>120</v>
      </c>
      <c r="M2573" s="28" t="n">
        <v>2</v>
      </c>
    </row>
    <row r="2574" customFormat="false" ht="15" hidden="false" customHeight="false" outlineLevel="0" collapsed="false">
      <c r="A2574" s="27" t="n">
        <v>45150</v>
      </c>
      <c r="B2574" s="28" t="n">
        <v>2023</v>
      </c>
      <c r="C2574" s="28" t="s">
        <v>198</v>
      </c>
      <c r="D2574" s="28" t="s">
        <v>51</v>
      </c>
      <c r="E2574" s="28" t="s">
        <v>779</v>
      </c>
      <c r="F2574" s="28" t="s">
        <v>142</v>
      </c>
      <c r="G2574" s="28" t="s">
        <v>143</v>
      </c>
      <c r="H2574" s="28" t="s">
        <v>211</v>
      </c>
      <c r="I2574" s="29" t="n">
        <v>639800</v>
      </c>
      <c r="J2574" s="29" t="n">
        <v>479850</v>
      </c>
      <c r="K2574" s="28" t="n">
        <v>11.25</v>
      </c>
      <c r="L2574" s="28" t="n">
        <v>120</v>
      </c>
      <c r="M2574" s="28" t="n">
        <v>23</v>
      </c>
    </row>
    <row r="2575" customFormat="false" ht="15" hidden="false" customHeight="false" outlineLevel="0" collapsed="false">
      <c r="A2575" s="27" t="n">
        <v>45151</v>
      </c>
      <c r="B2575" s="28" t="n">
        <v>2023</v>
      </c>
      <c r="C2575" s="28" t="s">
        <v>265</v>
      </c>
      <c r="D2575" s="28" t="s">
        <v>50</v>
      </c>
      <c r="E2575" s="28" t="s">
        <v>193</v>
      </c>
      <c r="F2575" s="28" t="s">
        <v>142</v>
      </c>
      <c r="G2575" s="28" t="s">
        <v>148</v>
      </c>
      <c r="H2575" s="28" t="s">
        <v>306</v>
      </c>
      <c r="I2575" s="29" t="n">
        <v>1430000</v>
      </c>
      <c r="J2575" s="29" t="n">
        <v>1072500</v>
      </c>
      <c r="K2575" s="28" t="n">
        <v>8.25</v>
      </c>
      <c r="L2575" s="28" t="n">
        <v>84</v>
      </c>
      <c r="M2575" s="28" t="n">
        <v>12</v>
      </c>
    </row>
    <row r="2576" customFormat="false" ht="15" hidden="false" customHeight="false" outlineLevel="0" collapsed="false">
      <c r="A2576" s="27" t="n">
        <v>45153</v>
      </c>
      <c r="B2576" s="28" t="n">
        <v>2023</v>
      </c>
      <c r="C2576" s="28" t="s">
        <v>421</v>
      </c>
      <c r="D2576" s="28" t="s">
        <v>44</v>
      </c>
      <c r="E2576" s="28" t="s">
        <v>983</v>
      </c>
      <c r="F2576" s="28" t="s">
        <v>147</v>
      </c>
      <c r="G2576" s="28" t="s">
        <v>148</v>
      </c>
      <c r="H2576" s="28" t="s">
        <v>428</v>
      </c>
      <c r="I2576" s="29" t="n">
        <v>200000</v>
      </c>
      <c r="J2576" s="29" t="n">
        <v>100000</v>
      </c>
      <c r="K2576" s="28" t="n">
        <v>12.1</v>
      </c>
      <c r="L2576" s="28" t="n">
        <v>120</v>
      </c>
      <c r="M2576" s="28" t="n">
        <v>2</v>
      </c>
    </row>
    <row r="2577" customFormat="false" ht="15" hidden="false" customHeight="false" outlineLevel="0" collapsed="false">
      <c r="A2577" s="27" t="n">
        <v>45154</v>
      </c>
      <c r="B2577" s="28" t="n">
        <v>2023</v>
      </c>
      <c r="C2577" s="28" t="s">
        <v>192</v>
      </c>
      <c r="D2577" s="28" t="s">
        <v>44</v>
      </c>
      <c r="E2577" s="28" t="s">
        <v>982</v>
      </c>
      <c r="F2577" s="28" t="s">
        <v>142</v>
      </c>
      <c r="G2577" s="28" t="s">
        <v>148</v>
      </c>
      <c r="H2577" s="28" t="s">
        <v>953</v>
      </c>
      <c r="I2577" s="29" t="n">
        <v>300000</v>
      </c>
      <c r="J2577" s="29" t="n">
        <v>255000</v>
      </c>
      <c r="K2577" s="28" t="n">
        <v>11.5</v>
      </c>
      <c r="L2577" s="28" t="n">
        <v>120</v>
      </c>
      <c r="M2577" s="28" t="n">
        <v>32</v>
      </c>
    </row>
    <row r="2578" customFormat="false" ht="15" hidden="false" customHeight="false" outlineLevel="0" collapsed="false">
      <c r="A2578" s="27" t="n">
        <v>45154</v>
      </c>
      <c r="B2578" s="28" t="n">
        <v>2023</v>
      </c>
      <c r="C2578" s="28" t="s">
        <v>166</v>
      </c>
      <c r="D2578" s="28" t="s">
        <v>45</v>
      </c>
      <c r="E2578" s="28" t="s">
        <v>798</v>
      </c>
      <c r="F2578" s="28" t="s">
        <v>147</v>
      </c>
      <c r="G2578" s="28" t="s">
        <v>148</v>
      </c>
      <c r="H2578" s="28" t="s">
        <v>428</v>
      </c>
      <c r="I2578" s="29" t="n">
        <v>100000</v>
      </c>
      <c r="J2578" s="29" t="n">
        <v>50000</v>
      </c>
      <c r="K2578" s="28" t="n">
        <v>14.2</v>
      </c>
      <c r="L2578" s="28" t="n">
        <v>120</v>
      </c>
      <c r="M2578" s="28" t="n">
        <v>3</v>
      </c>
    </row>
    <row r="2579" customFormat="false" ht="15" hidden="false" customHeight="false" outlineLevel="0" collapsed="false">
      <c r="A2579" s="27" t="n">
        <v>45154</v>
      </c>
      <c r="B2579" s="28" t="n">
        <v>2023</v>
      </c>
      <c r="C2579" s="28" t="s">
        <v>169</v>
      </c>
      <c r="D2579" s="28" t="s">
        <v>42</v>
      </c>
      <c r="E2579" s="28" t="s">
        <v>717</v>
      </c>
      <c r="F2579" s="28" t="s">
        <v>142</v>
      </c>
      <c r="G2579" s="28" t="s">
        <v>148</v>
      </c>
      <c r="H2579" s="28" t="s">
        <v>771</v>
      </c>
      <c r="I2579" s="29" t="n">
        <v>50000</v>
      </c>
      <c r="J2579" s="29" t="n">
        <v>42500</v>
      </c>
      <c r="K2579" s="28" t="n">
        <v>11.25</v>
      </c>
      <c r="L2579" s="28" t="n">
        <v>116</v>
      </c>
      <c r="M2579" s="28" t="n">
        <v>9</v>
      </c>
    </row>
    <row r="2580" customFormat="false" ht="15" hidden="false" customHeight="false" outlineLevel="0" collapsed="false">
      <c r="A2580" s="27" t="n">
        <v>45154</v>
      </c>
      <c r="B2580" s="28" t="n">
        <v>2023</v>
      </c>
      <c r="C2580" s="28" t="s">
        <v>198</v>
      </c>
      <c r="D2580" s="28" t="s">
        <v>50</v>
      </c>
      <c r="E2580" s="28" t="s">
        <v>853</v>
      </c>
      <c r="F2580" s="28" t="s">
        <v>142</v>
      </c>
      <c r="G2580" s="28" t="s">
        <v>143</v>
      </c>
      <c r="H2580" s="28" t="s">
        <v>428</v>
      </c>
      <c r="I2580" s="29" t="n">
        <v>500000</v>
      </c>
      <c r="J2580" s="29" t="n">
        <v>375000</v>
      </c>
      <c r="K2580" s="28" t="n">
        <v>7.18</v>
      </c>
      <c r="L2580" s="28" t="n">
        <v>120</v>
      </c>
      <c r="M2580" s="28" t="n">
        <v>2</v>
      </c>
    </row>
    <row r="2581" customFormat="false" ht="15" hidden="false" customHeight="false" outlineLevel="0" collapsed="false">
      <c r="A2581" s="27" t="n">
        <v>45154</v>
      </c>
      <c r="B2581" s="28" t="n">
        <v>2023</v>
      </c>
      <c r="C2581" s="28" t="s">
        <v>163</v>
      </c>
      <c r="D2581" s="28" t="s">
        <v>44</v>
      </c>
      <c r="E2581" s="28" t="s">
        <v>983</v>
      </c>
      <c r="F2581" s="28" t="s">
        <v>142</v>
      </c>
      <c r="G2581" s="28" t="s">
        <v>143</v>
      </c>
      <c r="H2581" s="28" t="s">
        <v>227</v>
      </c>
      <c r="I2581" s="29" t="n">
        <v>124000</v>
      </c>
      <c r="J2581" s="29" t="n">
        <v>105400</v>
      </c>
      <c r="K2581" s="28" t="n">
        <v>11.25</v>
      </c>
      <c r="L2581" s="28" t="n">
        <v>120</v>
      </c>
      <c r="M2581" s="28" t="n">
        <v>19</v>
      </c>
    </row>
    <row r="2582" customFormat="false" ht="15" hidden="false" customHeight="false" outlineLevel="0" collapsed="false">
      <c r="A2582" s="27" t="n">
        <v>45155</v>
      </c>
      <c r="B2582" s="28" t="n">
        <v>2023</v>
      </c>
      <c r="C2582" s="28" t="s">
        <v>169</v>
      </c>
      <c r="D2582" s="28" t="s">
        <v>51</v>
      </c>
      <c r="E2582" s="28" t="s">
        <v>800</v>
      </c>
      <c r="F2582" s="28" t="s">
        <v>147</v>
      </c>
      <c r="G2582" s="28" t="s">
        <v>143</v>
      </c>
      <c r="H2582" s="28" t="s">
        <v>211</v>
      </c>
      <c r="I2582" s="29" t="n">
        <v>50000</v>
      </c>
      <c r="J2582" s="29" t="n">
        <v>25000</v>
      </c>
      <c r="K2582" s="28" t="n">
        <v>11.25</v>
      </c>
      <c r="L2582" s="28" t="n">
        <v>120</v>
      </c>
      <c r="M2582" s="28" t="n">
        <v>23</v>
      </c>
    </row>
    <row r="2583" customFormat="false" ht="15" hidden="false" customHeight="false" outlineLevel="0" collapsed="false">
      <c r="A2583" s="27" t="n">
        <v>45155</v>
      </c>
      <c r="B2583" s="28" t="n">
        <v>2023</v>
      </c>
      <c r="C2583" s="28" t="s">
        <v>169</v>
      </c>
      <c r="D2583" s="28" t="s">
        <v>51</v>
      </c>
      <c r="E2583" s="28" t="s">
        <v>800</v>
      </c>
      <c r="F2583" s="28" t="s">
        <v>142</v>
      </c>
      <c r="G2583" s="28" t="s">
        <v>143</v>
      </c>
      <c r="H2583" s="28" t="s">
        <v>211</v>
      </c>
      <c r="I2583" s="29" t="n">
        <v>810500</v>
      </c>
      <c r="J2583" s="29" t="n">
        <v>607875</v>
      </c>
      <c r="K2583" s="28" t="n">
        <v>11.25</v>
      </c>
      <c r="L2583" s="28" t="n">
        <v>120</v>
      </c>
      <c r="M2583" s="28" t="n">
        <v>23</v>
      </c>
    </row>
    <row r="2584" customFormat="false" ht="15" hidden="false" customHeight="false" outlineLevel="0" collapsed="false">
      <c r="A2584" s="27" t="n">
        <v>45155</v>
      </c>
      <c r="B2584" s="28" t="n">
        <v>2023</v>
      </c>
      <c r="C2584" s="28" t="s">
        <v>272</v>
      </c>
      <c r="D2584" s="28" t="s">
        <v>44</v>
      </c>
      <c r="E2584" s="28" t="s">
        <v>729</v>
      </c>
      <c r="F2584" s="28" t="s">
        <v>147</v>
      </c>
      <c r="G2584" s="28" t="s">
        <v>148</v>
      </c>
      <c r="H2584" s="28" t="s">
        <v>404</v>
      </c>
      <c r="I2584" s="29" t="n">
        <v>120000</v>
      </c>
      <c r="J2584" s="29" t="n">
        <v>60000</v>
      </c>
      <c r="K2584" s="28" t="n">
        <v>11.25</v>
      </c>
      <c r="L2584" s="28" t="n">
        <v>119</v>
      </c>
      <c r="M2584" s="28" t="n">
        <v>10</v>
      </c>
    </row>
    <row r="2585" customFormat="false" ht="15" hidden="false" customHeight="false" outlineLevel="0" collapsed="false">
      <c r="A2585" s="27" t="n">
        <v>45155</v>
      </c>
      <c r="B2585" s="28" t="n">
        <v>2023</v>
      </c>
      <c r="C2585" s="28" t="s">
        <v>169</v>
      </c>
      <c r="D2585" s="28" t="s">
        <v>48</v>
      </c>
      <c r="E2585" s="28" t="s">
        <v>815</v>
      </c>
      <c r="F2585" s="28" t="s">
        <v>147</v>
      </c>
      <c r="G2585" s="28" t="s">
        <v>441</v>
      </c>
      <c r="H2585" s="28" t="s">
        <v>159</v>
      </c>
      <c r="I2585" s="29" t="n">
        <v>250000</v>
      </c>
      <c r="J2585" s="29" t="n">
        <v>125000</v>
      </c>
      <c r="K2585" s="28" t="n">
        <v>13</v>
      </c>
      <c r="L2585" s="28" t="n">
        <v>96</v>
      </c>
      <c r="M2585" s="28" t="n">
        <v>4</v>
      </c>
    </row>
    <row r="2586" customFormat="false" ht="15" hidden="false" customHeight="false" outlineLevel="0" collapsed="false">
      <c r="A2586" s="27" t="n">
        <v>45155</v>
      </c>
      <c r="B2586" s="28" t="n">
        <v>2023</v>
      </c>
      <c r="C2586" s="28" t="s">
        <v>172</v>
      </c>
      <c r="D2586" s="28" t="s">
        <v>44</v>
      </c>
      <c r="E2586" s="28" t="s">
        <v>730</v>
      </c>
      <c r="F2586" s="28" t="s">
        <v>142</v>
      </c>
      <c r="G2586" s="28" t="s">
        <v>148</v>
      </c>
      <c r="H2586" s="28" t="s">
        <v>208</v>
      </c>
      <c r="I2586" s="29" t="n">
        <v>350000</v>
      </c>
      <c r="J2586" s="29" t="n">
        <v>262500</v>
      </c>
      <c r="K2586" s="28" t="n">
        <v>11.25</v>
      </c>
      <c r="L2586" s="28" t="n">
        <v>120</v>
      </c>
      <c r="M2586" s="28" t="n">
        <v>4</v>
      </c>
    </row>
    <row r="2587" customFormat="false" ht="15" hidden="false" customHeight="false" outlineLevel="0" collapsed="false">
      <c r="A2587" s="27" t="n">
        <v>45156</v>
      </c>
      <c r="B2587" s="28" t="n">
        <v>2023</v>
      </c>
      <c r="C2587" s="28" t="s">
        <v>172</v>
      </c>
      <c r="D2587" s="28" t="s">
        <v>48</v>
      </c>
      <c r="E2587" s="28" t="s">
        <v>210</v>
      </c>
      <c r="F2587" s="28" t="s">
        <v>147</v>
      </c>
      <c r="G2587" s="28" t="s">
        <v>441</v>
      </c>
      <c r="H2587" s="28" t="s">
        <v>168</v>
      </c>
      <c r="I2587" s="29" t="n">
        <v>15000</v>
      </c>
      <c r="J2587" s="29" t="n">
        <v>7500</v>
      </c>
      <c r="K2587" s="28" t="n">
        <v>13</v>
      </c>
      <c r="L2587" s="28" t="n">
        <v>120</v>
      </c>
      <c r="M2587" s="28" t="n">
        <v>0</v>
      </c>
    </row>
    <row r="2588" customFormat="false" ht="15" hidden="false" customHeight="false" outlineLevel="0" collapsed="false">
      <c r="A2588" s="27" t="n">
        <v>45156</v>
      </c>
      <c r="B2588" s="28" t="n">
        <v>2023</v>
      </c>
      <c r="C2588" s="28" t="s">
        <v>332</v>
      </c>
      <c r="D2588" s="28" t="s">
        <v>48</v>
      </c>
      <c r="E2588" s="28" t="s">
        <v>362</v>
      </c>
      <c r="F2588" s="28" t="s">
        <v>142</v>
      </c>
      <c r="G2588" s="28" t="s">
        <v>148</v>
      </c>
      <c r="H2588" s="28" t="s">
        <v>208</v>
      </c>
      <c r="I2588" s="29" t="n">
        <v>150000</v>
      </c>
      <c r="J2588" s="29" t="n">
        <v>127500</v>
      </c>
      <c r="K2588" s="28" t="n">
        <v>11.25</v>
      </c>
      <c r="L2588" s="28" t="n">
        <v>120</v>
      </c>
      <c r="M2588" s="28" t="n">
        <v>1</v>
      </c>
    </row>
    <row r="2589" customFormat="false" ht="15" hidden="false" customHeight="false" outlineLevel="0" collapsed="false">
      <c r="A2589" s="27" t="n">
        <v>45159</v>
      </c>
      <c r="B2589" s="28" t="n">
        <v>2023</v>
      </c>
      <c r="C2589" s="28" t="s">
        <v>243</v>
      </c>
      <c r="D2589" s="28" t="s">
        <v>52</v>
      </c>
      <c r="E2589" s="28" t="s">
        <v>599</v>
      </c>
      <c r="F2589" s="28" t="s">
        <v>194</v>
      </c>
      <c r="G2589" s="28" t="s">
        <v>441</v>
      </c>
      <c r="H2589" s="28" t="s">
        <v>278</v>
      </c>
      <c r="I2589" s="29" t="n">
        <v>658000</v>
      </c>
      <c r="J2589" s="29" t="n">
        <v>493500</v>
      </c>
      <c r="K2589" s="28" t="n">
        <v>10</v>
      </c>
      <c r="L2589" s="28" t="n">
        <v>120</v>
      </c>
      <c r="M2589" s="28" t="n">
        <v>26</v>
      </c>
    </row>
    <row r="2590" customFormat="false" ht="15" hidden="false" customHeight="false" outlineLevel="0" collapsed="false">
      <c r="A2590" s="27" t="n">
        <v>45159</v>
      </c>
      <c r="B2590" s="28" t="n">
        <v>2023</v>
      </c>
      <c r="C2590" s="28" t="s">
        <v>206</v>
      </c>
      <c r="D2590" s="28" t="s">
        <v>48</v>
      </c>
      <c r="E2590" s="28" t="s">
        <v>815</v>
      </c>
      <c r="F2590" s="28" t="s">
        <v>142</v>
      </c>
      <c r="G2590" s="28" t="s">
        <v>148</v>
      </c>
      <c r="H2590" s="28" t="s">
        <v>771</v>
      </c>
      <c r="I2590" s="29" t="n">
        <v>22600</v>
      </c>
      <c r="J2590" s="29" t="n">
        <v>19210</v>
      </c>
      <c r="K2590" s="28" t="n">
        <v>11.25</v>
      </c>
      <c r="L2590" s="28" t="n">
        <v>104</v>
      </c>
      <c r="M2590" s="28" t="n">
        <v>3</v>
      </c>
    </row>
    <row r="2591" customFormat="false" ht="15" hidden="false" customHeight="false" outlineLevel="0" collapsed="false">
      <c r="A2591" s="27" t="n">
        <v>45159</v>
      </c>
      <c r="B2591" s="28" t="n">
        <v>2023</v>
      </c>
      <c r="C2591" s="28" t="s">
        <v>166</v>
      </c>
      <c r="D2591" s="28" t="s">
        <v>52</v>
      </c>
      <c r="E2591" s="28" t="s">
        <v>673</v>
      </c>
      <c r="F2591" s="28" t="s">
        <v>142</v>
      </c>
      <c r="G2591" s="28" t="s">
        <v>148</v>
      </c>
      <c r="H2591" s="28" t="s">
        <v>326</v>
      </c>
      <c r="I2591" s="29" t="n">
        <v>1258800</v>
      </c>
      <c r="J2591" s="29" t="n">
        <v>944100</v>
      </c>
      <c r="K2591" s="28" t="n">
        <v>10.75</v>
      </c>
      <c r="L2591" s="28" t="n">
        <v>121</v>
      </c>
      <c r="M2591" s="28" t="n">
        <v>14</v>
      </c>
    </row>
    <row r="2592" customFormat="false" ht="15" hidden="false" customHeight="false" outlineLevel="0" collapsed="false">
      <c r="A2592" s="27" t="n">
        <v>45159</v>
      </c>
      <c r="B2592" s="28" t="n">
        <v>2023</v>
      </c>
      <c r="C2592" s="28" t="s">
        <v>203</v>
      </c>
      <c r="D2592" s="28" t="s">
        <v>51</v>
      </c>
      <c r="E2592" s="28" t="s">
        <v>779</v>
      </c>
      <c r="F2592" s="28" t="s">
        <v>142</v>
      </c>
      <c r="G2592" s="28" t="s">
        <v>143</v>
      </c>
      <c r="H2592" s="28" t="s">
        <v>208</v>
      </c>
      <c r="I2592" s="29" t="n">
        <v>477400</v>
      </c>
      <c r="J2592" s="29" t="n">
        <v>358050</v>
      </c>
      <c r="K2592" s="28" t="n">
        <v>11</v>
      </c>
      <c r="L2592" s="28" t="n">
        <v>126</v>
      </c>
      <c r="M2592" s="28" t="n">
        <v>27</v>
      </c>
    </row>
    <row r="2593" customFormat="false" ht="15" hidden="false" customHeight="false" outlineLevel="0" collapsed="false">
      <c r="A2593" s="27" t="n">
        <v>45159</v>
      </c>
      <c r="B2593" s="28" t="n">
        <v>2023</v>
      </c>
      <c r="C2593" s="28" t="s">
        <v>145</v>
      </c>
      <c r="D2593" s="28" t="s">
        <v>44</v>
      </c>
      <c r="E2593" s="28" t="s">
        <v>751</v>
      </c>
      <c r="F2593" s="28" t="s">
        <v>147</v>
      </c>
      <c r="G2593" s="28" t="s">
        <v>148</v>
      </c>
      <c r="H2593" s="28" t="s">
        <v>162</v>
      </c>
      <c r="I2593" s="29" t="n">
        <v>200000</v>
      </c>
      <c r="J2593" s="29" t="n">
        <v>100000</v>
      </c>
      <c r="K2593" s="28" t="n">
        <v>11.25</v>
      </c>
      <c r="L2593" s="28" t="n">
        <v>120</v>
      </c>
      <c r="M2593" s="28" t="n">
        <v>4</v>
      </c>
    </row>
    <row r="2594" customFormat="false" ht="15" hidden="false" customHeight="false" outlineLevel="0" collapsed="false">
      <c r="A2594" s="27" t="n">
        <v>45159</v>
      </c>
      <c r="B2594" s="28" t="n">
        <v>2023</v>
      </c>
      <c r="C2594" s="28" t="s">
        <v>522</v>
      </c>
      <c r="D2594" s="28" t="s">
        <v>43</v>
      </c>
      <c r="E2594" s="28" t="s">
        <v>996</v>
      </c>
      <c r="F2594" s="28" t="s">
        <v>147</v>
      </c>
      <c r="G2594" s="28" t="s">
        <v>148</v>
      </c>
      <c r="H2594" s="28" t="s">
        <v>372</v>
      </c>
      <c r="I2594" s="29" t="n">
        <v>150000</v>
      </c>
      <c r="J2594" s="29" t="n">
        <v>75000</v>
      </c>
      <c r="K2594" s="28" t="n">
        <v>9.5</v>
      </c>
      <c r="L2594" s="28" t="n">
        <v>120</v>
      </c>
      <c r="M2594" s="28" t="n">
        <v>0</v>
      </c>
    </row>
    <row r="2595" customFormat="false" ht="15" hidden="false" customHeight="false" outlineLevel="0" collapsed="false">
      <c r="A2595" s="27" t="n">
        <v>45159</v>
      </c>
      <c r="B2595" s="28" t="n">
        <v>2023</v>
      </c>
      <c r="C2595" s="28" t="s">
        <v>316</v>
      </c>
      <c r="D2595" s="28" t="s">
        <v>54</v>
      </c>
      <c r="E2595" s="28" t="s">
        <v>997</v>
      </c>
      <c r="F2595" s="28" t="s">
        <v>142</v>
      </c>
      <c r="G2595" s="28" t="s">
        <v>441</v>
      </c>
      <c r="H2595" s="28" t="s">
        <v>306</v>
      </c>
      <c r="I2595" s="29" t="n">
        <v>90100</v>
      </c>
      <c r="J2595" s="29" t="n">
        <v>76585</v>
      </c>
      <c r="K2595" s="28" t="n">
        <v>11.5</v>
      </c>
      <c r="L2595" s="28" t="n">
        <v>120</v>
      </c>
      <c r="M2595" s="28" t="n">
        <v>2</v>
      </c>
    </row>
    <row r="2596" customFormat="false" ht="15" hidden="false" customHeight="false" outlineLevel="0" collapsed="false">
      <c r="A2596" s="27" t="n">
        <v>45159</v>
      </c>
      <c r="B2596" s="28" t="n">
        <v>2023</v>
      </c>
      <c r="C2596" s="28" t="s">
        <v>140</v>
      </c>
      <c r="D2596" s="28" t="s">
        <v>46</v>
      </c>
      <c r="E2596" s="28" t="s">
        <v>770</v>
      </c>
      <c r="F2596" s="28" t="s">
        <v>142</v>
      </c>
      <c r="G2596" s="28" t="s">
        <v>441</v>
      </c>
      <c r="H2596" s="28" t="s">
        <v>211</v>
      </c>
      <c r="I2596" s="29" t="n">
        <v>742000</v>
      </c>
      <c r="J2596" s="29" t="n">
        <v>556500</v>
      </c>
      <c r="K2596" s="28" t="n">
        <v>11.25</v>
      </c>
      <c r="L2596" s="28" t="n">
        <v>120</v>
      </c>
      <c r="M2596" s="28" t="n">
        <v>17</v>
      </c>
    </row>
    <row r="2597" customFormat="false" ht="15" hidden="false" customHeight="false" outlineLevel="0" collapsed="false">
      <c r="A2597" s="27" t="n">
        <v>45159</v>
      </c>
      <c r="B2597" s="28" t="n">
        <v>2023</v>
      </c>
      <c r="C2597" s="28" t="s">
        <v>409</v>
      </c>
      <c r="D2597" s="28" t="s">
        <v>55</v>
      </c>
      <c r="E2597" s="28" t="s">
        <v>821</v>
      </c>
      <c r="F2597" s="28" t="s">
        <v>194</v>
      </c>
      <c r="G2597" s="28" t="s">
        <v>143</v>
      </c>
      <c r="H2597" s="28" t="s">
        <v>799</v>
      </c>
      <c r="I2597" s="29" t="n">
        <v>2823500</v>
      </c>
      <c r="J2597" s="29" t="n">
        <v>2117625</v>
      </c>
      <c r="K2597" s="28" t="n">
        <v>10</v>
      </c>
      <c r="L2597" s="28" t="n">
        <v>312</v>
      </c>
      <c r="M2597" s="28" t="n">
        <v>9</v>
      </c>
    </row>
    <row r="2598" customFormat="false" ht="15" hidden="false" customHeight="false" outlineLevel="0" collapsed="false">
      <c r="A2598" s="27" t="n">
        <v>45160</v>
      </c>
      <c r="B2598" s="28" t="n">
        <v>2023</v>
      </c>
      <c r="C2598" s="28" t="s">
        <v>172</v>
      </c>
      <c r="D2598" s="28" t="s">
        <v>52</v>
      </c>
      <c r="E2598" s="28" t="s">
        <v>742</v>
      </c>
      <c r="F2598" s="28" t="s">
        <v>147</v>
      </c>
      <c r="G2598" s="28" t="s">
        <v>441</v>
      </c>
      <c r="H2598" s="28" t="s">
        <v>168</v>
      </c>
      <c r="I2598" s="29" t="n">
        <v>35000</v>
      </c>
      <c r="J2598" s="29" t="n">
        <v>17500</v>
      </c>
      <c r="K2598" s="28" t="n">
        <v>13.5</v>
      </c>
      <c r="L2598" s="28" t="n">
        <v>120</v>
      </c>
      <c r="M2598" s="28" t="n">
        <v>1</v>
      </c>
    </row>
    <row r="2599" customFormat="false" ht="15" hidden="false" customHeight="false" outlineLevel="0" collapsed="false">
      <c r="A2599" s="27" t="n">
        <v>45160</v>
      </c>
      <c r="B2599" s="28" t="n">
        <v>2023</v>
      </c>
      <c r="C2599" s="28" t="s">
        <v>172</v>
      </c>
      <c r="D2599" s="28" t="s">
        <v>48</v>
      </c>
      <c r="E2599" s="28" t="s">
        <v>815</v>
      </c>
      <c r="F2599" s="28" t="s">
        <v>147</v>
      </c>
      <c r="G2599" s="28" t="s">
        <v>148</v>
      </c>
      <c r="H2599" s="28" t="s">
        <v>162</v>
      </c>
      <c r="I2599" s="29" t="n">
        <v>300000</v>
      </c>
      <c r="J2599" s="29" t="n">
        <v>150000</v>
      </c>
      <c r="K2599" s="28" t="n">
        <v>11.25</v>
      </c>
      <c r="L2599" s="28" t="n">
        <v>84</v>
      </c>
      <c r="M2599" s="28" t="n">
        <v>5</v>
      </c>
    </row>
    <row r="2600" customFormat="false" ht="15" hidden="false" customHeight="false" outlineLevel="0" collapsed="false">
      <c r="A2600" s="27" t="n">
        <v>45160</v>
      </c>
      <c r="B2600" s="28" t="n">
        <v>2023</v>
      </c>
      <c r="C2600" s="28" t="s">
        <v>421</v>
      </c>
      <c r="D2600" s="28" t="s">
        <v>60</v>
      </c>
      <c r="E2600" s="28" t="s">
        <v>998</v>
      </c>
      <c r="F2600" s="28" t="s">
        <v>147</v>
      </c>
      <c r="G2600" s="28" t="s">
        <v>441</v>
      </c>
      <c r="H2600" s="28" t="s">
        <v>168</v>
      </c>
      <c r="I2600" s="29" t="n">
        <v>20000</v>
      </c>
      <c r="J2600" s="29" t="n">
        <v>10000</v>
      </c>
      <c r="K2600" s="28" t="n">
        <v>13.5</v>
      </c>
      <c r="L2600" s="28" t="n">
        <v>120</v>
      </c>
      <c r="M2600" s="28" t="n">
        <v>2</v>
      </c>
    </row>
    <row r="2601" customFormat="false" ht="15" hidden="false" customHeight="false" outlineLevel="0" collapsed="false">
      <c r="A2601" s="27" t="n">
        <v>45160</v>
      </c>
      <c r="B2601" s="28" t="n">
        <v>2023</v>
      </c>
      <c r="C2601" s="28" t="s">
        <v>145</v>
      </c>
      <c r="D2601" s="28" t="s">
        <v>42</v>
      </c>
      <c r="E2601" s="28" t="s">
        <v>717</v>
      </c>
      <c r="F2601" s="28" t="s">
        <v>142</v>
      </c>
      <c r="G2601" s="28" t="s">
        <v>148</v>
      </c>
      <c r="H2601" s="28" t="s">
        <v>171</v>
      </c>
      <c r="I2601" s="29" t="n">
        <v>150000</v>
      </c>
      <c r="J2601" s="29" t="n">
        <v>127500</v>
      </c>
      <c r="K2601" s="28" t="n">
        <v>12.25</v>
      </c>
      <c r="L2601" s="28" t="n">
        <v>120</v>
      </c>
      <c r="M2601" s="28" t="n">
        <v>47</v>
      </c>
    </row>
    <row r="2602" customFormat="false" ht="15" hidden="false" customHeight="false" outlineLevel="0" collapsed="false">
      <c r="A2602" s="27" t="n">
        <v>45160</v>
      </c>
      <c r="B2602" s="28" t="n">
        <v>2023</v>
      </c>
      <c r="C2602" s="28" t="s">
        <v>163</v>
      </c>
      <c r="D2602" s="28" t="s">
        <v>43</v>
      </c>
      <c r="E2602" s="28" t="s">
        <v>858</v>
      </c>
      <c r="F2602" s="28" t="s">
        <v>147</v>
      </c>
      <c r="G2602" s="28" t="s">
        <v>148</v>
      </c>
      <c r="H2602" s="28" t="s">
        <v>953</v>
      </c>
      <c r="I2602" s="29" t="n">
        <v>30000</v>
      </c>
      <c r="J2602" s="29" t="n">
        <v>15000</v>
      </c>
      <c r="K2602" s="28" t="n">
        <v>15</v>
      </c>
      <c r="L2602" s="28" t="n">
        <v>120</v>
      </c>
      <c r="M2602" s="28" t="n">
        <v>2</v>
      </c>
    </row>
    <row r="2603" customFormat="false" ht="15" hidden="false" customHeight="false" outlineLevel="0" collapsed="false">
      <c r="A2603" s="27" t="n">
        <v>45162</v>
      </c>
      <c r="B2603" s="28" t="n">
        <v>2023</v>
      </c>
      <c r="C2603" s="28" t="s">
        <v>203</v>
      </c>
      <c r="D2603" s="28" t="s">
        <v>51</v>
      </c>
      <c r="E2603" s="28" t="s">
        <v>800</v>
      </c>
      <c r="F2603" s="28" t="s">
        <v>147</v>
      </c>
      <c r="G2603" s="28" t="s">
        <v>143</v>
      </c>
      <c r="H2603" s="28" t="s">
        <v>159</v>
      </c>
      <c r="I2603" s="29" t="n">
        <v>25000</v>
      </c>
      <c r="J2603" s="29" t="n">
        <v>12500</v>
      </c>
      <c r="K2603" s="28" t="n">
        <v>11</v>
      </c>
      <c r="L2603" s="28" t="n">
        <v>120</v>
      </c>
      <c r="M2603" s="28" t="n">
        <v>7</v>
      </c>
    </row>
    <row r="2604" customFormat="false" ht="15" hidden="false" customHeight="false" outlineLevel="0" collapsed="false">
      <c r="A2604" s="27" t="n">
        <v>45162</v>
      </c>
      <c r="B2604" s="28" t="n">
        <v>2023</v>
      </c>
      <c r="C2604" s="28" t="s">
        <v>172</v>
      </c>
      <c r="D2604" s="28" t="s">
        <v>44</v>
      </c>
      <c r="E2604" s="28" t="s">
        <v>730</v>
      </c>
      <c r="F2604" s="28" t="s">
        <v>147</v>
      </c>
      <c r="G2604" s="28" t="s">
        <v>148</v>
      </c>
      <c r="H2604" s="28" t="s">
        <v>159</v>
      </c>
      <c r="I2604" s="29" t="n">
        <v>100000</v>
      </c>
      <c r="J2604" s="29" t="n">
        <v>50000</v>
      </c>
      <c r="K2604" s="28" t="n">
        <v>10.5</v>
      </c>
      <c r="L2604" s="28" t="n">
        <v>84</v>
      </c>
      <c r="M2604" s="28" t="n">
        <v>35</v>
      </c>
    </row>
    <row r="2605" customFormat="false" ht="15" hidden="false" customHeight="false" outlineLevel="0" collapsed="false">
      <c r="A2605" s="27" t="n">
        <v>45162</v>
      </c>
      <c r="B2605" s="28" t="n">
        <v>2023</v>
      </c>
      <c r="C2605" s="28" t="s">
        <v>140</v>
      </c>
      <c r="D2605" s="28" t="s">
        <v>45</v>
      </c>
      <c r="E2605" s="28" t="s">
        <v>824</v>
      </c>
      <c r="F2605" s="28" t="s">
        <v>142</v>
      </c>
      <c r="G2605" s="28" t="s">
        <v>148</v>
      </c>
      <c r="H2605" s="28" t="s">
        <v>162</v>
      </c>
      <c r="I2605" s="29" t="n">
        <v>486000</v>
      </c>
      <c r="J2605" s="29" t="n">
        <v>243000</v>
      </c>
      <c r="K2605" s="28" t="n">
        <v>5.63</v>
      </c>
      <c r="L2605" s="28" t="n">
        <v>300</v>
      </c>
      <c r="M2605" s="28" t="n">
        <v>26</v>
      </c>
    </row>
    <row r="2606" customFormat="false" ht="15" hidden="false" customHeight="false" outlineLevel="0" collapsed="false">
      <c r="A2606" s="27" t="n">
        <v>45162</v>
      </c>
      <c r="B2606" s="28" t="n">
        <v>2023</v>
      </c>
      <c r="C2606" s="28" t="s">
        <v>172</v>
      </c>
      <c r="D2606" s="28" t="s">
        <v>49</v>
      </c>
      <c r="E2606" s="28" t="s">
        <v>999</v>
      </c>
      <c r="F2606" s="28" t="s">
        <v>142</v>
      </c>
      <c r="G2606" s="28" t="s">
        <v>148</v>
      </c>
      <c r="H2606" s="28" t="s">
        <v>953</v>
      </c>
      <c r="I2606" s="29" t="n">
        <v>500000</v>
      </c>
      <c r="J2606" s="29" t="n">
        <v>375000</v>
      </c>
      <c r="K2606" s="28" t="n">
        <v>11.5</v>
      </c>
      <c r="L2606" s="28" t="n">
        <v>120</v>
      </c>
      <c r="M2606" s="28" t="n">
        <v>6</v>
      </c>
    </row>
    <row r="2607" customFormat="false" ht="15" hidden="false" customHeight="false" outlineLevel="0" collapsed="false">
      <c r="A2607" s="27" t="n">
        <v>45162</v>
      </c>
      <c r="B2607" s="28" t="n">
        <v>2023</v>
      </c>
      <c r="C2607" s="28" t="s">
        <v>203</v>
      </c>
      <c r="D2607" s="28" t="s">
        <v>51</v>
      </c>
      <c r="E2607" s="28" t="s">
        <v>800</v>
      </c>
      <c r="F2607" s="28" t="s">
        <v>147</v>
      </c>
      <c r="G2607" s="28" t="s">
        <v>143</v>
      </c>
      <c r="H2607" s="28" t="s">
        <v>159</v>
      </c>
      <c r="I2607" s="29" t="n">
        <v>130000</v>
      </c>
      <c r="J2607" s="29" t="n">
        <v>65000</v>
      </c>
      <c r="K2607" s="28" t="n">
        <v>11</v>
      </c>
      <c r="L2607" s="28" t="n">
        <v>69</v>
      </c>
      <c r="M2607" s="28" t="n">
        <v>7</v>
      </c>
    </row>
    <row r="2608" customFormat="false" ht="15" hidden="false" customHeight="false" outlineLevel="0" collapsed="false">
      <c r="A2608" s="27" t="n">
        <v>45162</v>
      </c>
      <c r="B2608" s="28" t="n">
        <v>2023</v>
      </c>
      <c r="C2608" s="28" t="s">
        <v>324</v>
      </c>
      <c r="D2608" s="28" t="s">
        <v>42</v>
      </c>
      <c r="E2608" s="28" t="s">
        <v>705</v>
      </c>
      <c r="F2608" s="28" t="s">
        <v>142</v>
      </c>
      <c r="G2608" s="28" t="s">
        <v>441</v>
      </c>
      <c r="H2608" s="28" t="s">
        <v>592</v>
      </c>
      <c r="I2608" s="29" t="n">
        <v>5000000</v>
      </c>
      <c r="J2608" s="29" t="n">
        <v>3750000</v>
      </c>
      <c r="K2608" s="28" t="n">
        <v>9.25</v>
      </c>
      <c r="L2608" s="28" t="n">
        <v>300</v>
      </c>
      <c r="M2608" s="28" t="n">
        <v>12</v>
      </c>
    </row>
    <row r="2609" customFormat="false" ht="15" hidden="false" customHeight="false" outlineLevel="0" collapsed="false">
      <c r="A2609" s="27" t="n">
        <v>45163</v>
      </c>
      <c r="B2609" s="28" t="n">
        <v>2023</v>
      </c>
      <c r="C2609" s="28" t="s">
        <v>166</v>
      </c>
      <c r="D2609" s="28" t="s">
        <v>50</v>
      </c>
      <c r="E2609" s="28" t="s">
        <v>724</v>
      </c>
      <c r="F2609" s="28" t="s">
        <v>147</v>
      </c>
      <c r="G2609" s="28" t="s">
        <v>152</v>
      </c>
      <c r="H2609" s="28" t="s">
        <v>144</v>
      </c>
      <c r="I2609" s="29" t="n">
        <v>50000</v>
      </c>
      <c r="J2609" s="29" t="n">
        <v>25000</v>
      </c>
      <c r="K2609" s="28" t="n">
        <v>9.75</v>
      </c>
      <c r="L2609" s="28" t="n">
        <v>120</v>
      </c>
      <c r="M2609" s="28" t="n">
        <v>22</v>
      </c>
    </row>
    <row r="2610" customFormat="false" ht="15" hidden="false" customHeight="false" outlineLevel="0" collapsed="false">
      <c r="A2610" s="27" t="n">
        <v>45163</v>
      </c>
      <c r="B2610" s="28" t="n">
        <v>2023</v>
      </c>
      <c r="C2610" s="28" t="s">
        <v>353</v>
      </c>
      <c r="D2610" s="28" t="s">
        <v>43</v>
      </c>
      <c r="E2610" s="28" t="s">
        <v>893</v>
      </c>
      <c r="F2610" s="28" t="s">
        <v>147</v>
      </c>
      <c r="G2610" s="28" t="s">
        <v>143</v>
      </c>
      <c r="H2610" s="28" t="s">
        <v>416</v>
      </c>
      <c r="I2610" s="29" t="n">
        <v>305000</v>
      </c>
      <c r="J2610" s="29" t="n">
        <v>152500</v>
      </c>
      <c r="K2610" s="28" t="n">
        <v>10.25</v>
      </c>
      <c r="L2610" s="28" t="n">
        <v>120</v>
      </c>
      <c r="M2610" s="28" t="n">
        <v>5</v>
      </c>
    </row>
    <row r="2611" customFormat="false" ht="15" hidden="false" customHeight="false" outlineLevel="0" collapsed="false">
      <c r="A2611" s="27" t="n">
        <v>45163</v>
      </c>
      <c r="B2611" s="28" t="n">
        <v>2023</v>
      </c>
      <c r="C2611" s="28" t="s">
        <v>201</v>
      </c>
      <c r="D2611" s="28" t="s">
        <v>50</v>
      </c>
      <c r="E2611" s="28" t="s">
        <v>193</v>
      </c>
      <c r="F2611" s="28" t="s">
        <v>142</v>
      </c>
      <c r="G2611" s="28" t="s">
        <v>148</v>
      </c>
      <c r="H2611" s="28" t="s">
        <v>171</v>
      </c>
      <c r="I2611" s="29" t="n">
        <v>150000</v>
      </c>
      <c r="J2611" s="29" t="n">
        <v>127500</v>
      </c>
      <c r="K2611" s="28" t="n">
        <v>13.25</v>
      </c>
      <c r="L2611" s="28" t="n">
        <v>120</v>
      </c>
      <c r="M2611" s="28" t="n">
        <v>4</v>
      </c>
    </row>
    <row r="2612" customFormat="false" ht="15" hidden="false" customHeight="false" outlineLevel="0" collapsed="false">
      <c r="A2612" s="27" t="n">
        <v>45163</v>
      </c>
      <c r="B2612" s="28" t="n">
        <v>2023</v>
      </c>
      <c r="C2612" s="28" t="s">
        <v>166</v>
      </c>
      <c r="D2612" s="28" t="s">
        <v>50</v>
      </c>
      <c r="E2612" s="28" t="s">
        <v>724</v>
      </c>
      <c r="F2612" s="28" t="s">
        <v>142</v>
      </c>
      <c r="G2612" s="28" t="s">
        <v>152</v>
      </c>
      <c r="H2612" s="28" t="s">
        <v>144</v>
      </c>
      <c r="I2612" s="29" t="n">
        <v>432000</v>
      </c>
      <c r="J2612" s="29" t="n">
        <v>324000</v>
      </c>
      <c r="K2612" s="28" t="n">
        <v>9.75</v>
      </c>
      <c r="L2612" s="28" t="n">
        <v>120</v>
      </c>
      <c r="M2612" s="28" t="n">
        <v>22</v>
      </c>
    </row>
    <row r="2613" customFormat="false" ht="15" hidden="false" customHeight="false" outlineLevel="0" collapsed="false">
      <c r="A2613" s="27" t="n">
        <v>45163</v>
      </c>
      <c r="B2613" s="28" t="n">
        <v>2023</v>
      </c>
      <c r="C2613" s="28" t="s">
        <v>349</v>
      </c>
      <c r="D2613" s="28" t="s">
        <v>44</v>
      </c>
      <c r="E2613" s="28" t="s">
        <v>897</v>
      </c>
      <c r="F2613" s="28" t="s">
        <v>142</v>
      </c>
      <c r="G2613" s="28" t="s">
        <v>148</v>
      </c>
      <c r="H2613" s="28" t="s">
        <v>171</v>
      </c>
      <c r="I2613" s="29" t="n">
        <v>150000</v>
      </c>
      <c r="J2613" s="29" t="n">
        <v>127500</v>
      </c>
      <c r="K2613" s="28" t="n">
        <v>12.25</v>
      </c>
      <c r="L2613" s="28" t="n">
        <v>120</v>
      </c>
      <c r="M2613" s="28" t="n">
        <v>0</v>
      </c>
    </row>
    <row r="2614" customFormat="false" ht="15" hidden="false" customHeight="false" outlineLevel="0" collapsed="false">
      <c r="A2614" s="27" t="n">
        <v>45164</v>
      </c>
      <c r="B2614" s="28" t="n">
        <v>2023</v>
      </c>
      <c r="C2614" s="28" t="s">
        <v>206</v>
      </c>
      <c r="D2614" s="28" t="s">
        <v>52</v>
      </c>
      <c r="E2614" s="28" t="s">
        <v>832</v>
      </c>
      <c r="F2614" s="28" t="s">
        <v>147</v>
      </c>
      <c r="G2614" s="28" t="s">
        <v>148</v>
      </c>
      <c r="H2614" s="28" t="s">
        <v>205</v>
      </c>
      <c r="I2614" s="29" t="n">
        <v>56000</v>
      </c>
      <c r="J2614" s="29" t="n">
        <v>28000</v>
      </c>
      <c r="K2614" s="28" t="n">
        <v>11.5</v>
      </c>
      <c r="L2614" s="28" t="n">
        <v>120</v>
      </c>
      <c r="M2614" s="28" t="n">
        <v>0</v>
      </c>
    </row>
    <row r="2615" customFormat="false" ht="15" hidden="false" customHeight="false" outlineLevel="0" collapsed="false">
      <c r="A2615" s="27" t="n">
        <v>45164</v>
      </c>
      <c r="B2615" s="28" t="n">
        <v>2023</v>
      </c>
      <c r="C2615" s="28" t="s">
        <v>344</v>
      </c>
      <c r="D2615" s="28" t="s">
        <v>44</v>
      </c>
      <c r="E2615" s="28" t="s">
        <v>730</v>
      </c>
      <c r="F2615" s="28" t="s">
        <v>147</v>
      </c>
      <c r="G2615" s="28" t="s">
        <v>441</v>
      </c>
      <c r="H2615" s="28" t="s">
        <v>159</v>
      </c>
      <c r="I2615" s="29" t="n">
        <v>25000</v>
      </c>
      <c r="J2615" s="29" t="n">
        <v>12500</v>
      </c>
      <c r="K2615" s="28" t="n">
        <v>14.5</v>
      </c>
      <c r="L2615" s="28" t="n">
        <v>60</v>
      </c>
      <c r="M2615" s="28" t="n">
        <v>2</v>
      </c>
    </row>
    <row r="2616" customFormat="false" ht="15" hidden="false" customHeight="false" outlineLevel="0" collapsed="false">
      <c r="A2616" s="27" t="n">
        <v>45164</v>
      </c>
      <c r="B2616" s="28" t="n">
        <v>2023</v>
      </c>
      <c r="C2616" s="28" t="s">
        <v>375</v>
      </c>
      <c r="D2616" s="28" t="s">
        <v>46</v>
      </c>
      <c r="E2616" s="28" t="s">
        <v>813</v>
      </c>
      <c r="F2616" s="28" t="s">
        <v>142</v>
      </c>
      <c r="G2616" s="28" t="s">
        <v>148</v>
      </c>
      <c r="H2616" s="28" t="s">
        <v>306</v>
      </c>
      <c r="I2616" s="29" t="n">
        <v>375000</v>
      </c>
      <c r="J2616" s="29" t="n">
        <v>281250</v>
      </c>
      <c r="K2616" s="28" t="n">
        <v>8.25</v>
      </c>
      <c r="L2616" s="28" t="n">
        <v>300</v>
      </c>
      <c r="M2616" s="28" t="n">
        <v>4</v>
      </c>
    </row>
    <row r="2617" customFormat="false" ht="15" hidden="false" customHeight="false" outlineLevel="0" collapsed="false">
      <c r="A2617" s="27" t="n">
        <v>45167</v>
      </c>
      <c r="B2617" s="28" t="n">
        <v>2023</v>
      </c>
      <c r="C2617" s="28" t="s">
        <v>316</v>
      </c>
      <c r="D2617" s="28" t="s">
        <v>46</v>
      </c>
      <c r="E2617" s="28" t="s">
        <v>813</v>
      </c>
      <c r="F2617" s="28" t="s">
        <v>194</v>
      </c>
      <c r="G2617" s="28" t="s">
        <v>148</v>
      </c>
      <c r="H2617" s="28" t="s">
        <v>862</v>
      </c>
      <c r="I2617" s="29" t="n">
        <v>365500</v>
      </c>
      <c r="J2617" s="29" t="n">
        <v>274125</v>
      </c>
      <c r="K2617" s="28" t="n">
        <v>10.75</v>
      </c>
      <c r="L2617" s="28" t="n">
        <v>300</v>
      </c>
      <c r="M2617" s="28" t="n">
        <v>10</v>
      </c>
    </row>
    <row r="2618" customFormat="false" ht="15" hidden="false" customHeight="false" outlineLevel="0" collapsed="false">
      <c r="A2618" s="27" t="n">
        <v>45167</v>
      </c>
      <c r="B2618" s="28" t="n">
        <v>2023</v>
      </c>
      <c r="C2618" s="28" t="s">
        <v>172</v>
      </c>
      <c r="D2618" s="28" t="s">
        <v>43</v>
      </c>
      <c r="E2618" s="28" t="s">
        <v>1000</v>
      </c>
      <c r="F2618" s="28" t="s">
        <v>147</v>
      </c>
      <c r="G2618" s="28" t="s">
        <v>148</v>
      </c>
      <c r="H2618" s="28" t="s">
        <v>162</v>
      </c>
      <c r="I2618" s="29" t="n">
        <v>500000</v>
      </c>
      <c r="J2618" s="29" t="n">
        <v>250000</v>
      </c>
      <c r="K2618" s="28" t="n">
        <v>6.83</v>
      </c>
      <c r="L2618" s="28" t="n">
        <v>120</v>
      </c>
      <c r="M2618" s="28" t="n">
        <v>9</v>
      </c>
    </row>
    <row r="2619" customFormat="false" ht="15" hidden="false" customHeight="false" outlineLevel="0" collapsed="false">
      <c r="A2619" s="27" t="n">
        <v>45167</v>
      </c>
      <c r="B2619" s="28" t="n">
        <v>2023</v>
      </c>
      <c r="C2619" s="28" t="s">
        <v>163</v>
      </c>
      <c r="D2619" s="28" t="s">
        <v>42</v>
      </c>
      <c r="E2619" s="28" t="s">
        <v>753</v>
      </c>
      <c r="F2619" s="28" t="s">
        <v>142</v>
      </c>
      <c r="G2619" s="28" t="s">
        <v>441</v>
      </c>
      <c r="H2619" s="28" t="s">
        <v>1001</v>
      </c>
      <c r="I2619" s="29" t="n">
        <v>788000</v>
      </c>
      <c r="J2619" s="29" t="n">
        <v>591000</v>
      </c>
      <c r="K2619" s="28" t="n">
        <v>11</v>
      </c>
      <c r="L2619" s="28" t="n">
        <v>120</v>
      </c>
      <c r="M2619" s="28" t="n">
        <v>19</v>
      </c>
    </row>
    <row r="2620" customFormat="false" ht="15" hidden="false" customHeight="false" outlineLevel="0" collapsed="false">
      <c r="A2620" s="27" t="n">
        <v>45168</v>
      </c>
      <c r="B2620" s="28" t="n">
        <v>2023</v>
      </c>
      <c r="C2620" s="28" t="s">
        <v>206</v>
      </c>
      <c r="D2620" s="28" t="s">
        <v>42</v>
      </c>
      <c r="E2620" s="28" t="s">
        <v>828</v>
      </c>
      <c r="F2620" s="28" t="s">
        <v>142</v>
      </c>
      <c r="G2620" s="28" t="s">
        <v>143</v>
      </c>
      <c r="H2620" s="28" t="s">
        <v>1002</v>
      </c>
      <c r="I2620" s="29" t="n">
        <v>2935000</v>
      </c>
      <c r="J2620" s="29" t="n">
        <v>2201250</v>
      </c>
      <c r="K2620" s="28" t="n">
        <v>10.5</v>
      </c>
      <c r="L2620" s="28" t="n">
        <v>129</v>
      </c>
      <c r="M2620" s="28" t="n">
        <v>41</v>
      </c>
    </row>
    <row r="2621" customFormat="false" ht="15" hidden="false" customHeight="false" outlineLevel="0" collapsed="false">
      <c r="A2621" s="27" t="n">
        <v>45168</v>
      </c>
      <c r="B2621" s="28" t="n">
        <v>2023</v>
      </c>
      <c r="C2621" s="28" t="s">
        <v>188</v>
      </c>
      <c r="D2621" s="28" t="s">
        <v>44</v>
      </c>
      <c r="E2621" s="28" t="s">
        <v>839</v>
      </c>
      <c r="F2621" s="28" t="s">
        <v>142</v>
      </c>
      <c r="G2621" s="28" t="s">
        <v>148</v>
      </c>
      <c r="H2621" s="28" t="s">
        <v>208</v>
      </c>
      <c r="I2621" s="29" t="n">
        <v>200000</v>
      </c>
      <c r="J2621" s="29" t="n">
        <v>150000</v>
      </c>
      <c r="K2621" s="28" t="n">
        <v>11.25</v>
      </c>
      <c r="L2621" s="28" t="n">
        <v>120</v>
      </c>
      <c r="M2621" s="28" t="n">
        <v>2</v>
      </c>
    </row>
    <row r="2622" customFormat="false" ht="15" hidden="false" customHeight="false" outlineLevel="0" collapsed="false">
      <c r="A2622" s="27" t="n">
        <v>45169</v>
      </c>
      <c r="B2622" s="28" t="n">
        <v>2023</v>
      </c>
      <c r="C2622" s="28" t="s">
        <v>169</v>
      </c>
      <c r="D2622" s="28" t="s">
        <v>48</v>
      </c>
      <c r="E2622" s="28" t="s">
        <v>815</v>
      </c>
      <c r="F2622" s="28" t="s">
        <v>147</v>
      </c>
      <c r="G2622" s="28" t="s">
        <v>441</v>
      </c>
      <c r="H2622" s="28" t="s">
        <v>372</v>
      </c>
      <c r="I2622" s="29" t="n">
        <v>150000</v>
      </c>
      <c r="J2622" s="29" t="n">
        <v>75000</v>
      </c>
      <c r="K2622" s="28" t="n">
        <v>10</v>
      </c>
      <c r="L2622" s="28" t="n">
        <v>120</v>
      </c>
      <c r="M2622" s="28" t="n">
        <v>3</v>
      </c>
    </row>
    <row r="2623" customFormat="false" ht="15" hidden="false" customHeight="false" outlineLevel="0" collapsed="false">
      <c r="A2623" s="27" t="n">
        <v>45169</v>
      </c>
      <c r="B2623" s="28" t="n">
        <v>2023</v>
      </c>
      <c r="C2623" s="28" t="s">
        <v>154</v>
      </c>
      <c r="D2623" s="28" t="s">
        <v>46</v>
      </c>
      <c r="E2623" s="28" t="s">
        <v>770</v>
      </c>
      <c r="F2623" s="28" t="s">
        <v>147</v>
      </c>
      <c r="G2623" s="28" t="s">
        <v>143</v>
      </c>
      <c r="H2623" s="28" t="s">
        <v>211</v>
      </c>
      <c r="I2623" s="29" t="n">
        <v>40000</v>
      </c>
      <c r="J2623" s="29" t="n">
        <v>20000</v>
      </c>
      <c r="K2623" s="28" t="n">
        <v>11.25</v>
      </c>
      <c r="L2623" s="28" t="n">
        <v>120</v>
      </c>
      <c r="M2623" s="28" t="n">
        <v>14</v>
      </c>
    </row>
    <row r="2624" customFormat="false" ht="15" hidden="false" customHeight="false" outlineLevel="0" collapsed="false">
      <c r="A2624" s="27" t="n">
        <v>45169</v>
      </c>
      <c r="B2624" s="28" t="n">
        <v>2023</v>
      </c>
      <c r="C2624" s="28" t="s">
        <v>154</v>
      </c>
      <c r="D2624" s="28" t="s">
        <v>46</v>
      </c>
      <c r="E2624" s="28" t="s">
        <v>770</v>
      </c>
      <c r="F2624" s="28" t="s">
        <v>142</v>
      </c>
      <c r="G2624" s="28" t="s">
        <v>143</v>
      </c>
      <c r="H2624" s="28" t="s">
        <v>211</v>
      </c>
      <c r="I2624" s="29" t="n">
        <v>392600</v>
      </c>
      <c r="J2624" s="29" t="n">
        <v>294450</v>
      </c>
      <c r="K2624" s="28" t="n">
        <v>11.25</v>
      </c>
      <c r="L2624" s="28" t="n">
        <v>120</v>
      </c>
      <c r="M2624" s="28" t="n">
        <v>14</v>
      </c>
    </row>
    <row r="2625" customFormat="false" ht="15" hidden="false" customHeight="false" outlineLevel="0" collapsed="false">
      <c r="A2625" s="27" t="n">
        <v>45169</v>
      </c>
      <c r="B2625" s="28" t="n">
        <v>2023</v>
      </c>
      <c r="C2625" s="28" t="s">
        <v>603</v>
      </c>
      <c r="D2625" s="28" t="s">
        <v>44</v>
      </c>
      <c r="E2625" s="28" t="s">
        <v>729</v>
      </c>
      <c r="F2625" s="28" t="s">
        <v>142</v>
      </c>
      <c r="G2625" s="28" t="s">
        <v>148</v>
      </c>
      <c r="H2625" s="28" t="s">
        <v>171</v>
      </c>
      <c r="I2625" s="29" t="n">
        <v>150000</v>
      </c>
      <c r="J2625" s="29" t="n">
        <v>127500</v>
      </c>
      <c r="K2625" s="28" t="n">
        <v>12.25</v>
      </c>
      <c r="L2625" s="28" t="n">
        <v>120</v>
      </c>
      <c r="M2625" s="28" t="n">
        <v>3</v>
      </c>
    </row>
    <row r="2626" customFormat="false" ht="15" hidden="false" customHeight="false" outlineLevel="0" collapsed="false">
      <c r="A2626" s="27" t="n">
        <v>45169</v>
      </c>
      <c r="B2626" s="28" t="n">
        <v>2023</v>
      </c>
      <c r="C2626" s="28" t="s">
        <v>353</v>
      </c>
      <c r="D2626" s="28" t="s">
        <v>44</v>
      </c>
      <c r="E2626" s="28" t="s">
        <v>783</v>
      </c>
      <c r="F2626" s="28" t="s">
        <v>142</v>
      </c>
      <c r="G2626" s="28" t="s">
        <v>148</v>
      </c>
      <c r="H2626" s="28" t="s">
        <v>275</v>
      </c>
      <c r="I2626" s="29" t="n">
        <v>105000</v>
      </c>
      <c r="J2626" s="29" t="n">
        <v>89250</v>
      </c>
      <c r="K2626" s="28" t="n">
        <v>11.25</v>
      </c>
      <c r="L2626" s="28" t="n">
        <v>120</v>
      </c>
      <c r="M2626" s="28" t="n">
        <v>5</v>
      </c>
    </row>
    <row r="2627" customFormat="false" ht="15" hidden="false" customHeight="false" outlineLevel="0" collapsed="false">
      <c r="A2627" s="27" t="n">
        <v>45169</v>
      </c>
      <c r="B2627" s="28" t="n">
        <v>2023</v>
      </c>
      <c r="C2627" s="28" t="s">
        <v>160</v>
      </c>
      <c r="D2627" s="28" t="s">
        <v>44</v>
      </c>
      <c r="E2627" s="28" t="s">
        <v>897</v>
      </c>
      <c r="F2627" s="28" t="s">
        <v>142</v>
      </c>
      <c r="G2627" s="28" t="s">
        <v>148</v>
      </c>
      <c r="H2627" s="28" t="s">
        <v>494</v>
      </c>
      <c r="I2627" s="29" t="n">
        <v>797000</v>
      </c>
      <c r="J2627" s="29" t="n">
        <v>597750</v>
      </c>
      <c r="K2627" s="28" t="n">
        <v>10</v>
      </c>
      <c r="L2627" s="28" t="n">
        <v>120</v>
      </c>
      <c r="M2627" s="28" t="n">
        <v>1</v>
      </c>
    </row>
    <row r="2628" customFormat="false" ht="15" hidden="false" customHeight="false" outlineLevel="0" collapsed="false">
      <c r="A2628" s="27" t="n">
        <v>45170</v>
      </c>
      <c r="B2628" s="28" t="n">
        <v>2023</v>
      </c>
      <c r="C2628" s="28" t="s">
        <v>172</v>
      </c>
      <c r="D2628" s="28" t="s">
        <v>44</v>
      </c>
      <c r="E2628" s="28" t="s">
        <v>730</v>
      </c>
      <c r="F2628" s="28" t="s">
        <v>147</v>
      </c>
      <c r="G2628" s="28" t="s">
        <v>148</v>
      </c>
      <c r="H2628" s="28" t="s">
        <v>159</v>
      </c>
      <c r="I2628" s="29" t="n">
        <v>60000</v>
      </c>
      <c r="J2628" s="29" t="n">
        <v>30000</v>
      </c>
      <c r="K2628" s="28" t="n">
        <v>13</v>
      </c>
      <c r="L2628" s="28" t="n">
        <v>120</v>
      </c>
      <c r="M2628" s="28" t="n">
        <v>6</v>
      </c>
    </row>
    <row r="2629" customFormat="false" ht="15" hidden="false" customHeight="false" outlineLevel="0" collapsed="false">
      <c r="A2629" s="27" t="n">
        <v>45170</v>
      </c>
      <c r="B2629" s="28" t="n">
        <v>2023</v>
      </c>
      <c r="C2629" s="28" t="s">
        <v>344</v>
      </c>
      <c r="D2629" s="28" t="s">
        <v>42</v>
      </c>
      <c r="E2629" s="28" t="s">
        <v>784</v>
      </c>
      <c r="F2629" s="28" t="s">
        <v>142</v>
      </c>
      <c r="G2629" s="28" t="s">
        <v>143</v>
      </c>
      <c r="H2629" s="28" t="s">
        <v>287</v>
      </c>
      <c r="I2629" s="29" t="n">
        <v>125000</v>
      </c>
      <c r="J2629" s="29" t="n">
        <v>106250</v>
      </c>
      <c r="K2629" s="28" t="n">
        <v>11.25</v>
      </c>
      <c r="L2629" s="28" t="n">
        <v>120</v>
      </c>
      <c r="M2629" s="28" t="n">
        <v>13</v>
      </c>
    </row>
    <row r="2630" customFormat="false" ht="15" hidden="false" customHeight="false" outlineLevel="0" collapsed="false">
      <c r="A2630" s="27" t="n">
        <v>45170</v>
      </c>
      <c r="B2630" s="28" t="n">
        <v>2023</v>
      </c>
      <c r="C2630" s="28" t="s">
        <v>292</v>
      </c>
      <c r="D2630" s="28" t="s">
        <v>46</v>
      </c>
      <c r="E2630" s="28" t="s">
        <v>820</v>
      </c>
      <c r="F2630" s="28" t="s">
        <v>142</v>
      </c>
      <c r="G2630" s="28" t="s">
        <v>143</v>
      </c>
      <c r="H2630" s="28" t="s">
        <v>621</v>
      </c>
      <c r="I2630" s="29" t="n">
        <v>150000</v>
      </c>
      <c r="J2630" s="29" t="n">
        <v>127500</v>
      </c>
      <c r="K2630" s="28" t="n">
        <v>10.75</v>
      </c>
      <c r="L2630" s="28" t="n">
        <v>120</v>
      </c>
      <c r="M2630" s="28" t="n">
        <v>6</v>
      </c>
    </row>
    <row r="2631" customFormat="false" ht="15" hidden="false" customHeight="false" outlineLevel="0" collapsed="false">
      <c r="A2631" s="27" t="n">
        <v>45170</v>
      </c>
      <c r="B2631" s="28" t="n">
        <v>2023</v>
      </c>
      <c r="C2631" s="28" t="s">
        <v>169</v>
      </c>
      <c r="D2631" s="28" t="s">
        <v>45</v>
      </c>
      <c r="E2631" s="28" t="s">
        <v>835</v>
      </c>
      <c r="F2631" s="28" t="s">
        <v>142</v>
      </c>
      <c r="G2631" s="28" t="s">
        <v>143</v>
      </c>
      <c r="H2631" s="28" t="s">
        <v>287</v>
      </c>
      <c r="I2631" s="29" t="n">
        <v>150000</v>
      </c>
      <c r="J2631" s="29" t="n">
        <v>127500</v>
      </c>
      <c r="K2631" s="28" t="n">
        <v>11.25</v>
      </c>
      <c r="L2631" s="28" t="n">
        <v>120</v>
      </c>
      <c r="M2631" s="28" t="n">
        <v>2</v>
      </c>
    </row>
    <row r="2632" customFormat="false" ht="15" hidden="false" customHeight="false" outlineLevel="0" collapsed="false">
      <c r="A2632" s="27" t="n">
        <v>45172</v>
      </c>
      <c r="B2632" s="28" t="n">
        <v>2023</v>
      </c>
      <c r="C2632" s="28" t="s">
        <v>368</v>
      </c>
      <c r="D2632" s="28" t="s">
        <v>44</v>
      </c>
      <c r="E2632" s="28" t="s">
        <v>167</v>
      </c>
      <c r="F2632" s="28" t="s">
        <v>142</v>
      </c>
      <c r="G2632" s="28" t="s">
        <v>148</v>
      </c>
      <c r="H2632" s="28" t="s">
        <v>953</v>
      </c>
      <c r="I2632" s="29" t="n">
        <v>94000</v>
      </c>
      <c r="J2632" s="29" t="n">
        <v>79900</v>
      </c>
      <c r="K2632" s="28" t="n">
        <v>11.5</v>
      </c>
      <c r="L2632" s="28" t="n">
        <v>120</v>
      </c>
      <c r="M2632" s="28" t="n">
        <v>10</v>
      </c>
    </row>
    <row r="2633" customFormat="false" ht="15" hidden="false" customHeight="false" outlineLevel="0" collapsed="false">
      <c r="A2633" s="27" t="n">
        <v>45174</v>
      </c>
      <c r="B2633" s="28" t="n">
        <v>2023</v>
      </c>
      <c r="C2633" s="28" t="s">
        <v>172</v>
      </c>
      <c r="D2633" s="28" t="s">
        <v>48</v>
      </c>
      <c r="E2633" s="28" t="s">
        <v>342</v>
      </c>
      <c r="F2633" s="28" t="s">
        <v>142</v>
      </c>
      <c r="G2633" s="28" t="s">
        <v>148</v>
      </c>
      <c r="H2633" s="28" t="s">
        <v>171</v>
      </c>
      <c r="I2633" s="29" t="n">
        <v>98600</v>
      </c>
      <c r="J2633" s="29" t="n">
        <v>83810</v>
      </c>
      <c r="K2633" s="28" t="n">
        <v>13.25</v>
      </c>
      <c r="L2633" s="28" t="n">
        <v>120</v>
      </c>
      <c r="M2633" s="28" t="n">
        <v>0</v>
      </c>
    </row>
    <row r="2634" customFormat="false" ht="15" hidden="false" customHeight="false" outlineLevel="0" collapsed="false">
      <c r="A2634" s="27" t="n">
        <v>45175</v>
      </c>
      <c r="B2634" s="28" t="n">
        <v>2023</v>
      </c>
      <c r="C2634" s="28" t="s">
        <v>238</v>
      </c>
      <c r="D2634" s="28" t="s">
        <v>46</v>
      </c>
      <c r="E2634" s="28" t="s">
        <v>813</v>
      </c>
      <c r="F2634" s="28" t="s">
        <v>194</v>
      </c>
      <c r="G2634" s="28" t="s">
        <v>143</v>
      </c>
      <c r="H2634" s="28" t="s">
        <v>291</v>
      </c>
      <c r="I2634" s="29" t="n">
        <v>1149000</v>
      </c>
      <c r="J2634" s="29" t="n">
        <v>861750</v>
      </c>
      <c r="K2634" s="28" t="n">
        <v>10.5</v>
      </c>
      <c r="L2634" s="28" t="n">
        <v>300</v>
      </c>
      <c r="M2634" s="28" t="n">
        <v>7</v>
      </c>
    </row>
    <row r="2635" customFormat="false" ht="15" hidden="false" customHeight="false" outlineLevel="0" collapsed="false">
      <c r="A2635" s="27" t="n">
        <v>45175</v>
      </c>
      <c r="B2635" s="28" t="n">
        <v>2023</v>
      </c>
      <c r="C2635" s="28" t="s">
        <v>353</v>
      </c>
      <c r="D2635" s="28" t="s">
        <v>43</v>
      </c>
      <c r="E2635" s="28" t="s">
        <v>757</v>
      </c>
      <c r="F2635" s="28" t="s">
        <v>147</v>
      </c>
      <c r="G2635" s="28" t="s">
        <v>441</v>
      </c>
      <c r="H2635" s="28" t="s">
        <v>168</v>
      </c>
      <c r="I2635" s="29" t="n">
        <v>15000</v>
      </c>
      <c r="J2635" s="29" t="n">
        <v>7500</v>
      </c>
      <c r="K2635" s="28" t="n">
        <v>13</v>
      </c>
      <c r="L2635" s="28" t="n">
        <v>120</v>
      </c>
      <c r="M2635" s="28" t="n">
        <v>1</v>
      </c>
    </row>
    <row r="2636" customFormat="false" ht="15" hidden="false" customHeight="false" outlineLevel="0" collapsed="false">
      <c r="A2636" s="27" t="n">
        <v>45175</v>
      </c>
      <c r="B2636" s="28" t="n">
        <v>2023</v>
      </c>
      <c r="C2636" s="28" t="s">
        <v>172</v>
      </c>
      <c r="D2636" s="28" t="s">
        <v>50</v>
      </c>
      <c r="E2636" s="28" t="s">
        <v>1003</v>
      </c>
      <c r="F2636" s="28" t="s">
        <v>147</v>
      </c>
      <c r="G2636" s="28" t="s">
        <v>148</v>
      </c>
      <c r="H2636" s="28" t="s">
        <v>621</v>
      </c>
      <c r="I2636" s="29" t="n">
        <v>100000</v>
      </c>
      <c r="J2636" s="29" t="n">
        <v>50000</v>
      </c>
      <c r="K2636" s="28" t="n">
        <v>11.25</v>
      </c>
      <c r="L2636" s="28" t="n">
        <v>120</v>
      </c>
      <c r="M2636" s="28" t="n">
        <v>16</v>
      </c>
    </row>
    <row r="2637" customFormat="false" ht="15" hidden="false" customHeight="false" outlineLevel="0" collapsed="false">
      <c r="A2637" s="27" t="n">
        <v>45175</v>
      </c>
      <c r="B2637" s="28" t="n">
        <v>2023</v>
      </c>
      <c r="C2637" s="28" t="s">
        <v>172</v>
      </c>
      <c r="D2637" s="28" t="s">
        <v>50</v>
      </c>
      <c r="E2637" s="28" t="s">
        <v>1003</v>
      </c>
      <c r="F2637" s="28" t="s">
        <v>142</v>
      </c>
      <c r="G2637" s="28" t="s">
        <v>148</v>
      </c>
      <c r="H2637" s="28" t="s">
        <v>621</v>
      </c>
      <c r="I2637" s="29" t="n">
        <v>3225000</v>
      </c>
      <c r="J2637" s="29" t="n">
        <v>2418750</v>
      </c>
      <c r="K2637" s="28" t="n">
        <v>10.75</v>
      </c>
      <c r="L2637" s="28" t="n">
        <v>120</v>
      </c>
      <c r="M2637" s="28" t="n">
        <v>16</v>
      </c>
    </row>
    <row r="2638" customFormat="false" ht="15" hidden="false" customHeight="false" outlineLevel="0" collapsed="false">
      <c r="A2638" s="27" t="n">
        <v>45176</v>
      </c>
      <c r="B2638" s="28" t="n">
        <v>2023</v>
      </c>
      <c r="C2638" s="28" t="s">
        <v>206</v>
      </c>
      <c r="D2638" s="28" t="s">
        <v>43</v>
      </c>
      <c r="E2638" s="28" t="s">
        <v>757</v>
      </c>
      <c r="F2638" s="28" t="s">
        <v>147</v>
      </c>
      <c r="G2638" s="28" t="s">
        <v>148</v>
      </c>
      <c r="H2638" s="28" t="s">
        <v>404</v>
      </c>
      <c r="I2638" s="29" t="n">
        <v>228000</v>
      </c>
      <c r="J2638" s="29" t="n">
        <v>114000</v>
      </c>
      <c r="K2638" s="28" t="n">
        <v>11.25</v>
      </c>
      <c r="L2638" s="28" t="n">
        <v>119</v>
      </c>
      <c r="M2638" s="28" t="n">
        <v>5</v>
      </c>
    </row>
    <row r="2639" customFormat="false" ht="15" hidden="false" customHeight="false" outlineLevel="0" collapsed="false">
      <c r="A2639" s="27" t="n">
        <v>45176</v>
      </c>
      <c r="B2639" s="28" t="n">
        <v>2023</v>
      </c>
      <c r="C2639" s="28" t="s">
        <v>379</v>
      </c>
      <c r="D2639" s="28" t="s">
        <v>42</v>
      </c>
      <c r="E2639" s="28" t="s">
        <v>717</v>
      </c>
      <c r="F2639" s="28" t="s">
        <v>147</v>
      </c>
      <c r="G2639" s="28" t="s">
        <v>441</v>
      </c>
      <c r="H2639" s="28" t="s">
        <v>246</v>
      </c>
      <c r="I2639" s="29" t="n">
        <v>495000</v>
      </c>
      <c r="J2639" s="29" t="n">
        <v>247500</v>
      </c>
      <c r="K2639" s="28" t="n">
        <v>8.375</v>
      </c>
      <c r="L2639" s="28" t="n">
        <v>300</v>
      </c>
      <c r="M2639" s="28" t="n">
        <v>44</v>
      </c>
    </row>
    <row r="2640" customFormat="false" ht="15" hidden="false" customHeight="false" outlineLevel="0" collapsed="false">
      <c r="A2640" s="27" t="n">
        <v>45176</v>
      </c>
      <c r="B2640" s="28" t="n">
        <v>2023</v>
      </c>
      <c r="C2640" s="28" t="s">
        <v>172</v>
      </c>
      <c r="D2640" s="28" t="s">
        <v>48</v>
      </c>
      <c r="E2640" s="28" t="s">
        <v>277</v>
      </c>
      <c r="F2640" s="28" t="s">
        <v>147</v>
      </c>
      <c r="G2640" s="28" t="s">
        <v>148</v>
      </c>
      <c r="H2640" s="28" t="s">
        <v>205</v>
      </c>
      <c r="I2640" s="29" t="n">
        <v>70000</v>
      </c>
      <c r="J2640" s="29" t="n">
        <v>35000</v>
      </c>
      <c r="K2640" s="28" t="n">
        <v>11.3</v>
      </c>
      <c r="L2640" s="28" t="n">
        <v>120</v>
      </c>
      <c r="M2640" s="28" t="n">
        <v>2</v>
      </c>
    </row>
    <row r="2641" customFormat="false" ht="15" hidden="false" customHeight="false" outlineLevel="0" collapsed="false">
      <c r="A2641" s="27" t="n">
        <v>45176</v>
      </c>
      <c r="B2641" s="28" t="n">
        <v>2023</v>
      </c>
      <c r="C2641" s="28" t="s">
        <v>198</v>
      </c>
      <c r="D2641" s="28" t="s">
        <v>43</v>
      </c>
      <c r="E2641" s="28" t="s">
        <v>749</v>
      </c>
      <c r="F2641" s="28" t="s">
        <v>147</v>
      </c>
      <c r="G2641" s="28" t="s">
        <v>441</v>
      </c>
      <c r="H2641" s="28" t="s">
        <v>168</v>
      </c>
      <c r="I2641" s="29" t="n">
        <v>10000</v>
      </c>
      <c r="J2641" s="29" t="n">
        <v>5000</v>
      </c>
      <c r="K2641" s="28" t="n">
        <v>14.5</v>
      </c>
      <c r="L2641" s="28" t="n">
        <v>120</v>
      </c>
      <c r="M2641" s="28" t="n">
        <v>1</v>
      </c>
    </row>
    <row r="2642" customFormat="false" ht="15" hidden="false" customHeight="false" outlineLevel="0" collapsed="false">
      <c r="A2642" s="27" t="n">
        <v>45177</v>
      </c>
      <c r="B2642" s="28" t="n">
        <v>2023</v>
      </c>
      <c r="C2642" s="28" t="s">
        <v>235</v>
      </c>
      <c r="D2642" s="28" t="s">
        <v>42</v>
      </c>
      <c r="E2642" s="28" t="s">
        <v>753</v>
      </c>
      <c r="F2642" s="28" t="s">
        <v>142</v>
      </c>
      <c r="G2642" s="28" t="s">
        <v>152</v>
      </c>
      <c r="H2642" s="28" t="s">
        <v>483</v>
      </c>
      <c r="I2642" s="29" t="n">
        <v>350000</v>
      </c>
      <c r="J2642" s="29" t="n">
        <v>262500</v>
      </c>
      <c r="K2642" s="28" t="n">
        <v>11</v>
      </c>
      <c r="L2642" s="28" t="n">
        <v>120</v>
      </c>
      <c r="M2642" s="28" t="n">
        <v>8</v>
      </c>
    </row>
    <row r="2643" customFormat="false" ht="15" hidden="false" customHeight="false" outlineLevel="0" collapsed="false">
      <c r="A2643" s="27" t="n">
        <v>45177</v>
      </c>
      <c r="B2643" s="28" t="n">
        <v>2023</v>
      </c>
      <c r="C2643" s="28" t="s">
        <v>421</v>
      </c>
      <c r="D2643" s="28" t="s">
        <v>45</v>
      </c>
      <c r="E2643" s="28" t="s">
        <v>222</v>
      </c>
      <c r="F2643" s="28" t="s">
        <v>142</v>
      </c>
      <c r="G2643" s="28" t="s">
        <v>143</v>
      </c>
      <c r="H2643" s="28" t="s">
        <v>211</v>
      </c>
      <c r="I2643" s="29" t="n">
        <v>260000</v>
      </c>
      <c r="J2643" s="29" t="n">
        <v>195000</v>
      </c>
      <c r="K2643" s="28" t="n">
        <v>11.25</v>
      </c>
      <c r="L2643" s="28" t="n">
        <v>120</v>
      </c>
      <c r="M2643" s="28" t="n">
        <v>4</v>
      </c>
    </row>
    <row r="2644" customFormat="false" ht="15" hidden="false" customHeight="false" outlineLevel="0" collapsed="false">
      <c r="A2644" s="27" t="n">
        <v>45177</v>
      </c>
      <c r="B2644" s="28" t="n">
        <v>2023</v>
      </c>
      <c r="C2644" s="28" t="s">
        <v>169</v>
      </c>
      <c r="D2644" s="28" t="s">
        <v>42</v>
      </c>
      <c r="E2644" s="28" t="s">
        <v>784</v>
      </c>
      <c r="F2644" s="28" t="s">
        <v>142</v>
      </c>
      <c r="G2644" s="28" t="s">
        <v>143</v>
      </c>
      <c r="H2644" s="28" t="s">
        <v>618</v>
      </c>
      <c r="I2644" s="29" t="n">
        <v>594500</v>
      </c>
      <c r="J2644" s="29" t="n">
        <v>445875</v>
      </c>
      <c r="K2644" s="28" t="n">
        <v>11.25</v>
      </c>
      <c r="L2644" s="28" t="n">
        <v>120</v>
      </c>
      <c r="M2644" s="28" t="n">
        <v>15</v>
      </c>
    </row>
    <row r="2645" customFormat="false" ht="15" hidden="false" customHeight="false" outlineLevel="0" collapsed="false">
      <c r="A2645" s="27" t="n">
        <v>45177</v>
      </c>
      <c r="B2645" s="28" t="n">
        <v>2023</v>
      </c>
      <c r="C2645" s="28" t="s">
        <v>421</v>
      </c>
      <c r="D2645" s="28" t="s">
        <v>45</v>
      </c>
      <c r="E2645" s="28" t="s">
        <v>222</v>
      </c>
      <c r="F2645" s="28" t="s">
        <v>147</v>
      </c>
      <c r="G2645" s="28" t="s">
        <v>143</v>
      </c>
      <c r="H2645" s="28" t="s">
        <v>211</v>
      </c>
      <c r="I2645" s="29" t="n">
        <v>50000</v>
      </c>
      <c r="J2645" s="29" t="n">
        <v>25000</v>
      </c>
      <c r="K2645" s="28" t="n">
        <v>11.25</v>
      </c>
      <c r="L2645" s="28" t="n">
        <v>120</v>
      </c>
      <c r="M2645" s="28" t="n">
        <v>4</v>
      </c>
    </row>
    <row r="2646" customFormat="false" ht="15" hidden="false" customHeight="false" outlineLevel="0" collapsed="false">
      <c r="A2646" s="27" t="n">
        <v>45177</v>
      </c>
      <c r="B2646" s="28" t="n">
        <v>2023</v>
      </c>
      <c r="C2646" s="28" t="s">
        <v>140</v>
      </c>
      <c r="D2646" s="28" t="s">
        <v>52</v>
      </c>
      <c r="E2646" s="28" t="s">
        <v>1004</v>
      </c>
      <c r="F2646" s="28" t="s">
        <v>142</v>
      </c>
      <c r="G2646" s="28" t="s">
        <v>148</v>
      </c>
      <c r="H2646" s="28" t="s">
        <v>771</v>
      </c>
      <c r="I2646" s="29" t="n">
        <v>150000</v>
      </c>
      <c r="J2646" s="29" t="n">
        <v>127500</v>
      </c>
      <c r="K2646" s="28" t="n">
        <v>11.25</v>
      </c>
      <c r="L2646" s="28" t="n">
        <v>120</v>
      </c>
      <c r="M2646" s="28" t="n">
        <v>65</v>
      </c>
    </row>
    <row r="2647" customFormat="false" ht="15" hidden="false" customHeight="false" outlineLevel="0" collapsed="false">
      <c r="A2647" s="27" t="n">
        <v>45178</v>
      </c>
      <c r="B2647" s="28" t="n">
        <v>2023</v>
      </c>
      <c r="C2647" s="28" t="s">
        <v>201</v>
      </c>
      <c r="D2647" s="28" t="s">
        <v>43</v>
      </c>
      <c r="E2647" s="28" t="s">
        <v>1005</v>
      </c>
      <c r="F2647" s="28" t="s">
        <v>147</v>
      </c>
      <c r="G2647" s="28" t="s">
        <v>143</v>
      </c>
      <c r="H2647" s="28" t="s">
        <v>211</v>
      </c>
      <c r="I2647" s="29" t="n">
        <v>30000</v>
      </c>
      <c r="J2647" s="29" t="n">
        <v>15000</v>
      </c>
      <c r="K2647" s="28" t="n">
        <v>11.25</v>
      </c>
      <c r="L2647" s="28" t="n">
        <v>120</v>
      </c>
      <c r="M2647" s="28" t="n">
        <v>9</v>
      </c>
    </row>
    <row r="2648" customFormat="false" ht="15" hidden="false" customHeight="false" outlineLevel="0" collapsed="false">
      <c r="A2648" s="27" t="n">
        <v>45178</v>
      </c>
      <c r="B2648" s="28" t="n">
        <v>2023</v>
      </c>
      <c r="C2648" s="28" t="s">
        <v>172</v>
      </c>
      <c r="D2648" s="28" t="s">
        <v>42</v>
      </c>
      <c r="E2648" s="28" t="s">
        <v>784</v>
      </c>
      <c r="F2648" s="28" t="s">
        <v>147</v>
      </c>
      <c r="G2648" s="28" t="s">
        <v>148</v>
      </c>
      <c r="H2648" s="28" t="s">
        <v>248</v>
      </c>
      <c r="I2648" s="29" t="n">
        <v>167000</v>
      </c>
      <c r="J2648" s="29" t="n">
        <v>83500</v>
      </c>
      <c r="K2648" s="28" t="n">
        <v>11</v>
      </c>
      <c r="L2648" s="28" t="n">
        <v>60</v>
      </c>
      <c r="M2648" s="28" t="n">
        <v>16</v>
      </c>
    </row>
    <row r="2649" customFormat="false" ht="15" hidden="false" customHeight="false" outlineLevel="0" collapsed="false">
      <c r="A2649" s="27" t="n">
        <v>45178</v>
      </c>
      <c r="B2649" s="28" t="n">
        <v>2023</v>
      </c>
      <c r="C2649" s="28" t="s">
        <v>201</v>
      </c>
      <c r="D2649" s="28" t="s">
        <v>43</v>
      </c>
      <c r="E2649" s="28" t="s">
        <v>1005</v>
      </c>
      <c r="F2649" s="28" t="s">
        <v>142</v>
      </c>
      <c r="G2649" s="28" t="s">
        <v>143</v>
      </c>
      <c r="H2649" s="28" t="s">
        <v>211</v>
      </c>
      <c r="I2649" s="29" t="n">
        <v>203000</v>
      </c>
      <c r="J2649" s="29" t="n">
        <v>152250</v>
      </c>
      <c r="K2649" s="28" t="n">
        <v>11.25</v>
      </c>
      <c r="L2649" s="28" t="n">
        <v>120</v>
      </c>
      <c r="M2649" s="28" t="n">
        <v>9</v>
      </c>
    </row>
    <row r="2650" customFormat="false" ht="15" hidden="false" customHeight="false" outlineLevel="0" collapsed="false">
      <c r="A2650" s="27" t="n">
        <v>45180</v>
      </c>
      <c r="B2650" s="28" t="n">
        <v>2023</v>
      </c>
      <c r="C2650" s="28" t="s">
        <v>172</v>
      </c>
      <c r="D2650" s="28" t="s">
        <v>53</v>
      </c>
      <c r="E2650" s="28" t="s">
        <v>868</v>
      </c>
      <c r="F2650" s="28" t="s">
        <v>142</v>
      </c>
      <c r="G2650" s="28" t="s">
        <v>441</v>
      </c>
      <c r="H2650" s="28" t="s">
        <v>501</v>
      </c>
      <c r="I2650" s="29" t="n">
        <v>1319000</v>
      </c>
      <c r="J2650" s="29" t="n">
        <v>989250</v>
      </c>
      <c r="K2650" s="28" t="n">
        <v>11.25</v>
      </c>
      <c r="L2650" s="28" t="n">
        <v>120</v>
      </c>
      <c r="M2650" s="28" t="n">
        <v>16</v>
      </c>
    </row>
    <row r="2651" customFormat="false" ht="15" hidden="false" customHeight="false" outlineLevel="0" collapsed="false">
      <c r="A2651" s="27" t="n">
        <v>45180</v>
      </c>
      <c r="B2651" s="28" t="n">
        <v>2023</v>
      </c>
      <c r="C2651" s="28" t="s">
        <v>172</v>
      </c>
      <c r="D2651" s="28" t="s">
        <v>44</v>
      </c>
      <c r="E2651" s="28" t="s">
        <v>923</v>
      </c>
      <c r="F2651" s="28" t="s">
        <v>142</v>
      </c>
      <c r="G2651" s="28" t="s">
        <v>148</v>
      </c>
      <c r="H2651" s="28" t="s">
        <v>1006</v>
      </c>
      <c r="I2651" s="29" t="n">
        <v>500000</v>
      </c>
      <c r="J2651" s="29" t="n">
        <v>375000</v>
      </c>
      <c r="K2651" s="28" t="n">
        <v>11.25</v>
      </c>
      <c r="L2651" s="28" t="n">
        <v>120</v>
      </c>
      <c r="M2651" s="28" t="n">
        <v>5</v>
      </c>
    </row>
    <row r="2652" customFormat="false" ht="15" hidden="false" customHeight="false" outlineLevel="0" collapsed="false">
      <c r="A2652" s="27" t="n">
        <v>45181</v>
      </c>
      <c r="B2652" s="28" t="n">
        <v>2023</v>
      </c>
      <c r="C2652" s="28" t="s">
        <v>163</v>
      </c>
      <c r="D2652" s="28" t="s">
        <v>44</v>
      </c>
      <c r="E2652" s="28" t="s">
        <v>920</v>
      </c>
      <c r="F2652" s="28" t="s">
        <v>142</v>
      </c>
      <c r="G2652" s="28" t="s">
        <v>152</v>
      </c>
      <c r="H2652" s="28" t="s">
        <v>144</v>
      </c>
      <c r="I2652" s="29" t="n">
        <v>3315000</v>
      </c>
      <c r="J2652" s="29" t="n">
        <v>2486250</v>
      </c>
      <c r="K2652" s="28" t="n">
        <v>8.75</v>
      </c>
      <c r="L2652" s="28" t="n">
        <v>120</v>
      </c>
      <c r="M2652" s="28" t="n">
        <v>112</v>
      </c>
    </row>
    <row r="2653" customFormat="false" ht="15" hidden="false" customHeight="false" outlineLevel="0" collapsed="false">
      <c r="A2653" s="27" t="n">
        <v>45182</v>
      </c>
      <c r="B2653" s="28" t="n">
        <v>2023</v>
      </c>
      <c r="C2653" s="28" t="s">
        <v>206</v>
      </c>
      <c r="D2653" s="28" t="s">
        <v>52</v>
      </c>
      <c r="E2653" s="28" t="s">
        <v>720</v>
      </c>
      <c r="F2653" s="28" t="s">
        <v>147</v>
      </c>
      <c r="G2653" s="28" t="s">
        <v>148</v>
      </c>
      <c r="H2653" s="28" t="s">
        <v>159</v>
      </c>
      <c r="I2653" s="29" t="n">
        <v>16000</v>
      </c>
      <c r="J2653" s="29" t="n">
        <v>8000</v>
      </c>
      <c r="K2653" s="28" t="n">
        <v>15</v>
      </c>
      <c r="L2653" s="28" t="n">
        <v>120</v>
      </c>
      <c r="M2653" s="28" t="n">
        <v>4</v>
      </c>
    </row>
    <row r="2654" customFormat="false" ht="15" hidden="false" customHeight="false" outlineLevel="0" collapsed="false">
      <c r="A2654" s="27" t="n">
        <v>45183</v>
      </c>
      <c r="B2654" s="28" t="n">
        <v>2023</v>
      </c>
      <c r="C2654" s="28" t="s">
        <v>172</v>
      </c>
      <c r="D2654" s="28" t="s">
        <v>44</v>
      </c>
      <c r="E2654" s="28" t="s">
        <v>167</v>
      </c>
      <c r="F2654" s="28" t="s">
        <v>142</v>
      </c>
      <c r="G2654" s="28" t="s">
        <v>152</v>
      </c>
      <c r="H2654" s="28" t="s">
        <v>587</v>
      </c>
      <c r="I2654" s="29" t="n">
        <v>226000</v>
      </c>
      <c r="J2654" s="29" t="n">
        <v>169500</v>
      </c>
      <c r="K2654" s="28" t="n">
        <v>11.25</v>
      </c>
      <c r="L2654" s="28" t="n">
        <v>120</v>
      </c>
      <c r="M2654" s="28" t="n">
        <v>4</v>
      </c>
    </row>
    <row r="2655" customFormat="false" ht="15" hidden="false" customHeight="false" outlineLevel="0" collapsed="false">
      <c r="A2655" s="27" t="n">
        <v>45183</v>
      </c>
      <c r="B2655" s="28" t="n">
        <v>2023</v>
      </c>
      <c r="C2655" s="28" t="s">
        <v>175</v>
      </c>
      <c r="D2655" s="28" t="s">
        <v>42</v>
      </c>
      <c r="E2655" s="28" t="s">
        <v>717</v>
      </c>
      <c r="F2655" s="28" t="s">
        <v>142</v>
      </c>
      <c r="G2655" s="28" t="s">
        <v>143</v>
      </c>
      <c r="H2655" s="28" t="s">
        <v>159</v>
      </c>
      <c r="I2655" s="29" t="n">
        <v>305000</v>
      </c>
      <c r="J2655" s="29" t="n">
        <v>228750</v>
      </c>
      <c r="K2655" s="28" t="n">
        <v>10</v>
      </c>
      <c r="L2655" s="28" t="n">
        <v>126</v>
      </c>
      <c r="M2655" s="28" t="n">
        <v>30</v>
      </c>
    </row>
    <row r="2656" customFormat="false" ht="15" hidden="false" customHeight="false" outlineLevel="0" collapsed="false">
      <c r="A2656" s="27" t="n">
        <v>45183</v>
      </c>
      <c r="B2656" s="28" t="n">
        <v>2023</v>
      </c>
      <c r="C2656" s="28" t="s">
        <v>166</v>
      </c>
      <c r="D2656" s="28" t="s">
        <v>45</v>
      </c>
      <c r="E2656" s="28" t="s">
        <v>835</v>
      </c>
      <c r="F2656" s="28" t="s">
        <v>147</v>
      </c>
      <c r="G2656" s="28" t="s">
        <v>441</v>
      </c>
      <c r="H2656" s="28" t="s">
        <v>211</v>
      </c>
      <c r="I2656" s="29" t="n">
        <v>30000</v>
      </c>
      <c r="J2656" s="29" t="n">
        <v>15000</v>
      </c>
      <c r="K2656" s="28" t="n">
        <v>11.25</v>
      </c>
      <c r="L2656" s="28" t="n">
        <v>120</v>
      </c>
      <c r="M2656" s="28" t="n">
        <v>3</v>
      </c>
    </row>
    <row r="2657" customFormat="false" ht="15" hidden="false" customHeight="false" outlineLevel="0" collapsed="false">
      <c r="A2657" s="27" t="n">
        <v>45183</v>
      </c>
      <c r="B2657" s="28" t="n">
        <v>2023</v>
      </c>
      <c r="C2657" s="28" t="s">
        <v>166</v>
      </c>
      <c r="D2657" s="28" t="s">
        <v>45</v>
      </c>
      <c r="E2657" s="28" t="s">
        <v>835</v>
      </c>
      <c r="F2657" s="28" t="s">
        <v>142</v>
      </c>
      <c r="G2657" s="28" t="s">
        <v>441</v>
      </c>
      <c r="H2657" s="28" t="s">
        <v>211</v>
      </c>
      <c r="I2657" s="29" t="n">
        <v>250400</v>
      </c>
      <c r="J2657" s="29" t="n">
        <v>187800</v>
      </c>
      <c r="K2657" s="28" t="n">
        <v>11.25</v>
      </c>
      <c r="L2657" s="28" t="n">
        <v>120</v>
      </c>
      <c r="M2657" s="28" t="n">
        <v>3</v>
      </c>
    </row>
    <row r="2658" customFormat="false" ht="15" hidden="false" customHeight="false" outlineLevel="0" collapsed="false">
      <c r="A2658" s="27" t="n">
        <v>45183</v>
      </c>
      <c r="B2658" s="28" t="n">
        <v>2023</v>
      </c>
      <c r="C2658" s="28" t="s">
        <v>175</v>
      </c>
      <c r="D2658" s="28" t="s">
        <v>42</v>
      </c>
      <c r="E2658" s="28" t="s">
        <v>717</v>
      </c>
      <c r="F2658" s="28" t="s">
        <v>147</v>
      </c>
      <c r="G2658" s="28" t="s">
        <v>143</v>
      </c>
      <c r="H2658" s="28" t="s">
        <v>159</v>
      </c>
      <c r="I2658" s="29" t="n">
        <v>25000</v>
      </c>
      <c r="J2658" s="29" t="n">
        <v>12500</v>
      </c>
      <c r="K2658" s="28" t="n">
        <v>11.5</v>
      </c>
      <c r="L2658" s="28" t="n">
        <v>120</v>
      </c>
      <c r="M2658" s="28" t="n">
        <v>30</v>
      </c>
    </row>
    <row r="2659" customFormat="false" ht="15" hidden="false" customHeight="false" outlineLevel="0" collapsed="false">
      <c r="A2659" s="27" t="n">
        <v>45183</v>
      </c>
      <c r="B2659" s="28" t="n">
        <v>2023</v>
      </c>
      <c r="C2659" s="28" t="s">
        <v>198</v>
      </c>
      <c r="D2659" s="28" t="s">
        <v>48</v>
      </c>
      <c r="E2659" s="28" t="s">
        <v>304</v>
      </c>
      <c r="F2659" s="28" t="s">
        <v>142</v>
      </c>
      <c r="G2659" s="28" t="s">
        <v>148</v>
      </c>
      <c r="H2659" s="28" t="s">
        <v>171</v>
      </c>
      <c r="I2659" s="29" t="n">
        <v>150000</v>
      </c>
      <c r="J2659" s="29" t="n">
        <v>127500</v>
      </c>
      <c r="K2659" s="28" t="n">
        <v>13.25</v>
      </c>
      <c r="L2659" s="28" t="n">
        <v>120</v>
      </c>
      <c r="M2659" s="28" t="n">
        <v>2</v>
      </c>
    </row>
    <row r="2660" customFormat="false" ht="15" hidden="false" customHeight="false" outlineLevel="0" collapsed="false">
      <c r="A2660" s="27" t="n">
        <v>45183</v>
      </c>
      <c r="B2660" s="28" t="n">
        <v>2023</v>
      </c>
      <c r="C2660" s="28" t="s">
        <v>172</v>
      </c>
      <c r="D2660" s="28" t="s">
        <v>44</v>
      </c>
      <c r="E2660" s="28" t="s">
        <v>167</v>
      </c>
      <c r="F2660" s="28" t="s">
        <v>147</v>
      </c>
      <c r="G2660" s="28" t="s">
        <v>152</v>
      </c>
      <c r="H2660" s="28" t="s">
        <v>587</v>
      </c>
      <c r="I2660" s="29" t="n">
        <v>50000</v>
      </c>
      <c r="J2660" s="29" t="n">
        <v>25000</v>
      </c>
      <c r="K2660" s="28" t="n">
        <v>10.5</v>
      </c>
      <c r="L2660" s="28" t="n">
        <v>72</v>
      </c>
      <c r="M2660" s="28" t="n">
        <v>4</v>
      </c>
    </row>
    <row r="2661" customFormat="false" ht="15" hidden="false" customHeight="false" outlineLevel="0" collapsed="false">
      <c r="A2661" s="27" t="n">
        <v>45183</v>
      </c>
      <c r="B2661" s="28" t="n">
        <v>2023</v>
      </c>
      <c r="C2661" s="28" t="s">
        <v>467</v>
      </c>
      <c r="D2661" s="28" t="s">
        <v>45</v>
      </c>
      <c r="E2661" s="28" t="s">
        <v>976</v>
      </c>
      <c r="F2661" s="28" t="s">
        <v>147</v>
      </c>
      <c r="G2661" s="28" t="s">
        <v>148</v>
      </c>
      <c r="H2661" s="28" t="s">
        <v>469</v>
      </c>
      <c r="I2661" s="29" t="n">
        <v>133800</v>
      </c>
      <c r="J2661" s="29" t="n">
        <v>66900</v>
      </c>
      <c r="K2661" s="28" t="n">
        <v>7.75</v>
      </c>
      <c r="L2661" s="28" t="n">
        <v>120</v>
      </c>
      <c r="M2661" s="28" t="n">
        <v>0</v>
      </c>
    </row>
    <row r="2662" customFormat="false" ht="15" hidden="false" customHeight="false" outlineLevel="0" collapsed="false">
      <c r="A2662" s="27" t="n">
        <v>45184</v>
      </c>
      <c r="B2662" s="28" t="n">
        <v>2023</v>
      </c>
      <c r="C2662" s="28" t="s">
        <v>169</v>
      </c>
      <c r="D2662" s="28" t="s">
        <v>48</v>
      </c>
      <c r="E2662" s="28" t="s">
        <v>270</v>
      </c>
      <c r="F2662" s="28" t="s">
        <v>142</v>
      </c>
      <c r="G2662" s="28" t="s">
        <v>441</v>
      </c>
      <c r="H2662" s="28" t="s">
        <v>208</v>
      </c>
      <c r="I2662" s="29" t="n">
        <v>477000</v>
      </c>
      <c r="J2662" s="29" t="n">
        <v>357750</v>
      </c>
      <c r="K2662" s="28" t="n">
        <v>10.75</v>
      </c>
      <c r="L2662" s="28" t="n">
        <v>120</v>
      </c>
      <c r="M2662" s="28" t="n">
        <v>9</v>
      </c>
    </row>
    <row r="2663" customFormat="false" ht="15" hidden="false" customHeight="false" outlineLevel="0" collapsed="false">
      <c r="A2663" s="27" t="n">
        <v>45184</v>
      </c>
      <c r="B2663" s="28" t="n">
        <v>2023</v>
      </c>
      <c r="C2663" s="28" t="s">
        <v>263</v>
      </c>
      <c r="D2663" s="28" t="s">
        <v>45</v>
      </c>
      <c r="E2663" s="28" t="s">
        <v>356</v>
      </c>
      <c r="F2663" s="28" t="s">
        <v>147</v>
      </c>
      <c r="G2663" s="28" t="s">
        <v>148</v>
      </c>
      <c r="H2663" s="28" t="s">
        <v>428</v>
      </c>
      <c r="I2663" s="29" t="n">
        <v>100000</v>
      </c>
      <c r="J2663" s="29" t="n">
        <v>50000</v>
      </c>
      <c r="K2663" s="28" t="n">
        <v>14.45</v>
      </c>
      <c r="L2663" s="28" t="n">
        <v>120</v>
      </c>
      <c r="M2663" s="28" t="n">
        <v>40</v>
      </c>
    </row>
    <row r="2664" customFormat="false" ht="15" hidden="false" customHeight="false" outlineLevel="0" collapsed="false">
      <c r="A2664" s="27" t="n">
        <v>45184</v>
      </c>
      <c r="B2664" s="28" t="n">
        <v>2023</v>
      </c>
      <c r="C2664" s="28" t="s">
        <v>172</v>
      </c>
      <c r="D2664" s="28" t="s">
        <v>48</v>
      </c>
      <c r="E2664" s="28" t="s">
        <v>362</v>
      </c>
      <c r="F2664" s="28" t="s">
        <v>142</v>
      </c>
      <c r="G2664" s="28" t="s">
        <v>152</v>
      </c>
      <c r="H2664" s="28" t="s">
        <v>388</v>
      </c>
      <c r="I2664" s="29" t="n">
        <v>1840000</v>
      </c>
      <c r="J2664" s="29" t="n">
        <v>1380000</v>
      </c>
      <c r="K2664" s="28" t="n">
        <v>11.25</v>
      </c>
      <c r="L2664" s="28" t="n">
        <v>120</v>
      </c>
      <c r="M2664" s="28" t="n">
        <v>17</v>
      </c>
    </row>
    <row r="2665" customFormat="false" ht="15" hidden="false" customHeight="false" outlineLevel="0" collapsed="false">
      <c r="A2665" s="27" t="n">
        <v>45185</v>
      </c>
      <c r="B2665" s="28" t="n">
        <v>2023</v>
      </c>
      <c r="C2665" s="28" t="s">
        <v>890</v>
      </c>
      <c r="D2665" s="28" t="s">
        <v>44</v>
      </c>
      <c r="E2665" s="28" t="s">
        <v>783</v>
      </c>
      <c r="F2665" s="28" t="s">
        <v>142</v>
      </c>
      <c r="G2665" s="28" t="s">
        <v>148</v>
      </c>
      <c r="H2665" s="28" t="s">
        <v>269</v>
      </c>
      <c r="I2665" s="29" t="n">
        <v>150000</v>
      </c>
      <c r="J2665" s="29" t="n">
        <v>127500</v>
      </c>
      <c r="K2665" s="28" t="n">
        <v>11.25</v>
      </c>
      <c r="L2665" s="28" t="n">
        <v>120</v>
      </c>
      <c r="M2665" s="28" t="n">
        <v>9</v>
      </c>
    </row>
    <row r="2666" customFormat="false" ht="15" hidden="false" customHeight="false" outlineLevel="0" collapsed="false">
      <c r="A2666" s="27" t="n">
        <v>45185</v>
      </c>
      <c r="B2666" s="28" t="n">
        <v>2023</v>
      </c>
      <c r="C2666" s="28" t="s">
        <v>166</v>
      </c>
      <c r="D2666" s="28" t="s">
        <v>44</v>
      </c>
      <c r="E2666" s="28" t="s">
        <v>891</v>
      </c>
      <c r="F2666" s="28" t="s">
        <v>142</v>
      </c>
      <c r="G2666" s="28" t="s">
        <v>143</v>
      </c>
      <c r="H2666" s="28" t="s">
        <v>382</v>
      </c>
      <c r="I2666" s="29" t="n">
        <v>1495000</v>
      </c>
      <c r="J2666" s="29" t="n">
        <v>1121250</v>
      </c>
      <c r="K2666" s="28" t="n">
        <v>10.75</v>
      </c>
      <c r="L2666" s="28" t="n">
        <v>126</v>
      </c>
      <c r="M2666" s="28" t="n">
        <v>14</v>
      </c>
    </row>
    <row r="2667" customFormat="false" ht="15" hidden="false" customHeight="false" outlineLevel="0" collapsed="false">
      <c r="A2667" s="27" t="n">
        <v>45185</v>
      </c>
      <c r="B2667" s="28" t="n">
        <v>2023</v>
      </c>
      <c r="C2667" s="28" t="s">
        <v>627</v>
      </c>
      <c r="D2667" s="28" t="s">
        <v>46</v>
      </c>
      <c r="E2667" s="28" t="s">
        <v>706</v>
      </c>
      <c r="F2667" s="28" t="s">
        <v>142</v>
      </c>
      <c r="G2667" s="28" t="s">
        <v>152</v>
      </c>
      <c r="H2667" s="28" t="s">
        <v>144</v>
      </c>
      <c r="I2667" s="29" t="n">
        <v>1390000</v>
      </c>
      <c r="J2667" s="29" t="n">
        <v>1042500</v>
      </c>
      <c r="K2667" s="28" t="n">
        <v>8.85</v>
      </c>
      <c r="L2667" s="28" t="n">
        <v>168</v>
      </c>
      <c r="M2667" s="28" t="n">
        <v>3</v>
      </c>
    </row>
    <row r="2668" customFormat="false" ht="15" hidden="false" customHeight="false" outlineLevel="0" collapsed="false">
      <c r="A2668" s="27" t="n">
        <v>45185</v>
      </c>
      <c r="B2668" s="28" t="n">
        <v>2023</v>
      </c>
      <c r="C2668" s="28" t="s">
        <v>169</v>
      </c>
      <c r="D2668" s="28" t="s">
        <v>44</v>
      </c>
      <c r="E2668" s="28" t="s">
        <v>755</v>
      </c>
      <c r="F2668" s="28" t="s">
        <v>142</v>
      </c>
      <c r="G2668" s="28" t="s">
        <v>143</v>
      </c>
      <c r="H2668" s="28" t="s">
        <v>144</v>
      </c>
      <c r="I2668" s="29" t="n">
        <v>1700000</v>
      </c>
      <c r="J2668" s="29" t="n">
        <v>1275000</v>
      </c>
      <c r="K2668" s="28" t="n">
        <v>8.5</v>
      </c>
      <c r="L2668" s="28" t="n">
        <v>306</v>
      </c>
      <c r="M2668" s="28" t="n">
        <v>4</v>
      </c>
    </row>
    <row r="2669" customFormat="false" ht="15" hidden="false" customHeight="false" outlineLevel="0" collapsed="false">
      <c r="A2669" s="27" t="n">
        <v>45186</v>
      </c>
      <c r="B2669" s="28" t="n">
        <v>2023</v>
      </c>
      <c r="C2669" s="28" t="s">
        <v>312</v>
      </c>
      <c r="D2669" s="28" t="s">
        <v>52</v>
      </c>
      <c r="E2669" s="28" t="s">
        <v>599</v>
      </c>
      <c r="F2669" s="28" t="s">
        <v>142</v>
      </c>
      <c r="G2669" s="28" t="s">
        <v>441</v>
      </c>
      <c r="H2669" s="28" t="s">
        <v>275</v>
      </c>
      <c r="I2669" s="29" t="n">
        <v>500000</v>
      </c>
      <c r="J2669" s="29" t="n">
        <v>375000</v>
      </c>
      <c r="K2669" s="28" t="n">
        <v>11.25</v>
      </c>
      <c r="L2669" s="28" t="n">
        <v>120</v>
      </c>
      <c r="M2669" s="28" t="n">
        <v>1</v>
      </c>
    </row>
    <row r="2670" customFormat="false" ht="15" hidden="false" customHeight="false" outlineLevel="0" collapsed="false">
      <c r="A2670" s="27" t="n">
        <v>45186</v>
      </c>
      <c r="B2670" s="28" t="n">
        <v>2023</v>
      </c>
      <c r="C2670" s="28" t="s">
        <v>172</v>
      </c>
      <c r="D2670" s="28" t="s">
        <v>45</v>
      </c>
      <c r="E2670" s="28" t="s">
        <v>356</v>
      </c>
      <c r="F2670" s="28" t="s">
        <v>147</v>
      </c>
      <c r="G2670" s="28" t="s">
        <v>143</v>
      </c>
      <c r="H2670" s="28" t="s">
        <v>211</v>
      </c>
      <c r="I2670" s="29" t="n">
        <v>30000</v>
      </c>
      <c r="J2670" s="29" t="n">
        <v>15000</v>
      </c>
      <c r="K2670" s="28" t="n">
        <v>11.25</v>
      </c>
      <c r="L2670" s="28" t="n">
        <v>120</v>
      </c>
      <c r="M2670" s="28" t="n">
        <v>8</v>
      </c>
    </row>
    <row r="2671" customFormat="false" ht="15" hidden="false" customHeight="false" outlineLevel="0" collapsed="false">
      <c r="A2671" s="27" t="n">
        <v>45188</v>
      </c>
      <c r="B2671" s="28" t="n">
        <v>2023</v>
      </c>
      <c r="C2671" s="28" t="s">
        <v>166</v>
      </c>
      <c r="D2671" s="28" t="s">
        <v>44</v>
      </c>
      <c r="E2671" s="28" t="s">
        <v>730</v>
      </c>
      <c r="F2671" s="28" t="s">
        <v>142</v>
      </c>
      <c r="G2671" s="28" t="s">
        <v>143</v>
      </c>
      <c r="H2671" s="28" t="s">
        <v>153</v>
      </c>
      <c r="I2671" s="29" t="n">
        <v>1075000</v>
      </c>
      <c r="J2671" s="29" t="n">
        <v>806250</v>
      </c>
      <c r="K2671" s="28" t="n">
        <v>10.5</v>
      </c>
      <c r="L2671" s="28" t="n">
        <v>120</v>
      </c>
      <c r="M2671" s="28" t="n">
        <v>8</v>
      </c>
    </row>
    <row r="2672" customFormat="false" ht="15" hidden="false" customHeight="false" outlineLevel="0" collapsed="false">
      <c r="A2672" s="27" t="n">
        <v>45189</v>
      </c>
      <c r="B2672" s="28" t="n">
        <v>2023</v>
      </c>
      <c r="C2672" s="28" t="s">
        <v>192</v>
      </c>
      <c r="D2672" s="28" t="s">
        <v>45</v>
      </c>
      <c r="E2672" s="28" t="s">
        <v>824</v>
      </c>
      <c r="F2672" s="28" t="s">
        <v>147</v>
      </c>
      <c r="G2672" s="28" t="s">
        <v>441</v>
      </c>
      <c r="H2672" s="28" t="s">
        <v>168</v>
      </c>
      <c r="I2672" s="29" t="n">
        <v>15000</v>
      </c>
      <c r="J2672" s="29" t="n">
        <v>7500</v>
      </c>
      <c r="K2672" s="28" t="n">
        <v>13</v>
      </c>
      <c r="L2672" s="28" t="n">
        <v>120</v>
      </c>
      <c r="M2672" s="28" t="n">
        <v>2</v>
      </c>
    </row>
    <row r="2673" customFormat="false" ht="15" hidden="false" customHeight="false" outlineLevel="0" collapsed="false">
      <c r="A2673" s="27" t="n">
        <v>45189</v>
      </c>
      <c r="B2673" s="28" t="n">
        <v>2023</v>
      </c>
      <c r="C2673" s="28" t="s">
        <v>172</v>
      </c>
      <c r="D2673" s="28" t="s">
        <v>48</v>
      </c>
      <c r="E2673" s="28" t="s">
        <v>346</v>
      </c>
      <c r="F2673" s="28" t="s">
        <v>147</v>
      </c>
      <c r="G2673" s="28" t="s">
        <v>148</v>
      </c>
      <c r="H2673" s="28" t="s">
        <v>953</v>
      </c>
      <c r="I2673" s="29" t="n">
        <v>50000</v>
      </c>
      <c r="J2673" s="29" t="n">
        <v>25000</v>
      </c>
      <c r="K2673" s="28" t="n">
        <v>15</v>
      </c>
      <c r="L2673" s="28" t="n">
        <v>120</v>
      </c>
      <c r="M2673" s="28" t="n">
        <v>13</v>
      </c>
    </row>
    <row r="2674" customFormat="false" ht="15" hidden="false" customHeight="false" outlineLevel="0" collapsed="false">
      <c r="A2674" s="27" t="n">
        <v>45189</v>
      </c>
      <c r="B2674" s="28" t="n">
        <v>2023</v>
      </c>
      <c r="C2674" s="28" t="s">
        <v>890</v>
      </c>
      <c r="D2674" s="28" t="s">
        <v>55</v>
      </c>
      <c r="E2674" s="28" t="s">
        <v>1007</v>
      </c>
      <c r="F2674" s="28" t="s">
        <v>142</v>
      </c>
      <c r="G2674" s="28" t="s">
        <v>148</v>
      </c>
      <c r="H2674" s="28" t="s">
        <v>269</v>
      </c>
      <c r="I2674" s="29" t="n">
        <v>112100</v>
      </c>
      <c r="J2674" s="29" t="n">
        <v>95285</v>
      </c>
      <c r="K2674" s="28" t="n">
        <v>11.25</v>
      </c>
      <c r="L2674" s="28" t="n">
        <v>120</v>
      </c>
      <c r="M2674" s="28" t="n">
        <v>4</v>
      </c>
    </row>
    <row r="2675" customFormat="false" ht="15" hidden="false" customHeight="false" outlineLevel="0" collapsed="false">
      <c r="A2675" s="27" t="n">
        <v>45189</v>
      </c>
      <c r="B2675" s="28" t="n">
        <v>2023</v>
      </c>
      <c r="C2675" s="28" t="s">
        <v>175</v>
      </c>
      <c r="D2675" s="28" t="s">
        <v>46</v>
      </c>
      <c r="E2675" s="28" t="s">
        <v>926</v>
      </c>
      <c r="F2675" s="28" t="s">
        <v>147</v>
      </c>
      <c r="G2675" s="28" t="s">
        <v>441</v>
      </c>
      <c r="H2675" s="28" t="s">
        <v>159</v>
      </c>
      <c r="I2675" s="29" t="n">
        <v>20000</v>
      </c>
      <c r="J2675" s="29" t="n">
        <v>10000</v>
      </c>
      <c r="K2675" s="28" t="n">
        <v>15</v>
      </c>
      <c r="L2675" s="28" t="n">
        <v>86</v>
      </c>
      <c r="M2675" s="28" t="n">
        <v>3</v>
      </c>
    </row>
    <row r="2676" customFormat="false" ht="15" hidden="false" customHeight="false" outlineLevel="0" collapsed="false">
      <c r="A2676" s="27" t="n">
        <v>45189</v>
      </c>
      <c r="B2676" s="28" t="n">
        <v>2023</v>
      </c>
      <c r="C2676" s="28" t="s">
        <v>140</v>
      </c>
      <c r="D2676" s="28" t="s">
        <v>45</v>
      </c>
      <c r="E2676" s="28" t="s">
        <v>222</v>
      </c>
      <c r="F2676" s="28" t="s">
        <v>147</v>
      </c>
      <c r="G2676" s="28" t="s">
        <v>143</v>
      </c>
      <c r="H2676" s="28" t="s">
        <v>159</v>
      </c>
      <c r="I2676" s="29" t="n">
        <v>25000</v>
      </c>
      <c r="J2676" s="29" t="n">
        <v>12500</v>
      </c>
      <c r="K2676" s="28" t="n">
        <v>15</v>
      </c>
      <c r="L2676" s="28" t="n">
        <v>120</v>
      </c>
      <c r="M2676" s="28" t="n">
        <v>11</v>
      </c>
    </row>
    <row r="2677" customFormat="false" ht="15" hidden="false" customHeight="false" outlineLevel="0" collapsed="false">
      <c r="A2677" s="27" t="n">
        <v>45189</v>
      </c>
      <c r="B2677" s="28" t="n">
        <v>2023</v>
      </c>
      <c r="C2677" s="28" t="s">
        <v>172</v>
      </c>
      <c r="D2677" s="28" t="s">
        <v>52</v>
      </c>
      <c r="E2677" s="28" t="s">
        <v>720</v>
      </c>
      <c r="F2677" s="28" t="s">
        <v>142</v>
      </c>
      <c r="G2677" s="28" t="s">
        <v>148</v>
      </c>
      <c r="H2677" s="28" t="s">
        <v>171</v>
      </c>
      <c r="I2677" s="29" t="n">
        <v>150000</v>
      </c>
      <c r="J2677" s="29" t="n">
        <v>127500</v>
      </c>
      <c r="K2677" s="28" t="n">
        <v>13.25</v>
      </c>
      <c r="L2677" s="28" t="n">
        <v>120</v>
      </c>
      <c r="M2677" s="28" t="n">
        <v>0</v>
      </c>
    </row>
    <row r="2678" customFormat="false" ht="15" hidden="false" customHeight="false" outlineLevel="0" collapsed="false">
      <c r="A2678" s="27" t="n">
        <v>45190</v>
      </c>
      <c r="B2678" s="28" t="n">
        <v>2023</v>
      </c>
      <c r="C2678" s="28" t="s">
        <v>145</v>
      </c>
      <c r="D2678" s="28" t="s">
        <v>51</v>
      </c>
      <c r="E2678" s="28" t="s">
        <v>779</v>
      </c>
      <c r="F2678" s="28" t="s">
        <v>142</v>
      </c>
      <c r="G2678" s="28" t="s">
        <v>143</v>
      </c>
      <c r="H2678" s="28" t="s">
        <v>227</v>
      </c>
      <c r="I2678" s="29" t="n">
        <v>490000</v>
      </c>
      <c r="J2678" s="29" t="n">
        <v>367500</v>
      </c>
      <c r="K2678" s="28" t="n">
        <v>11.25</v>
      </c>
      <c r="L2678" s="28" t="n">
        <v>129</v>
      </c>
      <c r="M2678" s="28" t="n">
        <v>19</v>
      </c>
    </row>
    <row r="2679" customFormat="false" ht="15" hidden="false" customHeight="false" outlineLevel="0" collapsed="false">
      <c r="A2679" s="27" t="n">
        <v>45190</v>
      </c>
      <c r="B2679" s="28" t="n">
        <v>2023</v>
      </c>
      <c r="C2679" s="28" t="s">
        <v>203</v>
      </c>
      <c r="D2679" s="28" t="s">
        <v>46</v>
      </c>
      <c r="E2679" s="28" t="s">
        <v>727</v>
      </c>
      <c r="F2679" s="28" t="s">
        <v>147</v>
      </c>
      <c r="G2679" s="28" t="s">
        <v>441</v>
      </c>
      <c r="H2679" s="28" t="s">
        <v>159</v>
      </c>
      <c r="I2679" s="29" t="n">
        <v>9000</v>
      </c>
      <c r="J2679" s="29" t="n">
        <v>4500</v>
      </c>
      <c r="K2679" s="28" t="n">
        <v>15</v>
      </c>
      <c r="L2679" s="28" t="n">
        <v>120</v>
      </c>
      <c r="M2679" s="28" t="n">
        <v>3</v>
      </c>
    </row>
    <row r="2680" customFormat="false" ht="15" hidden="false" customHeight="false" outlineLevel="0" collapsed="false">
      <c r="A2680" s="27" t="n">
        <v>45190</v>
      </c>
      <c r="B2680" s="28" t="n">
        <v>2023</v>
      </c>
      <c r="C2680" s="28" t="s">
        <v>172</v>
      </c>
      <c r="D2680" s="28" t="s">
        <v>45</v>
      </c>
      <c r="E2680" s="28" t="s">
        <v>356</v>
      </c>
      <c r="F2680" s="28" t="s">
        <v>142</v>
      </c>
      <c r="G2680" s="28" t="s">
        <v>143</v>
      </c>
      <c r="H2680" s="28" t="s">
        <v>211</v>
      </c>
      <c r="I2680" s="29" t="n">
        <v>274000</v>
      </c>
      <c r="J2680" s="29" t="n">
        <v>205500</v>
      </c>
      <c r="K2680" s="28" t="n">
        <v>11.25</v>
      </c>
      <c r="L2680" s="28" t="n">
        <v>120</v>
      </c>
      <c r="M2680" s="28" t="n">
        <v>8</v>
      </c>
    </row>
    <row r="2681" customFormat="false" ht="15" hidden="false" customHeight="false" outlineLevel="0" collapsed="false">
      <c r="A2681" s="27" t="n">
        <v>45190</v>
      </c>
      <c r="B2681" s="28" t="n">
        <v>2023</v>
      </c>
      <c r="C2681" s="28" t="s">
        <v>172</v>
      </c>
      <c r="D2681" s="28" t="s">
        <v>48</v>
      </c>
      <c r="E2681" s="28" t="s">
        <v>736</v>
      </c>
      <c r="F2681" s="28" t="s">
        <v>147</v>
      </c>
      <c r="G2681" s="28" t="s">
        <v>148</v>
      </c>
      <c r="H2681" s="28" t="s">
        <v>162</v>
      </c>
      <c r="I2681" s="29" t="n">
        <v>500000</v>
      </c>
      <c r="J2681" s="29" t="n">
        <v>250000</v>
      </c>
      <c r="K2681" s="28" t="n">
        <v>11.25</v>
      </c>
      <c r="L2681" s="28" t="n">
        <v>120</v>
      </c>
      <c r="M2681" s="28" t="n">
        <v>48</v>
      </c>
    </row>
    <row r="2682" customFormat="false" ht="15" hidden="false" customHeight="false" outlineLevel="0" collapsed="false">
      <c r="A2682" s="27" t="n">
        <v>45190</v>
      </c>
      <c r="B2682" s="28" t="n">
        <v>2023</v>
      </c>
      <c r="C2682" s="28" t="s">
        <v>384</v>
      </c>
      <c r="D2682" s="28" t="s">
        <v>42</v>
      </c>
      <c r="E2682" s="28" t="s">
        <v>784</v>
      </c>
      <c r="F2682" s="28" t="s">
        <v>142</v>
      </c>
      <c r="G2682" s="28" t="s">
        <v>143</v>
      </c>
      <c r="H2682" s="28" t="s">
        <v>227</v>
      </c>
      <c r="I2682" s="29" t="n">
        <v>115000</v>
      </c>
      <c r="J2682" s="29" t="n">
        <v>86250</v>
      </c>
      <c r="K2682" s="28" t="n">
        <v>11.25</v>
      </c>
      <c r="L2682" s="28" t="n">
        <v>131</v>
      </c>
      <c r="M2682" s="28" t="n">
        <v>8</v>
      </c>
    </row>
    <row r="2683" customFormat="false" ht="15" hidden="false" customHeight="false" outlineLevel="0" collapsed="false">
      <c r="A2683" s="27" t="n">
        <v>45190</v>
      </c>
      <c r="B2683" s="28" t="n">
        <v>2023</v>
      </c>
      <c r="C2683" s="28" t="s">
        <v>169</v>
      </c>
      <c r="D2683" s="28" t="s">
        <v>51</v>
      </c>
      <c r="E2683" s="28" t="s">
        <v>779</v>
      </c>
      <c r="F2683" s="28" t="s">
        <v>142</v>
      </c>
      <c r="G2683" s="28" t="s">
        <v>143</v>
      </c>
      <c r="H2683" s="28" t="s">
        <v>291</v>
      </c>
      <c r="I2683" s="29" t="n">
        <v>650000</v>
      </c>
      <c r="J2683" s="29" t="n">
        <v>487500</v>
      </c>
      <c r="K2683" s="28" t="n">
        <v>10.75</v>
      </c>
      <c r="L2683" s="28" t="n">
        <v>120</v>
      </c>
      <c r="M2683" s="28" t="n">
        <v>32</v>
      </c>
    </row>
    <row r="2684" customFormat="false" ht="15" hidden="false" customHeight="false" outlineLevel="0" collapsed="false">
      <c r="A2684" s="27" t="n">
        <v>45190</v>
      </c>
      <c r="B2684" s="28" t="n">
        <v>2023</v>
      </c>
      <c r="C2684" s="28" t="s">
        <v>203</v>
      </c>
      <c r="D2684" s="28" t="s">
        <v>46</v>
      </c>
      <c r="E2684" s="28" t="s">
        <v>727</v>
      </c>
      <c r="F2684" s="28" t="s">
        <v>147</v>
      </c>
      <c r="G2684" s="28" t="s">
        <v>441</v>
      </c>
      <c r="H2684" s="28" t="s">
        <v>159</v>
      </c>
      <c r="I2684" s="29" t="n">
        <v>45200</v>
      </c>
      <c r="J2684" s="29" t="n">
        <v>22600</v>
      </c>
      <c r="K2684" s="28" t="n">
        <v>11.24</v>
      </c>
      <c r="L2684" s="28" t="n">
        <v>60</v>
      </c>
      <c r="M2684" s="28" t="n">
        <v>3</v>
      </c>
    </row>
    <row r="2685" customFormat="false" ht="15" hidden="false" customHeight="false" outlineLevel="0" collapsed="false">
      <c r="A2685" s="27" t="n">
        <v>45190</v>
      </c>
      <c r="B2685" s="28" t="n">
        <v>2023</v>
      </c>
      <c r="C2685" s="28" t="s">
        <v>738</v>
      </c>
      <c r="D2685" s="28" t="s">
        <v>46</v>
      </c>
      <c r="E2685" s="28" t="s">
        <v>813</v>
      </c>
      <c r="F2685" s="28" t="s">
        <v>147</v>
      </c>
      <c r="G2685" s="28" t="s">
        <v>148</v>
      </c>
      <c r="H2685" s="28" t="s">
        <v>159</v>
      </c>
      <c r="I2685" s="29" t="n">
        <v>15000</v>
      </c>
      <c r="J2685" s="29" t="n">
        <v>7500</v>
      </c>
      <c r="K2685" s="28" t="n">
        <v>15</v>
      </c>
      <c r="L2685" s="28" t="n">
        <v>120</v>
      </c>
      <c r="M2685" s="28" t="n">
        <v>4</v>
      </c>
    </row>
    <row r="2686" customFormat="false" ht="15" hidden="false" customHeight="false" outlineLevel="0" collapsed="false">
      <c r="A2686" s="27" t="n">
        <v>45191</v>
      </c>
      <c r="B2686" s="28" t="n">
        <v>2023</v>
      </c>
      <c r="C2686" s="28" t="s">
        <v>163</v>
      </c>
      <c r="D2686" s="28" t="s">
        <v>44</v>
      </c>
      <c r="E2686" s="28" t="s">
        <v>759</v>
      </c>
      <c r="F2686" s="28" t="s">
        <v>142</v>
      </c>
      <c r="G2686" s="28" t="s">
        <v>148</v>
      </c>
      <c r="H2686" s="28" t="s">
        <v>171</v>
      </c>
      <c r="I2686" s="29" t="n">
        <v>54000</v>
      </c>
      <c r="J2686" s="29" t="n">
        <v>45900</v>
      </c>
      <c r="K2686" s="28" t="n">
        <v>13.25</v>
      </c>
      <c r="L2686" s="28" t="n">
        <v>120</v>
      </c>
      <c r="M2686" s="28" t="n">
        <v>0</v>
      </c>
    </row>
    <row r="2687" customFormat="false" ht="15" hidden="false" customHeight="false" outlineLevel="0" collapsed="false">
      <c r="A2687" s="27" t="n">
        <v>45192</v>
      </c>
      <c r="B2687" s="28" t="n">
        <v>2023</v>
      </c>
      <c r="C2687" s="28" t="s">
        <v>160</v>
      </c>
      <c r="D2687" s="28" t="s">
        <v>50</v>
      </c>
      <c r="E2687" s="28" t="s">
        <v>724</v>
      </c>
      <c r="F2687" s="28" t="s">
        <v>147</v>
      </c>
      <c r="G2687" s="28" t="s">
        <v>148</v>
      </c>
      <c r="H2687" s="28" t="s">
        <v>211</v>
      </c>
      <c r="I2687" s="29" t="n">
        <v>300000</v>
      </c>
      <c r="J2687" s="29" t="n">
        <v>150000</v>
      </c>
      <c r="K2687" s="28" t="n">
        <v>10</v>
      </c>
      <c r="L2687" s="28" t="n">
        <v>120</v>
      </c>
      <c r="M2687" s="28" t="n">
        <v>3</v>
      </c>
    </row>
    <row r="2688" customFormat="false" ht="15" hidden="false" customHeight="false" outlineLevel="0" collapsed="false">
      <c r="A2688" s="27" t="n">
        <v>45192</v>
      </c>
      <c r="B2688" s="28" t="n">
        <v>2023</v>
      </c>
      <c r="C2688" s="28" t="s">
        <v>738</v>
      </c>
      <c r="D2688" s="28" t="s">
        <v>46</v>
      </c>
      <c r="E2688" s="28" t="s">
        <v>813</v>
      </c>
      <c r="F2688" s="28" t="s">
        <v>147</v>
      </c>
      <c r="G2688" s="28" t="s">
        <v>148</v>
      </c>
      <c r="H2688" s="28" t="s">
        <v>159</v>
      </c>
      <c r="I2688" s="29" t="n">
        <v>60000</v>
      </c>
      <c r="J2688" s="29" t="n">
        <v>30000</v>
      </c>
      <c r="K2688" s="28" t="n">
        <v>12.5</v>
      </c>
      <c r="L2688" s="28" t="n">
        <v>60</v>
      </c>
      <c r="M2688" s="28" t="n">
        <v>5</v>
      </c>
    </row>
    <row r="2689" customFormat="false" ht="15" hidden="false" customHeight="false" outlineLevel="0" collapsed="false">
      <c r="A2689" s="27" t="n">
        <v>45192</v>
      </c>
      <c r="B2689" s="28" t="n">
        <v>2023</v>
      </c>
      <c r="C2689" s="28" t="s">
        <v>166</v>
      </c>
      <c r="D2689" s="28" t="s">
        <v>43</v>
      </c>
      <c r="E2689" s="28" t="s">
        <v>933</v>
      </c>
      <c r="F2689" s="28" t="s">
        <v>142</v>
      </c>
      <c r="G2689" s="28" t="s">
        <v>441</v>
      </c>
      <c r="H2689" s="28" t="s">
        <v>215</v>
      </c>
      <c r="I2689" s="29" t="n">
        <v>990000</v>
      </c>
      <c r="J2689" s="29" t="n">
        <v>742500</v>
      </c>
      <c r="K2689" s="28" t="n">
        <v>9.5</v>
      </c>
      <c r="L2689" s="28" t="n">
        <v>300</v>
      </c>
      <c r="M2689" s="28" t="n">
        <v>2</v>
      </c>
    </row>
    <row r="2690" customFormat="false" ht="15" hidden="false" customHeight="false" outlineLevel="0" collapsed="false">
      <c r="A2690" s="27" t="n">
        <v>45192</v>
      </c>
      <c r="B2690" s="28" t="n">
        <v>2023</v>
      </c>
      <c r="C2690" s="28" t="s">
        <v>163</v>
      </c>
      <c r="D2690" s="28" t="s">
        <v>45</v>
      </c>
      <c r="E2690" s="28" t="s">
        <v>835</v>
      </c>
      <c r="F2690" s="28" t="s">
        <v>142</v>
      </c>
      <c r="G2690" s="28" t="s">
        <v>148</v>
      </c>
      <c r="H2690" s="28" t="s">
        <v>275</v>
      </c>
      <c r="I2690" s="29" t="n">
        <v>50000</v>
      </c>
      <c r="J2690" s="29" t="n">
        <v>42500</v>
      </c>
      <c r="K2690" s="28" t="n">
        <v>15</v>
      </c>
      <c r="L2690" s="28" t="n">
        <v>84</v>
      </c>
      <c r="M2690" s="28" t="n">
        <v>7</v>
      </c>
    </row>
    <row r="2691" customFormat="false" ht="15" hidden="false" customHeight="false" outlineLevel="0" collapsed="false">
      <c r="A2691" s="27" t="n">
        <v>45192</v>
      </c>
      <c r="B2691" s="28" t="n">
        <v>2023</v>
      </c>
      <c r="C2691" s="28" t="s">
        <v>145</v>
      </c>
      <c r="D2691" s="28" t="s">
        <v>52</v>
      </c>
      <c r="E2691" s="28" t="s">
        <v>961</v>
      </c>
      <c r="F2691" s="28" t="s">
        <v>142</v>
      </c>
      <c r="G2691" s="28" t="s">
        <v>148</v>
      </c>
      <c r="H2691" s="28" t="s">
        <v>171</v>
      </c>
      <c r="I2691" s="29" t="n">
        <v>120000</v>
      </c>
      <c r="J2691" s="29" t="n">
        <v>102000</v>
      </c>
      <c r="K2691" s="28" t="n">
        <v>13.25</v>
      </c>
      <c r="L2691" s="28" t="n">
        <v>120</v>
      </c>
      <c r="M2691" s="28" t="n">
        <v>0</v>
      </c>
    </row>
    <row r="2692" customFormat="false" ht="15" hidden="false" customHeight="false" outlineLevel="0" collapsed="false">
      <c r="A2692" s="27" t="n">
        <v>45192</v>
      </c>
      <c r="B2692" s="28" t="n">
        <v>2023</v>
      </c>
      <c r="C2692" s="28" t="s">
        <v>252</v>
      </c>
      <c r="D2692" s="28" t="s">
        <v>44</v>
      </c>
      <c r="E2692" s="28" t="s">
        <v>863</v>
      </c>
      <c r="F2692" s="28" t="s">
        <v>142</v>
      </c>
      <c r="G2692" s="28" t="s">
        <v>148</v>
      </c>
      <c r="H2692" s="28" t="s">
        <v>275</v>
      </c>
      <c r="I2692" s="29" t="n">
        <v>50000</v>
      </c>
      <c r="J2692" s="29" t="n">
        <v>42500</v>
      </c>
      <c r="K2692" s="28" t="n">
        <v>15</v>
      </c>
      <c r="L2692" s="28" t="n">
        <v>84</v>
      </c>
      <c r="M2692" s="28" t="n">
        <v>12</v>
      </c>
    </row>
    <row r="2693" customFormat="false" ht="15" hidden="false" customHeight="false" outlineLevel="0" collapsed="false">
      <c r="A2693" s="27" t="n">
        <v>45192</v>
      </c>
      <c r="B2693" s="28" t="n">
        <v>2023</v>
      </c>
      <c r="C2693" s="28" t="s">
        <v>160</v>
      </c>
      <c r="D2693" s="28" t="s">
        <v>50</v>
      </c>
      <c r="E2693" s="28" t="s">
        <v>724</v>
      </c>
      <c r="F2693" s="28" t="s">
        <v>142</v>
      </c>
      <c r="G2693" s="28" t="s">
        <v>148</v>
      </c>
      <c r="H2693" s="28" t="s">
        <v>211</v>
      </c>
      <c r="I2693" s="29" t="n">
        <v>2795000</v>
      </c>
      <c r="J2693" s="29" t="n">
        <v>2096250</v>
      </c>
      <c r="K2693" s="28" t="n">
        <v>10</v>
      </c>
      <c r="L2693" s="28" t="n">
        <v>120</v>
      </c>
      <c r="M2693" s="28" t="n">
        <v>297</v>
      </c>
    </row>
    <row r="2694" customFormat="false" ht="15" hidden="false" customHeight="false" outlineLevel="0" collapsed="false">
      <c r="A2694" s="27" t="n">
        <v>45193</v>
      </c>
      <c r="B2694" s="28" t="n">
        <v>2023</v>
      </c>
      <c r="C2694" s="28" t="s">
        <v>201</v>
      </c>
      <c r="D2694" s="28" t="s">
        <v>45</v>
      </c>
      <c r="E2694" s="28" t="s">
        <v>356</v>
      </c>
      <c r="F2694" s="28" t="s">
        <v>142</v>
      </c>
      <c r="G2694" s="28" t="s">
        <v>143</v>
      </c>
      <c r="H2694" s="28" t="s">
        <v>621</v>
      </c>
      <c r="I2694" s="29" t="n">
        <v>250000</v>
      </c>
      <c r="J2694" s="29" t="n">
        <v>187500</v>
      </c>
      <c r="K2694" s="28" t="n">
        <v>11.25</v>
      </c>
      <c r="L2694" s="28" t="n">
        <v>120</v>
      </c>
      <c r="M2694" s="28" t="n">
        <v>5</v>
      </c>
    </row>
    <row r="2695" customFormat="false" ht="15" hidden="false" customHeight="false" outlineLevel="0" collapsed="false">
      <c r="A2695" s="27" t="n">
        <v>45193</v>
      </c>
      <c r="B2695" s="28" t="n">
        <v>2023</v>
      </c>
      <c r="C2695" s="28" t="s">
        <v>166</v>
      </c>
      <c r="D2695" s="28" t="s">
        <v>48</v>
      </c>
      <c r="E2695" s="28" t="s">
        <v>304</v>
      </c>
      <c r="F2695" s="28" t="s">
        <v>142</v>
      </c>
      <c r="G2695" s="28" t="s">
        <v>148</v>
      </c>
      <c r="H2695" s="28" t="s">
        <v>950</v>
      </c>
      <c r="I2695" s="29" t="n">
        <v>150000</v>
      </c>
      <c r="J2695" s="29" t="n">
        <v>127500</v>
      </c>
      <c r="K2695" s="28" t="n">
        <v>12.25</v>
      </c>
      <c r="L2695" s="28" t="n">
        <v>120</v>
      </c>
      <c r="M2695" s="28" t="n">
        <v>0</v>
      </c>
    </row>
    <row r="2696" customFormat="false" ht="15" hidden="false" customHeight="false" outlineLevel="0" collapsed="false">
      <c r="A2696" s="27" t="n">
        <v>45193</v>
      </c>
      <c r="B2696" s="28" t="n">
        <v>2023</v>
      </c>
      <c r="C2696" s="28" t="s">
        <v>169</v>
      </c>
      <c r="D2696" s="28" t="s">
        <v>49</v>
      </c>
      <c r="E2696" s="28" t="s">
        <v>1008</v>
      </c>
      <c r="F2696" s="28" t="s">
        <v>142</v>
      </c>
      <c r="G2696" s="28" t="s">
        <v>441</v>
      </c>
      <c r="H2696" s="28" t="s">
        <v>171</v>
      </c>
      <c r="I2696" s="29" t="n">
        <v>150000</v>
      </c>
      <c r="J2696" s="29" t="n">
        <v>127500</v>
      </c>
      <c r="K2696" s="28" t="n">
        <v>13.25</v>
      </c>
      <c r="L2696" s="28" t="n">
        <v>120</v>
      </c>
      <c r="M2696" s="28" t="n">
        <v>1</v>
      </c>
    </row>
    <row r="2697" customFormat="false" ht="15" hidden="false" customHeight="false" outlineLevel="0" collapsed="false">
      <c r="A2697" s="27" t="n">
        <v>45193</v>
      </c>
      <c r="B2697" s="28" t="n">
        <v>2023</v>
      </c>
      <c r="C2697" s="28" t="s">
        <v>303</v>
      </c>
      <c r="D2697" s="28" t="s">
        <v>44</v>
      </c>
      <c r="E2697" s="28" t="s">
        <v>167</v>
      </c>
      <c r="F2697" s="28" t="s">
        <v>142</v>
      </c>
      <c r="G2697" s="28" t="s">
        <v>148</v>
      </c>
      <c r="H2697" s="28" t="s">
        <v>953</v>
      </c>
      <c r="I2697" s="29" t="n">
        <v>175000</v>
      </c>
      <c r="J2697" s="29" t="n">
        <v>131250</v>
      </c>
      <c r="K2697" s="28" t="n">
        <v>11.5</v>
      </c>
      <c r="L2697" s="28" t="n">
        <v>300</v>
      </c>
      <c r="M2697" s="28" t="n">
        <v>4</v>
      </c>
    </row>
    <row r="2698" customFormat="false" ht="15" hidden="false" customHeight="false" outlineLevel="0" collapsed="false">
      <c r="A2698" s="27" t="n">
        <v>45196</v>
      </c>
      <c r="B2698" s="28" t="n">
        <v>2023</v>
      </c>
      <c r="C2698" s="28" t="s">
        <v>166</v>
      </c>
      <c r="D2698" s="28" t="s">
        <v>49</v>
      </c>
      <c r="E2698" s="28" t="s">
        <v>809</v>
      </c>
      <c r="F2698" s="28" t="s">
        <v>194</v>
      </c>
      <c r="G2698" s="28" t="s">
        <v>148</v>
      </c>
      <c r="H2698" s="28" t="s">
        <v>1009</v>
      </c>
      <c r="I2698" s="29" t="n">
        <v>750000</v>
      </c>
      <c r="J2698" s="29" t="n">
        <v>562500</v>
      </c>
      <c r="K2698" s="28" t="n">
        <v>9.5</v>
      </c>
      <c r="L2698" s="28" t="n">
        <v>36</v>
      </c>
      <c r="M2698" s="28" t="n">
        <v>4</v>
      </c>
    </row>
    <row r="2699" customFormat="false" ht="15" hidden="false" customHeight="false" outlineLevel="0" collapsed="false">
      <c r="A2699" s="27" t="n">
        <v>45196</v>
      </c>
      <c r="B2699" s="28" t="n">
        <v>2023</v>
      </c>
      <c r="C2699" s="28" t="s">
        <v>232</v>
      </c>
      <c r="D2699" s="28" t="s">
        <v>47</v>
      </c>
      <c r="E2699" s="28" t="s">
        <v>623</v>
      </c>
      <c r="F2699" s="28" t="s">
        <v>142</v>
      </c>
      <c r="G2699" s="28" t="s">
        <v>143</v>
      </c>
      <c r="H2699" s="28" t="s">
        <v>645</v>
      </c>
      <c r="I2699" s="29" t="n">
        <v>990000</v>
      </c>
      <c r="J2699" s="29" t="n">
        <v>742500</v>
      </c>
      <c r="K2699" s="28" t="n">
        <v>10.5</v>
      </c>
      <c r="L2699" s="28" t="n">
        <v>300</v>
      </c>
      <c r="M2699" s="28" t="n">
        <v>22</v>
      </c>
    </row>
    <row r="2700" customFormat="false" ht="15" hidden="false" customHeight="false" outlineLevel="0" collapsed="false">
      <c r="A2700" s="27" t="n">
        <v>45196</v>
      </c>
      <c r="B2700" s="28" t="n">
        <v>2023</v>
      </c>
      <c r="C2700" s="28" t="s">
        <v>172</v>
      </c>
      <c r="D2700" s="28" t="s">
        <v>46</v>
      </c>
      <c r="E2700" s="28" t="s">
        <v>741</v>
      </c>
      <c r="F2700" s="28" t="s">
        <v>142</v>
      </c>
      <c r="G2700" s="28" t="s">
        <v>143</v>
      </c>
      <c r="H2700" s="28" t="s">
        <v>211</v>
      </c>
      <c r="I2700" s="29" t="n">
        <v>175500</v>
      </c>
      <c r="J2700" s="29" t="n">
        <v>131625</v>
      </c>
      <c r="K2700" s="28" t="n">
        <v>11.25</v>
      </c>
      <c r="L2700" s="28" t="n">
        <v>120</v>
      </c>
      <c r="M2700" s="28" t="n">
        <v>12</v>
      </c>
    </row>
    <row r="2701" customFormat="false" ht="15" hidden="false" customHeight="false" outlineLevel="0" collapsed="false">
      <c r="A2701" s="27" t="n">
        <v>45196</v>
      </c>
      <c r="B2701" s="28" t="n">
        <v>2023</v>
      </c>
      <c r="C2701" s="28" t="s">
        <v>172</v>
      </c>
      <c r="D2701" s="28" t="s">
        <v>44</v>
      </c>
      <c r="E2701" s="28" t="s">
        <v>751</v>
      </c>
      <c r="F2701" s="28" t="s">
        <v>147</v>
      </c>
      <c r="G2701" s="28" t="s">
        <v>148</v>
      </c>
      <c r="H2701" s="28" t="s">
        <v>428</v>
      </c>
      <c r="I2701" s="29" t="n">
        <v>49000</v>
      </c>
      <c r="J2701" s="29" t="n">
        <v>24500</v>
      </c>
      <c r="K2701" s="28" t="n">
        <v>13.25</v>
      </c>
      <c r="L2701" s="28" t="n">
        <v>84</v>
      </c>
      <c r="M2701" s="28" t="n">
        <v>2</v>
      </c>
    </row>
    <row r="2702" customFormat="false" ht="15" hidden="false" customHeight="false" outlineLevel="0" collapsed="false">
      <c r="A2702" s="27" t="n">
        <v>45196</v>
      </c>
      <c r="B2702" s="28" t="n">
        <v>2023</v>
      </c>
      <c r="C2702" s="28" t="s">
        <v>172</v>
      </c>
      <c r="D2702" s="28" t="s">
        <v>46</v>
      </c>
      <c r="E2702" s="28" t="s">
        <v>741</v>
      </c>
      <c r="F2702" s="28" t="s">
        <v>147</v>
      </c>
      <c r="G2702" s="28" t="s">
        <v>143</v>
      </c>
      <c r="H2702" s="28" t="s">
        <v>211</v>
      </c>
      <c r="I2702" s="29" t="n">
        <v>20000</v>
      </c>
      <c r="J2702" s="29" t="n">
        <v>10000</v>
      </c>
      <c r="K2702" s="28" t="n">
        <v>11.25</v>
      </c>
      <c r="L2702" s="28" t="n">
        <v>120</v>
      </c>
      <c r="M2702" s="28" t="n">
        <v>12</v>
      </c>
    </row>
    <row r="2703" customFormat="false" ht="15" hidden="false" customHeight="false" outlineLevel="0" collapsed="false">
      <c r="A2703" s="27" t="n">
        <v>45196</v>
      </c>
      <c r="B2703" s="28" t="n">
        <v>2023</v>
      </c>
      <c r="C2703" s="28" t="s">
        <v>344</v>
      </c>
      <c r="D2703" s="28" t="s">
        <v>44</v>
      </c>
      <c r="E2703" s="28" t="s">
        <v>730</v>
      </c>
      <c r="F2703" s="28" t="s">
        <v>142</v>
      </c>
      <c r="G2703" s="28" t="s">
        <v>143</v>
      </c>
      <c r="H2703" s="28" t="s">
        <v>1010</v>
      </c>
      <c r="I2703" s="29" t="n">
        <v>4337900</v>
      </c>
      <c r="J2703" s="29" t="n">
        <v>3253425</v>
      </c>
      <c r="K2703" s="28" t="n">
        <v>10.25</v>
      </c>
      <c r="L2703" s="28" t="n">
        <v>312</v>
      </c>
      <c r="M2703" s="28" t="n">
        <v>12</v>
      </c>
    </row>
    <row r="2704" customFormat="false" ht="15" hidden="false" customHeight="false" outlineLevel="0" collapsed="false">
      <c r="A2704" s="27" t="n">
        <v>45196</v>
      </c>
      <c r="B2704" s="28" t="n">
        <v>2023</v>
      </c>
      <c r="C2704" s="28" t="s">
        <v>172</v>
      </c>
      <c r="D2704" s="28" t="s">
        <v>46</v>
      </c>
      <c r="E2704" s="28" t="s">
        <v>702</v>
      </c>
      <c r="F2704" s="28" t="s">
        <v>147</v>
      </c>
      <c r="G2704" s="28" t="s">
        <v>148</v>
      </c>
      <c r="H2704" s="28" t="s">
        <v>162</v>
      </c>
      <c r="I2704" s="29" t="n">
        <v>125000</v>
      </c>
      <c r="J2704" s="29" t="n">
        <v>62500</v>
      </c>
      <c r="K2704" s="28" t="n">
        <v>11.25</v>
      </c>
      <c r="L2704" s="28" t="n">
        <v>120</v>
      </c>
      <c r="M2704" s="28" t="n">
        <v>37</v>
      </c>
    </row>
    <row r="2705" customFormat="false" ht="15" hidden="false" customHeight="false" outlineLevel="0" collapsed="false">
      <c r="A2705" s="27" t="n">
        <v>45196</v>
      </c>
      <c r="B2705" s="28" t="n">
        <v>2023</v>
      </c>
      <c r="C2705" s="28" t="s">
        <v>201</v>
      </c>
      <c r="D2705" s="28" t="s">
        <v>49</v>
      </c>
      <c r="E2705" s="28" t="s">
        <v>809</v>
      </c>
      <c r="F2705" s="28" t="s">
        <v>142</v>
      </c>
      <c r="G2705" s="28" t="s">
        <v>148</v>
      </c>
      <c r="H2705" s="28" t="s">
        <v>1011</v>
      </c>
      <c r="I2705" s="29" t="n">
        <v>1231000</v>
      </c>
      <c r="J2705" s="29" t="n">
        <v>923250</v>
      </c>
      <c r="K2705" s="28" t="n">
        <v>11.25</v>
      </c>
      <c r="L2705" s="28" t="n">
        <v>120</v>
      </c>
      <c r="M2705" s="28" t="n">
        <v>11</v>
      </c>
    </row>
    <row r="2706" customFormat="false" ht="15" hidden="false" customHeight="false" outlineLevel="0" collapsed="false">
      <c r="A2706" s="27" t="n">
        <v>45196</v>
      </c>
      <c r="B2706" s="28" t="n">
        <v>2023</v>
      </c>
      <c r="C2706" s="28" t="s">
        <v>163</v>
      </c>
      <c r="D2706" s="28" t="s">
        <v>48</v>
      </c>
      <c r="E2706" s="28" t="s">
        <v>762</v>
      </c>
      <c r="F2706" s="28" t="s">
        <v>142</v>
      </c>
      <c r="G2706" s="28" t="s">
        <v>143</v>
      </c>
      <c r="H2706" s="28" t="s">
        <v>144</v>
      </c>
      <c r="I2706" s="29" t="n">
        <v>3475000</v>
      </c>
      <c r="J2706" s="29" t="n">
        <v>2606250</v>
      </c>
      <c r="K2706" s="28" t="n">
        <v>8.5</v>
      </c>
      <c r="L2706" s="28" t="n">
        <v>312</v>
      </c>
      <c r="M2706" s="28" t="n">
        <v>37</v>
      </c>
    </row>
    <row r="2707" customFormat="false" ht="15" hidden="false" customHeight="false" outlineLevel="0" collapsed="false">
      <c r="A2707" s="27" t="n">
        <v>45196</v>
      </c>
      <c r="B2707" s="28" t="n">
        <v>2023</v>
      </c>
      <c r="C2707" s="28" t="s">
        <v>172</v>
      </c>
      <c r="D2707" s="28" t="s">
        <v>52</v>
      </c>
      <c r="E2707" s="28" t="s">
        <v>720</v>
      </c>
      <c r="F2707" s="28" t="s">
        <v>142</v>
      </c>
      <c r="G2707" s="28" t="s">
        <v>148</v>
      </c>
      <c r="H2707" s="28" t="s">
        <v>205</v>
      </c>
      <c r="I2707" s="29" t="n">
        <v>2024000</v>
      </c>
      <c r="J2707" s="29" t="n">
        <v>1518000</v>
      </c>
      <c r="K2707" s="28" t="n">
        <v>9.5</v>
      </c>
      <c r="L2707" s="28" t="n">
        <v>300</v>
      </c>
      <c r="M2707" s="28" t="n">
        <v>55</v>
      </c>
    </row>
    <row r="2708" customFormat="false" ht="15" hidden="false" customHeight="false" outlineLevel="0" collapsed="false">
      <c r="A2708" s="27" t="n">
        <v>45196</v>
      </c>
      <c r="B2708" s="28" t="n">
        <v>2023</v>
      </c>
      <c r="C2708" s="28" t="s">
        <v>203</v>
      </c>
      <c r="D2708" s="28" t="s">
        <v>42</v>
      </c>
      <c r="E2708" s="28" t="s">
        <v>717</v>
      </c>
      <c r="F2708" s="28" t="s">
        <v>142</v>
      </c>
      <c r="G2708" s="28" t="s">
        <v>148</v>
      </c>
      <c r="H2708" s="28" t="s">
        <v>168</v>
      </c>
      <c r="I2708" s="29" t="n">
        <v>859500</v>
      </c>
      <c r="J2708" s="29" t="n">
        <v>644625</v>
      </c>
      <c r="K2708" s="28" t="n">
        <v>8.05</v>
      </c>
      <c r="L2708" s="28" t="n">
        <v>300</v>
      </c>
      <c r="M2708" s="28" t="n">
        <v>2</v>
      </c>
    </row>
    <row r="2709" customFormat="false" ht="15" hidden="false" customHeight="false" outlineLevel="0" collapsed="false">
      <c r="A2709" s="27" t="n">
        <v>45196</v>
      </c>
      <c r="B2709" s="28" t="n">
        <v>2023</v>
      </c>
      <c r="C2709" s="28" t="s">
        <v>318</v>
      </c>
      <c r="D2709" s="28" t="s">
        <v>42</v>
      </c>
      <c r="E2709" s="28" t="s">
        <v>753</v>
      </c>
      <c r="F2709" s="28" t="s">
        <v>142</v>
      </c>
      <c r="G2709" s="28" t="s">
        <v>143</v>
      </c>
      <c r="H2709" s="28" t="s">
        <v>291</v>
      </c>
      <c r="I2709" s="29" t="n">
        <v>227000</v>
      </c>
      <c r="J2709" s="29" t="n">
        <v>170250</v>
      </c>
      <c r="K2709" s="28" t="n">
        <v>10.5</v>
      </c>
      <c r="L2709" s="28" t="n">
        <v>120</v>
      </c>
      <c r="M2709" s="28" t="n">
        <v>30</v>
      </c>
    </row>
    <row r="2710" customFormat="false" ht="15" hidden="false" customHeight="false" outlineLevel="0" collapsed="false">
      <c r="A2710" s="27" t="n">
        <v>45196</v>
      </c>
      <c r="B2710" s="28" t="n">
        <v>2023</v>
      </c>
      <c r="C2710" s="28" t="s">
        <v>249</v>
      </c>
      <c r="D2710" s="28" t="s">
        <v>50</v>
      </c>
      <c r="E2710" s="28" t="s">
        <v>193</v>
      </c>
      <c r="F2710" s="28" t="s">
        <v>142</v>
      </c>
      <c r="G2710" s="28" t="s">
        <v>148</v>
      </c>
      <c r="H2710" s="28" t="s">
        <v>171</v>
      </c>
      <c r="I2710" s="29" t="n">
        <v>150000</v>
      </c>
      <c r="J2710" s="29" t="n">
        <v>127500</v>
      </c>
      <c r="K2710" s="28" t="n">
        <v>13.25</v>
      </c>
      <c r="L2710" s="28" t="n">
        <v>120</v>
      </c>
      <c r="M2710" s="28" t="n">
        <v>0</v>
      </c>
    </row>
    <row r="2711" customFormat="false" ht="15" hidden="false" customHeight="false" outlineLevel="0" collapsed="false">
      <c r="A2711" s="27" t="n">
        <v>45197</v>
      </c>
      <c r="B2711" s="28" t="n">
        <v>2023</v>
      </c>
      <c r="C2711" s="28" t="s">
        <v>163</v>
      </c>
      <c r="D2711" s="28" t="s">
        <v>42</v>
      </c>
      <c r="E2711" s="28" t="s">
        <v>753</v>
      </c>
      <c r="F2711" s="28" t="s">
        <v>147</v>
      </c>
      <c r="G2711" s="28" t="s">
        <v>143</v>
      </c>
      <c r="H2711" s="28" t="s">
        <v>211</v>
      </c>
      <c r="I2711" s="29" t="n">
        <v>25000</v>
      </c>
      <c r="J2711" s="29" t="n">
        <v>12500</v>
      </c>
      <c r="K2711" s="28" t="n">
        <v>11.25</v>
      </c>
      <c r="L2711" s="28" t="n">
        <v>120</v>
      </c>
      <c r="M2711" s="28" t="n">
        <v>23</v>
      </c>
    </row>
    <row r="2712" customFormat="false" ht="15" hidden="false" customHeight="false" outlineLevel="0" collapsed="false">
      <c r="A2712" s="27" t="n">
        <v>45197</v>
      </c>
      <c r="B2712" s="28" t="n">
        <v>2023</v>
      </c>
      <c r="C2712" s="28" t="s">
        <v>203</v>
      </c>
      <c r="D2712" s="28" t="s">
        <v>47</v>
      </c>
      <c r="E2712" s="28" t="s">
        <v>792</v>
      </c>
      <c r="F2712" s="28" t="s">
        <v>142</v>
      </c>
      <c r="G2712" s="28" t="s">
        <v>148</v>
      </c>
      <c r="H2712" s="28" t="s">
        <v>208</v>
      </c>
      <c r="I2712" s="29" t="n">
        <v>51000</v>
      </c>
      <c r="J2712" s="29" t="n">
        <v>43350</v>
      </c>
      <c r="K2712" s="28" t="n">
        <v>11.25</v>
      </c>
      <c r="L2712" s="28" t="n">
        <v>120</v>
      </c>
      <c r="M2712" s="28" t="n">
        <v>0</v>
      </c>
    </row>
    <row r="2713" customFormat="false" ht="15" hidden="false" customHeight="false" outlineLevel="0" collapsed="false">
      <c r="A2713" s="27" t="n">
        <v>45197</v>
      </c>
      <c r="B2713" s="28" t="n">
        <v>2023</v>
      </c>
      <c r="C2713" s="28" t="s">
        <v>172</v>
      </c>
      <c r="D2713" s="28" t="s">
        <v>46</v>
      </c>
      <c r="E2713" s="28" t="s">
        <v>813</v>
      </c>
      <c r="F2713" s="28" t="s">
        <v>147</v>
      </c>
      <c r="G2713" s="28" t="s">
        <v>441</v>
      </c>
      <c r="H2713" s="28" t="s">
        <v>159</v>
      </c>
      <c r="I2713" s="29" t="n">
        <v>100000</v>
      </c>
      <c r="J2713" s="29" t="n">
        <v>50000</v>
      </c>
      <c r="K2713" s="28" t="n">
        <v>13</v>
      </c>
      <c r="L2713" s="28" t="n">
        <v>120</v>
      </c>
      <c r="M2713" s="28" t="n">
        <v>3</v>
      </c>
    </row>
    <row r="2714" customFormat="false" ht="15" hidden="false" customHeight="false" outlineLevel="0" collapsed="false">
      <c r="A2714" s="27" t="n">
        <v>45197</v>
      </c>
      <c r="B2714" s="28" t="n">
        <v>2023</v>
      </c>
      <c r="C2714" s="28" t="s">
        <v>163</v>
      </c>
      <c r="D2714" s="28" t="s">
        <v>47</v>
      </c>
      <c r="E2714" s="28" t="s">
        <v>1012</v>
      </c>
      <c r="F2714" s="28" t="s">
        <v>142</v>
      </c>
      <c r="G2714" s="28" t="s">
        <v>148</v>
      </c>
      <c r="H2714" s="28" t="s">
        <v>227</v>
      </c>
      <c r="I2714" s="29" t="n">
        <v>234000</v>
      </c>
      <c r="J2714" s="29" t="n">
        <v>175500</v>
      </c>
      <c r="K2714" s="28" t="n">
        <v>11.25</v>
      </c>
      <c r="L2714" s="28" t="n">
        <v>120</v>
      </c>
      <c r="M2714" s="28" t="n">
        <v>14</v>
      </c>
    </row>
    <row r="2715" customFormat="false" ht="15" hidden="false" customHeight="false" outlineLevel="0" collapsed="false">
      <c r="A2715" s="27" t="n">
        <v>45197</v>
      </c>
      <c r="B2715" s="28" t="n">
        <v>2023</v>
      </c>
      <c r="C2715" s="28" t="s">
        <v>203</v>
      </c>
      <c r="D2715" s="28" t="s">
        <v>48</v>
      </c>
      <c r="E2715" s="28" t="s">
        <v>840</v>
      </c>
      <c r="F2715" s="28" t="s">
        <v>142</v>
      </c>
      <c r="G2715" s="28" t="s">
        <v>148</v>
      </c>
      <c r="H2715" s="28" t="s">
        <v>171</v>
      </c>
      <c r="I2715" s="29" t="n">
        <v>125000</v>
      </c>
      <c r="J2715" s="29" t="n">
        <v>106250</v>
      </c>
      <c r="K2715" s="28" t="n">
        <v>13.25</v>
      </c>
      <c r="L2715" s="28" t="n">
        <v>120</v>
      </c>
      <c r="M2715" s="28" t="n">
        <v>8</v>
      </c>
    </row>
    <row r="2716" customFormat="false" ht="15" hidden="false" customHeight="false" outlineLevel="0" collapsed="false">
      <c r="A2716" s="27" t="n">
        <v>45197</v>
      </c>
      <c r="B2716" s="28" t="n">
        <v>2023</v>
      </c>
      <c r="C2716" s="28" t="s">
        <v>172</v>
      </c>
      <c r="D2716" s="28" t="s">
        <v>48</v>
      </c>
      <c r="E2716" s="28" t="s">
        <v>362</v>
      </c>
      <c r="F2716" s="28" t="s">
        <v>142</v>
      </c>
      <c r="G2716" s="28" t="s">
        <v>148</v>
      </c>
      <c r="H2716" s="28" t="s">
        <v>275</v>
      </c>
      <c r="I2716" s="29" t="n">
        <v>50000</v>
      </c>
      <c r="J2716" s="29" t="n">
        <v>42500</v>
      </c>
      <c r="K2716" s="28" t="n">
        <v>15</v>
      </c>
      <c r="L2716" s="28" t="n">
        <v>74</v>
      </c>
      <c r="M2716" s="28" t="n">
        <v>2</v>
      </c>
    </row>
    <row r="2717" customFormat="false" ht="15" hidden="false" customHeight="false" outlineLevel="0" collapsed="false">
      <c r="A2717" s="27" t="n">
        <v>45197</v>
      </c>
      <c r="B2717" s="28" t="n">
        <v>2023</v>
      </c>
      <c r="C2717" s="28" t="s">
        <v>603</v>
      </c>
      <c r="D2717" s="28" t="s">
        <v>42</v>
      </c>
      <c r="E2717" s="28" t="s">
        <v>828</v>
      </c>
      <c r="F2717" s="28" t="s">
        <v>142</v>
      </c>
      <c r="G2717" s="28" t="s">
        <v>441</v>
      </c>
      <c r="H2717" s="28" t="s">
        <v>619</v>
      </c>
      <c r="I2717" s="29" t="n">
        <v>277500</v>
      </c>
      <c r="J2717" s="29" t="n">
        <v>208125</v>
      </c>
      <c r="K2717" s="28" t="n">
        <v>11.25</v>
      </c>
      <c r="L2717" s="28" t="n">
        <v>300</v>
      </c>
      <c r="M2717" s="28" t="n">
        <v>14</v>
      </c>
    </row>
    <row r="2718" customFormat="false" ht="15" hidden="false" customHeight="false" outlineLevel="0" collapsed="false">
      <c r="A2718" s="27" t="n">
        <v>45197</v>
      </c>
      <c r="B2718" s="28" t="n">
        <v>2023</v>
      </c>
      <c r="C2718" s="28" t="s">
        <v>163</v>
      </c>
      <c r="D2718" s="28" t="s">
        <v>42</v>
      </c>
      <c r="E2718" s="28" t="s">
        <v>753</v>
      </c>
      <c r="F2718" s="28" t="s">
        <v>142</v>
      </c>
      <c r="G2718" s="28" t="s">
        <v>143</v>
      </c>
      <c r="H2718" s="28" t="s">
        <v>211</v>
      </c>
      <c r="I2718" s="29" t="n">
        <v>349000</v>
      </c>
      <c r="J2718" s="29" t="n">
        <v>261750</v>
      </c>
      <c r="K2718" s="28" t="n">
        <v>11.25</v>
      </c>
      <c r="L2718" s="28" t="n">
        <v>129</v>
      </c>
      <c r="M2718" s="28" t="n">
        <v>23</v>
      </c>
    </row>
    <row r="2719" customFormat="false" ht="15" hidden="false" customHeight="false" outlineLevel="0" collapsed="false">
      <c r="A2719" s="27" t="n">
        <v>45197</v>
      </c>
      <c r="B2719" s="28" t="n">
        <v>2023</v>
      </c>
      <c r="C2719" s="28" t="s">
        <v>201</v>
      </c>
      <c r="D2719" s="28" t="s">
        <v>56</v>
      </c>
      <c r="E2719" s="28" t="s">
        <v>1013</v>
      </c>
      <c r="F2719" s="28" t="s">
        <v>142</v>
      </c>
      <c r="G2719" s="28" t="s">
        <v>143</v>
      </c>
      <c r="H2719" s="28" t="s">
        <v>621</v>
      </c>
      <c r="I2719" s="29" t="n">
        <v>465000</v>
      </c>
      <c r="J2719" s="29" t="n">
        <v>348750</v>
      </c>
      <c r="K2719" s="28" t="n">
        <v>10.75</v>
      </c>
      <c r="L2719" s="28" t="n">
        <v>126</v>
      </c>
      <c r="M2719" s="28" t="n">
        <v>32</v>
      </c>
    </row>
    <row r="2720" customFormat="false" ht="15" hidden="false" customHeight="false" outlineLevel="0" collapsed="false">
      <c r="A2720" s="27" t="n">
        <v>45197</v>
      </c>
      <c r="B2720" s="28" t="n">
        <v>2023</v>
      </c>
      <c r="C2720" s="28" t="s">
        <v>206</v>
      </c>
      <c r="D2720" s="28" t="s">
        <v>42</v>
      </c>
      <c r="E2720" s="28" t="s">
        <v>784</v>
      </c>
      <c r="F2720" s="28" t="s">
        <v>142</v>
      </c>
      <c r="G2720" s="28" t="s">
        <v>143</v>
      </c>
      <c r="H2720" s="28" t="s">
        <v>438</v>
      </c>
      <c r="I2720" s="29" t="n">
        <v>500000</v>
      </c>
      <c r="J2720" s="29" t="n">
        <v>375000</v>
      </c>
      <c r="K2720" s="28" t="n">
        <v>10.5</v>
      </c>
      <c r="L2720" s="28" t="n">
        <v>120</v>
      </c>
      <c r="M2720" s="28" t="n">
        <v>11</v>
      </c>
    </row>
    <row r="2721" customFormat="false" ht="15" hidden="false" customHeight="false" outlineLevel="0" collapsed="false">
      <c r="A2721" s="27" t="n">
        <v>45197</v>
      </c>
      <c r="B2721" s="28" t="n">
        <v>2023</v>
      </c>
      <c r="C2721" s="28" t="s">
        <v>303</v>
      </c>
      <c r="D2721" s="28" t="s">
        <v>43</v>
      </c>
      <c r="E2721" s="28" t="s">
        <v>933</v>
      </c>
      <c r="F2721" s="28" t="s">
        <v>142</v>
      </c>
      <c r="G2721" s="28" t="s">
        <v>152</v>
      </c>
      <c r="H2721" s="28" t="s">
        <v>215</v>
      </c>
      <c r="I2721" s="29" t="n">
        <v>390000</v>
      </c>
      <c r="J2721" s="29" t="n">
        <v>292500</v>
      </c>
      <c r="K2721" s="28" t="n">
        <v>10</v>
      </c>
      <c r="L2721" s="28" t="n">
        <v>300</v>
      </c>
      <c r="M2721" s="28" t="n">
        <v>3</v>
      </c>
    </row>
    <row r="2722" customFormat="false" ht="15" hidden="false" customHeight="false" outlineLevel="0" collapsed="false">
      <c r="A2722" s="27" t="n">
        <v>45197</v>
      </c>
      <c r="B2722" s="28" t="n">
        <v>2023</v>
      </c>
      <c r="C2722" s="28" t="s">
        <v>169</v>
      </c>
      <c r="D2722" s="28" t="s">
        <v>48</v>
      </c>
      <c r="E2722" s="28" t="s">
        <v>815</v>
      </c>
      <c r="F2722" s="28" t="s">
        <v>283</v>
      </c>
      <c r="G2722" s="28" t="s">
        <v>148</v>
      </c>
      <c r="H2722" s="28" t="s">
        <v>1002</v>
      </c>
      <c r="I2722" s="29" t="n">
        <v>5000000</v>
      </c>
      <c r="J2722" s="29" t="n">
        <v>4500000</v>
      </c>
      <c r="K2722" s="28" t="n">
        <v>11</v>
      </c>
      <c r="L2722" s="28" t="n">
        <v>99</v>
      </c>
      <c r="M2722" s="28" t="n">
        <v>137</v>
      </c>
    </row>
    <row r="2723" customFormat="false" ht="15" hidden="false" customHeight="false" outlineLevel="0" collapsed="false">
      <c r="A2723" s="27" t="n">
        <v>45197</v>
      </c>
      <c r="B2723" s="28" t="n">
        <v>2023</v>
      </c>
      <c r="C2723" s="28" t="s">
        <v>206</v>
      </c>
      <c r="D2723" s="28" t="s">
        <v>52</v>
      </c>
      <c r="E2723" s="28" t="s">
        <v>961</v>
      </c>
      <c r="F2723" s="28" t="s">
        <v>142</v>
      </c>
      <c r="G2723" s="28" t="s">
        <v>148</v>
      </c>
      <c r="H2723" s="28" t="s">
        <v>275</v>
      </c>
      <c r="I2723" s="29" t="n">
        <v>50000</v>
      </c>
      <c r="J2723" s="29" t="n">
        <v>42500</v>
      </c>
      <c r="K2723" s="28" t="n">
        <v>15</v>
      </c>
      <c r="L2723" s="28" t="n">
        <v>63</v>
      </c>
      <c r="M2723" s="28" t="n">
        <v>10</v>
      </c>
    </row>
    <row r="2724" customFormat="false" ht="15" hidden="false" customHeight="false" outlineLevel="0" collapsed="false">
      <c r="A2724" s="27" t="n">
        <v>45197</v>
      </c>
      <c r="B2724" s="28" t="n">
        <v>2023</v>
      </c>
      <c r="C2724" s="28" t="s">
        <v>169</v>
      </c>
      <c r="D2724" s="28" t="s">
        <v>51</v>
      </c>
      <c r="E2724" s="28" t="s">
        <v>848</v>
      </c>
      <c r="F2724" s="28" t="s">
        <v>147</v>
      </c>
      <c r="G2724" s="28" t="s">
        <v>148</v>
      </c>
      <c r="H2724" s="28" t="s">
        <v>205</v>
      </c>
      <c r="I2724" s="29" t="n">
        <v>65000</v>
      </c>
      <c r="J2724" s="29" t="n">
        <v>32500</v>
      </c>
      <c r="K2724" s="28" t="n">
        <v>13</v>
      </c>
      <c r="L2724" s="28" t="n">
        <v>60</v>
      </c>
      <c r="M2724" s="28" t="n">
        <v>2</v>
      </c>
    </row>
    <row r="2725" customFormat="false" ht="15" hidden="false" customHeight="false" outlineLevel="0" collapsed="false">
      <c r="A2725" s="27" t="n">
        <v>45197</v>
      </c>
      <c r="B2725" s="28" t="n">
        <v>2023</v>
      </c>
      <c r="C2725" s="28" t="s">
        <v>321</v>
      </c>
      <c r="D2725" s="28" t="s">
        <v>42</v>
      </c>
      <c r="E2725" s="28" t="s">
        <v>340</v>
      </c>
      <c r="F2725" s="28" t="s">
        <v>147</v>
      </c>
      <c r="G2725" s="28" t="s">
        <v>148</v>
      </c>
      <c r="H2725" s="28" t="s">
        <v>159</v>
      </c>
      <c r="I2725" s="29" t="n">
        <v>15000</v>
      </c>
      <c r="J2725" s="29" t="n">
        <v>7500</v>
      </c>
      <c r="K2725" s="28" t="n">
        <v>15</v>
      </c>
      <c r="L2725" s="28" t="n">
        <v>120</v>
      </c>
      <c r="M2725" s="28" t="n">
        <v>0</v>
      </c>
    </row>
    <row r="2726" customFormat="false" ht="15" hidden="false" customHeight="false" outlineLevel="0" collapsed="false">
      <c r="A2726" s="27" t="n">
        <v>45197</v>
      </c>
      <c r="B2726" s="28" t="n">
        <v>2023</v>
      </c>
      <c r="C2726" s="28" t="s">
        <v>312</v>
      </c>
      <c r="D2726" s="28" t="s">
        <v>48</v>
      </c>
      <c r="E2726" s="28" t="s">
        <v>704</v>
      </c>
      <c r="F2726" s="28" t="s">
        <v>142</v>
      </c>
      <c r="G2726" s="28" t="s">
        <v>148</v>
      </c>
      <c r="H2726" s="28" t="s">
        <v>269</v>
      </c>
      <c r="I2726" s="29" t="n">
        <v>100000</v>
      </c>
      <c r="J2726" s="29" t="n">
        <v>85000</v>
      </c>
      <c r="K2726" s="28" t="n">
        <v>11.25</v>
      </c>
      <c r="L2726" s="28" t="n">
        <v>120</v>
      </c>
      <c r="M2726" s="28" t="n">
        <v>4</v>
      </c>
    </row>
    <row r="2727" customFormat="false" ht="15" hidden="false" customHeight="false" outlineLevel="0" collapsed="false">
      <c r="A2727" s="27" t="n">
        <v>45197</v>
      </c>
      <c r="B2727" s="28" t="n">
        <v>2023</v>
      </c>
      <c r="C2727" s="28" t="s">
        <v>166</v>
      </c>
      <c r="D2727" s="28" t="s">
        <v>44</v>
      </c>
      <c r="E2727" s="28" t="s">
        <v>920</v>
      </c>
      <c r="F2727" s="28" t="s">
        <v>142</v>
      </c>
      <c r="G2727" s="28" t="s">
        <v>143</v>
      </c>
      <c r="H2727" s="28" t="s">
        <v>287</v>
      </c>
      <c r="I2727" s="29" t="n">
        <v>150000</v>
      </c>
      <c r="J2727" s="29" t="n">
        <v>127500</v>
      </c>
      <c r="K2727" s="28" t="n">
        <v>11.25</v>
      </c>
      <c r="L2727" s="28" t="n">
        <v>120</v>
      </c>
      <c r="M2727" s="28" t="n">
        <v>3</v>
      </c>
    </row>
    <row r="2728" customFormat="false" ht="15" hidden="false" customHeight="false" outlineLevel="0" collapsed="false">
      <c r="A2728" s="27" t="n">
        <v>45197</v>
      </c>
      <c r="B2728" s="28" t="n">
        <v>2023</v>
      </c>
      <c r="C2728" s="28" t="s">
        <v>166</v>
      </c>
      <c r="D2728" s="28" t="s">
        <v>46</v>
      </c>
      <c r="E2728" s="28" t="s">
        <v>926</v>
      </c>
      <c r="F2728" s="28" t="s">
        <v>142</v>
      </c>
      <c r="G2728" s="28" t="s">
        <v>148</v>
      </c>
      <c r="H2728" s="28" t="s">
        <v>255</v>
      </c>
      <c r="I2728" s="29" t="n">
        <v>1000000</v>
      </c>
      <c r="J2728" s="29" t="n">
        <v>750000</v>
      </c>
      <c r="K2728" s="28" t="n">
        <v>10.75</v>
      </c>
      <c r="L2728" s="28" t="n">
        <v>120</v>
      </c>
      <c r="M2728" s="28" t="n">
        <v>110</v>
      </c>
    </row>
    <row r="2729" customFormat="false" ht="15" hidden="false" customHeight="false" outlineLevel="0" collapsed="false">
      <c r="A2729" s="27" t="n">
        <v>45198</v>
      </c>
      <c r="B2729" s="28" t="n">
        <v>2023</v>
      </c>
      <c r="C2729" s="28" t="s">
        <v>172</v>
      </c>
      <c r="D2729" s="28" t="s">
        <v>44</v>
      </c>
      <c r="E2729" s="28" t="s">
        <v>730</v>
      </c>
      <c r="F2729" s="28" t="s">
        <v>142</v>
      </c>
      <c r="G2729" s="28" t="s">
        <v>148</v>
      </c>
      <c r="H2729" s="28" t="s">
        <v>494</v>
      </c>
      <c r="I2729" s="29" t="n">
        <v>826000</v>
      </c>
      <c r="J2729" s="29" t="n">
        <v>619500</v>
      </c>
      <c r="K2729" s="28" t="n">
        <v>10.75</v>
      </c>
      <c r="L2729" s="28" t="n">
        <v>120</v>
      </c>
      <c r="M2729" s="28" t="n">
        <v>20</v>
      </c>
    </row>
    <row r="2730" customFormat="false" ht="15" hidden="false" customHeight="false" outlineLevel="0" collapsed="false">
      <c r="A2730" s="27" t="n">
        <v>45198</v>
      </c>
      <c r="B2730" s="28" t="n">
        <v>2023</v>
      </c>
      <c r="C2730" s="28" t="s">
        <v>344</v>
      </c>
      <c r="D2730" s="28" t="s">
        <v>45</v>
      </c>
      <c r="E2730" s="28" t="s">
        <v>480</v>
      </c>
      <c r="F2730" s="28" t="s">
        <v>142</v>
      </c>
      <c r="G2730" s="28" t="s">
        <v>152</v>
      </c>
      <c r="H2730" s="28" t="s">
        <v>374</v>
      </c>
      <c r="I2730" s="29" t="n">
        <v>500000</v>
      </c>
      <c r="J2730" s="29" t="n">
        <v>375000</v>
      </c>
      <c r="K2730" s="28" t="n">
        <v>11</v>
      </c>
      <c r="L2730" s="28" t="n">
        <v>120</v>
      </c>
      <c r="M2730" s="28" t="n">
        <v>1</v>
      </c>
    </row>
    <row r="2731" customFormat="false" ht="15" hidden="false" customHeight="false" outlineLevel="0" collapsed="false">
      <c r="A2731" s="27" t="n">
        <v>45198</v>
      </c>
      <c r="B2731" s="28" t="n">
        <v>2023</v>
      </c>
      <c r="C2731" s="28" t="s">
        <v>243</v>
      </c>
      <c r="D2731" s="28" t="s">
        <v>46</v>
      </c>
      <c r="E2731" s="28" t="s">
        <v>780</v>
      </c>
      <c r="F2731" s="28" t="s">
        <v>147</v>
      </c>
      <c r="G2731" s="28" t="s">
        <v>148</v>
      </c>
      <c r="H2731" s="28" t="s">
        <v>579</v>
      </c>
      <c r="I2731" s="29" t="n">
        <v>100000</v>
      </c>
      <c r="J2731" s="29" t="n">
        <v>50000</v>
      </c>
      <c r="K2731" s="28" t="n">
        <v>14.5</v>
      </c>
      <c r="L2731" s="28" t="n">
        <v>101</v>
      </c>
      <c r="M2731" s="28" t="n">
        <v>2</v>
      </c>
    </row>
    <row r="2732" customFormat="false" ht="15" hidden="false" customHeight="false" outlineLevel="0" collapsed="false">
      <c r="A2732" s="27" t="n">
        <v>45198</v>
      </c>
      <c r="B2732" s="28" t="n">
        <v>2023</v>
      </c>
      <c r="C2732" s="28" t="s">
        <v>172</v>
      </c>
      <c r="D2732" s="28" t="s">
        <v>44</v>
      </c>
      <c r="E2732" s="28" t="s">
        <v>730</v>
      </c>
      <c r="F2732" s="28" t="s">
        <v>142</v>
      </c>
      <c r="G2732" s="28" t="s">
        <v>143</v>
      </c>
      <c r="H2732" s="28" t="s">
        <v>1010</v>
      </c>
      <c r="I2732" s="29" t="n">
        <v>590000</v>
      </c>
      <c r="J2732" s="29" t="n">
        <v>442500</v>
      </c>
      <c r="K2732" s="28" t="n">
        <v>11.25</v>
      </c>
      <c r="L2732" s="28" t="n">
        <v>123</v>
      </c>
      <c r="M2732" s="28" t="n">
        <v>44</v>
      </c>
    </row>
    <row r="2733" customFormat="false" ht="15" hidden="false" customHeight="false" outlineLevel="0" collapsed="false">
      <c r="A2733" s="27" t="n">
        <v>45198</v>
      </c>
      <c r="B2733" s="28" t="n">
        <v>2023</v>
      </c>
      <c r="C2733" s="28" t="s">
        <v>172</v>
      </c>
      <c r="D2733" s="28" t="s">
        <v>52</v>
      </c>
      <c r="E2733" s="28" t="s">
        <v>720</v>
      </c>
      <c r="F2733" s="28" t="s">
        <v>142</v>
      </c>
      <c r="G2733" s="28" t="s">
        <v>152</v>
      </c>
      <c r="H2733" s="28" t="s">
        <v>506</v>
      </c>
      <c r="I2733" s="29" t="n">
        <v>900000</v>
      </c>
      <c r="J2733" s="29" t="n">
        <v>675000</v>
      </c>
      <c r="K2733" s="28" t="n">
        <v>11.5</v>
      </c>
      <c r="L2733" s="28" t="n">
        <v>120</v>
      </c>
      <c r="M2733" s="28" t="n">
        <v>16</v>
      </c>
    </row>
    <row r="2734" customFormat="false" ht="15" hidden="false" customHeight="false" outlineLevel="0" collapsed="false">
      <c r="A2734" s="27" t="n">
        <v>45198</v>
      </c>
      <c r="B2734" s="28" t="n">
        <v>2023</v>
      </c>
      <c r="C2734" s="28" t="s">
        <v>172</v>
      </c>
      <c r="D2734" s="28" t="s">
        <v>48</v>
      </c>
      <c r="E2734" s="28" t="s">
        <v>736</v>
      </c>
      <c r="F2734" s="28" t="s">
        <v>142</v>
      </c>
      <c r="G2734" s="28" t="s">
        <v>148</v>
      </c>
      <c r="H2734" s="28" t="s">
        <v>278</v>
      </c>
      <c r="I2734" s="29" t="n">
        <v>350000</v>
      </c>
      <c r="J2734" s="29" t="n">
        <v>262500</v>
      </c>
      <c r="K2734" s="28" t="n">
        <v>11.25</v>
      </c>
      <c r="L2734" s="28" t="n">
        <v>120</v>
      </c>
      <c r="M2734" s="28" t="n">
        <v>15</v>
      </c>
    </row>
    <row r="2735" customFormat="false" ht="15" hidden="false" customHeight="false" outlineLevel="0" collapsed="false">
      <c r="A2735" s="27" t="n">
        <v>45198</v>
      </c>
      <c r="B2735" s="28" t="n">
        <v>2023</v>
      </c>
      <c r="C2735" s="28" t="s">
        <v>172</v>
      </c>
      <c r="D2735" s="28" t="s">
        <v>42</v>
      </c>
      <c r="E2735" s="28" t="s">
        <v>717</v>
      </c>
      <c r="F2735" s="28" t="s">
        <v>142</v>
      </c>
      <c r="G2735" s="28" t="s">
        <v>143</v>
      </c>
      <c r="H2735" s="28" t="s">
        <v>191</v>
      </c>
      <c r="I2735" s="29" t="n">
        <v>980000</v>
      </c>
      <c r="J2735" s="29" t="n">
        <v>735000</v>
      </c>
      <c r="K2735" s="28" t="n">
        <v>9.08</v>
      </c>
      <c r="L2735" s="28" t="n">
        <v>120</v>
      </c>
      <c r="M2735" s="28" t="n">
        <v>15</v>
      </c>
    </row>
    <row r="2736" customFormat="false" ht="15" hidden="false" customHeight="false" outlineLevel="0" collapsed="false">
      <c r="A2736" s="27" t="n">
        <v>45198</v>
      </c>
      <c r="B2736" s="28" t="n">
        <v>2023</v>
      </c>
      <c r="C2736" s="28" t="s">
        <v>172</v>
      </c>
      <c r="D2736" s="28" t="s">
        <v>42</v>
      </c>
      <c r="E2736" s="28" t="s">
        <v>784</v>
      </c>
      <c r="F2736" s="28" t="s">
        <v>147</v>
      </c>
      <c r="G2736" s="28" t="s">
        <v>148</v>
      </c>
      <c r="H2736" s="28" t="s">
        <v>205</v>
      </c>
      <c r="I2736" s="29" t="n">
        <v>20000</v>
      </c>
      <c r="J2736" s="29" t="n">
        <v>10000</v>
      </c>
      <c r="K2736" s="28" t="n">
        <v>11.5</v>
      </c>
      <c r="L2736" s="28" t="n">
        <v>120</v>
      </c>
      <c r="M2736" s="28" t="n">
        <v>2</v>
      </c>
    </row>
    <row r="2737" customFormat="false" ht="15" hidden="false" customHeight="false" outlineLevel="0" collapsed="false">
      <c r="A2737" s="27" t="n">
        <v>45198</v>
      </c>
      <c r="B2737" s="28" t="n">
        <v>2023</v>
      </c>
      <c r="C2737" s="28" t="s">
        <v>172</v>
      </c>
      <c r="D2737" s="28" t="s">
        <v>57</v>
      </c>
      <c r="E2737" s="28" t="s">
        <v>985</v>
      </c>
      <c r="F2737" s="28" t="s">
        <v>147</v>
      </c>
      <c r="G2737" s="28" t="s">
        <v>148</v>
      </c>
      <c r="H2737" s="28" t="s">
        <v>1014</v>
      </c>
      <c r="I2737" s="29" t="n">
        <v>250000</v>
      </c>
      <c r="J2737" s="29" t="n">
        <v>125000</v>
      </c>
      <c r="K2737" s="28" t="n">
        <v>10.5</v>
      </c>
      <c r="L2737" s="28" t="n">
        <v>84</v>
      </c>
      <c r="M2737" s="28" t="n">
        <v>10</v>
      </c>
    </row>
    <row r="2738" customFormat="false" ht="15" hidden="false" customHeight="false" outlineLevel="0" collapsed="false">
      <c r="A2738" s="27" t="n">
        <v>45199</v>
      </c>
      <c r="B2738" s="28" t="n">
        <v>2023</v>
      </c>
      <c r="C2738" s="28" t="s">
        <v>140</v>
      </c>
      <c r="D2738" s="28" t="s">
        <v>42</v>
      </c>
      <c r="E2738" s="28" t="s">
        <v>753</v>
      </c>
      <c r="F2738" s="28" t="s">
        <v>142</v>
      </c>
      <c r="G2738" s="28" t="s">
        <v>143</v>
      </c>
      <c r="H2738" s="28" t="s">
        <v>227</v>
      </c>
      <c r="I2738" s="29" t="n">
        <v>296000</v>
      </c>
      <c r="J2738" s="29" t="n">
        <v>222000</v>
      </c>
      <c r="K2738" s="28" t="n">
        <v>11.25</v>
      </c>
      <c r="L2738" s="28" t="n">
        <v>123</v>
      </c>
      <c r="M2738" s="28" t="n">
        <v>24</v>
      </c>
    </row>
    <row r="2739" customFormat="false" ht="15" hidden="false" customHeight="false" outlineLevel="0" collapsed="false">
      <c r="A2739" s="27" t="n">
        <v>45199</v>
      </c>
      <c r="B2739" s="28" t="n">
        <v>2023</v>
      </c>
      <c r="C2739" s="28" t="s">
        <v>321</v>
      </c>
      <c r="D2739" s="28" t="s">
        <v>53</v>
      </c>
      <c r="E2739" s="28" t="s">
        <v>968</v>
      </c>
      <c r="F2739" s="28" t="s">
        <v>142</v>
      </c>
      <c r="G2739" s="28" t="s">
        <v>441</v>
      </c>
      <c r="H2739" s="28" t="s">
        <v>287</v>
      </c>
      <c r="I2739" s="29" t="n">
        <v>50000</v>
      </c>
      <c r="J2739" s="29" t="n">
        <v>42500</v>
      </c>
      <c r="K2739" s="28" t="n">
        <v>11.75</v>
      </c>
      <c r="L2739" s="28" t="n">
        <v>120</v>
      </c>
      <c r="M2739" s="28" t="n">
        <v>3</v>
      </c>
    </row>
    <row r="2740" customFormat="false" ht="15" hidden="false" customHeight="false" outlineLevel="0" collapsed="false">
      <c r="A2740" s="27" t="n">
        <v>45199</v>
      </c>
      <c r="B2740" s="28" t="n">
        <v>2023</v>
      </c>
      <c r="C2740" s="28" t="s">
        <v>145</v>
      </c>
      <c r="D2740" s="28" t="s">
        <v>44</v>
      </c>
      <c r="E2740" s="28" t="s">
        <v>863</v>
      </c>
      <c r="F2740" s="28" t="s">
        <v>142</v>
      </c>
      <c r="G2740" s="28" t="s">
        <v>152</v>
      </c>
      <c r="H2740" s="28" t="s">
        <v>191</v>
      </c>
      <c r="I2740" s="29" t="n">
        <v>450000</v>
      </c>
      <c r="J2740" s="29" t="n">
        <v>337500</v>
      </c>
      <c r="K2740" s="28" t="n">
        <v>8.5</v>
      </c>
      <c r="L2740" s="28" t="n">
        <v>120</v>
      </c>
      <c r="M2740" s="28" t="n">
        <v>2</v>
      </c>
    </row>
    <row r="2741" customFormat="false" ht="15" hidden="false" customHeight="false" outlineLevel="0" collapsed="false">
      <c r="A2741" s="27" t="n">
        <v>45199</v>
      </c>
      <c r="B2741" s="28" t="n">
        <v>2023</v>
      </c>
      <c r="C2741" s="28" t="s">
        <v>172</v>
      </c>
      <c r="D2741" s="28" t="s">
        <v>43</v>
      </c>
      <c r="E2741" s="28" t="s">
        <v>914</v>
      </c>
      <c r="F2741" s="28" t="s">
        <v>147</v>
      </c>
      <c r="G2741" s="28" t="s">
        <v>143</v>
      </c>
      <c r="H2741" s="28" t="s">
        <v>159</v>
      </c>
      <c r="I2741" s="29" t="n">
        <v>275000</v>
      </c>
      <c r="J2741" s="29" t="n">
        <v>137500</v>
      </c>
      <c r="K2741" s="28" t="n">
        <v>10.25</v>
      </c>
      <c r="L2741" s="28" t="n">
        <v>120</v>
      </c>
      <c r="M2741" s="28" t="n">
        <v>12</v>
      </c>
    </row>
    <row r="2742" customFormat="false" ht="15" hidden="false" customHeight="false" outlineLevel="0" collapsed="false">
      <c r="A2742" s="27" t="n">
        <v>45199</v>
      </c>
      <c r="B2742" s="28" t="n">
        <v>2023</v>
      </c>
      <c r="C2742" s="28" t="s">
        <v>172</v>
      </c>
      <c r="D2742" s="28" t="s">
        <v>43</v>
      </c>
      <c r="E2742" s="28" t="s">
        <v>914</v>
      </c>
      <c r="F2742" s="28" t="s">
        <v>147</v>
      </c>
      <c r="G2742" s="28" t="s">
        <v>143</v>
      </c>
      <c r="H2742" s="28" t="s">
        <v>159</v>
      </c>
      <c r="I2742" s="29" t="n">
        <v>30000</v>
      </c>
      <c r="J2742" s="29" t="n">
        <v>15000</v>
      </c>
      <c r="K2742" s="28" t="n">
        <v>10.5</v>
      </c>
      <c r="L2742" s="28" t="n">
        <v>120</v>
      </c>
      <c r="M2742" s="28" t="n">
        <v>12</v>
      </c>
    </row>
    <row r="2743" customFormat="false" ht="15" hidden="false" customHeight="false" outlineLevel="0" collapsed="false">
      <c r="A2743" s="27" t="n">
        <v>45202</v>
      </c>
      <c r="B2743" s="28" t="n">
        <v>2024</v>
      </c>
      <c r="C2743" s="28" t="s">
        <v>172</v>
      </c>
      <c r="D2743" s="28" t="s">
        <v>48</v>
      </c>
      <c r="E2743" s="28" t="s">
        <v>346</v>
      </c>
      <c r="F2743" s="28" t="s">
        <v>194</v>
      </c>
      <c r="G2743" s="28" t="s">
        <v>148</v>
      </c>
      <c r="H2743" s="28" t="s">
        <v>605</v>
      </c>
      <c r="I2743" s="29" t="n">
        <v>300000</v>
      </c>
      <c r="J2743" s="29" t="n">
        <v>225000</v>
      </c>
      <c r="K2743" s="28" t="n">
        <v>11.5</v>
      </c>
      <c r="L2743" s="28" t="n">
        <v>120</v>
      </c>
      <c r="M2743" s="28" t="n">
        <v>12</v>
      </c>
    </row>
    <row r="2744" customFormat="false" ht="15" hidden="false" customHeight="false" outlineLevel="0" collapsed="false">
      <c r="A2744" s="27" t="n">
        <v>45202</v>
      </c>
      <c r="B2744" s="28" t="n">
        <v>2024</v>
      </c>
      <c r="C2744" s="28" t="s">
        <v>303</v>
      </c>
      <c r="D2744" s="28" t="s">
        <v>51</v>
      </c>
      <c r="E2744" s="28" t="s">
        <v>779</v>
      </c>
      <c r="F2744" s="28" t="s">
        <v>147</v>
      </c>
      <c r="G2744" s="28" t="s">
        <v>148</v>
      </c>
      <c r="H2744" s="28" t="s">
        <v>220</v>
      </c>
      <c r="I2744" s="29" t="n">
        <v>150000</v>
      </c>
      <c r="J2744" s="29" t="n">
        <v>75000</v>
      </c>
      <c r="K2744" s="28" t="n">
        <v>10.5</v>
      </c>
      <c r="L2744" s="28" t="n">
        <v>120</v>
      </c>
      <c r="M2744" s="28" t="n">
        <v>35</v>
      </c>
    </row>
    <row r="2745" customFormat="false" ht="15" hidden="false" customHeight="false" outlineLevel="0" collapsed="false">
      <c r="A2745" s="27" t="n">
        <v>45202</v>
      </c>
      <c r="B2745" s="28" t="n">
        <v>2024</v>
      </c>
      <c r="C2745" s="28" t="s">
        <v>303</v>
      </c>
      <c r="D2745" s="28" t="s">
        <v>53</v>
      </c>
      <c r="E2745" s="28" t="s">
        <v>718</v>
      </c>
      <c r="F2745" s="28" t="s">
        <v>142</v>
      </c>
      <c r="G2745" s="28" t="s">
        <v>143</v>
      </c>
      <c r="H2745" s="28" t="s">
        <v>287</v>
      </c>
      <c r="I2745" s="29" t="n">
        <v>150000</v>
      </c>
      <c r="J2745" s="29" t="n">
        <v>127500</v>
      </c>
      <c r="K2745" s="28" t="n">
        <v>11.25</v>
      </c>
      <c r="L2745" s="28" t="n">
        <v>120</v>
      </c>
      <c r="M2745" s="28" t="n">
        <v>3</v>
      </c>
    </row>
    <row r="2746" customFormat="false" ht="15" hidden="false" customHeight="false" outlineLevel="0" collapsed="false">
      <c r="A2746" s="27" t="n">
        <v>45202</v>
      </c>
      <c r="B2746" s="28" t="n">
        <v>2024</v>
      </c>
      <c r="C2746" s="28" t="s">
        <v>387</v>
      </c>
      <c r="D2746" s="28" t="s">
        <v>47</v>
      </c>
      <c r="E2746" s="28" t="s">
        <v>1015</v>
      </c>
      <c r="F2746" s="28" t="s">
        <v>142</v>
      </c>
      <c r="G2746" s="28" t="s">
        <v>441</v>
      </c>
      <c r="H2746" s="28" t="s">
        <v>404</v>
      </c>
      <c r="I2746" s="29" t="n">
        <v>980000</v>
      </c>
      <c r="J2746" s="29" t="n">
        <v>735000</v>
      </c>
      <c r="K2746" s="28" t="n">
        <v>8.55</v>
      </c>
      <c r="L2746" s="28" t="n">
        <v>120</v>
      </c>
      <c r="M2746" s="28" t="n">
        <v>12</v>
      </c>
    </row>
    <row r="2747" customFormat="false" ht="15" hidden="false" customHeight="false" outlineLevel="0" collapsed="false">
      <c r="A2747" s="27" t="n">
        <v>45203</v>
      </c>
      <c r="B2747" s="28" t="n">
        <v>2024</v>
      </c>
      <c r="C2747" s="28" t="s">
        <v>324</v>
      </c>
      <c r="D2747" s="28" t="s">
        <v>50</v>
      </c>
      <c r="E2747" s="28" t="s">
        <v>193</v>
      </c>
      <c r="F2747" s="28" t="s">
        <v>147</v>
      </c>
      <c r="G2747" s="28" t="s">
        <v>441</v>
      </c>
      <c r="H2747" s="28" t="s">
        <v>168</v>
      </c>
      <c r="I2747" s="29" t="n">
        <v>20000</v>
      </c>
      <c r="J2747" s="29" t="n">
        <v>10000</v>
      </c>
      <c r="K2747" s="28" t="n">
        <v>15</v>
      </c>
      <c r="L2747" s="28" t="n">
        <v>120</v>
      </c>
      <c r="M2747" s="28" t="n">
        <v>0</v>
      </c>
    </row>
    <row r="2748" customFormat="false" ht="15" hidden="false" customHeight="false" outlineLevel="0" collapsed="false">
      <c r="A2748" s="27" t="n">
        <v>45203</v>
      </c>
      <c r="B2748" s="28" t="n">
        <v>2024</v>
      </c>
      <c r="C2748" s="28" t="s">
        <v>203</v>
      </c>
      <c r="D2748" s="28" t="s">
        <v>48</v>
      </c>
      <c r="E2748" s="28" t="s">
        <v>840</v>
      </c>
      <c r="F2748" s="28" t="s">
        <v>142</v>
      </c>
      <c r="G2748" s="28" t="s">
        <v>152</v>
      </c>
      <c r="H2748" s="28" t="s">
        <v>382</v>
      </c>
      <c r="I2748" s="29" t="n">
        <v>663500</v>
      </c>
      <c r="J2748" s="29" t="n">
        <v>497625</v>
      </c>
      <c r="K2748" s="28" t="n">
        <v>10.75</v>
      </c>
      <c r="L2748" s="28" t="n">
        <v>99</v>
      </c>
      <c r="M2748" s="28" t="n">
        <v>5</v>
      </c>
    </row>
    <row r="2749" customFormat="false" ht="15" hidden="false" customHeight="false" outlineLevel="0" collapsed="false">
      <c r="A2749" s="27" t="n">
        <v>45203</v>
      </c>
      <c r="B2749" s="28" t="n">
        <v>2024</v>
      </c>
      <c r="C2749" s="28" t="s">
        <v>303</v>
      </c>
      <c r="D2749" s="28" t="s">
        <v>46</v>
      </c>
      <c r="E2749" s="28" t="s">
        <v>746</v>
      </c>
      <c r="F2749" s="28" t="s">
        <v>147</v>
      </c>
      <c r="G2749" s="28" t="s">
        <v>441</v>
      </c>
      <c r="H2749" s="28" t="s">
        <v>168</v>
      </c>
      <c r="I2749" s="29" t="n">
        <v>15000</v>
      </c>
      <c r="J2749" s="29" t="n">
        <v>7500</v>
      </c>
      <c r="K2749" s="28" t="n">
        <v>13</v>
      </c>
      <c r="L2749" s="28" t="n">
        <v>120</v>
      </c>
      <c r="M2749" s="28" t="n">
        <v>0</v>
      </c>
    </row>
    <row r="2750" customFormat="false" ht="15" hidden="false" customHeight="false" outlineLevel="0" collapsed="false">
      <c r="A2750" s="27" t="n">
        <v>45204</v>
      </c>
      <c r="B2750" s="28" t="n">
        <v>2024</v>
      </c>
      <c r="C2750" s="28" t="s">
        <v>565</v>
      </c>
      <c r="D2750" s="28" t="s">
        <v>49</v>
      </c>
      <c r="E2750" s="28" t="s">
        <v>733</v>
      </c>
      <c r="F2750" s="28" t="s">
        <v>142</v>
      </c>
      <c r="G2750" s="28" t="s">
        <v>148</v>
      </c>
      <c r="H2750" s="28" t="s">
        <v>208</v>
      </c>
      <c r="I2750" s="29" t="n">
        <v>125000</v>
      </c>
      <c r="J2750" s="29" t="n">
        <v>106250</v>
      </c>
      <c r="K2750" s="28" t="n">
        <v>11.25</v>
      </c>
      <c r="L2750" s="28" t="n">
        <v>120</v>
      </c>
      <c r="M2750" s="28" t="n">
        <v>0</v>
      </c>
    </row>
    <row r="2751" customFormat="false" ht="15" hidden="false" customHeight="false" outlineLevel="0" collapsed="false">
      <c r="A2751" s="27" t="n">
        <v>45205</v>
      </c>
      <c r="B2751" s="28" t="n">
        <v>2024</v>
      </c>
      <c r="C2751" s="28" t="s">
        <v>140</v>
      </c>
      <c r="D2751" s="28" t="s">
        <v>43</v>
      </c>
      <c r="E2751" s="28" t="s">
        <v>830</v>
      </c>
      <c r="F2751" s="28" t="s">
        <v>147</v>
      </c>
      <c r="G2751" s="28" t="s">
        <v>441</v>
      </c>
      <c r="H2751" s="28" t="s">
        <v>168</v>
      </c>
      <c r="I2751" s="29" t="n">
        <v>15000</v>
      </c>
      <c r="J2751" s="29" t="n">
        <v>7500</v>
      </c>
      <c r="K2751" s="28" t="n">
        <v>13.5</v>
      </c>
      <c r="L2751" s="28" t="n">
        <v>120</v>
      </c>
      <c r="M2751" s="28" t="n">
        <v>5</v>
      </c>
    </row>
    <row r="2752" customFormat="false" ht="15" hidden="false" customHeight="false" outlineLevel="0" collapsed="false">
      <c r="A2752" s="27" t="n">
        <v>45205</v>
      </c>
      <c r="B2752" s="28" t="n">
        <v>2024</v>
      </c>
      <c r="C2752" s="28" t="s">
        <v>169</v>
      </c>
      <c r="D2752" s="28" t="s">
        <v>48</v>
      </c>
      <c r="E2752" s="28" t="s">
        <v>712</v>
      </c>
      <c r="F2752" s="28" t="s">
        <v>147</v>
      </c>
      <c r="G2752" s="28" t="s">
        <v>441</v>
      </c>
      <c r="H2752" s="28" t="s">
        <v>168</v>
      </c>
      <c r="I2752" s="29" t="n">
        <v>40000</v>
      </c>
      <c r="J2752" s="29" t="n">
        <v>20000</v>
      </c>
      <c r="K2752" s="28" t="n">
        <v>14</v>
      </c>
      <c r="L2752" s="28" t="n">
        <v>120</v>
      </c>
      <c r="M2752" s="28" t="n">
        <v>13</v>
      </c>
    </row>
    <row r="2753" customFormat="false" ht="15" hidden="false" customHeight="false" outlineLevel="0" collapsed="false">
      <c r="A2753" s="27" t="n">
        <v>45205</v>
      </c>
      <c r="B2753" s="28" t="n">
        <v>2024</v>
      </c>
      <c r="C2753" s="28" t="s">
        <v>546</v>
      </c>
      <c r="D2753" s="28" t="s">
        <v>43</v>
      </c>
      <c r="E2753" s="28" t="s">
        <v>886</v>
      </c>
      <c r="F2753" s="28" t="s">
        <v>142</v>
      </c>
      <c r="G2753" s="28" t="s">
        <v>152</v>
      </c>
      <c r="H2753" s="28" t="s">
        <v>269</v>
      </c>
      <c r="I2753" s="29" t="n">
        <v>566300</v>
      </c>
      <c r="J2753" s="29" t="n">
        <v>424725</v>
      </c>
      <c r="K2753" s="28" t="n">
        <v>10.75</v>
      </c>
      <c r="L2753" s="28" t="n">
        <v>300</v>
      </c>
      <c r="M2753" s="28" t="n">
        <v>6</v>
      </c>
    </row>
    <row r="2754" customFormat="false" ht="15" hidden="false" customHeight="false" outlineLevel="0" collapsed="false">
      <c r="A2754" s="27" t="n">
        <v>45206</v>
      </c>
      <c r="B2754" s="28" t="n">
        <v>2024</v>
      </c>
      <c r="C2754" s="28" t="s">
        <v>172</v>
      </c>
      <c r="D2754" s="28" t="s">
        <v>48</v>
      </c>
      <c r="E2754" s="28" t="s">
        <v>765</v>
      </c>
      <c r="F2754" s="28" t="s">
        <v>147</v>
      </c>
      <c r="G2754" s="28" t="s">
        <v>441</v>
      </c>
      <c r="H2754" s="28" t="s">
        <v>159</v>
      </c>
      <c r="I2754" s="29" t="n">
        <v>300000</v>
      </c>
      <c r="J2754" s="29" t="n">
        <v>150000</v>
      </c>
      <c r="K2754" s="28" t="n">
        <v>9.5</v>
      </c>
      <c r="L2754" s="28" t="n">
        <v>120</v>
      </c>
      <c r="M2754" s="28" t="n">
        <v>1</v>
      </c>
    </row>
    <row r="2755" customFormat="false" ht="15" hidden="false" customHeight="false" outlineLevel="0" collapsed="false">
      <c r="A2755" s="27" t="n">
        <v>45207</v>
      </c>
      <c r="B2755" s="28" t="n">
        <v>2024</v>
      </c>
      <c r="C2755" s="28" t="s">
        <v>145</v>
      </c>
      <c r="D2755" s="28" t="s">
        <v>47</v>
      </c>
      <c r="E2755" s="28" t="s">
        <v>714</v>
      </c>
      <c r="F2755" s="28" t="s">
        <v>147</v>
      </c>
      <c r="G2755" s="28" t="s">
        <v>148</v>
      </c>
      <c r="H2755" s="28" t="s">
        <v>191</v>
      </c>
      <c r="I2755" s="29" t="n">
        <v>20000</v>
      </c>
      <c r="J2755" s="29" t="n">
        <v>10000</v>
      </c>
      <c r="K2755" s="28" t="n">
        <v>12.4</v>
      </c>
      <c r="L2755" s="28" t="n">
        <v>120</v>
      </c>
      <c r="M2755" s="28" t="n">
        <v>0</v>
      </c>
    </row>
    <row r="2756" customFormat="false" ht="15" hidden="false" customHeight="false" outlineLevel="0" collapsed="false">
      <c r="A2756" s="27" t="n">
        <v>45210</v>
      </c>
      <c r="B2756" s="28" t="n">
        <v>2024</v>
      </c>
      <c r="C2756" s="28" t="s">
        <v>172</v>
      </c>
      <c r="D2756" s="28" t="s">
        <v>44</v>
      </c>
      <c r="E2756" s="28" t="s">
        <v>729</v>
      </c>
      <c r="F2756" s="28" t="s">
        <v>147</v>
      </c>
      <c r="G2756" s="28" t="s">
        <v>148</v>
      </c>
      <c r="H2756" s="28" t="s">
        <v>205</v>
      </c>
      <c r="I2756" s="29" t="n">
        <v>120000</v>
      </c>
      <c r="J2756" s="29" t="n">
        <v>60000</v>
      </c>
      <c r="K2756" s="28" t="n">
        <v>11.5</v>
      </c>
      <c r="L2756" s="28" t="n">
        <v>99</v>
      </c>
      <c r="M2756" s="28" t="n">
        <v>8</v>
      </c>
    </row>
    <row r="2757" customFormat="false" ht="15" hidden="false" customHeight="false" outlineLevel="0" collapsed="false">
      <c r="A2757" s="27" t="n">
        <v>45210</v>
      </c>
      <c r="B2757" s="28" t="n">
        <v>2024</v>
      </c>
      <c r="C2757" s="28" t="s">
        <v>172</v>
      </c>
      <c r="D2757" s="28" t="s">
        <v>46</v>
      </c>
      <c r="E2757" s="28" t="s">
        <v>702</v>
      </c>
      <c r="F2757" s="28" t="s">
        <v>142</v>
      </c>
      <c r="G2757" s="28" t="s">
        <v>441</v>
      </c>
      <c r="H2757" s="28" t="s">
        <v>248</v>
      </c>
      <c r="I2757" s="29" t="n">
        <v>120000</v>
      </c>
      <c r="J2757" s="29" t="n">
        <v>102000</v>
      </c>
      <c r="K2757" s="28" t="n">
        <v>10.5</v>
      </c>
      <c r="L2757" s="28" t="n">
        <v>120</v>
      </c>
      <c r="M2757" s="28" t="n">
        <v>4</v>
      </c>
    </row>
    <row r="2758" customFormat="false" ht="15" hidden="false" customHeight="false" outlineLevel="0" collapsed="false">
      <c r="A2758" s="27" t="n">
        <v>45211</v>
      </c>
      <c r="B2758" s="28" t="n">
        <v>2024</v>
      </c>
      <c r="C2758" s="28" t="s">
        <v>206</v>
      </c>
      <c r="D2758" s="28" t="s">
        <v>44</v>
      </c>
      <c r="E2758" s="28" t="s">
        <v>730</v>
      </c>
      <c r="F2758" s="28" t="s">
        <v>142</v>
      </c>
      <c r="G2758" s="28" t="s">
        <v>441</v>
      </c>
      <c r="H2758" s="28" t="s">
        <v>278</v>
      </c>
      <c r="I2758" s="29" t="n">
        <v>100000</v>
      </c>
      <c r="J2758" s="29" t="n">
        <v>85000</v>
      </c>
      <c r="K2758" s="28" t="n">
        <v>10.75</v>
      </c>
      <c r="L2758" s="28" t="n">
        <v>120</v>
      </c>
      <c r="M2758" s="28" t="n">
        <v>26</v>
      </c>
    </row>
    <row r="2759" customFormat="false" ht="15" hidden="false" customHeight="false" outlineLevel="0" collapsed="false">
      <c r="A2759" s="27" t="n">
        <v>45211</v>
      </c>
      <c r="B2759" s="28" t="n">
        <v>2024</v>
      </c>
      <c r="C2759" s="28" t="s">
        <v>423</v>
      </c>
      <c r="D2759" s="28" t="s">
        <v>43</v>
      </c>
      <c r="E2759" s="28" t="s">
        <v>871</v>
      </c>
      <c r="F2759" s="28" t="s">
        <v>142</v>
      </c>
      <c r="G2759" s="28" t="s">
        <v>148</v>
      </c>
      <c r="H2759" s="28" t="s">
        <v>937</v>
      </c>
      <c r="I2759" s="29" t="n">
        <v>102700</v>
      </c>
      <c r="J2759" s="29" t="n">
        <v>87295</v>
      </c>
      <c r="K2759" s="28" t="n">
        <v>13</v>
      </c>
      <c r="L2759" s="28" t="n">
        <v>104</v>
      </c>
      <c r="M2759" s="28" t="n">
        <v>1</v>
      </c>
    </row>
    <row r="2760" customFormat="false" ht="15" hidden="false" customHeight="false" outlineLevel="0" collapsed="false">
      <c r="A2760" s="27" t="n">
        <v>45212</v>
      </c>
      <c r="B2760" s="28" t="n">
        <v>2024</v>
      </c>
      <c r="C2760" s="28" t="s">
        <v>169</v>
      </c>
      <c r="D2760" s="28" t="s">
        <v>43</v>
      </c>
      <c r="E2760" s="28" t="s">
        <v>841</v>
      </c>
      <c r="F2760" s="28" t="s">
        <v>142</v>
      </c>
      <c r="G2760" s="28" t="s">
        <v>441</v>
      </c>
      <c r="H2760" s="28" t="s">
        <v>953</v>
      </c>
      <c r="I2760" s="29" t="n">
        <v>125000</v>
      </c>
      <c r="J2760" s="29" t="n">
        <v>106250</v>
      </c>
      <c r="K2760" s="28" t="n">
        <v>11.5</v>
      </c>
      <c r="L2760" s="28" t="n">
        <v>120</v>
      </c>
      <c r="M2760" s="28" t="n">
        <v>1</v>
      </c>
    </row>
    <row r="2761" customFormat="false" ht="15" hidden="false" customHeight="false" outlineLevel="0" collapsed="false">
      <c r="A2761" s="27" t="n">
        <v>45212</v>
      </c>
      <c r="B2761" s="28" t="n">
        <v>2024</v>
      </c>
      <c r="C2761" s="28" t="s">
        <v>324</v>
      </c>
      <c r="D2761" s="28" t="s">
        <v>42</v>
      </c>
      <c r="E2761" s="28" t="s">
        <v>705</v>
      </c>
      <c r="F2761" s="28" t="s">
        <v>142</v>
      </c>
      <c r="G2761" s="28" t="s">
        <v>441</v>
      </c>
      <c r="H2761" s="28" t="s">
        <v>516</v>
      </c>
      <c r="I2761" s="29" t="n">
        <v>4090100</v>
      </c>
      <c r="J2761" s="29" t="n">
        <v>3067575</v>
      </c>
      <c r="K2761" s="28" t="n">
        <v>10.25</v>
      </c>
      <c r="L2761" s="28" t="n">
        <v>300</v>
      </c>
      <c r="M2761" s="28" t="n">
        <v>25</v>
      </c>
    </row>
    <row r="2762" customFormat="false" ht="15" hidden="false" customHeight="false" outlineLevel="0" collapsed="false">
      <c r="A2762" s="27" t="n">
        <v>45213</v>
      </c>
      <c r="B2762" s="28" t="n">
        <v>2024</v>
      </c>
      <c r="C2762" s="28" t="s">
        <v>172</v>
      </c>
      <c r="D2762" s="28" t="s">
        <v>43</v>
      </c>
      <c r="E2762" s="28" t="s">
        <v>841</v>
      </c>
      <c r="F2762" s="28" t="s">
        <v>147</v>
      </c>
      <c r="G2762" s="28" t="s">
        <v>441</v>
      </c>
      <c r="H2762" s="28" t="s">
        <v>428</v>
      </c>
      <c r="I2762" s="29" t="n">
        <v>50000</v>
      </c>
      <c r="J2762" s="29" t="n">
        <v>25000</v>
      </c>
      <c r="K2762" s="28" t="n">
        <v>15</v>
      </c>
      <c r="L2762" s="28" t="n">
        <v>100</v>
      </c>
      <c r="M2762" s="28" t="n">
        <v>6</v>
      </c>
    </row>
    <row r="2763" customFormat="false" ht="15" hidden="false" customHeight="false" outlineLevel="0" collapsed="false">
      <c r="A2763" s="27" t="n">
        <v>45213</v>
      </c>
      <c r="B2763" s="28" t="n">
        <v>2024</v>
      </c>
      <c r="C2763" s="28" t="s">
        <v>203</v>
      </c>
      <c r="D2763" s="28" t="s">
        <v>48</v>
      </c>
      <c r="E2763" s="28" t="s">
        <v>498</v>
      </c>
      <c r="F2763" s="28" t="s">
        <v>147</v>
      </c>
      <c r="G2763" s="28" t="s">
        <v>148</v>
      </c>
      <c r="H2763" s="28" t="s">
        <v>162</v>
      </c>
      <c r="I2763" s="29" t="n">
        <v>400000</v>
      </c>
      <c r="J2763" s="29" t="n">
        <v>200000</v>
      </c>
      <c r="K2763" s="28" t="n">
        <v>7.22</v>
      </c>
      <c r="L2763" s="28" t="n">
        <v>120</v>
      </c>
      <c r="M2763" s="28" t="n">
        <v>3</v>
      </c>
    </row>
    <row r="2764" customFormat="false" ht="15" hidden="false" customHeight="false" outlineLevel="0" collapsed="false">
      <c r="A2764" s="27" t="n">
        <v>45213</v>
      </c>
      <c r="B2764" s="28" t="n">
        <v>2024</v>
      </c>
      <c r="C2764" s="28" t="s">
        <v>160</v>
      </c>
      <c r="D2764" s="28" t="s">
        <v>49</v>
      </c>
      <c r="E2764" s="28" t="s">
        <v>1016</v>
      </c>
      <c r="F2764" s="28" t="s">
        <v>142</v>
      </c>
      <c r="G2764" s="28" t="s">
        <v>148</v>
      </c>
      <c r="H2764" s="28" t="s">
        <v>171</v>
      </c>
      <c r="I2764" s="29" t="n">
        <v>150000</v>
      </c>
      <c r="J2764" s="29" t="n">
        <v>127500</v>
      </c>
      <c r="K2764" s="28" t="n">
        <v>13.25</v>
      </c>
      <c r="L2764" s="28" t="n">
        <v>120</v>
      </c>
      <c r="M2764" s="28" t="n">
        <v>11</v>
      </c>
    </row>
    <row r="2765" customFormat="false" ht="15" hidden="false" customHeight="false" outlineLevel="0" collapsed="false">
      <c r="A2765" s="27" t="n">
        <v>45217</v>
      </c>
      <c r="B2765" s="28" t="n">
        <v>2024</v>
      </c>
      <c r="C2765" s="28" t="s">
        <v>172</v>
      </c>
      <c r="D2765" s="28" t="s">
        <v>42</v>
      </c>
      <c r="E2765" s="28" t="s">
        <v>717</v>
      </c>
      <c r="F2765" s="28" t="s">
        <v>142</v>
      </c>
      <c r="G2765" s="28" t="s">
        <v>441</v>
      </c>
      <c r="H2765" s="28" t="s">
        <v>149</v>
      </c>
      <c r="I2765" s="29" t="n">
        <v>1275000</v>
      </c>
      <c r="J2765" s="29" t="n">
        <v>956250</v>
      </c>
      <c r="K2765" s="28" t="n">
        <v>9.5</v>
      </c>
      <c r="L2765" s="28" t="n">
        <v>300</v>
      </c>
      <c r="M2765" s="28" t="n">
        <v>23</v>
      </c>
    </row>
    <row r="2766" customFormat="false" ht="15" hidden="false" customHeight="false" outlineLevel="0" collapsed="false">
      <c r="A2766" s="27" t="n">
        <v>45217</v>
      </c>
      <c r="B2766" s="28" t="n">
        <v>2024</v>
      </c>
      <c r="C2766" s="28" t="s">
        <v>163</v>
      </c>
      <c r="D2766" s="28" t="s">
        <v>45</v>
      </c>
      <c r="E2766" s="28" t="s">
        <v>740</v>
      </c>
      <c r="F2766" s="28" t="s">
        <v>142</v>
      </c>
      <c r="G2766" s="28" t="s">
        <v>143</v>
      </c>
      <c r="H2766" s="28" t="s">
        <v>287</v>
      </c>
      <c r="I2766" s="29" t="n">
        <v>150000</v>
      </c>
      <c r="J2766" s="29" t="n">
        <v>127500</v>
      </c>
      <c r="K2766" s="28" t="n">
        <v>11.25</v>
      </c>
      <c r="L2766" s="28" t="n">
        <v>120</v>
      </c>
      <c r="M2766" s="28" t="n">
        <v>2</v>
      </c>
    </row>
    <row r="2767" customFormat="false" ht="15" hidden="false" customHeight="false" outlineLevel="0" collapsed="false">
      <c r="A2767" s="27" t="n">
        <v>45217</v>
      </c>
      <c r="B2767" s="28" t="n">
        <v>2024</v>
      </c>
      <c r="C2767" s="28" t="s">
        <v>169</v>
      </c>
      <c r="D2767" s="28" t="s">
        <v>42</v>
      </c>
      <c r="E2767" s="28" t="s">
        <v>717</v>
      </c>
      <c r="F2767" s="28" t="s">
        <v>142</v>
      </c>
      <c r="G2767" s="28" t="s">
        <v>143</v>
      </c>
      <c r="H2767" s="28" t="s">
        <v>248</v>
      </c>
      <c r="I2767" s="29" t="n">
        <v>514000</v>
      </c>
      <c r="J2767" s="29" t="n">
        <v>385500</v>
      </c>
      <c r="K2767" s="28" t="n">
        <v>9.75</v>
      </c>
      <c r="L2767" s="28" t="n">
        <v>120</v>
      </c>
      <c r="M2767" s="28" t="n">
        <v>10</v>
      </c>
    </row>
    <row r="2768" customFormat="false" ht="15" hidden="false" customHeight="false" outlineLevel="0" collapsed="false">
      <c r="A2768" s="27" t="n">
        <v>45217</v>
      </c>
      <c r="B2768" s="28" t="n">
        <v>2024</v>
      </c>
      <c r="C2768" s="28" t="s">
        <v>201</v>
      </c>
      <c r="D2768" s="28" t="s">
        <v>56</v>
      </c>
      <c r="E2768" s="28" t="s">
        <v>1017</v>
      </c>
      <c r="F2768" s="28" t="s">
        <v>142</v>
      </c>
      <c r="G2768" s="28" t="s">
        <v>148</v>
      </c>
      <c r="H2768" s="28" t="s">
        <v>953</v>
      </c>
      <c r="I2768" s="29" t="n">
        <v>1500000</v>
      </c>
      <c r="J2768" s="29" t="n">
        <v>1125000</v>
      </c>
      <c r="K2768" s="28" t="n">
        <v>11.5</v>
      </c>
      <c r="L2768" s="28" t="n">
        <v>120</v>
      </c>
      <c r="M2768" s="28" t="n">
        <v>62</v>
      </c>
    </row>
    <row r="2769" customFormat="false" ht="15" hidden="false" customHeight="false" outlineLevel="0" collapsed="false">
      <c r="A2769" s="27" t="n">
        <v>45217</v>
      </c>
      <c r="B2769" s="28" t="n">
        <v>2024</v>
      </c>
      <c r="C2769" s="28" t="s">
        <v>160</v>
      </c>
      <c r="D2769" s="28" t="s">
        <v>46</v>
      </c>
      <c r="E2769" s="28" t="s">
        <v>727</v>
      </c>
      <c r="F2769" s="28" t="s">
        <v>142</v>
      </c>
      <c r="G2769" s="28" t="s">
        <v>143</v>
      </c>
      <c r="H2769" s="28" t="s">
        <v>644</v>
      </c>
      <c r="I2769" s="29" t="n">
        <v>244300</v>
      </c>
      <c r="J2769" s="29" t="n">
        <v>183225</v>
      </c>
      <c r="K2769" s="28" t="n">
        <v>11.25</v>
      </c>
      <c r="L2769" s="28" t="n">
        <v>125</v>
      </c>
      <c r="M2769" s="28" t="n">
        <v>6</v>
      </c>
    </row>
    <row r="2770" customFormat="false" ht="15" hidden="false" customHeight="false" outlineLevel="0" collapsed="false">
      <c r="A2770" s="27" t="n">
        <v>45218</v>
      </c>
      <c r="B2770" s="28" t="n">
        <v>2024</v>
      </c>
      <c r="C2770" s="28" t="s">
        <v>160</v>
      </c>
      <c r="D2770" s="28" t="s">
        <v>46</v>
      </c>
      <c r="E2770" s="28" t="s">
        <v>813</v>
      </c>
      <c r="F2770" s="28" t="s">
        <v>142</v>
      </c>
      <c r="G2770" s="28" t="s">
        <v>143</v>
      </c>
      <c r="H2770" s="28" t="s">
        <v>211</v>
      </c>
      <c r="I2770" s="29" t="n">
        <v>340000</v>
      </c>
      <c r="J2770" s="29" t="n">
        <v>255000</v>
      </c>
      <c r="K2770" s="28" t="n">
        <v>11.25</v>
      </c>
      <c r="L2770" s="28" t="n">
        <v>120</v>
      </c>
      <c r="M2770" s="28" t="n">
        <v>7</v>
      </c>
    </row>
    <row r="2771" customFormat="false" ht="15" hidden="false" customHeight="false" outlineLevel="0" collapsed="false">
      <c r="A2771" s="27" t="n">
        <v>45218</v>
      </c>
      <c r="B2771" s="28" t="n">
        <v>2024</v>
      </c>
      <c r="C2771" s="28" t="s">
        <v>198</v>
      </c>
      <c r="D2771" s="28" t="s">
        <v>44</v>
      </c>
      <c r="E2771" s="28" t="s">
        <v>755</v>
      </c>
      <c r="F2771" s="28" t="s">
        <v>142</v>
      </c>
      <c r="G2771" s="28" t="s">
        <v>148</v>
      </c>
      <c r="H2771" s="28" t="s">
        <v>281</v>
      </c>
      <c r="I2771" s="29" t="n">
        <v>1914700</v>
      </c>
      <c r="J2771" s="29" t="n">
        <v>1436025</v>
      </c>
      <c r="K2771" s="28" t="n">
        <v>9</v>
      </c>
      <c r="L2771" s="28" t="n">
        <v>120</v>
      </c>
      <c r="M2771" s="28" t="n">
        <v>12</v>
      </c>
    </row>
    <row r="2772" customFormat="false" ht="15" hidden="false" customHeight="false" outlineLevel="0" collapsed="false">
      <c r="A2772" s="27" t="n">
        <v>45218</v>
      </c>
      <c r="B2772" s="28" t="n">
        <v>2024</v>
      </c>
      <c r="C2772" s="28" t="s">
        <v>500</v>
      </c>
      <c r="D2772" s="28" t="s">
        <v>45</v>
      </c>
      <c r="E2772" s="28" t="s">
        <v>824</v>
      </c>
      <c r="F2772" s="28" t="s">
        <v>142</v>
      </c>
      <c r="G2772" s="28" t="s">
        <v>148</v>
      </c>
      <c r="H2772" s="28" t="s">
        <v>771</v>
      </c>
      <c r="I2772" s="29" t="n">
        <v>50000</v>
      </c>
      <c r="J2772" s="29" t="n">
        <v>42500</v>
      </c>
      <c r="K2772" s="28" t="n">
        <v>11.25</v>
      </c>
      <c r="L2772" s="28" t="n">
        <v>120</v>
      </c>
      <c r="M2772" s="28" t="n">
        <v>4</v>
      </c>
    </row>
    <row r="2773" customFormat="false" ht="15" hidden="false" customHeight="false" outlineLevel="0" collapsed="false">
      <c r="A2773" s="27" t="n">
        <v>45218</v>
      </c>
      <c r="B2773" s="28" t="n">
        <v>2024</v>
      </c>
      <c r="C2773" s="28" t="s">
        <v>169</v>
      </c>
      <c r="D2773" s="28" t="s">
        <v>56</v>
      </c>
      <c r="E2773" s="28" t="s">
        <v>772</v>
      </c>
      <c r="F2773" s="28" t="s">
        <v>194</v>
      </c>
      <c r="G2773" s="28" t="s">
        <v>143</v>
      </c>
      <c r="H2773" s="28" t="s">
        <v>605</v>
      </c>
      <c r="I2773" s="29" t="n">
        <v>1618000</v>
      </c>
      <c r="J2773" s="29" t="n">
        <v>1213500</v>
      </c>
      <c r="K2773" s="28" t="n">
        <v>10</v>
      </c>
      <c r="L2773" s="28" t="n">
        <v>120</v>
      </c>
      <c r="M2773" s="28" t="n">
        <v>40</v>
      </c>
    </row>
    <row r="2774" customFormat="false" ht="15" hidden="false" customHeight="false" outlineLevel="0" collapsed="false">
      <c r="A2774" s="27" t="n">
        <v>45218</v>
      </c>
      <c r="B2774" s="28" t="n">
        <v>2024</v>
      </c>
      <c r="C2774" s="28" t="s">
        <v>384</v>
      </c>
      <c r="D2774" s="28" t="s">
        <v>48</v>
      </c>
      <c r="E2774" s="28" t="s">
        <v>905</v>
      </c>
      <c r="F2774" s="28" t="s">
        <v>142</v>
      </c>
      <c r="G2774" s="28" t="s">
        <v>152</v>
      </c>
      <c r="H2774" s="28" t="s">
        <v>287</v>
      </c>
      <c r="I2774" s="29" t="n">
        <v>210000</v>
      </c>
      <c r="J2774" s="29" t="n">
        <v>157500</v>
      </c>
      <c r="K2774" s="28" t="n">
        <v>11.5</v>
      </c>
      <c r="L2774" s="28" t="n">
        <v>120</v>
      </c>
      <c r="M2774" s="28" t="n">
        <v>6</v>
      </c>
    </row>
    <row r="2775" customFormat="false" ht="15" hidden="false" customHeight="false" outlineLevel="0" collapsed="false">
      <c r="A2775" s="27" t="n">
        <v>45218</v>
      </c>
      <c r="B2775" s="28" t="n">
        <v>2024</v>
      </c>
      <c r="C2775" s="28" t="s">
        <v>172</v>
      </c>
      <c r="D2775" s="28" t="s">
        <v>48</v>
      </c>
      <c r="E2775" s="28" t="s">
        <v>815</v>
      </c>
      <c r="F2775" s="28" t="s">
        <v>142</v>
      </c>
      <c r="G2775" s="28" t="s">
        <v>143</v>
      </c>
      <c r="H2775" s="28" t="s">
        <v>287</v>
      </c>
      <c r="I2775" s="29" t="n">
        <v>150000</v>
      </c>
      <c r="J2775" s="29" t="n">
        <v>127500</v>
      </c>
      <c r="K2775" s="28" t="n">
        <v>11.25</v>
      </c>
      <c r="L2775" s="28" t="n">
        <v>120</v>
      </c>
      <c r="M2775" s="28" t="n">
        <v>2</v>
      </c>
    </row>
    <row r="2776" customFormat="false" ht="15" hidden="false" customHeight="false" outlineLevel="0" collapsed="false">
      <c r="A2776" s="27" t="n">
        <v>45218</v>
      </c>
      <c r="B2776" s="28" t="n">
        <v>2024</v>
      </c>
      <c r="C2776" s="28" t="s">
        <v>160</v>
      </c>
      <c r="D2776" s="28" t="s">
        <v>46</v>
      </c>
      <c r="E2776" s="28" t="s">
        <v>813</v>
      </c>
      <c r="F2776" s="28" t="s">
        <v>147</v>
      </c>
      <c r="G2776" s="28" t="s">
        <v>143</v>
      </c>
      <c r="H2776" s="28" t="s">
        <v>211</v>
      </c>
      <c r="I2776" s="29" t="n">
        <v>50000</v>
      </c>
      <c r="J2776" s="29" t="n">
        <v>25000</v>
      </c>
      <c r="K2776" s="28" t="n">
        <v>11.25</v>
      </c>
      <c r="L2776" s="28" t="n">
        <v>120</v>
      </c>
      <c r="M2776" s="28" t="n">
        <v>7</v>
      </c>
    </row>
    <row r="2777" customFormat="false" ht="15" hidden="false" customHeight="false" outlineLevel="0" collapsed="false">
      <c r="A2777" s="27" t="n">
        <v>45218</v>
      </c>
      <c r="B2777" s="28" t="n">
        <v>2024</v>
      </c>
      <c r="C2777" s="28" t="s">
        <v>160</v>
      </c>
      <c r="D2777" s="28" t="s">
        <v>50</v>
      </c>
      <c r="E2777" s="28" t="s">
        <v>193</v>
      </c>
      <c r="F2777" s="28" t="s">
        <v>142</v>
      </c>
      <c r="G2777" s="28" t="s">
        <v>143</v>
      </c>
      <c r="H2777" s="28" t="s">
        <v>287</v>
      </c>
      <c r="I2777" s="29" t="n">
        <v>150000</v>
      </c>
      <c r="J2777" s="29" t="n">
        <v>127500</v>
      </c>
      <c r="K2777" s="28" t="n">
        <v>11.25</v>
      </c>
      <c r="L2777" s="28" t="n">
        <v>120</v>
      </c>
      <c r="M2777" s="28" t="n">
        <v>3</v>
      </c>
    </row>
    <row r="2778" customFormat="false" ht="15" hidden="false" customHeight="false" outlineLevel="0" collapsed="false">
      <c r="A2778" s="27" t="n">
        <v>45218</v>
      </c>
      <c r="B2778" s="28" t="n">
        <v>2024</v>
      </c>
      <c r="C2778" s="28" t="s">
        <v>203</v>
      </c>
      <c r="D2778" s="28" t="s">
        <v>44</v>
      </c>
      <c r="E2778" s="28" t="s">
        <v>167</v>
      </c>
      <c r="F2778" s="28" t="s">
        <v>142</v>
      </c>
      <c r="G2778" s="28" t="s">
        <v>156</v>
      </c>
      <c r="H2778" s="28" t="s">
        <v>953</v>
      </c>
      <c r="I2778" s="29" t="n">
        <v>100000</v>
      </c>
      <c r="J2778" s="29" t="n">
        <v>85000</v>
      </c>
      <c r="K2778" s="28" t="n">
        <v>11.5</v>
      </c>
      <c r="L2778" s="28" t="n">
        <v>120</v>
      </c>
      <c r="M2778" s="28" t="n">
        <v>25</v>
      </c>
    </row>
    <row r="2779" customFormat="false" ht="15" hidden="false" customHeight="false" outlineLevel="0" collapsed="false">
      <c r="A2779" s="27" t="n">
        <v>45219</v>
      </c>
      <c r="B2779" s="28" t="n">
        <v>2024</v>
      </c>
      <c r="C2779" s="28" t="s">
        <v>312</v>
      </c>
      <c r="D2779" s="28" t="s">
        <v>45</v>
      </c>
      <c r="E2779" s="28" t="s">
        <v>611</v>
      </c>
      <c r="F2779" s="28" t="s">
        <v>142</v>
      </c>
      <c r="G2779" s="28" t="s">
        <v>148</v>
      </c>
      <c r="H2779" s="28" t="s">
        <v>494</v>
      </c>
      <c r="I2779" s="29" t="n">
        <v>860000</v>
      </c>
      <c r="J2779" s="29" t="n">
        <v>645000</v>
      </c>
      <c r="K2779" s="28" t="n">
        <v>10.25</v>
      </c>
      <c r="L2779" s="28" t="n">
        <v>120</v>
      </c>
      <c r="M2779" s="28" t="n">
        <v>2</v>
      </c>
    </row>
    <row r="2780" customFormat="false" ht="15" hidden="false" customHeight="false" outlineLevel="0" collapsed="false">
      <c r="A2780" s="27" t="n">
        <v>45219</v>
      </c>
      <c r="B2780" s="28" t="n">
        <v>2024</v>
      </c>
      <c r="C2780" s="28" t="s">
        <v>203</v>
      </c>
      <c r="D2780" s="28" t="s">
        <v>43</v>
      </c>
      <c r="E2780" s="28" t="s">
        <v>871</v>
      </c>
      <c r="F2780" s="28" t="s">
        <v>142</v>
      </c>
      <c r="G2780" s="28" t="s">
        <v>148</v>
      </c>
      <c r="H2780" s="28" t="s">
        <v>162</v>
      </c>
      <c r="I2780" s="29" t="n">
        <v>1110000</v>
      </c>
      <c r="J2780" s="29" t="n">
        <v>832500</v>
      </c>
      <c r="K2780" s="28" t="n">
        <v>6.56</v>
      </c>
      <c r="L2780" s="28" t="n">
        <v>300</v>
      </c>
      <c r="M2780" s="28" t="n">
        <v>14</v>
      </c>
    </row>
    <row r="2781" customFormat="false" ht="15" hidden="false" customHeight="false" outlineLevel="0" collapsed="false">
      <c r="A2781" s="27" t="n">
        <v>45219</v>
      </c>
      <c r="B2781" s="28" t="n">
        <v>2024</v>
      </c>
      <c r="C2781" s="28" t="s">
        <v>166</v>
      </c>
      <c r="D2781" s="28" t="s">
        <v>46</v>
      </c>
      <c r="E2781" s="28" t="s">
        <v>806</v>
      </c>
      <c r="F2781" s="28" t="s">
        <v>147</v>
      </c>
      <c r="G2781" s="28" t="s">
        <v>148</v>
      </c>
      <c r="H2781" s="28" t="s">
        <v>205</v>
      </c>
      <c r="I2781" s="29" t="n">
        <v>31500</v>
      </c>
      <c r="J2781" s="29" t="n">
        <v>15750</v>
      </c>
      <c r="K2781" s="28" t="n">
        <v>11.5</v>
      </c>
      <c r="L2781" s="28" t="n">
        <v>120</v>
      </c>
      <c r="M2781" s="28" t="n">
        <v>0</v>
      </c>
    </row>
    <row r="2782" customFormat="false" ht="15" hidden="false" customHeight="false" outlineLevel="0" collapsed="false">
      <c r="A2782" s="27" t="n">
        <v>45219</v>
      </c>
      <c r="B2782" s="28" t="n">
        <v>2024</v>
      </c>
      <c r="C2782" s="28" t="s">
        <v>312</v>
      </c>
      <c r="D2782" s="28" t="s">
        <v>45</v>
      </c>
      <c r="E2782" s="28" t="s">
        <v>611</v>
      </c>
      <c r="F2782" s="28" t="s">
        <v>147</v>
      </c>
      <c r="G2782" s="28" t="s">
        <v>148</v>
      </c>
      <c r="H2782" s="28" t="s">
        <v>494</v>
      </c>
      <c r="I2782" s="29" t="n">
        <v>75000</v>
      </c>
      <c r="J2782" s="29" t="n">
        <v>37500</v>
      </c>
      <c r="K2782" s="28" t="n">
        <v>10.25</v>
      </c>
      <c r="L2782" s="28" t="n">
        <v>120</v>
      </c>
      <c r="M2782" s="28" t="n">
        <v>2</v>
      </c>
    </row>
    <row r="2783" customFormat="false" ht="15" hidden="false" customHeight="false" outlineLevel="0" collapsed="false">
      <c r="A2783" s="27" t="n">
        <v>45219</v>
      </c>
      <c r="B2783" s="28" t="n">
        <v>2024</v>
      </c>
      <c r="C2783" s="28" t="s">
        <v>198</v>
      </c>
      <c r="D2783" s="28" t="s">
        <v>42</v>
      </c>
      <c r="E2783" s="28" t="s">
        <v>753</v>
      </c>
      <c r="F2783" s="28" t="s">
        <v>147</v>
      </c>
      <c r="G2783" s="28" t="s">
        <v>441</v>
      </c>
      <c r="H2783" s="28" t="s">
        <v>633</v>
      </c>
      <c r="I2783" s="29" t="n">
        <v>50000</v>
      </c>
      <c r="J2783" s="29" t="n">
        <v>25000</v>
      </c>
      <c r="K2783" s="28" t="n">
        <v>10.5</v>
      </c>
      <c r="L2783" s="28" t="n">
        <v>120</v>
      </c>
      <c r="M2783" s="28" t="n">
        <v>15</v>
      </c>
    </row>
    <row r="2784" customFormat="false" ht="15" hidden="false" customHeight="false" outlineLevel="0" collapsed="false">
      <c r="A2784" s="27" t="n">
        <v>45220</v>
      </c>
      <c r="B2784" s="28" t="n">
        <v>2024</v>
      </c>
      <c r="C2784" s="28" t="s">
        <v>560</v>
      </c>
      <c r="D2784" s="28" t="s">
        <v>42</v>
      </c>
      <c r="E2784" s="28" t="s">
        <v>705</v>
      </c>
      <c r="F2784" s="28" t="s">
        <v>142</v>
      </c>
      <c r="G2784" s="28" t="s">
        <v>152</v>
      </c>
      <c r="H2784" s="28" t="s">
        <v>326</v>
      </c>
      <c r="I2784" s="29" t="n">
        <v>5000000</v>
      </c>
      <c r="J2784" s="29" t="n">
        <v>3750000</v>
      </c>
      <c r="K2784" s="28" t="n">
        <v>8.75</v>
      </c>
      <c r="L2784" s="28" t="n">
        <v>300</v>
      </c>
      <c r="M2784" s="28" t="n">
        <v>30</v>
      </c>
    </row>
    <row r="2785" customFormat="false" ht="15" hidden="false" customHeight="false" outlineLevel="0" collapsed="false">
      <c r="A2785" s="27" t="n">
        <v>45221</v>
      </c>
      <c r="B2785" s="28" t="n">
        <v>2024</v>
      </c>
      <c r="C2785" s="28" t="s">
        <v>488</v>
      </c>
      <c r="D2785" s="28" t="s">
        <v>42</v>
      </c>
      <c r="E2785" s="28" t="s">
        <v>753</v>
      </c>
      <c r="F2785" s="28" t="s">
        <v>142</v>
      </c>
      <c r="G2785" s="28" t="s">
        <v>148</v>
      </c>
      <c r="H2785" s="28" t="s">
        <v>211</v>
      </c>
      <c r="I2785" s="29" t="n">
        <v>350000</v>
      </c>
      <c r="J2785" s="29" t="n">
        <v>262500</v>
      </c>
      <c r="K2785" s="28" t="n">
        <v>11.25</v>
      </c>
      <c r="L2785" s="28" t="n">
        <v>120</v>
      </c>
      <c r="M2785" s="28" t="n">
        <v>25</v>
      </c>
    </row>
    <row r="2786" customFormat="false" ht="15" hidden="false" customHeight="false" outlineLevel="0" collapsed="false">
      <c r="A2786" s="27" t="n">
        <v>45221</v>
      </c>
      <c r="B2786" s="28" t="n">
        <v>2024</v>
      </c>
      <c r="C2786" s="28" t="s">
        <v>169</v>
      </c>
      <c r="D2786" s="28" t="s">
        <v>54</v>
      </c>
      <c r="E2786" s="28" t="s">
        <v>791</v>
      </c>
      <c r="F2786" s="28" t="s">
        <v>142</v>
      </c>
      <c r="G2786" s="28" t="s">
        <v>441</v>
      </c>
      <c r="H2786" s="28" t="s">
        <v>275</v>
      </c>
      <c r="I2786" s="29" t="n">
        <v>550000</v>
      </c>
      <c r="J2786" s="29" t="n">
        <v>412500</v>
      </c>
      <c r="K2786" s="28" t="n">
        <v>11.25</v>
      </c>
      <c r="L2786" s="28" t="n">
        <v>120</v>
      </c>
      <c r="M2786" s="28" t="n">
        <v>4</v>
      </c>
    </row>
    <row r="2787" customFormat="false" ht="15" hidden="false" customHeight="false" outlineLevel="0" collapsed="false">
      <c r="A2787" s="27" t="n">
        <v>45223</v>
      </c>
      <c r="B2787" s="28" t="n">
        <v>2024</v>
      </c>
      <c r="C2787" s="28" t="s">
        <v>160</v>
      </c>
      <c r="D2787" s="28" t="s">
        <v>44</v>
      </c>
      <c r="E2787" s="28" t="s">
        <v>897</v>
      </c>
      <c r="F2787" s="28" t="s">
        <v>147</v>
      </c>
      <c r="G2787" s="28" t="s">
        <v>148</v>
      </c>
      <c r="H2787" s="28" t="s">
        <v>205</v>
      </c>
      <c r="I2787" s="29" t="n">
        <v>250000</v>
      </c>
      <c r="J2787" s="29" t="n">
        <v>125000</v>
      </c>
      <c r="K2787" s="28" t="n">
        <v>11.5</v>
      </c>
      <c r="L2787" s="28" t="n">
        <v>99</v>
      </c>
      <c r="M2787" s="28" t="n">
        <v>4</v>
      </c>
    </row>
    <row r="2788" customFormat="false" ht="15" hidden="false" customHeight="false" outlineLevel="0" collapsed="false">
      <c r="A2788" s="27" t="n">
        <v>45223</v>
      </c>
      <c r="B2788" s="28" t="n">
        <v>2024</v>
      </c>
      <c r="C2788" s="28" t="s">
        <v>172</v>
      </c>
      <c r="D2788" s="28" t="s">
        <v>42</v>
      </c>
      <c r="E2788" s="28" t="s">
        <v>753</v>
      </c>
      <c r="F2788" s="28" t="s">
        <v>142</v>
      </c>
      <c r="G2788" s="28" t="s">
        <v>441</v>
      </c>
      <c r="H2788" s="28" t="s">
        <v>285</v>
      </c>
      <c r="I2788" s="29" t="n">
        <v>250000</v>
      </c>
      <c r="J2788" s="29" t="n">
        <v>187500</v>
      </c>
      <c r="K2788" s="28" t="n">
        <v>10.75</v>
      </c>
      <c r="L2788" s="28" t="n">
        <v>120</v>
      </c>
      <c r="M2788" s="28" t="n">
        <v>12</v>
      </c>
    </row>
    <row r="2789" customFormat="false" ht="15" hidden="false" customHeight="false" outlineLevel="0" collapsed="false">
      <c r="A2789" s="27" t="n">
        <v>45223</v>
      </c>
      <c r="B2789" s="28" t="n">
        <v>2024</v>
      </c>
      <c r="C2789" s="28" t="s">
        <v>500</v>
      </c>
      <c r="D2789" s="28" t="s">
        <v>45</v>
      </c>
      <c r="E2789" s="28" t="s">
        <v>824</v>
      </c>
      <c r="F2789" s="28" t="s">
        <v>142</v>
      </c>
      <c r="G2789" s="28" t="s">
        <v>148</v>
      </c>
      <c r="H2789" s="28" t="s">
        <v>275</v>
      </c>
      <c r="I2789" s="29" t="n">
        <v>50000</v>
      </c>
      <c r="J2789" s="29" t="n">
        <v>42500</v>
      </c>
      <c r="K2789" s="28" t="n">
        <v>15</v>
      </c>
      <c r="L2789" s="28" t="n">
        <v>84</v>
      </c>
      <c r="M2789" s="28" t="n">
        <v>16</v>
      </c>
    </row>
    <row r="2790" customFormat="false" ht="15" hidden="false" customHeight="false" outlineLevel="0" collapsed="false">
      <c r="A2790" s="27" t="n">
        <v>45224</v>
      </c>
      <c r="B2790" s="28" t="n">
        <v>2024</v>
      </c>
      <c r="C2790" s="28" t="s">
        <v>160</v>
      </c>
      <c r="D2790" s="28" t="s">
        <v>51</v>
      </c>
      <c r="E2790" s="28" t="s">
        <v>800</v>
      </c>
      <c r="F2790" s="28" t="s">
        <v>142</v>
      </c>
      <c r="G2790" s="28" t="s">
        <v>143</v>
      </c>
      <c r="H2790" s="28" t="s">
        <v>561</v>
      </c>
      <c r="I2790" s="29" t="n">
        <v>5000000</v>
      </c>
      <c r="J2790" s="29" t="n">
        <v>3750000</v>
      </c>
      <c r="K2790" s="28" t="n">
        <v>10</v>
      </c>
      <c r="L2790" s="28" t="n">
        <v>120</v>
      </c>
      <c r="M2790" s="28" t="n">
        <v>103</v>
      </c>
    </row>
    <row r="2791" customFormat="false" ht="15" hidden="false" customHeight="false" outlineLevel="0" collapsed="false">
      <c r="A2791" s="27" t="n">
        <v>45224</v>
      </c>
      <c r="B2791" s="28" t="n">
        <v>2024</v>
      </c>
      <c r="C2791" s="28" t="s">
        <v>235</v>
      </c>
      <c r="D2791" s="28" t="s">
        <v>48</v>
      </c>
      <c r="E2791" s="28" t="s">
        <v>704</v>
      </c>
      <c r="F2791" s="28" t="s">
        <v>142</v>
      </c>
      <c r="G2791" s="28" t="s">
        <v>148</v>
      </c>
      <c r="H2791" s="28" t="s">
        <v>937</v>
      </c>
      <c r="I2791" s="29" t="n">
        <v>102700</v>
      </c>
      <c r="J2791" s="29" t="n">
        <v>87295</v>
      </c>
      <c r="K2791" s="28" t="n">
        <v>13</v>
      </c>
      <c r="L2791" s="28" t="n">
        <v>120</v>
      </c>
      <c r="M2791" s="28" t="n">
        <v>6</v>
      </c>
    </row>
    <row r="2792" customFormat="false" ht="15" hidden="false" customHeight="false" outlineLevel="0" collapsed="false">
      <c r="A2792" s="27" t="n">
        <v>45224</v>
      </c>
      <c r="B2792" s="28" t="n">
        <v>2024</v>
      </c>
      <c r="C2792" s="28" t="s">
        <v>216</v>
      </c>
      <c r="D2792" s="28" t="s">
        <v>42</v>
      </c>
      <c r="E2792" s="28" t="s">
        <v>705</v>
      </c>
      <c r="F2792" s="28" t="s">
        <v>142</v>
      </c>
      <c r="G2792" s="28" t="s">
        <v>152</v>
      </c>
      <c r="H2792" s="28" t="s">
        <v>326</v>
      </c>
      <c r="I2792" s="29" t="n">
        <v>5000000</v>
      </c>
      <c r="J2792" s="29" t="n">
        <v>3750000</v>
      </c>
      <c r="K2792" s="28" t="n">
        <v>9.75</v>
      </c>
      <c r="L2792" s="28" t="n">
        <v>300</v>
      </c>
      <c r="M2792" s="28" t="n">
        <v>21</v>
      </c>
    </row>
    <row r="2793" customFormat="false" ht="15" hidden="false" customHeight="false" outlineLevel="0" collapsed="false">
      <c r="A2793" s="27" t="n">
        <v>45225</v>
      </c>
      <c r="B2793" s="28" t="n">
        <v>2024</v>
      </c>
      <c r="C2793" s="28" t="s">
        <v>213</v>
      </c>
      <c r="D2793" s="28" t="s">
        <v>50</v>
      </c>
      <c r="E2793" s="28" t="s">
        <v>1018</v>
      </c>
      <c r="F2793" s="28" t="s">
        <v>142</v>
      </c>
      <c r="G2793" s="28" t="s">
        <v>148</v>
      </c>
      <c r="H2793" s="28" t="s">
        <v>171</v>
      </c>
      <c r="I2793" s="29" t="n">
        <v>150000</v>
      </c>
      <c r="J2793" s="29" t="n">
        <v>127500</v>
      </c>
      <c r="K2793" s="28" t="n">
        <v>13.25</v>
      </c>
      <c r="L2793" s="28" t="n">
        <v>103</v>
      </c>
      <c r="M2793" s="28" t="n">
        <v>6</v>
      </c>
    </row>
    <row r="2794" customFormat="false" ht="15" hidden="false" customHeight="false" outlineLevel="0" collapsed="false">
      <c r="A2794" s="27" t="n">
        <v>45225</v>
      </c>
      <c r="B2794" s="28" t="n">
        <v>2024</v>
      </c>
      <c r="C2794" s="28" t="s">
        <v>166</v>
      </c>
      <c r="D2794" s="28" t="s">
        <v>50</v>
      </c>
      <c r="E2794" s="28" t="s">
        <v>724</v>
      </c>
      <c r="F2794" s="28" t="s">
        <v>147</v>
      </c>
      <c r="G2794" s="28" t="s">
        <v>148</v>
      </c>
      <c r="H2794" s="28" t="s">
        <v>159</v>
      </c>
      <c r="I2794" s="29" t="n">
        <v>30000</v>
      </c>
      <c r="J2794" s="29" t="n">
        <v>15000</v>
      </c>
      <c r="K2794" s="28" t="n">
        <v>15</v>
      </c>
      <c r="L2794" s="28" t="n">
        <v>120</v>
      </c>
      <c r="M2794" s="28" t="n">
        <v>3</v>
      </c>
    </row>
    <row r="2795" customFormat="false" ht="15" hidden="false" customHeight="false" outlineLevel="0" collapsed="false">
      <c r="A2795" s="27" t="n">
        <v>45226</v>
      </c>
      <c r="B2795" s="28" t="n">
        <v>2024</v>
      </c>
      <c r="C2795" s="28" t="s">
        <v>198</v>
      </c>
      <c r="D2795" s="28" t="s">
        <v>42</v>
      </c>
      <c r="E2795" s="28" t="s">
        <v>753</v>
      </c>
      <c r="F2795" s="28" t="s">
        <v>142</v>
      </c>
      <c r="G2795" s="28" t="s">
        <v>148</v>
      </c>
      <c r="H2795" s="28" t="s">
        <v>171</v>
      </c>
      <c r="I2795" s="29" t="n">
        <v>150000</v>
      </c>
      <c r="J2795" s="29" t="n">
        <v>127500</v>
      </c>
      <c r="K2795" s="28" t="n">
        <v>13.25</v>
      </c>
      <c r="L2795" s="28" t="n">
        <v>120</v>
      </c>
      <c r="M2795" s="28" t="n">
        <v>0</v>
      </c>
    </row>
    <row r="2796" customFormat="false" ht="15" hidden="false" customHeight="false" outlineLevel="0" collapsed="false">
      <c r="A2796" s="27" t="n">
        <v>45226</v>
      </c>
      <c r="B2796" s="28" t="n">
        <v>2024</v>
      </c>
      <c r="C2796" s="28" t="s">
        <v>344</v>
      </c>
      <c r="D2796" s="28" t="s">
        <v>45</v>
      </c>
      <c r="E2796" s="28" t="s">
        <v>480</v>
      </c>
      <c r="F2796" s="28" t="s">
        <v>147</v>
      </c>
      <c r="G2796" s="28" t="s">
        <v>152</v>
      </c>
      <c r="H2796" s="28" t="s">
        <v>374</v>
      </c>
      <c r="I2796" s="29" t="n">
        <v>50000</v>
      </c>
      <c r="J2796" s="29" t="n">
        <v>25000</v>
      </c>
      <c r="K2796" s="28" t="n">
        <v>11</v>
      </c>
      <c r="L2796" s="28" t="n">
        <v>120</v>
      </c>
      <c r="M2796" s="28" t="n">
        <v>1</v>
      </c>
    </row>
    <row r="2797" customFormat="false" ht="15" hidden="false" customHeight="false" outlineLevel="0" collapsed="false">
      <c r="A2797" s="27" t="n">
        <v>45226</v>
      </c>
      <c r="B2797" s="28" t="n">
        <v>2024</v>
      </c>
      <c r="C2797" s="28" t="s">
        <v>257</v>
      </c>
      <c r="D2797" s="28" t="s">
        <v>43</v>
      </c>
      <c r="E2797" s="28" t="s">
        <v>916</v>
      </c>
      <c r="F2797" s="28" t="s">
        <v>147</v>
      </c>
      <c r="G2797" s="28" t="s">
        <v>441</v>
      </c>
      <c r="H2797" s="28" t="s">
        <v>168</v>
      </c>
      <c r="I2797" s="29" t="n">
        <v>15000</v>
      </c>
      <c r="J2797" s="29" t="n">
        <v>7500</v>
      </c>
      <c r="K2797" s="28" t="n">
        <v>13</v>
      </c>
      <c r="L2797" s="28" t="n">
        <v>120</v>
      </c>
      <c r="M2797" s="28" t="n">
        <v>2</v>
      </c>
    </row>
    <row r="2798" customFormat="false" ht="15" hidden="false" customHeight="false" outlineLevel="0" collapsed="false">
      <c r="A2798" s="27" t="n">
        <v>45226</v>
      </c>
      <c r="B2798" s="28" t="n">
        <v>2024</v>
      </c>
      <c r="C2798" s="28" t="s">
        <v>607</v>
      </c>
      <c r="D2798" s="28" t="s">
        <v>48</v>
      </c>
      <c r="E2798" s="28" t="s">
        <v>362</v>
      </c>
      <c r="F2798" s="28" t="s">
        <v>142</v>
      </c>
      <c r="G2798" s="28" t="s">
        <v>148</v>
      </c>
      <c r="H2798" s="28" t="s">
        <v>171</v>
      </c>
      <c r="I2798" s="29" t="n">
        <v>104900</v>
      </c>
      <c r="J2798" s="29" t="n">
        <v>89165</v>
      </c>
      <c r="K2798" s="28" t="n">
        <v>13.25</v>
      </c>
      <c r="L2798" s="28" t="n">
        <v>120</v>
      </c>
      <c r="M2798" s="28" t="n">
        <v>3</v>
      </c>
    </row>
    <row r="2799" customFormat="false" ht="15" hidden="false" customHeight="false" outlineLevel="0" collapsed="false">
      <c r="A2799" s="27" t="n">
        <v>45227</v>
      </c>
      <c r="B2799" s="28" t="n">
        <v>2024</v>
      </c>
      <c r="C2799" s="28" t="s">
        <v>172</v>
      </c>
      <c r="D2799" s="28" t="s">
        <v>48</v>
      </c>
      <c r="E2799" s="28" t="s">
        <v>815</v>
      </c>
      <c r="F2799" s="28" t="s">
        <v>147</v>
      </c>
      <c r="G2799" s="28" t="s">
        <v>148</v>
      </c>
      <c r="H2799" s="28" t="s">
        <v>372</v>
      </c>
      <c r="I2799" s="29" t="n">
        <v>150000</v>
      </c>
      <c r="J2799" s="29" t="n">
        <v>75000</v>
      </c>
      <c r="K2799" s="28" t="n">
        <v>10</v>
      </c>
      <c r="L2799" s="28" t="n">
        <v>120</v>
      </c>
      <c r="M2799" s="28" t="n">
        <v>11</v>
      </c>
    </row>
    <row r="2800" customFormat="false" ht="15" hidden="false" customHeight="false" outlineLevel="0" collapsed="false">
      <c r="A2800" s="27" t="n">
        <v>45228</v>
      </c>
      <c r="B2800" s="28" t="n">
        <v>2024</v>
      </c>
      <c r="C2800" s="28" t="s">
        <v>166</v>
      </c>
      <c r="D2800" s="28" t="s">
        <v>46</v>
      </c>
      <c r="E2800" s="28" t="s">
        <v>727</v>
      </c>
      <c r="F2800" s="28" t="s">
        <v>142</v>
      </c>
      <c r="G2800" s="28" t="s">
        <v>148</v>
      </c>
      <c r="H2800" s="28" t="s">
        <v>269</v>
      </c>
      <c r="I2800" s="29" t="n">
        <v>100000</v>
      </c>
      <c r="J2800" s="29" t="n">
        <v>85000</v>
      </c>
      <c r="K2800" s="28" t="n">
        <v>11.25</v>
      </c>
      <c r="L2800" s="28" t="n">
        <v>120</v>
      </c>
      <c r="M2800" s="28" t="n">
        <v>6</v>
      </c>
    </row>
    <row r="2801" customFormat="false" ht="15" hidden="false" customHeight="false" outlineLevel="0" collapsed="false">
      <c r="A2801" s="27" t="n">
        <v>45229</v>
      </c>
      <c r="B2801" s="28" t="n">
        <v>2024</v>
      </c>
      <c r="C2801" s="28" t="s">
        <v>198</v>
      </c>
      <c r="D2801" s="28" t="s">
        <v>43</v>
      </c>
      <c r="E2801" s="28" t="s">
        <v>757</v>
      </c>
      <c r="F2801" s="28" t="s">
        <v>147</v>
      </c>
      <c r="G2801" s="28" t="s">
        <v>441</v>
      </c>
      <c r="H2801" s="28" t="s">
        <v>159</v>
      </c>
      <c r="I2801" s="29" t="n">
        <v>100000</v>
      </c>
      <c r="J2801" s="29" t="n">
        <v>50000</v>
      </c>
      <c r="K2801" s="28" t="n">
        <v>10.75</v>
      </c>
      <c r="L2801" s="28" t="n">
        <v>120</v>
      </c>
      <c r="M2801" s="28" t="n">
        <v>4</v>
      </c>
    </row>
    <row r="2802" customFormat="false" ht="15" hidden="false" customHeight="false" outlineLevel="0" collapsed="false">
      <c r="A2802" s="27" t="n">
        <v>45230</v>
      </c>
      <c r="B2802" s="28" t="n">
        <v>2024</v>
      </c>
      <c r="C2802" s="28" t="s">
        <v>172</v>
      </c>
      <c r="D2802" s="28" t="s">
        <v>51</v>
      </c>
      <c r="E2802" s="28" t="s">
        <v>779</v>
      </c>
      <c r="F2802" s="28" t="s">
        <v>142</v>
      </c>
      <c r="G2802" s="28" t="s">
        <v>152</v>
      </c>
      <c r="H2802" s="28" t="s">
        <v>208</v>
      </c>
      <c r="I2802" s="29" t="n">
        <v>408600</v>
      </c>
      <c r="J2802" s="29" t="n">
        <v>306450</v>
      </c>
      <c r="K2802" s="28" t="n">
        <v>11</v>
      </c>
      <c r="L2802" s="28" t="n">
        <v>120</v>
      </c>
      <c r="M2802" s="28" t="n">
        <v>48</v>
      </c>
    </row>
    <row r="2803" customFormat="false" ht="15" hidden="false" customHeight="false" outlineLevel="0" collapsed="false">
      <c r="A2803" s="27" t="n">
        <v>45230</v>
      </c>
      <c r="B2803" s="28" t="n">
        <v>2024</v>
      </c>
      <c r="C2803" s="28" t="s">
        <v>353</v>
      </c>
      <c r="D2803" s="28" t="s">
        <v>42</v>
      </c>
      <c r="E2803" s="28" t="s">
        <v>753</v>
      </c>
      <c r="F2803" s="28" t="s">
        <v>142</v>
      </c>
      <c r="G2803" s="28" t="s">
        <v>148</v>
      </c>
      <c r="H2803" s="28" t="s">
        <v>281</v>
      </c>
      <c r="I2803" s="29" t="n">
        <v>179000</v>
      </c>
      <c r="J2803" s="29" t="n">
        <v>134250</v>
      </c>
      <c r="K2803" s="28" t="n">
        <v>11.25</v>
      </c>
      <c r="L2803" s="28" t="n">
        <v>120</v>
      </c>
      <c r="M2803" s="28" t="n">
        <v>12</v>
      </c>
    </row>
    <row r="2804" customFormat="false" ht="15" hidden="false" customHeight="false" outlineLevel="0" collapsed="false">
      <c r="A2804" s="27" t="n">
        <v>45230</v>
      </c>
      <c r="B2804" s="28" t="n">
        <v>2024</v>
      </c>
      <c r="C2804" s="28" t="s">
        <v>344</v>
      </c>
      <c r="D2804" s="28" t="s">
        <v>45</v>
      </c>
      <c r="E2804" s="28" t="s">
        <v>713</v>
      </c>
      <c r="F2804" s="28" t="s">
        <v>142</v>
      </c>
      <c r="G2804" s="28" t="s">
        <v>148</v>
      </c>
      <c r="H2804" s="28" t="s">
        <v>211</v>
      </c>
      <c r="I2804" s="29" t="n">
        <v>150000</v>
      </c>
      <c r="J2804" s="29" t="n">
        <v>127500</v>
      </c>
      <c r="K2804" s="28" t="n">
        <v>11.25</v>
      </c>
      <c r="L2804" s="28" t="n">
        <v>120</v>
      </c>
      <c r="M2804" s="28" t="n">
        <v>5</v>
      </c>
    </row>
    <row r="2805" customFormat="false" ht="15" hidden="false" customHeight="false" outlineLevel="0" collapsed="false">
      <c r="A2805" s="27" t="n">
        <v>45231</v>
      </c>
      <c r="B2805" s="28" t="n">
        <v>2024</v>
      </c>
      <c r="C2805" s="28" t="s">
        <v>206</v>
      </c>
      <c r="D2805" s="28" t="s">
        <v>46</v>
      </c>
      <c r="E2805" s="28" t="s">
        <v>702</v>
      </c>
      <c r="F2805" s="28" t="s">
        <v>142</v>
      </c>
      <c r="G2805" s="28" t="s">
        <v>148</v>
      </c>
      <c r="H2805" s="28" t="s">
        <v>211</v>
      </c>
      <c r="I2805" s="29" t="n">
        <v>471200</v>
      </c>
      <c r="J2805" s="29" t="n">
        <v>353400</v>
      </c>
      <c r="K2805" s="28" t="n">
        <v>10.5</v>
      </c>
      <c r="L2805" s="28" t="n">
        <v>120</v>
      </c>
      <c r="M2805" s="28" t="n">
        <v>6</v>
      </c>
    </row>
    <row r="2806" customFormat="false" ht="15" hidden="false" customHeight="false" outlineLevel="0" collapsed="false">
      <c r="A2806" s="27" t="n">
        <v>45231</v>
      </c>
      <c r="B2806" s="28" t="n">
        <v>2024</v>
      </c>
      <c r="C2806" s="28" t="s">
        <v>206</v>
      </c>
      <c r="D2806" s="28" t="s">
        <v>57</v>
      </c>
      <c r="E2806" s="28" t="s">
        <v>1019</v>
      </c>
      <c r="F2806" s="28" t="s">
        <v>194</v>
      </c>
      <c r="G2806" s="28" t="s">
        <v>441</v>
      </c>
      <c r="H2806" s="28" t="s">
        <v>605</v>
      </c>
      <c r="I2806" s="29" t="n">
        <v>500000</v>
      </c>
      <c r="J2806" s="29" t="n">
        <v>375000</v>
      </c>
      <c r="K2806" s="28" t="n">
        <v>11.5</v>
      </c>
      <c r="L2806" s="28" t="n">
        <v>120</v>
      </c>
      <c r="M2806" s="28" t="n">
        <v>53</v>
      </c>
    </row>
    <row r="2807" customFormat="false" ht="15" hidden="false" customHeight="false" outlineLevel="0" collapsed="false">
      <c r="A2807" s="27" t="n">
        <v>45231</v>
      </c>
      <c r="B2807" s="28" t="n">
        <v>2024</v>
      </c>
      <c r="C2807" s="28" t="s">
        <v>172</v>
      </c>
      <c r="D2807" s="28" t="s">
        <v>48</v>
      </c>
      <c r="E2807" s="28" t="s">
        <v>765</v>
      </c>
      <c r="F2807" s="28" t="s">
        <v>147</v>
      </c>
      <c r="G2807" s="28" t="s">
        <v>148</v>
      </c>
      <c r="H2807" s="28" t="s">
        <v>162</v>
      </c>
      <c r="I2807" s="29" t="n">
        <v>400000</v>
      </c>
      <c r="J2807" s="29" t="n">
        <v>200000</v>
      </c>
      <c r="K2807" s="28" t="n">
        <v>11.25</v>
      </c>
      <c r="L2807" s="28" t="n">
        <v>120</v>
      </c>
      <c r="M2807" s="28" t="n">
        <v>40</v>
      </c>
    </row>
    <row r="2808" customFormat="false" ht="15" hidden="false" customHeight="false" outlineLevel="0" collapsed="false">
      <c r="A2808" s="27" t="n">
        <v>45231</v>
      </c>
      <c r="B2808" s="28" t="n">
        <v>2024</v>
      </c>
      <c r="C2808" s="28" t="s">
        <v>169</v>
      </c>
      <c r="D2808" s="28" t="s">
        <v>46</v>
      </c>
      <c r="E2808" s="28" t="s">
        <v>770</v>
      </c>
      <c r="F2808" s="28" t="s">
        <v>147</v>
      </c>
      <c r="G2808" s="28" t="s">
        <v>441</v>
      </c>
      <c r="H2808" s="28" t="s">
        <v>191</v>
      </c>
      <c r="I2808" s="29" t="n">
        <v>25000</v>
      </c>
      <c r="J2808" s="29" t="n">
        <v>12500</v>
      </c>
      <c r="K2808" s="28" t="n">
        <v>13.9</v>
      </c>
      <c r="L2808" s="28" t="n">
        <v>120</v>
      </c>
      <c r="M2808" s="28" t="n">
        <v>3</v>
      </c>
    </row>
    <row r="2809" customFormat="false" ht="15" hidden="false" customHeight="false" outlineLevel="0" collapsed="false">
      <c r="A2809" s="27" t="n">
        <v>45232</v>
      </c>
      <c r="B2809" s="28" t="n">
        <v>2024</v>
      </c>
      <c r="C2809" s="28" t="s">
        <v>515</v>
      </c>
      <c r="D2809" s="28" t="s">
        <v>42</v>
      </c>
      <c r="E2809" s="28" t="s">
        <v>705</v>
      </c>
      <c r="F2809" s="28" t="s">
        <v>142</v>
      </c>
      <c r="G2809" s="28" t="s">
        <v>152</v>
      </c>
      <c r="H2809" s="28" t="s">
        <v>326</v>
      </c>
      <c r="I2809" s="29" t="n">
        <v>3150000</v>
      </c>
      <c r="J2809" s="29" t="n">
        <v>2362500</v>
      </c>
      <c r="K2809" s="28" t="n">
        <v>9.75</v>
      </c>
      <c r="L2809" s="28" t="n">
        <v>300</v>
      </c>
      <c r="M2809" s="28" t="n">
        <v>1</v>
      </c>
    </row>
    <row r="2810" customFormat="false" ht="15" hidden="false" customHeight="false" outlineLevel="0" collapsed="false">
      <c r="A2810" s="27" t="n">
        <v>45232</v>
      </c>
      <c r="B2810" s="28" t="n">
        <v>2024</v>
      </c>
      <c r="C2810" s="28" t="s">
        <v>172</v>
      </c>
      <c r="D2810" s="28" t="s">
        <v>50</v>
      </c>
      <c r="E2810" s="28" t="s">
        <v>261</v>
      </c>
      <c r="F2810" s="28" t="s">
        <v>142</v>
      </c>
      <c r="G2810" s="28" t="s">
        <v>441</v>
      </c>
      <c r="H2810" s="28" t="s">
        <v>269</v>
      </c>
      <c r="I2810" s="29" t="n">
        <v>60000</v>
      </c>
      <c r="J2810" s="29" t="n">
        <v>51000</v>
      </c>
      <c r="K2810" s="28" t="n">
        <v>11.25</v>
      </c>
      <c r="L2810" s="28" t="n">
        <v>120</v>
      </c>
      <c r="M2810" s="28" t="n">
        <v>2</v>
      </c>
    </row>
    <row r="2811" customFormat="false" ht="15" hidden="false" customHeight="false" outlineLevel="0" collapsed="false">
      <c r="A2811" s="27" t="n">
        <v>45232</v>
      </c>
      <c r="B2811" s="28" t="n">
        <v>2024</v>
      </c>
      <c r="C2811" s="28" t="s">
        <v>166</v>
      </c>
      <c r="D2811" s="28" t="s">
        <v>48</v>
      </c>
      <c r="E2811" s="28" t="s">
        <v>905</v>
      </c>
      <c r="F2811" s="28" t="s">
        <v>142</v>
      </c>
      <c r="G2811" s="28" t="s">
        <v>152</v>
      </c>
      <c r="H2811" s="28" t="s">
        <v>144</v>
      </c>
      <c r="I2811" s="29" t="n">
        <v>1525000</v>
      </c>
      <c r="J2811" s="29" t="n">
        <v>1143750</v>
      </c>
      <c r="K2811" s="28" t="n">
        <v>10.75</v>
      </c>
      <c r="L2811" s="28" t="n">
        <v>120</v>
      </c>
      <c r="M2811" s="28" t="n">
        <v>5</v>
      </c>
    </row>
    <row r="2812" customFormat="false" ht="15" hidden="false" customHeight="false" outlineLevel="0" collapsed="false">
      <c r="A2812" s="27" t="n">
        <v>45232</v>
      </c>
      <c r="B2812" s="28" t="n">
        <v>2024</v>
      </c>
      <c r="C2812" s="28" t="s">
        <v>393</v>
      </c>
      <c r="D2812" s="28" t="s">
        <v>42</v>
      </c>
      <c r="E2812" s="28" t="s">
        <v>705</v>
      </c>
      <c r="F2812" s="28" t="s">
        <v>142</v>
      </c>
      <c r="G2812" s="28" t="s">
        <v>152</v>
      </c>
      <c r="H2812" s="28" t="s">
        <v>326</v>
      </c>
      <c r="I2812" s="29" t="n">
        <v>1929700</v>
      </c>
      <c r="J2812" s="29" t="n">
        <v>1447275</v>
      </c>
      <c r="K2812" s="28" t="n">
        <v>10</v>
      </c>
      <c r="L2812" s="28" t="n">
        <v>300</v>
      </c>
      <c r="M2812" s="28" t="n">
        <v>2</v>
      </c>
    </row>
    <row r="2813" customFormat="false" ht="15" hidden="false" customHeight="false" outlineLevel="0" collapsed="false">
      <c r="A2813" s="27" t="n">
        <v>45232</v>
      </c>
      <c r="B2813" s="28" t="n">
        <v>2024</v>
      </c>
      <c r="C2813" s="28" t="s">
        <v>263</v>
      </c>
      <c r="D2813" s="28" t="s">
        <v>43</v>
      </c>
      <c r="E2813" s="28" t="s">
        <v>1020</v>
      </c>
      <c r="F2813" s="28" t="s">
        <v>142</v>
      </c>
      <c r="G2813" s="28" t="s">
        <v>148</v>
      </c>
      <c r="H2813" s="28" t="s">
        <v>771</v>
      </c>
      <c r="I2813" s="29" t="n">
        <v>96700</v>
      </c>
      <c r="J2813" s="29" t="n">
        <v>82195</v>
      </c>
      <c r="K2813" s="28" t="n">
        <v>11.25</v>
      </c>
      <c r="L2813" s="28" t="n">
        <v>120</v>
      </c>
      <c r="M2813" s="28" t="n">
        <v>1</v>
      </c>
    </row>
    <row r="2814" customFormat="false" ht="15" hidden="false" customHeight="false" outlineLevel="0" collapsed="false">
      <c r="A2814" s="27" t="n">
        <v>45233</v>
      </c>
      <c r="B2814" s="28" t="n">
        <v>2024</v>
      </c>
      <c r="C2814" s="28" t="s">
        <v>172</v>
      </c>
      <c r="D2814" s="28" t="s">
        <v>54</v>
      </c>
      <c r="E2814" s="28" t="s">
        <v>973</v>
      </c>
      <c r="F2814" s="28" t="s">
        <v>142</v>
      </c>
      <c r="G2814" s="28" t="s">
        <v>148</v>
      </c>
      <c r="H2814" s="28" t="s">
        <v>275</v>
      </c>
      <c r="I2814" s="29" t="n">
        <v>25000</v>
      </c>
      <c r="J2814" s="29" t="n">
        <v>21250</v>
      </c>
      <c r="K2814" s="28" t="n">
        <v>15</v>
      </c>
      <c r="L2814" s="28" t="n">
        <v>84</v>
      </c>
      <c r="M2814" s="28" t="n">
        <v>2</v>
      </c>
    </row>
    <row r="2815" customFormat="false" ht="15" hidden="false" customHeight="false" outlineLevel="0" collapsed="false">
      <c r="A2815" s="27" t="n">
        <v>45233</v>
      </c>
      <c r="B2815" s="28" t="n">
        <v>2024</v>
      </c>
      <c r="C2815" s="28" t="s">
        <v>316</v>
      </c>
      <c r="D2815" s="28" t="s">
        <v>42</v>
      </c>
      <c r="E2815" s="28" t="s">
        <v>784</v>
      </c>
      <c r="F2815" s="28" t="s">
        <v>142</v>
      </c>
      <c r="G2815" s="28" t="s">
        <v>152</v>
      </c>
      <c r="H2815" s="28" t="s">
        <v>463</v>
      </c>
      <c r="I2815" s="29" t="n">
        <v>425000</v>
      </c>
      <c r="J2815" s="29" t="n">
        <v>318750</v>
      </c>
      <c r="K2815" s="28" t="n">
        <v>11.25</v>
      </c>
      <c r="L2815" s="28" t="n">
        <v>120</v>
      </c>
      <c r="M2815" s="28" t="n">
        <v>18</v>
      </c>
    </row>
    <row r="2816" customFormat="false" ht="15" hidden="false" customHeight="false" outlineLevel="0" collapsed="false">
      <c r="A2816" s="27" t="n">
        <v>45233</v>
      </c>
      <c r="B2816" s="28" t="n">
        <v>2024</v>
      </c>
      <c r="C2816" s="28" t="s">
        <v>522</v>
      </c>
      <c r="D2816" s="28" t="s">
        <v>53</v>
      </c>
      <c r="E2816" s="28" t="s">
        <v>1021</v>
      </c>
      <c r="F2816" s="28" t="s">
        <v>147</v>
      </c>
      <c r="G2816" s="28" t="s">
        <v>441</v>
      </c>
      <c r="H2816" s="28" t="s">
        <v>168</v>
      </c>
      <c r="I2816" s="29" t="n">
        <v>10000</v>
      </c>
      <c r="J2816" s="29" t="n">
        <v>5000</v>
      </c>
      <c r="K2816" s="28" t="n">
        <v>13.5</v>
      </c>
      <c r="L2816" s="28" t="n">
        <v>120</v>
      </c>
      <c r="M2816" s="28" t="n">
        <v>1</v>
      </c>
    </row>
    <row r="2817" customFormat="false" ht="15" hidden="false" customHeight="false" outlineLevel="0" collapsed="false">
      <c r="A2817" s="27" t="n">
        <v>45235</v>
      </c>
      <c r="B2817" s="28" t="n">
        <v>2024</v>
      </c>
      <c r="C2817" s="28" t="s">
        <v>163</v>
      </c>
      <c r="D2817" s="28" t="s">
        <v>50</v>
      </c>
      <c r="E2817" s="28" t="s">
        <v>951</v>
      </c>
      <c r="F2817" s="28" t="s">
        <v>142</v>
      </c>
      <c r="G2817" s="28" t="s">
        <v>148</v>
      </c>
      <c r="H2817" s="28" t="s">
        <v>275</v>
      </c>
      <c r="I2817" s="29" t="n">
        <v>50000</v>
      </c>
      <c r="J2817" s="29" t="n">
        <v>42500</v>
      </c>
      <c r="K2817" s="28" t="n">
        <v>15</v>
      </c>
      <c r="L2817" s="28" t="n">
        <v>84</v>
      </c>
      <c r="M2817" s="28" t="n">
        <v>6</v>
      </c>
    </row>
    <row r="2818" customFormat="false" ht="15" hidden="false" customHeight="false" outlineLevel="0" collapsed="false">
      <c r="A2818" s="27" t="n">
        <v>45235</v>
      </c>
      <c r="B2818" s="28" t="n">
        <v>2024</v>
      </c>
      <c r="C2818" s="28" t="s">
        <v>169</v>
      </c>
      <c r="D2818" s="28" t="s">
        <v>47</v>
      </c>
      <c r="E2818" s="28" t="s">
        <v>760</v>
      </c>
      <c r="F2818" s="28" t="s">
        <v>142</v>
      </c>
      <c r="G2818" s="28" t="s">
        <v>148</v>
      </c>
      <c r="H2818" s="28" t="s">
        <v>438</v>
      </c>
      <c r="I2818" s="29" t="n">
        <v>338000</v>
      </c>
      <c r="J2818" s="29" t="n">
        <v>253500</v>
      </c>
      <c r="K2818" s="28" t="n">
        <v>11</v>
      </c>
      <c r="L2818" s="28" t="n">
        <v>120</v>
      </c>
      <c r="M2818" s="28" t="n">
        <v>2</v>
      </c>
    </row>
    <row r="2819" customFormat="false" ht="15" hidden="false" customHeight="false" outlineLevel="0" collapsed="false">
      <c r="A2819" s="27" t="n">
        <v>45237</v>
      </c>
      <c r="B2819" s="28" t="n">
        <v>2024</v>
      </c>
      <c r="C2819" s="28" t="s">
        <v>172</v>
      </c>
      <c r="D2819" s="28" t="s">
        <v>45</v>
      </c>
      <c r="E2819" s="28" t="s">
        <v>708</v>
      </c>
      <c r="F2819" s="28" t="s">
        <v>147</v>
      </c>
      <c r="G2819" s="28" t="s">
        <v>148</v>
      </c>
      <c r="H2819" s="28" t="s">
        <v>159</v>
      </c>
      <c r="I2819" s="29" t="n">
        <v>200000</v>
      </c>
      <c r="J2819" s="29" t="n">
        <v>100000</v>
      </c>
      <c r="K2819" s="28" t="n">
        <v>11.5</v>
      </c>
      <c r="L2819" s="28" t="n">
        <v>120</v>
      </c>
      <c r="M2819" s="28" t="n">
        <v>0</v>
      </c>
    </row>
    <row r="2820" customFormat="false" ht="15" hidden="false" customHeight="false" outlineLevel="0" collapsed="false">
      <c r="A2820" s="27" t="n">
        <v>45237</v>
      </c>
      <c r="B2820" s="28" t="n">
        <v>2024</v>
      </c>
      <c r="C2820" s="28" t="s">
        <v>198</v>
      </c>
      <c r="D2820" s="28" t="s">
        <v>42</v>
      </c>
      <c r="E2820" s="28" t="s">
        <v>717</v>
      </c>
      <c r="F2820" s="28" t="s">
        <v>142</v>
      </c>
      <c r="G2820" s="28" t="s">
        <v>148</v>
      </c>
      <c r="H2820" s="28" t="s">
        <v>281</v>
      </c>
      <c r="I2820" s="29" t="n">
        <v>360000</v>
      </c>
      <c r="J2820" s="29" t="n">
        <v>270000</v>
      </c>
      <c r="K2820" s="28" t="n">
        <v>9.25</v>
      </c>
      <c r="L2820" s="28" t="n">
        <v>120</v>
      </c>
      <c r="M2820" s="28" t="n">
        <v>30</v>
      </c>
    </row>
    <row r="2821" customFormat="false" ht="15" hidden="false" customHeight="false" outlineLevel="0" collapsed="false">
      <c r="A2821" s="27" t="n">
        <v>45237</v>
      </c>
      <c r="B2821" s="28" t="n">
        <v>2024</v>
      </c>
      <c r="C2821" s="28" t="s">
        <v>140</v>
      </c>
      <c r="D2821" s="28" t="s">
        <v>43</v>
      </c>
      <c r="E2821" s="28" t="s">
        <v>816</v>
      </c>
      <c r="F2821" s="28" t="s">
        <v>147</v>
      </c>
      <c r="G2821" s="28" t="s">
        <v>143</v>
      </c>
      <c r="H2821" s="28" t="s">
        <v>211</v>
      </c>
      <c r="I2821" s="29" t="n">
        <v>40000</v>
      </c>
      <c r="J2821" s="29" t="n">
        <v>20000</v>
      </c>
      <c r="K2821" s="28" t="n">
        <v>10.5</v>
      </c>
      <c r="L2821" s="28" t="n">
        <v>120</v>
      </c>
      <c r="M2821" s="28" t="n">
        <v>25</v>
      </c>
    </row>
    <row r="2822" customFormat="false" ht="15" hidden="false" customHeight="false" outlineLevel="0" collapsed="false">
      <c r="A2822" s="27" t="n">
        <v>45237</v>
      </c>
      <c r="B2822" s="28" t="n">
        <v>2024</v>
      </c>
      <c r="C2822" s="28" t="s">
        <v>140</v>
      </c>
      <c r="D2822" s="28" t="s">
        <v>43</v>
      </c>
      <c r="E2822" s="28" t="s">
        <v>816</v>
      </c>
      <c r="F2822" s="28" t="s">
        <v>142</v>
      </c>
      <c r="G2822" s="28" t="s">
        <v>143</v>
      </c>
      <c r="H2822" s="28" t="s">
        <v>211</v>
      </c>
      <c r="I2822" s="29" t="n">
        <v>934000</v>
      </c>
      <c r="J2822" s="29" t="n">
        <v>700500</v>
      </c>
      <c r="K2822" s="28" t="n">
        <v>10.5</v>
      </c>
      <c r="L2822" s="28" t="n">
        <v>120</v>
      </c>
      <c r="M2822" s="28" t="n">
        <v>25</v>
      </c>
    </row>
    <row r="2823" customFormat="false" ht="15" hidden="false" customHeight="false" outlineLevel="0" collapsed="false">
      <c r="A2823" s="27" t="n">
        <v>45237</v>
      </c>
      <c r="B2823" s="28" t="n">
        <v>2024</v>
      </c>
      <c r="C2823" s="28" t="s">
        <v>172</v>
      </c>
      <c r="D2823" s="28" t="s">
        <v>53</v>
      </c>
      <c r="E2823" s="28" t="s">
        <v>383</v>
      </c>
      <c r="F2823" s="28" t="s">
        <v>142</v>
      </c>
      <c r="G2823" s="28" t="s">
        <v>148</v>
      </c>
      <c r="H2823" s="28" t="s">
        <v>275</v>
      </c>
      <c r="I2823" s="29" t="n">
        <v>50000</v>
      </c>
      <c r="J2823" s="29" t="n">
        <v>42500</v>
      </c>
      <c r="K2823" s="28" t="n">
        <v>15</v>
      </c>
      <c r="L2823" s="28" t="n">
        <v>84</v>
      </c>
      <c r="M2823" s="28" t="n">
        <v>6</v>
      </c>
    </row>
    <row r="2824" customFormat="false" ht="15" hidden="false" customHeight="false" outlineLevel="0" collapsed="false">
      <c r="A2824" s="27" t="n">
        <v>45237</v>
      </c>
      <c r="B2824" s="28" t="n">
        <v>2024</v>
      </c>
      <c r="C2824" s="28" t="s">
        <v>235</v>
      </c>
      <c r="D2824" s="28" t="s">
        <v>45</v>
      </c>
      <c r="E2824" s="28" t="s">
        <v>480</v>
      </c>
      <c r="F2824" s="28" t="s">
        <v>142</v>
      </c>
      <c r="G2824" s="28" t="s">
        <v>148</v>
      </c>
      <c r="H2824" s="28" t="s">
        <v>211</v>
      </c>
      <c r="I2824" s="29" t="n">
        <v>410000</v>
      </c>
      <c r="J2824" s="29" t="n">
        <v>307500</v>
      </c>
      <c r="K2824" s="28" t="n">
        <v>11.25</v>
      </c>
      <c r="L2824" s="28" t="n">
        <v>120</v>
      </c>
      <c r="M2824" s="28" t="n">
        <v>8</v>
      </c>
    </row>
    <row r="2825" customFormat="false" ht="15" hidden="false" customHeight="false" outlineLevel="0" collapsed="false">
      <c r="A2825" s="27" t="n">
        <v>45238</v>
      </c>
      <c r="B2825" s="28" t="n">
        <v>2024</v>
      </c>
      <c r="C2825" s="28" t="s">
        <v>263</v>
      </c>
      <c r="D2825" s="28" t="s">
        <v>43</v>
      </c>
      <c r="E2825" s="28" t="s">
        <v>1000</v>
      </c>
      <c r="F2825" s="28" t="s">
        <v>147</v>
      </c>
      <c r="G2825" s="28" t="s">
        <v>441</v>
      </c>
      <c r="H2825" s="28" t="s">
        <v>168</v>
      </c>
      <c r="I2825" s="29" t="n">
        <v>15000</v>
      </c>
      <c r="J2825" s="29" t="n">
        <v>7500</v>
      </c>
      <c r="K2825" s="28" t="n">
        <v>14</v>
      </c>
      <c r="L2825" s="28" t="n">
        <v>120</v>
      </c>
      <c r="M2825" s="28" t="n">
        <v>0</v>
      </c>
    </row>
    <row r="2826" customFormat="false" ht="15" hidden="false" customHeight="false" outlineLevel="0" collapsed="false">
      <c r="A2826" s="27" t="n">
        <v>45238</v>
      </c>
      <c r="B2826" s="28" t="n">
        <v>2024</v>
      </c>
      <c r="C2826" s="28" t="s">
        <v>203</v>
      </c>
      <c r="D2826" s="28" t="s">
        <v>48</v>
      </c>
      <c r="E2826" s="28" t="s">
        <v>991</v>
      </c>
      <c r="F2826" s="28" t="s">
        <v>142</v>
      </c>
      <c r="G2826" s="28" t="s">
        <v>148</v>
      </c>
      <c r="H2826" s="28" t="s">
        <v>953</v>
      </c>
      <c r="I2826" s="29" t="n">
        <v>100000</v>
      </c>
      <c r="J2826" s="29" t="n">
        <v>85000</v>
      </c>
      <c r="K2826" s="28" t="n">
        <v>11.5</v>
      </c>
      <c r="L2826" s="28" t="n">
        <v>120</v>
      </c>
      <c r="M2826" s="28" t="n">
        <v>5</v>
      </c>
    </row>
    <row r="2827" customFormat="false" ht="15" hidden="false" customHeight="false" outlineLevel="0" collapsed="false">
      <c r="A2827" s="27" t="n">
        <v>45238</v>
      </c>
      <c r="B2827" s="28" t="n">
        <v>2024</v>
      </c>
      <c r="C2827" s="28" t="s">
        <v>460</v>
      </c>
      <c r="D2827" s="28" t="s">
        <v>43</v>
      </c>
      <c r="E2827" s="28" t="s">
        <v>858</v>
      </c>
      <c r="F2827" s="28" t="s">
        <v>147</v>
      </c>
      <c r="G2827" s="28" t="s">
        <v>441</v>
      </c>
      <c r="H2827" s="28" t="s">
        <v>168</v>
      </c>
      <c r="I2827" s="29" t="n">
        <v>25000</v>
      </c>
      <c r="J2827" s="29" t="n">
        <v>12500</v>
      </c>
      <c r="K2827" s="28" t="n">
        <v>13</v>
      </c>
      <c r="L2827" s="28" t="n">
        <v>120</v>
      </c>
      <c r="M2827" s="28" t="n">
        <v>2</v>
      </c>
    </row>
    <row r="2828" customFormat="false" ht="15" hidden="false" customHeight="false" outlineLevel="0" collapsed="false">
      <c r="A2828" s="27" t="n">
        <v>45239</v>
      </c>
      <c r="B2828" s="28" t="n">
        <v>2024</v>
      </c>
      <c r="C2828" s="28" t="s">
        <v>145</v>
      </c>
      <c r="D2828" s="28" t="s">
        <v>48</v>
      </c>
      <c r="E2828" s="28" t="s">
        <v>765</v>
      </c>
      <c r="F2828" s="28" t="s">
        <v>142</v>
      </c>
      <c r="G2828" s="28" t="s">
        <v>143</v>
      </c>
      <c r="H2828" s="28" t="s">
        <v>621</v>
      </c>
      <c r="I2828" s="29" t="n">
        <v>108000</v>
      </c>
      <c r="J2828" s="29" t="n">
        <v>91800</v>
      </c>
      <c r="K2828" s="28" t="n">
        <v>10.75</v>
      </c>
      <c r="L2828" s="28" t="n">
        <v>120</v>
      </c>
      <c r="M2828" s="28" t="n">
        <v>3</v>
      </c>
    </row>
    <row r="2829" customFormat="false" ht="15" hidden="false" customHeight="false" outlineLevel="0" collapsed="false">
      <c r="A2829" s="27" t="n">
        <v>45239</v>
      </c>
      <c r="B2829" s="28" t="n">
        <v>2024</v>
      </c>
      <c r="C2829" s="28" t="s">
        <v>206</v>
      </c>
      <c r="D2829" s="28" t="s">
        <v>51</v>
      </c>
      <c r="E2829" s="28" t="s">
        <v>1022</v>
      </c>
      <c r="F2829" s="28" t="s">
        <v>142</v>
      </c>
      <c r="G2829" s="28" t="s">
        <v>148</v>
      </c>
      <c r="H2829" s="28" t="s">
        <v>191</v>
      </c>
      <c r="I2829" s="29" t="n">
        <v>1902000</v>
      </c>
      <c r="J2829" s="29" t="n">
        <v>1426500</v>
      </c>
      <c r="K2829" s="28" t="n">
        <v>8.63</v>
      </c>
      <c r="L2829" s="28" t="n">
        <v>300</v>
      </c>
      <c r="M2829" s="28" t="n">
        <v>4</v>
      </c>
    </row>
    <row r="2830" customFormat="false" ht="15" hidden="false" customHeight="false" outlineLevel="0" collapsed="false">
      <c r="A2830" s="27" t="n">
        <v>45239</v>
      </c>
      <c r="B2830" s="28" t="n">
        <v>2024</v>
      </c>
      <c r="C2830" s="28" t="s">
        <v>172</v>
      </c>
      <c r="D2830" s="28" t="s">
        <v>46</v>
      </c>
      <c r="E2830" s="28" t="s">
        <v>820</v>
      </c>
      <c r="F2830" s="28" t="s">
        <v>142</v>
      </c>
      <c r="G2830" s="28" t="s">
        <v>148</v>
      </c>
      <c r="H2830" s="28" t="s">
        <v>171</v>
      </c>
      <c r="I2830" s="29" t="n">
        <v>150000</v>
      </c>
      <c r="J2830" s="29" t="n">
        <v>127500</v>
      </c>
      <c r="K2830" s="28" t="n">
        <v>13.25</v>
      </c>
      <c r="L2830" s="28" t="n">
        <v>120</v>
      </c>
      <c r="M2830" s="28" t="n">
        <v>1</v>
      </c>
    </row>
    <row r="2831" customFormat="false" ht="15" hidden="false" customHeight="false" outlineLevel="0" collapsed="false">
      <c r="A2831" s="27" t="n">
        <v>45240</v>
      </c>
      <c r="B2831" s="28" t="n">
        <v>2024</v>
      </c>
      <c r="C2831" s="28" t="s">
        <v>169</v>
      </c>
      <c r="D2831" s="28" t="s">
        <v>50</v>
      </c>
      <c r="E2831" s="28" t="s">
        <v>193</v>
      </c>
      <c r="F2831" s="28" t="s">
        <v>147</v>
      </c>
      <c r="G2831" s="28" t="s">
        <v>441</v>
      </c>
      <c r="H2831" s="28" t="s">
        <v>168</v>
      </c>
      <c r="I2831" s="29" t="n">
        <v>15000</v>
      </c>
      <c r="J2831" s="29" t="n">
        <v>7500</v>
      </c>
      <c r="K2831" s="28" t="n">
        <v>14</v>
      </c>
      <c r="L2831" s="28" t="n">
        <v>120</v>
      </c>
      <c r="M2831" s="28" t="n">
        <v>1</v>
      </c>
    </row>
    <row r="2832" customFormat="false" ht="15" hidden="false" customHeight="false" outlineLevel="0" collapsed="false">
      <c r="A2832" s="27" t="n">
        <v>45240</v>
      </c>
      <c r="B2832" s="28" t="n">
        <v>2024</v>
      </c>
      <c r="C2832" s="28" t="s">
        <v>243</v>
      </c>
      <c r="D2832" s="28" t="s">
        <v>45</v>
      </c>
      <c r="E2832" s="28" t="s">
        <v>824</v>
      </c>
      <c r="F2832" s="28" t="s">
        <v>142</v>
      </c>
      <c r="G2832" s="28" t="s">
        <v>156</v>
      </c>
      <c r="H2832" s="28" t="s">
        <v>953</v>
      </c>
      <c r="I2832" s="29" t="n">
        <v>150000</v>
      </c>
      <c r="J2832" s="29" t="n">
        <v>127500</v>
      </c>
      <c r="K2832" s="28" t="n">
        <v>11.5</v>
      </c>
      <c r="L2832" s="28" t="n">
        <v>120</v>
      </c>
      <c r="M2832" s="28" t="n">
        <v>4</v>
      </c>
    </row>
    <row r="2833" customFormat="false" ht="15" hidden="false" customHeight="false" outlineLevel="0" collapsed="false">
      <c r="A2833" s="27" t="n">
        <v>45240</v>
      </c>
      <c r="B2833" s="28" t="n">
        <v>2024</v>
      </c>
      <c r="C2833" s="28" t="s">
        <v>145</v>
      </c>
      <c r="D2833" s="28" t="s">
        <v>51</v>
      </c>
      <c r="E2833" s="28" t="s">
        <v>779</v>
      </c>
      <c r="F2833" s="28" t="s">
        <v>142</v>
      </c>
      <c r="G2833" s="28" t="s">
        <v>148</v>
      </c>
      <c r="H2833" s="28" t="s">
        <v>953</v>
      </c>
      <c r="I2833" s="29" t="n">
        <v>450000</v>
      </c>
      <c r="J2833" s="29" t="n">
        <v>337500</v>
      </c>
      <c r="K2833" s="28" t="n">
        <v>11.5</v>
      </c>
      <c r="L2833" s="28" t="n">
        <v>123</v>
      </c>
      <c r="M2833" s="28" t="n">
        <v>25</v>
      </c>
    </row>
    <row r="2834" customFormat="false" ht="15" hidden="false" customHeight="false" outlineLevel="0" collapsed="false">
      <c r="A2834" s="27" t="n">
        <v>45240</v>
      </c>
      <c r="B2834" s="28" t="n">
        <v>2024</v>
      </c>
      <c r="C2834" s="28" t="s">
        <v>145</v>
      </c>
      <c r="D2834" s="28" t="s">
        <v>43</v>
      </c>
      <c r="E2834" s="28" t="s">
        <v>933</v>
      </c>
      <c r="F2834" s="28" t="s">
        <v>142</v>
      </c>
      <c r="G2834" s="28" t="s">
        <v>152</v>
      </c>
      <c r="H2834" s="28" t="s">
        <v>149</v>
      </c>
      <c r="I2834" s="29" t="n">
        <v>365000</v>
      </c>
      <c r="J2834" s="29" t="n">
        <v>273750</v>
      </c>
      <c r="K2834" s="28" t="n">
        <v>10.5</v>
      </c>
      <c r="L2834" s="28" t="n">
        <v>120</v>
      </c>
      <c r="M2834" s="28" t="n">
        <v>2</v>
      </c>
    </row>
    <row r="2835" customFormat="false" ht="15" hidden="false" customHeight="false" outlineLevel="0" collapsed="false">
      <c r="A2835" s="27" t="n">
        <v>45243</v>
      </c>
      <c r="B2835" s="28" t="n">
        <v>2024</v>
      </c>
      <c r="C2835" s="28" t="s">
        <v>216</v>
      </c>
      <c r="D2835" s="28" t="s">
        <v>42</v>
      </c>
      <c r="E2835" s="28" t="s">
        <v>717</v>
      </c>
      <c r="F2835" s="28" t="s">
        <v>142</v>
      </c>
      <c r="G2835" s="28" t="s">
        <v>441</v>
      </c>
      <c r="H2835" s="28" t="s">
        <v>438</v>
      </c>
      <c r="I2835" s="29" t="n">
        <v>531000</v>
      </c>
      <c r="J2835" s="29" t="n">
        <v>398250</v>
      </c>
      <c r="K2835" s="28" t="n">
        <v>11</v>
      </c>
      <c r="L2835" s="28" t="n">
        <v>120</v>
      </c>
      <c r="M2835" s="28" t="n">
        <v>31</v>
      </c>
    </row>
    <row r="2836" customFormat="false" ht="15" hidden="false" customHeight="false" outlineLevel="0" collapsed="false">
      <c r="A2836" s="27" t="n">
        <v>45244</v>
      </c>
      <c r="B2836" s="28" t="n">
        <v>2024</v>
      </c>
      <c r="C2836" s="28" t="s">
        <v>154</v>
      </c>
      <c r="D2836" s="28" t="s">
        <v>51</v>
      </c>
      <c r="E2836" s="28" t="s">
        <v>779</v>
      </c>
      <c r="F2836" s="28" t="s">
        <v>142</v>
      </c>
      <c r="G2836" s="28" t="s">
        <v>143</v>
      </c>
      <c r="H2836" s="28" t="s">
        <v>1023</v>
      </c>
      <c r="I2836" s="29" t="n">
        <v>700000</v>
      </c>
      <c r="J2836" s="29" t="n">
        <v>525000</v>
      </c>
      <c r="K2836" s="28" t="n">
        <v>11.5</v>
      </c>
      <c r="L2836" s="28" t="n">
        <v>128</v>
      </c>
      <c r="M2836" s="28" t="n">
        <v>14</v>
      </c>
    </row>
    <row r="2837" customFormat="false" ht="15" hidden="false" customHeight="false" outlineLevel="0" collapsed="false">
      <c r="A2837" s="27" t="n">
        <v>45244</v>
      </c>
      <c r="B2837" s="28" t="n">
        <v>2024</v>
      </c>
      <c r="C2837" s="28" t="s">
        <v>201</v>
      </c>
      <c r="D2837" s="28" t="s">
        <v>51</v>
      </c>
      <c r="E2837" s="28" t="s">
        <v>800</v>
      </c>
      <c r="F2837" s="28" t="s">
        <v>147</v>
      </c>
      <c r="G2837" s="28" t="s">
        <v>143</v>
      </c>
      <c r="H2837" s="28" t="s">
        <v>291</v>
      </c>
      <c r="I2837" s="29" t="n">
        <v>100000</v>
      </c>
      <c r="J2837" s="29" t="n">
        <v>50000</v>
      </c>
      <c r="K2837" s="28" t="n">
        <v>10.75</v>
      </c>
      <c r="L2837" s="28" t="n">
        <v>120</v>
      </c>
      <c r="M2837" s="28" t="n">
        <v>28</v>
      </c>
    </row>
    <row r="2838" customFormat="false" ht="15" hidden="false" customHeight="false" outlineLevel="0" collapsed="false">
      <c r="A2838" s="27" t="n">
        <v>45244</v>
      </c>
      <c r="B2838" s="28" t="n">
        <v>2024</v>
      </c>
      <c r="C2838" s="28" t="s">
        <v>198</v>
      </c>
      <c r="D2838" s="28" t="s">
        <v>46</v>
      </c>
      <c r="E2838" s="28" t="s">
        <v>770</v>
      </c>
      <c r="F2838" s="28" t="s">
        <v>142</v>
      </c>
      <c r="G2838" s="28" t="s">
        <v>148</v>
      </c>
      <c r="H2838" s="28" t="s">
        <v>208</v>
      </c>
      <c r="I2838" s="29" t="n">
        <v>300000</v>
      </c>
      <c r="J2838" s="29" t="n">
        <v>225000</v>
      </c>
      <c r="K2838" s="28" t="n">
        <v>11.25</v>
      </c>
      <c r="L2838" s="28" t="n">
        <v>120</v>
      </c>
      <c r="M2838" s="28" t="n">
        <v>2</v>
      </c>
    </row>
    <row r="2839" customFormat="false" ht="15" hidden="false" customHeight="false" outlineLevel="0" collapsed="false">
      <c r="A2839" s="27" t="n">
        <v>45244</v>
      </c>
      <c r="B2839" s="28" t="n">
        <v>2024</v>
      </c>
      <c r="C2839" s="28" t="s">
        <v>172</v>
      </c>
      <c r="D2839" s="28" t="s">
        <v>47</v>
      </c>
      <c r="E2839" s="28" t="s">
        <v>623</v>
      </c>
      <c r="F2839" s="28" t="s">
        <v>147</v>
      </c>
      <c r="G2839" s="28" t="s">
        <v>143</v>
      </c>
      <c r="H2839" s="28" t="s">
        <v>159</v>
      </c>
      <c r="I2839" s="29" t="n">
        <v>136000</v>
      </c>
      <c r="J2839" s="29" t="n">
        <v>68000</v>
      </c>
      <c r="K2839" s="28" t="n">
        <v>10.5</v>
      </c>
      <c r="L2839" s="28" t="n">
        <v>120</v>
      </c>
      <c r="M2839" s="28" t="n">
        <v>10</v>
      </c>
    </row>
    <row r="2840" customFormat="false" ht="15" hidden="false" customHeight="false" outlineLevel="0" collapsed="false">
      <c r="A2840" s="27" t="n">
        <v>45244</v>
      </c>
      <c r="B2840" s="28" t="n">
        <v>2024</v>
      </c>
      <c r="C2840" s="28" t="s">
        <v>201</v>
      </c>
      <c r="D2840" s="28" t="s">
        <v>51</v>
      </c>
      <c r="E2840" s="28" t="s">
        <v>800</v>
      </c>
      <c r="F2840" s="28" t="s">
        <v>142</v>
      </c>
      <c r="G2840" s="28" t="s">
        <v>143</v>
      </c>
      <c r="H2840" s="28" t="s">
        <v>291</v>
      </c>
      <c r="I2840" s="29" t="n">
        <v>1312000</v>
      </c>
      <c r="J2840" s="29" t="n">
        <v>984000</v>
      </c>
      <c r="K2840" s="28" t="n">
        <v>10.75</v>
      </c>
      <c r="L2840" s="28" t="n">
        <v>120</v>
      </c>
      <c r="M2840" s="28" t="n">
        <v>27</v>
      </c>
    </row>
    <row r="2841" customFormat="false" ht="15" hidden="false" customHeight="false" outlineLevel="0" collapsed="false">
      <c r="A2841" s="27" t="n">
        <v>45244</v>
      </c>
      <c r="B2841" s="28" t="n">
        <v>2024</v>
      </c>
      <c r="C2841" s="28" t="s">
        <v>203</v>
      </c>
      <c r="D2841" s="28" t="s">
        <v>45</v>
      </c>
      <c r="E2841" s="28" t="s">
        <v>824</v>
      </c>
      <c r="F2841" s="28" t="s">
        <v>142</v>
      </c>
      <c r="G2841" s="28" t="s">
        <v>148</v>
      </c>
      <c r="H2841" s="28" t="s">
        <v>953</v>
      </c>
      <c r="I2841" s="29" t="n">
        <v>500000</v>
      </c>
      <c r="J2841" s="29" t="n">
        <v>375000</v>
      </c>
      <c r="K2841" s="28" t="n">
        <v>11.5</v>
      </c>
      <c r="L2841" s="28" t="n">
        <v>109</v>
      </c>
      <c r="M2841" s="28" t="n">
        <v>80</v>
      </c>
    </row>
    <row r="2842" customFormat="false" ht="15" hidden="false" customHeight="false" outlineLevel="0" collapsed="false">
      <c r="A2842" s="27" t="n">
        <v>45244</v>
      </c>
      <c r="B2842" s="28" t="n">
        <v>2024</v>
      </c>
      <c r="C2842" s="28" t="s">
        <v>203</v>
      </c>
      <c r="D2842" s="28" t="s">
        <v>44</v>
      </c>
      <c r="E2842" s="28" t="s">
        <v>823</v>
      </c>
      <c r="F2842" s="28" t="s">
        <v>142</v>
      </c>
      <c r="G2842" s="28" t="s">
        <v>441</v>
      </c>
      <c r="H2842" s="28" t="s">
        <v>168</v>
      </c>
      <c r="I2842" s="29" t="n">
        <v>354500</v>
      </c>
      <c r="J2842" s="29" t="n">
        <v>265875</v>
      </c>
      <c r="K2842" s="28" t="n">
        <v>8.2</v>
      </c>
      <c r="L2842" s="28" t="n">
        <v>240</v>
      </c>
      <c r="M2842" s="28" t="n">
        <v>20</v>
      </c>
    </row>
    <row r="2843" customFormat="false" ht="15" hidden="false" customHeight="false" outlineLevel="0" collapsed="false">
      <c r="A2843" s="27" t="n">
        <v>45244</v>
      </c>
      <c r="B2843" s="28" t="n">
        <v>2024</v>
      </c>
      <c r="C2843" s="28" t="s">
        <v>172</v>
      </c>
      <c r="D2843" s="28" t="s">
        <v>44</v>
      </c>
      <c r="E2843" s="28" t="s">
        <v>730</v>
      </c>
      <c r="F2843" s="28" t="s">
        <v>142</v>
      </c>
      <c r="G2843" s="28" t="s">
        <v>148</v>
      </c>
      <c r="H2843" s="28" t="s">
        <v>275</v>
      </c>
      <c r="I2843" s="29" t="n">
        <v>40000</v>
      </c>
      <c r="J2843" s="29" t="n">
        <v>34000</v>
      </c>
      <c r="K2843" s="28" t="n">
        <v>15</v>
      </c>
      <c r="L2843" s="28" t="n">
        <v>84</v>
      </c>
      <c r="M2843" s="28" t="n">
        <v>4</v>
      </c>
    </row>
    <row r="2844" customFormat="false" ht="15" hidden="false" customHeight="false" outlineLevel="0" collapsed="false">
      <c r="A2844" s="27" t="n">
        <v>45244</v>
      </c>
      <c r="B2844" s="28" t="n">
        <v>2024</v>
      </c>
      <c r="C2844" s="28" t="s">
        <v>166</v>
      </c>
      <c r="D2844" s="28" t="s">
        <v>42</v>
      </c>
      <c r="E2844" s="28" t="s">
        <v>717</v>
      </c>
      <c r="F2844" s="28" t="s">
        <v>142</v>
      </c>
      <c r="G2844" s="28" t="s">
        <v>143</v>
      </c>
      <c r="H2844" s="28" t="s">
        <v>191</v>
      </c>
      <c r="I2844" s="29" t="n">
        <v>1403700</v>
      </c>
      <c r="J2844" s="29" t="n">
        <v>1052775</v>
      </c>
      <c r="K2844" s="28" t="n">
        <v>7.05</v>
      </c>
      <c r="L2844" s="28" t="n">
        <v>120</v>
      </c>
      <c r="M2844" s="28" t="n">
        <v>25</v>
      </c>
    </row>
    <row r="2845" customFormat="false" ht="15" hidden="false" customHeight="false" outlineLevel="0" collapsed="false">
      <c r="A2845" s="27" t="n">
        <v>45245</v>
      </c>
      <c r="B2845" s="28" t="n">
        <v>2024</v>
      </c>
      <c r="C2845" s="28" t="s">
        <v>169</v>
      </c>
      <c r="D2845" s="28" t="s">
        <v>43</v>
      </c>
      <c r="E2845" s="28" t="s">
        <v>749</v>
      </c>
      <c r="F2845" s="28" t="s">
        <v>142</v>
      </c>
      <c r="G2845" s="28" t="s">
        <v>441</v>
      </c>
      <c r="H2845" s="28" t="s">
        <v>374</v>
      </c>
      <c r="I2845" s="29" t="n">
        <v>866000</v>
      </c>
      <c r="J2845" s="29" t="n">
        <v>649500</v>
      </c>
      <c r="K2845" s="28" t="n">
        <v>10.75</v>
      </c>
      <c r="L2845" s="28" t="n">
        <v>120</v>
      </c>
      <c r="M2845" s="28" t="n">
        <v>8</v>
      </c>
    </row>
    <row r="2846" customFormat="false" ht="15" hidden="false" customHeight="false" outlineLevel="0" collapsed="false">
      <c r="A2846" s="27" t="n">
        <v>45245</v>
      </c>
      <c r="B2846" s="28" t="n">
        <v>2024</v>
      </c>
      <c r="C2846" s="28" t="s">
        <v>163</v>
      </c>
      <c r="D2846" s="28" t="s">
        <v>44</v>
      </c>
      <c r="E2846" s="28" t="s">
        <v>783</v>
      </c>
      <c r="F2846" s="28" t="s">
        <v>142</v>
      </c>
      <c r="G2846" s="28" t="s">
        <v>148</v>
      </c>
      <c r="H2846" s="28" t="s">
        <v>275</v>
      </c>
      <c r="I2846" s="29" t="n">
        <v>38000</v>
      </c>
      <c r="J2846" s="29" t="n">
        <v>32300</v>
      </c>
      <c r="K2846" s="28" t="n">
        <v>15</v>
      </c>
      <c r="L2846" s="28" t="n">
        <v>74</v>
      </c>
      <c r="M2846" s="28" t="n">
        <v>19</v>
      </c>
    </row>
    <row r="2847" customFormat="false" ht="15" hidden="false" customHeight="false" outlineLevel="0" collapsed="false">
      <c r="A2847" s="27" t="n">
        <v>45245</v>
      </c>
      <c r="B2847" s="28" t="n">
        <v>2024</v>
      </c>
      <c r="C2847" s="28" t="s">
        <v>166</v>
      </c>
      <c r="D2847" s="28" t="s">
        <v>44</v>
      </c>
      <c r="E2847" s="28" t="s">
        <v>783</v>
      </c>
      <c r="F2847" s="28" t="s">
        <v>142</v>
      </c>
      <c r="G2847" s="28" t="s">
        <v>148</v>
      </c>
      <c r="H2847" s="28" t="s">
        <v>953</v>
      </c>
      <c r="I2847" s="29" t="n">
        <v>50000</v>
      </c>
      <c r="J2847" s="29" t="n">
        <v>25000</v>
      </c>
      <c r="K2847" s="28" t="n">
        <v>15</v>
      </c>
      <c r="L2847" s="28" t="n">
        <v>120</v>
      </c>
      <c r="M2847" s="28" t="n">
        <v>7</v>
      </c>
    </row>
    <row r="2848" customFormat="false" ht="15" hidden="false" customHeight="false" outlineLevel="0" collapsed="false">
      <c r="A2848" s="27" t="n">
        <v>45245</v>
      </c>
      <c r="B2848" s="28" t="n">
        <v>2024</v>
      </c>
      <c r="C2848" s="28" t="s">
        <v>140</v>
      </c>
      <c r="D2848" s="28" t="s">
        <v>52</v>
      </c>
      <c r="E2848" s="28" t="s">
        <v>715</v>
      </c>
      <c r="F2848" s="28" t="s">
        <v>142</v>
      </c>
      <c r="G2848" s="28" t="s">
        <v>148</v>
      </c>
      <c r="H2848" s="28" t="s">
        <v>171</v>
      </c>
      <c r="I2848" s="29" t="n">
        <v>89400</v>
      </c>
      <c r="J2848" s="29" t="n">
        <v>75990</v>
      </c>
      <c r="K2848" s="28" t="n">
        <v>13.25</v>
      </c>
      <c r="L2848" s="28" t="n">
        <v>120</v>
      </c>
      <c r="M2848" s="28" t="n">
        <v>2</v>
      </c>
    </row>
    <row r="2849" customFormat="false" ht="15" hidden="false" customHeight="false" outlineLevel="0" collapsed="false">
      <c r="A2849" s="27" t="n">
        <v>45245</v>
      </c>
      <c r="B2849" s="28" t="n">
        <v>2024</v>
      </c>
      <c r="C2849" s="28" t="s">
        <v>172</v>
      </c>
      <c r="D2849" s="28" t="s">
        <v>44</v>
      </c>
      <c r="E2849" s="28" t="s">
        <v>730</v>
      </c>
      <c r="F2849" s="28" t="s">
        <v>142</v>
      </c>
      <c r="G2849" s="28" t="s">
        <v>148</v>
      </c>
      <c r="H2849" s="28" t="s">
        <v>953</v>
      </c>
      <c r="I2849" s="29" t="n">
        <v>18000</v>
      </c>
      <c r="J2849" s="29" t="n">
        <v>9000</v>
      </c>
      <c r="K2849" s="28" t="n">
        <v>15</v>
      </c>
      <c r="L2849" s="28" t="n">
        <v>120</v>
      </c>
      <c r="M2849" s="28" t="n">
        <v>6</v>
      </c>
    </row>
    <row r="2850" customFormat="false" ht="15" hidden="false" customHeight="false" outlineLevel="0" collapsed="false">
      <c r="A2850" s="27" t="n">
        <v>45245</v>
      </c>
      <c r="B2850" s="28" t="n">
        <v>2024</v>
      </c>
      <c r="C2850" s="28" t="s">
        <v>166</v>
      </c>
      <c r="D2850" s="28" t="s">
        <v>48</v>
      </c>
      <c r="E2850" s="28" t="s">
        <v>815</v>
      </c>
      <c r="F2850" s="28" t="s">
        <v>147</v>
      </c>
      <c r="G2850" s="28" t="s">
        <v>148</v>
      </c>
      <c r="H2850" s="28" t="s">
        <v>205</v>
      </c>
      <c r="I2850" s="29" t="n">
        <v>25000</v>
      </c>
      <c r="J2850" s="29" t="n">
        <v>12500</v>
      </c>
      <c r="K2850" s="28" t="n">
        <v>11.5</v>
      </c>
      <c r="L2850" s="28" t="n">
        <v>120</v>
      </c>
      <c r="M2850" s="28" t="n">
        <v>0</v>
      </c>
    </row>
    <row r="2851" customFormat="false" ht="15" hidden="false" customHeight="false" outlineLevel="0" collapsed="false">
      <c r="A2851" s="27" t="n">
        <v>45245</v>
      </c>
      <c r="B2851" s="28" t="n">
        <v>2024</v>
      </c>
      <c r="C2851" s="28" t="s">
        <v>213</v>
      </c>
      <c r="D2851" s="28" t="s">
        <v>44</v>
      </c>
      <c r="E2851" s="28" t="s">
        <v>755</v>
      </c>
      <c r="F2851" s="28" t="s">
        <v>142</v>
      </c>
      <c r="G2851" s="28" t="s">
        <v>441</v>
      </c>
      <c r="H2851" s="28" t="s">
        <v>404</v>
      </c>
      <c r="I2851" s="29" t="n">
        <v>1100000</v>
      </c>
      <c r="J2851" s="29" t="n">
        <v>825000</v>
      </c>
      <c r="K2851" s="28" t="n">
        <v>9</v>
      </c>
      <c r="L2851" s="28" t="n">
        <v>220</v>
      </c>
      <c r="M2851" s="28" t="n">
        <v>8</v>
      </c>
    </row>
    <row r="2852" customFormat="false" ht="15" hidden="false" customHeight="false" outlineLevel="0" collapsed="false">
      <c r="A2852" s="27" t="n">
        <v>45246</v>
      </c>
      <c r="B2852" s="28" t="n">
        <v>2024</v>
      </c>
      <c r="C2852" s="28" t="s">
        <v>169</v>
      </c>
      <c r="D2852" s="28" t="s">
        <v>42</v>
      </c>
      <c r="E2852" s="28" t="s">
        <v>753</v>
      </c>
      <c r="F2852" s="28" t="s">
        <v>147</v>
      </c>
      <c r="G2852" s="28" t="s">
        <v>441</v>
      </c>
      <c r="H2852" s="28" t="s">
        <v>159</v>
      </c>
      <c r="I2852" s="29" t="n">
        <v>15000</v>
      </c>
      <c r="J2852" s="29" t="n">
        <v>7500</v>
      </c>
      <c r="K2852" s="28" t="n">
        <v>12.5</v>
      </c>
      <c r="L2852" s="28" t="n">
        <v>60</v>
      </c>
      <c r="M2852" s="28" t="n">
        <v>12</v>
      </c>
    </row>
    <row r="2853" customFormat="false" ht="15" hidden="false" customHeight="false" outlineLevel="0" collapsed="false">
      <c r="A2853" s="27" t="n">
        <v>45246</v>
      </c>
      <c r="B2853" s="28" t="n">
        <v>2024</v>
      </c>
      <c r="C2853" s="28" t="s">
        <v>303</v>
      </c>
      <c r="D2853" s="28" t="s">
        <v>45</v>
      </c>
      <c r="E2853" s="28" t="s">
        <v>708</v>
      </c>
      <c r="F2853" s="28" t="s">
        <v>142</v>
      </c>
      <c r="G2853" s="28" t="s">
        <v>148</v>
      </c>
      <c r="H2853" s="28" t="s">
        <v>171</v>
      </c>
      <c r="I2853" s="29" t="n">
        <v>115300</v>
      </c>
      <c r="J2853" s="29" t="n">
        <v>98005</v>
      </c>
      <c r="K2853" s="28" t="n">
        <v>13.25</v>
      </c>
      <c r="L2853" s="28" t="n">
        <v>120</v>
      </c>
      <c r="M2853" s="28" t="n">
        <v>4</v>
      </c>
    </row>
    <row r="2854" customFormat="false" ht="15" hidden="false" customHeight="false" outlineLevel="0" collapsed="false">
      <c r="A2854" s="27" t="n">
        <v>45246</v>
      </c>
      <c r="B2854" s="28" t="n">
        <v>2024</v>
      </c>
      <c r="C2854" s="28" t="s">
        <v>243</v>
      </c>
      <c r="D2854" s="28" t="s">
        <v>42</v>
      </c>
      <c r="E2854" s="28" t="s">
        <v>753</v>
      </c>
      <c r="F2854" s="28" t="s">
        <v>142</v>
      </c>
      <c r="G2854" s="28" t="s">
        <v>143</v>
      </c>
      <c r="H2854" s="28" t="s">
        <v>431</v>
      </c>
      <c r="I2854" s="29" t="n">
        <v>482000</v>
      </c>
      <c r="J2854" s="29" t="n">
        <v>361500</v>
      </c>
      <c r="K2854" s="28" t="n">
        <v>11.25</v>
      </c>
      <c r="L2854" s="28" t="n">
        <v>126</v>
      </c>
      <c r="M2854" s="28" t="n">
        <v>16</v>
      </c>
    </row>
    <row r="2855" customFormat="false" ht="15" hidden="false" customHeight="false" outlineLevel="0" collapsed="false">
      <c r="A2855" s="27" t="n">
        <v>45246</v>
      </c>
      <c r="B2855" s="28" t="n">
        <v>2024</v>
      </c>
      <c r="C2855" s="28" t="s">
        <v>172</v>
      </c>
      <c r="D2855" s="28" t="s">
        <v>48</v>
      </c>
      <c r="E2855" s="28" t="s">
        <v>704</v>
      </c>
      <c r="F2855" s="28" t="s">
        <v>142</v>
      </c>
      <c r="G2855" s="28" t="s">
        <v>148</v>
      </c>
      <c r="H2855" s="28" t="s">
        <v>771</v>
      </c>
      <c r="I2855" s="29" t="n">
        <v>50000</v>
      </c>
      <c r="J2855" s="29" t="n">
        <v>42500</v>
      </c>
      <c r="K2855" s="28" t="n">
        <v>11.25</v>
      </c>
      <c r="L2855" s="28" t="n">
        <v>120</v>
      </c>
      <c r="M2855" s="28" t="n">
        <v>3</v>
      </c>
    </row>
    <row r="2856" customFormat="false" ht="15" hidden="false" customHeight="false" outlineLevel="0" collapsed="false">
      <c r="A2856" s="27" t="n">
        <v>45246</v>
      </c>
      <c r="B2856" s="28" t="n">
        <v>2024</v>
      </c>
      <c r="C2856" s="28" t="s">
        <v>198</v>
      </c>
      <c r="D2856" s="28" t="s">
        <v>52</v>
      </c>
      <c r="E2856" s="28" t="s">
        <v>250</v>
      </c>
      <c r="F2856" s="28" t="s">
        <v>147</v>
      </c>
      <c r="G2856" s="28" t="s">
        <v>441</v>
      </c>
      <c r="H2856" s="28" t="s">
        <v>168</v>
      </c>
      <c r="I2856" s="29" t="n">
        <v>15000</v>
      </c>
      <c r="J2856" s="29" t="n">
        <v>7500</v>
      </c>
      <c r="K2856" s="28" t="n">
        <v>15</v>
      </c>
      <c r="L2856" s="28" t="n">
        <v>120</v>
      </c>
      <c r="M2856" s="28" t="n">
        <v>5</v>
      </c>
    </row>
    <row r="2857" customFormat="false" ht="15" hidden="false" customHeight="false" outlineLevel="0" collapsed="false">
      <c r="A2857" s="27" t="n">
        <v>45246</v>
      </c>
      <c r="B2857" s="28" t="n">
        <v>2024</v>
      </c>
      <c r="C2857" s="28" t="s">
        <v>500</v>
      </c>
      <c r="D2857" s="28" t="s">
        <v>43</v>
      </c>
      <c r="E2857" s="28" t="s">
        <v>972</v>
      </c>
      <c r="F2857" s="28" t="s">
        <v>147</v>
      </c>
      <c r="G2857" s="28" t="s">
        <v>441</v>
      </c>
      <c r="H2857" s="28" t="s">
        <v>168</v>
      </c>
      <c r="I2857" s="29" t="n">
        <v>15000</v>
      </c>
      <c r="J2857" s="29" t="n">
        <v>7500</v>
      </c>
      <c r="K2857" s="28" t="n">
        <v>15</v>
      </c>
      <c r="L2857" s="28" t="n">
        <v>120</v>
      </c>
      <c r="M2857" s="28" t="n">
        <v>3</v>
      </c>
    </row>
    <row r="2858" customFormat="false" ht="15" hidden="false" customHeight="false" outlineLevel="0" collapsed="false">
      <c r="A2858" s="27" t="n">
        <v>45246</v>
      </c>
      <c r="B2858" s="28" t="n">
        <v>2024</v>
      </c>
      <c r="C2858" s="28" t="s">
        <v>172</v>
      </c>
      <c r="D2858" s="28" t="s">
        <v>45</v>
      </c>
      <c r="E2858" s="28" t="s">
        <v>874</v>
      </c>
      <c r="F2858" s="28" t="s">
        <v>147</v>
      </c>
      <c r="G2858" s="28" t="s">
        <v>441</v>
      </c>
      <c r="H2858" s="28" t="s">
        <v>168</v>
      </c>
      <c r="I2858" s="29" t="n">
        <v>20000</v>
      </c>
      <c r="J2858" s="29" t="n">
        <v>10000</v>
      </c>
      <c r="K2858" s="28" t="n">
        <v>14.5</v>
      </c>
      <c r="L2858" s="28" t="n">
        <v>120</v>
      </c>
      <c r="M2858" s="28" t="n">
        <v>1</v>
      </c>
    </row>
    <row r="2859" customFormat="false" ht="15" hidden="false" customHeight="false" outlineLevel="0" collapsed="false">
      <c r="A2859" s="27" t="n">
        <v>45247</v>
      </c>
      <c r="B2859" s="28" t="n">
        <v>2024</v>
      </c>
      <c r="C2859" s="28" t="s">
        <v>172</v>
      </c>
      <c r="D2859" s="28" t="s">
        <v>47</v>
      </c>
      <c r="E2859" s="28" t="s">
        <v>623</v>
      </c>
      <c r="F2859" s="28" t="s">
        <v>142</v>
      </c>
      <c r="G2859" s="28" t="s">
        <v>143</v>
      </c>
      <c r="H2859" s="28" t="s">
        <v>159</v>
      </c>
      <c r="I2859" s="29" t="n">
        <v>416000</v>
      </c>
      <c r="J2859" s="29" t="n">
        <v>312000</v>
      </c>
      <c r="K2859" s="28" t="n">
        <v>10.5</v>
      </c>
      <c r="L2859" s="28" t="n">
        <v>120</v>
      </c>
      <c r="M2859" s="28" t="n">
        <v>10</v>
      </c>
    </row>
    <row r="2860" customFormat="false" ht="15" hidden="false" customHeight="false" outlineLevel="0" collapsed="false">
      <c r="A2860" s="27" t="n">
        <v>45247</v>
      </c>
      <c r="B2860" s="28" t="n">
        <v>2024</v>
      </c>
      <c r="C2860" s="28" t="s">
        <v>166</v>
      </c>
      <c r="D2860" s="28" t="s">
        <v>48</v>
      </c>
      <c r="E2860" s="28" t="s">
        <v>840</v>
      </c>
      <c r="F2860" s="28" t="s">
        <v>142</v>
      </c>
      <c r="G2860" s="28" t="s">
        <v>148</v>
      </c>
      <c r="H2860" s="28" t="s">
        <v>171</v>
      </c>
      <c r="I2860" s="29" t="n">
        <v>31000</v>
      </c>
      <c r="J2860" s="29" t="n">
        <v>26350</v>
      </c>
      <c r="K2860" s="28" t="n">
        <v>13.25</v>
      </c>
      <c r="L2860" s="28" t="n">
        <v>120</v>
      </c>
      <c r="M2860" s="28" t="n">
        <v>3</v>
      </c>
    </row>
    <row r="2861" customFormat="false" ht="15" hidden="false" customHeight="false" outlineLevel="0" collapsed="false">
      <c r="A2861" s="27" t="n">
        <v>45248</v>
      </c>
      <c r="B2861" s="28" t="n">
        <v>2024</v>
      </c>
      <c r="C2861" s="28" t="s">
        <v>169</v>
      </c>
      <c r="D2861" s="28" t="s">
        <v>57</v>
      </c>
      <c r="E2861" s="28" t="s">
        <v>728</v>
      </c>
      <c r="F2861" s="28" t="s">
        <v>147</v>
      </c>
      <c r="G2861" s="28" t="s">
        <v>152</v>
      </c>
      <c r="H2861" s="28" t="s">
        <v>159</v>
      </c>
      <c r="I2861" s="29" t="n">
        <v>500000</v>
      </c>
      <c r="J2861" s="29" t="n">
        <v>250000</v>
      </c>
      <c r="K2861" s="28" t="n">
        <v>10</v>
      </c>
      <c r="L2861" s="28" t="n">
        <v>120</v>
      </c>
      <c r="M2861" s="28" t="n">
        <v>2</v>
      </c>
    </row>
    <row r="2862" customFormat="false" ht="15" hidden="false" customHeight="false" outlineLevel="0" collapsed="false">
      <c r="A2862" s="27" t="n">
        <v>45248</v>
      </c>
      <c r="B2862" s="28" t="n">
        <v>2024</v>
      </c>
      <c r="C2862" s="28" t="s">
        <v>738</v>
      </c>
      <c r="D2862" s="28" t="s">
        <v>44</v>
      </c>
      <c r="E2862" s="28" t="s">
        <v>167</v>
      </c>
      <c r="F2862" s="28" t="s">
        <v>147</v>
      </c>
      <c r="G2862" s="28" t="s">
        <v>441</v>
      </c>
      <c r="H2862" s="28" t="s">
        <v>168</v>
      </c>
      <c r="I2862" s="29" t="n">
        <v>25000</v>
      </c>
      <c r="J2862" s="29" t="n">
        <v>12500</v>
      </c>
      <c r="K2862" s="28" t="n">
        <v>13</v>
      </c>
      <c r="L2862" s="28" t="n">
        <v>120</v>
      </c>
      <c r="M2862" s="28" t="n">
        <v>3</v>
      </c>
    </row>
    <row r="2863" customFormat="false" ht="15" hidden="false" customHeight="false" outlineLevel="0" collapsed="false">
      <c r="A2863" s="27" t="n">
        <v>45248</v>
      </c>
      <c r="B2863" s="28" t="n">
        <v>2024</v>
      </c>
      <c r="C2863" s="28" t="s">
        <v>675</v>
      </c>
      <c r="D2863" s="28" t="s">
        <v>48</v>
      </c>
      <c r="E2863" s="28" t="s">
        <v>1024</v>
      </c>
      <c r="F2863" s="28" t="s">
        <v>194</v>
      </c>
      <c r="G2863" s="28" t="s">
        <v>143</v>
      </c>
      <c r="H2863" s="28" t="s">
        <v>306</v>
      </c>
      <c r="I2863" s="29" t="n">
        <v>80900</v>
      </c>
      <c r="J2863" s="29" t="n">
        <v>68765</v>
      </c>
      <c r="K2863" s="28" t="n">
        <v>8.75</v>
      </c>
      <c r="L2863" s="28" t="n">
        <v>120</v>
      </c>
      <c r="M2863" s="28" t="n">
        <v>1</v>
      </c>
    </row>
    <row r="2864" customFormat="false" ht="15" hidden="false" customHeight="false" outlineLevel="0" collapsed="false">
      <c r="A2864" s="27" t="n">
        <v>45248</v>
      </c>
      <c r="B2864" s="28" t="n">
        <v>2024</v>
      </c>
      <c r="C2864" s="28" t="s">
        <v>163</v>
      </c>
      <c r="D2864" s="28" t="s">
        <v>47</v>
      </c>
      <c r="E2864" s="28" t="s">
        <v>1025</v>
      </c>
      <c r="F2864" s="28" t="s">
        <v>147</v>
      </c>
      <c r="G2864" s="28" t="s">
        <v>152</v>
      </c>
      <c r="H2864" s="28" t="s">
        <v>1026</v>
      </c>
      <c r="I2864" s="29" t="n">
        <v>500000</v>
      </c>
      <c r="J2864" s="29" t="n">
        <v>250000</v>
      </c>
      <c r="K2864" s="28" t="n">
        <v>10.25</v>
      </c>
      <c r="L2864" s="28" t="n">
        <v>12</v>
      </c>
      <c r="M2864" s="28" t="n">
        <v>112</v>
      </c>
    </row>
    <row r="2865" customFormat="false" ht="15" hidden="false" customHeight="false" outlineLevel="0" collapsed="false">
      <c r="A2865" s="27" t="n">
        <v>45249</v>
      </c>
      <c r="B2865" s="28" t="n">
        <v>2024</v>
      </c>
      <c r="C2865" s="28" t="s">
        <v>303</v>
      </c>
      <c r="D2865" s="28" t="s">
        <v>54</v>
      </c>
      <c r="E2865" s="28" t="s">
        <v>791</v>
      </c>
      <c r="F2865" s="28" t="s">
        <v>147</v>
      </c>
      <c r="G2865" s="28" t="s">
        <v>441</v>
      </c>
      <c r="H2865" s="28" t="s">
        <v>667</v>
      </c>
      <c r="I2865" s="29" t="n">
        <v>40000</v>
      </c>
      <c r="J2865" s="29" t="n">
        <v>20000</v>
      </c>
      <c r="K2865" s="28" t="n">
        <v>9.74</v>
      </c>
      <c r="L2865" s="28" t="n">
        <v>60</v>
      </c>
      <c r="M2865" s="28" t="n">
        <v>3</v>
      </c>
    </row>
    <row r="2866" customFormat="false" ht="15" hidden="false" customHeight="false" outlineLevel="0" collapsed="false">
      <c r="A2866" s="27" t="n">
        <v>45249</v>
      </c>
      <c r="B2866" s="28" t="n">
        <v>2024</v>
      </c>
      <c r="C2866" s="28" t="s">
        <v>172</v>
      </c>
      <c r="D2866" s="28" t="s">
        <v>46</v>
      </c>
      <c r="E2866" s="28" t="s">
        <v>852</v>
      </c>
      <c r="F2866" s="28" t="s">
        <v>147</v>
      </c>
      <c r="G2866" s="28" t="s">
        <v>441</v>
      </c>
      <c r="H2866" s="28" t="s">
        <v>191</v>
      </c>
      <c r="I2866" s="29" t="n">
        <v>50000</v>
      </c>
      <c r="J2866" s="29" t="n">
        <v>25000</v>
      </c>
      <c r="K2866" s="28" t="n">
        <v>11.5</v>
      </c>
      <c r="L2866" s="28" t="n">
        <v>120</v>
      </c>
      <c r="M2866" s="28" t="n">
        <v>1</v>
      </c>
    </row>
    <row r="2867" customFormat="false" ht="15" hidden="false" customHeight="false" outlineLevel="0" collapsed="false">
      <c r="A2867" s="27" t="n">
        <v>45250</v>
      </c>
      <c r="B2867" s="28" t="n">
        <v>2024</v>
      </c>
      <c r="C2867" s="28" t="s">
        <v>160</v>
      </c>
      <c r="D2867" s="28" t="s">
        <v>46</v>
      </c>
      <c r="E2867" s="28" t="s">
        <v>1027</v>
      </c>
      <c r="F2867" s="28" t="s">
        <v>142</v>
      </c>
      <c r="G2867" s="28" t="s">
        <v>148</v>
      </c>
      <c r="H2867" s="28" t="s">
        <v>291</v>
      </c>
      <c r="I2867" s="29" t="n">
        <v>2614000</v>
      </c>
      <c r="J2867" s="29" t="n">
        <v>1960500</v>
      </c>
      <c r="K2867" s="28" t="n">
        <v>10.5</v>
      </c>
      <c r="L2867" s="28" t="n">
        <v>120</v>
      </c>
      <c r="M2867" s="28" t="n">
        <v>26</v>
      </c>
    </row>
    <row r="2868" customFormat="false" ht="15" hidden="false" customHeight="false" outlineLevel="0" collapsed="false">
      <c r="A2868" s="27" t="n">
        <v>45251</v>
      </c>
      <c r="B2868" s="28" t="n">
        <v>2024</v>
      </c>
      <c r="C2868" s="28" t="s">
        <v>203</v>
      </c>
      <c r="D2868" s="28" t="s">
        <v>44</v>
      </c>
      <c r="E2868" s="28" t="s">
        <v>167</v>
      </c>
      <c r="F2868" s="28" t="s">
        <v>147</v>
      </c>
      <c r="G2868" s="28" t="s">
        <v>441</v>
      </c>
      <c r="H2868" s="28" t="s">
        <v>168</v>
      </c>
      <c r="I2868" s="29" t="n">
        <v>35000</v>
      </c>
      <c r="J2868" s="29" t="n">
        <v>17500</v>
      </c>
      <c r="K2868" s="28" t="n">
        <v>13.5</v>
      </c>
      <c r="L2868" s="28" t="n">
        <v>120</v>
      </c>
      <c r="M2868" s="28" t="n">
        <v>5</v>
      </c>
    </row>
    <row r="2869" customFormat="false" ht="15" hidden="false" customHeight="false" outlineLevel="0" collapsed="false">
      <c r="A2869" s="27" t="n">
        <v>45252</v>
      </c>
      <c r="B2869" s="28" t="n">
        <v>2024</v>
      </c>
      <c r="C2869" s="28" t="s">
        <v>160</v>
      </c>
      <c r="D2869" s="28" t="s">
        <v>51</v>
      </c>
      <c r="E2869" s="28" t="s">
        <v>800</v>
      </c>
      <c r="F2869" s="28" t="s">
        <v>147</v>
      </c>
      <c r="G2869" s="28" t="s">
        <v>143</v>
      </c>
      <c r="H2869" s="28" t="s">
        <v>159</v>
      </c>
      <c r="I2869" s="29" t="n">
        <v>25000</v>
      </c>
      <c r="J2869" s="29" t="n">
        <v>12500</v>
      </c>
      <c r="K2869" s="28" t="n">
        <v>11</v>
      </c>
      <c r="L2869" s="28" t="n">
        <v>120</v>
      </c>
      <c r="M2869" s="28" t="n">
        <v>8</v>
      </c>
    </row>
    <row r="2870" customFormat="false" ht="15" hidden="false" customHeight="false" outlineLevel="0" collapsed="false">
      <c r="A2870" s="27" t="n">
        <v>45252</v>
      </c>
      <c r="B2870" s="28" t="n">
        <v>2024</v>
      </c>
      <c r="C2870" s="28" t="s">
        <v>272</v>
      </c>
      <c r="D2870" s="28" t="s">
        <v>50</v>
      </c>
      <c r="E2870" s="28" t="s">
        <v>462</v>
      </c>
      <c r="F2870" s="28" t="s">
        <v>142</v>
      </c>
      <c r="G2870" s="28" t="s">
        <v>148</v>
      </c>
      <c r="H2870" s="28" t="s">
        <v>291</v>
      </c>
      <c r="I2870" s="29" t="n">
        <v>433000</v>
      </c>
      <c r="J2870" s="29" t="n">
        <v>324750</v>
      </c>
      <c r="K2870" s="28" t="n">
        <v>10.75</v>
      </c>
      <c r="L2870" s="28" t="n">
        <v>120</v>
      </c>
      <c r="M2870" s="28" t="n">
        <v>7</v>
      </c>
    </row>
    <row r="2871" customFormat="false" ht="15" hidden="false" customHeight="false" outlineLevel="0" collapsed="false">
      <c r="A2871" s="27" t="n">
        <v>45252</v>
      </c>
      <c r="B2871" s="28" t="n">
        <v>2024</v>
      </c>
      <c r="C2871" s="28" t="s">
        <v>160</v>
      </c>
      <c r="D2871" s="28" t="s">
        <v>51</v>
      </c>
      <c r="E2871" s="28" t="s">
        <v>800</v>
      </c>
      <c r="F2871" s="28" t="s">
        <v>147</v>
      </c>
      <c r="G2871" s="28" t="s">
        <v>143</v>
      </c>
      <c r="H2871" s="28" t="s">
        <v>159</v>
      </c>
      <c r="I2871" s="29" t="n">
        <v>160000</v>
      </c>
      <c r="J2871" s="29" t="n">
        <v>80000</v>
      </c>
      <c r="K2871" s="28" t="n">
        <v>11</v>
      </c>
      <c r="L2871" s="28" t="n">
        <v>69</v>
      </c>
      <c r="M2871" s="28" t="n">
        <v>8</v>
      </c>
    </row>
    <row r="2872" customFormat="false" ht="15" hidden="false" customHeight="false" outlineLevel="0" collapsed="false">
      <c r="A2872" s="27" t="n">
        <v>45254</v>
      </c>
      <c r="B2872" s="28" t="n">
        <v>2024</v>
      </c>
      <c r="C2872" s="28" t="s">
        <v>166</v>
      </c>
      <c r="D2872" s="28" t="s">
        <v>45</v>
      </c>
      <c r="E2872" s="28" t="s">
        <v>708</v>
      </c>
      <c r="F2872" s="28" t="s">
        <v>142</v>
      </c>
      <c r="G2872" s="28" t="s">
        <v>148</v>
      </c>
      <c r="H2872" s="28" t="s">
        <v>275</v>
      </c>
      <c r="I2872" s="29" t="n">
        <v>50000</v>
      </c>
      <c r="J2872" s="29" t="n">
        <v>42500</v>
      </c>
      <c r="K2872" s="28" t="n">
        <v>15</v>
      </c>
      <c r="L2872" s="28" t="n">
        <v>120</v>
      </c>
      <c r="M2872" s="28" t="n">
        <v>4</v>
      </c>
    </row>
    <row r="2873" customFormat="false" ht="15" hidden="false" customHeight="false" outlineLevel="0" collapsed="false">
      <c r="A2873" s="27" t="n">
        <v>45254</v>
      </c>
      <c r="B2873" s="28" t="n">
        <v>2024</v>
      </c>
      <c r="C2873" s="28" t="s">
        <v>172</v>
      </c>
      <c r="D2873" s="28" t="s">
        <v>45</v>
      </c>
      <c r="E2873" s="28" t="s">
        <v>611</v>
      </c>
      <c r="F2873" s="28" t="s">
        <v>142</v>
      </c>
      <c r="G2873" s="28" t="s">
        <v>148</v>
      </c>
      <c r="H2873" s="28" t="s">
        <v>275</v>
      </c>
      <c r="I2873" s="29" t="n">
        <v>40000</v>
      </c>
      <c r="J2873" s="29" t="n">
        <v>34000</v>
      </c>
      <c r="K2873" s="28" t="n">
        <v>15</v>
      </c>
      <c r="L2873" s="28" t="n">
        <v>120</v>
      </c>
      <c r="M2873" s="28" t="n">
        <v>8</v>
      </c>
    </row>
    <row r="2874" customFormat="false" ht="15" hidden="false" customHeight="false" outlineLevel="0" collapsed="false">
      <c r="A2874" s="27" t="n">
        <v>45254</v>
      </c>
      <c r="B2874" s="28" t="n">
        <v>2024</v>
      </c>
      <c r="C2874" s="28" t="s">
        <v>169</v>
      </c>
      <c r="D2874" s="28" t="s">
        <v>48</v>
      </c>
      <c r="E2874" s="28" t="s">
        <v>346</v>
      </c>
      <c r="F2874" s="28" t="s">
        <v>142</v>
      </c>
      <c r="G2874" s="28" t="s">
        <v>143</v>
      </c>
      <c r="H2874" s="28" t="s">
        <v>953</v>
      </c>
      <c r="I2874" s="29" t="n">
        <v>500000</v>
      </c>
      <c r="J2874" s="29" t="n">
        <v>375000</v>
      </c>
      <c r="K2874" s="28" t="n">
        <v>11.5</v>
      </c>
      <c r="L2874" s="28" t="n">
        <v>120</v>
      </c>
      <c r="M2874" s="28" t="n">
        <v>6</v>
      </c>
    </row>
    <row r="2875" customFormat="false" ht="15" hidden="false" customHeight="false" outlineLevel="0" collapsed="false">
      <c r="A2875" s="27" t="n">
        <v>45254</v>
      </c>
      <c r="B2875" s="28" t="n">
        <v>2024</v>
      </c>
      <c r="C2875" s="28" t="s">
        <v>203</v>
      </c>
      <c r="D2875" s="28" t="s">
        <v>51</v>
      </c>
      <c r="E2875" s="28" t="s">
        <v>800</v>
      </c>
      <c r="F2875" s="28" t="s">
        <v>142</v>
      </c>
      <c r="G2875" s="28" t="s">
        <v>148</v>
      </c>
      <c r="H2875" s="28" t="s">
        <v>275</v>
      </c>
      <c r="I2875" s="29" t="n">
        <v>50000</v>
      </c>
      <c r="J2875" s="29" t="n">
        <v>42500</v>
      </c>
      <c r="K2875" s="28" t="n">
        <v>15</v>
      </c>
      <c r="L2875" s="28" t="n">
        <v>120</v>
      </c>
      <c r="M2875" s="28" t="n">
        <v>7</v>
      </c>
    </row>
    <row r="2876" customFormat="false" ht="15" hidden="false" customHeight="false" outlineLevel="0" collapsed="false">
      <c r="A2876" s="27" t="n">
        <v>45254</v>
      </c>
      <c r="B2876" s="28" t="n">
        <v>2024</v>
      </c>
      <c r="C2876" s="28" t="s">
        <v>206</v>
      </c>
      <c r="D2876" s="28" t="s">
        <v>46</v>
      </c>
      <c r="E2876" s="28" t="s">
        <v>1028</v>
      </c>
      <c r="F2876" s="28" t="s">
        <v>147</v>
      </c>
      <c r="G2876" s="28" t="s">
        <v>441</v>
      </c>
      <c r="H2876" s="28" t="s">
        <v>168</v>
      </c>
      <c r="I2876" s="29" t="n">
        <v>50000</v>
      </c>
      <c r="J2876" s="29" t="n">
        <v>25000</v>
      </c>
      <c r="K2876" s="28" t="n">
        <v>13</v>
      </c>
      <c r="L2876" s="28" t="n">
        <v>120</v>
      </c>
      <c r="M2876" s="28" t="n">
        <v>4</v>
      </c>
    </row>
    <row r="2877" customFormat="false" ht="15" hidden="false" customHeight="false" outlineLevel="0" collapsed="false">
      <c r="A2877" s="27" t="n">
        <v>45254</v>
      </c>
      <c r="B2877" s="28" t="n">
        <v>2024</v>
      </c>
      <c r="C2877" s="28" t="s">
        <v>203</v>
      </c>
      <c r="D2877" s="28" t="s">
        <v>54</v>
      </c>
      <c r="E2877" s="28" t="s">
        <v>791</v>
      </c>
      <c r="F2877" s="28" t="s">
        <v>147</v>
      </c>
      <c r="G2877" s="28" t="s">
        <v>148</v>
      </c>
      <c r="H2877" s="28" t="s">
        <v>159</v>
      </c>
      <c r="I2877" s="29" t="n">
        <v>60000</v>
      </c>
      <c r="J2877" s="29" t="n">
        <v>30000</v>
      </c>
      <c r="K2877" s="28" t="n">
        <v>11.24</v>
      </c>
      <c r="L2877" s="28" t="n">
        <v>88</v>
      </c>
      <c r="M2877" s="28" t="n">
        <v>10</v>
      </c>
    </row>
    <row r="2878" customFormat="false" ht="15" hidden="false" customHeight="false" outlineLevel="0" collapsed="false">
      <c r="A2878" s="27" t="n">
        <v>45254</v>
      </c>
      <c r="B2878" s="28" t="n">
        <v>2024</v>
      </c>
      <c r="C2878" s="28" t="s">
        <v>203</v>
      </c>
      <c r="D2878" s="28" t="s">
        <v>54</v>
      </c>
      <c r="E2878" s="28" t="s">
        <v>791</v>
      </c>
      <c r="F2878" s="28" t="s">
        <v>147</v>
      </c>
      <c r="G2878" s="28" t="s">
        <v>148</v>
      </c>
      <c r="H2878" s="28" t="s">
        <v>159</v>
      </c>
      <c r="I2878" s="29" t="n">
        <v>40000</v>
      </c>
      <c r="J2878" s="29" t="n">
        <v>20000</v>
      </c>
      <c r="K2878" s="28" t="n">
        <v>15</v>
      </c>
      <c r="L2878" s="28" t="n">
        <v>88</v>
      </c>
      <c r="M2878" s="28" t="n">
        <v>10</v>
      </c>
    </row>
    <row r="2879" customFormat="false" ht="15" hidden="false" customHeight="false" outlineLevel="0" collapsed="false">
      <c r="A2879" s="27" t="n">
        <v>45254</v>
      </c>
      <c r="B2879" s="28" t="n">
        <v>2024</v>
      </c>
      <c r="C2879" s="28" t="s">
        <v>423</v>
      </c>
      <c r="D2879" s="28" t="s">
        <v>47</v>
      </c>
      <c r="E2879" s="28" t="s">
        <v>760</v>
      </c>
      <c r="F2879" s="28" t="s">
        <v>147</v>
      </c>
      <c r="G2879" s="28" t="s">
        <v>441</v>
      </c>
      <c r="H2879" s="28" t="s">
        <v>168</v>
      </c>
      <c r="I2879" s="29" t="n">
        <v>15000</v>
      </c>
      <c r="J2879" s="29" t="n">
        <v>7500</v>
      </c>
      <c r="K2879" s="28" t="n">
        <v>13</v>
      </c>
      <c r="L2879" s="28" t="n">
        <v>120</v>
      </c>
      <c r="M2879" s="28" t="n">
        <v>2</v>
      </c>
    </row>
    <row r="2880" customFormat="false" ht="15" hidden="false" customHeight="false" outlineLevel="0" collapsed="false">
      <c r="A2880" s="27" t="n">
        <v>45254</v>
      </c>
      <c r="B2880" s="28" t="n">
        <v>2024</v>
      </c>
      <c r="C2880" s="28" t="s">
        <v>203</v>
      </c>
      <c r="D2880" s="28" t="s">
        <v>48</v>
      </c>
      <c r="E2880" s="28" t="s">
        <v>815</v>
      </c>
      <c r="F2880" s="28" t="s">
        <v>147</v>
      </c>
      <c r="G2880" s="28" t="s">
        <v>441</v>
      </c>
      <c r="H2880" s="28" t="s">
        <v>168</v>
      </c>
      <c r="I2880" s="29" t="n">
        <v>15000</v>
      </c>
      <c r="J2880" s="29" t="n">
        <v>7500</v>
      </c>
      <c r="K2880" s="28" t="n">
        <v>14.5</v>
      </c>
      <c r="L2880" s="28" t="n">
        <v>120</v>
      </c>
      <c r="M2880" s="28" t="n">
        <v>1</v>
      </c>
    </row>
    <row r="2881" customFormat="false" ht="15" hidden="false" customHeight="false" outlineLevel="0" collapsed="false">
      <c r="A2881" s="27" t="n">
        <v>45255</v>
      </c>
      <c r="B2881" s="28" t="n">
        <v>2024</v>
      </c>
      <c r="C2881" s="28" t="s">
        <v>243</v>
      </c>
      <c r="D2881" s="28" t="s">
        <v>48</v>
      </c>
      <c r="E2881" s="28" t="s">
        <v>765</v>
      </c>
      <c r="F2881" s="28" t="s">
        <v>147</v>
      </c>
      <c r="G2881" s="28" t="s">
        <v>441</v>
      </c>
      <c r="H2881" s="28" t="s">
        <v>159</v>
      </c>
      <c r="I2881" s="29" t="n">
        <v>100000</v>
      </c>
      <c r="J2881" s="29" t="n">
        <v>50000</v>
      </c>
      <c r="K2881" s="28" t="n">
        <v>12.25</v>
      </c>
      <c r="L2881" s="28" t="n">
        <v>120</v>
      </c>
      <c r="M2881" s="28" t="n">
        <v>9</v>
      </c>
    </row>
    <row r="2882" customFormat="false" ht="15" hidden="false" customHeight="false" outlineLevel="0" collapsed="false">
      <c r="A2882" s="27" t="n">
        <v>45256</v>
      </c>
      <c r="B2882" s="28" t="n">
        <v>2024</v>
      </c>
      <c r="C2882" s="28" t="s">
        <v>172</v>
      </c>
      <c r="D2882" s="28" t="s">
        <v>44</v>
      </c>
      <c r="E2882" s="28" t="s">
        <v>729</v>
      </c>
      <c r="F2882" s="28" t="s">
        <v>142</v>
      </c>
      <c r="G2882" s="28" t="s">
        <v>143</v>
      </c>
      <c r="H2882" s="28" t="s">
        <v>191</v>
      </c>
      <c r="I2882" s="29" t="n">
        <v>591900</v>
      </c>
      <c r="J2882" s="29" t="n">
        <v>443925</v>
      </c>
      <c r="K2882" s="28" t="n">
        <v>8.46</v>
      </c>
      <c r="L2882" s="28" t="n">
        <v>306</v>
      </c>
      <c r="M2882" s="28" t="n">
        <v>1</v>
      </c>
    </row>
    <row r="2883" customFormat="false" ht="15" hidden="false" customHeight="false" outlineLevel="0" collapsed="false">
      <c r="A2883" s="27" t="n">
        <v>45257</v>
      </c>
      <c r="B2883" s="28" t="n">
        <v>2024</v>
      </c>
      <c r="C2883" s="28" t="s">
        <v>303</v>
      </c>
      <c r="D2883" s="28" t="s">
        <v>42</v>
      </c>
      <c r="E2883" s="28" t="s">
        <v>717</v>
      </c>
      <c r="F2883" s="28" t="s">
        <v>142</v>
      </c>
      <c r="G2883" s="28" t="s">
        <v>148</v>
      </c>
      <c r="H2883" s="28" t="s">
        <v>171</v>
      </c>
      <c r="I2883" s="29" t="n">
        <v>82000</v>
      </c>
      <c r="J2883" s="29" t="n">
        <v>69700</v>
      </c>
      <c r="K2883" s="28" t="n">
        <v>13.25</v>
      </c>
      <c r="L2883" s="28" t="n">
        <v>120</v>
      </c>
      <c r="M2883" s="28" t="n">
        <v>3</v>
      </c>
    </row>
    <row r="2884" customFormat="false" ht="15" hidden="false" customHeight="false" outlineLevel="0" collapsed="false">
      <c r="A2884" s="27" t="n">
        <v>45257</v>
      </c>
      <c r="B2884" s="28" t="n">
        <v>2024</v>
      </c>
      <c r="C2884" s="28" t="s">
        <v>243</v>
      </c>
      <c r="D2884" s="28" t="s">
        <v>45</v>
      </c>
      <c r="E2884" s="28" t="s">
        <v>798</v>
      </c>
      <c r="F2884" s="28" t="s">
        <v>147</v>
      </c>
      <c r="G2884" s="28" t="s">
        <v>148</v>
      </c>
      <c r="H2884" s="28" t="s">
        <v>205</v>
      </c>
      <c r="I2884" s="29" t="n">
        <v>214000</v>
      </c>
      <c r="J2884" s="29" t="n">
        <v>107000</v>
      </c>
      <c r="K2884" s="28" t="n">
        <v>11.5</v>
      </c>
      <c r="L2884" s="28" t="n">
        <v>120</v>
      </c>
      <c r="M2884" s="28" t="n">
        <v>8</v>
      </c>
    </row>
    <row r="2885" customFormat="false" ht="15" hidden="false" customHeight="false" outlineLevel="0" collapsed="false">
      <c r="A2885" s="27" t="n">
        <v>45258</v>
      </c>
      <c r="B2885" s="28" t="n">
        <v>2024</v>
      </c>
      <c r="C2885" s="28" t="s">
        <v>183</v>
      </c>
      <c r="D2885" s="28" t="s">
        <v>42</v>
      </c>
      <c r="E2885" s="28" t="s">
        <v>784</v>
      </c>
      <c r="F2885" s="28" t="s">
        <v>142</v>
      </c>
      <c r="G2885" s="28" t="s">
        <v>143</v>
      </c>
      <c r="H2885" s="28" t="s">
        <v>953</v>
      </c>
      <c r="I2885" s="29" t="n">
        <v>200000</v>
      </c>
      <c r="J2885" s="29" t="n">
        <v>170000</v>
      </c>
      <c r="K2885" s="28" t="n">
        <v>11.5</v>
      </c>
      <c r="L2885" s="28" t="n">
        <v>300</v>
      </c>
      <c r="M2885" s="28" t="n">
        <v>5</v>
      </c>
    </row>
    <row r="2886" customFormat="false" ht="15" hidden="false" customHeight="false" outlineLevel="0" collapsed="false">
      <c r="A2886" s="27" t="n">
        <v>45258</v>
      </c>
      <c r="B2886" s="28" t="n">
        <v>2024</v>
      </c>
      <c r="C2886" s="28" t="s">
        <v>166</v>
      </c>
      <c r="D2886" s="28" t="s">
        <v>48</v>
      </c>
      <c r="E2886" s="28" t="s">
        <v>704</v>
      </c>
      <c r="F2886" s="28" t="s">
        <v>142</v>
      </c>
      <c r="G2886" s="28" t="s">
        <v>148</v>
      </c>
      <c r="H2886" s="28" t="s">
        <v>171</v>
      </c>
      <c r="I2886" s="29" t="n">
        <v>150000</v>
      </c>
      <c r="J2886" s="29" t="n">
        <v>127500</v>
      </c>
      <c r="K2886" s="28" t="n">
        <v>13.25</v>
      </c>
      <c r="L2886" s="28" t="n">
        <v>120</v>
      </c>
      <c r="M2886" s="28" t="n">
        <v>2</v>
      </c>
    </row>
    <row r="2887" customFormat="false" ht="15" hidden="false" customHeight="false" outlineLevel="0" collapsed="false">
      <c r="A2887" s="27" t="n">
        <v>45259</v>
      </c>
      <c r="B2887" s="28" t="n">
        <v>2024</v>
      </c>
      <c r="C2887" s="28" t="s">
        <v>192</v>
      </c>
      <c r="D2887" s="28" t="s">
        <v>45</v>
      </c>
      <c r="E2887" s="28" t="s">
        <v>708</v>
      </c>
      <c r="F2887" s="28" t="s">
        <v>147</v>
      </c>
      <c r="G2887" s="28" t="s">
        <v>441</v>
      </c>
      <c r="H2887" s="28" t="s">
        <v>168</v>
      </c>
      <c r="I2887" s="29" t="n">
        <v>10000</v>
      </c>
      <c r="J2887" s="29" t="n">
        <v>5000</v>
      </c>
      <c r="K2887" s="28" t="n">
        <v>15</v>
      </c>
      <c r="L2887" s="28" t="n">
        <v>120</v>
      </c>
      <c r="M2887" s="28" t="n">
        <v>1</v>
      </c>
    </row>
    <row r="2888" customFormat="false" ht="15" hidden="false" customHeight="false" outlineLevel="0" collapsed="false">
      <c r="A2888" s="27" t="n">
        <v>45259</v>
      </c>
      <c r="B2888" s="28" t="n">
        <v>2024</v>
      </c>
      <c r="C2888" s="28" t="s">
        <v>318</v>
      </c>
      <c r="D2888" s="28" t="s">
        <v>43</v>
      </c>
      <c r="E2888" s="28" t="s">
        <v>886</v>
      </c>
      <c r="F2888" s="28" t="s">
        <v>147</v>
      </c>
      <c r="G2888" s="28" t="s">
        <v>152</v>
      </c>
      <c r="H2888" s="28" t="s">
        <v>351</v>
      </c>
      <c r="I2888" s="29" t="n">
        <v>183000</v>
      </c>
      <c r="J2888" s="29" t="n">
        <v>91500</v>
      </c>
      <c r="K2888" s="28" t="n">
        <v>9.59</v>
      </c>
      <c r="L2888" s="28" t="n">
        <v>60</v>
      </c>
      <c r="M2888" s="28" t="n">
        <v>2</v>
      </c>
    </row>
    <row r="2889" customFormat="false" ht="15" hidden="false" customHeight="false" outlineLevel="0" collapsed="false">
      <c r="A2889" s="27" t="n">
        <v>45260</v>
      </c>
      <c r="B2889" s="28" t="n">
        <v>2024</v>
      </c>
      <c r="C2889" s="28" t="s">
        <v>172</v>
      </c>
      <c r="D2889" s="28" t="s">
        <v>48</v>
      </c>
      <c r="E2889" s="28" t="s">
        <v>346</v>
      </c>
      <c r="F2889" s="28" t="s">
        <v>142</v>
      </c>
      <c r="G2889" s="28" t="s">
        <v>148</v>
      </c>
      <c r="H2889" s="28" t="s">
        <v>275</v>
      </c>
      <c r="I2889" s="29" t="n">
        <v>103500</v>
      </c>
      <c r="J2889" s="29" t="n">
        <v>87975</v>
      </c>
      <c r="K2889" s="28" t="n">
        <v>11.25</v>
      </c>
      <c r="L2889" s="28" t="n">
        <v>120</v>
      </c>
      <c r="M2889" s="28" t="n">
        <v>7</v>
      </c>
    </row>
    <row r="2890" customFormat="false" ht="15" hidden="false" customHeight="false" outlineLevel="0" collapsed="false">
      <c r="A2890" s="27" t="n">
        <v>45260</v>
      </c>
      <c r="B2890" s="28" t="n">
        <v>2024</v>
      </c>
      <c r="C2890" s="28" t="s">
        <v>172</v>
      </c>
      <c r="D2890" s="28" t="s">
        <v>46</v>
      </c>
      <c r="E2890" s="28" t="s">
        <v>904</v>
      </c>
      <c r="F2890" s="28" t="s">
        <v>142</v>
      </c>
      <c r="G2890" s="28" t="s">
        <v>148</v>
      </c>
      <c r="H2890" s="28" t="s">
        <v>953</v>
      </c>
      <c r="I2890" s="29" t="n">
        <v>75000</v>
      </c>
      <c r="J2890" s="29" t="n">
        <v>63750</v>
      </c>
      <c r="K2890" s="28" t="n">
        <v>11.5</v>
      </c>
      <c r="L2890" s="28" t="n">
        <v>120</v>
      </c>
      <c r="M2890" s="28" t="n">
        <v>9</v>
      </c>
    </row>
    <row r="2891" customFormat="false" ht="15" hidden="false" customHeight="false" outlineLevel="0" collapsed="false">
      <c r="A2891" s="27" t="n">
        <v>45260</v>
      </c>
      <c r="B2891" s="28" t="n">
        <v>2024</v>
      </c>
      <c r="C2891" s="28" t="s">
        <v>603</v>
      </c>
      <c r="D2891" s="28" t="s">
        <v>51</v>
      </c>
      <c r="E2891" s="28" t="s">
        <v>567</v>
      </c>
      <c r="F2891" s="28" t="s">
        <v>142</v>
      </c>
      <c r="G2891" s="28" t="s">
        <v>441</v>
      </c>
      <c r="H2891" s="28" t="s">
        <v>269</v>
      </c>
      <c r="I2891" s="29" t="n">
        <v>1393000</v>
      </c>
      <c r="J2891" s="29" t="n">
        <v>1044750</v>
      </c>
      <c r="K2891" s="28" t="n">
        <v>10.5</v>
      </c>
      <c r="L2891" s="28" t="n">
        <v>300</v>
      </c>
      <c r="M2891" s="28" t="n">
        <v>25</v>
      </c>
    </row>
    <row r="2892" customFormat="false" ht="15" hidden="false" customHeight="false" outlineLevel="0" collapsed="false">
      <c r="A2892" s="27" t="n">
        <v>45261</v>
      </c>
      <c r="B2892" s="28" t="n">
        <v>2024</v>
      </c>
      <c r="C2892" s="28" t="s">
        <v>175</v>
      </c>
      <c r="D2892" s="28" t="s">
        <v>44</v>
      </c>
      <c r="E2892" s="28" t="s">
        <v>755</v>
      </c>
      <c r="F2892" s="28" t="s">
        <v>142</v>
      </c>
      <c r="G2892" s="28" t="s">
        <v>148</v>
      </c>
      <c r="H2892" s="28" t="s">
        <v>404</v>
      </c>
      <c r="I2892" s="29" t="n">
        <v>3692000</v>
      </c>
      <c r="J2892" s="29" t="n">
        <v>2769000</v>
      </c>
      <c r="K2892" s="28" t="n">
        <v>7.35</v>
      </c>
      <c r="L2892" s="28" t="n">
        <v>306</v>
      </c>
      <c r="M2892" s="28" t="n">
        <v>13</v>
      </c>
    </row>
    <row r="2893" customFormat="false" ht="15" hidden="false" customHeight="false" outlineLevel="0" collapsed="false">
      <c r="A2893" s="27" t="n">
        <v>45261</v>
      </c>
      <c r="B2893" s="28" t="n">
        <v>2024</v>
      </c>
      <c r="C2893" s="28" t="s">
        <v>145</v>
      </c>
      <c r="D2893" s="28" t="s">
        <v>48</v>
      </c>
      <c r="E2893" s="28" t="s">
        <v>767</v>
      </c>
      <c r="F2893" s="28" t="s">
        <v>142</v>
      </c>
      <c r="G2893" s="28" t="s">
        <v>148</v>
      </c>
      <c r="H2893" s="28" t="s">
        <v>208</v>
      </c>
      <c r="I2893" s="29" t="n">
        <v>300000</v>
      </c>
      <c r="J2893" s="29" t="n">
        <v>225000</v>
      </c>
      <c r="K2893" s="28" t="n">
        <v>11.25</v>
      </c>
      <c r="L2893" s="28" t="n">
        <v>120</v>
      </c>
      <c r="M2893" s="28" t="n">
        <v>1</v>
      </c>
    </row>
    <row r="2894" customFormat="false" ht="15" hidden="false" customHeight="false" outlineLevel="0" collapsed="false">
      <c r="A2894" s="27" t="n">
        <v>45261</v>
      </c>
      <c r="B2894" s="28" t="n">
        <v>2024</v>
      </c>
      <c r="C2894" s="28" t="s">
        <v>140</v>
      </c>
      <c r="D2894" s="28" t="s">
        <v>43</v>
      </c>
      <c r="E2894" s="28" t="s">
        <v>952</v>
      </c>
      <c r="F2894" s="28" t="s">
        <v>142</v>
      </c>
      <c r="G2894" s="28" t="s">
        <v>143</v>
      </c>
      <c r="H2894" s="28" t="s">
        <v>621</v>
      </c>
      <c r="I2894" s="29" t="n">
        <v>189500</v>
      </c>
      <c r="J2894" s="29" t="n">
        <v>142125</v>
      </c>
      <c r="K2894" s="28" t="n">
        <v>10.75</v>
      </c>
      <c r="L2894" s="28" t="n">
        <v>120</v>
      </c>
      <c r="M2894" s="28" t="n">
        <v>5</v>
      </c>
    </row>
    <row r="2895" customFormat="false" ht="15" hidden="false" customHeight="false" outlineLevel="0" collapsed="false">
      <c r="A2895" s="27" t="n">
        <v>45261</v>
      </c>
      <c r="B2895" s="28" t="n">
        <v>2024</v>
      </c>
      <c r="C2895" s="28" t="s">
        <v>172</v>
      </c>
      <c r="D2895" s="28" t="s">
        <v>54</v>
      </c>
      <c r="E2895" s="28" t="s">
        <v>791</v>
      </c>
      <c r="F2895" s="28" t="s">
        <v>147</v>
      </c>
      <c r="G2895" s="28" t="s">
        <v>148</v>
      </c>
      <c r="H2895" s="28" t="s">
        <v>159</v>
      </c>
      <c r="I2895" s="29" t="n">
        <v>5000</v>
      </c>
      <c r="J2895" s="29" t="n">
        <v>2500</v>
      </c>
      <c r="K2895" s="28" t="n">
        <v>15</v>
      </c>
      <c r="L2895" s="28" t="n">
        <v>120</v>
      </c>
      <c r="M2895" s="28" t="n">
        <v>0</v>
      </c>
    </row>
    <row r="2896" customFormat="false" ht="15" hidden="false" customHeight="false" outlineLevel="0" collapsed="false">
      <c r="A2896" s="27" t="n">
        <v>45261</v>
      </c>
      <c r="B2896" s="28" t="n">
        <v>2024</v>
      </c>
      <c r="C2896" s="28" t="s">
        <v>232</v>
      </c>
      <c r="D2896" s="28" t="s">
        <v>47</v>
      </c>
      <c r="E2896" s="28" t="s">
        <v>1029</v>
      </c>
      <c r="F2896" s="28" t="s">
        <v>147</v>
      </c>
      <c r="G2896" s="28" t="s">
        <v>441</v>
      </c>
      <c r="H2896" s="28" t="s">
        <v>234</v>
      </c>
      <c r="I2896" s="29" t="n">
        <v>350000</v>
      </c>
      <c r="J2896" s="29" t="n">
        <v>175000</v>
      </c>
      <c r="K2896" s="28" t="n">
        <v>9.5</v>
      </c>
      <c r="L2896" s="28" t="n">
        <v>72</v>
      </c>
      <c r="M2896" s="28" t="n">
        <v>4</v>
      </c>
    </row>
    <row r="2897" customFormat="false" ht="15" hidden="false" customHeight="false" outlineLevel="0" collapsed="false">
      <c r="A2897" s="27" t="n">
        <v>45261</v>
      </c>
      <c r="B2897" s="28" t="n">
        <v>2024</v>
      </c>
      <c r="C2897" s="28" t="s">
        <v>172</v>
      </c>
      <c r="D2897" s="28" t="s">
        <v>44</v>
      </c>
      <c r="E2897" s="28" t="s">
        <v>755</v>
      </c>
      <c r="F2897" s="28" t="s">
        <v>147</v>
      </c>
      <c r="G2897" s="28" t="s">
        <v>148</v>
      </c>
      <c r="H2897" s="28" t="s">
        <v>162</v>
      </c>
      <c r="I2897" s="29" t="n">
        <v>467500</v>
      </c>
      <c r="J2897" s="29" t="n">
        <v>233750</v>
      </c>
      <c r="K2897" s="28" t="n">
        <v>6.35</v>
      </c>
      <c r="L2897" s="28" t="n">
        <v>300</v>
      </c>
      <c r="M2897" s="28" t="n">
        <v>1</v>
      </c>
    </row>
    <row r="2898" customFormat="false" ht="15" hidden="false" customHeight="false" outlineLevel="0" collapsed="false">
      <c r="A2898" s="27" t="n">
        <v>45261</v>
      </c>
      <c r="B2898" s="28" t="n">
        <v>2024</v>
      </c>
      <c r="C2898" s="28" t="s">
        <v>213</v>
      </c>
      <c r="D2898" s="28" t="s">
        <v>42</v>
      </c>
      <c r="E2898" s="28" t="s">
        <v>784</v>
      </c>
      <c r="F2898" s="28" t="s">
        <v>142</v>
      </c>
      <c r="G2898" s="28" t="s">
        <v>143</v>
      </c>
      <c r="H2898" s="28" t="s">
        <v>693</v>
      </c>
      <c r="I2898" s="29" t="n">
        <v>75000</v>
      </c>
      <c r="J2898" s="29" t="n">
        <v>63750</v>
      </c>
      <c r="K2898" s="28" t="n">
        <v>13.25</v>
      </c>
      <c r="L2898" s="28" t="n">
        <v>120</v>
      </c>
      <c r="M2898" s="28" t="n">
        <v>2</v>
      </c>
    </row>
    <row r="2899" customFormat="false" ht="15" hidden="false" customHeight="false" outlineLevel="0" collapsed="false">
      <c r="A2899" s="27" t="n">
        <v>45265</v>
      </c>
      <c r="B2899" s="28" t="n">
        <v>2024</v>
      </c>
      <c r="C2899" s="28" t="s">
        <v>163</v>
      </c>
      <c r="D2899" s="28" t="s">
        <v>52</v>
      </c>
      <c r="E2899" s="28" t="s">
        <v>894</v>
      </c>
      <c r="F2899" s="28" t="s">
        <v>147</v>
      </c>
      <c r="G2899" s="28" t="s">
        <v>441</v>
      </c>
      <c r="H2899" s="28" t="s">
        <v>168</v>
      </c>
      <c r="I2899" s="29" t="n">
        <v>15000</v>
      </c>
      <c r="J2899" s="29" t="n">
        <v>7500</v>
      </c>
      <c r="K2899" s="28" t="n">
        <v>13.5</v>
      </c>
      <c r="L2899" s="28" t="n">
        <v>120</v>
      </c>
      <c r="M2899" s="28" t="n">
        <v>2</v>
      </c>
    </row>
    <row r="2900" customFormat="false" ht="15" hidden="false" customHeight="false" outlineLevel="0" collapsed="false">
      <c r="A2900" s="27" t="n">
        <v>45265</v>
      </c>
      <c r="B2900" s="28" t="n">
        <v>2024</v>
      </c>
      <c r="C2900" s="28" t="s">
        <v>172</v>
      </c>
      <c r="D2900" s="28" t="s">
        <v>46</v>
      </c>
      <c r="E2900" s="28" t="s">
        <v>930</v>
      </c>
      <c r="F2900" s="28" t="s">
        <v>142</v>
      </c>
      <c r="G2900" s="28" t="s">
        <v>152</v>
      </c>
      <c r="H2900" s="28" t="s">
        <v>376</v>
      </c>
      <c r="I2900" s="29" t="n">
        <v>535500</v>
      </c>
      <c r="J2900" s="29" t="n">
        <v>401625</v>
      </c>
      <c r="K2900" s="28" t="n">
        <v>9.5</v>
      </c>
      <c r="L2900" s="28" t="n">
        <v>120</v>
      </c>
      <c r="M2900" s="28" t="n">
        <v>12</v>
      </c>
    </row>
    <row r="2901" customFormat="false" ht="15" hidden="false" customHeight="false" outlineLevel="0" collapsed="false">
      <c r="A2901" s="27" t="n">
        <v>45266</v>
      </c>
      <c r="B2901" s="28" t="n">
        <v>2024</v>
      </c>
      <c r="C2901" s="28" t="s">
        <v>166</v>
      </c>
      <c r="D2901" s="28" t="s">
        <v>45</v>
      </c>
      <c r="E2901" s="28" t="s">
        <v>713</v>
      </c>
      <c r="F2901" s="28" t="s">
        <v>142</v>
      </c>
      <c r="G2901" s="28" t="s">
        <v>148</v>
      </c>
      <c r="H2901" s="28" t="s">
        <v>171</v>
      </c>
      <c r="I2901" s="29" t="n">
        <v>150000</v>
      </c>
      <c r="J2901" s="29" t="n">
        <v>127500</v>
      </c>
      <c r="K2901" s="28" t="n">
        <v>13.25</v>
      </c>
      <c r="L2901" s="28" t="n">
        <v>120</v>
      </c>
      <c r="M2901" s="28" t="n">
        <v>1</v>
      </c>
    </row>
    <row r="2902" customFormat="false" ht="15" hidden="false" customHeight="false" outlineLevel="0" collapsed="false">
      <c r="A2902" s="27" t="n">
        <v>45267</v>
      </c>
      <c r="B2902" s="28" t="n">
        <v>2024</v>
      </c>
      <c r="C2902" s="28" t="s">
        <v>209</v>
      </c>
      <c r="D2902" s="28" t="s">
        <v>48</v>
      </c>
      <c r="E2902" s="28" t="s">
        <v>736</v>
      </c>
      <c r="F2902" s="28" t="s">
        <v>147</v>
      </c>
      <c r="G2902" s="28" t="s">
        <v>148</v>
      </c>
      <c r="H2902" s="28" t="s">
        <v>234</v>
      </c>
      <c r="I2902" s="29" t="n">
        <v>463000</v>
      </c>
      <c r="J2902" s="29" t="n">
        <v>231500</v>
      </c>
      <c r="K2902" s="28" t="n">
        <v>8</v>
      </c>
      <c r="L2902" s="28" t="n">
        <v>84</v>
      </c>
      <c r="M2902" s="28" t="n">
        <v>25</v>
      </c>
    </row>
    <row r="2903" customFormat="false" ht="15" hidden="false" customHeight="false" outlineLevel="0" collapsed="false">
      <c r="A2903" s="27" t="n">
        <v>45267</v>
      </c>
      <c r="B2903" s="28" t="n">
        <v>2024</v>
      </c>
      <c r="C2903" s="28" t="s">
        <v>203</v>
      </c>
      <c r="D2903" s="28" t="s">
        <v>42</v>
      </c>
      <c r="E2903" s="28" t="s">
        <v>176</v>
      </c>
      <c r="F2903" s="28" t="s">
        <v>142</v>
      </c>
      <c r="G2903" s="28" t="s">
        <v>148</v>
      </c>
      <c r="H2903" s="28" t="s">
        <v>171</v>
      </c>
      <c r="I2903" s="29" t="n">
        <v>150000</v>
      </c>
      <c r="J2903" s="29" t="n">
        <v>127500</v>
      </c>
      <c r="K2903" s="28" t="n">
        <v>13.25</v>
      </c>
      <c r="L2903" s="28" t="n">
        <v>120</v>
      </c>
      <c r="M2903" s="28" t="n">
        <v>20</v>
      </c>
    </row>
    <row r="2904" customFormat="false" ht="15" hidden="false" customHeight="false" outlineLevel="0" collapsed="false">
      <c r="A2904" s="27" t="n">
        <v>45267</v>
      </c>
      <c r="B2904" s="28" t="n">
        <v>2024</v>
      </c>
      <c r="C2904" s="28" t="s">
        <v>344</v>
      </c>
      <c r="D2904" s="28" t="s">
        <v>50</v>
      </c>
      <c r="E2904" s="28" t="s">
        <v>261</v>
      </c>
      <c r="F2904" s="28" t="s">
        <v>142</v>
      </c>
      <c r="G2904" s="28" t="s">
        <v>143</v>
      </c>
      <c r="H2904" s="28" t="s">
        <v>208</v>
      </c>
      <c r="I2904" s="29" t="n">
        <v>700000</v>
      </c>
      <c r="J2904" s="29" t="n">
        <v>525000</v>
      </c>
      <c r="K2904" s="28" t="n">
        <v>10.25</v>
      </c>
      <c r="L2904" s="28" t="n">
        <v>312</v>
      </c>
      <c r="M2904" s="28" t="n">
        <v>1</v>
      </c>
    </row>
    <row r="2905" customFormat="false" ht="15" hidden="false" customHeight="false" outlineLevel="0" collapsed="false">
      <c r="A2905" s="27" t="n">
        <v>45267</v>
      </c>
      <c r="B2905" s="28" t="n">
        <v>2024</v>
      </c>
      <c r="C2905" s="28" t="s">
        <v>198</v>
      </c>
      <c r="D2905" s="28" t="s">
        <v>46</v>
      </c>
      <c r="E2905" s="28" t="s">
        <v>727</v>
      </c>
      <c r="F2905" s="28" t="s">
        <v>147</v>
      </c>
      <c r="G2905" s="28" t="s">
        <v>148</v>
      </c>
      <c r="H2905" s="28" t="s">
        <v>159</v>
      </c>
      <c r="I2905" s="29" t="n">
        <v>20000</v>
      </c>
      <c r="J2905" s="29" t="n">
        <v>10000</v>
      </c>
      <c r="K2905" s="28" t="n">
        <v>15</v>
      </c>
      <c r="L2905" s="28" t="n">
        <v>120</v>
      </c>
      <c r="M2905" s="28" t="n">
        <v>5</v>
      </c>
    </row>
    <row r="2906" customFormat="false" ht="15" hidden="false" customHeight="false" outlineLevel="0" collapsed="false">
      <c r="A2906" s="27" t="n">
        <v>45267</v>
      </c>
      <c r="B2906" s="28" t="n">
        <v>2024</v>
      </c>
      <c r="C2906" s="28" t="s">
        <v>169</v>
      </c>
      <c r="D2906" s="28" t="s">
        <v>48</v>
      </c>
      <c r="E2906" s="28" t="s">
        <v>736</v>
      </c>
      <c r="F2906" s="28" t="s">
        <v>142</v>
      </c>
      <c r="G2906" s="28" t="s">
        <v>148</v>
      </c>
      <c r="H2906" s="28" t="s">
        <v>144</v>
      </c>
      <c r="I2906" s="29" t="n">
        <v>1300000</v>
      </c>
      <c r="J2906" s="29" t="n">
        <v>975000</v>
      </c>
      <c r="K2906" s="28" t="n">
        <v>9.95</v>
      </c>
      <c r="L2906" s="28" t="n">
        <v>84</v>
      </c>
      <c r="M2906" s="28" t="n">
        <v>55</v>
      </c>
    </row>
    <row r="2907" customFormat="false" ht="15" hidden="false" customHeight="false" outlineLevel="0" collapsed="false">
      <c r="A2907" s="27" t="n">
        <v>45267</v>
      </c>
      <c r="B2907" s="28" t="n">
        <v>2024</v>
      </c>
      <c r="C2907" s="28" t="s">
        <v>163</v>
      </c>
      <c r="D2907" s="28" t="s">
        <v>44</v>
      </c>
      <c r="E2907" s="28" t="s">
        <v>729</v>
      </c>
      <c r="F2907" s="28" t="s">
        <v>142</v>
      </c>
      <c r="G2907" s="28" t="s">
        <v>148</v>
      </c>
      <c r="H2907" s="28" t="s">
        <v>953</v>
      </c>
      <c r="I2907" s="29" t="n">
        <v>350000</v>
      </c>
      <c r="J2907" s="29" t="n">
        <v>262500</v>
      </c>
      <c r="K2907" s="28" t="n">
        <v>11.5</v>
      </c>
      <c r="L2907" s="28" t="n">
        <v>120</v>
      </c>
      <c r="M2907" s="28" t="n">
        <v>48</v>
      </c>
    </row>
    <row r="2908" customFormat="false" ht="15" hidden="false" customHeight="false" outlineLevel="0" collapsed="false">
      <c r="A2908" s="27" t="n">
        <v>45267</v>
      </c>
      <c r="B2908" s="28" t="n">
        <v>2024</v>
      </c>
      <c r="C2908" s="28" t="s">
        <v>163</v>
      </c>
      <c r="D2908" s="28" t="s">
        <v>47</v>
      </c>
      <c r="E2908" s="28" t="s">
        <v>1025</v>
      </c>
      <c r="F2908" s="28" t="s">
        <v>194</v>
      </c>
      <c r="G2908" s="28" t="s">
        <v>152</v>
      </c>
      <c r="H2908" s="28" t="s">
        <v>1026</v>
      </c>
      <c r="I2908" s="29" t="n">
        <v>3800000</v>
      </c>
      <c r="J2908" s="29" t="n">
        <v>2850000</v>
      </c>
      <c r="K2908" s="28" t="n">
        <v>10.25</v>
      </c>
      <c r="L2908" s="28" t="n">
        <v>120</v>
      </c>
      <c r="M2908" s="28" t="n">
        <v>112</v>
      </c>
    </row>
    <row r="2909" customFormat="false" ht="15" hidden="false" customHeight="false" outlineLevel="0" collapsed="false">
      <c r="A2909" s="27" t="n">
        <v>45268</v>
      </c>
      <c r="B2909" s="28" t="n">
        <v>2024</v>
      </c>
      <c r="C2909" s="28" t="s">
        <v>169</v>
      </c>
      <c r="D2909" s="28" t="s">
        <v>57</v>
      </c>
      <c r="E2909" s="28" t="s">
        <v>1030</v>
      </c>
      <c r="F2909" s="28" t="s">
        <v>142</v>
      </c>
      <c r="G2909" s="28" t="s">
        <v>148</v>
      </c>
      <c r="H2909" s="28" t="s">
        <v>229</v>
      </c>
      <c r="I2909" s="29" t="n">
        <v>195000</v>
      </c>
      <c r="J2909" s="29" t="n">
        <v>146250</v>
      </c>
      <c r="K2909" s="28" t="n">
        <v>11.25</v>
      </c>
      <c r="L2909" s="28" t="n">
        <v>120</v>
      </c>
      <c r="M2909" s="28" t="n">
        <v>4</v>
      </c>
    </row>
    <row r="2910" customFormat="false" ht="15" hidden="false" customHeight="false" outlineLevel="0" collapsed="false">
      <c r="A2910" s="27" t="n">
        <v>45268</v>
      </c>
      <c r="B2910" s="28" t="n">
        <v>2024</v>
      </c>
      <c r="C2910" s="28" t="s">
        <v>169</v>
      </c>
      <c r="D2910" s="28" t="s">
        <v>44</v>
      </c>
      <c r="E2910" s="28" t="s">
        <v>729</v>
      </c>
      <c r="F2910" s="28" t="s">
        <v>142</v>
      </c>
      <c r="G2910" s="28" t="s">
        <v>441</v>
      </c>
      <c r="H2910" s="28" t="s">
        <v>452</v>
      </c>
      <c r="I2910" s="29" t="n">
        <v>715000</v>
      </c>
      <c r="J2910" s="29" t="n">
        <v>536250</v>
      </c>
      <c r="K2910" s="28" t="n">
        <v>11.5</v>
      </c>
      <c r="L2910" s="28" t="n">
        <v>300</v>
      </c>
      <c r="M2910" s="28" t="n">
        <v>14</v>
      </c>
    </row>
    <row r="2911" customFormat="false" ht="15" hidden="false" customHeight="false" outlineLevel="0" collapsed="false">
      <c r="A2911" s="27" t="n">
        <v>45268</v>
      </c>
      <c r="B2911" s="28" t="n">
        <v>2024</v>
      </c>
      <c r="C2911" s="28" t="s">
        <v>344</v>
      </c>
      <c r="D2911" s="28" t="s">
        <v>42</v>
      </c>
      <c r="E2911" s="28" t="s">
        <v>717</v>
      </c>
      <c r="F2911" s="28" t="s">
        <v>142</v>
      </c>
      <c r="G2911" s="28" t="s">
        <v>143</v>
      </c>
      <c r="H2911" s="28" t="s">
        <v>416</v>
      </c>
      <c r="I2911" s="29" t="n">
        <v>970000</v>
      </c>
      <c r="J2911" s="29" t="n">
        <v>727500</v>
      </c>
      <c r="K2911" s="28" t="n">
        <v>10.75</v>
      </c>
      <c r="L2911" s="28" t="n">
        <v>125</v>
      </c>
      <c r="M2911" s="28" t="n">
        <v>20</v>
      </c>
    </row>
    <row r="2912" customFormat="false" ht="15" hidden="false" customHeight="false" outlineLevel="0" collapsed="false">
      <c r="A2912" s="27" t="n">
        <v>45268</v>
      </c>
      <c r="B2912" s="28" t="n">
        <v>2024</v>
      </c>
      <c r="C2912" s="28" t="s">
        <v>216</v>
      </c>
      <c r="D2912" s="28" t="s">
        <v>46</v>
      </c>
      <c r="E2912" s="28" t="s">
        <v>727</v>
      </c>
      <c r="F2912" s="28" t="s">
        <v>147</v>
      </c>
      <c r="G2912" s="28" t="s">
        <v>441</v>
      </c>
      <c r="H2912" s="28" t="s">
        <v>168</v>
      </c>
      <c r="I2912" s="29" t="n">
        <v>40000</v>
      </c>
      <c r="J2912" s="29" t="n">
        <v>20000</v>
      </c>
      <c r="K2912" s="28" t="n">
        <v>13.5</v>
      </c>
      <c r="L2912" s="28" t="n">
        <v>120</v>
      </c>
      <c r="M2912" s="28" t="n">
        <v>0</v>
      </c>
    </row>
    <row r="2913" customFormat="false" ht="15" hidden="false" customHeight="false" outlineLevel="0" collapsed="false">
      <c r="A2913" s="27" t="n">
        <v>45269</v>
      </c>
      <c r="B2913" s="28" t="n">
        <v>2024</v>
      </c>
      <c r="C2913" s="28" t="s">
        <v>169</v>
      </c>
      <c r="D2913" s="28" t="s">
        <v>48</v>
      </c>
      <c r="E2913" s="28" t="s">
        <v>362</v>
      </c>
      <c r="F2913" s="28" t="s">
        <v>147</v>
      </c>
      <c r="G2913" s="28" t="s">
        <v>148</v>
      </c>
      <c r="H2913" s="28" t="s">
        <v>205</v>
      </c>
      <c r="I2913" s="29" t="n">
        <v>150000</v>
      </c>
      <c r="J2913" s="29" t="n">
        <v>75000</v>
      </c>
      <c r="K2913" s="28" t="n">
        <v>11.5</v>
      </c>
      <c r="L2913" s="28" t="n">
        <v>120</v>
      </c>
      <c r="M2913" s="28" t="n">
        <v>11</v>
      </c>
    </row>
    <row r="2914" customFormat="false" ht="15" hidden="false" customHeight="false" outlineLevel="0" collapsed="false">
      <c r="A2914" s="27" t="n">
        <v>45269</v>
      </c>
      <c r="B2914" s="28" t="n">
        <v>2024</v>
      </c>
      <c r="C2914" s="28" t="s">
        <v>172</v>
      </c>
      <c r="D2914" s="28" t="s">
        <v>48</v>
      </c>
      <c r="E2914" s="28" t="s">
        <v>736</v>
      </c>
      <c r="F2914" s="28" t="s">
        <v>283</v>
      </c>
      <c r="G2914" s="28" t="s">
        <v>148</v>
      </c>
      <c r="H2914" s="28" t="s">
        <v>171</v>
      </c>
      <c r="I2914" s="29" t="n">
        <v>2248000</v>
      </c>
      <c r="J2914" s="29" t="n">
        <v>2023200</v>
      </c>
      <c r="K2914" s="28" t="n">
        <v>11.25</v>
      </c>
      <c r="L2914" s="28" t="n">
        <v>120</v>
      </c>
      <c r="M2914" s="28" t="n">
        <v>12</v>
      </c>
    </row>
    <row r="2915" customFormat="false" ht="15" hidden="false" customHeight="false" outlineLevel="0" collapsed="false">
      <c r="A2915" s="27" t="n">
        <v>45270</v>
      </c>
      <c r="B2915" s="28" t="n">
        <v>2024</v>
      </c>
      <c r="C2915" s="28" t="s">
        <v>172</v>
      </c>
      <c r="D2915" s="28" t="s">
        <v>46</v>
      </c>
      <c r="E2915" s="28" t="s">
        <v>746</v>
      </c>
      <c r="F2915" s="28" t="s">
        <v>142</v>
      </c>
      <c r="G2915" s="28" t="s">
        <v>148</v>
      </c>
      <c r="H2915" s="28" t="s">
        <v>171</v>
      </c>
      <c r="I2915" s="29" t="n">
        <v>150000</v>
      </c>
      <c r="J2915" s="29" t="n">
        <v>127500</v>
      </c>
      <c r="K2915" s="28" t="n">
        <v>13.25</v>
      </c>
      <c r="L2915" s="28" t="n">
        <v>120</v>
      </c>
      <c r="M2915" s="28" t="n">
        <v>45</v>
      </c>
    </row>
    <row r="2916" customFormat="false" ht="15" hidden="false" customHeight="false" outlineLevel="0" collapsed="false">
      <c r="A2916" s="27" t="n">
        <v>45272</v>
      </c>
      <c r="B2916" s="28" t="n">
        <v>2024</v>
      </c>
      <c r="C2916" s="28" t="s">
        <v>145</v>
      </c>
      <c r="D2916" s="28" t="s">
        <v>50</v>
      </c>
      <c r="E2916" s="28" t="s">
        <v>261</v>
      </c>
      <c r="F2916" s="28" t="s">
        <v>147</v>
      </c>
      <c r="G2916" s="28" t="s">
        <v>148</v>
      </c>
      <c r="H2916" s="28" t="s">
        <v>162</v>
      </c>
      <c r="I2916" s="29" t="n">
        <v>250000</v>
      </c>
      <c r="J2916" s="29" t="n">
        <v>125000</v>
      </c>
      <c r="K2916" s="28" t="n">
        <v>11.25</v>
      </c>
      <c r="L2916" s="28" t="n">
        <v>120</v>
      </c>
      <c r="M2916" s="28" t="n">
        <v>5</v>
      </c>
    </row>
    <row r="2917" customFormat="false" ht="15" hidden="false" customHeight="false" outlineLevel="0" collapsed="false">
      <c r="A2917" s="27" t="n">
        <v>45272</v>
      </c>
      <c r="B2917" s="28" t="n">
        <v>2024</v>
      </c>
      <c r="C2917" s="28" t="s">
        <v>504</v>
      </c>
      <c r="D2917" s="28" t="s">
        <v>45</v>
      </c>
      <c r="E2917" s="28" t="s">
        <v>713</v>
      </c>
      <c r="F2917" s="28" t="s">
        <v>147</v>
      </c>
      <c r="G2917" s="28" t="s">
        <v>148</v>
      </c>
      <c r="H2917" s="28" t="s">
        <v>306</v>
      </c>
      <c r="I2917" s="29" t="n">
        <v>500000</v>
      </c>
      <c r="J2917" s="29" t="n">
        <v>250000</v>
      </c>
      <c r="K2917" s="28" t="n">
        <v>10</v>
      </c>
      <c r="L2917" s="28" t="n">
        <v>120</v>
      </c>
      <c r="M2917" s="28" t="n">
        <v>6</v>
      </c>
    </row>
    <row r="2918" customFormat="false" ht="15" hidden="false" customHeight="false" outlineLevel="0" collapsed="false">
      <c r="A2918" s="27" t="n">
        <v>45272</v>
      </c>
      <c r="B2918" s="28" t="n">
        <v>2024</v>
      </c>
      <c r="C2918" s="28" t="s">
        <v>411</v>
      </c>
      <c r="D2918" s="28" t="s">
        <v>43</v>
      </c>
      <c r="E2918" s="28" t="s">
        <v>749</v>
      </c>
      <c r="F2918" s="28" t="s">
        <v>142</v>
      </c>
      <c r="G2918" s="28" t="s">
        <v>148</v>
      </c>
      <c r="H2918" s="28" t="s">
        <v>171</v>
      </c>
      <c r="I2918" s="29" t="n">
        <v>150000</v>
      </c>
      <c r="J2918" s="29" t="n">
        <v>127500</v>
      </c>
      <c r="K2918" s="28" t="n">
        <v>13.25</v>
      </c>
      <c r="L2918" s="28" t="n">
        <v>120</v>
      </c>
      <c r="M2918" s="28" t="n">
        <v>1</v>
      </c>
    </row>
    <row r="2919" customFormat="false" ht="15" hidden="false" customHeight="false" outlineLevel="0" collapsed="false">
      <c r="A2919" s="27" t="n">
        <v>45272</v>
      </c>
      <c r="B2919" s="28" t="n">
        <v>2024</v>
      </c>
      <c r="C2919" s="28" t="s">
        <v>206</v>
      </c>
      <c r="D2919" s="28" t="s">
        <v>48</v>
      </c>
      <c r="E2919" s="28" t="s">
        <v>362</v>
      </c>
      <c r="F2919" s="28" t="s">
        <v>194</v>
      </c>
      <c r="G2919" s="28" t="s">
        <v>148</v>
      </c>
      <c r="H2919" s="28" t="s">
        <v>605</v>
      </c>
      <c r="I2919" s="29" t="n">
        <v>150000</v>
      </c>
      <c r="J2919" s="29" t="n">
        <v>127500</v>
      </c>
      <c r="K2919" s="28" t="n">
        <v>10.25</v>
      </c>
      <c r="L2919" s="28" t="n">
        <v>120</v>
      </c>
      <c r="M2919" s="28" t="n">
        <v>7</v>
      </c>
    </row>
    <row r="2920" customFormat="false" ht="15" hidden="false" customHeight="false" outlineLevel="0" collapsed="false">
      <c r="A2920" s="27" t="n">
        <v>45273</v>
      </c>
      <c r="B2920" s="28" t="n">
        <v>2024</v>
      </c>
      <c r="C2920" s="28" t="s">
        <v>172</v>
      </c>
      <c r="D2920" s="28" t="s">
        <v>50</v>
      </c>
      <c r="E2920" s="28" t="s">
        <v>877</v>
      </c>
      <c r="F2920" s="28" t="s">
        <v>147</v>
      </c>
      <c r="G2920" s="28" t="s">
        <v>148</v>
      </c>
      <c r="H2920" s="28" t="s">
        <v>162</v>
      </c>
      <c r="I2920" s="29" t="n">
        <v>250000</v>
      </c>
      <c r="J2920" s="29" t="n">
        <v>125000</v>
      </c>
      <c r="K2920" s="28" t="n">
        <v>11.25</v>
      </c>
      <c r="L2920" s="28" t="n">
        <v>120</v>
      </c>
      <c r="M2920" s="28" t="n">
        <v>15</v>
      </c>
    </row>
    <row r="2921" customFormat="false" ht="15" hidden="false" customHeight="false" outlineLevel="0" collapsed="false">
      <c r="A2921" s="27" t="n">
        <v>45273</v>
      </c>
      <c r="B2921" s="28" t="n">
        <v>2024</v>
      </c>
      <c r="C2921" s="28" t="s">
        <v>145</v>
      </c>
      <c r="D2921" s="28" t="s">
        <v>42</v>
      </c>
      <c r="E2921" s="28" t="s">
        <v>753</v>
      </c>
      <c r="F2921" s="28" t="s">
        <v>142</v>
      </c>
      <c r="G2921" s="28" t="s">
        <v>143</v>
      </c>
      <c r="H2921" s="28" t="s">
        <v>211</v>
      </c>
      <c r="I2921" s="29" t="n">
        <v>688000</v>
      </c>
      <c r="J2921" s="29" t="n">
        <v>516000</v>
      </c>
      <c r="K2921" s="28" t="n">
        <v>10.5</v>
      </c>
      <c r="L2921" s="28" t="n">
        <v>129</v>
      </c>
      <c r="M2921" s="28" t="n">
        <v>25</v>
      </c>
    </row>
    <row r="2922" customFormat="false" ht="15" hidden="false" customHeight="false" outlineLevel="0" collapsed="false">
      <c r="A2922" s="27" t="n">
        <v>45273</v>
      </c>
      <c r="B2922" s="28" t="n">
        <v>2024</v>
      </c>
      <c r="C2922" s="28" t="s">
        <v>332</v>
      </c>
      <c r="D2922" s="28" t="s">
        <v>45</v>
      </c>
      <c r="E2922" s="28" t="s">
        <v>708</v>
      </c>
      <c r="F2922" s="28" t="s">
        <v>147</v>
      </c>
      <c r="G2922" s="28" t="s">
        <v>148</v>
      </c>
      <c r="H2922" s="28" t="s">
        <v>191</v>
      </c>
      <c r="I2922" s="29" t="n">
        <v>25000</v>
      </c>
      <c r="J2922" s="29" t="n">
        <v>12500</v>
      </c>
      <c r="K2922" s="28" t="n">
        <v>12.4</v>
      </c>
      <c r="L2922" s="28" t="n">
        <v>120</v>
      </c>
      <c r="M2922" s="28" t="n">
        <v>4</v>
      </c>
    </row>
    <row r="2923" customFormat="false" ht="15" hidden="false" customHeight="false" outlineLevel="0" collapsed="false">
      <c r="A2923" s="27" t="n">
        <v>45273</v>
      </c>
      <c r="B2923" s="28" t="n">
        <v>2024</v>
      </c>
      <c r="C2923" s="28" t="s">
        <v>145</v>
      </c>
      <c r="D2923" s="28" t="s">
        <v>42</v>
      </c>
      <c r="E2923" s="28" t="s">
        <v>753</v>
      </c>
      <c r="F2923" s="28" t="s">
        <v>147</v>
      </c>
      <c r="G2923" s="28" t="s">
        <v>143</v>
      </c>
      <c r="H2923" s="28" t="s">
        <v>211</v>
      </c>
      <c r="I2923" s="29" t="n">
        <v>75000</v>
      </c>
      <c r="J2923" s="29" t="n">
        <v>37500</v>
      </c>
      <c r="K2923" s="28" t="n">
        <v>10.5</v>
      </c>
      <c r="L2923" s="28" t="n">
        <v>120</v>
      </c>
      <c r="M2923" s="28" t="n">
        <v>25</v>
      </c>
    </row>
    <row r="2924" customFormat="false" ht="15" hidden="false" customHeight="false" outlineLevel="0" collapsed="false">
      <c r="A2924" s="27" t="n">
        <v>45273</v>
      </c>
      <c r="B2924" s="28" t="n">
        <v>2024</v>
      </c>
      <c r="C2924" s="28" t="s">
        <v>166</v>
      </c>
      <c r="D2924" s="28" t="s">
        <v>52</v>
      </c>
      <c r="E2924" s="28" t="s">
        <v>720</v>
      </c>
      <c r="F2924" s="28" t="s">
        <v>147</v>
      </c>
      <c r="G2924" s="28" t="s">
        <v>441</v>
      </c>
      <c r="H2924" s="28" t="s">
        <v>168</v>
      </c>
      <c r="I2924" s="29" t="n">
        <v>10000</v>
      </c>
      <c r="J2924" s="29" t="n">
        <v>5000</v>
      </c>
      <c r="K2924" s="28" t="n">
        <v>14.5</v>
      </c>
      <c r="L2924" s="28" t="n">
        <v>120</v>
      </c>
      <c r="M2924" s="28" t="n">
        <v>1</v>
      </c>
    </row>
    <row r="2925" customFormat="false" ht="15" hidden="false" customHeight="false" outlineLevel="0" collapsed="false">
      <c r="A2925" s="27" t="n">
        <v>45275</v>
      </c>
      <c r="B2925" s="28" t="n">
        <v>2024</v>
      </c>
      <c r="C2925" s="28" t="s">
        <v>160</v>
      </c>
      <c r="D2925" s="28" t="s">
        <v>48</v>
      </c>
      <c r="E2925" s="28" t="s">
        <v>342</v>
      </c>
      <c r="F2925" s="28" t="s">
        <v>142</v>
      </c>
      <c r="G2925" s="28" t="s">
        <v>148</v>
      </c>
      <c r="H2925" s="28" t="s">
        <v>771</v>
      </c>
      <c r="I2925" s="29" t="n">
        <v>74700</v>
      </c>
      <c r="J2925" s="29" t="n">
        <v>63495</v>
      </c>
      <c r="K2925" s="28" t="n">
        <v>11.25</v>
      </c>
      <c r="L2925" s="28" t="n">
        <v>120</v>
      </c>
      <c r="M2925" s="28" t="n">
        <v>3</v>
      </c>
    </row>
    <row r="2926" customFormat="false" ht="15" hidden="false" customHeight="false" outlineLevel="0" collapsed="false">
      <c r="A2926" s="27" t="n">
        <v>45275</v>
      </c>
      <c r="B2926" s="28" t="n">
        <v>2024</v>
      </c>
      <c r="C2926" s="28" t="s">
        <v>172</v>
      </c>
      <c r="D2926" s="28" t="s">
        <v>48</v>
      </c>
      <c r="E2926" s="28" t="s">
        <v>362</v>
      </c>
      <c r="F2926" s="28" t="s">
        <v>142</v>
      </c>
      <c r="G2926" s="28" t="s">
        <v>148</v>
      </c>
      <c r="H2926" s="28" t="s">
        <v>211</v>
      </c>
      <c r="I2926" s="29" t="n">
        <v>200000</v>
      </c>
      <c r="J2926" s="29" t="n">
        <v>150000</v>
      </c>
      <c r="K2926" s="28" t="n">
        <v>11.25</v>
      </c>
      <c r="L2926" s="28" t="n">
        <v>120</v>
      </c>
      <c r="M2926" s="28" t="n">
        <v>4</v>
      </c>
    </row>
    <row r="2927" customFormat="false" ht="15" hidden="false" customHeight="false" outlineLevel="0" collapsed="false">
      <c r="A2927" s="27" t="n">
        <v>45275</v>
      </c>
      <c r="B2927" s="28" t="n">
        <v>2024</v>
      </c>
      <c r="C2927" s="28" t="s">
        <v>460</v>
      </c>
      <c r="D2927" s="28" t="s">
        <v>48</v>
      </c>
      <c r="E2927" s="28" t="s">
        <v>815</v>
      </c>
      <c r="F2927" s="28" t="s">
        <v>147</v>
      </c>
      <c r="G2927" s="28" t="s">
        <v>441</v>
      </c>
      <c r="H2927" s="28" t="s">
        <v>168</v>
      </c>
      <c r="I2927" s="29" t="n">
        <v>35000</v>
      </c>
      <c r="J2927" s="29" t="n">
        <v>17500</v>
      </c>
      <c r="K2927" s="28" t="n">
        <v>14</v>
      </c>
      <c r="L2927" s="28" t="n">
        <v>120</v>
      </c>
      <c r="M2927" s="28" t="n">
        <v>2</v>
      </c>
    </row>
    <row r="2928" customFormat="false" ht="15" hidden="false" customHeight="false" outlineLevel="0" collapsed="false">
      <c r="A2928" s="27" t="n">
        <v>45275</v>
      </c>
      <c r="B2928" s="28" t="n">
        <v>2024</v>
      </c>
      <c r="C2928" s="28" t="s">
        <v>230</v>
      </c>
      <c r="D2928" s="28" t="s">
        <v>52</v>
      </c>
      <c r="E2928" s="28" t="s">
        <v>720</v>
      </c>
      <c r="F2928" s="28" t="s">
        <v>142</v>
      </c>
      <c r="G2928" s="28" t="s">
        <v>152</v>
      </c>
      <c r="H2928" s="28" t="s">
        <v>269</v>
      </c>
      <c r="I2928" s="29" t="n">
        <v>897000</v>
      </c>
      <c r="J2928" s="29" t="n">
        <v>672750</v>
      </c>
      <c r="K2928" s="28" t="n">
        <v>11.5</v>
      </c>
      <c r="L2928" s="28" t="n">
        <v>120</v>
      </c>
      <c r="M2928" s="28" t="n">
        <v>17</v>
      </c>
    </row>
    <row r="2929" customFormat="false" ht="15" hidden="false" customHeight="false" outlineLevel="0" collapsed="false">
      <c r="A2929" s="27" t="n">
        <v>45275</v>
      </c>
      <c r="B2929" s="28" t="n">
        <v>2024</v>
      </c>
      <c r="C2929" s="28" t="s">
        <v>515</v>
      </c>
      <c r="D2929" s="28" t="s">
        <v>45</v>
      </c>
      <c r="E2929" s="28" t="s">
        <v>713</v>
      </c>
      <c r="F2929" s="28" t="s">
        <v>283</v>
      </c>
      <c r="G2929" s="28" t="s">
        <v>148</v>
      </c>
      <c r="H2929" s="28" t="s">
        <v>986</v>
      </c>
      <c r="I2929" s="29" t="n">
        <v>2000000</v>
      </c>
      <c r="J2929" s="29" t="n">
        <v>1500000</v>
      </c>
      <c r="K2929" s="28" t="n">
        <v>10.25</v>
      </c>
      <c r="L2929" s="28" t="n">
        <v>60</v>
      </c>
      <c r="M2929" s="28" t="n">
        <v>6</v>
      </c>
    </row>
    <row r="2930" customFormat="false" ht="15" hidden="false" customHeight="false" outlineLevel="0" collapsed="false">
      <c r="A2930" s="27" t="n">
        <v>45275</v>
      </c>
      <c r="B2930" s="28" t="n">
        <v>2024</v>
      </c>
      <c r="C2930" s="28" t="s">
        <v>196</v>
      </c>
      <c r="D2930" s="28" t="s">
        <v>48</v>
      </c>
      <c r="E2930" s="28" t="s">
        <v>270</v>
      </c>
      <c r="F2930" s="28" t="s">
        <v>142</v>
      </c>
      <c r="G2930" s="28" t="s">
        <v>148</v>
      </c>
      <c r="H2930" s="28" t="s">
        <v>275</v>
      </c>
      <c r="I2930" s="29" t="n">
        <v>150000</v>
      </c>
      <c r="J2930" s="29" t="n">
        <v>127500</v>
      </c>
      <c r="K2930" s="28" t="n">
        <v>11.25</v>
      </c>
      <c r="L2930" s="28" t="n">
        <v>120</v>
      </c>
      <c r="M2930" s="28" t="n">
        <v>2</v>
      </c>
    </row>
    <row r="2931" customFormat="false" ht="15" hidden="false" customHeight="false" outlineLevel="0" collapsed="false">
      <c r="A2931" s="27" t="n">
        <v>45276</v>
      </c>
      <c r="B2931" s="28" t="n">
        <v>2024</v>
      </c>
      <c r="C2931" s="28" t="s">
        <v>201</v>
      </c>
      <c r="D2931" s="28" t="s">
        <v>47</v>
      </c>
      <c r="E2931" s="28" t="s">
        <v>373</v>
      </c>
      <c r="F2931" s="28" t="s">
        <v>142</v>
      </c>
      <c r="G2931" s="28" t="s">
        <v>143</v>
      </c>
      <c r="H2931" s="28" t="s">
        <v>372</v>
      </c>
      <c r="I2931" s="29" t="n">
        <v>310000</v>
      </c>
      <c r="J2931" s="29" t="n">
        <v>232500</v>
      </c>
      <c r="K2931" s="28" t="n">
        <v>11.5</v>
      </c>
      <c r="L2931" s="28" t="n">
        <v>120</v>
      </c>
      <c r="M2931" s="28" t="n">
        <v>6</v>
      </c>
    </row>
    <row r="2932" customFormat="false" ht="15" hidden="false" customHeight="false" outlineLevel="0" collapsed="false">
      <c r="A2932" s="27" t="n">
        <v>45276</v>
      </c>
      <c r="B2932" s="28" t="n">
        <v>2024</v>
      </c>
      <c r="C2932" s="28" t="s">
        <v>206</v>
      </c>
      <c r="D2932" s="28" t="s">
        <v>46</v>
      </c>
      <c r="E2932" s="28" t="s">
        <v>746</v>
      </c>
      <c r="F2932" s="28" t="s">
        <v>142</v>
      </c>
      <c r="G2932" s="28" t="s">
        <v>148</v>
      </c>
      <c r="H2932" s="28" t="s">
        <v>275</v>
      </c>
      <c r="I2932" s="29" t="n">
        <v>50000</v>
      </c>
      <c r="J2932" s="29" t="n">
        <v>42500</v>
      </c>
      <c r="K2932" s="28" t="n">
        <v>15</v>
      </c>
      <c r="L2932" s="28" t="n">
        <v>120</v>
      </c>
      <c r="M2932" s="28" t="n">
        <v>6</v>
      </c>
    </row>
    <row r="2933" customFormat="false" ht="15" hidden="false" customHeight="false" outlineLevel="0" collapsed="false">
      <c r="A2933" s="27" t="n">
        <v>45276</v>
      </c>
      <c r="B2933" s="28" t="n">
        <v>2024</v>
      </c>
      <c r="C2933" s="28" t="s">
        <v>206</v>
      </c>
      <c r="D2933" s="28" t="s">
        <v>48</v>
      </c>
      <c r="E2933" s="28" t="s">
        <v>210</v>
      </c>
      <c r="F2933" s="28" t="s">
        <v>147</v>
      </c>
      <c r="G2933" s="28" t="s">
        <v>152</v>
      </c>
      <c r="H2933" s="28" t="s">
        <v>144</v>
      </c>
      <c r="I2933" s="29" t="n">
        <v>250000</v>
      </c>
      <c r="J2933" s="29" t="n">
        <v>125000</v>
      </c>
      <c r="K2933" s="28" t="n">
        <v>10.5</v>
      </c>
      <c r="L2933" s="28" t="n">
        <v>120</v>
      </c>
      <c r="M2933" s="28" t="n">
        <v>22</v>
      </c>
    </row>
    <row r="2934" customFormat="false" ht="15" hidden="false" customHeight="false" outlineLevel="0" collapsed="false">
      <c r="A2934" s="27" t="n">
        <v>45276</v>
      </c>
      <c r="B2934" s="28" t="n">
        <v>2024</v>
      </c>
      <c r="C2934" s="28" t="s">
        <v>263</v>
      </c>
      <c r="D2934" s="28" t="s">
        <v>43</v>
      </c>
      <c r="E2934" s="28" t="s">
        <v>871</v>
      </c>
      <c r="F2934" s="28" t="s">
        <v>142</v>
      </c>
      <c r="G2934" s="28" t="s">
        <v>441</v>
      </c>
      <c r="H2934" s="28" t="s">
        <v>149</v>
      </c>
      <c r="I2934" s="29" t="n">
        <v>1470000</v>
      </c>
      <c r="J2934" s="29" t="n">
        <v>1102500</v>
      </c>
      <c r="K2934" s="28" t="n">
        <v>9.5</v>
      </c>
      <c r="L2934" s="28" t="n">
        <v>300</v>
      </c>
      <c r="M2934" s="28" t="n">
        <v>6</v>
      </c>
    </row>
    <row r="2935" customFormat="false" ht="15" hidden="false" customHeight="false" outlineLevel="0" collapsed="false">
      <c r="A2935" s="27" t="n">
        <v>45276</v>
      </c>
      <c r="B2935" s="28" t="n">
        <v>2024</v>
      </c>
      <c r="C2935" s="28" t="s">
        <v>303</v>
      </c>
      <c r="D2935" s="28" t="s">
        <v>44</v>
      </c>
      <c r="E2935" s="28" t="s">
        <v>729</v>
      </c>
      <c r="F2935" s="28" t="s">
        <v>142</v>
      </c>
      <c r="G2935" s="28" t="s">
        <v>148</v>
      </c>
      <c r="H2935" s="28" t="s">
        <v>275</v>
      </c>
      <c r="I2935" s="29" t="n">
        <v>50000</v>
      </c>
      <c r="J2935" s="29" t="n">
        <v>42500</v>
      </c>
      <c r="K2935" s="28" t="n">
        <v>15</v>
      </c>
      <c r="L2935" s="28" t="n">
        <v>120</v>
      </c>
      <c r="M2935" s="28" t="n">
        <v>13</v>
      </c>
    </row>
    <row r="2936" customFormat="false" ht="15" hidden="false" customHeight="false" outlineLevel="0" collapsed="false">
      <c r="A2936" s="27" t="n">
        <v>45276</v>
      </c>
      <c r="B2936" s="28" t="n">
        <v>2024</v>
      </c>
      <c r="C2936" s="28" t="s">
        <v>332</v>
      </c>
      <c r="D2936" s="28" t="s">
        <v>52</v>
      </c>
      <c r="E2936" s="28" t="s">
        <v>720</v>
      </c>
      <c r="F2936" s="28" t="s">
        <v>142</v>
      </c>
      <c r="G2936" s="28" t="s">
        <v>148</v>
      </c>
      <c r="H2936" s="28" t="s">
        <v>579</v>
      </c>
      <c r="I2936" s="29" t="n">
        <v>150000</v>
      </c>
      <c r="J2936" s="29" t="n">
        <v>127500</v>
      </c>
      <c r="K2936" s="28" t="n">
        <v>11.5</v>
      </c>
      <c r="L2936" s="28" t="n">
        <v>101</v>
      </c>
      <c r="M2936" s="28" t="n">
        <v>14</v>
      </c>
    </row>
    <row r="2937" customFormat="false" ht="15" hidden="false" customHeight="false" outlineLevel="0" collapsed="false">
      <c r="A2937" s="27" t="n">
        <v>45276</v>
      </c>
      <c r="B2937" s="28" t="n">
        <v>2024</v>
      </c>
      <c r="C2937" s="28" t="s">
        <v>206</v>
      </c>
      <c r="D2937" s="28" t="s">
        <v>48</v>
      </c>
      <c r="E2937" s="28" t="s">
        <v>210</v>
      </c>
      <c r="F2937" s="28" t="s">
        <v>142</v>
      </c>
      <c r="G2937" s="28" t="s">
        <v>152</v>
      </c>
      <c r="H2937" s="28" t="s">
        <v>144</v>
      </c>
      <c r="I2937" s="29" t="n">
        <v>2775000</v>
      </c>
      <c r="J2937" s="29" t="n">
        <v>2081250</v>
      </c>
      <c r="K2937" s="28" t="n">
        <v>10</v>
      </c>
      <c r="L2937" s="28" t="n">
        <v>120</v>
      </c>
      <c r="M2937" s="28" t="n">
        <v>22</v>
      </c>
    </row>
    <row r="2938" customFormat="false" ht="15" hidden="false" customHeight="false" outlineLevel="0" collapsed="false">
      <c r="A2938" s="27" t="n">
        <v>45277</v>
      </c>
      <c r="B2938" s="28" t="n">
        <v>2024</v>
      </c>
      <c r="C2938" s="28" t="s">
        <v>460</v>
      </c>
      <c r="D2938" s="28" t="s">
        <v>45</v>
      </c>
      <c r="E2938" s="28" t="s">
        <v>976</v>
      </c>
      <c r="F2938" s="28" t="s">
        <v>142</v>
      </c>
      <c r="G2938" s="28" t="s">
        <v>148</v>
      </c>
      <c r="H2938" s="28" t="s">
        <v>275</v>
      </c>
      <c r="I2938" s="29" t="n">
        <v>50000</v>
      </c>
      <c r="J2938" s="29" t="n">
        <v>42500</v>
      </c>
      <c r="K2938" s="28" t="n">
        <v>15</v>
      </c>
      <c r="L2938" s="28" t="n">
        <v>120</v>
      </c>
      <c r="M2938" s="28" t="n">
        <v>14</v>
      </c>
    </row>
    <row r="2939" customFormat="false" ht="15" hidden="false" customHeight="false" outlineLevel="0" collapsed="false">
      <c r="A2939" s="27" t="n">
        <v>45278</v>
      </c>
      <c r="B2939" s="28" t="n">
        <v>2024</v>
      </c>
      <c r="C2939" s="28" t="s">
        <v>166</v>
      </c>
      <c r="D2939" s="28" t="s">
        <v>44</v>
      </c>
      <c r="E2939" s="28" t="s">
        <v>920</v>
      </c>
      <c r="F2939" s="28" t="s">
        <v>147</v>
      </c>
      <c r="G2939" s="28" t="s">
        <v>441</v>
      </c>
      <c r="H2939" s="28" t="s">
        <v>205</v>
      </c>
      <c r="I2939" s="29" t="n">
        <v>25000</v>
      </c>
      <c r="J2939" s="29" t="n">
        <v>12500</v>
      </c>
      <c r="K2939" s="28" t="n">
        <v>11.5</v>
      </c>
      <c r="L2939" s="28" t="n">
        <v>79</v>
      </c>
      <c r="M2939" s="28" t="n">
        <v>2</v>
      </c>
    </row>
    <row r="2940" customFormat="false" ht="15" hidden="false" customHeight="false" outlineLevel="0" collapsed="false">
      <c r="A2940" s="27" t="n">
        <v>45279</v>
      </c>
      <c r="B2940" s="28" t="n">
        <v>2024</v>
      </c>
      <c r="C2940" s="28" t="s">
        <v>196</v>
      </c>
      <c r="D2940" s="28" t="s">
        <v>44</v>
      </c>
      <c r="E2940" s="28" t="s">
        <v>755</v>
      </c>
      <c r="F2940" s="28" t="s">
        <v>142</v>
      </c>
      <c r="G2940" s="28" t="s">
        <v>441</v>
      </c>
      <c r="H2940" s="28" t="s">
        <v>168</v>
      </c>
      <c r="I2940" s="29" t="n">
        <v>333200</v>
      </c>
      <c r="J2940" s="29" t="n">
        <v>249900</v>
      </c>
      <c r="K2940" s="28" t="n">
        <v>8.6</v>
      </c>
      <c r="L2940" s="28" t="n">
        <v>120</v>
      </c>
      <c r="M2940" s="28" t="n">
        <v>8</v>
      </c>
    </row>
    <row r="2941" customFormat="false" ht="15" hidden="false" customHeight="false" outlineLevel="0" collapsed="false">
      <c r="A2941" s="27" t="n">
        <v>45279</v>
      </c>
      <c r="B2941" s="28" t="n">
        <v>2024</v>
      </c>
      <c r="C2941" s="28" t="s">
        <v>196</v>
      </c>
      <c r="D2941" s="28" t="s">
        <v>44</v>
      </c>
      <c r="E2941" s="28" t="s">
        <v>755</v>
      </c>
      <c r="F2941" s="28" t="s">
        <v>142</v>
      </c>
      <c r="G2941" s="28" t="s">
        <v>441</v>
      </c>
      <c r="H2941" s="28" t="s">
        <v>168</v>
      </c>
      <c r="I2941" s="29" t="n">
        <v>224500</v>
      </c>
      <c r="J2941" s="29" t="n">
        <v>168375</v>
      </c>
      <c r="K2941" s="28" t="n">
        <v>8.6</v>
      </c>
      <c r="L2941" s="28" t="n">
        <v>300</v>
      </c>
      <c r="M2941" s="28" t="n">
        <v>8</v>
      </c>
    </row>
    <row r="2942" customFormat="false" ht="15" hidden="false" customHeight="false" outlineLevel="0" collapsed="false">
      <c r="A2942" s="27" t="n">
        <v>45279</v>
      </c>
      <c r="B2942" s="28" t="n">
        <v>2024</v>
      </c>
      <c r="C2942" s="28" t="s">
        <v>172</v>
      </c>
      <c r="D2942" s="28" t="s">
        <v>42</v>
      </c>
      <c r="E2942" s="28" t="s">
        <v>717</v>
      </c>
      <c r="F2942" s="28" t="s">
        <v>142</v>
      </c>
      <c r="G2942" s="28" t="s">
        <v>143</v>
      </c>
      <c r="H2942" s="28" t="s">
        <v>592</v>
      </c>
      <c r="I2942" s="29" t="n">
        <v>2850000</v>
      </c>
      <c r="J2942" s="29" t="n">
        <v>2137500</v>
      </c>
      <c r="K2942" s="28" t="n">
        <v>7.75</v>
      </c>
      <c r="L2942" s="28" t="n">
        <v>300</v>
      </c>
      <c r="M2942" s="28" t="n">
        <v>12</v>
      </c>
    </row>
    <row r="2943" customFormat="false" ht="15" hidden="false" customHeight="false" outlineLevel="0" collapsed="false">
      <c r="A2943" s="27" t="n">
        <v>45279</v>
      </c>
      <c r="B2943" s="28" t="n">
        <v>2024</v>
      </c>
      <c r="C2943" s="28" t="s">
        <v>172</v>
      </c>
      <c r="D2943" s="28" t="s">
        <v>44</v>
      </c>
      <c r="E2943" s="28" t="s">
        <v>751</v>
      </c>
      <c r="F2943" s="28" t="s">
        <v>142</v>
      </c>
      <c r="G2943" s="28" t="s">
        <v>148</v>
      </c>
      <c r="H2943" s="28" t="s">
        <v>221</v>
      </c>
      <c r="I2943" s="29" t="n">
        <v>472500</v>
      </c>
      <c r="J2943" s="29" t="n">
        <v>354375</v>
      </c>
      <c r="K2943" s="28" t="n">
        <v>9.5</v>
      </c>
      <c r="L2943" s="28" t="n">
        <v>120</v>
      </c>
      <c r="M2943" s="28" t="n">
        <v>4</v>
      </c>
    </row>
    <row r="2944" customFormat="false" ht="15" hidden="false" customHeight="false" outlineLevel="0" collapsed="false">
      <c r="A2944" s="27" t="n">
        <v>45279</v>
      </c>
      <c r="B2944" s="28" t="n">
        <v>2024</v>
      </c>
      <c r="C2944" s="28" t="s">
        <v>172</v>
      </c>
      <c r="D2944" s="28" t="s">
        <v>48</v>
      </c>
      <c r="E2944" s="28" t="s">
        <v>765</v>
      </c>
      <c r="F2944" s="28" t="s">
        <v>147</v>
      </c>
      <c r="G2944" s="28" t="s">
        <v>143</v>
      </c>
      <c r="H2944" s="28" t="s">
        <v>159</v>
      </c>
      <c r="I2944" s="29" t="n">
        <v>100000</v>
      </c>
      <c r="J2944" s="29" t="n">
        <v>50000</v>
      </c>
      <c r="K2944" s="28" t="n">
        <v>10.75</v>
      </c>
      <c r="L2944" s="28" t="n">
        <v>120</v>
      </c>
      <c r="M2944" s="28" t="n">
        <v>9</v>
      </c>
    </row>
    <row r="2945" customFormat="false" ht="15" hidden="false" customHeight="false" outlineLevel="0" collapsed="false">
      <c r="A2945" s="27" t="n">
        <v>45279</v>
      </c>
      <c r="B2945" s="28" t="n">
        <v>2024</v>
      </c>
      <c r="C2945" s="28" t="s">
        <v>172</v>
      </c>
      <c r="D2945" s="28" t="s">
        <v>45</v>
      </c>
      <c r="E2945" s="28" t="s">
        <v>740</v>
      </c>
      <c r="F2945" s="28" t="s">
        <v>142</v>
      </c>
      <c r="G2945" s="28" t="s">
        <v>148</v>
      </c>
      <c r="H2945" s="28" t="s">
        <v>211</v>
      </c>
      <c r="I2945" s="29" t="n">
        <v>450000</v>
      </c>
      <c r="J2945" s="29" t="n">
        <v>337500</v>
      </c>
      <c r="K2945" s="28" t="n">
        <v>11.25</v>
      </c>
      <c r="L2945" s="28" t="n">
        <v>120</v>
      </c>
      <c r="M2945" s="28" t="n">
        <v>2</v>
      </c>
    </row>
    <row r="2946" customFormat="false" ht="15" hidden="false" customHeight="false" outlineLevel="0" collapsed="false">
      <c r="A2946" s="27" t="n">
        <v>45281</v>
      </c>
      <c r="B2946" s="28" t="n">
        <v>2024</v>
      </c>
      <c r="C2946" s="28" t="s">
        <v>201</v>
      </c>
      <c r="D2946" s="28" t="s">
        <v>45</v>
      </c>
      <c r="E2946" s="28" t="s">
        <v>864</v>
      </c>
      <c r="F2946" s="28" t="s">
        <v>147</v>
      </c>
      <c r="G2946" s="28" t="s">
        <v>441</v>
      </c>
      <c r="H2946" s="28" t="s">
        <v>168</v>
      </c>
      <c r="I2946" s="29" t="n">
        <v>40000</v>
      </c>
      <c r="J2946" s="29" t="n">
        <v>20000</v>
      </c>
      <c r="K2946" s="28" t="n">
        <v>14</v>
      </c>
      <c r="L2946" s="28" t="n">
        <v>120</v>
      </c>
      <c r="M2946" s="28" t="n">
        <v>0</v>
      </c>
    </row>
    <row r="2947" customFormat="false" ht="15" hidden="false" customHeight="false" outlineLevel="0" collapsed="false">
      <c r="A2947" s="27" t="n">
        <v>45281</v>
      </c>
      <c r="B2947" s="28" t="n">
        <v>2024</v>
      </c>
      <c r="C2947" s="28" t="s">
        <v>163</v>
      </c>
      <c r="D2947" s="28" t="s">
        <v>44</v>
      </c>
      <c r="E2947" s="28" t="s">
        <v>759</v>
      </c>
      <c r="F2947" s="28" t="s">
        <v>142</v>
      </c>
      <c r="G2947" s="28" t="s">
        <v>148</v>
      </c>
      <c r="H2947" s="28" t="s">
        <v>269</v>
      </c>
      <c r="I2947" s="29" t="n">
        <v>96000</v>
      </c>
      <c r="J2947" s="29" t="n">
        <v>81600</v>
      </c>
      <c r="K2947" s="28" t="n">
        <v>11.25</v>
      </c>
      <c r="L2947" s="28" t="n">
        <v>120</v>
      </c>
      <c r="M2947" s="28" t="n">
        <v>2</v>
      </c>
    </row>
    <row r="2948" customFormat="false" ht="15" hidden="false" customHeight="false" outlineLevel="0" collapsed="false">
      <c r="A2948" s="27" t="n">
        <v>45281</v>
      </c>
      <c r="B2948" s="28" t="n">
        <v>2024</v>
      </c>
      <c r="C2948" s="28" t="s">
        <v>198</v>
      </c>
      <c r="D2948" s="28" t="s">
        <v>42</v>
      </c>
      <c r="E2948" s="28" t="s">
        <v>717</v>
      </c>
      <c r="F2948" s="28" t="s">
        <v>147</v>
      </c>
      <c r="G2948" s="28" t="s">
        <v>143</v>
      </c>
      <c r="H2948" s="28" t="s">
        <v>159</v>
      </c>
      <c r="I2948" s="29" t="n">
        <v>50000</v>
      </c>
      <c r="J2948" s="29" t="n">
        <v>25000</v>
      </c>
      <c r="K2948" s="28" t="n">
        <v>10.49</v>
      </c>
      <c r="L2948" s="28" t="n">
        <v>60</v>
      </c>
      <c r="M2948" s="28" t="n">
        <v>1</v>
      </c>
    </row>
    <row r="2949" customFormat="false" ht="15" hidden="false" customHeight="false" outlineLevel="0" collapsed="false">
      <c r="A2949" s="27" t="n">
        <v>45283</v>
      </c>
      <c r="B2949" s="28" t="n">
        <v>2024</v>
      </c>
      <c r="C2949" s="28" t="s">
        <v>140</v>
      </c>
      <c r="D2949" s="28" t="s">
        <v>47</v>
      </c>
      <c r="E2949" s="28" t="s">
        <v>977</v>
      </c>
      <c r="F2949" s="28" t="s">
        <v>142</v>
      </c>
      <c r="G2949" s="28" t="s">
        <v>148</v>
      </c>
      <c r="H2949" s="28" t="s">
        <v>171</v>
      </c>
      <c r="I2949" s="29" t="n">
        <v>150000</v>
      </c>
      <c r="J2949" s="29" t="n">
        <v>127500</v>
      </c>
      <c r="K2949" s="28" t="n">
        <v>13.25</v>
      </c>
      <c r="L2949" s="28" t="n">
        <v>120</v>
      </c>
      <c r="M2949" s="28" t="n">
        <v>3</v>
      </c>
    </row>
    <row r="2950" customFormat="false" ht="15" hidden="false" customHeight="false" outlineLevel="0" collapsed="false">
      <c r="A2950" s="27" t="n">
        <v>45283</v>
      </c>
      <c r="B2950" s="28" t="n">
        <v>2024</v>
      </c>
      <c r="C2950" s="28" t="s">
        <v>303</v>
      </c>
      <c r="D2950" s="28" t="s">
        <v>46</v>
      </c>
      <c r="E2950" s="28" t="s">
        <v>813</v>
      </c>
      <c r="F2950" s="28" t="s">
        <v>142</v>
      </c>
      <c r="G2950" s="28" t="s">
        <v>441</v>
      </c>
      <c r="H2950" s="28" t="s">
        <v>827</v>
      </c>
      <c r="I2950" s="29" t="n">
        <v>425500</v>
      </c>
      <c r="J2950" s="29" t="n">
        <v>319125</v>
      </c>
      <c r="K2950" s="28" t="n">
        <v>10.5</v>
      </c>
      <c r="L2950" s="28" t="n">
        <v>120</v>
      </c>
      <c r="M2950" s="28" t="n">
        <v>8</v>
      </c>
    </row>
    <row r="2951" customFormat="false" ht="15" hidden="false" customHeight="false" outlineLevel="0" collapsed="false">
      <c r="A2951" s="27" t="n">
        <v>45283</v>
      </c>
      <c r="B2951" s="28" t="n">
        <v>2024</v>
      </c>
      <c r="C2951" s="28" t="s">
        <v>230</v>
      </c>
      <c r="D2951" s="28" t="s">
        <v>43</v>
      </c>
      <c r="E2951" s="28" t="s">
        <v>811</v>
      </c>
      <c r="F2951" s="28" t="s">
        <v>142</v>
      </c>
      <c r="G2951" s="28" t="s">
        <v>152</v>
      </c>
      <c r="H2951" s="28" t="s">
        <v>144</v>
      </c>
      <c r="I2951" s="29" t="n">
        <v>5000000</v>
      </c>
      <c r="J2951" s="29" t="n">
        <v>3750000</v>
      </c>
      <c r="K2951" s="28" t="n">
        <v>9.5</v>
      </c>
      <c r="L2951" s="28" t="n">
        <v>120</v>
      </c>
      <c r="M2951" s="28" t="n">
        <v>140</v>
      </c>
    </row>
    <row r="2952" customFormat="false" ht="15" hidden="false" customHeight="false" outlineLevel="0" collapsed="false">
      <c r="A2952" s="27" t="n">
        <v>45283</v>
      </c>
      <c r="B2952" s="28" t="n">
        <v>2024</v>
      </c>
      <c r="C2952" s="28" t="s">
        <v>272</v>
      </c>
      <c r="D2952" s="28" t="s">
        <v>43</v>
      </c>
      <c r="E2952" s="28" t="s">
        <v>858</v>
      </c>
      <c r="F2952" s="28" t="s">
        <v>142</v>
      </c>
      <c r="G2952" s="28" t="s">
        <v>148</v>
      </c>
      <c r="H2952" s="28" t="s">
        <v>211</v>
      </c>
      <c r="I2952" s="29" t="n">
        <v>350000</v>
      </c>
      <c r="J2952" s="29" t="n">
        <v>262500</v>
      </c>
      <c r="K2952" s="28" t="n">
        <v>11.25</v>
      </c>
      <c r="L2952" s="28" t="n">
        <v>120</v>
      </c>
      <c r="M2952" s="28" t="n">
        <v>5</v>
      </c>
    </row>
    <row r="2953" customFormat="false" ht="15" hidden="false" customHeight="false" outlineLevel="0" collapsed="false">
      <c r="A2953" s="27" t="n">
        <v>45287</v>
      </c>
      <c r="B2953" s="28" t="n">
        <v>2024</v>
      </c>
      <c r="C2953" s="28" t="s">
        <v>169</v>
      </c>
      <c r="D2953" s="28" t="s">
        <v>48</v>
      </c>
      <c r="E2953" s="28" t="s">
        <v>342</v>
      </c>
      <c r="F2953" s="28" t="s">
        <v>147</v>
      </c>
      <c r="G2953" s="28" t="s">
        <v>148</v>
      </c>
      <c r="H2953" s="28" t="s">
        <v>162</v>
      </c>
      <c r="I2953" s="29" t="n">
        <v>200000</v>
      </c>
      <c r="J2953" s="29" t="n">
        <v>100000</v>
      </c>
      <c r="K2953" s="28" t="n">
        <v>8.02</v>
      </c>
      <c r="L2953" s="28" t="n">
        <v>120</v>
      </c>
      <c r="M2953" s="28" t="n">
        <v>28</v>
      </c>
    </row>
    <row r="2954" customFormat="false" ht="15" hidden="false" customHeight="false" outlineLevel="0" collapsed="false">
      <c r="A2954" s="27" t="n">
        <v>45288</v>
      </c>
      <c r="B2954" s="28" t="n">
        <v>2024</v>
      </c>
      <c r="C2954" s="28" t="s">
        <v>206</v>
      </c>
      <c r="D2954" s="28" t="s">
        <v>44</v>
      </c>
      <c r="E2954" s="28" t="s">
        <v>730</v>
      </c>
      <c r="F2954" s="28" t="s">
        <v>147</v>
      </c>
      <c r="G2954" s="28" t="s">
        <v>148</v>
      </c>
      <c r="H2954" s="28" t="s">
        <v>205</v>
      </c>
      <c r="I2954" s="29" t="n">
        <v>250000</v>
      </c>
      <c r="J2954" s="29" t="n">
        <v>125000</v>
      </c>
      <c r="K2954" s="28" t="n">
        <v>11.5</v>
      </c>
      <c r="L2954" s="28" t="n">
        <v>73</v>
      </c>
      <c r="M2954" s="28" t="n">
        <v>2</v>
      </c>
    </row>
    <row r="2955" customFormat="false" ht="15" hidden="false" customHeight="false" outlineLevel="0" collapsed="false">
      <c r="A2955" s="27" t="n">
        <v>45288</v>
      </c>
      <c r="B2955" s="28" t="n">
        <v>2024</v>
      </c>
      <c r="C2955" s="28" t="s">
        <v>169</v>
      </c>
      <c r="D2955" s="28" t="s">
        <v>50</v>
      </c>
      <c r="E2955" s="28" t="s">
        <v>877</v>
      </c>
      <c r="F2955" s="28" t="s">
        <v>147</v>
      </c>
      <c r="G2955" s="28" t="s">
        <v>441</v>
      </c>
      <c r="H2955" s="28" t="s">
        <v>372</v>
      </c>
      <c r="I2955" s="29" t="n">
        <v>150000</v>
      </c>
      <c r="J2955" s="29" t="n">
        <v>75000</v>
      </c>
      <c r="K2955" s="28" t="n">
        <v>10.5</v>
      </c>
      <c r="L2955" s="28" t="n">
        <v>120</v>
      </c>
      <c r="M2955" s="28" t="n">
        <v>10</v>
      </c>
    </row>
    <row r="2956" customFormat="false" ht="15" hidden="false" customHeight="false" outlineLevel="0" collapsed="false">
      <c r="A2956" s="27" t="n">
        <v>45288</v>
      </c>
      <c r="B2956" s="28" t="n">
        <v>2024</v>
      </c>
      <c r="C2956" s="28" t="s">
        <v>169</v>
      </c>
      <c r="D2956" s="28" t="s">
        <v>50</v>
      </c>
      <c r="E2956" s="28" t="s">
        <v>877</v>
      </c>
      <c r="F2956" s="28" t="s">
        <v>142</v>
      </c>
      <c r="G2956" s="28" t="s">
        <v>441</v>
      </c>
      <c r="H2956" s="28" t="s">
        <v>372</v>
      </c>
      <c r="I2956" s="29" t="n">
        <v>100000</v>
      </c>
      <c r="J2956" s="29" t="n">
        <v>85000</v>
      </c>
      <c r="K2956" s="28" t="n">
        <v>10.5</v>
      </c>
      <c r="L2956" s="28" t="n">
        <v>120</v>
      </c>
      <c r="M2956" s="28" t="n">
        <v>10</v>
      </c>
    </row>
    <row r="2957" customFormat="false" ht="15" hidden="false" customHeight="false" outlineLevel="0" collapsed="false">
      <c r="A2957" s="27" t="n">
        <v>45288</v>
      </c>
      <c r="B2957" s="28" t="n">
        <v>2024</v>
      </c>
      <c r="C2957" s="28" t="s">
        <v>169</v>
      </c>
      <c r="D2957" s="28" t="s">
        <v>45</v>
      </c>
      <c r="E2957" s="28" t="s">
        <v>824</v>
      </c>
      <c r="F2957" s="28" t="s">
        <v>142</v>
      </c>
      <c r="G2957" s="28" t="s">
        <v>148</v>
      </c>
      <c r="H2957" s="28" t="s">
        <v>950</v>
      </c>
      <c r="I2957" s="29" t="n">
        <v>150000</v>
      </c>
      <c r="J2957" s="29" t="n">
        <v>127500</v>
      </c>
      <c r="K2957" s="28" t="n">
        <v>12.25</v>
      </c>
      <c r="L2957" s="28" t="n">
        <v>111</v>
      </c>
      <c r="M2957" s="28" t="n">
        <v>13</v>
      </c>
    </row>
    <row r="2958" customFormat="false" ht="15" hidden="false" customHeight="false" outlineLevel="0" collapsed="false">
      <c r="A2958" s="27" t="n">
        <v>45289</v>
      </c>
      <c r="B2958" s="28" t="n">
        <v>2024</v>
      </c>
      <c r="C2958" s="28" t="s">
        <v>328</v>
      </c>
      <c r="D2958" s="28" t="s">
        <v>48</v>
      </c>
      <c r="E2958" s="28" t="s">
        <v>277</v>
      </c>
      <c r="F2958" s="28" t="s">
        <v>147</v>
      </c>
      <c r="G2958" s="28" t="s">
        <v>148</v>
      </c>
      <c r="H2958" s="28" t="s">
        <v>1031</v>
      </c>
      <c r="I2958" s="29" t="n">
        <v>150000</v>
      </c>
      <c r="J2958" s="29" t="n">
        <v>75000</v>
      </c>
      <c r="K2958" s="28" t="n">
        <v>10</v>
      </c>
      <c r="L2958" s="28" t="n">
        <v>120</v>
      </c>
      <c r="M2958" s="28" t="n">
        <v>25</v>
      </c>
    </row>
    <row r="2959" customFormat="false" ht="15" hidden="false" customHeight="false" outlineLevel="0" collapsed="false">
      <c r="A2959" s="27" t="n">
        <v>45289</v>
      </c>
      <c r="B2959" s="28" t="n">
        <v>2024</v>
      </c>
      <c r="C2959" s="28" t="s">
        <v>603</v>
      </c>
      <c r="D2959" s="28" t="s">
        <v>44</v>
      </c>
      <c r="E2959" s="28" t="s">
        <v>729</v>
      </c>
      <c r="F2959" s="28" t="s">
        <v>142</v>
      </c>
      <c r="G2959" s="28" t="s">
        <v>148</v>
      </c>
      <c r="H2959" s="28" t="s">
        <v>171</v>
      </c>
      <c r="I2959" s="29" t="n">
        <v>115600</v>
      </c>
      <c r="J2959" s="29" t="n">
        <v>98260</v>
      </c>
      <c r="K2959" s="28" t="n">
        <v>13.25</v>
      </c>
      <c r="L2959" s="28" t="n">
        <v>120</v>
      </c>
      <c r="M2959" s="28" t="n">
        <v>3</v>
      </c>
    </row>
    <row r="2960" customFormat="false" ht="15" hidden="false" customHeight="false" outlineLevel="0" collapsed="false">
      <c r="A2960" s="27" t="n">
        <v>45289</v>
      </c>
      <c r="B2960" s="28" t="n">
        <v>2024</v>
      </c>
      <c r="C2960" s="28" t="s">
        <v>232</v>
      </c>
      <c r="D2960" s="28" t="s">
        <v>49</v>
      </c>
      <c r="E2960" s="28" t="s">
        <v>1032</v>
      </c>
      <c r="F2960" s="28" t="s">
        <v>147</v>
      </c>
      <c r="G2960" s="28" t="s">
        <v>441</v>
      </c>
      <c r="H2960" s="28" t="s">
        <v>168</v>
      </c>
      <c r="I2960" s="29" t="n">
        <v>15000</v>
      </c>
      <c r="J2960" s="29" t="n">
        <v>7500</v>
      </c>
      <c r="K2960" s="28" t="n">
        <v>14</v>
      </c>
      <c r="L2960" s="28" t="n">
        <v>120</v>
      </c>
      <c r="M2960" s="28" t="n">
        <v>0</v>
      </c>
    </row>
    <row r="2961" customFormat="false" ht="15" hidden="false" customHeight="false" outlineLevel="0" collapsed="false">
      <c r="A2961" s="27" t="n">
        <v>45289</v>
      </c>
      <c r="B2961" s="28" t="n">
        <v>2024</v>
      </c>
      <c r="C2961" s="28" t="s">
        <v>145</v>
      </c>
      <c r="D2961" s="28" t="s">
        <v>52</v>
      </c>
      <c r="E2961" s="28" t="s">
        <v>961</v>
      </c>
      <c r="F2961" s="28" t="s">
        <v>142</v>
      </c>
      <c r="G2961" s="28" t="s">
        <v>148</v>
      </c>
      <c r="H2961" s="28" t="s">
        <v>171</v>
      </c>
      <c r="I2961" s="29" t="n">
        <v>50000</v>
      </c>
      <c r="J2961" s="29" t="n">
        <v>42500</v>
      </c>
      <c r="K2961" s="28" t="n">
        <v>13.25</v>
      </c>
      <c r="L2961" s="28" t="n">
        <v>120</v>
      </c>
      <c r="M2961" s="28" t="n">
        <v>0</v>
      </c>
    </row>
    <row r="2962" customFormat="false" ht="15" hidden="false" customHeight="false" outlineLevel="0" collapsed="false">
      <c r="A2962" s="27" t="n">
        <v>45289</v>
      </c>
      <c r="B2962" s="28" t="n">
        <v>2024</v>
      </c>
      <c r="C2962" s="28" t="s">
        <v>163</v>
      </c>
      <c r="D2962" s="28" t="s">
        <v>46</v>
      </c>
      <c r="E2962" s="28" t="s">
        <v>702</v>
      </c>
      <c r="F2962" s="28" t="s">
        <v>142</v>
      </c>
      <c r="G2962" s="28" t="s">
        <v>441</v>
      </c>
      <c r="H2962" s="28" t="s">
        <v>621</v>
      </c>
      <c r="I2962" s="29" t="n">
        <v>150000</v>
      </c>
      <c r="J2962" s="29" t="n">
        <v>127500</v>
      </c>
      <c r="K2962" s="28" t="n">
        <v>12.25</v>
      </c>
      <c r="L2962" s="28" t="n">
        <v>120</v>
      </c>
      <c r="M2962" s="28" t="n">
        <v>3</v>
      </c>
    </row>
    <row r="2963" customFormat="false" ht="15" hidden="false" customHeight="false" outlineLevel="0" collapsed="false">
      <c r="A2963" s="27" t="n">
        <v>45291</v>
      </c>
      <c r="B2963" s="28" t="n">
        <v>2024</v>
      </c>
      <c r="C2963" s="28" t="s">
        <v>172</v>
      </c>
      <c r="D2963" s="28" t="s">
        <v>48</v>
      </c>
      <c r="E2963" s="28" t="s">
        <v>736</v>
      </c>
      <c r="F2963" s="28" t="s">
        <v>147</v>
      </c>
      <c r="G2963" s="28" t="s">
        <v>148</v>
      </c>
      <c r="H2963" s="28" t="s">
        <v>159</v>
      </c>
      <c r="I2963" s="29" t="n">
        <v>200000</v>
      </c>
      <c r="J2963" s="29" t="n">
        <v>100000</v>
      </c>
      <c r="K2963" s="28" t="n">
        <v>10.5</v>
      </c>
      <c r="L2963" s="28" t="n">
        <v>120</v>
      </c>
      <c r="M2963" s="28" t="n">
        <v>8</v>
      </c>
    </row>
    <row r="2964" customFormat="false" ht="15" hidden="false" customHeight="false" outlineLevel="0" collapsed="false">
      <c r="A2964" s="27" t="n">
        <v>45291</v>
      </c>
      <c r="B2964" s="28" t="n">
        <v>2024</v>
      </c>
      <c r="C2964" s="28" t="s">
        <v>166</v>
      </c>
      <c r="D2964" s="28" t="s">
        <v>50</v>
      </c>
      <c r="E2964" s="28" t="s">
        <v>193</v>
      </c>
      <c r="F2964" s="28" t="s">
        <v>142</v>
      </c>
      <c r="G2964" s="28" t="s">
        <v>148</v>
      </c>
      <c r="H2964" s="28" t="s">
        <v>449</v>
      </c>
      <c r="I2964" s="29" t="n">
        <v>236000</v>
      </c>
      <c r="J2964" s="29" t="n">
        <v>177000</v>
      </c>
      <c r="K2964" s="28" t="n">
        <v>11.5</v>
      </c>
      <c r="L2964" s="28" t="n">
        <v>120</v>
      </c>
      <c r="M2964" s="28" t="n">
        <v>6</v>
      </c>
    </row>
    <row r="2965" customFormat="false" ht="15" hidden="false" customHeight="false" outlineLevel="0" collapsed="false">
      <c r="A2965" s="27" t="n">
        <v>45291</v>
      </c>
      <c r="B2965" s="28" t="n">
        <v>2024</v>
      </c>
      <c r="C2965" s="28" t="s">
        <v>252</v>
      </c>
      <c r="D2965" s="28" t="s">
        <v>44</v>
      </c>
      <c r="E2965" s="28" t="s">
        <v>729</v>
      </c>
      <c r="F2965" s="28" t="s">
        <v>142</v>
      </c>
      <c r="G2965" s="28" t="s">
        <v>148</v>
      </c>
      <c r="H2965" s="28" t="s">
        <v>275</v>
      </c>
      <c r="I2965" s="29" t="n">
        <v>50000</v>
      </c>
      <c r="J2965" s="29" t="n">
        <v>42500</v>
      </c>
      <c r="K2965" s="28" t="n">
        <v>15</v>
      </c>
      <c r="L2965" s="28" t="n">
        <v>120</v>
      </c>
      <c r="M2965" s="28" t="n">
        <v>4</v>
      </c>
    </row>
    <row r="2966" customFormat="false" ht="15" hidden="false" customHeight="false" outlineLevel="0" collapsed="false">
      <c r="A2966" s="27" t="n">
        <v>45291</v>
      </c>
      <c r="B2966" s="28" t="n">
        <v>2024</v>
      </c>
      <c r="C2966" s="28" t="s">
        <v>206</v>
      </c>
      <c r="D2966" s="28" t="s">
        <v>48</v>
      </c>
      <c r="E2966" s="28" t="s">
        <v>925</v>
      </c>
      <c r="F2966" s="28" t="s">
        <v>147</v>
      </c>
      <c r="G2966" s="28" t="s">
        <v>441</v>
      </c>
      <c r="H2966" s="28" t="s">
        <v>159</v>
      </c>
      <c r="I2966" s="29" t="n">
        <v>15000</v>
      </c>
      <c r="J2966" s="29" t="n">
        <v>7500</v>
      </c>
      <c r="K2966" s="28" t="n">
        <v>15</v>
      </c>
      <c r="L2966" s="28" t="n">
        <v>120</v>
      </c>
      <c r="M2966" s="28" t="n">
        <v>7</v>
      </c>
    </row>
    <row r="2967" customFormat="false" ht="15" hidden="false" customHeight="false" outlineLevel="0" collapsed="false">
      <c r="A2967" s="27" t="n">
        <v>45294</v>
      </c>
      <c r="B2967" s="28" t="n">
        <v>2024</v>
      </c>
      <c r="C2967" s="28" t="s">
        <v>140</v>
      </c>
      <c r="D2967" s="28" t="s">
        <v>45</v>
      </c>
      <c r="E2967" s="28" t="s">
        <v>864</v>
      </c>
      <c r="F2967" s="28" t="s">
        <v>147</v>
      </c>
      <c r="G2967" s="28" t="s">
        <v>148</v>
      </c>
      <c r="H2967" s="28" t="s">
        <v>220</v>
      </c>
      <c r="I2967" s="29" t="n">
        <v>108000</v>
      </c>
      <c r="J2967" s="29" t="n">
        <v>54000</v>
      </c>
      <c r="K2967" s="28" t="n">
        <v>6.35</v>
      </c>
      <c r="L2967" s="28" t="n">
        <v>120</v>
      </c>
      <c r="M2967" s="28" t="n">
        <v>14</v>
      </c>
    </row>
    <row r="2968" customFormat="false" ht="15" hidden="false" customHeight="false" outlineLevel="0" collapsed="false">
      <c r="A2968" s="27" t="n">
        <v>45294</v>
      </c>
      <c r="B2968" s="28" t="n">
        <v>2024</v>
      </c>
      <c r="C2968" s="28" t="s">
        <v>201</v>
      </c>
      <c r="D2968" s="28" t="s">
        <v>50</v>
      </c>
      <c r="E2968" s="28" t="s">
        <v>877</v>
      </c>
      <c r="F2968" s="28" t="s">
        <v>142</v>
      </c>
      <c r="G2968" s="28" t="s">
        <v>143</v>
      </c>
      <c r="H2968" s="28" t="s">
        <v>413</v>
      </c>
      <c r="I2968" s="29" t="n">
        <v>229000</v>
      </c>
      <c r="J2968" s="29" t="n">
        <v>171750</v>
      </c>
      <c r="K2968" s="28" t="n">
        <v>10.75</v>
      </c>
      <c r="L2968" s="28" t="n">
        <v>120</v>
      </c>
      <c r="M2968" s="28" t="n">
        <v>2</v>
      </c>
    </row>
    <row r="2969" customFormat="false" ht="15" hidden="false" customHeight="false" outlineLevel="0" collapsed="false">
      <c r="A2969" s="27" t="n">
        <v>45294</v>
      </c>
      <c r="B2969" s="28" t="n">
        <v>2024</v>
      </c>
      <c r="C2969" s="28" t="s">
        <v>140</v>
      </c>
      <c r="D2969" s="28" t="s">
        <v>45</v>
      </c>
      <c r="E2969" s="28" t="s">
        <v>864</v>
      </c>
      <c r="F2969" s="28" t="s">
        <v>147</v>
      </c>
      <c r="G2969" s="28" t="s">
        <v>148</v>
      </c>
      <c r="H2969" s="28" t="s">
        <v>220</v>
      </c>
      <c r="I2969" s="29" t="n">
        <v>85000</v>
      </c>
      <c r="J2969" s="29" t="n">
        <v>42500</v>
      </c>
      <c r="K2969" s="28" t="n">
        <v>7.29</v>
      </c>
      <c r="L2969" s="28" t="n">
        <v>120</v>
      </c>
      <c r="M2969" s="28" t="n">
        <v>14</v>
      </c>
    </row>
    <row r="2970" customFormat="false" ht="15" hidden="false" customHeight="false" outlineLevel="0" collapsed="false">
      <c r="A2970" s="27" t="n">
        <v>45295</v>
      </c>
      <c r="B2970" s="28" t="n">
        <v>2024</v>
      </c>
      <c r="C2970" s="28" t="s">
        <v>252</v>
      </c>
      <c r="D2970" s="28" t="s">
        <v>44</v>
      </c>
      <c r="E2970" s="28" t="s">
        <v>839</v>
      </c>
      <c r="F2970" s="28" t="s">
        <v>194</v>
      </c>
      <c r="G2970" s="28" t="s">
        <v>148</v>
      </c>
      <c r="H2970" s="28" t="s">
        <v>799</v>
      </c>
      <c r="I2970" s="29" t="n">
        <v>1379000</v>
      </c>
      <c r="J2970" s="29" t="n">
        <v>1034250</v>
      </c>
      <c r="K2970" s="28" t="n">
        <v>10.5</v>
      </c>
      <c r="L2970" s="28" t="n">
        <v>300</v>
      </c>
      <c r="M2970" s="28" t="n">
        <v>72</v>
      </c>
    </row>
    <row r="2971" customFormat="false" ht="15" hidden="false" customHeight="false" outlineLevel="0" collapsed="false">
      <c r="A2971" s="27" t="n">
        <v>45295</v>
      </c>
      <c r="B2971" s="28" t="n">
        <v>2024</v>
      </c>
      <c r="C2971" s="28" t="s">
        <v>166</v>
      </c>
      <c r="D2971" s="28" t="s">
        <v>45</v>
      </c>
      <c r="E2971" s="28" t="s">
        <v>708</v>
      </c>
      <c r="F2971" s="28" t="s">
        <v>147</v>
      </c>
      <c r="G2971" s="28" t="s">
        <v>143</v>
      </c>
      <c r="H2971" s="28" t="s">
        <v>191</v>
      </c>
      <c r="I2971" s="29" t="n">
        <v>20000</v>
      </c>
      <c r="J2971" s="29" t="n">
        <v>10000</v>
      </c>
      <c r="K2971" s="28" t="n">
        <v>15</v>
      </c>
      <c r="L2971" s="28" t="n">
        <v>109</v>
      </c>
      <c r="M2971" s="28" t="n">
        <v>1</v>
      </c>
    </row>
    <row r="2972" customFormat="false" ht="15" hidden="false" customHeight="false" outlineLevel="0" collapsed="false">
      <c r="A2972" s="27" t="n">
        <v>45295</v>
      </c>
      <c r="B2972" s="28" t="n">
        <v>2024</v>
      </c>
      <c r="C2972" s="28" t="s">
        <v>484</v>
      </c>
      <c r="D2972" s="28" t="s">
        <v>52</v>
      </c>
      <c r="E2972" s="28" t="s">
        <v>1033</v>
      </c>
      <c r="F2972" s="28" t="s">
        <v>283</v>
      </c>
      <c r="G2972" s="28" t="s">
        <v>148</v>
      </c>
      <c r="H2972" s="28" t="s">
        <v>208</v>
      </c>
      <c r="I2972" s="29" t="n">
        <v>812500</v>
      </c>
      <c r="J2972" s="29" t="n">
        <v>731250</v>
      </c>
      <c r="K2972" s="28" t="n">
        <v>11</v>
      </c>
      <c r="L2972" s="28" t="n">
        <v>180</v>
      </c>
      <c r="M2972" s="28" t="n">
        <v>12</v>
      </c>
    </row>
    <row r="2973" customFormat="false" ht="15" hidden="false" customHeight="false" outlineLevel="0" collapsed="false">
      <c r="A2973" s="27" t="n">
        <v>45295</v>
      </c>
      <c r="B2973" s="28" t="n">
        <v>2024</v>
      </c>
      <c r="C2973" s="28" t="s">
        <v>360</v>
      </c>
      <c r="D2973" s="28" t="s">
        <v>44</v>
      </c>
      <c r="E2973" s="28" t="s">
        <v>897</v>
      </c>
      <c r="F2973" s="28" t="s">
        <v>147</v>
      </c>
      <c r="G2973" s="28" t="s">
        <v>441</v>
      </c>
      <c r="H2973" s="28" t="s">
        <v>168</v>
      </c>
      <c r="I2973" s="29" t="n">
        <v>15000</v>
      </c>
      <c r="J2973" s="29" t="n">
        <v>7500</v>
      </c>
      <c r="K2973" s="28" t="n">
        <v>14</v>
      </c>
      <c r="L2973" s="28" t="n">
        <v>120</v>
      </c>
      <c r="M2973" s="28" t="n">
        <v>3</v>
      </c>
    </row>
    <row r="2974" customFormat="false" ht="15" hidden="false" customHeight="false" outlineLevel="0" collapsed="false">
      <c r="A2974" s="27" t="n">
        <v>45296</v>
      </c>
      <c r="B2974" s="28" t="n">
        <v>2024</v>
      </c>
      <c r="C2974" s="28" t="s">
        <v>160</v>
      </c>
      <c r="D2974" s="28" t="s">
        <v>44</v>
      </c>
      <c r="E2974" s="28" t="s">
        <v>730</v>
      </c>
      <c r="F2974" s="28" t="s">
        <v>142</v>
      </c>
      <c r="G2974" s="28" t="s">
        <v>143</v>
      </c>
      <c r="H2974" s="28" t="s">
        <v>144</v>
      </c>
      <c r="I2974" s="29" t="n">
        <v>5000000</v>
      </c>
      <c r="J2974" s="29" t="n">
        <v>3750000</v>
      </c>
      <c r="K2974" s="28" t="n">
        <v>9</v>
      </c>
      <c r="L2974" s="28" t="n">
        <v>312</v>
      </c>
      <c r="M2974" s="28" t="n">
        <v>54</v>
      </c>
    </row>
    <row r="2975" customFormat="false" ht="15" hidden="false" customHeight="false" outlineLevel="0" collapsed="false">
      <c r="A2975" s="27" t="n">
        <v>45297</v>
      </c>
      <c r="B2975" s="28" t="n">
        <v>2024</v>
      </c>
      <c r="C2975" s="28" t="s">
        <v>421</v>
      </c>
      <c r="D2975" s="28" t="s">
        <v>43</v>
      </c>
      <c r="E2975" s="28" t="s">
        <v>858</v>
      </c>
      <c r="F2975" s="28" t="s">
        <v>142</v>
      </c>
      <c r="G2975" s="28" t="s">
        <v>148</v>
      </c>
      <c r="H2975" s="28" t="s">
        <v>950</v>
      </c>
      <c r="I2975" s="29" t="n">
        <v>100000</v>
      </c>
      <c r="J2975" s="29" t="n">
        <v>85000</v>
      </c>
      <c r="K2975" s="28" t="n">
        <v>12.25</v>
      </c>
      <c r="L2975" s="28" t="n">
        <v>120</v>
      </c>
      <c r="M2975" s="28" t="n">
        <v>0</v>
      </c>
    </row>
    <row r="2976" customFormat="false" ht="15" hidden="false" customHeight="false" outlineLevel="0" collapsed="false">
      <c r="A2976" s="27" t="n">
        <v>45297</v>
      </c>
      <c r="B2976" s="28" t="n">
        <v>2024</v>
      </c>
      <c r="C2976" s="28" t="s">
        <v>484</v>
      </c>
      <c r="D2976" s="28" t="s">
        <v>48</v>
      </c>
      <c r="E2976" s="28" t="s">
        <v>815</v>
      </c>
      <c r="F2976" s="28" t="s">
        <v>142</v>
      </c>
      <c r="G2976" s="28" t="s">
        <v>148</v>
      </c>
      <c r="H2976" s="28" t="s">
        <v>953</v>
      </c>
      <c r="I2976" s="29" t="n">
        <v>250000</v>
      </c>
      <c r="J2976" s="29" t="n">
        <v>187500</v>
      </c>
      <c r="K2976" s="28" t="n">
        <v>11.5</v>
      </c>
      <c r="L2976" s="28" t="n">
        <v>120</v>
      </c>
      <c r="M2976" s="28" t="n">
        <v>2</v>
      </c>
    </row>
    <row r="2977" customFormat="false" ht="15" hidden="false" customHeight="false" outlineLevel="0" collapsed="false">
      <c r="A2977" s="27" t="n">
        <v>45297</v>
      </c>
      <c r="B2977" s="28" t="n">
        <v>2024</v>
      </c>
      <c r="C2977" s="28" t="s">
        <v>160</v>
      </c>
      <c r="D2977" s="28" t="s">
        <v>47</v>
      </c>
      <c r="E2977" s="28" t="s">
        <v>913</v>
      </c>
      <c r="F2977" s="28" t="s">
        <v>147</v>
      </c>
      <c r="G2977" s="28" t="s">
        <v>143</v>
      </c>
      <c r="H2977" s="28" t="s">
        <v>159</v>
      </c>
      <c r="I2977" s="29" t="n">
        <v>150000</v>
      </c>
      <c r="J2977" s="29" t="n">
        <v>75000</v>
      </c>
      <c r="K2977" s="28" t="n">
        <v>11.5</v>
      </c>
      <c r="L2977" s="28" t="n">
        <v>102</v>
      </c>
      <c r="M2977" s="28" t="n">
        <v>5</v>
      </c>
    </row>
    <row r="2978" customFormat="false" ht="15" hidden="false" customHeight="false" outlineLevel="0" collapsed="false">
      <c r="A2978" s="27" t="n">
        <v>45297</v>
      </c>
      <c r="B2978" s="28" t="n">
        <v>2024</v>
      </c>
      <c r="C2978" s="28" t="s">
        <v>169</v>
      </c>
      <c r="D2978" s="28" t="s">
        <v>44</v>
      </c>
      <c r="E2978" s="28" t="s">
        <v>167</v>
      </c>
      <c r="F2978" s="28" t="s">
        <v>142</v>
      </c>
      <c r="G2978" s="28" t="s">
        <v>148</v>
      </c>
      <c r="H2978" s="28" t="s">
        <v>953</v>
      </c>
      <c r="I2978" s="29" t="n">
        <v>1500000</v>
      </c>
      <c r="J2978" s="29" t="n">
        <v>1125000</v>
      </c>
      <c r="K2978" s="28" t="n">
        <v>11.5</v>
      </c>
      <c r="L2978" s="28" t="n">
        <v>120</v>
      </c>
      <c r="M2978" s="28" t="n">
        <v>140</v>
      </c>
    </row>
    <row r="2979" customFormat="false" ht="15" hidden="false" customHeight="false" outlineLevel="0" collapsed="false">
      <c r="A2979" s="27" t="n">
        <v>45299</v>
      </c>
      <c r="B2979" s="28" t="n">
        <v>2024</v>
      </c>
      <c r="C2979" s="28" t="s">
        <v>203</v>
      </c>
      <c r="D2979" s="28" t="s">
        <v>46</v>
      </c>
      <c r="E2979" s="28" t="s">
        <v>926</v>
      </c>
      <c r="F2979" s="28" t="s">
        <v>194</v>
      </c>
      <c r="G2979" s="28" t="s">
        <v>143</v>
      </c>
      <c r="H2979" s="28" t="s">
        <v>271</v>
      </c>
      <c r="I2979" s="29" t="n">
        <v>300000</v>
      </c>
      <c r="J2979" s="29" t="n">
        <v>225000</v>
      </c>
      <c r="K2979" s="28" t="n">
        <v>11.25</v>
      </c>
      <c r="L2979" s="28" t="n">
        <v>120</v>
      </c>
      <c r="M2979" s="28" t="n">
        <v>5</v>
      </c>
    </row>
    <row r="2980" customFormat="false" ht="15" hidden="false" customHeight="false" outlineLevel="0" collapsed="false">
      <c r="A2980" s="27" t="n">
        <v>45300</v>
      </c>
      <c r="B2980" s="28" t="n">
        <v>2024</v>
      </c>
      <c r="C2980" s="28" t="s">
        <v>163</v>
      </c>
      <c r="D2980" s="28" t="s">
        <v>44</v>
      </c>
      <c r="E2980" s="28" t="s">
        <v>167</v>
      </c>
      <c r="F2980" s="28" t="s">
        <v>142</v>
      </c>
      <c r="G2980" s="28" t="s">
        <v>143</v>
      </c>
      <c r="H2980" s="28" t="s">
        <v>953</v>
      </c>
      <c r="I2980" s="29" t="n">
        <v>75000</v>
      </c>
      <c r="J2980" s="29" t="n">
        <v>63750</v>
      </c>
      <c r="K2980" s="28" t="n">
        <v>11.5</v>
      </c>
      <c r="L2980" s="28" t="n">
        <v>120</v>
      </c>
      <c r="M2980" s="28" t="n">
        <v>8</v>
      </c>
    </row>
    <row r="2981" customFormat="false" ht="15" hidden="false" customHeight="false" outlineLevel="0" collapsed="false">
      <c r="A2981" s="27" t="n">
        <v>45300</v>
      </c>
      <c r="B2981" s="28" t="n">
        <v>2024</v>
      </c>
      <c r="C2981" s="28" t="s">
        <v>312</v>
      </c>
      <c r="D2981" s="28" t="s">
        <v>49</v>
      </c>
      <c r="E2981" s="28" t="s">
        <v>1016</v>
      </c>
      <c r="F2981" s="28" t="s">
        <v>142</v>
      </c>
      <c r="G2981" s="28" t="s">
        <v>148</v>
      </c>
      <c r="H2981" s="28" t="s">
        <v>275</v>
      </c>
      <c r="I2981" s="29" t="n">
        <v>33000</v>
      </c>
      <c r="J2981" s="29" t="n">
        <v>28050</v>
      </c>
      <c r="K2981" s="28" t="n">
        <v>15</v>
      </c>
      <c r="L2981" s="28" t="n">
        <v>120</v>
      </c>
      <c r="M2981" s="28" t="n">
        <v>10</v>
      </c>
    </row>
    <row r="2982" customFormat="false" ht="15" hidden="false" customHeight="false" outlineLevel="0" collapsed="false">
      <c r="A2982" s="27" t="n">
        <v>45300</v>
      </c>
      <c r="B2982" s="28" t="n">
        <v>2024</v>
      </c>
      <c r="C2982" s="28" t="s">
        <v>169</v>
      </c>
      <c r="D2982" s="28" t="s">
        <v>50</v>
      </c>
      <c r="E2982" s="28" t="s">
        <v>329</v>
      </c>
      <c r="F2982" s="28" t="s">
        <v>147</v>
      </c>
      <c r="G2982" s="28" t="s">
        <v>148</v>
      </c>
      <c r="H2982" s="28" t="s">
        <v>159</v>
      </c>
      <c r="I2982" s="29" t="n">
        <v>195000</v>
      </c>
      <c r="J2982" s="29" t="n">
        <v>97500</v>
      </c>
      <c r="K2982" s="28" t="n">
        <v>13</v>
      </c>
      <c r="L2982" s="28" t="n">
        <v>120</v>
      </c>
      <c r="M2982" s="28" t="n">
        <v>3</v>
      </c>
    </row>
    <row r="2983" customFormat="false" ht="15" hidden="false" customHeight="false" outlineLevel="0" collapsed="false">
      <c r="A2983" s="27" t="n">
        <v>45300</v>
      </c>
      <c r="B2983" s="28" t="n">
        <v>2024</v>
      </c>
      <c r="C2983" s="28" t="s">
        <v>855</v>
      </c>
      <c r="D2983" s="28" t="s">
        <v>52</v>
      </c>
      <c r="E2983" s="28" t="s">
        <v>720</v>
      </c>
      <c r="F2983" s="28" t="s">
        <v>147</v>
      </c>
      <c r="G2983" s="28" t="s">
        <v>441</v>
      </c>
      <c r="H2983" s="28" t="s">
        <v>168</v>
      </c>
      <c r="I2983" s="29" t="n">
        <v>25000</v>
      </c>
      <c r="J2983" s="29" t="n">
        <v>12500</v>
      </c>
      <c r="K2983" s="28" t="n">
        <v>13</v>
      </c>
      <c r="L2983" s="28" t="n">
        <v>120</v>
      </c>
      <c r="M2983" s="28" t="n">
        <v>1</v>
      </c>
    </row>
    <row r="2984" customFormat="false" ht="15" hidden="false" customHeight="false" outlineLevel="0" collapsed="false">
      <c r="A2984" s="27" t="n">
        <v>45301</v>
      </c>
      <c r="B2984" s="28" t="n">
        <v>2024</v>
      </c>
      <c r="C2984" s="28" t="s">
        <v>172</v>
      </c>
      <c r="D2984" s="28" t="s">
        <v>45</v>
      </c>
      <c r="E2984" s="28" t="s">
        <v>708</v>
      </c>
      <c r="F2984" s="28" t="s">
        <v>142</v>
      </c>
      <c r="G2984" s="28" t="s">
        <v>148</v>
      </c>
      <c r="H2984" s="28" t="s">
        <v>771</v>
      </c>
      <c r="I2984" s="29" t="n">
        <v>45100</v>
      </c>
      <c r="J2984" s="29" t="n">
        <v>38335</v>
      </c>
      <c r="K2984" s="28" t="n">
        <v>11.25</v>
      </c>
      <c r="L2984" s="28" t="n">
        <v>120</v>
      </c>
      <c r="M2984" s="28" t="n">
        <v>2</v>
      </c>
    </row>
    <row r="2985" customFormat="false" ht="15" hidden="false" customHeight="false" outlineLevel="0" collapsed="false">
      <c r="A2985" s="27" t="n">
        <v>45301</v>
      </c>
      <c r="B2985" s="28" t="n">
        <v>2024</v>
      </c>
      <c r="C2985" s="28" t="s">
        <v>272</v>
      </c>
      <c r="D2985" s="28" t="s">
        <v>48</v>
      </c>
      <c r="E2985" s="28" t="s">
        <v>704</v>
      </c>
      <c r="F2985" s="28" t="s">
        <v>147</v>
      </c>
      <c r="G2985" s="28" t="s">
        <v>152</v>
      </c>
      <c r="H2985" s="28" t="s">
        <v>211</v>
      </c>
      <c r="I2985" s="29" t="n">
        <v>50000</v>
      </c>
      <c r="J2985" s="29" t="n">
        <v>25000</v>
      </c>
      <c r="K2985" s="28" t="n">
        <v>10.25</v>
      </c>
      <c r="L2985" s="28" t="n">
        <v>120</v>
      </c>
      <c r="M2985" s="28" t="n">
        <v>7</v>
      </c>
    </row>
    <row r="2986" customFormat="false" ht="15" hidden="false" customHeight="false" outlineLevel="0" collapsed="false">
      <c r="A2986" s="27" t="n">
        <v>45301</v>
      </c>
      <c r="B2986" s="28" t="n">
        <v>2024</v>
      </c>
      <c r="C2986" s="28" t="s">
        <v>169</v>
      </c>
      <c r="D2986" s="28" t="s">
        <v>48</v>
      </c>
      <c r="E2986" s="28" t="s">
        <v>712</v>
      </c>
      <c r="F2986" s="28" t="s">
        <v>142</v>
      </c>
      <c r="G2986" s="28" t="s">
        <v>148</v>
      </c>
      <c r="H2986" s="28" t="s">
        <v>937</v>
      </c>
      <c r="I2986" s="29" t="n">
        <v>85700</v>
      </c>
      <c r="J2986" s="29" t="n">
        <v>72845</v>
      </c>
      <c r="K2986" s="28" t="n">
        <v>13</v>
      </c>
      <c r="L2986" s="28" t="n">
        <v>120</v>
      </c>
      <c r="M2986" s="28" t="n">
        <v>7</v>
      </c>
    </row>
    <row r="2987" customFormat="false" ht="15" hidden="false" customHeight="false" outlineLevel="0" collapsed="false">
      <c r="A2987" s="27" t="n">
        <v>45301</v>
      </c>
      <c r="B2987" s="28" t="n">
        <v>2024</v>
      </c>
      <c r="C2987" s="28" t="s">
        <v>272</v>
      </c>
      <c r="D2987" s="28" t="s">
        <v>48</v>
      </c>
      <c r="E2987" s="28" t="s">
        <v>704</v>
      </c>
      <c r="F2987" s="28" t="s">
        <v>142</v>
      </c>
      <c r="G2987" s="28" t="s">
        <v>152</v>
      </c>
      <c r="H2987" s="28" t="s">
        <v>211</v>
      </c>
      <c r="I2987" s="29" t="n">
        <v>880000</v>
      </c>
      <c r="J2987" s="29" t="n">
        <v>660000</v>
      </c>
      <c r="K2987" s="28" t="n">
        <v>10.25</v>
      </c>
      <c r="L2987" s="28" t="n">
        <v>120</v>
      </c>
      <c r="M2987" s="28" t="n">
        <v>7</v>
      </c>
    </row>
    <row r="2988" customFormat="false" ht="15" hidden="false" customHeight="false" outlineLevel="0" collapsed="false">
      <c r="A2988" s="27" t="n">
        <v>45301</v>
      </c>
      <c r="B2988" s="28" t="n">
        <v>2024</v>
      </c>
      <c r="C2988" s="28" t="s">
        <v>196</v>
      </c>
      <c r="D2988" s="28" t="s">
        <v>48</v>
      </c>
      <c r="E2988" s="28" t="s">
        <v>995</v>
      </c>
      <c r="F2988" s="28" t="s">
        <v>142</v>
      </c>
      <c r="G2988" s="28" t="s">
        <v>148</v>
      </c>
      <c r="H2988" s="28" t="s">
        <v>275</v>
      </c>
      <c r="I2988" s="29" t="n">
        <v>25000</v>
      </c>
      <c r="J2988" s="29" t="n">
        <v>21250</v>
      </c>
      <c r="K2988" s="28" t="n">
        <v>15</v>
      </c>
      <c r="L2988" s="28" t="n">
        <v>120</v>
      </c>
      <c r="M2988" s="28" t="n">
        <v>10</v>
      </c>
    </row>
    <row r="2989" customFormat="false" ht="15" hidden="false" customHeight="false" outlineLevel="0" collapsed="false">
      <c r="A2989" s="27" t="n">
        <v>45301</v>
      </c>
      <c r="B2989" s="28" t="n">
        <v>2024</v>
      </c>
      <c r="C2989" s="28" t="s">
        <v>163</v>
      </c>
      <c r="D2989" s="28" t="s">
        <v>45</v>
      </c>
      <c r="E2989" s="28" t="s">
        <v>480</v>
      </c>
      <c r="F2989" s="28" t="s">
        <v>142</v>
      </c>
      <c r="G2989" s="28" t="s">
        <v>143</v>
      </c>
      <c r="H2989" s="28" t="s">
        <v>287</v>
      </c>
      <c r="I2989" s="29" t="n">
        <v>190000</v>
      </c>
      <c r="J2989" s="29" t="n">
        <v>142500</v>
      </c>
      <c r="K2989" s="28" t="n">
        <v>11.25</v>
      </c>
      <c r="L2989" s="28" t="n">
        <v>120</v>
      </c>
      <c r="M2989" s="28" t="n">
        <v>4</v>
      </c>
    </row>
    <row r="2990" customFormat="false" ht="15" hidden="false" customHeight="false" outlineLevel="0" collapsed="false">
      <c r="A2990" s="27" t="n">
        <v>45302</v>
      </c>
      <c r="B2990" s="28" t="n">
        <v>2024</v>
      </c>
      <c r="C2990" s="28" t="s">
        <v>145</v>
      </c>
      <c r="D2990" s="28" t="s">
        <v>46</v>
      </c>
      <c r="E2990" s="28" t="s">
        <v>746</v>
      </c>
      <c r="F2990" s="28" t="s">
        <v>142</v>
      </c>
      <c r="G2990" s="28" t="s">
        <v>148</v>
      </c>
      <c r="H2990" s="28" t="s">
        <v>275</v>
      </c>
      <c r="I2990" s="29" t="n">
        <v>50000</v>
      </c>
      <c r="J2990" s="29" t="n">
        <v>42500</v>
      </c>
      <c r="K2990" s="28" t="n">
        <v>15</v>
      </c>
      <c r="L2990" s="28" t="n">
        <v>120</v>
      </c>
      <c r="M2990" s="28" t="n">
        <v>4</v>
      </c>
    </row>
    <row r="2991" customFormat="false" ht="15" hidden="false" customHeight="false" outlineLevel="0" collapsed="false">
      <c r="A2991" s="27" t="n">
        <v>45302</v>
      </c>
      <c r="B2991" s="28" t="n">
        <v>2024</v>
      </c>
      <c r="C2991" s="28" t="s">
        <v>203</v>
      </c>
      <c r="D2991" s="28" t="s">
        <v>43</v>
      </c>
      <c r="E2991" s="28" t="s">
        <v>830</v>
      </c>
      <c r="F2991" s="28" t="s">
        <v>142</v>
      </c>
      <c r="G2991" s="28" t="s">
        <v>148</v>
      </c>
      <c r="H2991" s="28" t="s">
        <v>171</v>
      </c>
      <c r="I2991" s="29" t="n">
        <v>150000</v>
      </c>
      <c r="J2991" s="29" t="n">
        <v>127500</v>
      </c>
      <c r="K2991" s="28" t="n">
        <v>13.25</v>
      </c>
      <c r="L2991" s="28" t="n">
        <v>120</v>
      </c>
      <c r="M2991" s="28" t="n">
        <v>0</v>
      </c>
    </row>
    <row r="2992" customFormat="false" ht="15" hidden="false" customHeight="false" outlineLevel="0" collapsed="false">
      <c r="A2992" s="27" t="n">
        <v>45302</v>
      </c>
      <c r="B2992" s="28" t="n">
        <v>2024</v>
      </c>
      <c r="C2992" s="28" t="s">
        <v>243</v>
      </c>
      <c r="D2992" s="28" t="s">
        <v>48</v>
      </c>
      <c r="E2992" s="28" t="s">
        <v>362</v>
      </c>
      <c r="F2992" s="28" t="s">
        <v>147</v>
      </c>
      <c r="G2992" s="28" t="s">
        <v>148</v>
      </c>
      <c r="H2992" s="28" t="s">
        <v>372</v>
      </c>
      <c r="I2992" s="29" t="n">
        <v>220000</v>
      </c>
      <c r="J2992" s="29" t="n">
        <v>110000</v>
      </c>
      <c r="K2992" s="28" t="n">
        <v>10</v>
      </c>
      <c r="L2992" s="28" t="n">
        <v>120</v>
      </c>
      <c r="M2992" s="28" t="n">
        <v>2</v>
      </c>
    </row>
    <row r="2993" customFormat="false" ht="15" hidden="false" customHeight="false" outlineLevel="0" collapsed="false">
      <c r="A2993" s="27" t="n">
        <v>45302</v>
      </c>
      <c r="B2993" s="28" t="n">
        <v>2024</v>
      </c>
      <c r="C2993" s="28" t="s">
        <v>172</v>
      </c>
      <c r="D2993" s="28" t="s">
        <v>52</v>
      </c>
      <c r="E2993" s="28" t="s">
        <v>731</v>
      </c>
      <c r="F2993" s="28" t="s">
        <v>147</v>
      </c>
      <c r="G2993" s="28" t="s">
        <v>148</v>
      </c>
      <c r="H2993" s="28" t="s">
        <v>162</v>
      </c>
      <c r="I2993" s="29" t="n">
        <v>236900</v>
      </c>
      <c r="J2993" s="29" t="n">
        <v>118450</v>
      </c>
      <c r="K2993" s="28" t="n">
        <v>8.13</v>
      </c>
      <c r="L2993" s="28" t="n">
        <v>144</v>
      </c>
      <c r="M2993" s="28" t="n">
        <v>2</v>
      </c>
    </row>
    <row r="2994" customFormat="false" ht="15" hidden="false" customHeight="false" outlineLevel="0" collapsed="false">
      <c r="A2994" s="27" t="n">
        <v>45304</v>
      </c>
      <c r="B2994" s="28" t="n">
        <v>2024</v>
      </c>
      <c r="C2994" s="28" t="s">
        <v>172</v>
      </c>
      <c r="D2994" s="28" t="s">
        <v>56</v>
      </c>
      <c r="E2994" s="28" t="s">
        <v>935</v>
      </c>
      <c r="F2994" s="28" t="s">
        <v>142</v>
      </c>
      <c r="G2994" s="28" t="s">
        <v>148</v>
      </c>
      <c r="H2994" s="28" t="s">
        <v>211</v>
      </c>
      <c r="I2994" s="29" t="n">
        <v>110000</v>
      </c>
      <c r="J2994" s="29" t="n">
        <v>93500</v>
      </c>
      <c r="K2994" s="28" t="n">
        <v>11.25</v>
      </c>
      <c r="L2994" s="28" t="n">
        <v>120</v>
      </c>
      <c r="M2994" s="28" t="n">
        <v>7</v>
      </c>
    </row>
    <row r="2995" customFormat="false" ht="15" hidden="false" customHeight="false" outlineLevel="0" collapsed="false">
      <c r="A2995" s="27" t="n">
        <v>45304</v>
      </c>
      <c r="B2995" s="28" t="n">
        <v>2024</v>
      </c>
      <c r="C2995" s="28" t="s">
        <v>249</v>
      </c>
      <c r="D2995" s="28" t="s">
        <v>49</v>
      </c>
      <c r="E2995" s="28" t="s">
        <v>710</v>
      </c>
      <c r="F2995" s="28" t="s">
        <v>142</v>
      </c>
      <c r="G2995" s="28" t="s">
        <v>148</v>
      </c>
      <c r="H2995" s="28" t="s">
        <v>953</v>
      </c>
      <c r="I2995" s="29" t="n">
        <v>925000</v>
      </c>
      <c r="J2995" s="29" t="n">
        <v>693750</v>
      </c>
      <c r="K2995" s="28" t="n">
        <v>11.5</v>
      </c>
      <c r="L2995" s="28" t="n">
        <v>120</v>
      </c>
      <c r="M2995" s="28" t="n">
        <v>6</v>
      </c>
    </row>
    <row r="2996" customFormat="false" ht="15" hidden="false" customHeight="false" outlineLevel="0" collapsed="false">
      <c r="A2996" s="27" t="n">
        <v>45304</v>
      </c>
      <c r="B2996" s="28" t="n">
        <v>2024</v>
      </c>
      <c r="C2996" s="28" t="s">
        <v>198</v>
      </c>
      <c r="D2996" s="28" t="s">
        <v>48</v>
      </c>
      <c r="E2996" s="28" t="s">
        <v>304</v>
      </c>
      <c r="F2996" s="28" t="s">
        <v>142</v>
      </c>
      <c r="G2996" s="28" t="s">
        <v>148</v>
      </c>
      <c r="H2996" s="28" t="s">
        <v>171</v>
      </c>
      <c r="I2996" s="29" t="n">
        <v>150000</v>
      </c>
      <c r="J2996" s="29" t="n">
        <v>127500</v>
      </c>
      <c r="K2996" s="28" t="n">
        <v>13.25</v>
      </c>
      <c r="L2996" s="28" t="n">
        <v>120</v>
      </c>
      <c r="M2996" s="28" t="n">
        <v>1</v>
      </c>
    </row>
    <row r="2997" customFormat="false" ht="15" hidden="false" customHeight="false" outlineLevel="0" collapsed="false">
      <c r="A2997" s="27" t="n">
        <v>45304</v>
      </c>
      <c r="B2997" s="28" t="n">
        <v>2024</v>
      </c>
      <c r="C2997" s="28" t="s">
        <v>423</v>
      </c>
      <c r="D2997" s="28" t="s">
        <v>52</v>
      </c>
      <c r="E2997" s="28" t="s">
        <v>742</v>
      </c>
      <c r="F2997" s="28" t="s">
        <v>147</v>
      </c>
      <c r="G2997" s="28" t="s">
        <v>148</v>
      </c>
      <c r="H2997" s="28" t="s">
        <v>168</v>
      </c>
      <c r="I2997" s="29" t="n">
        <v>40000</v>
      </c>
      <c r="J2997" s="29" t="n">
        <v>20000</v>
      </c>
      <c r="K2997" s="28" t="n">
        <v>13</v>
      </c>
      <c r="L2997" s="28" t="n">
        <v>120</v>
      </c>
      <c r="M2997" s="28" t="n">
        <v>6</v>
      </c>
    </row>
    <row r="2998" customFormat="false" ht="15" hidden="false" customHeight="false" outlineLevel="0" collapsed="false">
      <c r="A2998" s="27" t="n">
        <v>45304</v>
      </c>
      <c r="B2998" s="28" t="n">
        <v>2024</v>
      </c>
      <c r="C2998" s="28" t="s">
        <v>169</v>
      </c>
      <c r="D2998" s="28" t="s">
        <v>44</v>
      </c>
      <c r="E2998" s="28" t="s">
        <v>730</v>
      </c>
      <c r="F2998" s="28" t="s">
        <v>142</v>
      </c>
      <c r="G2998" s="28" t="s">
        <v>143</v>
      </c>
      <c r="H2998" s="28" t="s">
        <v>621</v>
      </c>
      <c r="I2998" s="29" t="n">
        <v>447500</v>
      </c>
      <c r="J2998" s="29" t="n">
        <v>335625</v>
      </c>
      <c r="K2998" s="28" t="n">
        <v>10.75</v>
      </c>
      <c r="L2998" s="28" t="n">
        <v>120</v>
      </c>
      <c r="M2998" s="28" t="n">
        <v>25</v>
      </c>
    </row>
    <row r="2999" customFormat="false" ht="15" hidden="false" customHeight="false" outlineLevel="0" collapsed="false">
      <c r="A2999" s="27" t="n">
        <v>45304</v>
      </c>
      <c r="B2999" s="28" t="n">
        <v>2024</v>
      </c>
      <c r="C2999" s="28" t="s">
        <v>172</v>
      </c>
      <c r="D2999" s="28" t="s">
        <v>46</v>
      </c>
      <c r="E2999" s="28" t="s">
        <v>813</v>
      </c>
      <c r="F2999" s="28" t="s">
        <v>142</v>
      </c>
      <c r="G2999" s="28" t="s">
        <v>148</v>
      </c>
      <c r="H2999" s="28" t="s">
        <v>592</v>
      </c>
      <c r="I2999" s="29" t="n">
        <v>300000</v>
      </c>
      <c r="J2999" s="29" t="n">
        <v>225000</v>
      </c>
      <c r="K2999" s="28" t="n">
        <v>9.5</v>
      </c>
      <c r="L2999" s="28" t="n">
        <v>300</v>
      </c>
      <c r="M2999" s="28" t="n">
        <v>1</v>
      </c>
    </row>
    <row r="3000" customFormat="false" ht="15" hidden="false" customHeight="false" outlineLevel="0" collapsed="false">
      <c r="A3000" s="27" t="n">
        <v>45304</v>
      </c>
      <c r="B3000" s="28" t="n">
        <v>2024</v>
      </c>
      <c r="C3000" s="28" t="s">
        <v>196</v>
      </c>
      <c r="D3000" s="28" t="s">
        <v>42</v>
      </c>
      <c r="E3000" s="28" t="s">
        <v>717</v>
      </c>
      <c r="F3000" s="28" t="s">
        <v>142</v>
      </c>
      <c r="G3000" s="28" t="s">
        <v>148</v>
      </c>
      <c r="H3000" s="28" t="s">
        <v>501</v>
      </c>
      <c r="I3000" s="29" t="n">
        <v>980000</v>
      </c>
      <c r="J3000" s="29" t="n">
        <v>735000</v>
      </c>
      <c r="K3000" s="28" t="n">
        <v>11.25</v>
      </c>
      <c r="L3000" s="28" t="n">
        <v>120</v>
      </c>
      <c r="M3000" s="28" t="n">
        <v>43</v>
      </c>
    </row>
    <row r="3001" customFormat="false" ht="15" hidden="false" customHeight="false" outlineLevel="0" collapsed="false">
      <c r="A3001" s="27" t="n">
        <v>45304</v>
      </c>
      <c r="B3001" s="28" t="n">
        <v>2024</v>
      </c>
      <c r="C3001" s="28" t="s">
        <v>172</v>
      </c>
      <c r="D3001" s="28" t="s">
        <v>48</v>
      </c>
      <c r="E3001" s="28" t="s">
        <v>346</v>
      </c>
      <c r="F3001" s="28" t="s">
        <v>142</v>
      </c>
      <c r="G3001" s="28" t="s">
        <v>143</v>
      </c>
      <c r="H3001" s="28" t="s">
        <v>953</v>
      </c>
      <c r="I3001" s="29" t="n">
        <v>50000</v>
      </c>
      <c r="J3001" s="29" t="n">
        <v>42500</v>
      </c>
      <c r="K3001" s="28" t="n">
        <v>11.5</v>
      </c>
      <c r="L3001" s="28" t="n">
        <v>102</v>
      </c>
      <c r="M3001" s="28" t="n">
        <v>19</v>
      </c>
    </row>
    <row r="3002" customFormat="false" ht="15" hidden="false" customHeight="false" outlineLevel="0" collapsed="false">
      <c r="A3002" s="27" t="n">
        <v>45304</v>
      </c>
      <c r="B3002" s="28" t="n">
        <v>2024</v>
      </c>
      <c r="C3002" s="28" t="s">
        <v>344</v>
      </c>
      <c r="D3002" s="28" t="s">
        <v>43</v>
      </c>
      <c r="E3002" s="28" t="s">
        <v>830</v>
      </c>
      <c r="F3002" s="28" t="s">
        <v>142</v>
      </c>
      <c r="G3002" s="28" t="s">
        <v>148</v>
      </c>
      <c r="H3002" s="28" t="s">
        <v>771</v>
      </c>
      <c r="I3002" s="29" t="n">
        <v>50000</v>
      </c>
      <c r="J3002" s="29" t="n">
        <v>42500</v>
      </c>
      <c r="K3002" s="28" t="n">
        <v>11.25</v>
      </c>
      <c r="L3002" s="28" t="n">
        <v>120</v>
      </c>
      <c r="M3002" s="28" t="n">
        <v>5</v>
      </c>
    </row>
    <row r="3003" customFormat="false" ht="15" hidden="false" customHeight="false" outlineLevel="0" collapsed="false">
      <c r="A3003" s="27" t="n">
        <v>45304</v>
      </c>
      <c r="B3003" s="28" t="n">
        <v>2024</v>
      </c>
      <c r="C3003" s="28" t="s">
        <v>166</v>
      </c>
      <c r="D3003" s="28" t="s">
        <v>44</v>
      </c>
      <c r="E3003" s="28" t="s">
        <v>730</v>
      </c>
      <c r="F3003" s="28" t="s">
        <v>142</v>
      </c>
      <c r="G3003" s="28" t="s">
        <v>143</v>
      </c>
      <c r="H3003" s="28" t="s">
        <v>438</v>
      </c>
      <c r="I3003" s="29" t="n">
        <v>350000</v>
      </c>
      <c r="J3003" s="29" t="n">
        <v>262500</v>
      </c>
      <c r="K3003" s="28" t="n">
        <v>11.25</v>
      </c>
      <c r="L3003" s="28" t="n">
        <v>123</v>
      </c>
      <c r="M3003" s="28" t="n">
        <v>60</v>
      </c>
    </row>
    <row r="3004" customFormat="false" ht="15" hidden="false" customHeight="false" outlineLevel="0" collapsed="false">
      <c r="A3004" s="27" t="n">
        <v>45308</v>
      </c>
      <c r="B3004" s="28" t="n">
        <v>2024</v>
      </c>
      <c r="C3004" s="28" t="s">
        <v>160</v>
      </c>
      <c r="D3004" s="28" t="s">
        <v>47</v>
      </c>
      <c r="E3004" s="28" t="s">
        <v>327</v>
      </c>
      <c r="F3004" s="28" t="s">
        <v>142</v>
      </c>
      <c r="G3004" s="28" t="s">
        <v>148</v>
      </c>
      <c r="H3004" s="28" t="s">
        <v>291</v>
      </c>
      <c r="I3004" s="29" t="n">
        <v>362000</v>
      </c>
      <c r="J3004" s="29" t="n">
        <v>271500</v>
      </c>
      <c r="K3004" s="28" t="n">
        <v>10.75</v>
      </c>
      <c r="L3004" s="28" t="n">
        <v>120</v>
      </c>
      <c r="M3004" s="28" t="n">
        <v>10</v>
      </c>
    </row>
    <row r="3005" customFormat="false" ht="15" hidden="false" customHeight="false" outlineLevel="0" collapsed="false">
      <c r="A3005" s="27" t="n">
        <v>45309</v>
      </c>
      <c r="B3005" s="28" t="n">
        <v>2024</v>
      </c>
      <c r="C3005" s="28" t="s">
        <v>172</v>
      </c>
      <c r="D3005" s="28" t="s">
        <v>44</v>
      </c>
      <c r="E3005" s="28" t="s">
        <v>783</v>
      </c>
      <c r="F3005" s="28" t="s">
        <v>147</v>
      </c>
      <c r="G3005" s="28" t="s">
        <v>148</v>
      </c>
      <c r="H3005" s="28" t="s">
        <v>191</v>
      </c>
      <c r="I3005" s="29" t="n">
        <v>20000</v>
      </c>
      <c r="J3005" s="29" t="n">
        <v>10000</v>
      </c>
      <c r="K3005" s="28" t="n">
        <v>12.4</v>
      </c>
      <c r="L3005" s="28" t="n">
        <v>110</v>
      </c>
      <c r="M3005" s="28" t="n">
        <v>0</v>
      </c>
    </row>
    <row r="3006" customFormat="false" ht="15" hidden="false" customHeight="false" outlineLevel="0" collapsed="false">
      <c r="A3006" s="27" t="n">
        <v>45309</v>
      </c>
      <c r="B3006" s="28" t="n">
        <v>2024</v>
      </c>
      <c r="C3006" s="28" t="s">
        <v>140</v>
      </c>
      <c r="D3006" s="28" t="s">
        <v>46</v>
      </c>
      <c r="E3006" s="28" t="s">
        <v>770</v>
      </c>
      <c r="F3006" s="28" t="s">
        <v>142</v>
      </c>
      <c r="G3006" s="28" t="s">
        <v>441</v>
      </c>
      <c r="H3006" s="28" t="s">
        <v>501</v>
      </c>
      <c r="I3006" s="29" t="n">
        <v>450000</v>
      </c>
      <c r="J3006" s="29" t="n">
        <v>337500</v>
      </c>
      <c r="K3006" s="28" t="n">
        <v>11.25</v>
      </c>
      <c r="L3006" s="28" t="n">
        <v>120</v>
      </c>
      <c r="M3006" s="28" t="n">
        <v>14</v>
      </c>
    </row>
    <row r="3007" customFormat="false" ht="15" hidden="false" customHeight="false" outlineLevel="0" collapsed="false">
      <c r="A3007" s="27" t="n">
        <v>45310</v>
      </c>
      <c r="B3007" s="28" t="n">
        <v>2024</v>
      </c>
      <c r="C3007" s="28" t="s">
        <v>172</v>
      </c>
      <c r="D3007" s="28" t="s">
        <v>45</v>
      </c>
      <c r="E3007" s="28" t="s">
        <v>611</v>
      </c>
      <c r="F3007" s="28" t="s">
        <v>142</v>
      </c>
      <c r="G3007" s="28" t="s">
        <v>143</v>
      </c>
      <c r="H3007" s="28" t="s">
        <v>211</v>
      </c>
      <c r="I3007" s="29" t="n">
        <v>275000</v>
      </c>
      <c r="J3007" s="29" t="n">
        <v>206250</v>
      </c>
      <c r="K3007" s="28" t="n">
        <v>11</v>
      </c>
      <c r="L3007" s="28" t="n">
        <v>120</v>
      </c>
      <c r="M3007" s="28" t="n">
        <v>2</v>
      </c>
    </row>
    <row r="3008" customFormat="false" ht="15" hidden="false" customHeight="false" outlineLevel="0" collapsed="false">
      <c r="A3008" s="27" t="n">
        <v>45310</v>
      </c>
      <c r="B3008" s="28" t="n">
        <v>2024</v>
      </c>
      <c r="C3008" s="28" t="s">
        <v>172</v>
      </c>
      <c r="D3008" s="28" t="s">
        <v>45</v>
      </c>
      <c r="E3008" s="28" t="s">
        <v>611</v>
      </c>
      <c r="F3008" s="28" t="s">
        <v>147</v>
      </c>
      <c r="G3008" s="28" t="s">
        <v>143</v>
      </c>
      <c r="H3008" s="28" t="s">
        <v>211</v>
      </c>
      <c r="I3008" s="29" t="n">
        <v>40000</v>
      </c>
      <c r="J3008" s="29" t="n">
        <v>20000</v>
      </c>
      <c r="K3008" s="28" t="n">
        <v>11</v>
      </c>
      <c r="L3008" s="28" t="n">
        <v>120</v>
      </c>
      <c r="M3008" s="28" t="n">
        <v>2</v>
      </c>
    </row>
    <row r="3009" customFormat="false" ht="15" hidden="false" customHeight="false" outlineLevel="0" collapsed="false">
      <c r="A3009" s="27" t="n">
        <v>45310</v>
      </c>
      <c r="B3009" s="28" t="n">
        <v>2024</v>
      </c>
      <c r="C3009" s="28" t="s">
        <v>172</v>
      </c>
      <c r="D3009" s="28" t="s">
        <v>44</v>
      </c>
      <c r="E3009" s="28" t="s">
        <v>167</v>
      </c>
      <c r="F3009" s="28" t="s">
        <v>142</v>
      </c>
      <c r="G3009" s="28" t="s">
        <v>148</v>
      </c>
      <c r="H3009" s="28" t="s">
        <v>285</v>
      </c>
      <c r="I3009" s="29" t="n">
        <v>2480000</v>
      </c>
      <c r="J3009" s="29" t="n">
        <v>1860000</v>
      </c>
      <c r="K3009" s="28" t="n">
        <v>10.5</v>
      </c>
      <c r="L3009" s="28" t="n">
        <v>300</v>
      </c>
      <c r="M3009" s="28" t="n">
        <v>265</v>
      </c>
    </row>
    <row r="3010" customFormat="false" ht="15" hidden="false" customHeight="false" outlineLevel="0" collapsed="false">
      <c r="A3010" s="27" t="n">
        <v>45310</v>
      </c>
      <c r="B3010" s="28" t="n">
        <v>2024</v>
      </c>
      <c r="C3010" s="28" t="s">
        <v>169</v>
      </c>
      <c r="D3010" s="28" t="s">
        <v>48</v>
      </c>
      <c r="E3010" s="28" t="s">
        <v>210</v>
      </c>
      <c r="F3010" s="28" t="s">
        <v>142</v>
      </c>
      <c r="G3010" s="28" t="s">
        <v>148</v>
      </c>
      <c r="H3010" s="28" t="s">
        <v>211</v>
      </c>
      <c r="I3010" s="29" t="n">
        <v>310000</v>
      </c>
      <c r="J3010" s="29" t="n">
        <v>232500</v>
      </c>
      <c r="K3010" s="28" t="n">
        <v>11.25</v>
      </c>
      <c r="L3010" s="28" t="n">
        <v>120</v>
      </c>
      <c r="M3010" s="28" t="n">
        <v>4</v>
      </c>
    </row>
    <row r="3011" customFormat="false" ht="15" hidden="false" customHeight="false" outlineLevel="0" collapsed="false">
      <c r="A3011" s="27" t="n">
        <v>45312</v>
      </c>
      <c r="B3011" s="28" t="n">
        <v>2024</v>
      </c>
      <c r="C3011" s="28" t="s">
        <v>172</v>
      </c>
      <c r="D3011" s="28" t="s">
        <v>42</v>
      </c>
      <c r="E3011" s="28" t="s">
        <v>717</v>
      </c>
      <c r="F3011" s="28" t="s">
        <v>147</v>
      </c>
      <c r="G3011" s="28" t="s">
        <v>143</v>
      </c>
      <c r="H3011" s="28" t="s">
        <v>211</v>
      </c>
      <c r="I3011" s="29" t="n">
        <v>30000</v>
      </c>
      <c r="J3011" s="29" t="n">
        <v>15000</v>
      </c>
      <c r="K3011" s="28" t="n">
        <v>11.25</v>
      </c>
      <c r="L3011" s="28" t="n">
        <v>120</v>
      </c>
      <c r="M3011" s="28" t="n">
        <v>13</v>
      </c>
    </row>
    <row r="3012" customFormat="false" ht="15" hidden="false" customHeight="false" outlineLevel="0" collapsed="false">
      <c r="A3012" s="27" t="n">
        <v>45312</v>
      </c>
      <c r="B3012" s="28" t="n">
        <v>2024</v>
      </c>
      <c r="C3012" s="28" t="s">
        <v>169</v>
      </c>
      <c r="D3012" s="28" t="s">
        <v>56</v>
      </c>
      <c r="E3012" s="28" t="s">
        <v>207</v>
      </c>
      <c r="F3012" s="28" t="s">
        <v>142</v>
      </c>
      <c r="G3012" s="28" t="s">
        <v>148</v>
      </c>
      <c r="H3012" s="28" t="s">
        <v>171</v>
      </c>
      <c r="I3012" s="29" t="n">
        <v>129300</v>
      </c>
      <c r="J3012" s="29" t="n">
        <v>109905</v>
      </c>
      <c r="K3012" s="28" t="n">
        <v>13.25</v>
      </c>
      <c r="L3012" s="28" t="n">
        <v>120</v>
      </c>
      <c r="M3012" s="28" t="n">
        <v>0</v>
      </c>
    </row>
    <row r="3013" customFormat="false" ht="15" hidden="false" customHeight="false" outlineLevel="0" collapsed="false">
      <c r="A3013" s="27" t="n">
        <v>45312</v>
      </c>
      <c r="B3013" s="28" t="n">
        <v>2024</v>
      </c>
      <c r="C3013" s="28" t="s">
        <v>172</v>
      </c>
      <c r="D3013" s="28" t="s">
        <v>42</v>
      </c>
      <c r="E3013" s="28" t="s">
        <v>717</v>
      </c>
      <c r="F3013" s="28" t="s">
        <v>142</v>
      </c>
      <c r="G3013" s="28" t="s">
        <v>143</v>
      </c>
      <c r="H3013" s="28" t="s">
        <v>211</v>
      </c>
      <c r="I3013" s="29" t="n">
        <v>625500</v>
      </c>
      <c r="J3013" s="29" t="n">
        <v>469125</v>
      </c>
      <c r="K3013" s="28" t="n">
        <v>11.25</v>
      </c>
      <c r="L3013" s="28" t="n">
        <v>120</v>
      </c>
      <c r="M3013" s="28" t="n">
        <v>13</v>
      </c>
    </row>
    <row r="3014" customFormat="false" ht="15" hidden="false" customHeight="false" outlineLevel="0" collapsed="false">
      <c r="A3014" s="27" t="n">
        <v>45312</v>
      </c>
      <c r="B3014" s="28" t="n">
        <v>2024</v>
      </c>
      <c r="C3014" s="28" t="s">
        <v>310</v>
      </c>
      <c r="D3014" s="28" t="s">
        <v>43</v>
      </c>
      <c r="E3014" s="28" t="s">
        <v>893</v>
      </c>
      <c r="F3014" s="28" t="s">
        <v>142</v>
      </c>
      <c r="G3014" s="28" t="s">
        <v>441</v>
      </c>
      <c r="H3014" s="28" t="s">
        <v>501</v>
      </c>
      <c r="I3014" s="29" t="n">
        <v>900000</v>
      </c>
      <c r="J3014" s="29" t="n">
        <v>675000</v>
      </c>
      <c r="K3014" s="28" t="n">
        <v>11.25</v>
      </c>
      <c r="L3014" s="28" t="n">
        <v>120</v>
      </c>
      <c r="M3014" s="28" t="n">
        <v>11</v>
      </c>
    </row>
    <row r="3015" customFormat="false" ht="15" hidden="false" customHeight="false" outlineLevel="0" collapsed="false">
      <c r="A3015" s="27" t="n">
        <v>45312</v>
      </c>
      <c r="B3015" s="28" t="n">
        <v>2024</v>
      </c>
      <c r="C3015" s="28" t="s">
        <v>172</v>
      </c>
      <c r="D3015" s="28" t="s">
        <v>50</v>
      </c>
      <c r="E3015" s="28" t="s">
        <v>724</v>
      </c>
      <c r="F3015" s="28" t="s">
        <v>147</v>
      </c>
      <c r="G3015" s="28" t="s">
        <v>148</v>
      </c>
      <c r="H3015" s="28" t="s">
        <v>159</v>
      </c>
      <c r="I3015" s="29" t="n">
        <v>100000</v>
      </c>
      <c r="J3015" s="29" t="n">
        <v>50000</v>
      </c>
      <c r="K3015" s="28" t="n">
        <v>11.5</v>
      </c>
      <c r="L3015" s="28" t="n">
        <v>120</v>
      </c>
      <c r="M3015" s="28" t="n">
        <v>40</v>
      </c>
    </row>
    <row r="3016" customFormat="false" ht="15" hidden="false" customHeight="false" outlineLevel="0" collapsed="false">
      <c r="A3016" s="27" t="n">
        <v>45312</v>
      </c>
      <c r="B3016" s="28" t="n">
        <v>2024</v>
      </c>
      <c r="C3016" s="28" t="s">
        <v>206</v>
      </c>
      <c r="D3016" s="28" t="s">
        <v>42</v>
      </c>
      <c r="E3016" s="28" t="s">
        <v>717</v>
      </c>
      <c r="F3016" s="28" t="s">
        <v>142</v>
      </c>
      <c r="G3016" s="28" t="s">
        <v>148</v>
      </c>
      <c r="H3016" s="28" t="s">
        <v>285</v>
      </c>
      <c r="I3016" s="29" t="n">
        <v>1641000</v>
      </c>
      <c r="J3016" s="29" t="n">
        <v>1230750</v>
      </c>
      <c r="K3016" s="28" t="n">
        <v>10.75</v>
      </c>
      <c r="L3016" s="28" t="n">
        <v>300</v>
      </c>
      <c r="M3016" s="28" t="n">
        <v>12</v>
      </c>
    </row>
    <row r="3017" customFormat="false" ht="15" hidden="false" customHeight="false" outlineLevel="0" collapsed="false">
      <c r="A3017" s="27" t="n">
        <v>45312</v>
      </c>
      <c r="B3017" s="28" t="n">
        <v>2024</v>
      </c>
      <c r="C3017" s="28" t="s">
        <v>172</v>
      </c>
      <c r="D3017" s="28" t="s">
        <v>50</v>
      </c>
      <c r="E3017" s="28" t="s">
        <v>724</v>
      </c>
      <c r="F3017" s="28" t="s">
        <v>147</v>
      </c>
      <c r="G3017" s="28" t="s">
        <v>148</v>
      </c>
      <c r="H3017" s="28" t="s">
        <v>159</v>
      </c>
      <c r="I3017" s="29" t="n">
        <v>150000</v>
      </c>
      <c r="J3017" s="29" t="n">
        <v>75000</v>
      </c>
      <c r="K3017" s="28" t="n">
        <v>12.25</v>
      </c>
      <c r="L3017" s="28" t="n">
        <v>60</v>
      </c>
      <c r="M3017" s="28" t="n">
        <v>40</v>
      </c>
    </row>
    <row r="3018" customFormat="false" ht="15" hidden="false" customHeight="false" outlineLevel="0" collapsed="false">
      <c r="A3018" s="27" t="n">
        <v>45314</v>
      </c>
      <c r="B3018" s="28" t="n">
        <v>2024</v>
      </c>
      <c r="C3018" s="28" t="s">
        <v>160</v>
      </c>
      <c r="D3018" s="28" t="s">
        <v>48</v>
      </c>
      <c r="E3018" s="28" t="s">
        <v>704</v>
      </c>
      <c r="F3018" s="28" t="s">
        <v>142</v>
      </c>
      <c r="G3018" s="28" t="s">
        <v>441</v>
      </c>
      <c r="H3018" s="28" t="s">
        <v>287</v>
      </c>
      <c r="I3018" s="29" t="n">
        <v>1145000</v>
      </c>
      <c r="J3018" s="29" t="n">
        <v>858750</v>
      </c>
      <c r="K3018" s="28" t="n">
        <v>11</v>
      </c>
      <c r="L3018" s="28" t="n">
        <v>120</v>
      </c>
      <c r="M3018" s="28" t="n">
        <v>8</v>
      </c>
    </row>
    <row r="3019" customFormat="false" ht="15" hidden="false" customHeight="false" outlineLevel="0" collapsed="false">
      <c r="A3019" s="27" t="n">
        <v>45314</v>
      </c>
      <c r="B3019" s="28" t="n">
        <v>2024</v>
      </c>
      <c r="C3019" s="28" t="s">
        <v>172</v>
      </c>
      <c r="D3019" s="28" t="s">
        <v>42</v>
      </c>
      <c r="E3019" s="28" t="s">
        <v>753</v>
      </c>
      <c r="F3019" s="28" t="s">
        <v>142</v>
      </c>
      <c r="G3019" s="28" t="s">
        <v>148</v>
      </c>
      <c r="H3019" s="28" t="s">
        <v>605</v>
      </c>
      <c r="I3019" s="29" t="n">
        <v>960000</v>
      </c>
      <c r="J3019" s="29" t="n">
        <v>720000</v>
      </c>
      <c r="K3019" s="28" t="n">
        <v>11.25</v>
      </c>
      <c r="L3019" s="28" t="n">
        <v>123</v>
      </c>
      <c r="M3019" s="28" t="n">
        <v>20</v>
      </c>
    </row>
    <row r="3020" customFormat="false" ht="15" hidden="false" customHeight="false" outlineLevel="0" collapsed="false">
      <c r="A3020" s="27" t="n">
        <v>45314</v>
      </c>
      <c r="B3020" s="28" t="n">
        <v>2024</v>
      </c>
      <c r="C3020" s="28" t="s">
        <v>292</v>
      </c>
      <c r="D3020" s="28" t="s">
        <v>43</v>
      </c>
      <c r="E3020" s="28" t="s">
        <v>757</v>
      </c>
      <c r="F3020" s="28" t="s">
        <v>142</v>
      </c>
      <c r="G3020" s="28" t="s">
        <v>148</v>
      </c>
      <c r="H3020" s="28" t="s">
        <v>171</v>
      </c>
      <c r="I3020" s="29" t="n">
        <v>150000</v>
      </c>
      <c r="J3020" s="29" t="n">
        <v>127500</v>
      </c>
      <c r="K3020" s="28" t="n">
        <v>13.25</v>
      </c>
      <c r="L3020" s="28" t="n">
        <v>120</v>
      </c>
      <c r="M3020" s="28" t="n">
        <v>0</v>
      </c>
    </row>
    <row r="3021" customFormat="false" ht="15" hidden="false" customHeight="false" outlineLevel="0" collapsed="false">
      <c r="A3021" s="27" t="n">
        <v>45315</v>
      </c>
      <c r="B3021" s="28" t="n">
        <v>2024</v>
      </c>
      <c r="C3021" s="28" t="s">
        <v>216</v>
      </c>
      <c r="D3021" s="28" t="s">
        <v>50</v>
      </c>
      <c r="E3021" s="28" t="s">
        <v>812</v>
      </c>
      <c r="F3021" s="28" t="s">
        <v>142</v>
      </c>
      <c r="G3021" s="28" t="s">
        <v>148</v>
      </c>
      <c r="H3021" s="28" t="s">
        <v>771</v>
      </c>
      <c r="I3021" s="29" t="n">
        <v>50000</v>
      </c>
      <c r="J3021" s="29" t="n">
        <v>42500</v>
      </c>
      <c r="K3021" s="28" t="n">
        <v>11.25</v>
      </c>
      <c r="L3021" s="28" t="n">
        <v>120</v>
      </c>
      <c r="M3021" s="28" t="n">
        <v>5</v>
      </c>
    </row>
    <row r="3022" customFormat="false" ht="15" hidden="false" customHeight="false" outlineLevel="0" collapsed="false">
      <c r="A3022" s="27" t="n">
        <v>45315</v>
      </c>
      <c r="B3022" s="28" t="n">
        <v>2024</v>
      </c>
      <c r="C3022" s="28" t="s">
        <v>163</v>
      </c>
      <c r="D3022" s="28" t="s">
        <v>48</v>
      </c>
      <c r="E3022" s="28" t="s">
        <v>765</v>
      </c>
      <c r="F3022" s="28" t="s">
        <v>142</v>
      </c>
      <c r="G3022" s="28" t="s">
        <v>148</v>
      </c>
      <c r="H3022" s="28" t="s">
        <v>428</v>
      </c>
      <c r="I3022" s="29" t="n">
        <v>500000</v>
      </c>
      <c r="J3022" s="29" t="n">
        <v>375000</v>
      </c>
      <c r="K3022" s="28" t="n">
        <v>6.34</v>
      </c>
      <c r="L3022" s="28" t="n">
        <v>120</v>
      </c>
      <c r="M3022" s="28" t="n">
        <v>1</v>
      </c>
    </row>
    <row r="3023" customFormat="false" ht="15" hidden="false" customHeight="false" outlineLevel="0" collapsed="false">
      <c r="A3023" s="27" t="n">
        <v>45315</v>
      </c>
      <c r="B3023" s="28" t="n">
        <v>2024</v>
      </c>
      <c r="C3023" s="28" t="s">
        <v>303</v>
      </c>
      <c r="D3023" s="28" t="s">
        <v>51</v>
      </c>
      <c r="E3023" s="28" t="s">
        <v>800</v>
      </c>
      <c r="F3023" s="28" t="s">
        <v>142</v>
      </c>
      <c r="G3023" s="28" t="s">
        <v>143</v>
      </c>
      <c r="H3023" s="28" t="s">
        <v>291</v>
      </c>
      <c r="I3023" s="29" t="n">
        <v>1562000</v>
      </c>
      <c r="J3023" s="29" t="n">
        <v>1171500</v>
      </c>
      <c r="K3023" s="28" t="n">
        <v>10.75</v>
      </c>
      <c r="L3023" s="28" t="n">
        <v>126</v>
      </c>
      <c r="M3023" s="28" t="n">
        <v>48</v>
      </c>
    </row>
    <row r="3024" customFormat="false" ht="15" hidden="false" customHeight="false" outlineLevel="0" collapsed="false">
      <c r="A3024" s="27" t="n">
        <v>45315</v>
      </c>
      <c r="B3024" s="28" t="n">
        <v>2024</v>
      </c>
      <c r="C3024" s="28" t="s">
        <v>243</v>
      </c>
      <c r="D3024" s="28" t="s">
        <v>46</v>
      </c>
      <c r="E3024" s="28" t="s">
        <v>746</v>
      </c>
      <c r="F3024" s="28" t="s">
        <v>142</v>
      </c>
      <c r="G3024" s="28" t="s">
        <v>152</v>
      </c>
      <c r="H3024" s="28" t="s">
        <v>153</v>
      </c>
      <c r="I3024" s="29" t="n">
        <v>312000</v>
      </c>
      <c r="J3024" s="29" t="n">
        <v>234000</v>
      </c>
      <c r="K3024" s="28" t="n">
        <v>10.25</v>
      </c>
      <c r="L3024" s="28" t="n">
        <v>120</v>
      </c>
      <c r="M3024" s="28" t="n">
        <v>8</v>
      </c>
    </row>
    <row r="3025" customFormat="false" ht="15" hidden="false" customHeight="false" outlineLevel="0" collapsed="false">
      <c r="A3025" s="27" t="n">
        <v>45315</v>
      </c>
      <c r="B3025" s="28" t="n">
        <v>2024</v>
      </c>
      <c r="C3025" s="28" t="s">
        <v>272</v>
      </c>
      <c r="D3025" s="28" t="s">
        <v>45</v>
      </c>
      <c r="E3025" s="28" t="s">
        <v>835</v>
      </c>
      <c r="F3025" s="28" t="s">
        <v>142</v>
      </c>
      <c r="G3025" s="28" t="s">
        <v>148</v>
      </c>
      <c r="H3025" s="28" t="s">
        <v>162</v>
      </c>
      <c r="I3025" s="29" t="n">
        <v>637500</v>
      </c>
      <c r="J3025" s="29" t="n">
        <v>478125</v>
      </c>
      <c r="K3025" s="28" t="n">
        <v>7.14</v>
      </c>
      <c r="L3025" s="28" t="n">
        <v>120</v>
      </c>
      <c r="M3025" s="28" t="n">
        <v>5</v>
      </c>
    </row>
    <row r="3026" customFormat="false" ht="15" hidden="false" customHeight="false" outlineLevel="0" collapsed="false">
      <c r="A3026" s="27" t="n">
        <v>45315</v>
      </c>
      <c r="B3026" s="28" t="n">
        <v>2024</v>
      </c>
      <c r="C3026" s="28" t="s">
        <v>303</v>
      </c>
      <c r="D3026" s="28" t="s">
        <v>51</v>
      </c>
      <c r="E3026" s="28" t="s">
        <v>800</v>
      </c>
      <c r="F3026" s="28" t="s">
        <v>147</v>
      </c>
      <c r="G3026" s="28" t="s">
        <v>143</v>
      </c>
      <c r="H3026" s="28" t="s">
        <v>291</v>
      </c>
      <c r="I3026" s="29" t="n">
        <v>100000</v>
      </c>
      <c r="J3026" s="29" t="n">
        <v>50000</v>
      </c>
      <c r="K3026" s="28" t="n">
        <v>10.75</v>
      </c>
      <c r="L3026" s="28" t="n">
        <v>120</v>
      </c>
      <c r="M3026" s="28" t="n">
        <v>48</v>
      </c>
    </row>
    <row r="3027" customFormat="false" ht="15" hidden="false" customHeight="false" outlineLevel="0" collapsed="false">
      <c r="A3027" s="27" t="n">
        <v>45315</v>
      </c>
      <c r="B3027" s="28" t="n">
        <v>2024</v>
      </c>
      <c r="C3027" s="28" t="s">
        <v>332</v>
      </c>
      <c r="D3027" s="28" t="s">
        <v>48</v>
      </c>
      <c r="E3027" s="28" t="s">
        <v>736</v>
      </c>
      <c r="F3027" s="28" t="s">
        <v>142</v>
      </c>
      <c r="G3027" s="28" t="s">
        <v>148</v>
      </c>
      <c r="H3027" s="28" t="s">
        <v>1034</v>
      </c>
      <c r="I3027" s="29" t="n">
        <v>2000000</v>
      </c>
      <c r="J3027" s="29" t="n">
        <v>1800000</v>
      </c>
      <c r="K3027" s="28" t="n">
        <v>10.74</v>
      </c>
      <c r="L3027" s="28" t="n">
        <v>12</v>
      </c>
      <c r="M3027" s="28" t="n">
        <v>9</v>
      </c>
    </row>
    <row r="3028" customFormat="false" ht="15" hidden="false" customHeight="false" outlineLevel="0" collapsed="false">
      <c r="A3028" s="27" t="n">
        <v>45315</v>
      </c>
      <c r="B3028" s="28" t="n">
        <v>2024</v>
      </c>
      <c r="C3028" s="28" t="s">
        <v>243</v>
      </c>
      <c r="D3028" s="28" t="s">
        <v>44</v>
      </c>
      <c r="E3028" s="28" t="s">
        <v>783</v>
      </c>
      <c r="F3028" s="28" t="s">
        <v>142</v>
      </c>
      <c r="G3028" s="28" t="s">
        <v>143</v>
      </c>
      <c r="H3028" s="28" t="s">
        <v>372</v>
      </c>
      <c r="I3028" s="29" t="n">
        <v>250000</v>
      </c>
      <c r="J3028" s="29" t="n">
        <v>187500</v>
      </c>
      <c r="K3028" s="28" t="n">
        <v>11.5</v>
      </c>
      <c r="L3028" s="28" t="n">
        <v>120</v>
      </c>
      <c r="M3028" s="28" t="n">
        <v>8</v>
      </c>
    </row>
    <row r="3029" customFormat="false" ht="15" hidden="false" customHeight="false" outlineLevel="0" collapsed="false">
      <c r="A3029" s="27" t="n">
        <v>45316</v>
      </c>
      <c r="B3029" s="28" t="n">
        <v>2024</v>
      </c>
      <c r="C3029" s="28" t="s">
        <v>166</v>
      </c>
      <c r="D3029" s="28" t="s">
        <v>52</v>
      </c>
      <c r="E3029" s="28" t="s">
        <v>742</v>
      </c>
      <c r="F3029" s="28" t="s">
        <v>142</v>
      </c>
      <c r="G3029" s="28" t="s">
        <v>441</v>
      </c>
      <c r="H3029" s="28" t="s">
        <v>275</v>
      </c>
      <c r="I3029" s="29" t="n">
        <v>135000</v>
      </c>
      <c r="J3029" s="29" t="n">
        <v>114750</v>
      </c>
      <c r="K3029" s="28" t="n">
        <v>11.25</v>
      </c>
      <c r="L3029" s="28" t="n">
        <v>120</v>
      </c>
      <c r="M3029" s="28" t="n">
        <v>10</v>
      </c>
    </row>
    <row r="3030" customFormat="false" ht="15" hidden="false" customHeight="false" outlineLevel="0" collapsed="false">
      <c r="A3030" s="27" t="n">
        <v>45317</v>
      </c>
      <c r="B3030" s="28" t="n">
        <v>2024</v>
      </c>
      <c r="C3030" s="28" t="s">
        <v>169</v>
      </c>
      <c r="D3030" s="28" t="s">
        <v>48</v>
      </c>
      <c r="E3030" s="28" t="s">
        <v>736</v>
      </c>
      <c r="F3030" s="28" t="s">
        <v>147</v>
      </c>
      <c r="G3030" s="28" t="s">
        <v>148</v>
      </c>
      <c r="H3030" s="28" t="s">
        <v>205</v>
      </c>
      <c r="I3030" s="29" t="n">
        <v>150000</v>
      </c>
      <c r="J3030" s="29" t="n">
        <v>75000</v>
      </c>
      <c r="K3030" s="28" t="n">
        <v>11.5</v>
      </c>
      <c r="L3030" s="28" t="n">
        <v>77</v>
      </c>
      <c r="M3030" s="28" t="n">
        <v>30</v>
      </c>
    </row>
    <row r="3031" customFormat="false" ht="15" hidden="false" customHeight="false" outlineLevel="0" collapsed="false">
      <c r="A3031" s="27" t="n">
        <v>45318</v>
      </c>
      <c r="B3031" s="28" t="n">
        <v>2024</v>
      </c>
      <c r="C3031" s="28" t="s">
        <v>196</v>
      </c>
      <c r="D3031" s="28" t="s">
        <v>42</v>
      </c>
      <c r="E3031" s="28" t="s">
        <v>717</v>
      </c>
      <c r="F3031" s="28" t="s">
        <v>142</v>
      </c>
      <c r="G3031" s="28" t="s">
        <v>143</v>
      </c>
      <c r="H3031" s="28" t="s">
        <v>149</v>
      </c>
      <c r="I3031" s="29" t="n">
        <v>1680000</v>
      </c>
      <c r="J3031" s="29" t="n">
        <v>1260000</v>
      </c>
      <c r="K3031" s="28" t="n">
        <v>10.5</v>
      </c>
      <c r="L3031" s="28" t="n">
        <v>126</v>
      </c>
      <c r="M3031" s="28" t="n">
        <v>29</v>
      </c>
    </row>
    <row r="3032" customFormat="false" ht="15" hidden="false" customHeight="false" outlineLevel="0" collapsed="false">
      <c r="A3032" s="27" t="n">
        <v>45318</v>
      </c>
      <c r="B3032" s="28" t="n">
        <v>2024</v>
      </c>
      <c r="C3032" s="28" t="s">
        <v>140</v>
      </c>
      <c r="D3032" s="28" t="s">
        <v>45</v>
      </c>
      <c r="E3032" s="28" t="s">
        <v>708</v>
      </c>
      <c r="F3032" s="28" t="s">
        <v>142</v>
      </c>
      <c r="G3032" s="28" t="s">
        <v>143</v>
      </c>
      <c r="H3032" s="28" t="s">
        <v>287</v>
      </c>
      <c r="I3032" s="29" t="n">
        <v>225000</v>
      </c>
      <c r="J3032" s="29" t="n">
        <v>168750</v>
      </c>
      <c r="K3032" s="28" t="n">
        <v>11.25</v>
      </c>
      <c r="L3032" s="28" t="n">
        <v>120</v>
      </c>
      <c r="M3032" s="28" t="n">
        <v>4</v>
      </c>
    </row>
    <row r="3033" customFormat="false" ht="15" hidden="false" customHeight="false" outlineLevel="0" collapsed="false">
      <c r="A3033" s="27" t="n">
        <v>45320</v>
      </c>
      <c r="B3033" s="28" t="n">
        <v>2024</v>
      </c>
      <c r="C3033" s="28" t="s">
        <v>216</v>
      </c>
      <c r="D3033" s="28" t="s">
        <v>45</v>
      </c>
      <c r="E3033" s="28" t="s">
        <v>864</v>
      </c>
      <c r="F3033" s="28" t="s">
        <v>142</v>
      </c>
      <c r="G3033" s="28" t="s">
        <v>148</v>
      </c>
      <c r="H3033" s="28" t="s">
        <v>771</v>
      </c>
      <c r="I3033" s="29" t="n">
        <v>50000</v>
      </c>
      <c r="J3033" s="29" t="n">
        <v>42500</v>
      </c>
      <c r="K3033" s="28" t="n">
        <v>11.25</v>
      </c>
      <c r="L3033" s="28" t="n">
        <v>120</v>
      </c>
      <c r="M3033" s="28" t="n">
        <v>10</v>
      </c>
    </row>
    <row r="3034" customFormat="false" ht="15" hidden="false" customHeight="false" outlineLevel="0" collapsed="false">
      <c r="A3034" s="27" t="n">
        <v>45320</v>
      </c>
      <c r="B3034" s="28" t="n">
        <v>2024</v>
      </c>
      <c r="C3034" s="28" t="s">
        <v>235</v>
      </c>
      <c r="D3034" s="28" t="s">
        <v>44</v>
      </c>
      <c r="E3034" s="28" t="s">
        <v>783</v>
      </c>
      <c r="F3034" s="28" t="s">
        <v>142</v>
      </c>
      <c r="G3034" s="28" t="s">
        <v>148</v>
      </c>
      <c r="H3034" s="28" t="s">
        <v>771</v>
      </c>
      <c r="I3034" s="29" t="n">
        <v>50000</v>
      </c>
      <c r="J3034" s="29" t="n">
        <v>42500</v>
      </c>
      <c r="K3034" s="28" t="n">
        <v>11.25</v>
      </c>
      <c r="L3034" s="28" t="n">
        <v>120</v>
      </c>
      <c r="M3034" s="28" t="n">
        <v>1</v>
      </c>
    </row>
    <row r="3035" customFormat="false" ht="15" hidden="false" customHeight="false" outlineLevel="0" collapsed="false">
      <c r="A3035" s="27" t="n">
        <v>45320</v>
      </c>
      <c r="B3035" s="28" t="n">
        <v>2024</v>
      </c>
      <c r="C3035" s="28" t="s">
        <v>216</v>
      </c>
      <c r="D3035" s="28" t="s">
        <v>46</v>
      </c>
      <c r="E3035" s="28" t="s">
        <v>806</v>
      </c>
      <c r="F3035" s="28" t="s">
        <v>142</v>
      </c>
      <c r="G3035" s="28" t="s">
        <v>148</v>
      </c>
      <c r="H3035" s="28" t="s">
        <v>771</v>
      </c>
      <c r="I3035" s="29" t="n">
        <v>50000</v>
      </c>
      <c r="J3035" s="29" t="n">
        <v>42500</v>
      </c>
      <c r="K3035" s="28" t="n">
        <v>11.25</v>
      </c>
      <c r="L3035" s="28" t="n">
        <v>120</v>
      </c>
      <c r="M3035" s="28" t="n">
        <v>12</v>
      </c>
    </row>
    <row r="3036" customFormat="false" ht="15" hidden="false" customHeight="false" outlineLevel="0" collapsed="false">
      <c r="A3036" s="27" t="n">
        <v>45321</v>
      </c>
      <c r="B3036" s="28" t="n">
        <v>2024</v>
      </c>
      <c r="C3036" s="28" t="s">
        <v>368</v>
      </c>
      <c r="D3036" s="28" t="s">
        <v>46</v>
      </c>
      <c r="E3036" s="28" t="s">
        <v>741</v>
      </c>
      <c r="F3036" s="28" t="s">
        <v>147</v>
      </c>
      <c r="G3036" s="28" t="s">
        <v>441</v>
      </c>
      <c r="H3036" s="28" t="s">
        <v>159</v>
      </c>
      <c r="I3036" s="29" t="n">
        <v>60000</v>
      </c>
      <c r="J3036" s="29" t="n">
        <v>30000</v>
      </c>
      <c r="K3036" s="28" t="n">
        <v>10.75</v>
      </c>
      <c r="L3036" s="28" t="n">
        <v>120</v>
      </c>
      <c r="M3036" s="28" t="n">
        <v>4</v>
      </c>
    </row>
    <row r="3037" customFormat="false" ht="15" hidden="false" customHeight="false" outlineLevel="0" collapsed="false">
      <c r="A3037" s="27" t="n">
        <v>45321</v>
      </c>
      <c r="B3037" s="28" t="n">
        <v>2024</v>
      </c>
      <c r="C3037" s="28" t="s">
        <v>368</v>
      </c>
      <c r="D3037" s="28" t="s">
        <v>46</v>
      </c>
      <c r="E3037" s="28" t="s">
        <v>741</v>
      </c>
      <c r="F3037" s="28" t="s">
        <v>147</v>
      </c>
      <c r="G3037" s="28" t="s">
        <v>441</v>
      </c>
      <c r="H3037" s="28" t="s">
        <v>159</v>
      </c>
      <c r="I3037" s="29" t="n">
        <v>135000</v>
      </c>
      <c r="J3037" s="29" t="n">
        <v>67500</v>
      </c>
      <c r="K3037" s="28" t="n">
        <v>10.5</v>
      </c>
      <c r="L3037" s="28" t="n">
        <v>180</v>
      </c>
      <c r="M3037" s="28" t="n">
        <v>4</v>
      </c>
    </row>
    <row r="3038" customFormat="false" ht="15" hidden="false" customHeight="false" outlineLevel="0" collapsed="false">
      <c r="A3038" s="27" t="n">
        <v>45321</v>
      </c>
      <c r="B3038" s="28" t="n">
        <v>2024</v>
      </c>
      <c r="C3038" s="28" t="s">
        <v>172</v>
      </c>
      <c r="D3038" s="28" t="s">
        <v>44</v>
      </c>
      <c r="E3038" s="28" t="s">
        <v>863</v>
      </c>
      <c r="F3038" s="28" t="s">
        <v>142</v>
      </c>
      <c r="G3038" s="28" t="s">
        <v>441</v>
      </c>
      <c r="H3038" s="28" t="s">
        <v>771</v>
      </c>
      <c r="I3038" s="29" t="n">
        <v>50000</v>
      </c>
      <c r="J3038" s="29" t="n">
        <v>42500</v>
      </c>
      <c r="K3038" s="28" t="n">
        <v>11.25</v>
      </c>
      <c r="L3038" s="28" t="n">
        <v>120</v>
      </c>
      <c r="M3038" s="28" t="n">
        <v>0</v>
      </c>
    </row>
    <row r="3039" customFormat="false" ht="15" hidden="false" customHeight="false" outlineLevel="0" collapsed="false">
      <c r="A3039" s="27" t="n">
        <v>45321</v>
      </c>
      <c r="B3039" s="28" t="n">
        <v>2024</v>
      </c>
      <c r="C3039" s="28" t="s">
        <v>160</v>
      </c>
      <c r="D3039" s="28" t="s">
        <v>46</v>
      </c>
      <c r="E3039" s="28" t="s">
        <v>813</v>
      </c>
      <c r="F3039" s="28" t="s">
        <v>142</v>
      </c>
      <c r="G3039" s="28" t="s">
        <v>441</v>
      </c>
      <c r="H3039" s="28" t="s">
        <v>179</v>
      </c>
      <c r="I3039" s="29" t="n">
        <v>351000</v>
      </c>
      <c r="J3039" s="29" t="n">
        <v>263250</v>
      </c>
      <c r="K3039" s="28" t="n">
        <v>10</v>
      </c>
      <c r="L3039" s="28" t="n">
        <v>120</v>
      </c>
      <c r="M3039" s="28" t="n">
        <v>16</v>
      </c>
    </row>
    <row r="3040" customFormat="false" ht="15" hidden="false" customHeight="false" outlineLevel="0" collapsed="false">
      <c r="A3040" s="27" t="n">
        <v>45321</v>
      </c>
      <c r="B3040" s="28" t="n">
        <v>2024</v>
      </c>
      <c r="C3040" s="28" t="s">
        <v>360</v>
      </c>
      <c r="D3040" s="28" t="s">
        <v>43</v>
      </c>
      <c r="E3040" s="28" t="s">
        <v>886</v>
      </c>
      <c r="F3040" s="28" t="s">
        <v>142</v>
      </c>
      <c r="G3040" s="28" t="s">
        <v>441</v>
      </c>
      <c r="H3040" s="28" t="s">
        <v>382</v>
      </c>
      <c r="I3040" s="29" t="n">
        <v>595900</v>
      </c>
      <c r="J3040" s="29" t="n">
        <v>446925</v>
      </c>
      <c r="K3040" s="28" t="n">
        <v>10.5</v>
      </c>
      <c r="L3040" s="28" t="n">
        <v>300</v>
      </c>
      <c r="M3040" s="28" t="n">
        <v>16</v>
      </c>
    </row>
    <row r="3041" customFormat="false" ht="15" hidden="false" customHeight="false" outlineLevel="0" collapsed="false">
      <c r="A3041" s="27" t="n">
        <v>45321</v>
      </c>
      <c r="B3041" s="28" t="n">
        <v>2024</v>
      </c>
      <c r="C3041" s="28" t="s">
        <v>303</v>
      </c>
      <c r="D3041" s="28" t="s">
        <v>48</v>
      </c>
      <c r="E3041" s="28" t="s">
        <v>736</v>
      </c>
      <c r="F3041" s="28" t="s">
        <v>142</v>
      </c>
      <c r="G3041" s="28" t="s">
        <v>148</v>
      </c>
      <c r="H3041" s="28" t="s">
        <v>275</v>
      </c>
      <c r="I3041" s="29" t="n">
        <v>500000</v>
      </c>
      <c r="J3041" s="29" t="n">
        <v>375000</v>
      </c>
      <c r="K3041" s="28" t="n">
        <v>11.25</v>
      </c>
      <c r="L3041" s="28" t="n">
        <v>110</v>
      </c>
      <c r="M3041" s="28" t="n">
        <v>5</v>
      </c>
    </row>
    <row r="3042" customFormat="false" ht="15" hidden="false" customHeight="false" outlineLevel="0" collapsed="false">
      <c r="A3042" s="27" t="n">
        <v>45322</v>
      </c>
      <c r="B3042" s="28" t="n">
        <v>2024</v>
      </c>
      <c r="C3042" s="28" t="s">
        <v>163</v>
      </c>
      <c r="D3042" s="28" t="s">
        <v>51</v>
      </c>
      <c r="E3042" s="28" t="s">
        <v>800</v>
      </c>
      <c r="F3042" s="28" t="s">
        <v>142</v>
      </c>
      <c r="G3042" s="28" t="s">
        <v>143</v>
      </c>
      <c r="H3042" s="28" t="s">
        <v>208</v>
      </c>
      <c r="I3042" s="29" t="n">
        <v>492500</v>
      </c>
      <c r="J3042" s="29" t="n">
        <v>369375</v>
      </c>
      <c r="K3042" s="28" t="n">
        <v>11</v>
      </c>
      <c r="L3042" s="28" t="n">
        <v>120</v>
      </c>
      <c r="M3042" s="28" t="n">
        <v>19</v>
      </c>
    </row>
    <row r="3043" customFormat="false" ht="15" hidden="false" customHeight="false" outlineLevel="0" collapsed="false">
      <c r="A3043" s="27" t="n">
        <v>45323</v>
      </c>
      <c r="B3043" s="28" t="n">
        <v>2024</v>
      </c>
      <c r="C3043" s="28" t="s">
        <v>169</v>
      </c>
      <c r="D3043" s="28" t="s">
        <v>46</v>
      </c>
      <c r="E3043" s="28" t="s">
        <v>702</v>
      </c>
      <c r="F3043" s="28" t="s">
        <v>147</v>
      </c>
      <c r="G3043" s="28" t="s">
        <v>148</v>
      </c>
      <c r="H3043" s="28" t="s">
        <v>953</v>
      </c>
      <c r="I3043" s="29" t="n">
        <v>40000</v>
      </c>
      <c r="J3043" s="29" t="n">
        <v>20000</v>
      </c>
      <c r="K3043" s="28" t="n">
        <v>15</v>
      </c>
      <c r="L3043" s="28" t="n">
        <v>120</v>
      </c>
      <c r="M3043" s="28" t="n">
        <v>4</v>
      </c>
    </row>
    <row r="3044" customFormat="false" ht="15" hidden="false" customHeight="false" outlineLevel="0" collapsed="false">
      <c r="A3044" s="27" t="n">
        <v>45323</v>
      </c>
      <c r="B3044" s="28" t="n">
        <v>2024</v>
      </c>
      <c r="C3044" s="28" t="s">
        <v>201</v>
      </c>
      <c r="D3044" s="28" t="s">
        <v>51</v>
      </c>
      <c r="E3044" s="28" t="s">
        <v>779</v>
      </c>
      <c r="F3044" s="28" t="s">
        <v>142</v>
      </c>
      <c r="G3044" s="28" t="s">
        <v>143</v>
      </c>
      <c r="H3044" s="28" t="s">
        <v>621</v>
      </c>
      <c r="I3044" s="29" t="n">
        <v>264000</v>
      </c>
      <c r="J3044" s="29" t="n">
        <v>198000</v>
      </c>
      <c r="K3044" s="28" t="n">
        <v>10.75</v>
      </c>
      <c r="L3044" s="28" t="n">
        <v>129</v>
      </c>
      <c r="M3044" s="28" t="n">
        <v>3</v>
      </c>
    </row>
    <row r="3045" customFormat="false" ht="15" hidden="false" customHeight="false" outlineLevel="0" collapsed="false">
      <c r="A3045" s="27" t="n">
        <v>45323</v>
      </c>
      <c r="B3045" s="28" t="n">
        <v>2024</v>
      </c>
      <c r="C3045" s="28" t="s">
        <v>160</v>
      </c>
      <c r="D3045" s="28" t="s">
        <v>49</v>
      </c>
      <c r="E3045" s="28" t="s">
        <v>932</v>
      </c>
      <c r="F3045" s="28" t="s">
        <v>147</v>
      </c>
      <c r="G3045" s="28" t="s">
        <v>148</v>
      </c>
      <c r="H3045" s="28" t="s">
        <v>162</v>
      </c>
      <c r="I3045" s="29" t="n">
        <v>100000</v>
      </c>
      <c r="J3045" s="29" t="n">
        <v>50000</v>
      </c>
      <c r="K3045" s="28" t="n">
        <v>11.25</v>
      </c>
      <c r="L3045" s="28" t="n">
        <v>120</v>
      </c>
      <c r="M3045" s="28" t="n">
        <v>0</v>
      </c>
    </row>
    <row r="3046" customFormat="false" ht="15" hidden="false" customHeight="false" outlineLevel="0" collapsed="false">
      <c r="A3046" s="27" t="n">
        <v>45325</v>
      </c>
      <c r="B3046" s="28" t="n">
        <v>2024</v>
      </c>
      <c r="C3046" s="28" t="s">
        <v>172</v>
      </c>
      <c r="D3046" s="28" t="s">
        <v>53</v>
      </c>
      <c r="E3046" s="28" t="s">
        <v>383</v>
      </c>
      <c r="F3046" s="28" t="s">
        <v>142</v>
      </c>
      <c r="G3046" s="28" t="s">
        <v>148</v>
      </c>
      <c r="H3046" s="28" t="s">
        <v>171</v>
      </c>
      <c r="I3046" s="29" t="n">
        <v>76000</v>
      </c>
      <c r="J3046" s="29" t="n">
        <v>64600</v>
      </c>
      <c r="K3046" s="28" t="n">
        <v>13.25</v>
      </c>
      <c r="L3046" s="28" t="n">
        <v>120</v>
      </c>
      <c r="M3046" s="28" t="n">
        <v>0</v>
      </c>
    </row>
    <row r="3047" customFormat="false" ht="15" hidden="false" customHeight="false" outlineLevel="0" collapsed="false">
      <c r="A3047" s="27" t="n">
        <v>45325</v>
      </c>
      <c r="B3047" s="28" t="n">
        <v>2024</v>
      </c>
      <c r="C3047" s="28" t="s">
        <v>172</v>
      </c>
      <c r="D3047" s="28" t="s">
        <v>42</v>
      </c>
      <c r="E3047" s="28" t="s">
        <v>717</v>
      </c>
      <c r="F3047" s="28" t="s">
        <v>142</v>
      </c>
      <c r="G3047" s="28" t="s">
        <v>148</v>
      </c>
      <c r="H3047" s="28" t="s">
        <v>275</v>
      </c>
      <c r="I3047" s="29" t="n">
        <v>50000</v>
      </c>
      <c r="J3047" s="29" t="n">
        <v>42500</v>
      </c>
      <c r="K3047" s="28" t="n">
        <v>15</v>
      </c>
      <c r="L3047" s="28" t="n">
        <v>120</v>
      </c>
      <c r="M3047" s="28" t="n">
        <v>8</v>
      </c>
    </row>
    <row r="3048" customFormat="false" ht="15" hidden="false" customHeight="false" outlineLevel="0" collapsed="false">
      <c r="A3048" s="27" t="n">
        <v>45326</v>
      </c>
      <c r="B3048" s="28" t="n">
        <v>2024</v>
      </c>
      <c r="C3048" s="28" t="s">
        <v>145</v>
      </c>
      <c r="D3048" s="28" t="s">
        <v>52</v>
      </c>
      <c r="E3048" s="28" t="s">
        <v>599</v>
      </c>
      <c r="F3048" s="28" t="s">
        <v>142</v>
      </c>
      <c r="G3048" s="28" t="s">
        <v>441</v>
      </c>
      <c r="H3048" s="28" t="s">
        <v>275</v>
      </c>
      <c r="I3048" s="29" t="n">
        <v>979000</v>
      </c>
      <c r="J3048" s="29" t="n">
        <v>734250</v>
      </c>
      <c r="K3048" s="28" t="n">
        <v>11.25</v>
      </c>
      <c r="L3048" s="28" t="n">
        <v>120</v>
      </c>
      <c r="M3048" s="28" t="n">
        <v>2</v>
      </c>
    </row>
    <row r="3049" customFormat="false" ht="15" hidden="false" customHeight="false" outlineLevel="0" collapsed="false">
      <c r="A3049" s="27" t="n">
        <v>45326</v>
      </c>
      <c r="B3049" s="28" t="n">
        <v>2024</v>
      </c>
      <c r="C3049" s="28" t="s">
        <v>169</v>
      </c>
      <c r="D3049" s="28" t="s">
        <v>43</v>
      </c>
      <c r="E3049" s="28" t="s">
        <v>757</v>
      </c>
      <c r="F3049" s="28" t="s">
        <v>142</v>
      </c>
      <c r="G3049" s="28" t="s">
        <v>441</v>
      </c>
      <c r="H3049" s="28" t="s">
        <v>771</v>
      </c>
      <c r="I3049" s="29" t="n">
        <v>26100</v>
      </c>
      <c r="J3049" s="29" t="n">
        <v>22185</v>
      </c>
      <c r="K3049" s="28" t="n">
        <v>11.25</v>
      </c>
      <c r="L3049" s="28" t="n">
        <v>120</v>
      </c>
      <c r="M3049" s="28" t="n">
        <v>0</v>
      </c>
    </row>
    <row r="3050" customFormat="false" ht="15" hidden="false" customHeight="false" outlineLevel="0" collapsed="false">
      <c r="A3050" s="27" t="n">
        <v>45327</v>
      </c>
      <c r="B3050" s="28" t="n">
        <v>2024</v>
      </c>
      <c r="C3050" s="28" t="s">
        <v>166</v>
      </c>
      <c r="D3050" s="28" t="s">
        <v>42</v>
      </c>
      <c r="E3050" s="28" t="s">
        <v>753</v>
      </c>
      <c r="F3050" s="28" t="s">
        <v>194</v>
      </c>
      <c r="G3050" s="28" t="s">
        <v>143</v>
      </c>
      <c r="H3050" s="28" t="s">
        <v>799</v>
      </c>
      <c r="I3050" s="29" t="n">
        <v>350000</v>
      </c>
      <c r="J3050" s="29" t="n">
        <v>262500</v>
      </c>
      <c r="K3050" s="28" t="n">
        <v>10.75</v>
      </c>
      <c r="L3050" s="28" t="n">
        <v>120</v>
      </c>
      <c r="M3050" s="28" t="n">
        <v>15</v>
      </c>
    </row>
    <row r="3051" customFormat="false" ht="15" hidden="false" customHeight="false" outlineLevel="0" collapsed="false">
      <c r="A3051" s="27" t="n">
        <v>45328</v>
      </c>
      <c r="B3051" s="28" t="n">
        <v>2024</v>
      </c>
      <c r="C3051" s="28" t="s">
        <v>198</v>
      </c>
      <c r="D3051" s="28" t="s">
        <v>48</v>
      </c>
      <c r="E3051" s="28" t="s">
        <v>815</v>
      </c>
      <c r="F3051" s="28" t="s">
        <v>147</v>
      </c>
      <c r="G3051" s="28" t="s">
        <v>441</v>
      </c>
      <c r="H3051" s="28" t="s">
        <v>159</v>
      </c>
      <c r="I3051" s="29" t="n">
        <v>25000</v>
      </c>
      <c r="J3051" s="29" t="n">
        <v>12500</v>
      </c>
      <c r="K3051" s="28" t="n">
        <v>15</v>
      </c>
      <c r="L3051" s="28" t="n">
        <v>120</v>
      </c>
      <c r="M3051" s="28" t="n">
        <v>1</v>
      </c>
    </row>
    <row r="3052" customFormat="false" ht="15" hidden="false" customHeight="false" outlineLevel="0" collapsed="false">
      <c r="A3052" s="27" t="n">
        <v>45328</v>
      </c>
      <c r="B3052" s="28" t="n">
        <v>2024</v>
      </c>
      <c r="C3052" s="28" t="s">
        <v>303</v>
      </c>
      <c r="D3052" s="28" t="s">
        <v>45</v>
      </c>
      <c r="E3052" s="28" t="s">
        <v>835</v>
      </c>
      <c r="F3052" s="28" t="s">
        <v>142</v>
      </c>
      <c r="G3052" s="28" t="s">
        <v>148</v>
      </c>
      <c r="H3052" s="28" t="s">
        <v>275</v>
      </c>
      <c r="I3052" s="29" t="n">
        <v>50000</v>
      </c>
      <c r="J3052" s="29" t="n">
        <v>42500</v>
      </c>
      <c r="K3052" s="28" t="n">
        <v>15</v>
      </c>
      <c r="L3052" s="28" t="n">
        <v>120</v>
      </c>
      <c r="M3052" s="28" t="n">
        <v>6</v>
      </c>
    </row>
    <row r="3053" customFormat="false" ht="15" hidden="false" customHeight="false" outlineLevel="0" collapsed="false">
      <c r="A3053" s="27" t="n">
        <v>45328</v>
      </c>
      <c r="B3053" s="28" t="n">
        <v>2024</v>
      </c>
      <c r="C3053" s="28" t="s">
        <v>332</v>
      </c>
      <c r="D3053" s="28" t="s">
        <v>56</v>
      </c>
      <c r="E3053" s="28" t="s">
        <v>207</v>
      </c>
      <c r="F3053" s="28" t="s">
        <v>147</v>
      </c>
      <c r="G3053" s="28" t="s">
        <v>148</v>
      </c>
      <c r="H3053" s="28" t="s">
        <v>655</v>
      </c>
      <c r="I3053" s="29" t="n">
        <v>80000</v>
      </c>
      <c r="J3053" s="29" t="n">
        <v>40000</v>
      </c>
      <c r="K3053" s="28" t="n">
        <v>10.5</v>
      </c>
      <c r="L3053" s="28" t="n">
        <v>60</v>
      </c>
      <c r="M3053" s="28" t="n">
        <v>8</v>
      </c>
    </row>
    <row r="3054" customFormat="false" ht="15" hidden="false" customHeight="false" outlineLevel="0" collapsed="false">
      <c r="A3054" s="27" t="n">
        <v>45328</v>
      </c>
      <c r="B3054" s="28" t="n">
        <v>2024</v>
      </c>
      <c r="C3054" s="28" t="s">
        <v>344</v>
      </c>
      <c r="D3054" s="28" t="s">
        <v>49</v>
      </c>
      <c r="E3054" s="28" t="s">
        <v>809</v>
      </c>
      <c r="F3054" s="28" t="s">
        <v>142</v>
      </c>
      <c r="G3054" s="28" t="s">
        <v>148</v>
      </c>
      <c r="H3054" s="28" t="s">
        <v>208</v>
      </c>
      <c r="I3054" s="29" t="n">
        <v>75000</v>
      </c>
      <c r="J3054" s="29" t="n">
        <v>63750</v>
      </c>
      <c r="K3054" s="28" t="n">
        <v>11.25</v>
      </c>
      <c r="L3054" s="28" t="n">
        <v>120</v>
      </c>
      <c r="M3054" s="28" t="n">
        <v>0</v>
      </c>
    </row>
    <row r="3055" customFormat="false" ht="15" hidden="false" customHeight="false" outlineLevel="0" collapsed="false">
      <c r="A3055" s="27" t="n">
        <v>45328</v>
      </c>
      <c r="B3055" s="28" t="n">
        <v>2024</v>
      </c>
      <c r="C3055" s="28" t="s">
        <v>530</v>
      </c>
      <c r="D3055" s="28" t="s">
        <v>44</v>
      </c>
      <c r="E3055" s="28" t="s">
        <v>842</v>
      </c>
      <c r="F3055" s="28" t="s">
        <v>147</v>
      </c>
      <c r="G3055" s="28" t="s">
        <v>143</v>
      </c>
      <c r="H3055" s="28" t="s">
        <v>469</v>
      </c>
      <c r="I3055" s="29" t="n">
        <v>200000</v>
      </c>
      <c r="J3055" s="29" t="n">
        <v>100000</v>
      </c>
      <c r="K3055" s="28" t="n">
        <v>9.5</v>
      </c>
      <c r="L3055" s="28" t="n">
        <v>120</v>
      </c>
      <c r="M3055" s="28" t="n">
        <v>4</v>
      </c>
    </row>
    <row r="3056" customFormat="false" ht="15" hidden="false" customHeight="false" outlineLevel="0" collapsed="false">
      <c r="A3056" s="27" t="n">
        <v>45328</v>
      </c>
      <c r="B3056" s="28" t="n">
        <v>2024</v>
      </c>
      <c r="C3056" s="28" t="s">
        <v>328</v>
      </c>
      <c r="D3056" s="28" t="s">
        <v>47</v>
      </c>
      <c r="E3056" s="28" t="s">
        <v>327</v>
      </c>
      <c r="F3056" s="28" t="s">
        <v>194</v>
      </c>
      <c r="G3056" s="28" t="s">
        <v>143</v>
      </c>
      <c r="H3056" s="28" t="s">
        <v>195</v>
      </c>
      <c r="I3056" s="29" t="n">
        <v>25000</v>
      </c>
      <c r="J3056" s="29" t="n">
        <v>21250</v>
      </c>
      <c r="K3056" s="28" t="n">
        <v>9.5</v>
      </c>
      <c r="L3056" s="28" t="n">
        <v>120</v>
      </c>
      <c r="M3056" s="28" t="n">
        <v>2</v>
      </c>
    </row>
    <row r="3057" customFormat="false" ht="15" hidden="false" customHeight="false" outlineLevel="0" collapsed="false">
      <c r="A3057" s="27" t="n">
        <v>45328</v>
      </c>
      <c r="B3057" s="28" t="n">
        <v>2024</v>
      </c>
      <c r="C3057" s="28" t="s">
        <v>198</v>
      </c>
      <c r="D3057" s="28" t="s">
        <v>48</v>
      </c>
      <c r="E3057" s="28" t="s">
        <v>815</v>
      </c>
      <c r="F3057" s="28" t="s">
        <v>142</v>
      </c>
      <c r="G3057" s="28" t="s">
        <v>441</v>
      </c>
      <c r="H3057" s="28" t="s">
        <v>159</v>
      </c>
      <c r="I3057" s="29" t="n">
        <v>15000</v>
      </c>
      <c r="J3057" s="29" t="n">
        <v>11250</v>
      </c>
      <c r="K3057" s="28" t="n">
        <v>11.74</v>
      </c>
      <c r="L3057" s="28" t="n">
        <v>36</v>
      </c>
      <c r="M3057" s="28" t="n">
        <v>1</v>
      </c>
    </row>
    <row r="3058" customFormat="false" ht="15" hidden="false" customHeight="false" outlineLevel="0" collapsed="false">
      <c r="A3058" s="27" t="n">
        <v>45329</v>
      </c>
      <c r="B3058" s="28" t="n">
        <v>2024</v>
      </c>
      <c r="C3058" s="28" t="s">
        <v>172</v>
      </c>
      <c r="D3058" s="28" t="s">
        <v>42</v>
      </c>
      <c r="E3058" s="28" t="s">
        <v>717</v>
      </c>
      <c r="F3058" s="28" t="s">
        <v>142</v>
      </c>
      <c r="G3058" s="28" t="s">
        <v>148</v>
      </c>
      <c r="H3058" s="28" t="s">
        <v>149</v>
      </c>
      <c r="I3058" s="29" t="n">
        <v>390000</v>
      </c>
      <c r="J3058" s="29" t="n">
        <v>292500</v>
      </c>
      <c r="K3058" s="28" t="n">
        <v>10.5</v>
      </c>
      <c r="L3058" s="28" t="n">
        <v>120</v>
      </c>
      <c r="M3058" s="28" t="n">
        <v>10</v>
      </c>
    </row>
    <row r="3059" customFormat="false" ht="15" hidden="false" customHeight="false" outlineLevel="0" collapsed="false">
      <c r="A3059" s="27" t="n">
        <v>45329</v>
      </c>
      <c r="B3059" s="28" t="n">
        <v>2024</v>
      </c>
      <c r="C3059" s="28" t="s">
        <v>163</v>
      </c>
      <c r="D3059" s="28" t="s">
        <v>45</v>
      </c>
      <c r="E3059" s="28" t="s">
        <v>835</v>
      </c>
      <c r="F3059" s="28" t="s">
        <v>142</v>
      </c>
      <c r="G3059" s="28" t="s">
        <v>148</v>
      </c>
      <c r="H3059" s="28" t="s">
        <v>771</v>
      </c>
      <c r="I3059" s="29" t="n">
        <v>50000</v>
      </c>
      <c r="J3059" s="29" t="n">
        <v>42500</v>
      </c>
      <c r="K3059" s="28" t="n">
        <v>11.25</v>
      </c>
      <c r="L3059" s="28" t="n">
        <v>120</v>
      </c>
      <c r="M3059" s="28" t="n">
        <v>0</v>
      </c>
    </row>
    <row r="3060" customFormat="false" ht="15" hidden="false" customHeight="false" outlineLevel="0" collapsed="false">
      <c r="A3060" s="27" t="n">
        <v>45329</v>
      </c>
      <c r="B3060" s="28" t="n">
        <v>2024</v>
      </c>
      <c r="C3060" s="28" t="s">
        <v>172</v>
      </c>
      <c r="D3060" s="28" t="s">
        <v>46</v>
      </c>
      <c r="E3060" s="28" t="s">
        <v>727</v>
      </c>
      <c r="F3060" s="28" t="s">
        <v>142</v>
      </c>
      <c r="G3060" s="28" t="s">
        <v>148</v>
      </c>
      <c r="H3060" s="28" t="s">
        <v>275</v>
      </c>
      <c r="I3060" s="29" t="n">
        <v>24500</v>
      </c>
      <c r="J3060" s="29" t="n">
        <v>20825</v>
      </c>
      <c r="K3060" s="28" t="n">
        <v>15</v>
      </c>
      <c r="L3060" s="28" t="n">
        <v>120</v>
      </c>
      <c r="M3060" s="28" t="n">
        <v>3</v>
      </c>
    </row>
    <row r="3061" customFormat="false" ht="15" hidden="false" customHeight="false" outlineLevel="0" collapsed="false">
      <c r="A3061" s="27" t="n">
        <v>45329</v>
      </c>
      <c r="B3061" s="28" t="n">
        <v>2024</v>
      </c>
      <c r="C3061" s="28" t="s">
        <v>272</v>
      </c>
      <c r="D3061" s="28" t="s">
        <v>56</v>
      </c>
      <c r="E3061" s="28" t="s">
        <v>1013</v>
      </c>
      <c r="F3061" s="28" t="s">
        <v>147</v>
      </c>
      <c r="G3061" s="28" t="s">
        <v>148</v>
      </c>
      <c r="H3061" s="28" t="s">
        <v>404</v>
      </c>
      <c r="I3061" s="29" t="n">
        <v>125000</v>
      </c>
      <c r="J3061" s="29" t="n">
        <v>62500</v>
      </c>
      <c r="K3061" s="28" t="n">
        <v>11.25</v>
      </c>
      <c r="L3061" s="28" t="n">
        <v>120</v>
      </c>
      <c r="M3061" s="28" t="n">
        <v>2</v>
      </c>
    </row>
    <row r="3062" customFormat="false" ht="15" hidden="false" customHeight="false" outlineLevel="0" collapsed="false">
      <c r="A3062" s="27" t="n">
        <v>45329</v>
      </c>
      <c r="B3062" s="28" t="n">
        <v>2024</v>
      </c>
      <c r="C3062" s="28" t="s">
        <v>460</v>
      </c>
      <c r="D3062" s="28" t="s">
        <v>45</v>
      </c>
      <c r="E3062" s="28" t="s">
        <v>708</v>
      </c>
      <c r="F3062" s="28" t="s">
        <v>142</v>
      </c>
      <c r="G3062" s="28" t="s">
        <v>143</v>
      </c>
      <c r="H3062" s="28" t="s">
        <v>287</v>
      </c>
      <c r="I3062" s="29" t="n">
        <v>300000</v>
      </c>
      <c r="J3062" s="29" t="n">
        <v>225000</v>
      </c>
      <c r="K3062" s="28" t="n">
        <v>11.25</v>
      </c>
      <c r="L3062" s="28" t="n">
        <v>120</v>
      </c>
      <c r="M3062" s="28" t="n">
        <v>2</v>
      </c>
    </row>
    <row r="3063" customFormat="false" ht="15" hidden="false" customHeight="false" outlineLevel="0" collapsed="false">
      <c r="A3063" s="27" t="n">
        <v>45329</v>
      </c>
      <c r="B3063" s="28" t="n">
        <v>2024</v>
      </c>
      <c r="C3063" s="28" t="s">
        <v>312</v>
      </c>
      <c r="D3063" s="28" t="s">
        <v>53</v>
      </c>
      <c r="E3063" s="28" t="s">
        <v>1035</v>
      </c>
      <c r="F3063" s="28" t="s">
        <v>142</v>
      </c>
      <c r="G3063" s="28" t="s">
        <v>152</v>
      </c>
      <c r="H3063" s="28" t="s">
        <v>314</v>
      </c>
      <c r="I3063" s="29" t="n">
        <v>462000</v>
      </c>
      <c r="J3063" s="29" t="n">
        <v>346500</v>
      </c>
      <c r="K3063" s="28" t="n">
        <v>10.5</v>
      </c>
      <c r="L3063" s="28" t="n">
        <v>120</v>
      </c>
      <c r="M3063" s="28" t="n">
        <v>8</v>
      </c>
    </row>
    <row r="3064" customFormat="false" ht="15" hidden="false" customHeight="false" outlineLevel="0" collapsed="false">
      <c r="A3064" s="27" t="n">
        <v>45330</v>
      </c>
      <c r="B3064" s="28" t="n">
        <v>2024</v>
      </c>
      <c r="C3064" s="28" t="s">
        <v>206</v>
      </c>
      <c r="D3064" s="28" t="s">
        <v>42</v>
      </c>
      <c r="E3064" s="28" t="s">
        <v>717</v>
      </c>
      <c r="F3064" s="28" t="s">
        <v>147</v>
      </c>
      <c r="G3064" s="28" t="s">
        <v>143</v>
      </c>
      <c r="H3064" s="28" t="s">
        <v>159</v>
      </c>
      <c r="I3064" s="29" t="n">
        <v>25000</v>
      </c>
      <c r="J3064" s="29" t="n">
        <v>12500</v>
      </c>
      <c r="K3064" s="28" t="n">
        <v>15</v>
      </c>
      <c r="L3064" s="28" t="n">
        <v>120</v>
      </c>
      <c r="M3064" s="28" t="n">
        <v>20</v>
      </c>
    </row>
    <row r="3065" customFormat="false" ht="15" hidden="false" customHeight="false" outlineLevel="0" collapsed="false">
      <c r="A3065" s="27" t="n">
        <v>45330</v>
      </c>
      <c r="B3065" s="28" t="n">
        <v>2024</v>
      </c>
      <c r="C3065" s="28" t="s">
        <v>160</v>
      </c>
      <c r="D3065" s="28" t="s">
        <v>46</v>
      </c>
      <c r="E3065" s="28" t="s">
        <v>727</v>
      </c>
      <c r="F3065" s="28" t="s">
        <v>147</v>
      </c>
      <c r="G3065" s="28" t="s">
        <v>441</v>
      </c>
      <c r="H3065" s="28" t="s">
        <v>168</v>
      </c>
      <c r="I3065" s="29" t="n">
        <v>20000</v>
      </c>
      <c r="J3065" s="29" t="n">
        <v>10000</v>
      </c>
      <c r="K3065" s="28" t="n">
        <v>14</v>
      </c>
      <c r="L3065" s="28" t="n">
        <v>120</v>
      </c>
      <c r="M3065" s="28" t="n">
        <v>5</v>
      </c>
    </row>
    <row r="3066" customFormat="false" ht="15" hidden="false" customHeight="false" outlineLevel="0" collapsed="false">
      <c r="A3066" s="27" t="n">
        <v>45330</v>
      </c>
      <c r="B3066" s="28" t="n">
        <v>2024</v>
      </c>
      <c r="C3066" s="28" t="s">
        <v>918</v>
      </c>
      <c r="D3066" s="28" t="s">
        <v>48</v>
      </c>
      <c r="E3066" s="28" t="s">
        <v>304</v>
      </c>
      <c r="F3066" s="28" t="s">
        <v>142</v>
      </c>
      <c r="G3066" s="28" t="s">
        <v>148</v>
      </c>
      <c r="H3066" s="28" t="s">
        <v>291</v>
      </c>
      <c r="I3066" s="29" t="n">
        <v>495000</v>
      </c>
      <c r="J3066" s="29" t="n">
        <v>371250</v>
      </c>
      <c r="K3066" s="28" t="n">
        <v>10.75</v>
      </c>
      <c r="L3066" s="28" t="n">
        <v>307</v>
      </c>
      <c r="M3066" s="28" t="n">
        <v>3</v>
      </c>
    </row>
    <row r="3067" customFormat="false" ht="15" hidden="false" customHeight="false" outlineLevel="0" collapsed="false">
      <c r="A3067" s="27" t="n">
        <v>45330</v>
      </c>
      <c r="B3067" s="28" t="n">
        <v>2024</v>
      </c>
      <c r="C3067" s="28" t="s">
        <v>206</v>
      </c>
      <c r="D3067" s="28" t="s">
        <v>42</v>
      </c>
      <c r="E3067" s="28" t="s">
        <v>717</v>
      </c>
      <c r="F3067" s="28" t="s">
        <v>142</v>
      </c>
      <c r="G3067" s="28" t="s">
        <v>143</v>
      </c>
      <c r="H3067" s="28" t="s">
        <v>159</v>
      </c>
      <c r="I3067" s="29" t="n">
        <v>60000</v>
      </c>
      <c r="J3067" s="29" t="n">
        <v>51000</v>
      </c>
      <c r="K3067" s="28" t="n">
        <v>10.75</v>
      </c>
      <c r="L3067" s="28" t="n">
        <v>60</v>
      </c>
      <c r="M3067" s="28" t="n">
        <v>20</v>
      </c>
    </row>
    <row r="3068" customFormat="false" ht="15" hidden="false" customHeight="false" outlineLevel="0" collapsed="false">
      <c r="A3068" s="27" t="n">
        <v>45331</v>
      </c>
      <c r="B3068" s="28" t="n">
        <v>2024</v>
      </c>
      <c r="C3068" s="28" t="s">
        <v>467</v>
      </c>
      <c r="D3068" s="28" t="s">
        <v>51</v>
      </c>
      <c r="E3068" s="28" t="s">
        <v>779</v>
      </c>
      <c r="F3068" s="28" t="s">
        <v>147</v>
      </c>
      <c r="G3068" s="28" t="s">
        <v>148</v>
      </c>
      <c r="H3068" s="28" t="s">
        <v>953</v>
      </c>
      <c r="I3068" s="29" t="n">
        <v>19000</v>
      </c>
      <c r="J3068" s="29" t="n">
        <v>9500</v>
      </c>
      <c r="K3068" s="28" t="n">
        <v>11.5</v>
      </c>
      <c r="L3068" s="28" t="n">
        <v>120</v>
      </c>
      <c r="M3068" s="28" t="n">
        <v>4</v>
      </c>
    </row>
    <row r="3069" customFormat="false" ht="15" hidden="false" customHeight="false" outlineLevel="0" collapsed="false">
      <c r="A3069" s="27" t="n">
        <v>45331</v>
      </c>
      <c r="B3069" s="28" t="n">
        <v>2024</v>
      </c>
      <c r="C3069" s="28" t="s">
        <v>172</v>
      </c>
      <c r="D3069" s="28" t="s">
        <v>53</v>
      </c>
      <c r="E3069" s="28" t="s">
        <v>1021</v>
      </c>
      <c r="F3069" s="28" t="s">
        <v>142</v>
      </c>
      <c r="G3069" s="28" t="s">
        <v>152</v>
      </c>
      <c r="H3069" s="28" t="s">
        <v>845</v>
      </c>
      <c r="I3069" s="29" t="n">
        <v>1850000</v>
      </c>
      <c r="J3069" s="29" t="n">
        <v>1387500</v>
      </c>
      <c r="K3069" s="28" t="n">
        <v>11.25</v>
      </c>
      <c r="L3069" s="28" t="n">
        <v>120</v>
      </c>
      <c r="M3069" s="28" t="n">
        <v>6</v>
      </c>
    </row>
    <row r="3070" customFormat="false" ht="15" hidden="false" customHeight="false" outlineLevel="0" collapsed="false">
      <c r="A3070" s="27" t="n">
        <v>45331</v>
      </c>
      <c r="B3070" s="28" t="n">
        <v>2024</v>
      </c>
      <c r="C3070" s="28" t="s">
        <v>160</v>
      </c>
      <c r="D3070" s="28" t="s">
        <v>46</v>
      </c>
      <c r="E3070" s="28" t="s">
        <v>727</v>
      </c>
      <c r="F3070" s="28" t="s">
        <v>142</v>
      </c>
      <c r="G3070" s="28" t="s">
        <v>148</v>
      </c>
      <c r="H3070" s="28" t="s">
        <v>579</v>
      </c>
      <c r="I3070" s="29" t="n">
        <v>150000</v>
      </c>
      <c r="J3070" s="29" t="n">
        <v>127500</v>
      </c>
      <c r="K3070" s="28" t="n">
        <v>11.5</v>
      </c>
      <c r="L3070" s="28" t="n">
        <v>120</v>
      </c>
      <c r="M3070" s="28" t="n">
        <v>8</v>
      </c>
    </row>
    <row r="3071" customFormat="false" ht="15" hidden="false" customHeight="false" outlineLevel="0" collapsed="false">
      <c r="A3071" s="27" t="n">
        <v>45331</v>
      </c>
      <c r="B3071" s="28" t="n">
        <v>2024</v>
      </c>
      <c r="C3071" s="28" t="s">
        <v>172</v>
      </c>
      <c r="D3071" s="28" t="s">
        <v>53</v>
      </c>
      <c r="E3071" s="28" t="s">
        <v>1021</v>
      </c>
      <c r="F3071" s="28" t="s">
        <v>147</v>
      </c>
      <c r="G3071" s="28" t="s">
        <v>143</v>
      </c>
      <c r="H3071" s="28" t="s">
        <v>845</v>
      </c>
      <c r="I3071" s="29" t="n">
        <v>200000</v>
      </c>
      <c r="J3071" s="29" t="n">
        <v>100000</v>
      </c>
      <c r="K3071" s="28" t="n">
        <v>11.25</v>
      </c>
      <c r="L3071" s="28" t="n">
        <v>120</v>
      </c>
      <c r="M3071" s="28" t="n">
        <v>6</v>
      </c>
    </row>
    <row r="3072" customFormat="false" ht="15" hidden="false" customHeight="false" outlineLevel="0" collapsed="false">
      <c r="A3072" s="27" t="n">
        <v>45331</v>
      </c>
      <c r="B3072" s="28" t="n">
        <v>2024</v>
      </c>
      <c r="C3072" s="28" t="s">
        <v>160</v>
      </c>
      <c r="D3072" s="28" t="s">
        <v>52</v>
      </c>
      <c r="E3072" s="28" t="s">
        <v>720</v>
      </c>
      <c r="F3072" s="28" t="s">
        <v>142</v>
      </c>
      <c r="G3072" s="28" t="s">
        <v>441</v>
      </c>
      <c r="H3072" s="28" t="s">
        <v>159</v>
      </c>
      <c r="I3072" s="29" t="n">
        <v>70000</v>
      </c>
      <c r="J3072" s="29" t="n">
        <v>59500</v>
      </c>
      <c r="K3072" s="28" t="n">
        <v>10.5</v>
      </c>
      <c r="L3072" s="28" t="n">
        <v>60</v>
      </c>
      <c r="M3072" s="28" t="n">
        <v>1</v>
      </c>
    </row>
    <row r="3073" customFormat="false" ht="15" hidden="false" customHeight="false" outlineLevel="0" collapsed="false">
      <c r="A3073" s="27" t="n">
        <v>45331</v>
      </c>
      <c r="B3073" s="28" t="n">
        <v>2024</v>
      </c>
      <c r="C3073" s="28" t="s">
        <v>198</v>
      </c>
      <c r="D3073" s="28" t="s">
        <v>52</v>
      </c>
      <c r="E3073" s="28" t="s">
        <v>720</v>
      </c>
      <c r="F3073" s="28" t="s">
        <v>142</v>
      </c>
      <c r="G3073" s="28" t="s">
        <v>148</v>
      </c>
      <c r="H3073" s="28" t="s">
        <v>771</v>
      </c>
      <c r="I3073" s="29" t="n">
        <v>50000</v>
      </c>
      <c r="J3073" s="29" t="n">
        <v>42500</v>
      </c>
      <c r="K3073" s="28" t="n">
        <v>11.25</v>
      </c>
      <c r="L3073" s="28" t="n">
        <v>105</v>
      </c>
      <c r="M3073" s="28" t="n">
        <v>0</v>
      </c>
    </row>
    <row r="3074" customFormat="false" ht="15" hidden="false" customHeight="false" outlineLevel="0" collapsed="false">
      <c r="A3074" s="27" t="n">
        <v>45331</v>
      </c>
      <c r="B3074" s="28" t="n">
        <v>2024</v>
      </c>
      <c r="C3074" s="28" t="s">
        <v>169</v>
      </c>
      <c r="D3074" s="28" t="s">
        <v>56</v>
      </c>
      <c r="E3074" s="28" t="s">
        <v>722</v>
      </c>
      <c r="F3074" s="28" t="s">
        <v>142</v>
      </c>
      <c r="G3074" s="28" t="s">
        <v>148</v>
      </c>
      <c r="H3074" s="28" t="s">
        <v>171</v>
      </c>
      <c r="I3074" s="29" t="n">
        <v>39000</v>
      </c>
      <c r="J3074" s="29" t="n">
        <v>33150</v>
      </c>
      <c r="K3074" s="28" t="n">
        <v>13.25</v>
      </c>
      <c r="L3074" s="28" t="n">
        <v>120</v>
      </c>
      <c r="M3074" s="28" t="n">
        <v>1</v>
      </c>
    </row>
    <row r="3075" customFormat="false" ht="15" hidden="false" customHeight="false" outlineLevel="0" collapsed="false">
      <c r="A3075" s="27" t="n">
        <v>45332</v>
      </c>
      <c r="B3075" s="28" t="n">
        <v>2024</v>
      </c>
      <c r="C3075" s="28" t="s">
        <v>140</v>
      </c>
      <c r="D3075" s="28" t="s">
        <v>50</v>
      </c>
      <c r="E3075" s="28" t="s">
        <v>990</v>
      </c>
      <c r="F3075" s="28" t="s">
        <v>142</v>
      </c>
      <c r="G3075" s="28" t="s">
        <v>148</v>
      </c>
      <c r="H3075" s="28" t="s">
        <v>291</v>
      </c>
      <c r="I3075" s="29" t="n">
        <v>3506000</v>
      </c>
      <c r="J3075" s="29" t="n">
        <v>2629500</v>
      </c>
      <c r="K3075" s="28" t="n">
        <v>10.75</v>
      </c>
      <c r="L3075" s="28" t="n">
        <v>120</v>
      </c>
      <c r="M3075" s="28" t="n">
        <v>36</v>
      </c>
    </row>
    <row r="3076" customFormat="false" ht="15" hidden="false" customHeight="false" outlineLevel="0" collapsed="false">
      <c r="A3076" s="27" t="n">
        <v>45332</v>
      </c>
      <c r="B3076" s="28" t="n">
        <v>2024</v>
      </c>
      <c r="C3076" s="28" t="s">
        <v>140</v>
      </c>
      <c r="D3076" s="28" t="s">
        <v>50</v>
      </c>
      <c r="E3076" s="28" t="s">
        <v>990</v>
      </c>
      <c r="F3076" s="28" t="s">
        <v>147</v>
      </c>
      <c r="G3076" s="28" t="s">
        <v>148</v>
      </c>
      <c r="H3076" s="28" t="s">
        <v>291</v>
      </c>
      <c r="I3076" s="29" t="n">
        <v>100000</v>
      </c>
      <c r="J3076" s="29" t="n">
        <v>50000</v>
      </c>
      <c r="K3076" s="28" t="n">
        <v>10.75</v>
      </c>
      <c r="L3076" s="28" t="n">
        <v>120</v>
      </c>
      <c r="M3076" s="28" t="n">
        <v>26</v>
      </c>
    </row>
    <row r="3077" customFormat="false" ht="15" hidden="false" customHeight="false" outlineLevel="0" collapsed="false">
      <c r="A3077" s="27" t="n">
        <v>45332</v>
      </c>
      <c r="B3077" s="28" t="n">
        <v>2024</v>
      </c>
      <c r="C3077" s="28" t="s">
        <v>243</v>
      </c>
      <c r="D3077" s="28" t="s">
        <v>46</v>
      </c>
      <c r="E3077" s="28" t="s">
        <v>770</v>
      </c>
      <c r="F3077" s="28" t="s">
        <v>147</v>
      </c>
      <c r="G3077" s="28" t="s">
        <v>441</v>
      </c>
      <c r="H3077" s="28" t="s">
        <v>168</v>
      </c>
      <c r="I3077" s="29" t="n">
        <v>30000</v>
      </c>
      <c r="J3077" s="29" t="n">
        <v>15000</v>
      </c>
      <c r="K3077" s="28" t="n">
        <v>13</v>
      </c>
      <c r="L3077" s="28" t="n">
        <v>120</v>
      </c>
      <c r="M3077" s="28" t="n">
        <v>0</v>
      </c>
    </row>
    <row r="3078" customFormat="false" ht="15" hidden="false" customHeight="false" outlineLevel="0" collapsed="false">
      <c r="A3078" s="27" t="n">
        <v>45332</v>
      </c>
      <c r="B3078" s="28" t="n">
        <v>2024</v>
      </c>
      <c r="C3078" s="28" t="s">
        <v>201</v>
      </c>
      <c r="D3078" s="28" t="s">
        <v>43</v>
      </c>
      <c r="E3078" s="28" t="s">
        <v>190</v>
      </c>
      <c r="F3078" s="28" t="s">
        <v>142</v>
      </c>
      <c r="G3078" s="28" t="s">
        <v>143</v>
      </c>
      <c r="H3078" s="28" t="s">
        <v>211</v>
      </c>
      <c r="I3078" s="29" t="n">
        <v>255100</v>
      </c>
      <c r="J3078" s="29" t="n">
        <v>191325</v>
      </c>
      <c r="K3078" s="28" t="n">
        <v>11.25</v>
      </c>
      <c r="L3078" s="28" t="n">
        <v>120</v>
      </c>
      <c r="M3078" s="28" t="n">
        <v>12</v>
      </c>
    </row>
    <row r="3079" customFormat="false" ht="15" hidden="false" customHeight="false" outlineLevel="0" collapsed="false">
      <c r="A3079" s="27" t="n">
        <v>45332</v>
      </c>
      <c r="B3079" s="28" t="n">
        <v>2024</v>
      </c>
      <c r="C3079" s="28" t="s">
        <v>169</v>
      </c>
      <c r="D3079" s="28" t="s">
        <v>48</v>
      </c>
      <c r="E3079" s="28" t="s">
        <v>736</v>
      </c>
      <c r="F3079" s="28" t="s">
        <v>147</v>
      </c>
      <c r="G3079" s="28" t="s">
        <v>441</v>
      </c>
      <c r="H3079" s="28" t="s">
        <v>162</v>
      </c>
      <c r="I3079" s="29" t="n">
        <v>350000</v>
      </c>
      <c r="J3079" s="29" t="n">
        <v>175000</v>
      </c>
      <c r="K3079" s="28" t="n">
        <v>11.25</v>
      </c>
      <c r="L3079" s="28" t="n">
        <v>120</v>
      </c>
      <c r="M3079" s="28" t="n">
        <v>12</v>
      </c>
    </row>
    <row r="3080" customFormat="false" ht="15" hidden="false" customHeight="false" outlineLevel="0" collapsed="false">
      <c r="A3080" s="27" t="n">
        <v>45332</v>
      </c>
      <c r="B3080" s="28" t="n">
        <v>2024</v>
      </c>
      <c r="C3080" s="28" t="s">
        <v>169</v>
      </c>
      <c r="D3080" s="28" t="s">
        <v>52</v>
      </c>
      <c r="E3080" s="28" t="s">
        <v>961</v>
      </c>
      <c r="F3080" s="28" t="s">
        <v>147</v>
      </c>
      <c r="G3080" s="28" t="s">
        <v>148</v>
      </c>
      <c r="H3080" s="28" t="s">
        <v>799</v>
      </c>
      <c r="I3080" s="29" t="n">
        <v>250000</v>
      </c>
      <c r="J3080" s="29" t="n">
        <v>125000</v>
      </c>
      <c r="K3080" s="28" t="n">
        <v>10.5</v>
      </c>
      <c r="L3080" s="28" t="n">
        <v>120</v>
      </c>
      <c r="M3080" s="28" t="n">
        <v>48</v>
      </c>
    </row>
    <row r="3081" customFormat="false" ht="15" hidden="false" customHeight="false" outlineLevel="0" collapsed="false">
      <c r="A3081" s="27" t="n">
        <v>45332</v>
      </c>
      <c r="B3081" s="28" t="n">
        <v>2024</v>
      </c>
      <c r="C3081" s="28" t="s">
        <v>201</v>
      </c>
      <c r="D3081" s="28" t="s">
        <v>43</v>
      </c>
      <c r="E3081" s="28" t="s">
        <v>190</v>
      </c>
      <c r="F3081" s="28" t="s">
        <v>147</v>
      </c>
      <c r="G3081" s="28" t="s">
        <v>143</v>
      </c>
      <c r="H3081" s="28" t="s">
        <v>211</v>
      </c>
      <c r="I3081" s="29" t="n">
        <v>30000</v>
      </c>
      <c r="J3081" s="29" t="n">
        <v>15000</v>
      </c>
      <c r="K3081" s="28" t="n">
        <v>11.25</v>
      </c>
      <c r="L3081" s="28" t="n">
        <v>120</v>
      </c>
      <c r="M3081" s="28" t="n">
        <v>12</v>
      </c>
    </row>
    <row r="3082" customFormat="false" ht="15" hidden="false" customHeight="false" outlineLevel="0" collapsed="false">
      <c r="A3082" s="27" t="n">
        <v>45332</v>
      </c>
      <c r="B3082" s="28" t="n">
        <v>2024</v>
      </c>
      <c r="C3082" s="28" t="s">
        <v>166</v>
      </c>
      <c r="D3082" s="28" t="s">
        <v>46</v>
      </c>
      <c r="E3082" s="28" t="s">
        <v>806</v>
      </c>
      <c r="F3082" s="28" t="s">
        <v>142</v>
      </c>
      <c r="G3082" s="28" t="s">
        <v>148</v>
      </c>
      <c r="H3082" s="28" t="s">
        <v>275</v>
      </c>
      <c r="I3082" s="29" t="n">
        <v>24500</v>
      </c>
      <c r="J3082" s="29" t="n">
        <v>20825</v>
      </c>
      <c r="K3082" s="28" t="n">
        <v>15</v>
      </c>
      <c r="L3082" s="28" t="n">
        <v>120</v>
      </c>
      <c r="M3082" s="28" t="n">
        <v>4</v>
      </c>
    </row>
    <row r="3083" customFormat="false" ht="15" hidden="false" customHeight="false" outlineLevel="0" collapsed="false">
      <c r="A3083" s="27" t="n">
        <v>45333</v>
      </c>
      <c r="B3083" s="28" t="n">
        <v>2024</v>
      </c>
      <c r="C3083" s="28" t="s">
        <v>166</v>
      </c>
      <c r="D3083" s="28" t="s">
        <v>42</v>
      </c>
      <c r="E3083" s="28" t="s">
        <v>176</v>
      </c>
      <c r="F3083" s="28" t="s">
        <v>147</v>
      </c>
      <c r="G3083" s="28" t="s">
        <v>148</v>
      </c>
      <c r="H3083" s="28" t="s">
        <v>953</v>
      </c>
      <c r="I3083" s="29" t="n">
        <v>50000</v>
      </c>
      <c r="J3083" s="29" t="n">
        <v>25000</v>
      </c>
      <c r="K3083" s="28" t="n">
        <v>15</v>
      </c>
      <c r="L3083" s="28" t="n">
        <v>120</v>
      </c>
      <c r="M3083" s="28" t="n">
        <v>7</v>
      </c>
    </row>
    <row r="3084" customFormat="false" ht="15" hidden="false" customHeight="false" outlineLevel="0" collapsed="false">
      <c r="A3084" s="27" t="n">
        <v>45333</v>
      </c>
      <c r="B3084" s="28" t="n">
        <v>2024</v>
      </c>
      <c r="C3084" s="28" t="s">
        <v>169</v>
      </c>
      <c r="D3084" s="28" t="s">
        <v>45</v>
      </c>
      <c r="E3084" s="28" t="s">
        <v>798</v>
      </c>
      <c r="F3084" s="28" t="s">
        <v>142</v>
      </c>
      <c r="G3084" s="28" t="s">
        <v>148</v>
      </c>
      <c r="H3084" s="28" t="s">
        <v>269</v>
      </c>
      <c r="I3084" s="29" t="n">
        <v>150000</v>
      </c>
      <c r="J3084" s="29" t="n">
        <v>127500</v>
      </c>
      <c r="K3084" s="28" t="n">
        <v>11.25</v>
      </c>
      <c r="L3084" s="28" t="n">
        <v>120</v>
      </c>
      <c r="M3084" s="28" t="n">
        <v>9</v>
      </c>
    </row>
    <row r="3085" customFormat="false" ht="15" hidden="false" customHeight="false" outlineLevel="0" collapsed="false">
      <c r="A3085" s="27" t="n">
        <v>45334</v>
      </c>
      <c r="B3085" s="28" t="n">
        <v>2024</v>
      </c>
      <c r="C3085" s="28" t="s">
        <v>510</v>
      </c>
      <c r="D3085" s="28" t="s">
        <v>48</v>
      </c>
      <c r="E3085" s="28" t="s">
        <v>840</v>
      </c>
      <c r="F3085" s="28" t="s">
        <v>142</v>
      </c>
      <c r="G3085" s="28" t="s">
        <v>148</v>
      </c>
      <c r="H3085" s="28" t="s">
        <v>221</v>
      </c>
      <c r="I3085" s="29" t="n">
        <v>250000</v>
      </c>
      <c r="J3085" s="29" t="n">
        <v>187500</v>
      </c>
      <c r="K3085" s="28" t="n">
        <v>11.25</v>
      </c>
      <c r="L3085" s="28" t="n">
        <v>120</v>
      </c>
      <c r="M3085" s="28" t="n">
        <v>6</v>
      </c>
    </row>
    <row r="3086" customFormat="false" ht="15" hidden="false" customHeight="false" outlineLevel="0" collapsed="false">
      <c r="A3086" s="27" t="n">
        <v>45334</v>
      </c>
      <c r="B3086" s="28" t="n">
        <v>2024</v>
      </c>
      <c r="C3086" s="28" t="s">
        <v>303</v>
      </c>
      <c r="D3086" s="28" t="s">
        <v>50</v>
      </c>
      <c r="E3086" s="28" t="s">
        <v>1036</v>
      </c>
      <c r="F3086" s="28" t="s">
        <v>142</v>
      </c>
      <c r="G3086" s="28" t="s">
        <v>152</v>
      </c>
      <c r="H3086" s="28" t="s">
        <v>483</v>
      </c>
      <c r="I3086" s="29" t="n">
        <v>543200</v>
      </c>
      <c r="J3086" s="29" t="n">
        <v>407400</v>
      </c>
      <c r="K3086" s="28" t="n">
        <v>11</v>
      </c>
      <c r="L3086" s="28" t="n">
        <v>120</v>
      </c>
      <c r="M3086" s="28" t="n">
        <v>7</v>
      </c>
    </row>
    <row r="3087" customFormat="false" ht="15" hidden="false" customHeight="false" outlineLevel="0" collapsed="false">
      <c r="A3087" s="27" t="n">
        <v>45335</v>
      </c>
      <c r="B3087" s="28" t="n">
        <v>2024</v>
      </c>
      <c r="C3087" s="28" t="s">
        <v>384</v>
      </c>
      <c r="D3087" s="28" t="s">
        <v>50</v>
      </c>
      <c r="E3087" s="28" t="s">
        <v>193</v>
      </c>
      <c r="F3087" s="28" t="s">
        <v>142</v>
      </c>
      <c r="G3087" s="28" t="s">
        <v>143</v>
      </c>
      <c r="H3087" s="28" t="s">
        <v>287</v>
      </c>
      <c r="I3087" s="29" t="n">
        <v>250000</v>
      </c>
      <c r="J3087" s="29" t="n">
        <v>187500</v>
      </c>
      <c r="K3087" s="28" t="n">
        <v>11.25</v>
      </c>
      <c r="L3087" s="28" t="n">
        <v>120</v>
      </c>
      <c r="M3087" s="28" t="n">
        <v>3</v>
      </c>
    </row>
    <row r="3088" customFormat="false" ht="15" hidden="false" customHeight="false" outlineLevel="0" collapsed="false">
      <c r="A3088" s="27" t="n">
        <v>45335</v>
      </c>
      <c r="B3088" s="28" t="n">
        <v>2024</v>
      </c>
      <c r="C3088" s="28" t="s">
        <v>160</v>
      </c>
      <c r="D3088" s="28" t="s">
        <v>56</v>
      </c>
      <c r="E3088" s="28" t="s">
        <v>772</v>
      </c>
      <c r="F3088" s="28" t="s">
        <v>147</v>
      </c>
      <c r="G3088" s="28" t="s">
        <v>441</v>
      </c>
      <c r="H3088" s="28" t="s">
        <v>168</v>
      </c>
      <c r="I3088" s="29" t="n">
        <v>15000</v>
      </c>
      <c r="J3088" s="29" t="n">
        <v>7500</v>
      </c>
      <c r="K3088" s="28" t="n">
        <v>13.5</v>
      </c>
      <c r="L3088" s="28" t="n">
        <v>120</v>
      </c>
      <c r="M3088" s="28" t="n">
        <v>7</v>
      </c>
    </row>
    <row r="3089" customFormat="false" ht="15" hidden="false" customHeight="false" outlineLevel="0" collapsed="false">
      <c r="A3089" s="27" t="n">
        <v>45336</v>
      </c>
      <c r="B3089" s="28" t="n">
        <v>2024</v>
      </c>
      <c r="C3089" s="28" t="s">
        <v>169</v>
      </c>
      <c r="D3089" s="28" t="s">
        <v>48</v>
      </c>
      <c r="E3089" s="28" t="s">
        <v>995</v>
      </c>
      <c r="F3089" s="28" t="s">
        <v>142</v>
      </c>
      <c r="G3089" s="28" t="s">
        <v>143</v>
      </c>
      <c r="H3089" s="28" t="s">
        <v>605</v>
      </c>
      <c r="I3089" s="29" t="n">
        <v>55000</v>
      </c>
      <c r="J3089" s="29" t="n">
        <v>46750</v>
      </c>
      <c r="K3089" s="28" t="n">
        <v>11.5</v>
      </c>
      <c r="L3089" s="28" t="n">
        <v>120</v>
      </c>
      <c r="M3089" s="28" t="n">
        <v>3</v>
      </c>
    </row>
    <row r="3090" customFormat="false" ht="15" hidden="false" customHeight="false" outlineLevel="0" collapsed="false">
      <c r="A3090" s="27" t="n">
        <v>45336</v>
      </c>
      <c r="B3090" s="28" t="n">
        <v>2024</v>
      </c>
      <c r="C3090" s="28" t="s">
        <v>140</v>
      </c>
      <c r="D3090" s="28" t="s">
        <v>43</v>
      </c>
      <c r="E3090" s="28" t="s">
        <v>826</v>
      </c>
      <c r="F3090" s="28" t="s">
        <v>142</v>
      </c>
      <c r="G3090" s="28" t="s">
        <v>148</v>
      </c>
      <c r="H3090" s="28" t="s">
        <v>171</v>
      </c>
      <c r="I3090" s="29" t="n">
        <v>53000</v>
      </c>
      <c r="J3090" s="29" t="n">
        <v>45050</v>
      </c>
      <c r="K3090" s="28" t="n">
        <v>13.25</v>
      </c>
      <c r="L3090" s="28" t="n">
        <v>120</v>
      </c>
      <c r="M3090" s="28" t="n">
        <v>0</v>
      </c>
    </row>
    <row r="3091" customFormat="false" ht="15" hidden="false" customHeight="false" outlineLevel="0" collapsed="false">
      <c r="A3091" s="27" t="n">
        <v>45336</v>
      </c>
      <c r="B3091" s="28" t="n">
        <v>2024</v>
      </c>
      <c r="C3091" s="28" t="s">
        <v>163</v>
      </c>
      <c r="D3091" s="28" t="s">
        <v>45</v>
      </c>
      <c r="E3091" s="28" t="s">
        <v>872</v>
      </c>
      <c r="F3091" s="28" t="s">
        <v>142</v>
      </c>
      <c r="G3091" s="28" t="s">
        <v>148</v>
      </c>
      <c r="H3091" s="28" t="s">
        <v>171</v>
      </c>
      <c r="I3091" s="29" t="n">
        <v>125000</v>
      </c>
      <c r="J3091" s="29" t="n">
        <v>106250</v>
      </c>
      <c r="K3091" s="28" t="n">
        <v>13.25</v>
      </c>
      <c r="L3091" s="28" t="n">
        <v>120</v>
      </c>
      <c r="M3091" s="28" t="n">
        <v>1</v>
      </c>
    </row>
    <row r="3092" customFormat="false" ht="15" hidden="false" customHeight="false" outlineLevel="0" collapsed="false">
      <c r="A3092" s="27" t="n">
        <v>45336</v>
      </c>
      <c r="B3092" s="28" t="n">
        <v>2024</v>
      </c>
      <c r="C3092" s="28" t="s">
        <v>421</v>
      </c>
      <c r="D3092" s="28" t="s">
        <v>48</v>
      </c>
      <c r="E3092" s="28" t="s">
        <v>342</v>
      </c>
      <c r="F3092" s="28" t="s">
        <v>147</v>
      </c>
      <c r="G3092" s="28" t="s">
        <v>441</v>
      </c>
      <c r="H3092" s="28" t="s">
        <v>306</v>
      </c>
      <c r="I3092" s="29" t="n">
        <v>250000</v>
      </c>
      <c r="J3092" s="29" t="n">
        <v>125000</v>
      </c>
      <c r="K3092" s="28" t="n">
        <v>9.5</v>
      </c>
      <c r="L3092" s="28" t="n">
        <v>120</v>
      </c>
      <c r="M3092" s="28" t="n">
        <v>15</v>
      </c>
    </row>
    <row r="3093" customFormat="false" ht="15" hidden="false" customHeight="false" outlineLevel="0" collapsed="false">
      <c r="A3093" s="27" t="n">
        <v>45336</v>
      </c>
      <c r="B3093" s="28" t="n">
        <v>2024</v>
      </c>
      <c r="C3093" s="28" t="s">
        <v>232</v>
      </c>
      <c r="D3093" s="28" t="s">
        <v>50</v>
      </c>
      <c r="E3093" s="28" t="s">
        <v>462</v>
      </c>
      <c r="F3093" s="28" t="s">
        <v>147</v>
      </c>
      <c r="G3093" s="28" t="s">
        <v>148</v>
      </c>
      <c r="H3093" s="28" t="s">
        <v>1037</v>
      </c>
      <c r="I3093" s="29" t="n">
        <v>31800</v>
      </c>
      <c r="J3093" s="29" t="n">
        <v>15900</v>
      </c>
      <c r="K3093" s="28" t="n">
        <v>11.5</v>
      </c>
      <c r="L3093" s="28" t="n">
        <v>84</v>
      </c>
      <c r="M3093" s="28" t="n">
        <v>2</v>
      </c>
    </row>
    <row r="3094" customFormat="false" ht="15" hidden="false" customHeight="false" outlineLevel="0" collapsed="false">
      <c r="A3094" s="27" t="n">
        <v>45336</v>
      </c>
      <c r="B3094" s="28" t="n">
        <v>2024</v>
      </c>
      <c r="C3094" s="28" t="s">
        <v>203</v>
      </c>
      <c r="D3094" s="28" t="s">
        <v>46</v>
      </c>
      <c r="E3094" s="28" t="s">
        <v>770</v>
      </c>
      <c r="F3094" s="28" t="s">
        <v>142</v>
      </c>
      <c r="G3094" s="28" t="s">
        <v>143</v>
      </c>
      <c r="H3094" s="28" t="s">
        <v>168</v>
      </c>
      <c r="I3094" s="29" t="n">
        <v>491100</v>
      </c>
      <c r="J3094" s="29" t="n">
        <v>368325</v>
      </c>
      <c r="K3094" s="28" t="n">
        <v>8.82</v>
      </c>
      <c r="L3094" s="28" t="n">
        <v>120</v>
      </c>
      <c r="M3094" s="28" t="n">
        <v>10</v>
      </c>
    </row>
    <row r="3095" customFormat="false" ht="15" hidden="false" customHeight="false" outlineLevel="0" collapsed="false">
      <c r="A3095" s="27" t="n">
        <v>45336</v>
      </c>
      <c r="B3095" s="28" t="n">
        <v>2024</v>
      </c>
      <c r="C3095" s="28" t="s">
        <v>160</v>
      </c>
      <c r="D3095" s="28" t="s">
        <v>46</v>
      </c>
      <c r="E3095" s="28" t="s">
        <v>780</v>
      </c>
      <c r="F3095" s="28" t="s">
        <v>142</v>
      </c>
      <c r="G3095" s="28" t="s">
        <v>143</v>
      </c>
      <c r="H3095" s="28" t="s">
        <v>275</v>
      </c>
      <c r="I3095" s="29" t="n">
        <v>177900</v>
      </c>
      <c r="J3095" s="29" t="n">
        <v>133425</v>
      </c>
      <c r="K3095" s="28" t="n">
        <v>11.5</v>
      </c>
      <c r="L3095" s="28" t="n">
        <v>120</v>
      </c>
      <c r="M3095" s="28" t="n">
        <v>2</v>
      </c>
    </row>
    <row r="3096" customFormat="false" ht="15" hidden="false" customHeight="false" outlineLevel="0" collapsed="false">
      <c r="A3096" s="27" t="n">
        <v>45337</v>
      </c>
      <c r="B3096" s="28" t="n">
        <v>2024</v>
      </c>
      <c r="C3096" s="28" t="s">
        <v>163</v>
      </c>
      <c r="D3096" s="28" t="s">
        <v>44</v>
      </c>
      <c r="E3096" s="28" t="s">
        <v>730</v>
      </c>
      <c r="F3096" s="28" t="s">
        <v>142</v>
      </c>
      <c r="G3096" s="28" t="s">
        <v>148</v>
      </c>
      <c r="H3096" s="28" t="s">
        <v>162</v>
      </c>
      <c r="I3096" s="29" t="n">
        <v>1766200</v>
      </c>
      <c r="J3096" s="29" t="n">
        <v>1324650</v>
      </c>
      <c r="K3096" s="28" t="n">
        <v>5.4</v>
      </c>
      <c r="L3096" s="28" t="n">
        <v>300</v>
      </c>
      <c r="M3096" s="28" t="n">
        <v>2</v>
      </c>
    </row>
    <row r="3097" customFormat="false" ht="15" hidden="false" customHeight="false" outlineLevel="0" collapsed="false">
      <c r="A3097" s="27" t="n">
        <v>45337</v>
      </c>
      <c r="B3097" s="28" t="n">
        <v>2024</v>
      </c>
      <c r="C3097" s="28" t="s">
        <v>140</v>
      </c>
      <c r="D3097" s="28" t="s">
        <v>45</v>
      </c>
      <c r="E3097" s="28" t="s">
        <v>356</v>
      </c>
      <c r="F3097" s="28" t="s">
        <v>142</v>
      </c>
      <c r="G3097" s="28" t="s">
        <v>148</v>
      </c>
      <c r="H3097" s="28" t="s">
        <v>771</v>
      </c>
      <c r="I3097" s="29" t="n">
        <v>33000</v>
      </c>
      <c r="J3097" s="29" t="n">
        <v>28050</v>
      </c>
      <c r="K3097" s="28" t="n">
        <v>11.25</v>
      </c>
      <c r="L3097" s="28" t="n">
        <v>120</v>
      </c>
      <c r="M3097" s="28" t="n">
        <v>0</v>
      </c>
    </row>
    <row r="3098" customFormat="false" ht="15" hidden="false" customHeight="false" outlineLevel="0" collapsed="false">
      <c r="A3098" s="27" t="n">
        <v>45337</v>
      </c>
      <c r="B3098" s="28" t="n">
        <v>2024</v>
      </c>
      <c r="C3098" s="28" t="s">
        <v>166</v>
      </c>
      <c r="D3098" s="28" t="s">
        <v>50</v>
      </c>
      <c r="E3098" s="28" t="s">
        <v>389</v>
      </c>
      <c r="F3098" s="28" t="s">
        <v>142</v>
      </c>
      <c r="G3098" s="28" t="s">
        <v>148</v>
      </c>
      <c r="H3098" s="28" t="s">
        <v>159</v>
      </c>
      <c r="I3098" s="29" t="n">
        <v>60000</v>
      </c>
      <c r="J3098" s="29" t="n">
        <v>51000</v>
      </c>
      <c r="K3098" s="28" t="n">
        <v>10.49</v>
      </c>
      <c r="L3098" s="28" t="n">
        <v>60</v>
      </c>
      <c r="M3098" s="28" t="n">
        <v>1</v>
      </c>
    </row>
    <row r="3099" customFormat="false" ht="15" hidden="false" customHeight="false" outlineLevel="0" collapsed="false">
      <c r="A3099" s="27" t="n">
        <v>45338</v>
      </c>
      <c r="B3099" s="28" t="n">
        <v>2024</v>
      </c>
      <c r="C3099" s="28" t="s">
        <v>163</v>
      </c>
      <c r="D3099" s="28" t="s">
        <v>43</v>
      </c>
      <c r="E3099" s="28" t="s">
        <v>757</v>
      </c>
      <c r="F3099" s="28" t="s">
        <v>142</v>
      </c>
      <c r="G3099" s="28" t="s">
        <v>148</v>
      </c>
      <c r="H3099" s="28" t="s">
        <v>165</v>
      </c>
      <c r="I3099" s="29" t="n">
        <v>1140000</v>
      </c>
      <c r="J3099" s="29" t="n">
        <v>855000</v>
      </c>
      <c r="K3099" s="28" t="n">
        <v>8.75</v>
      </c>
      <c r="L3099" s="28" t="n">
        <v>120</v>
      </c>
      <c r="M3099" s="28" t="n">
        <v>6</v>
      </c>
    </row>
    <row r="3100" customFormat="false" ht="15" hidden="false" customHeight="false" outlineLevel="0" collapsed="false">
      <c r="A3100" s="27" t="n">
        <v>45338</v>
      </c>
      <c r="B3100" s="28" t="n">
        <v>2024</v>
      </c>
      <c r="C3100" s="28" t="s">
        <v>357</v>
      </c>
      <c r="D3100" s="28" t="s">
        <v>44</v>
      </c>
      <c r="E3100" s="28" t="s">
        <v>759</v>
      </c>
      <c r="F3100" s="28" t="s">
        <v>142</v>
      </c>
      <c r="G3100" s="28" t="s">
        <v>441</v>
      </c>
      <c r="H3100" s="28" t="s">
        <v>275</v>
      </c>
      <c r="I3100" s="29" t="n">
        <v>150000</v>
      </c>
      <c r="J3100" s="29" t="n">
        <v>127500</v>
      </c>
      <c r="K3100" s="28" t="n">
        <v>11.25</v>
      </c>
      <c r="L3100" s="28" t="n">
        <v>120</v>
      </c>
      <c r="M3100" s="28" t="n">
        <v>10</v>
      </c>
    </row>
    <row r="3101" customFormat="false" ht="15" hidden="false" customHeight="false" outlineLevel="0" collapsed="false">
      <c r="A3101" s="27" t="n">
        <v>45338</v>
      </c>
      <c r="B3101" s="28" t="n">
        <v>2024</v>
      </c>
      <c r="C3101" s="28" t="s">
        <v>172</v>
      </c>
      <c r="D3101" s="28" t="s">
        <v>42</v>
      </c>
      <c r="E3101" s="28" t="s">
        <v>753</v>
      </c>
      <c r="F3101" s="28" t="s">
        <v>142</v>
      </c>
      <c r="G3101" s="28" t="s">
        <v>143</v>
      </c>
      <c r="H3101" s="28" t="s">
        <v>605</v>
      </c>
      <c r="I3101" s="29" t="n">
        <v>968000</v>
      </c>
      <c r="J3101" s="29" t="n">
        <v>726000</v>
      </c>
      <c r="K3101" s="28" t="n">
        <v>11.5</v>
      </c>
      <c r="L3101" s="28" t="n">
        <v>123</v>
      </c>
      <c r="M3101" s="28" t="n">
        <v>36</v>
      </c>
    </row>
    <row r="3102" customFormat="false" ht="15" hidden="false" customHeight="false" outlineLevel="0" collapsed="false">
      <c r="A3102" s="27" t="n">
        <v>45339</v>
      </c>
      <c r="B3102" s="28" t="n">
        <v>2024</v>
      </c>
      <c r="C3102" s="28" t="s">
        <v>488</v>
      </c>
      <c r="D3102" s="28" t="s">
        <v>42</v>
      </c>
      <c r="E3102" s="28" t="s">
        <v>717</v>
      </c>
      <c r="F3102" s="28" t="s">
        <v>142</v>
      </c>
      <c r="G3102" s="28" t="s">
        <v>441</v>
      </c>
      <c r="H3102" s="28" t="s">
        <v>374</v>
      </c>
      <c r="I3102" s="29" t="n">
        <v>598000</v>
      </c>
      <c r="J3102" s="29" t="n">
        <v>448500</v>
      </c>
      <c r="K3102" s="28" t="n">
        <v>11</v>
      </c>
      <c r="L3102" s="28" t="n">
        <v>124</v>
      </c>
      <c r="M3102" s="28" t="n">
        <v>10</v>
      </c>
    </row>
    <row r="3103" customFormat="false" ht="15" hidden="false" customHeight="false" outlineLevel="0" collapsed="false">
      <c r="A3103" s="27" t="n">
        <v>45339</v>
      </c>
      <c r="B3103" s="28" t="n">
        <v>2024</v>
      </c>
      <c r="C3103" s="28" t="s">
        <v>169</v>
      </c>
      <c r="D3103" s="28" t="s">
        <v>48</v>
      </c>
      <c r="E3103" s="28" t="s">
        <v>712</v>
      </c>
      <c r="F3103" s="28" t="s">
        <v>147</v>
      </c>
      <c r="G3103" s="28" t="s">
        <v>441</v>
      </c>
      <c r="H3103" s="28" t="s">
        <v>168</v>
      </c>
      <c r="I3103" s="29" t="n">
        <v>15000</v>
      </c>
      <c r="J3103" s="29" t="n">
        <v>7500</v>
      </c>
      <c r="K3103" s="28" t="n">
        <v>14.5</v>
      </c>
      <c r="L3103" s="28" t="n">
        <v>120</v>
      </c>
      <c r="M3103" s="28" t="n">
        <v>1</v>
      </c>
    </row>
    <row r="3104" customFormat="false" ht="15" hidden="false" customHeight="false" outlineLevel="0" collapsed="false">
      <c r="A3104" s="27" t="n">
        <v>45339</v>
      </c>
      <c r="B3104" s="28" t="n">
        <v>2024</v>
      </c>
      <c r="C3104" s="28" t="s">
        <v>160</v>
      </c>
      <c r="D3104" s="28" t="s">
        <v>50</v>
      </c>
      <c r="E3104" s="28" t="s">
        <v>193</v>
      </c>
      <c r="F3104" s="28" t="s">
        <v>142</v>
      </c>
      <c r="G3104" s="28" t="s">
        <v>441</v>
      </c>
      <c r="H3104" s="28" t="s">
        <v>159</v>
      </c>
      <c r="I3104" s="29" t="n">
        <v>75000</v>
      </c>
      <c r="J3104" s="29" t="n">
        <v>63750</v>
      </c>
      <c r="K3104" s="28" t="n">
        <v>8.99</v>
      </c>
      <c r="L3104" s="28" t="n">
        <v>60</v>
      </c>
      <c r="M3104" s="28" t="n">
        <v>2</v>
      </c>
    </row>
    <row r="3105" customFormat="false" ht="15" hidden="false" customHeight="false" outlineLevel="0" collapsed="false">
      <c r="A3105" s="27" t="n">
        <v>45340</v>
      </c>
      <c r="B3105" s="28" t="n">
        <v>2024</v>
      </c>
      <c r="C3105" s="28" t="s">
        <v>169</v>
      </c>
      <c r="D3105" s="28" t="s">
        <v>45</v>
      </c>
      <c r="E3105" s="28" t="s">
        <v>708</v>
      </c>
      <c r="F3105" s="28" t="s">
        <v>142</v>
      </c>
      <c r="G3105" s="28" t="s">
        <v>143</v>
      </c>
      <c r="H3105" s="28" t="s">
        <v>287</v>
      </c>
      <c r="I3105" s="29" t="n">
        <v>120000</v>
      </c>
      <c r="J3105" s="29" t="n">
        <v>102000</v>
      </c>
      <c r="K3105" s="28" t="n">
        <v>11.25</v>
      </c>
      <c r="L3105" s="28" t="n">
        <v>120</v>
      </c>
      <c r="M3105" s="28" t="n">
        <v>4</v>
      </c>
    </row>
    <row r="3106" customFormat="false" ht="15" hidden="false" customHeight="false" outlineLevel="0" collapsed="false">
      <c r="A3106" s="27" t="n">
        <v>45340</v>
      </c>
      <c r="B3106" s="28" t="n">
        <v>2024</v>
      </c>
      <c r="C3106" s="28" t="s">
        <v>172</v>
      </c>
      <c r="D3106" s="28" t="s">
        <v>50</v>
      </c>
      <c r="E3106" s="28" t="s">
        <v>724</v>
      </c>
      <c r="F3106" s="28" t="s">
        <v>142</v>
      </c>
      <c r="G3106" s="28" t="s">
        <v>148</v>
      </c>
      <c r="H3106" s="28" t="s">
        <v>275</v>
      </c>
      <c r="I3106" s="29" t="n">
        <v>50000</v>
      </c>
      <c r="J3106" s="29" t="n">
        <v>42500</v>
      </c>
      <c r="K3106" s="28" t="n">
        <v>15</v>
      </c>
      <c r="L3106" s="28" t="n">
        <v>120</v>
      </c>
      <c r="M3106" s="28" t="n">
        <v>4</v>
      </c>
    </row>
    <row r="3107" customFormat="false" ht="15" hidden="false" customHeight="false" outlineLevel="0" collapsed="false">
      <c r="A3107" s="27" t="n">
        <v>45340</v>
      </c>
      <c r="B3107" s="28" t="n">
        <v>2024</v>
      </c>
      <c r="C3107" s="28" t="s">
        <v>357</v>
      </c>
      <c r="D3107" s="28" t="s">
        <v>47</v>
      </c>
      <c r="E3107" s="28" t="s">
        <v>1038</v>
      </c>
      <c r="F3107" s="28" t="s">
        <v>142</v>
      </c>
      <c r="G3107" s="28" t="s">
        <v>148</v>
      </c>
      <c r="H3107" s="28" t="s">
        <v>275</v>
      </c>
      <c r="I3107" s="29" t="n">
        <v>37000</v>
      </c>
      <c r="J3107" s="29" t="n">
        <v>31450</v>
      </c>
      <c r="K3107" s="28" t="n">
        <v>15</v>
      </c>
      <c r="L3107" s="28" t="n">
        <v>120</v>
      </c>
      <c r="M3107" s="28" t="n">
        <v>3</v>
      </c>
    </row>
    <row r="3108" customFormat="false" ht="15" hidden="false" customHeight="false" outlineLevel="0" collapsed="false">
      <c r="A3108" s="27" t="n">
        <v>45342</v>
      </c>
      <c r="B3108" s="28" t="n">
        <v>2024</v>
      </c>
      <c r="C3108" s="28" t="s">
        <v>172</v>
      </c>
      <c r="D3108" s="28" t="s">
        <v>47</v>
      </c>
      <c r="E3108" s="28" t="s">
        <v>901</v>
      </c>
      <c r="F3108" s="28" t="s">
        <v>147</v>
      </c>
      <c r="G3108" s="28" t="s">
        <v>148</v>
      </c>
      <c r="H3108" s="28" t="s">
        <v>159</v>
      </c>
      <c r="I3108" s="29" t="n">
        <v>50000</v>
      </c>
      <c r="J3108" s="29" t="n">
        <v>25000</v>
      </c>
      <c r="K3108" s="28" t="n">
        <v>15</v>
      </c>
      <c r="L3108" s="28" t="n">
        <v>120</v>
      </c>
      <c r="M3108" s="28" t="n">
        <v>0</v>
      </c>
    </row>
    <row r="3109" customFormat="false" ht="15" hidden="false" customHeight="false" outlineLevel="0" collapsed="false">
      <c r="A3109" s="27" t="n">
        <v>45342</v>
      </c>
      <c r="B3109" s="28" t="n">
        <v>2024</v>
      </c>
      <c r="C3109" s="28" t="s">
        <v>206</v>
      </c>
      <c r="D3109" s="28" t="s">
        <v>44</v>
      </c>
      <c r="E3109" s="28" t="s">
        <v>759</v>
      </c>
      <c r="F3109" s="28" t="s">
        <v>142</v>
      </c>
      <c r="G3109" s="28" t="s">
        <v>143</v>
      </c>
      <c r="H3109" s="28" t="s">
        <v>953</v>
      </c>
      <c r="I3109" s="29" t="n">
        <v>1025000</v>
      </c>
      <c r="J3109" s="29" t="n">
        <v>768750</v>
      </c>
      <c r="K3109" s="28" t="n">
        <v>11.5</v>
      </c>
      <c r="L3109" s="28" t="n">
        <v>300</v>
      </c>
      <c r="M3109" s="28" t="n">
        <v>40</v>
      </c>
    </row>
    <row r="3110" customFormat="false" ht="15" hidden="false" customHeight="false" outlineLevel="0" collapsed="false">
      <c r="A3110" s="27" t="n">
        <v>45343</v>
      </c>
      <c r="B3110" s="28" t="n">
        <v>2024</v>
      </c>
      <c r="C3110" s="28" t="s">
        <v>203</v>
      </c>
      <c r="D3110" s="28" t="s">
        <v>53</v>
      </c>
      <c r="E3110" s="28" t="s">
        <v>383</v>
      </c>
      <c r="F3110" s="28" t="s">
        <v>142</v>
      </c>
      <c r="G3110" s="28" t="s">
        <v>148</v>
      </c>
      <c r="H3110" s="28" t="s">
        <v>287</v>
      </c>
      <c r="I3110" s="29" t="n">
        <v>75000</v>
      </c>
      <c r="J3110" s="29" t="n">
        <v>63750</v>
      </c>
      <c r="K3110" s="28" t="n">
        <v>11.25</v>
      </c>
      <c r="L3110" s="28" t="n">
        <v>120</v>
      </c>
      <c r="M3110" s="28" t="n">
        <v>5</v>
      </c>
    </row>
    <row r="3111" customFormat="false" ht="15" hidden="false" customHeight="false" outlineLevel="0" collapsed="false">
      <c r="A3111" s="27" t="n">
        <v>45343</v>
      </c>
      <c r="B3111" s="28" t="n">
        <v>2024</v>
      </c>
      <c r="C3111" s="28" t="s">
        <v>172</v>
      </c>
      <c r="D3111" s="28" t="s">
        <v>42</v>
      </c>
      <c r="E3111" s="28" t="s">
        <v>717</v>
      </c>
      <c r="F3111" s="28" t="s">
        <v>142</v>
      </c>
      <c r="G3111" s="28" t="s">
        <v>143</v>
      </c>
      <c r="H3111" s="28" t="s">
        <v>605</v>
      </c>
      <c r="I3111" s="29" t="n">
        <v>425000</v>
      </c>
      <c r="J3111" s="29" t="n">
        <v>318750</v>
      </c>
      <c r="K3111" s="28" t="n">
        <v>11.5</v>
      </c>
      <c r="L3111" s="28" t="n">
        <v>120</v>
      </c>
      <c r="M3111" s="28" t="n">
        <v>44</v>
      </c>
    </row>
    <row r="3112" customFormat="false" ht="15" hidden="false" customHeight="false" outlineLevel="0" collapsed="false">
      <c r="A3112" s="27" t="n">
        <v>45343</v>
      </c>
      <c r="B3112" s="28" t="n">
        <v>2024</v>
      </c>
      <c r="C3112" s="28" t="s">
        <v>172</v>
      </c>
      <c r="D3112" s="28" t="s">
        <v>48</v>
      </c>
      <c r="E3112" s="28" t="s">
        <v>840</v>
      </c>
      <c r="F3112" s="28" t="s">
        <v>142</v>
      </c>
      <c r="G3112" s="28" t="s">
        <v>148</v>
      </c>
      <c r="H3112" s="28" t="s">
        <v>211</v>
      </c>
      <c r="I3112" s="29" t="n">
        <v>125000</v>
      </c>
      <c r="J3112" s="29" t="n">
        <v>106250</v>
      </c>
      <c r="K3112" s="28" t="n">
        <v>11.25</v>
      </c>
      <c r="L3112" s="28" t="n">
        <v>120</v>
      </c>
      <c r="M3112" s="28" t="n">
        <v>2</v>
      </c>
    </row>
    <row r="3113" customFormat="false" ht="15" hidden="false" customHeight="false" outlineLevel="0" collapsed="false">
      <c r="A3113" s="27" t="n">
        <v>45343</v>
      </c>
      <c r="B3113" s="28" t="n">
        <v>2024</v>
      </c>
      <c r="C3113" s="28" t="s">
        <v>166</v>
      </c>
      <c r="D3113" s="28" t="s">
        <v>49</v>
      </c>
      <c r="E3113" s="28" t="s">
        <v>1039</v>
      </c>
      <c r="F3113" s="28" t="s">
        <v>142</v>
      </c>
      <c r="G3113" s="28" t="s">
        <v>148</v>
      </c>
      <c r="H3113" s="28" t="s">
        <v>269</v>
      </c>
      <c r="I3113" s="29" t="n">
        <v>150000</v>
      </c>
      <c r="J3113" s="29" t="n">
        <v>127500</v>
      </c>
      <c r="K3113" s="28" t="n">
        <v>11.25</v>
      </c>
      <c r="L3113" s="28" t="n">
        <v>120</v>
      </c>
      <c r="M3113" s="28" t="n">
        <v>0</v>
      </c>
    </row>
    <row r="3114" customFormat="false" ht="15" hidden="false" customHeight="false" outlineLevel="0" collapsed="false">
      <c r="A3114" s="27" t="n">
        <v>45343</v>
      </c>
      <c r="B3114" s="28" t="n">
        <v>2024</v>
      </c>
      <c r="C3114" s="28" t="s">
        <v>172</v>
      </c>
      <c r="D3114" s="28" t="s">
        <v>48</v>
      </c>
      <c r="E3114" s="28" t="s">
        <v>342</v>
      </c>
      <c r="F3114" s="28" t="s">
        <v>147</v>
      </c>
      <c r="G3114" s="28" t="s">
        <v>148</v>
      </c>
      <c r="H3114" s="28" t="s">
        <v>162</v>
      </c>
      <c r="I3114" s="29" t="n">
        <v>450000</v>
      </c>
      <c r="J3114" s="29" t="n">
        <v>225000</v>
      </c>
      <c r="K3114" s="28" t="n">
        <v>11.25</v>
      </c>
      <c r="L3114" s="28" t="n">
        <v>120</v>
      </c>
      <c r="M3114" s="28" t="n">
        <v>48</v>
      </c>
    </row>
    <row r="3115" customFormat="false" ht="15" hidden="false" customHeight="false" outlineLevel="0" collapsed="false">
      <c r="A3115" s="27" t="n">
        <v>45343</v>
      </c>
      <c r="B3115" s="28" t="n">
        <v>2024</v>
      </c>
      <c r="C3115" s="28" t="s">
        <v>172</v>
      </c>
      <c r="D3115" s="28" t="s">
        <v>48</v>
      </c>
      <c r="E3115" s="28" t="s">
        <v>210</v>
      </c>
      <c r="F3115" s="28" t="s">
        <v>142</v>
      </c>
      <c r="G3115" s="28" t="s">
        <v>148</v>
      </c>
      <c r="H3115" s="28" t="s">
        <v>275</v>
      </c>
      <c r="I3115" s="29" t="n">
        <v>403500</v>
      </c>
      <c r="J3115" s="29" t="n">
        <v>302625</v>
      </c>
      <c r="K3115" s="28" t="n">
        <v>11.25</v>
      </c>
      <c r="L3115" s="28" t="n">
        <v>120</v>
      </c>
      <c r="M3115" s="28" t="n">
        <v>4</v>
      </c>
    </row>
    <row r="3116" customFormat="false" ht="15" hidden="false" customHeight="false" outlineLevel="0" collapsed="false">
      <c r="A3116" s="27" t="n">
        <v>45343</v>
      </c>
      <c r="B3116" s="28" t="n">
        <v>2024</v>
      </c>
      <c r="C3116" s="28" t="s">
        <v>421</v>
      </c>
      <c r="D3116" s="28" t="s">
        <v>46</v>
      </c>
      <c r="E3116" s="28" t="s">
        <v>727</v>
      </c>
      <c r="F3116" s="28" t="s">
        <v>142</v>
      </c>
      <c r="G3116" s="28" t="s">
        <v>148</v>
      </c>
      <c r="H3116" s="28" t="s">
        <v>374</v>
      </c>
      <c r="I3116" s="29" t="n">
        <v>333000</v>
      </c>
      <c r="J3116" s="29" t="n">
        <v>249750</v>
      </c>
      <c r="K3116" s="28" t="n">
        <v>11</v>
      </c>
      <c r="L3116" s="28" t="n">
        <v>300</v>
      </c>
      <c r="M3116" s="28" t="n">
        <v>9</v>
      </c>
    </row>
    <row r="3117" customFormat="false" ht="15" hidden="false" customHeight="false" outlineLevel="0" collapsed="false">
      <c r="A3117" s="27" t="n">
        <v>45343</v>
      </c>
      <c r="B3117" s="28" t="n">
        <v>2024</v>
      </c>
      <c r="C3117" s="28" t="s">
        <v>172</v>
      </c>
      <c r="D3117" s="28" t="s">
        <v>52</v>
      </c>
      <c r="E3117" s="28" t="s">
        <v>1040</v>
      </c>
      <c r="F3117" s="28" t="s">
        <v>147</v>
      </c>
      <c r="G3117" s="28" t="s">
        <v>148</v>
      </c>
      <c r="H3117" s="28" t="s">
        <v>205</v>
      </c>
      <c r="I3117" s="29" t="n">
        <v>25000</v>
      </c>
      <c r="J3117" s="29" t="n">
        <v>12500</v>
      </c>
      <c r="K3117" s="28" t="n">
        <v>14.3</v>
      </c>
      <c r="L3117" s="28" t="n">
        <v>109</v>
      </c>
      <c r="M3117" s="28" t="n">
        <v>2</v>
      </c>
    </row>
    <row r="3118" customFormat="false" ht="15" hidden="false" customHeight="false" outlineLevel="0" collapsed="false">
      <c r="A3118" s="27" t="n">
        <v>45344</v>
      </c>
      <c r="B3118" s="28" t="n">
        <v>2024</v>
      </c>
      <c r="C3118" s="28" t="s">
        <v>175</v>
      </c>
      <c r="D3118" s="28" t="s">
        <v>43</v>
      </c>
      <c r="E3118" s="28" t="s">
        <v>830</v>
      </c>
      <c r="F3118" s="28" t="s">
        <v>142</v>
      </c>
      <c r="G3118" s="28" t="s">
        <v>148</v>
      </c>
      <c r="H3118" s="28" t="s">
        <v>171</v>
      </c>
      <c r="I3118" s="29" t="n">
        <v>150000</v>
      </c>
      <c r="J3118" s="29" t="n">
        <v>127500</v>
      </c>
      <c r="K3118" s="28" t="n">
        <v>13.25</v>
      </c>
      <c r="L3118" s="28" t="n">
        <v>120</v>
      </c>
      <c r="M3118" s="28" t="n">
        <v>1</v>
      </c>
    </row>
    <row r="3119" customFormat="false" ht="15" hidden="false" customHeight="false" outlineLevel="0" collapsed="false">
      <c r="A3119" s="27" t="n">
        <v>45344</v>
      </c>
      <c r="B3119" s="28" t="n">
        <v>2024</v>
      </c>
      <c r="C3119" s="28" t="s">
        <v>166</v>
      </c>
      <c r="D3119" s="28" t="s">
        <v>48</v>
      </c>
      <c r="E3119" s="28" t="s">
        <v>210</v>
      </c>
      <c r="F3119" s="28" t="s">
        <v>147</v>
      </c>
      <c r="G3119" s="28" t="s">
        <v>441</v>
      </c>
      <c r="H3119" s="28" t="s">
        <v>168</v>
      </c>
      <c r="I3119" s="29" t="n">
        <v>15000</v>
      </c>
      <c r="J3119" s="29" t="n">
        <v>7500</v>
      </c>
      <c r="K3119" s="28" t="n">
        <v>14</v>
      </c>
      <c r="L3119" s="28" t="n">
        <v>120</v>
      </c>
      <c r="M3119" s="28" t="n">
        <v>1</v>
      </c>
    </row>
    <row r="3120" customFormat="false" ht="15" hidden="false" customHeight="false" outlineLevel="0" collapsed="false">
      <c r="A3120" s="27" t="n">
        <v>45344</v>
      </c>
      <c r="B3120" s="28" t="n">
        <v>2024</v>
      </c>
      <c r="C3120" s="28" t="s">
        <v>172</v>
      </c>
      <c r="D3120" s="28" t="s">
        <v>46</v>
      </c>
      <c r="E3120" s="28" t="s">
        <v>702</v>
      </c>
      <c r="F3120" s="28" t="s">
        <v>142</v>
      </c>
      <c r="G3120" s="28" t="s">
        <v>143</v>
      </c>
      <c r="H3120" s="28" t="s">
        <v>621</v>
      </c>
      <c r="I3120" s="29" t="n">
        <v>375500</v>
      </c>
      <c r="J3120" s="29" t="n">
        <v>281625</v>
      </c>
      <c r="K3120" s="28" t="n">
        <v>10.75</v>
      </c>
      <c r="L3120" s="28" t="n">
        <v>126</v>
      </c>
      <c r="M3120" s="28" t="n">
        <v>12</v>
      </c>
    </row>
    <row r="3121" customFormat="false" ht="15" hidden="false" customHeight="false" outlineLevel="0" collapsed="false">
      <c r="A3121" s="27" t="n">
        <v>45344</v>
      </c>
      <c r="B3121" s="28" t="n">
        <v>2024</v>
      </c>
      <c r="C3121" s="28" t="s">
        <v>252</v>
      </c>
      <c r="D3121" s="28" t="s">
        <v>44</v>
      </c>
      <c r="E3121" s="28" t="s">
        <v>167</v>
      </c>
      <c r="F3121" s="28" t="s">
        <v>142</v>
      </c>
      <c r="G3121" s="28" t="s">
        <v>143</v>
      </c>
      <c r="H3121" s="28" t="s">
        <v>621</v>
      </c>
      <c r="I3121" s="29" t="n">
        <v>199700</v>
      </c>
      <c r="J3121" s="29" t="n">
        <v>149775</v>
      </c>
      <c r="K3121" s="28" t="n">
        <v>11.25</v>
      </c>
      <c r="L3121" s="28" t="n">
        <v>120</v>
      </c>
      <c r="M3121" s="28" t="n">
        <v>22</v>
      </c>
    </row>
    <row r="3122" customFormat="false" ht="15" hidden="false" customHeight="false" outlineLevel="0" collapsed="false">
      <c r="A3122" s="27" t="n">
        <v>45344</v>
      </c>
      <c r="B3122" s="28" t="n">
        <v>2024</v>
      </c>
      <c r="C3122" s="28" t="s">
        <v>500</v>
      </c>
      <c r="D3122" s="28" t="s">
        <v>45</v>
      </c>
      <c r="E3122" s="28" t="s">
        <v>611</v>
      </c>
      <c r="F3122" s="28" t="s">
        <v>142</v>
      </c>
      <c r="G3122" s="28" t="s">
        <v>148</v>
      </c>
      <c r="H3122" s="28" t="s">
        <v>275</v>
      </c>
      <c r="I3122" s="29" t="n">
        <v>50000</v>
      </c>
      <c r="J3122" s="29" t="n">
        <v>42500</v>
      </c>
      <c r="K3122" s="28" t="n">
        <v>15</v>
      </c>
      <c r="L3122" s="28" t="n">
        <v>120</v>
      </c>
      <c r="M3122" s="28" t="n">
        <v>9</v>
      </c>
    </row>
    <row r="3123" customFormat="false" ht="15" hidden="false" customHeight="false" outlineLevel="0" collapsed="false">
      <c r="A3123" s="27" t="n">
        <v>45345</v>
      </c>
      <c r="B3123" s="28" t="n">
        <v>2024</v>
      </c>
      <c r="C3123" s="28" t="s">
        <v>169</v>
      </c>
      <c r="D3123" s="28" t="s">
        <v>50</v>
      </c>
      <c r="E3123" s="28" t="s">
        <v>724</v>
      </c>
      <c r="F3123" s="28" t="s">
        <v>142</v>
      </c>
      <c r="G3123" s="28" t="s">
        <v>152</v>
      </c>
      <c r="H3123" s="28" t="s">
        <v>681</v>
      </c>
      <c r="I3123" s="29" t="n">
        <v>468000</v>
      </c>
      <c r="J3123" s="29" t="n">
        <v>351000</v>
      </c>
      <c r="K3123" s="28" t="n">
        <v>11.25</v>
      </c>
      <c r="L3123" s="28" t="n">
        <v>120</v>
      </c>
      <c r="M3123" s="28" t="n">
        <v>14</v>
      </c>
    </row>
    <row r="3124" customFormat="false" ht="15" hidden="false" customHeight="false" outlineLevel="0" collapsed="false">
      <c r="A3124" s="27" t="n">
        <v>45345</v>
      </c>
      <c r="B3124" s="28" t="n">
        <v>2024</v>
      </c>
      <c r="C3124" s="28" t="s">
        <v>145</v>
      </c>
      <c r="D3124" s="28" t="s">
        <v>48</v>
      </c>
      <c r="E3124" s="28" t="s">
        <v>712</v>
      </c>
      <c r="F3124" s="28" t="s">
        <v>147</v>
      </c>
      <c r="G3124" s="28" t="s">
        <v>441</v>
      </c>
      <c r="H3124" s="28" t="s">
        <v>168</v>
      </c>
      <c r="I3124" s="29" t="n">
        <v>15000</v>
      </c>
      <c r="J3124" s="29" t="n">
        <v>7500</v>
      </c>
      <c r="K3124" s="28" t="n">
        <v>13</v>
      </c>
      <c r="L3124" s="28" t="n">
        <v>120</v>
      </c>
      <c r="M3124" s="28" t="n">
        <v>0</v>
      </c>
    </row>
    <row r="3125" customFormat="false" ht="15" hidden="false" customHeight="false" outlineLevel="0" collapsed="false">
      <c r="A3125" s="27" t="n">
        <v>45345</v>
      </c>
      <c r="B3125" s="28" t="n">
        <v>2024</v>
      </c>
      <c r="C3125" s="28" t="s">
        <v>353</v>
      </c>
      <c r="D3125" s="28" t="s">
        <v>46</v>
      </c>
      <c r="E3125" s="28" t="s">
        <v>852</v>
      </c>
      <c r="F3125" s="28" t="s">
        <v>142</v>
      </c>
      <c r="G3125" s="28" t="s">
        <v>441</v>
      </c>
      <c r="H3125" s="28" t="s">
        <v>165</v>
      </c>
      <c r="I3125" s="29" t="n">
        <v>725000</v>
      </c>
      <c r="J3125" s="29" t="n">
        <v>543750</v>
      </c>
      <c r="K3125" s="28" t="n">
        <v>9.74</v>
      </c>
      <c r="L3125" s="28" t="n">
        <v>300</v>
      </c>
      <c r="M3125" s="28" t="n">
        <v>4</v>
      </c>
    </row>
    <row r="3126" customFormat="false" ht="15" hidden="false" customHeight="false" outlineLevel="0" collapsed="false">
      <c r="A3126" s="27" t="n">
        <v>45345</v>
      </c>
      <c r="B3126" s="28" t="n">
        <v>2024</v>
      </c>
      <c r="C3126" s="28" t="s">
        <v>169</v>
      </c>
      <c r="D3126" s="28" t="s">
        <v>46</v>
      </c>
      <c r="E3126" s="28" t="s">
        <v>727</v>
      </c>
      <c r="F3126" s="28" t="s">
        <v>142</v>
      </c>
      <c r="G3126" s="28" t="s">
        <v>143</v>
      </c>
      <c r="H3126" s="28" t="s">
        <v>372</v>
      </c>
      <c r="I3126" s="29" t="n">
        <v>100000</v>
      </c>
      <c r="J3126" s="29" t="n">
        <v>85000</v>
      </c>
      <c r="K3126" s="28" t="n">
        <v>11.25</v>
      </c>
      <c r="L3126" s="28" t="n">
        <v>90</v>
      </c>
      <c r="M3126" s="28" t="n">
        <v>5</v>
      </c>
    </row>
    <row r="3127" customFormat="false" ht="15" hidden="false" customHeight="false" outlineLevel="0" collapsed="false">
      <c r="A3127" s="27" t="n">
        <v>45346</v>
      </c>
      <c r="B3127" s="28" t="n">
        <v>2024</v>
      </c>
      <c r="C3127" s="28" t="s">
        <v>206</v>
      </c>
      <c r="D3127" s="28" t="s">
        <v>42</v>
      </c>
      <c r="E3127" s="28" t="s">
        <v>784</v>
      </c>
      <c r="F3127" s="28" t="s">
        <v>142</v>
      </c>
      <c r="G3127" s="28" t="s">
        <v>441</v>
      </c>
      <c r="H3127" s="28" t="s">
        <v>205</v>
      </c>
      <c r="I3127" s="29" t="n">
        <v>681000</v>
      </c>
      <c r="J3127" s="29" t="n">
        <v>510750</v>
      </c>
      <c r="K3127" s="28" t="n">
        <v>7.32</v>
      </c>
      <c r="L3127" s="28" t="n">
        <v>126</v>
      </c>
      <c r="M3127" s="28" t="n">
        <v>25</v>
      </c>
    </row>
    <row r="3128" customFormat="false" ht="15" hidden="false" customHeight="false" outlineLevel="0" collapsed="false">
      <c r="A3128" s="27" t="n">
        <v>45346</v>
      </c>
      <c r="B3128" s="28" t="n">
        <v>2024</v>
      </c>
      <c r="C3128" s="28" t="s">
        <v>163</v>
      </c>
      <c r="D3128" s="28" t="s">
        <v>46</v>
      </c>
      <c r="E3128" s="28" t="s">
        <v>746</v>
      </c>
      <c r="F3128" s="28" t="s">
        <v>142</v>
      </c>
      <c r="G3128" s="28" t="s">
        <v>148</v>
      </c>
      <c r="H3128" s="28" t="s">
        <v>211</v>
      </c>
      <c r="I3128" s="29" t="n">
        <v>100000</v>
      </c>
      <c r="J3128" s="29" t="n">
        <v>85000</v>
      </c>
      <c r="K3128" s="28" t="n">
        <v>11.25</v>
      </c>
      <c r="L3128" s="28" t="n">
        <v>120</v>
      </c>
      <c r="M3128" s="28" t="n">
        <v>1</v>
      </c>
    </row>
    <row r="3129" customFormat="false" ht="15" hidden="false" customHeight="false" outlineLevel="0" collapsed="false">
      <c r="A3129" s="27" t="n">
        <v>45349</v>
      </c>
      <c r="B3129" s="28" t="n">
        <v>2024</v>
      </c>
      <c r="C3129" s="28" t="s">
        <v>169</v>
      </c>
      <c r="D3129" s="28" t="s">
        <v>45</v>
      </c>
      <c r="E3129" s="28" t="s">
        <v>222</v>
      </c>
      <c r="F3129" s="28" t="s">
        <v>142</v>
      </c>
      <c r="G3129" s="28" t="s">
        <v>143</v>
      </c>
      <c r="H3129" s="28" t="s">
        <v>211</v>
      </c>
      <c r="I3129" s="29" t="n">
        <v>255000</v>
      </c>
      <c r="J3129" s="29" t="n">
        <v>191250</v>
      </c>
      <c r="K3129" s="28" t="n">
        <v>11.25</v>
      </c>
      <c r="L3129" s="28" t="n">
        <v>120</v>
      </c>
      <c r="M3129" s="28" t="n">
        <v>8</v>
      </c>
    </row>
    <row r="3130" customFormat="false" ht="15" hidden="false" customHeight="false" outlineLevel="0" collapsed="false">
      <c r="A3130" s="27" t="n">
        <v>45349</v>
      </c>
      <c r="B3130" s="28" t="n">
        <v>2024</v>
      </c>
      <c r="C3130" s="28" t="s">
        <v>172</v>
      </c>
      <c r="D3130" s="28" t="s">
        <v>51</v>
      </c>
      <c r="E3130" s="28" t="s">
        <v>726</v>
      </c>
      <c r="F3130" s="28" t="s">
        <v>147</v>
      </c>
      <c r="G3130" s="28" t="s">
        <v>441</v>
      </c>
      <c r="H3130" s="28" t="s">
        <v>168</v>
      </c>
      <c r="I3130" s="29" t="n">
        <v>15000</v>
      </c>
      <c r="J3130" s="29" t="n">
        <v>7500</v>
      </c>
      <c r="K3130" s="28" t="n">
        <v>14.5</v>
      </c>
      <c r="L3130" s="28" t="n">
        <v>120</v>
      </c>
      <c r="M3130" s="28" t="n">
        <v>0</v>
      </c>
    </row>
    <row r="3131" customFormat="false" ht="15" hidden="false" customHeight="false" outlineLevel="0" collapsed="false">
      <c r="A3131" s="27" t="n">
        <v>45349</v>
      </c>
      <c r="B3131" s="28" t="n">
        <v>2024</v>
      </c>
      <c r="C3131" s="28" t="s">
        <v>154</v>
      </c>
      <c r="D3131" s="28" t="s">
        <v>46</v>
      </c>
      <c r="E3131" s="28" t="s">
        <v>719</v>
      </c>
      <c r="F3131" s="28" t="s">
        <v>142</v>
      </c>
      <c r="G3131" s="28" t="s">
        <v>148</v>
      </c>
      <c r="H3131" s="28" t="s">
        <v>314</v>
      </c>
      <c r="I3131" s="29" t="n">
        <v>158000</v>
      </c>
      <c r="J3131" s="29" t="n">
        <v>118500</v>
      </c>
      <c r="K3131" s="28" t="n">
        <v>10.75</v>
      </c>
      <c r="L3131" s="28" t="n">
        <v>120</v>
      </c>
      <c r="M3131" s="28" t="n">
        <v>4</v>
      </c>
    </row>
    <row r="3132" customFormat="false" ht="15" hidden="false" customHeight="false" outlineLevel="0" collapsed="false">
      <c r="A3132" s="27" t="n">
        <v>45349</v>
      </c>
      <c r="B3132" s="28" t="n">
        <v>2024</v>
      </c>
      <c r="C3132" s="28" t="s">
        <v>201</v>
      </c>
      <c r="D3132" s="28" t="s">
        <v>52</v>
      </c>
      <c r="E3132" s="28" t="s">
        <v>673</v>
      </c>
      <c r="F3132" s="28" t="s">
        <v>147</v>
      </c>
      <c r="G3132" s="28" t="s">
        <v>441</v>
      </c>
      <c r="H3132" s="28" t="s">
        <v>205</v>
      </c>
      <c r="I3132" s="29" t="n">
        <v>25000</v>
      </c>
      <c r="J3132" s="29" t="n">
        <v>12500</v>
      </c>
      <c r="K3132" s="28" t="n">
        <v>15</v>
      </c>
      <c r="L3132" s="28" t="n">
        <v>120</v>
      </c>
      <c r="M3132" s="28" t="n">
        <v>1</v>
      </c>
    </row>
    <row r="3133" customFormat="false" ht="15" hidden="false" customHeight="false" outlineLevel="0" collapsed="false">
      <c r="A3133" s="27" t="n">
        <v>45349</v>
      </c>
      <c r="B3133" s="28" t="n">
        <v>2024</v>
      </c>
      <c r="C3133" s="28" t="s">
        <v>169</v>
      </c>
      <c r="D3133" s="28" t="s">
        <v>45</v>
      </c>
      <c r="E3133" s="28" t="s">
        <v>222</v>
      </c>
      <c r="F3133" s="28" t="s">
        <v>147</v>
      </c>
      <c r="G3133" s="28" t="s">
        <v>143</v>
      </c>
      <c r="H3133" s="28" t="s">
        <v>211</v>
      </c>
      <c r="I3133" s="29" t="n">
        <v>50000</v>
      </c>
      <c r="J3133" s="29" t="n">
        <v>25000</v>
      </c>
      <c r="K3133" s="28" t="n">
        <v>11.25</v>
      </c>
      <c r="L3133" s="28" t="n">
        <v>120</v>
      </c>
      <c r="M3133" s="28" t="n">
        <v>8</v>
      </c>
    </row>
    <row r="3134" customFormat="false" ht="15" hidden="false" customHeight="false" outlineLevel="0" collapsed="false">
      <c r="A3134" s="27" t="n">
        <v>45350</v>
      </c>
      <c r="B3134" s="28" t="n">
        <v>2024</v>
      </c>
      <c r="C3134" s="28" t="s">
        <v>203</v>
      </c>
      <c r="D3134" s="28" t="s">
        <v>46</v>
      </c>
      <c r="E3134" s="28" t="s">
        <v>746</v>
      </c>
      <c r="F3134" s="28" t="s">
        <v>142</v>
      </c>
      <c r="G3134" s="28" t="s">
        <v>143</v>
      </c>
      <c r="H3134" s="28" t="s">
        <v>281</v>
      </c>
      <c r="I3134" s="29" t="n">
        <v>744000</v>
      </c>
      <c r="J3134" s="29" t="n">
        <v>558000</v>
      </c>
      <c r="K3134" s="28" t="n">
        <v>10.5</v>
      </c>
      <c r="L3134" s="28" t="n">
        <v>300</v>
      </c>
      <c r="M3134" s="28" t="n">
        <v>10</v>
      </c>
    </row>
    <row r="3135" customFormat="false" ht="15" hidden="false" customHeight="false" outlineLevel="0" collapsed="false">
      <c r="A3135" s="27" t="n">
        <v>45350</v>
      </c>
      <c r="B3135" s="28" t="n">
        <v>2024</v>
      </c>
      <c r="C3135" s="28" t="s">
        <v>203</v>
      </c>
      <c r="D3135" s="28" t="s">
        <v>46</v>
      </c>
      <c r="E3135" s="28" t="s">
        <v>746</v>
      </c>
      <c r="F3135" s="28" t="s">
        <v>142</v>
      </c>
      <c r="G3135" s="28" t="s">
        <v>152</v>
      </c>
      <c r="H3135" s="28" t="s">
        <v>281</v>
      </c>
      <c r="I3135" s="29" t="n">
        <v>1592000</v>
      </c>
      <c r="J3135" s="29" t="n">
        <v>1194000</v>
      </c>
      <c r="K3135" s="28" t="n">
        <v>10.5</v>
      </c>
      <c r="L3135" s="28" t="n">
        <v>120</v>
      </c>
      <c r="M3135" s="28" t="n">
        <v>8</v>
      </c>
    </row>
    <row r="3136" customFormat="false" ht="15" hidden="false" customHeight="false" outlineLevel="0" collapsed="false">
      <c r="A3136" s="27" t="n">
        <v>45350</v>
      </c>
      <c r="B3136" s="28" t="n">
        <v>2024</v>
      </c>
      <c r="C3136" s="28" t="s">
        <v>344</v>
      </c>
      <c r="D3136" s="28" t="s">
        <v>47</v>
      </c>
      <c r="E3136" s="28" t="s">
        <v>1041</v>
      </c>
      <c r="F3136" s="28" t="s">
        <v>194</v>
      </c>
      <c r="G3136" s="28" t="s">
        <v>148</v>
      </c>
      <c r="H3136" s="28" t="s">
        <v>1031</v>
      </c>
      <c r="I3136" s="29" t="n">
        <v>250000</v>
      </c>
      <c r="J3136" s="29" t="n">
        <v>187500</v>
      </c>
      <c r="K3136" s="28" t="n">
        <v>9</v>
      </c>
      <c r="L3136" s="28" t="n">
        <v>120</v>
      </c>
      <c r="M3136" s="28" t="n">
        <v>30</v>
      </c>
    </row>
    <row r="3137" customFormat="false" ht="15" hidden="false" customHeight="false" outlineLevel="0" collapsed="false">
      <c r="A3137" s="27" t="n">
        <v>45350</v>
      </c>
      <c r="B3137" s="28" t="n">
        <v>2024</v>
      </c>
      <c r="C3137" s="28" t="s">
        <v>603</v>
      </c>
      <c r="D3137" s="28" t="s">
        <v>42</v>
      </c>
      <c r="E3137" s="28" t="s">
        <v>828</v>
      </c>
      <c r="F3137" s="28" t="s">
        <v>142</v>
      </c>
      <c r="G3137" s="28" t="s">
        <v>441</v>
      </c>
      <c r="H3137" s="28" t="s">
        <v>619</v>
      </c>
      <c r="I3137" s="29" t="n">
        <v>270300</v>
      </c>
      <c r="J3137" s="29" t="n">
        <v>202725</v>
      </c>
      <c r="K3137" s="28" t="n">
        <v>11.25</v>
      </c>
      <c r="L3137" s="28" t="n">
        <v>304</v>
      </c>
      <c r="M3137" s="28" t="n">
        <v>14</v>
      </c>
    </row>
    <row r="3138" customFormat="false" ht="15" hidden="false" customHeight="false" outlineLevel="0" collapsed="false">
      <c r="A3138" s="27" t="n">
        <v>45350</v>
      </c>
      <c r="B3138" s="28" t="n">
        <v>2024</v>
      </c>
      <c r="C3138" s="28" t="s">
        <v>163</v>
      </c>
      <c r="D3138" s="28" t="s">
        <v>51</v>
      </c>
      <c r="E3138" s="28" t="s">
        <v>800</v>
      </c>
      <c r="F3138" s="28" t="s">
        <v>194</v>
      </c>
      <c r="G3138" s="28" t="s">
        <v>148</v>
      </c>
      <c r="H3138" s="28" t="s">
        <v>786</v>
      </c>
      <c r="I3138" s="29" t="n">
        <v>2340000</v>
      </c>
      <c r="J3138" s="29" t="n">
        <v>1755000</v>
      </c>
      <c r="K3138" s="28" t="n">
        <v>11</v>
      </c>
      <c r="L3138" s="28" t="n">
        <v>132</v>
      </c>
      <c r="M3138" s="28" t="n">
        <v>81</v>
      </c>
    </row>
    <row r="3139" customFormat="false" ht="15" hidden="false" customHeight="false" outlineLevel="0" collapsed="false">
      <c r="A3139" s="27" t="n">
        <v>45351</v>
      </c>
      <c r="B3139" s="28" t="n">
        <v>2024</v>
      </c>
      <c r="C3139" s="28" t="s">
        <v>196</v>
      </c>
      <c r="D3139" s="28" t="s">
        <v>52</v>
      </c>
      <c r="E3139" s="28" t="s">
        <v>742</v>
      </c>
      <c r="F3139" s="28" t="s">
        <v>147</v>
      </c>
      <c r="G3139" s="28" t="s">
        <v>148</v>
      </c>
      <c r="H3139" s="28" t="s">
        <v>248</v>
      </c>
      <c r="I3139" s="29" t="n">
        <v>250000</v>
      </c>
      <c r="J3139" s="29" t="n">
        <v>125000</v>
      </c>
      <c r="K3139" s="28" t="n">
        <v>11</v>
      </c>
      <c r="L3139" s="28" t="n">
        <v>60</v>
      </c>
      <c r="M3139" s="28" t="n">
        <v>4</v>
      </c>
    </row>
    <row r="3140" customFormat="false" ht="15" hidden="false" customHeight="false" outlineLevel="0" collapsed="false">
      <c r="A3140" s="27" t="n">
        <v>45351</v>
      </c>
      <c r="B3140" s="28" t="n">
        <v>2024</v>
      </c>
      <c r="C3140" s="28" t="s">
        <v>172</v>
      </c>
      <c r="D3140" s="28" t="s">
        <v>49</v>
      </c>
      <c r="E3140" s="28" t="s">
        <v>733</v>
      </c>
      <c r="F3140" s="28" t="s">
        <v>147</v>
      </c>
      <c r="G3140" s="28" t="s">
        <v>148</v>
      </c>
      <c r="H3140" s="28" t="s">
        <v>159</v>
      </c>
      <c r="I3140" s="29" t="n">
        <v>50000</v>
      </c>
      <c r="J3140" s="29" t="n">
        <v>25000</v>
      </c>
      <c r="K3140" s="28" t="n">
        <v>12.25</v>
      </c>
      <c r="L3140" s="28" t="n">
        <v>85</v>
      </c>
      <c r="M3140" s="28" t="n">
        <v>2</v>
      </c>
    </row>
    <row r="3141" customFormat="false" ht="15" hidden="false" customHeight="false" outlineLevel="0" collapsed="false">
      <c r="A3141" s="27" t="n">
        <v>45351</v>
      </c>
      <c r="B3141" s="28" t="n">
        <v>2024</v>
      </c>
      <c r="C3141" s="28" t="s">
        <v>172</v>
      </c>
      <c r="D3141" s="28" t="s">
        <v>42</v>
      </c>
      <c r="E3141" s="28" t="s">
        <v>784</v>
      </c>
      <c r="F3141" s="28" t="s">
        <v>142</v>
      </c>
      <c r="G3141" s="28" t="s">
        <v>143</v>
      </c>
      <c r="H3141" s="28" t="s">
        <v>693</v>
      </c>
      <c r="I3141" s="29" t="n">
        <v>150000</v>
      </c>
      <c r="J3141" s="29" t="n">
        <v>127500</v>
      </c>
      <c r="K3141" s="28" t="n">
        <v>13.25</v>
      </c>
      <c r="L3141" s="28" t="n">
        <v>120</v>
      </c>
      <c r="M3141" s="28" t="n">
        <v>4</v>
      </c>
    </row>
    <row r="3142" customFormat="false" ht="15" hidden="false" customHeight="false" outlineLevel="0" collapsed="false">
      <c r="A3142" s="27" t="n">
        <v>45351</v>
      </c>
      <c r="B3142" s="28" t="n">
        <v>2024</v>
      </c>
      <c r="C3142" s="28" t="s">
        <v>172</v>
      </c>
      <c r="D3142" s="28" t="s">
        <v>44</v>
      </c>
      <c r="E3142" s="28" t="s">
        <v>730</v>
      </c>
      <c r="F3142" s="28" t="s">
        <v>142</v>
      </c>
      <c r="G3142" s="28" t="s">
        <v>148</v>
      </c>
      <c r="H3142" s="28" t="s">
        <v>171</v>
      </c>
      <c r="I3142" s="29" t="n">
        <v>150000</v>
      </c>
      <c r="J3142" s="29" t="n">
        <v>127500</v>
      </c>
      <c r="K3142" s="28" t="n">
        <v>13.25</v>
      </c>
      <c r="L3142" s="28" t="n">
        <v>104</v>
      </c>
      <c r="M3142" s="28" t="n">
        <v>17</v>
      </c>
    </row>
    <row r="3143" customFormat="false" ht="15" hidden="false" customHeight="false" outlineLevel="0" collapsed="false">
      <c r="A3143" s="27" t="n">
        <v>45351</v>
      </c>
      <c r="B3143" s="28" t="n">
        <v>2024</v>
      </c>
      <c r="C3143" s="28" t="s">
        <v>540</v>
      </c>
      <c r="D3143" s="28" t="s">
        <v>46</v>
      </c>
      <c r="E3143" s="28" t="s">
        <v>719</v>
      </c>
      <c r="F3143" s="28" t="s">
        <v>142</v>
      </c>
      <c r="G3143" s="28" t="s">
        <v>148</v>
      </c>
      <c r="H3143" s="28" t="s">
        <v>171</v>
      </c>
      <c r="I3143" s="29" t="n">
        <v>146000</v>
      </c>
      <c r="J3143" s="29" t="n">
        <v>124100</v>
      </c>
      <c r="K3143" s="28" t="n">
        <v>13.25</v>
      </c>
      <c r="L3143" s="28" t="n">
        <v>120</v>
      </c>
      <c r="M3143" s="28" t="n">
        <v>0</v>
      </c>
    </row>
    <row r="3144" customFormat="false" ht="15" hidden="false" customHeight="false" outlineLevel="0" collapsed="false">
      <c r="A3144" s="27" t="n">
        <v>45352</v>
      </c>
      <c r="B3144" s="28" t="n">
        <v>2024</v>
      </c>
      <c r="C3144" s="28" t="s">
        <v>166</v>
      </c>
      <c r="D3144" s="28" t="s">
        <v>51</v>
      </c>
      <c r="E3144" s="28" t="s">
        <v>800</v>
      </c>
      <c r="F3144" s="28" t="s">
        <v>142</v>
      </c>
      <c r="G3144" s="28" t="s">
        <v>143</v>
      </c>
      <c r="H3144" s="28" t="s">
        <v>561</v>
      </c>
      <c r="I3144" s="29" t="n">
        <v>5000000</v>
      </c>
      <c r="J3144" s="29" t="n">
        <v>3750000</v>
      </c>
      <c r="K3144" s="28" t="n">
        <v>10.5</v>
      </c>
      <c r="L3144" s="28" t="n">
        <v>120</v>
      </c>
      <c r="M3144" s="28" t="n">
        <v>52</v>
      </c>
    </row>
    <row r="3145" customFormat="false" ht="15" hidden="false" customHeight="false" outlineLevel="0" collapsed="false">
      <c r="A3145" s="27" t="n">
        <v>45352</v>
      </c>
      <c r="B3145" s="28" t="n">
        <v>2024</v>
      </c>
      <c r="C3145" s="28" t="s">
        <v>522</v>
      </c>
      <c r="D3145" s="28" t="s">
        <v>48</v>
      </c>
      <c r="E3145" s="28" t="s">
        <v>277</v>
      </c>
      <c r="F3145" s="28" t="s">
        <v>142</v>
      </c>
      <c r="G3145" s="28" t="s">
        <v>148</v>
      </c>
      <c r="H3145" s="28" t="s">
        <v>171</v>
      </c>
      <c r="I3145" s="29" t="n">
        <v>83000</v>
      </c>
      <c r="J3145" s="29" t="n">
        <v>70550</v>
      </c>
      <c r="K3145" s="28" t="n">
        <v>13.25</v>
      </c>
      <c r="L3145" s="28" t="n">
        <v>120</v>
      </c>
      <c r="M3145" s="28" t="n">
        <v>1</v>
      </c>
    </row>
    <row r="3146" customFormat="false" ht="15" hidden="false" customHeight="false" outlineLevel="0" collapsed="false">
      <c r="A3146" s="27" t="n">
        <v>45352</v>
      </c>
      <c r="B3146" s="28" t="n">
        <v>2024</v>
      </c>
      <c r="C3146" s="28" t="s">
        <v>450</v>
      </c>
      <c r="D3146" s="28" t="s">
        <v>50</v>
      </c>
      <c r="E3146" s="28" t="s">
        <v>951</v>
      </c>
      <c r="F3146" s="28" t="s">
        <v>142</v>
      </c>
      <c r="G3146" s="28" t="s">
        <v>143</v>
      </c>
      <c r="H3146" s="28" t="s">
        <v>382</v>
      </c>
      <c r="I3146" s="29" t="n">
        <v>280400</v>
      </c>
      <c r="J3146" s="29" t="n">
        <v>210300</v>
      </c>
      <c r="K3146" s="28" t="n">
        <v>11.25</v>
      </c>
      <c r="L3146" s="28" t="n">
        <v>124</v>
      </c>
      <c r="M3146" s="28" t="n">
        <v>1</v>
      </c>
    </row>
    <row r="3147" customFormat="false" ht="15" hidden="false" customHeight="false" outlineLevel="0" collapsed="false">
      <c r="A3147" s="27" t="n">
        <v>45352</v>
      </c>
      <c r="B3147" s="28" t="n">
        <v>2024</v>
      </c>
      <c r="C3147" s="28" t="s">
        <v>243</v>
      </c>
      <c r="D3147" s="28" t="s">
        <v>56</v>
      </c>
      <c r="E3147" s="28" t="s">
        <v>772</v>
      </c>
      <c r="F3147" s="28" t="s">
        <v>142</v>
      </c>
      <c r="G3147" s="28" t="s">
        <v>143</v>
      </c>
      <c r="H3147" s="28" t="s">
        <v>693</v>
      </c>
      <c r="I3147" s="29" t="n">
        <v>180000</v>
      </c>
      <c r="J3147" s="29" t="n">
        <v>135000</v>
      </c>
      <c r="K3147" s="28" t="n">
        <v>13.25</v>
      </c>
      <c r="L3147" s="28" t="n">
        <v>120</v>
      </c>
      <c r="M3147" s="28" t="n">
        <v>3</v>
      </c>
    </row>
    <row r="3148" customFormat="false" ht="15" hidden="false" customHeight="false" outlineLevel="0" collapsed="false">
      <c r="A3148" s="27" t="n">
        <v>45352</v>
      </c>
      <c r="B3148" s="28" t="n">
        <v>2024</v>
      </c>
      <c r="C3148" s="28" t="s">
        <v>375</v>
      </c>
      <c r="D3148" s="28" t="s">
        <v>42</v>
      </c>
      <c r="E3148" s="28" t="s">
        <v>705</v>
      </c>
      <c r="F3148" s="28" t="s">
        <v>142</v>
      </c>
      <c r="G3148" s="28" t="s">
        <v>148</v>
      </c>
      <c r="H3148" s="28" t="s">
        <v>326</v>
      </c>
      <c r="I3148" s="29" t="n">
        <v>2800000</v>
      </c>
      <c r="J3148" s="29" t="n">
        <v>2100000</v>
      </c>
      <c r="K3148" s="28" t="n">
        <v>9.5</v>
      </c>
      <c r="L3148" s="28" t="n">
        <v>300</v>
      </c>
      <c r="M3148" s="28" t="n">
        <v>8</v>
      </c>
    </row>
    <row r="3149" customFormat="false" ht="15" hidden="false" customHeight="false" outlineLevel="0" collapsed="false">
      <c r="A3149" s="27" t="n">
        <v>45353</v>
      </c>
      <c r="B3149" s="28" t="n">
        <v>2024</v>
      </c>
      <c r="C3149" s="28" t="s">
        <v>169</v>
      </c>
      <c r="D3149" s="28" t="s">
        <v>54</v>
      </c>
      <c r="E3149" s="28" t="s">
        <v>791</v>
      </c>
      <c r="F3149" s="28" t="s">
        <v>142</v>
      </c>
      <c r="G3149" s="28" t="s">
        <v>148</v>
      </c>
      <c r="H3149" s="28" t="s">
        <v>171</v>
      </c>
      <c r="I3149" s="29" t="n">
        <v>87000</v>
      </c>
      <c r="J3149" s="29" t="n">
        <v>73950</v>
      </c>
      <c r="K3149" s="28" t="n">
        <v>13.25</v>
      </c>
      <c r="L3149" s="28" t="n">
        <v>120</v>
      </c>
      <c r="M3149" s="28" t="n">
        <v>1</v>
      </c>
    </row>
    <row r="3150" customFormat="false" ht="15" hidden="false" customHeight="false" outlineLevel="0" collapsed="false">
      <c r="A3150" s="27" t="n">
        <v>45353</v>
      </c>
      <c r="B3150" s="28" t="n">
        <v>2024</v>
      </c>
      <c r="C3150" s="28" t="s">
        <v>970</v>
      </c>
      <c r="D3150" s="28" t="s">
        <v>43</v>
      </c>
      <c r="E3150" s="28" t="s">
        <v>1042</v>
      </c>
      <c r="F3150" s="28" t="s">
        <v>147</v>
      </c>
      <c r="G3150" s="28" t="s">
        <v>441</v>
      </c>
      <c r="H3150" s="28" t="s">
        <v>168</v>
      </c>
      <c r="I3150" s="29" t="n">
        <v>15000</v>
      </c>
      <c r="J3150" s="29" t="n">
        <v>7500</v>
      </c>
      <c r="K3150" s="28" t="n">
        <v>14.5</v>
      </c>
      <c r="L3150" s="28" t="n">
        <v>120</v>
      </c>
      <c r="M3150" s="28" t="n">
        <v>3</v>
      </c>
    </row>
    <row r="3151" customFormat="false" ht="15" hidden="false" customHeight="false" outlineLevel="0" collapsed="false">
      <c r="A3151" s="27" t="n">
        <v>45353</v>
      </c>
      <c r="B3151" s="28" t="n">
        <v>2024</v>
      </c>
      <c r="C3151" s="28" t="s">
        <v>198</v>
      </c>
      <c r="D3151" s="28" t="s">
        <v>48</v>
      </c>
      <c r="E3151" s="28" t="s">
        <v>270</v>
      </c>
      <c r="F3151" s="28" t="s">
        <v>147</v>
      </c>
      <c r="G3151" s="28" t="s">
        <v>148</v>
      </c>
      <c r="H3151" s="28" t="s">
        <v>428</v>
      </c>
      <c r="I3151" s="29" t="n">
        <v>50000</v>
      </c>
      <c r="J3151" s="29" t="n">
        <v>25000</v>
      </c>
      <c r="K3151" s="28" t="n">
        <v>15</v>
      </c>
      <c r="L3151" s="28" t="n">
        <v>120</v>
      </c>
      <c r="M3151" s="28" t="n">
        <v>4</v>
      </c>
    </row>
    <row r="3152" customFormat="false" ht="15" hidden="false" customHeight="false" outlineLevel="0" collapsed="false">
      <c r="A3152" s="27" t="n">
        <v>45353</v>
      </c>
      <c r="B3152" s="28" t="n">
        <v>2024</v>
      </c>
      <c r="C3152" s="28" t="s">
        <v>252</v>
      </c>
      <c r="D3152" s="28" t="s">
        <v>42</v>
      </c>
      <c r="E3152" s="28" t="s">
        <v>717</v>
      </c>
      <c r="F3152" s="28" t="s">
        <v>142</v>
      </c>
      <c r="G3152" s="28" t="s">
        <v>143</v>
      </c>
      <c r="H3152" s="28" t="s">
        <v>211</v>
      </c>
      <c r="I3152" s="29" t="n">
        <v>1107500</v>
      </c>
      <c r="J3152" s="29" t="n">
        <v>830625</v>
      </c>
      <c r="K3152" s="28" t="n">
        <v>11</v>
      </c>
      <c r="L3152" s="28" t="n">
        <v>120</v>
      </c>
      <c r="M3152" s="28" t="n">
        <v>62</v>
      </c>
    </row>
    <row r="3153" customFormat="false" ht="15" hidden="false" customHeight="false" outlineLevel="0" collapsed="false">
      <c r="A3153" s="27" t="n">
        <v>45353</v>
      </c>
      <c r="B3153" s="28" t="n">
        <v>2024</v>
      </c>
      <c r="C3153" s="28" t="s">
        <v>252</v>
      </c>
      <c r="D3153" s="28" t="s">
        <v>42</v>
      </c>
      <c r="E3153" s="28" t="s">
        <v>717</v>
      </c>
      <c r="F3153" s="28" t="s">
        <v>147</v>
      </c>
      <c r="G3153" s="28" t="s">
        <v>143</v>
      </c>
      <c r="H3153" s="28" t="s">
        <v>211</v>
      </c>
      <c r="I3153" s="29" t="n">
        <v>25000</v>
      </c>
      <c r="J3153" s="29" t="n">
        <v>12500</v>
      </c>
      <c r="K3153" s="28" t="n">
        <v>11</v>
      </c>
      <c r="L3153" s="28" t="n">
        <v>120</v>
      </c>
      <c r="M3153" s="28" t="n">
        <v>62</v>
      </c>
    </row>
    <row r="3154" customFormat="false" ht="15" hidden="false" customHeight="false" outlineLevel="0" collapsed="false">
      <c r="A3154" s="27" t="n">
        <v>45353</v>
      </c>
      <c r="B3154" s="28" t="n">
        <v>2024</v>
      </c>
      <c r="C3154" s="28" t="s">
        <v>145</v>
      </c>
      <c r="D3154" s="28" t="s">
        <v>42</v>
      </c>
      <c r="E3154" s="28" t="s">
        <v>717</v>
      </c>
      <c r="F3154" s="28" t="s">
        <v>142</v>
      </c>
      <c r="G3154" s="28" t="s">
        <v>143</v>
      </c>
      <c r="H3154" s="28" t="s">
        <v>438</v>
      </c>
      <c r="I3154" s="29" t="n">
        <v>445000</v>
      </c>
      <c r="J3154" s="29" t="n">
        <v>333750</v>
      </c>
      <c r="K3154" s="28" t="n">
        <v>10.5</v>
      </c>
      <c r="L3154" s="28" t="n">
        <v>120</v>
      </c>
      <c r="M3154" s="28" t="n">
        <v>45</v>
      </c>
    </row>
    <row r="3155" customFormat="false" ht="15" hidden="false" customHeight="false" outlineLevel="0" collapsed="false">
      <c r="A3155" s="27" t="n">
        <v>45354</v>
      </c>
      <c r="B3155" s="28" t="n">
        <v>2024</v>
      </c>
      <c r="C3155" s="28" t="s">
        <v>188</v>
      </c>
      <c r="D3155" s="28" t="s">
        <v>43</v>
      </c>
      <c r="E3155" s="28" t="s">
        <v>916</v>
      </c>
      <c r="F3155" s="28" t="s">
        <v>147</v>
      </c>
      <c r="G3155" s="28" t="s">
        <v>143</v>
      </c>
      <c r="H3155" s="28" t="s">
        <v>469</v>
      </c>
      <c r="I3155" s="29" t="n">
        <v>220000</v>
      </c>
      <c r="J3155" s="29" t="n">
        <v>110000</v>
      </c>
      <c r="K3155" s="28" t="n">
        <v>9.5</v>
      </c>
      <c r="L3155" s="28" t="n">
        <v>120</v>
      </c>
      <c r="M3155" s="28" t="n">
        <v>12</v>
      </c>
    </row>
    <row r="3156" customFormat="false" ht="15" hidden="false" customHeight="false" outlineLevel="0" collapsed="false">
      <c r="A3156" s="27" t="n">
        <v>45355</v>
      </c>
      <c r="B3156" s="28" t="n">
        <v>2024</v>
      </c>
      <c r="C3156" s="28" t="s">
        <v>418</v>
      </c>
      <c r="D3156" s="28" t="s">
        <v>44</v>
      </c>
      <c r="E3156" s="28" t="s">
        <v>923</v>
      </c>
      <c r="F3156" s="28" t="s">
        <v>142</v>
      </c>
      <c r="G3156" s="28" t="s">
        <v>148</v>
      </c>
      <c r="H3156" s="28" t="s">
        <v>314</v>
      </c>
      <c r="I3156" s="29" t="n">
        <v>350000</v>
      </c>
      <c r="J3156" s="29" t="n">
        <v>175000</v>
      </c>
      <c r="K3156" s="28" t="n">
        <v>10.75</v>
      </c>
      <c r="L3156" s="28" t="n">
        <v>120</v>
      </c>
      <c r="M3156" s="28" t="n">
        <v>107</v>
      </c>
    </row>
    <row r="3157" customFormat="false" ht="15" hidden="false" customHeight="false" outlineLevel="0" collapsed="false">
      <c r="A3157" s="27" t="n">
        <v>45356</v>
      </c>
      <c r="B3157" s="28" t="n">
        <v>2024</v>
      </c>
      <c r="C3157" s="28" t="s">
        <v>203</v>
      </c>
      <c r="D3157" s="28" t="s">
        <v>45</v>
      </c>
      <c r="E3157" s="28" t="s">
        <v>1043</v>
      </c>
      <c r="F3157" s="28" t="s">
        <v>142</v>
      </c>
      <c r="G3157" s="28" t="s">
        <v>148</v>
      </c>
      <c r="H3157" s="28" t="s">
        <v>275</v>
      </c>
      <c r="I3157" s="29" t="n">
        <v>190000</v>
      </c>
      <c r="J3157" s="29" t="n">
        <v>142500</v>
      </c>
      <c r="K3157" s="28" t="n">
        <v>11.25</v>
      </c>
      <c r="L3157" s="28" t="n">
        <v>120</v>
      </c>
      <c r="M3157" s="28" t="n">
        <v>7</v>
      </c>
    </row>
    <row r="3158" customFormat="false" ht="15" hidden="false" customHeight="false" outlineLevel="0" collapsed="false">
      <c r="A3158" s="27" t="n">
        <v>45356</v>
      </c>
      <c r="B3158" s="28" t="n">
        <v>2024</v>
      </c>
      <c r="C3158" s="28" t="s">
        <v>235</v>
      </c>
      <c r="D3158" s="28" t="s">
        <v>47</v>
      </c>
      <c r="E3158" s="28" t="s">
        <v>760</v>
      </c>
      <c r="F3158" s="28" t="s">
        <v>142</v>
      </c>
      <c r="G3158" s="28" t="s">
        <v>143</v>
      </c>
      <c r="H3158" s="28" t="s">
        <v>191</v>
      </c>
      <c r="I3158" s="29" t="n">
        <v>944000</v>
      </c>
      <c r="J3158" s="29" t="n">
        <v>708000</v>
      </c>
      <c r="K3158" s="28" t="n">
        <v>8.17</v>
      </c>
      <c r="L3158" s="28" t="n">
        <v>120</v>
      </c>
      <c r="M3158" s="28" t="n">
        <v>8</v>
      </c>
    </row>
    <row r="3159" customFormat="false" ht="15" hidden="false" customHeight="false" outlineLevel="0" collapsed="false">
      <c r="A3159" s="27" t="n">
        <v>45356</v>
      </c>
      <c r="B3159" s="28" t="n">
        <v>2024</v>
      </c>
      <c r="C3159" s="28" t="s">
        <v>203</v>
      </c>
      <c r="D3159" s="28" t="s">
        <v>42</v>
      </c>
      <c r="E3159" s="28" t="s">
        <v>717</v>
      </c>
      <c r="F3159" s="28" t="s">
        <v>142</v>
      </c>
      <c r="G3159" s="28" t="s">
        <v>143</v>
      </c>
      <c r="H3159" s="28" t="s">
        <v>211</v>
      </c>
      <c r="I3159" s="29" t="n">
        <v>667000</v>
      </c>
      <c r="J3159" s="29" t="n">
        <v>500250</v>
      </c>
      <c r="K3159" s="28" t="n">
        <v>10.75</v>
      </c>
      <c r="L3159" s="28" t="n">
        <v>120</v>
      </c>
      <c r="M3159" s="28" t="n">
        <v>4</v>
      </c>
    </row>
    <row r="3160" customFormat="false" ht="15" hidden="false" customHeight="false" outlineLevel="0" collapsed="false">
      <c r="A3160" s="27" t="n">
        <v>45356</v>
      </c>
      <c r="B3160" s="28" t="n">
        <v>2024</v>
      </c>
      <c r="C3160" s="28" t="s">
        <v>203</v>
      </c>
      <c r="D3160" s="28" t="s">
        <v>42</v>
      </c>
      <c r="E3160" s="28" t="s">
        <v>717</v>
      </c>
      <c r="F3160" s="28" t="s">
        <v>147</v>
      </c>
      <c r="G3160" s="28" t="s">
        <v>143</v>
      </c>
      <c r="H3160" s="28" t="s">
        <v>211</v>
      </c>
      <c r="I3160" s="29" t="n">
        <v>50000</v>
      </c>
      <c r="J3160" s="29" t="n">
        <v>25000</v>
      </c>
      <c r="K3160" s="28" t="n">
        <v>10.75</v>
      </c>
      <c r="L3160" s="28" t="n">
        <v>120</v>
      </c>
      <c r="M3160" s="28" t="n">
        <v>4</v>
      </c>
    </row>
    <row r="3161" customFormat="false" ht="15" hidden="false" customHeight="false" outlineLevel="0" collapsed="false">
      <c r="A3161" s="27" t="n">
        <v>45356</v>
      </c>
      <c r="B3161" s="28" t="n">
        <v>2024</v>
      </c>
      <c r="C3161" s="28" t="s">
        <v>235</v>
      </c>
      <c r="D3161" s="28" t="s">
        <v>46</v>
      </c>
      <c r="E3161" s="28" t="s">
        <v>904</v>
      </c>
      <c r="F3161" s="28" t="s">
        <v>147</v>
      </c>
      <c r="G3161" s="28" t="s">
        <v>152</v>
      </c>
      <c r="H3161" s="28" t="s">
        <v>494</v>
      </c>
      <c r="I3161" s="29" t="n">
        <v>125000</v>
      </c>
      <c r="J3161" s="29" t="n">
        <v>62500</v>
      </c>
      <c r="K3161" s="28" t="n">
        <v>11.25</v>
      </c>
      <c r="L3161" s="28" t="n">
        <v>84</v>
      </c>
      <c r="M3161" s="28" t="n">
        <v>0</v>
      </c>
    </row>
    <row r="3162" customFormat="false" ht="15" hidden="false" customHeight="false" outlineLevel="0" collapsed="false">
      <c r="A3162" s="27" t="n">
        <v>45356</v>
      </c>
      <c r="B3162" s="28" t="n">
        <v>2024</v>
      </c>
      <c r="C3162" s="28" t="s">
        <v>418</v>
      </c>
      <c r="D3162" s="28" t="s">
        <v>49</v>
      </c>
      <c r="E3162" s="28" t="s">
        <v>1044</v>
      </c>
      <c r="F3162" s="28" t="s">
        <v>147</v>
      </c>
      <c r="G3162" s="28" t="s">
        <v>148</v>
      </c>
      <c r="H3162" s="28" t="s">
        <v>469</v>
      </c>
      <c r="I3162" s="29" t="n">
        <v>100000</v>
      </c>
      <c r="J3162" s="29" t="n">
        <v>50000</v>
      </c>
      <c r="K3162" s="28" t="n">
        <v>10.5</v>
      </c>
      <c r="L3162" s="28" t="n">
        <v>120</v>
      </c>
      <c r="M3162" s="28" t="n">
        <v>0</v>
      </c>
    </row>
    <row r="3163" customFormat="false" ht="15" hidden="false" customHeight="false" outlineLevel="0" collapsed="false">
      <c r="A3163" s="27" t="n">
        <v>45356</v>
      </c>
      <c r="B3163" s="28" t="n">
        <v>2024</v>
      </c>
      <c r="C3163" s="28" t="s">
        <v>172</v>
      </c>
      <c r="D3163" s="28" t="s">
        <v>44</v>
      </c>
      <c r="E3163" s="28" t="s">
        <v>730</v>
      </c>
      <c r="F3163" s="28" t="s">
        <v>142</v>
      </c>
      <c r="G3163" s="28" t="s">
        <v>148</v>
      </c>
      <c r="H3163" s="28" t="s">
        <v>171</v>
      </c>
      <c r="I3163" s="29" t="n">
        <v>122000</v>
      </c>
      <c r="J3163" s="29" t="n">
        <v>103700</v>
      </c>
      <c r="K3163" s="28" t="n">
        <v>13.25</v>
      </c>
      <c r="L3163" s="28" t="n">
        <v>120</v>
      </c>
      <c r="M3163" s="28" t="n">
        <v>9</v>
      </c>
    </row>
    <row r="3164" customFormat="false" ht="15" hidden="false" customHeight="false" outlineLevel="0" collapsed="false">
      <c r="A3164" s="27" t="n">
        <v>45356</v>
      </c>
      <c r="B3164" s="28" t="n">
        <v>2024</v>
      </c>
      <c r="C3164" s="28" t="s">
        <v>169</v>
      </c>
      <c r="D3164" s="28" t="s">
        <v>48</v>
      </c>
      <c r="E3164" s="28" t="s">
        <v>346</v>
      </c>
      <c r="F3164" s="28" t="s">
        <v>147</v>
      </c>
      <c r="G3164" s="28" t="s">
        <v>148</v>
      </c>
      <c r="H3164" s="28" t="s">
        <v>953</v>
      </c>
      <c r="I3164" s="29" t="n">
        <v>70000</v>
      </c>
      <c r="J3164" s="29" t="n">
        <v>35000</v>
      </c>
      <c r="K3164" s="28" t="n">
        <v>14.5</v>
      </c>
      <c r="L3164" s="28" t="n">
        <v>72</v>
      </c>
      <c r="M3164" s="28" t="n">
        <v>6</v>
      </c>
    </row>
    <row r="3165" customFormat="false" ht="15" hidden="false" customHeight="false" outlineLevel="0" collapsed="false">
      <c r="A3165" s="27" t="n">
        <v>45356</v>
      </c>
      <c r="B3165" s="28" t="n">
        <v>2024</v>
      </c>
      <c r="C3165" s="28" t="s">
        <v>418</v>
      </c>
      <c r="D3165" s="28" t="s">
        <v>49</v>
      </c>
      <c r="E3165" s="28" t="s">
        <v>1044</v>
      </c>
      <c r="F3165" s="28" t="s">
        <v>147</v>
      </c>
      <c r="G3165" s="28" t="s">
        <v>148</v>
      </c>
      <c r="H3165" s="28" t="s">
        <v>469</v>
      </c>
      <c r="I3165" s="29" t="n">
        <v>260000</v>
      </c>
      <c r="J3165" s="29" t="n">
        <v>130000</v>
      </c>
      <c r="K3165" s="28" t="n">
        <v>8.5</v>
      </c>
      <c r="L3165" s="28" t="n">
        <v>84</v>
      </c>
      <c r="M3165" s="28" t="n">
        <v>2</v>
      </c>
    </row>
    <row r="3166" customFormat="false" ht="15" hidden="false" customHeight="false" outlineLevel="0" collapsed="false">
      <c r="A3166" s="27" t="n">
        <v>45356</v>
      </c>
      <c r="B3166" s="28" t="n">
        <v>2024</v>
      </c>
      <c r="C3166" s="28" t="s">
        <v>324</v>
      </c>
      <c r="D3166" s="28" t="s">
        <v>46</v>
      </c>
      <c r="E3166" s="28" t="s">
        <v>927</v>
      </c>
      <c r="F3166" s="28" t="s">
        <v>147</v>
      </c>
      <c r="G3166" s="28" t="s">
        <v>441</v>
      </c>
      <c r="H3166" s="28" t="s">
        <v>469</v>
      </c>
      <c r="I3166" s="29" t="n">
        <v>19000</v>
      </c>
      <c r="J3166" s="29" t="n">
        <v>9500</v>
      </c>
      <c r="K3166" s="28" t="n">
        <v>13.55</v>
      </c>
      <c r="L3166" s="28" t="n">
        <v>60</v>
      </c>
      <c r="M3166" s="28" t="n">
        <v>0</v>
      </c>
    </row>
    <row r="3167" customFormat="false" ht="15" hidden="false" customHeight="false" outlineLevel="0" collapsed="false">
      <c r="A3167" s="27" t="n">
        <v>45357</v>
      </c>
      <c r="B3167" s="28" t="n">
        <v>2024</v>
      </c>
      <c r="C3167" s="28" t="s">
        <v>169</v>
      </c>
      <c r="D3167" s="28" t="s">
        <v>48</v>
      </c>
      <c r="E3167" s="28" t="s">
        <v>765</v>
      </c>
      <c r="F3167" s="28" t="s">
        <v>147</v>
      </c>
      <c r="G3167" s="28" t="s">
        <v>148</v>
      </c>
      <c r="H3167" s="28" t="s">
        <v>162</v>
      </c>
      <c r="I3167" s="29" t="n">
        <v>300000</v>
      </c>
      <c r="J3167" s="29" t="n">
        <v>150000</v>
      </c>
      <c r="K3167" s="28" t="n">
        <v>9.29</v>
      </c>
      <c r="L3167" s="28" t="n">
        <v>120</v>
      </c>
      <c r="M3167" s="28" t="n">
        <v>28</v>
      </c>
    </row>
    <row r="3168" customFormat="false" ht="15" hidden="false" customHeight="false" outlineLevel="0" collapsed="false">
      <c r="A3168" s="27" t="n">
        <v>45357</v>
      </c>
      <c r="B3168" s="28" t="n">
        <v>2024</v>
      </c>
      <c r="C3168" s="28" t="s">
        <v>206</v>
      </c>
      <c r="D3168" s="28" t="s">
        <v>49</v>
      </c>
      <c r="E3168" s="28" t="s">
        <v>1016</v>
      </c>
      <c r="F3168" s="28" t="s">
        <v>142</v>
      </c>
      <c r="G3168" s="28" t="s">
        <v>441</v>
      </c>
      <c r="H3168" s="28" t="s">
        <v>419</v>
      </c>
      <c r="I3168" s="29" t="n">
        <v>400000</v>
      </c>
      <c r="J3168" s="29" t="n">
        <v>300000</v>
      </c>
      <c r="K3168" s="28" t="n">
        <v>11.25</v>
      </c>
      <c r="L3168" s="28" t="n">
        <v>120</v>
      </c>
      <c r="M3168" s="28" t="n">
        <v>4</v>
      </c>
    </row>
    <row r="3169" customFormat="false" ht="15" hidden="false" customHeight="false" outlineLevel="0" collapsed="false">
      <c r="A3169" s="27" t="n">
        <v>45357</v>
      </c>
      <c r="B3169" s="28" t="n">
        <v>2024</v>
      </c>
      <c r="C3169" s="28" t="s">
        <v>160</v>
      </c>
      <c r="D3169" s="28" t="s">
        <v>43</v>
      </c>
      <c r="E3169" s="28" t="s">
        <v>757</v>
      </c>
      <c r="F3169" s="28" t="s">
        <v>142</v>
      </c>
      <c r="G3169" s="28" t="s">
        <v>148</v>
      </c>
      <c r="H3169" s="28" t="s">
        <v>171</v>
      </c>
      <c r="I3169" s="29" t="n">
        <v>150000</v>
      </c>
      <c r="J3169" s="29" t="n">
        <v>127500</v>
      </c>
      <c r="K3169" s="28" t="n">
        <v>13.25</v>
      </c>
      <c r="L3169" s="28" t="n">
        <v>120</v>
      </c>
      <c r="M3169" s="28" t="n">
        <v>22</v>
      </c>
    </row>
    <row r="3170" customFormat="false" ht="15" hidden="false" customHeight="false" outlineLevel="0" collapsed="false">
      <c r="A3170" s="27" t="n">
        <v>45358</v>
      </c>
      <c r="B3170" s="28" t="n">
        <v>2024</v>
      </c>
      <c r="C3170" s="28" t="s">
        <v>145</v>
      </c>
      <c r="D3170" s="28" t="s">
        <v>50</v>
      </c>
      <c r="E3170" s="28" t="s">
        <v>193</v>
      </c>
      <c r="F3170" s="28" t="s">
        <v>147</v>
      </c>
      <c r="G3170" s="28" t="s">
        <v>148</v>
      </c>
      <c r="H3170" s="28" t="s">
        <v>159</v>
      </c>
      <c r="I3170" s="29" t="n">
        <v>30000</v>
      </c>
      <c r="J3170" s="29" t="n">
        <v>15000</v>
      </c>
      <c r="K3170" s="28" t="n">
        <v>15</v>
      </c>
      <c r="L3170" s="28" t="n">
        <v>87</v>
      </c>
      <c r="M3170" s="28" t="n">
        <v>12</v>
      </c>
    </row>
    <row r="3171" customFormat="false" ht="15" hidden="false" customHeight="false" outlineLevel="0" collapsed="false">
      <c r="A3171" s="27" t="n">
        <v>45358</v>
      </c>
      <c r="B3171" s="28" t="n">
        <v>2024</v>
      </c>
      <c r="C3171" s="28" t="s">
        <v>172</v>
      </c>
      <c r="D3171" s="28" t="s">
        <v>43</v>
      </c>
      <c r="E3171" s="28" t="s">
        <v>1005</v>
      </c>
      <c r="F3171" s="28" t="s">
        <v>142</v>
      </c>
      <c r="G3171" s="28" t="s">
        <v>148</v>
      </c>
      <c r="H3171" s="28" t="s">
        <v>382</v>
      </c>
      <c r="I3171" s="29" t="n">
        <v>321500</v>
      </c>
      <c r="J3171" s="29" t="n">
        <v>241125</v>
      </c>
      <c r="K3171" s="28" t="n">
        <v>11.25</v>
      </c>
      <c r="L3171" s="28" t="n">
        <v>123</v>
      </c>
      <c r="M3171" s="28" t="n">
        <v>8</v>
      </c>
    </row>
    <row r="3172" customFormat="false" ht="15" hidden="false" customHeight="false" outlineLevel="0" collapsed="false">
      <c r="A3172" s="27" t="n">
        <v>45358</v>
      </c>
      <c r="B3172" s="28" t="n">
        <v>2024</v>
      </c>
      <c r="C3172" s="28" t="s">
        <v>172</v>
      </c>
      <c r="D3172" s="28" t="s">
        <v>45</v>
      </c>
      <c r="E3172" s="28" t="s">
        <v>708</v>
      </c>
      <c r="F3172" s="28" t="s">
        <v>142</v>
      </c>
      <c r="G3172" s="28" t="s">
        <v>148</v>
      </c>
      <c r="H3172" s="28" t="s">
        <v>275</v>
      </c>
      <c r="I3172" s="29" t="n">
        <v>203500</v>
      </c>
      <c r="J3172" s="29" t="n">
        <v>152625</v>
      </c>
      <c r="K3172" s="28" t="n">
        <v>11.25</v>
      </c>
      <c r="L3172" s="28" t="n">
        <v>120</v>
      </c>
      <c r="M3172" s="28" t="n">
        <v>10</v>
      </c>
    </row>
    <row r="3173" customFormat="false" ht="15" hidden="false" customHeight="false" outlineLevel="0" collapsed="false">
      <c r="A3173" s="27" t="n">
        <v>45358</v>
      </c>
      <c r="B3173" s="28" t="n">
        <v>2024</v>
      </c>
      <c r="C3173" s="28" t="s">
        <v>172</v>
      </c>
      <c r="D3173" s="28" t="s">
        <v>52</v>
      </c>
      <c r="E3173" s="28" t="s">
        <v>832</v>
      </c>
      <c r="F3173" s="28" t="s">
        <v>147</v>
      </c>
      <c r="G3173" s="28" t="s">
        <v>148</v>
      </c>
      <c r="H3173" s="28" t="s">
        <v>159</v>
      </c>
      <c r="I3173" s="29" t="n">
        <v>25000</v>
      </c>
      <c r="J3173" s="29" t="n">
        <v>12500</v>
      </c>
      <c r="K3173" s="28" t="n">
        <v>6.5</v>
      </c>
      <c r="L3173" s="28" t="n">
        <v>120</v>
      </c>
      <c r="M3173" s="28" t="n">
        <v>0</v>
      </c>
    </row>
    <row r="3174" customFormat="false" ht="15" hidden="false" customHeight="false" outlineLevel="0" collapsed="false">
      <c r="A3174" s="27" t="n">
        <v>45358</v>
      </c>
      <c r="B3174" s="28" t="n">
        <v>2024</v>
      </c>
      <c r="C3174" s="28" t="s">
        <v>235</v>
      </c>
      <c r="D3174" s="28" t="s">
        <v>51</v>
      </c>
      <c r="E3174" s="28" t="s">
        <v>779</v>
      </c>
      <c r="F3174" s="28" t="s">
        <v>147</v>
      </c>
      <c r="G3174" s="28" t="s">
        <v>143</v>
      </c>
      <c r="H3174" s="28" t="s">
        <v>211</v>
      </c>
      <c r="I3174" s="29" t="n">
        <v>40000</v>
      </c>
      <c r="J3174" s="29" t="n">
        <v>20000</v>
      </c>
      <c r="K3174" s="28" t="n">
        <v>11.25</v>
      </c>
      <c r="L3174" s="28" t="n">
        <v>120</v>
      </c>
      <c r="M3174" s="28" t="n">
        <v>6</v>
      </c>
    </row>
    <row r="3175" customFormat="false" ht="15" hidden="false" customHeight="false" outlineLevel="0" collapsed="false">
      <c r="A3175" s="27" t="n">
        <v>45358</v>
      </c>
      <c r="B3175" s="28" t="n">
        <v>2024</v>
      </c>
      <c r="C3175" s="28" t="s">
        <v>235</v>
      </c>
      <c r="D3175" s="28" t="s">
        <v>51</v>
      </c>
      <c r="E3175" s="28" t="s">
        <v>779</v>
      </c>
      <c r="F3175" s="28" t="s">
        <v>142</v>
      </c>
      <c r="G3175" s="28" t="s">
        <v>143</v>
      </c>
      <c r="H3175" s="28" t="s">
        <v>211</v>
      </c>
      <c r="I3175" s="29" t="n">
        <v>317000</v>
      </c>
      <c r="J3175" s="29" t="n">
        <v>237750</v>
      </c>
      <c r="K3175" s="28" t="n">
        <v>11.25</v>
      </c>
      <c r="L3175" s="28" t="n">
        <v>120</v>
      </c>
      <c r="M3175" s="28" t="n">
        <v>6</v>
      </c>
    </row>
    <row r="3176" customFormat="false" ht="15" hidden="false" customHeight="false" outlineLevel="0" collapsed="false">
      <c r="A3176" s="27" t="n">
        <v>45359</v>
      </c>
      <c r="B3176" s="28" t="n">
        <v>2024</v>
      </c>
      <c r="C3176" s="28" t="s">
        <v>163</v>
      </c>
      <c r="D3176" s="28" t="s">
        <v>51</v>
      </c>
      <c r="E3176" s="28" t="s">
        <v>779</v>
      </c>
      <c r="F3176" s="28" t="s">
        <v>142</v>
      </c>
      <c r="G3176" s="28" t="s">
        <v>441</v>
      </c>
      <c r="H3176" s="28" t="s">
        <v>382</v>
      </c>
      <c r="I3176" s="29" t="n">
        <v>484400</v>
      </c>
      <c r="J3176" s="29" t="n">
        <v>363300</v>
      </c>
      <c r="K3176" s="28" t="n">
        <v>11.25</v>
      </c>
      <c r="L3176" s="28" t="n">
        <v>124</v>
      </c>
      <c r="M3176" s="28" t="n">
        <v>7</v>
      </c>
    </row>
    <row r="3177" customFormat="false" ht="15" hidden="false" customHeight="false" outlineLevel="0" collapsed="false">
      <c r="A3177" s="27" t="n">
        <v>45359</v>
      </c>
      <c r="B3177" s="28" t="n">
        <v>2024</v>
      </c>
      <c r="C3177" s="28" t="s">
        <v>423</v>
      </c>
      <c r="D3177" s="28" t="s">
        <v>44</v>
      </c>
      <c r="E3177" s="28" t="s">
        <v>730</v>
      </c>
      <c r="F3177" s="28" t="s">
        <v>142</v>
      </c>
      <c r="G3177" s="28" t="s">
        <v>148</v>
      </c>
      <c r="H3177" s="28" t="s">
        <v>573</v>
      </c>
      <c r="I3177" s="29" t="n">
        <v>614900</v>
      </c>
      <c r="J3177" s="29" t="n">
        <v>461175</v>
      </c>
      <c r="K3177" s="28" t="n">
        <v>9.25</v>
      </c>
      <c r="L3177" s="28" t="n">
        <v>300</v>
      </c>
      <c r="M3177" s="28" t="n">
        <v>19</v>
      </c>
    </row>
    <row r="3178" customFormat="false" ht="15" hidden="false" customHeight="false" outlineLevel="0" collapsed="false">
      <c r="A3178" s="27" t="n">
        <v>45359</v>
      </c>
      <c r="B3178" s="28" t="n">
        <v>2024</v>
      </c>
      <c r="C3178" s="28" t="s">
        <v>169</v>
      </c>
      <c r="D3178" s="28" t="s">
        <v>43</v>
      </c>
      <c r="E3178" s="28" t="s">
        <v>1045</v>
      </c>
      <c r="F3178" s="28" t="s">
        <v>142</v>
      </c>
      <c r="G3178" s="28" t="s">
        <v>143</v>
      </c>
      <c r="H3178" s="28" t="s">
        <v>159</v>
      </c>
      <c r="I3178" s="29" t="n">
        <v>200000</v>
      </c>
      <c r="J3178" s="29" t="n">
        <v>150000</v>
      </c>
      <c r="K3178" s="28" t="n">
        <v>10.5</v>
      </c>
      <c r="L3178" s="28" t="n">
        <v>120</v>
      </c>
      <c r="M3178" s="28" t="n">
        <v>14</v>
      </c>
    </row>
    <row r="3179" customFormat="false" ht="15" hidden="false" customHeight="false" outlineLevel="0" collapsed="false">
      <c r="A3179" s="27" t="n">
        <v>45359</v>
      </c>
      <c r="B3179" s="28" t="n">
        <v>2024</v>
      </c>
      <c r="C3179" s="28" t="s">
        <v>163</v>
      </c>
      <c r="D3179" s="28" t="s">
        <v>45</v>
      </c>
      <c r="E3179" s="28" t="s">
        <v>708</v>
      </c>
      <c r="F3179" s="28" t="s">
        <v>147</v>
      </c>
      <c r="G3179" s="28" t="s">
        <v>148</v>
      </c>
      <c r="H3179" s="28" t="s">
        <v>159</v>
      </c>
      <c r="I3179" s="29" t="n">
        <v>100000</v>
      </c>
      <c r="J3179" s="29" t="n">
        <v>50000</v>
      </c>
      <c r="K3179" s="28" t="n">
        <v>13</v>
      </c>
      <c r="L3179" s="28" t="n">
        <v>120</v>
      </c>
      <c r="M3179" s="28" t="n">
        <v>10</v>
      </c>
    </row>
    <row r="3180" customFormat="false" ht="15" hidden="false" customHeight="false" outlineLevel="0" collapsed="false">
      <c r="A3180" s="27" t="n">
        <v>45359</v>
      </c>
      <c r="B3180" s="28" t="n">
        <v>2024</v>
      </c>
      <c r="C3180" s="28" t="s">
        <v>500</v>
      </c>
      <c r="D3180" s="28" t="s">
        <v>51</v>
      </c>
      <c r="E3180" s="28" t="s">
        <v>1046</v>
      </c>
      <c r="F3180" s="28" t="s">
        <v>142</v>
      </c>
      <c r="G3180" s="28" t="s">
        <v>143</v>
      </c>
      <c r="H3180" s="28" t="s">
        <v>227</v>
      </c>
      <c r="I3180" s="29" t="n">
        <v>361000</v>
      </c>
      <c r="J3180" s="29" t="n">
        <v>270750</v>
      </c>
      <c r="K3180" s="28" t="n">
        <v>11.25</v>
      </c>
      <c r="L3180" s="28" t="n">
        <v>304</v>
      </c>
      <c r="M3180" s="28" t="n">
        <v>6</v>
      </c>
    </row>
    <row r="3181" customFormat="false" ht="15" hidden="false" customHeight="false" outlineLevel="0" collapsed="false">
      <c r="A3181" s="27" t="n">
        <v>45359</v>
      </c>
      <c r="B3181" s="28" t="n">
        <v>2024</v>
      </c>
      <c r="C3181" s="28" t="s">
        <v>881</v>
      </c>
      <c r="D3181" s="28" t="s">
        <v>52</v>
      </c>
      <c r="E3181" s="28" t="s">
        <v>720</v>
      </c>
      <c r="F3181" s="28" t="s">
        <v>147</v>
      </c>
      <c r="G3181" s="28" t="s">
        <v>148</v>
      </c>
      <c r="H3181" s="28" t="s">
        <v>1047</v>
      </c>
      <c r="I3181" s="29" t="n">
        <v>280600</v>
      </c>
      <c r="J3181" s="29" t="n">
        <v>140300</v>
      </c>
      <c r="K3181" s="28" t="n">
        <v>9.5</v>
      </c>
      <c r="L3181" s="28" t="n">
        <v>60</v>
      </c>
      <c r="M3181" s="28" t="n">
        <v>6</v>
      </c>
    </row>
    <row r="3182" customFormat="false" ht="15" hidden="false" customHeight="false" outlineLevel="0" collapsed="false">
      <c r="A3182" s="27" t="n">
        <v>45359</v>
      </c>
      <c r="B3182" s="28" t="n">
        <v>2024</v>
      </c>
      <c r="C3182" s="28" t="s">
        <v>169</v>
      </c>
      <c r="D3182" s="28" t="s">
        <v>45</v>
      </c>
      <c r="E3182" s="28" t="s">
        <v>740</v>
      </c>
      <c r="F3182" s="28" t="s">
        <v>142</v>
      </c>
      <c r="G3182" s="28" t="s">
        <v>148</v>
      </c>
      <c r="H3182" s="28" t="s">
        <v>950</v>
      </c>
      <c r="I3182" s="29" t="n">
        <v>150000</v>
      </c>
      <c r="J3182" s="29" t="n">
        <v>127500</v>
      </c>
      <c r="K3182" s="28" t="n">
        <v>12.25</v>
      </c>
      <c r="L3182" s="28" t="n">
        <v>120</v>
      </c>
      <c r="M3182" s="28" t="n">
        <v>0</v>
      </c>
    </row>
    <row r="3183" customFormat="false" ht="15" hidden="false" customHeight="false" outlineLevel="0" collapsed="false">
      <c r="A3183" s="27" t="n">
        <v>45359</v>
      </c>
      <c r="B3183" s="28" t="n">
        <v>2024</v>
      </c>
      <c r="C3183" s="28" t="s">
        <v>163</v>
      </c>
      <c r="D3183" s="28" t="s">
        <v>45</v>
      </c>
      <c r="E3183" s="28" t="s">
        <v>708</v>
      </c>
      <c r="F3183" s="28" t="s">
        <v>147</v>
      </c>
      <c r="G3183" s="28" t="s">
        <v>148</v>
      </c>
      <c r="H3183" s="28" t="s">
        <v>159</v>
      </c>
      <c r="I3183" s="29" t="n">
        <v>136000</v>
      </c>
      <c r="J3183" s="29" t="n">
        <v>68000</v>
      </c>
      <c r="K3183" s="28" t="n">
        <v>11</v>
      </c>
      <c r="L3183" s="28" t="n">
        <v>60</v>
      </c>
      <c r="M3183" s="28" t="n">
        <v>10</v>
      </c>
    </row>
    <row r="3184" customFormat="false" ht="15" hidden="false" customHeight="false" outlineLevel="0" collapsed="false">
      <c r="A3184" s="27" t="n">
        <v>45359</v>
      </c>
      <c r="B3184" s="28" t="n">
        <v>2024</v>
      </c>
      <c r="C3184" s="28" t="s">
        <v>558</v>
      </c>
      <c r="D3184" s="28" t="s">
        <v>43</v>
      </c>
      <c r="E3184" s="28" t="s">
        <v>1045</v>
      </c>
      <c r="F3184" s="28" t="s">
        <v>142</v>
      </c>
      <c r="G3184" s="28" t="s">
        <v>148</v>
      </c>
      <c r="H3184" s="28" t="s">
        <v>771</v>
      </c>
      <c r="I3184" s="29" t="n">
        <v>116900</v>
      </c>
      <c r="J3184" s="29" t="n">
        <v>99365</v>
      </c>
      <c r="K3184" s="28" t="n">
        <v>11.25</v>
      </c>
      <c r="L3184" s="28" t="n">
        <v>120</v>
      </c>
      <c r="M3184" s="28" t="n">
        <v>0</v>
      </c>
    </row>
    <row r="3185" customFormat="false" ht="15" hidden="false" customHeight="false" outlineLevel="0" collapsed="false">
      <c r="A3185" s="27" t="n">
        <v>45361</v>
      </c>
      <c r="B3185" s="28" t="n">
        <v>2024</v>
      </c>
      <c r="C3185" s="28" t="s">
        <v>169</v>
      </c>
      <c r="D3185" s="28" t="s">
        <v>48</v>
      </c>
      <c r="E3185" s="28" t="s">
        <v>270</v>
      </c>
      <c r="F3185" s="28" t="s">
        <v>142</v>
      </c>
      <c r="G3185" s="28" t="s">
        <v>148</v>
      </c>
      <c r="H3185" s="28" t="s">
        <v>771</v>
      </c>
      <c r="I3185" s="29" t="n">
        <v>150000</v>
      </c>
      <c r="J3185" s="29" t="n">
        <v>127500</v>
      </c>
      <c r="K3185" s="28" t="n">
        <v>11.25</v>
      </c>
      <c r="L3185" s="28" t="n">
        <v>120</v>
      </c>
      <c r="M3185" s="28" t="n">
        <v>0</v>
      </c>
    </row>
    <row r="3186" customFormat="false" ht="15" hidden="false" customHeight="false" outlineLevel="0" collapsed="false">
      <c r="A3186" s="27" t="n">
        <v>45363</v>
      </c>
      <c r="B3186" s="28" t="n">
        <v>2024</v>
      </c>
      <c r="C3186" s="28" t="s">
        <v>515</v>
      </c>
      <c r="D3186" s="28" t="s">
        <v>52</v>
      </c>
      <c r="E3186" s="28" t="s">
        <v>715</v>
      </c>
      <c r="F3186" s="28" t="s">
        <v>147</v>
      </c>
      <c r="G3186" s="28" t="s">
        <v>441</v>
      </c>
      <c r="H3186" s="28" t="s">
        <v>168</v>
      </c>
      <c r="I3186" s="29" t="n">
        <v>15000</v>
      </c>
      <c r="J3186" s="29" t="n">
        <v>7500</v>
      </c>
      <c r="K3186" s="28" t="n">
        <v>14.5</v>
      </c>
      <c r="L3186" s="28" t="n">
        <v>120</v>
      </c>
      <c r="M3186" s="28" t="n">
        <v>2</v>
      </c>
    </row>
    <row r="3187" customFormat="false" ht="15" hidden="false" customHeight="false" outlineLevel="0" collapsed="false">
      <c r="A3187" s="27" t="n">
        <v>45363</v>
      </c>
      <c r="B3187" s="28" t="n">
        <v>2024</v>
      </c>
      <c r="C3187" s="28" t="s">
        <v>353</v>
      </c>
      <c r="D3187" s="28" t="s">
        <v>42</v>
      </c>
      <c r="E3187" s="28" t="s">
        <v>705</v>
      </c>
      <c r="F3187" s="28" t="s">
        <v>142</v>
      </c>
      <c r="G3187" s="28" t="s">
        <v>152</v>
      </c>
      <c r="H3187" s="28" t="s">
        <v>326</v>
      </c>
      <c r="I3187" s="29" t="n">
        <v>5000000</v>
      </c>
      <c r="J3187" s="29" t="n">
        <v>3750000</v>
      </c>
      <c r="K3187" s="28" t="n">
        <v>10</v>
      </c>
      <c r="L3187" s="28" t="n">
        <v>300</v>
      </c>
      <c r="M3187" s="28" t="n">
        <v>25</v>
      </c>
    </row>
    <row r="3188" customFormat="false" ht="15" hidden="false" customHeight="false" outlineLevel="0" collapsed="false">
      <c r="A3188" s="27" t="n">
        <v>45363</v>
      </c>
      <c r="B3188" s="28" t="n">
        <v>2024</v>
      </c>
      <c r="C3188" s="28" t="s">
        <v>257</v>
      </c>
      <c r="D3188" s="28" t="s">
        <v>49</v>
      </c>
      <c r="E3188" s="28" t="s">
        <v>733</v>
      </c>
      <c r="F3188" s="28" t="s">
        <v>147</v>
      </c>
      <c r="G3188" s="28" t="s">
        <v>148</v>
      </c>
      <c r="H3188" s="28" t="s">
        <v>314</v>
      </c>
      <c r="I3188" s="29" t="n">
        <v>500000</v>
      </c>
      <c r="J3188" s="29" t="n">
        <v>250000</v>
      </c>
      <c r="K3188" s="28" t="n">
        <v>10.5</v>
      </c>
      <c r="L3188" s="28" t="n">
        <v>120</v>
      </c>
      <c r="M3188" s="28" t="n">
        <v>18</v>
      </c>
    </row>
    <row r="3189" customFormat="false" ht="15" hidden="false" customHeight="false" outlineLevel="0" collapsed="false">
      <c r="A3189" s="27" t="n">
        <v>45363</v>
      </c>
      <c r="B3189" s="28" t="n">
        <v>2024</v>
      </c>
      <c r="C3189" s="28" t="s">
        <v>172</v>
      </c>
      <c r="D3189" s="28" t="s">
        <v>53</v>
      </c>
      <c r="E3189" s="28" t="s">
        <v>718</v>
      </c>
      <c r="F3189" s="28" t="s">
        <v>142</v>
      </c>
      <c r="G3189" s="28" t="s">
        <v>148</v>
      </c>
      <c r="H3189" s="28" t="s">
        <v>269</v>
      </c>
      <c r="I3189" s="29" t="n">
        <v>139000</v>
      </c>
      <c r="J3189" s="29" t="n">
        <v>118150</v>
      </c>
      <c r="K3189" s="28" t="n">
        <v>11.25</v>
      </c>
      <c r="L3189" s="28" t="n">
        <v>120</v>
      </c>
      <c r="M3189" s="28" t="n">
        <v>0</v>
      </c>
    </row>
    <row r="3190" customFormat="false" ht="15" hidden="false" customHeight="false" outlineLevel="0" collapsed="false">
      <c r="A3190" s="27" t="n">
        <v>45363</v>
      </c>
      <c r="B3190" s="28" t="n">
        <v>2024</v>
      </c>
      <c r="C3190" s="28" t="s">
        <v>257</v>
      </c>
      <c r="D3190" s="28" t="s">
        <v>49</v>
      </c>
      <c r="E3190" s="28" t="s">
        <v>733</v>
      </c>
      <c r="F3190" s="28" t="s">
        <v>142</v>
      </c>
      <c r="G3190" s="28" t="s">
        <v>148</v>
      </c>
      <c r="H3190" s="28" t="s">
        <v>314</v>
      </c>
      <c r="I3190" s="29" t="n">
        <v>1802000</v>
      </c>
      <c r="J3190" s="29" t="n">
        <v>1351500</v>
      </c>
      <c r="K3190" s="28" t="n">
        <v>10</v>
      </c>
      <c r="L3190" s="28" t="n">
        <v>300</v>
      </c>
      <c r="M3190" s="28" t="n">
        <v>18</v>
      </c>
    </row>
    <row r="3191" customFormat="false" ht="15" hidden="false" customHeight="false" outlineLevel="0" collapsed="false">
      <c r="A3191" s="27" t="n">
        <v>45364</v>
      </c>
      <c r="B3191" s="28" t="n">
        <v>2024</v>
      </c>
      <c r="C3191" s="28" t="s">
        <v>206</v>
      </c>
      <c r="D3191" s="28" t="s">
        <v>43</v>
      </c>
      <c r="E3191" s="28" t="s">
        <v>788</v>
      </c>
      <c r="F3191" s="28" t="s">
        <v>147</v>
      </c>
      <c r="G3191" s="28" t="s">
        <v>148</v>
      </c>
      <c r="H3191" s="28" t="s">
        <v>159</v>
      </c>
      <c r="I3191" s="29" t="n">
        <v>100000</v>
      </c>
      <c r="J3191" s="29" t="n">
        <v>50000</v>
      </c>
      <c r="K3191" s="28" t="n">
        <v>12.25</v>
      </c>
      <c r="L3191" s="28" t="n">
        <v>120</v>
      </c>
      <c r="M3191" s="28" t="n">
        <v>4</v>
      </c>
    </row>
    <row r="3192" customFormat="false" ht="15" hidden="false" customHeight="false" outlineLevel="0" collapsed="false">
      <c r="A3192" s="27" t="n">
        <v>45364</v>
      </c>
      <c r="B3192" s="28" t="n">
        <v>2024</v>
      </c>
      <c r="C3192" s="28" t="s">
        <v>423</v>
      </c>
      <c r="D3192" s="28" t="s">
        <v>42</v>
      </c>
      <c r="E3192" s="28" t="s">
        <v>717</v>
      </c>
      <c r="F3192" s="28" t="s">
        <v>142</v>
      </c>
      <c r="G3192" s="28" t="s">
        <v>441</v>
      </c>
      <c r="H3192" s="28" t="s">
        <v>165</v>
      </c>
      <c r="I3192" s="29" t="n">
        <v>3170000</v>
      </c>
      <c r="J3192" s="29" t="n">
        <v>2377500</v>
      </c>
      <c r="K3192" s="28" t="n">
        <v>7.75</v>
      </c>
      <c r="L3192" s="28" t="n">
        <v>300</v>
      </c>
      <c r="M3192" s="28" t="n">
        <v>36</v>
      </c>
    </row>
    <row r="3193" customFormat="false" ht="15" hidden="false" customHeight="false" outlineLevel="0" collapsed="false">
      <c r="A3193" s="27" t="n">
        <v>45364</v>
      </c>
      <c r="B3193" s="28" t="n">
        <v>2024</v>
      </c>
      <c r="C3193" s="28" t="s">
        <v>292</v>
      </c>
      <c r="D3193" s="28" t="s">
        <v>47</v>
      </c>
      <c r="E3193" s="28" t="s">
        <v>373</v>
      </c>
      <c r="F3193" s="28" t="s">
        <v>142</v>
      </c>
      <c r="G3193" s="28" t="s">
        <v>148</v>
      </c>
      <c r="H3193" s="28" t="s">
        <v>208</v>
      </c>
      <c r="I3193" s="29" t="n">
        <v>100000</v>
      </c>
      <c r="J3193" s="29" t="n">
        <v>85000</v>
      </c>
      <c r="K3193" s="28" t="n">
        <v>11.25</v>
      </c>
      <c r="L3193" s="28" t="n">
        <v>120</v>
      </c>
      <c r="M3193" s="28" t="n">
        <v>0</v>
      </c>
    </row>
    <row r="3194" customFormat="false" ht="15" hidden="false" customHeight="false" outlineLevel="0" collapsed="false">
      <c r="A3194" s="27" t="n">
        <v>45364</v>
      </c>
      <c r="B3194" s="28" t="n">
        <v>2024</v>
      </c>
      <c r="C3194" s="28" t="s">
        <v>172</v>
      </c>
      <c r="D3194" s="28" t="s">
        <v>48</v>
      </c>
      <c r="E3194" s="28" t="s">
        <v>815</v>
      </c>
      <c r="F3194" s="28" t="s">
        <v>142</v>
      </c>
      <c r="G3194" s="28" t="s">
        <v>148</v>
      </c>
      <c r="H3194" s="28" t="s">
        <v>605</v>
      </c>
      <c r="I3194" s="29" t="n">
        <v>500000</v>
      </c>
      <c r="J3194" s="29" t="n">
        <v>375000</v>
      </c>
      <c r="K3194" s="28" t="n">
        <v>11.5</v>
      </c>
      <c r="L3194" s="28" t="n">
        <v>120</v>
      </c>
      <c r="M3194" s="28" t="n">
        <v>60</v>
      </c>
    </row>
    <row r="3195" customFormat="false" ht="15" hidden="false" customHeight="false" outlineLevel="0" collapsed="false">
      <c r="A3195" s="27" t="n">
        <v>45364</v>
      </c>
      <c r="B3195" s="28" t="n">
        <v>2024</v>
      </c>
      <c r="C3195" s="28" t="s">
        <v>163</v>
      </c>
      <c r="D3195" s="28" t="s">
        <v>48</v>
      </c>
      <c r="E3195" s="28" t="s">
        <v>712</v>
      </c>
      <c r="F3195" s="28" t="s">
        <v>147</v>
      </c>
      <c r="G3195" s="28" t="s">
        <v>441</v>
      </c>
      <c r="H3195" s="28" t="s">
        <v>168</v>
      </c>
      <c r="I3195" s="29" t="n">
        <v>30000</v>
      </c>
      <c r="J3195" s="29" t="n">
        <v>15000</v>
      </c>
      <c r="K3195" s="28" t="n">
        <v>13</v>
      </c>
      <c r="L3195" s="28" t="n">
        <v>120</v>
      </c>
      <c r="M3195" s="28" t="n">
        <v>3</v>
      </c>
    </row>
    <row r="3196" customFormat="false" ht="15" hidden="false" customHeight="false" outlineLevel="0" collapsed="false">
      <c r="A3196" s="27" t="n">
        <v>45365</v>
      </c>
      <c r="B3196" s="28" t="n">
        <v>2024</v>
      </c>
      <c r="C3196" s="28" t="s">
        <v>172</v>
      </c>
      <c r="D3196" s="28" t="s">
        <v>53</v>
      </c>
      <c r="E3196" s="28" t="s">
        <v>964</v>
      </c>
      <c r="F3196" s="28" t="s">
        <v>147</v>
      </c>
      <c r="G3196" s="28" t="s">
        <v>148</v>
      </c>
      <c r="H3196" s="28" t="s">
        <v>205</v>
      </c>
      <c r="I3196" s="29" t="n">
        <v>165000</v>
      </c>
      <c r="J3196" s="29" t="n">
        <v>82500</v>
      </c>
      <c r="K3196" s="28" t="n">
        <v>12.3</v>
      </c>
      <c r="L3196" s="28" t="n">
        <v>120</v>
      </c>
      <c r="M3196" s="28" t="n">
        <v>0</v>
      </c>
    </row>
    <row r="3197" customFormat="false" ht="15" hidden="false" customHeight="false" outlineLevel="0" collapsed="false">
      <c r="A3197" s="27" t="n">
        <v>45365</v>
      </c>
      <c r="B3197" s="28" t="n">
        <v>2024</v>
      </c>
      <c r="C3197" s="28" t="s">
        <v>172</v>
      </c>
      <c r="D3197" s="28" t="s">
        <v>45</v>
      </c>
      <c r="E3197" s="28" t="s">
        <v>336</v>
      </c>
      <c r="F3197" s="28" t="s">
        <v>147</v>
      </c>
      <c r="G3197" s="28" t="s">
        <v>148</v>
      </c>
      <c r="H3197" s="28" t="s">
        <v>205</v>
      </c>
      <c r="I3197" s="29" t="n">
        <v>25000</v>
      </c>
      <c r="J3197" s="29" t="n">
        <v>12500</v>
      </c>
      <c r="K3197" s="28" t="n">
        <v>13.3</v>
      </c>
      <c r="L3197" s="28" t="n">
        <v>120</v>
      </c>
      <c r="M3197" s="28" t="n">
        <v>17</v>
      </c>
    </row>
    <row r="3198" customFormat="false" ht="15" hidden="false" customHeight="false" outlineLevel="0" collapsed="false">
      <c r="A3198" s="27" t="n">
        <v>45365</v>
      </c>
      <c r="B3198" s="28" t="n">
        <v>2024</v>
      </c>
      <c r="C3198" s="28" t="s">
        <v>172</v>
      </c>
      <c r="D3198" s="28" t="s">
        <v>51</v>
      </c>
      <c r="E3198" s="28" t="s">
        <v>779</v>
      </c>
      <c r="F3198" s="28" t="s">
        <v>147</v>
      </c>
      <c r="G3198" s="28" t="s">
        <v>143</v>
      </c>
      <c r="H3198" s="28" t="s">
        <v>211</v>
      </c>
      <c r="I3198" s="29" t="n">
        <v>40000</v>
      </c>
      <c r="J3198" s="29" t="n">
        <v>20000</v>
      </c>
      <c r="K3198" s="28" t="n">
        <v>11</v>
      </c>
      <c r="L3198" s="28" t="n">
        <v>120</v>
      </c>
      <c r="M3198" s="28" t="n">
        <v>8</v>
      </c>
    </row>
    <row r="3199" customFormat="false" ht="15" hidden="false" customHeight="false" outlineLevel="0" collapsed="false">
      <c r="A3199" s="27" t="n">
        <v>45365</v>
      </c>
      <c r="B3199" s="28" t="n">
        <v>2024</v>
      </c>
      <c r="C3199" s="28" t="s">
        <v>172</v>
      </c>
      <c r="D3199" s="28" t="s">
        <v>51</v>
      </c>
      <c r="E3199" s="28" t="s">
        <v>779</v>
      </c>
      <c r="F3199" s="28" t="s">
        <v>142</v>
      </c>
      <c r="G3199" s="28" t="s">
        <v>143</v>
      </c>
      <c r="H3199" s="28" t="s">
        <v>211</v>
      </c>
      <c r="I3199" s="29" t="n">
        <v>366000</v>
      </c>
      <c r="J3199" s="29" t="n">
        <v>274500</v>
      </c>
      <c r="K3199" s="28" t="n">
        <v>11</v>
      </c>
      <c r="L3199" s="28" t="n">
        <v>120</v>
      </c>
      <c r="M3199" s="28" t="n">
        <v>8</v>
      </c>
    </row>
    <row r="3200" customFormat="false" ht="15" hidden="false" customHeight="false" outlineLevel="0" collapsed="false">
      <c r="A3200" s="27" t="n">
        <v>45366</v>
      </c>
      <c r="B3200" s="28" t="n">
        <v>2024</v>
      </c>
      <c r="C3200" s="28" t="s">
        <v>198</v>
      </c>
      <c r="D3200" s="28" t="s">
        <v>50</v>
      </c>
      <c r="E3200" s="28" t="s">
        <v>737</v>
      </c>
      <c r="F3200" s="28" t="s">
        <v>142</v>
      </c>
      <c r="G3200" s="28" t="s">
        <v>148</v>
      </c>
      <c r="H3200" s="28" t="s">
        <v>171</v>
      </c>
      <c r="I3200" s="29" t="n">
        <v>108000</v>
      </c>
      <c r="J3200" s="29" t="n">
        <v>91800</v>
      </c>
      <c r="K3200" s="28" t="n">
        <v>13.25</v>
      </c>
      <c r="L3200" s="28" t="n">
        <v>120</v>
      </c>
      <c r="M3200" s="28" t="n">
        <v>0</v>
      </c>
    </row>
    <row r="3201" customFormat="false" ht="15" hidden="false" customHeight="false" outlineLevel="0" collapsed="false">
      <c r="A3201" s="27" t="n">
        <v>45366</v>
      </c>
      <c r="B3201" s="28" t="n">
        <v>2024</v>
      </c>
      <c r="C3201" s="28" t="s">
        <v>344</v>
      </c>
      <c r="D3201" s="28" t="s">
        <v>47</v>
      </c>
      <c r="E3201" s="28" t="s">
        <v>1041</v>
      </c>
      <c r="F3201" s="28" t="s">
        <v>194</v>
      </c>
      <c r="G3201" s="28" t="s">
        <v>148</v>
      </c>
      <c r="H3201" s="28" t="s">
        <v>1031</v>
      </c>
      <c r="I3201" s="29" t="n">
        <v>87200</v>
      </c>
      <c r="J3201" s="29" t="n">
        <v>65400</v>
      </c>
      <c r="K3201" s="28" t="n">
        <v>9</v>
      </c>
      <c r="L3201" s="28" t="n">
        <v>120</v>
      </c>
      <c r="M3201" s="28" t="n">
        <v>30</v>
      </c>
    </row>
    <row r="3202" customFormat="false" ht="15" hidden="false" customHeight="false" outlineLevel="0" collapsed="false">
      <c r="A3202" s="27" t="n">
        <v>45366</v>
      </c>
      <c r="B3202" s="28" t="n">
        <v>2024</v>
      </c>
      <c r="C3202" s="28" t="s">
        <v>163</v>
      </c>
      <c r="D3202" s="28" t="s">
        <v>45</v>
      </c>
      <c r="E3202" s="28" t="s">
        <v>336</v>
      </c>
      <c r="F3202" s="28" t="s">
        <v>142</v>
      </c>
      <c r="G3202" s="28" t="s">
        <v>152</v>
      </c>
      <c r="H3202" s="28" t="s">
        <v>523</v>
      </c>
      <c r="I3202" s="29" t="n">
        <v>2999500</v>
      </c>
      <c r="J3202" s="29" t="n">
        <v>2249625</v>
      </c>
      <c r="K3202" s="28" t="n">
        <v>11.5</v>
      </c>
      <c r="L3202" s="28" t="n">
        <v>120</v>
      </c>
      <c r="M3202" s="28" t="n">
        <v>26</v>
      </c>
    </row>
    <row r="3203" customFormat="false" ht="15" hidden="false" customHeight="false" outlineLevel="0" collapsed="false">
      <c r="A3203" s="27" t="n">
        <v>45367</v>
      </c>
      <c r="B3203" s="28" t="n">
        <v>2024</v>
      </c>
      <c r="C3203" s="28" t="s">
        <v>172</v>
      </c>
      <c r="D3203" s="28" t="s">
        <v>45</v>
      </c>
      <c r="E3203" s="28" t="s">
        <v>1048</v>
      </c>
      <c r="F3203" s="28" t="s">
        <v>142</v>
      </c>
      <c r="G3203" s="28" t="s">
        <v>143</v>
      </c>
      <c r="H3203" s="28" t="s">
        <v>211</v>
      </c>
      <c r="I3203" s="29" t="n">
        <v>235000</v>
      </c>
      <c r="J3203" s="29" t="n">
        <v>176250</v>
      </c>
      <c r="K3203" s="28" t="n">
        <v>11</v>
      </c>
      <c r="L3203" s="28" t="n">
        <v>120</v>
      </c>
      <c r="M3203" s="28" t="n">
        <v>5</v>
      </c>
    </row>
    <row r="3204" customFormat="false" ht="15" hidden="false" customHeight="false" outlineLevel="0" collapsed="false">
      <c r="A3204" s="27" t="n">
        <v>45367</v>
      </c>
      <c r="B3204" s="28" t="n">
        <v>2024</v>
      </c>
      <c r="C3204" s="28" t="s">
        <v>140</v>
      </c>
      <c r="D3204" s="28" t="s">
        <v>48</v>
      </c>
      <c r="E3204" s="28" t="s">
        <v>304</v>
      </c>
      <c r="F3204" s="28" t="s">
        <v>142</v>
      </c>
      <c r="G3204" s="28" t="s">
        <v>143</v>
      </c>
      <c r="H3204" s="28" t="s">
        <v>953</v>
      </c>
      <c r="I3204" s="29" t="n">
        <v>350000</v>
      </c>
      <c r="J3204" s="29" t="n">
        <v>262500</v>
      </c>
      <c r="K3204" s="28" t="n">
        <v>11.5</v>
      </c>
      <c r="L3204" s="28" t="n">
        <v>120</v>
      </c>
      <c r="M3204" s="28" t="n">
        <v>6</v>
      </c>
    </row>
    <row r="3205" customFormat="false" ht="15" hidden="false" customHeight="false" outlineLevel="0" collapsed="false">
      <c r="A3205" s="27" t="n">
        <v>45367</v>
      </c>
      <c r="B3205" s="28" t="n">
        <v>2024</v>
      </c>
      <c r="C3205" s="28" t="s">
        <v>172</v>
      </c>
      <c r="D3205" s="28" t="s">
        <v>45</v>
      </c>
      <c r="E3205" s="28" t="s">
        <v>1048</v>
      </c>
      <c r="F3205" s="28" t="s">
        <v>147</v>
      </c>
      <c r="G3205" s="28" t="s">
        <v>143</v>
      </c>
      <c r="H3205" s="28" t="s">
        <v>211</v>
      </c>
      <c r="I3205" s="29" t="n">
        <v>40000</v>
      </c>
      <c r="J3205" s="29" t="n">
        <v>20000</v>
      </c>
      <c r="K3205" s="28" t="n">
        <v>11</v>
      </c>
      <c r="L3205" s="28" t="n">
        <v>120</v>
      </c>
      <c r="M3205" s="28" t="n">
        <v>5</v>
      </c>
    </row>
    <row r="3206" customFormat="false" ht="15" hidden="false" customHeight="false" outlineLevel="0" collapsed="false">
      <c r="A3206" s="27" t="n">
        <v>45368</v>
      </c>
      <c r="B3206" s="28" t="n">
        <v>2024</v>
      </c>
      <c r="C3206" s="28" t="s">
        <v>522</v>
      </c>
      <c r="D3206" s="28" t="s">
        <v>47</v>
      </c>
      <c r="E3206" s="28" t="s">
        <v>901</v>
      </c>
      <c r="F3206" s="28" t="s">
        <v>147</v>
      </c>
      <c r="G3206" s="28" t="s">
        <v>148</v>
      </c>
      <c r="H3206" s="28" t="s">
        <v>205</v>
      </c>
      <c r="I3206" s="29" t="n">
        <v>110000</v>
      </c>
      <c r="J3206" s="29" t="n">
        <v>55000</v>
      </c>
      <c r="K3206" s="28" t="n">
        <v>13</v>
      </c>
      <c r="L3206" s="28" t="n">
        <v>120</v>
      </c>
      <c r="M3206" s="28" t="n">
        <v>0</v>
      </c>
    </row>
    <row r="3207" customFormat="false" ht="15" hidden="false" customHeight="false" outlineLevel="0" collapsed="false">
      <c r="A3207" s="27" t="n">
        <v>45369</v>
      </c>
      <c r="B3207" s="28" t="n">
        <v>2024</v>
      </c>
      <c r="C3207" s="28" t="s">
        <v>166</v>
      </c>
      <c r="D3207" s="28" t="s">
        <v>42</v>
      </c>
      <c r="E3207" s="28" t="s">
        <v>753</v>
      </c>
      <c r="F3207" s="28" t="s">
        <v>147</v>
      </c>
      <c r="G3207" s="28" t="s">
        <v>441</v>
      </c>
      <c r="H3207" s="28" t="s">
        <v>799</v>
      </c>
      <c r="I3207" s="29" t="n">
        <v>50000</v>
      </c>
      <c r="J3207" s="29" t="n">
        <v>25000</v>
      </c>
      <c r="K3207" s="28" t="n">
        <v>10.75</v>
      </c>
      <c r="L3207" s="28" t="n">
        <v>120</v>
      </c>
      <c r="M3207" s="28" t="n">
        <v>28</v>
      </c>
    </row>
    <row r="3208" customFormat="false" ht="15" hidden="false" customHeight="false" outlineLevel="0" collapsed="false">
      <c r="A3208" s="27" t="n">
        <v>45370</v>
      </c>
      <c r="B3208" s="28" t="n">
        <v>2024</v>
      </c>
      <c r="C3208" s="28" t="s">
        <v>349</v>
      </c>
      <c r="D3208" s="28" t="s">
        <v>51</v>
      </c>
      <c r="E3208" s="28" t="s">
        <v>1022</v>
      </c>
      <c r="F3208" s="28" t="s">
        <v>142</v>
      </c>
      <c r="G3208" s="28" t="s">
        <v>148</v>
      </c>
      <c r="H3208" s="28" t="s">
        <v>771</v>
      </c>
      <c r="I3208" s="29" t="n">
        <v>50000</v>
      </c>
      <c r="J3208" s="29" t="n">
        <v>42500</v>
      </c>
      <c r="K3208" s="28" t="n">
        <v>11.25</v>
      </c>
      <c r="L3208" s="28" t="n">
        <v>120</v>
      </c>
      <c r="M3208" s="28" t="n">
        <v>0</v>
      </c>
    </row>
    <row r="3209" customFormat="false" ht="15" hidden="false" customHeight="false" outlineLevel="0" collapsed="false">
      <c r="A3209" s="27" t="n">
        <v>45370</v>
      </c>
      <c r="B3209" s="28" t="n">
        <v>2024</v>
      </c>
      <c r="C3209" s="28" t="s">
        <v>140</v>
      </c>
      <c r="D3209" s="28" t="s">
        <v>45</v>
      </c>
      <c r="E3209" s="28" t="s">
        <v>222</v>
      </c>
      <c r="F3209" s="28" t="s">
        <v>142</v>
      </c>
      <c r="G3209" s="28" t="s">
        <v>441</v>
      </c>
      <c r="H3209" s="28" t="s">
        <v>159</v>
      </c>
      <c r="I3209" s="29" t="n">
        <v>80000</v>
      </c>
      <c r="J3209" s="29" t="n">
        <v>68000</v>
      </c>
      <c r="K3209" s="28" t="n">
        <v>10.75</v>
      </c>
      <c r="L3209" s="28" t="n">
        <v>60</v>
      </c>
      <c r="M3209" s="28" t="n">
        <v>7</v>
      </c>
    </row>
    <row r="3210" customFormat="false" ht="15" hidden="false" customHeight="false" outlineLevel="0" collapsed="false">
      <c r="A3210" s="27" t="n">
        <v>45370</v>
      </c>
      <c r="B3210" s="28" t="n">
        <v>2024</v>
      </c>
      <c r="C3210" s="28" t="s">
        <v>213</v>
      </c>
      <c r="D3210" s="28" t="s">
        <v>42</v>
      </c>
      <c r="E3210" s="28" t="s">
        <v>753</v>
      </c>
      <c r="F3210" s="28" t="s">
        <v>147</v>
      </c>
      <c r="G3210" s="28" t="s">
        <v>148</v>
      </c>
      <c r="H3210" s="28" t="s">
        <v>469</v>
      </c>
      <c r="I3210" s="29" t="n">
        <v>50000</v>
      </c>
      <c r="J3210" s="29" t="n">
        <v>25000</v>
      </c>
      <c r="K3210" s="28" t="n">
        <v>9</v>
      </c>
      <c r="L3210" s="28" t="n">
        <v>120</v>
      </c>
      <c r="M3210" s="28" t="n">
        <v>5</v>
      </c>
    </row>
    <row r="3211" customFormat="false" ht="15" hidden="false" customHeight="false" outlineLevel="0" collapsed="false">
      <c r="A3211" s="27" t="n">
        <v>45371</v>
      </c>
      <c r="B3211" s="28" t="n">
        <v>2024</v>
      </c>
      <c r="C3211" s="28" t="s">
        <v>318</v>
      </c>
      <c r="D3211" s="28" t="s">
        <v>46</v>
      </c>
      <c r="E3211" s="28" t="s">
        <v>813</v>
      </c>
      <c r="F3211" s="28" t="s">
        <v>142</v>
      </c>
      <c r="G3211" s="28" t="s">
        <v>148</v>
      </c>
      <c r="H3211" s="28" t="s">
        <v>208</v>
      </c>
      <c r="I3211" s="29" t="n">
        <v>100000</v>
      </c>
      <c r="J3211" s="29" t="n">
        <v>85000</v>
      </c>
      <c r="K3211" s="28" t="n">
        <v>11.25</v>
      </c>
      <c r="L3211" s="28" t="n">
        <v>120</v>
      </c>
      <c r="M3211" s="28" t="n">
        <v>0</v>
      </c>
    </row>
    <row r="3212" customFormat="false" ht="15" hidden="false" customHeight="false" outlineLevel="0" collapsed="false">
      <c r="A3212" s="27" t="n">
        <v>45371</v>
      </c>
      <c r="B3212" s="28" t="n">
        <v>2024</v>
      </c>
      <c r="C3212" s="28" t="s">
        <v>172</v>
      </c>
      <c r="D3212" s="28" t="s">
        <v>46</v>
      </c>
      <c r="E3212" s="28" t="s">
        <v>702</v>
      </c>
      <c r="F3212" s="28" t="s">
        <v>142</v>
      </c>
      <c r="G3212" s="28" t="s">
        <v>148</v>
      </c>
      <c r="H3212" s="28" t="s">
        <v>211</v>
      </c>
      <c r="I3212" s="29" t="n">
        <v>700000</v>
      </c>
      <c r="J3212" s="29" t="n">
        <v>525000</v>
      </c>
      <c r="K3212" s="28" t="n">
        <v>11.25</v>
      </c>
      <c r="L3212" s="28" t="n">
        <v>132</v>
      </c>
      <c r="M3212" s="28" t="n">
        <v>6</v>
      </c>
    </row>
    <row r="3213" customFormat="false" ht="15" hidden="false" customHeight="false" outlineLevel="0" collapsed="false">
      <c r="A3213" s="27" t="n">
        <v>45371</v>
      </c>
      <c r="B3213" s="28" t="n">
        <v>2024</v>
      </c>
      <c r="C3213" s="28" t="s">
        <v>172</v>
      </c>
      <c r="D3213" s="28" t="s">
        <v>51</v>
      </c>
      <c r="E3213" s="28" t="s">
        <v>779</v>
      </c>
      <c r="F3213" s="28" t="s">
        <v>142</v>
      </c>
      <c r="G3213" s="28" t="s">
        <v>143</v>
      </c>
      <c r="H3213" s="28" t="s">
        <v>144</v>
      </c>
      <c r="I3213" s="29" t="n">
        <v>875000</v>
      </c>
      <c r="J3213" s="29" t="n">
        <v>656250</v>
      </c>
      <c r="K3213" s="28" t="n">
        <v>10.35</v>
      </c>
      <c r="L3213" s="28" t="n">
        <v>126</v>
      </c>
      <c r="M3213" s="28" t="n">
        <v>4</v>
      </c>
    </row>
    <row r="3214" customFormat="false" ht="15" hidden="false" customHeight="false" outlineLevel="0" collapsed="false">
      <c r="A3214" s="27" t="n">
        <v>45371</v>
      </c>
      <c r="B3214" s="28" t="n">
        <v>2024</v>
      </c>
      <c r="C3214" s="28" t="s">
        <v>145</v>
      </c>
      <c r="D3214" s="28" t="s">
        <v>50</v>
      </c>
      <c r="E3214" s="28" t="s">
        <v>193</v>
      </c>
      <c r="F3214" s="28" t="s">
        <v>147</v>
      </c>
      <c r="G3214" s="28" t="s">
        <v>148</v>
      </c>
      <c r="H3214" s="28" t="s">
        <v>159</v>
      </c>
      <c r="I3214" s="29" t="n">
        <v>210000</v>
      </c>
      <c r="J3214" s="29" t="n">
        <v>105000</v>
      </c>
      <c r="K3214" s="28" t="n">
        <v>13</v>
      </c>
      <c r="L3214" s="28" t="n">
        <v>60</v>
      </c>
      <c r="M3214" s="28" t="n">
        <v>12</v>
      </c>
    </row>
    <row r="3215" customFormat="false" ht="15" hidden="false" customHeight="false" outlineLevel="0" collapsed="false">
      <c r="A3215" s="27" t="n">
        <v>45371</v>
      </c>
      <c r="B3215" s="28" t="n">
        <v>2024</v>
      </c>
      <c r="C3215" s="28" t="s">
        <v>160</v>
      </c>
      <c r="D3215" s="28" t="s">
        <v>44</v>
      </c>
      <c r="E3215" s="28" t="s">
        <v>730</v>
      </c>
      <c r="F3215" s="28" t="s">
        <v>142</v>
      </c>
      <c r="G3215" s="28" t="s">
        <v>152</v>
      </c>
      <c r="H3215" s="28" t="s">
        <v>144</v>
      </c>
      <c r="I3215" s="29" t="n">
        <v>1730000</v>
      </c>
      <c r="J3215" s="29" t="n">
        <v>916900</v>
      </c>
      <c r="K3215" s="28" t="n">
        <v>8.85</v>
      </c>
      <c r="L3215" s="28" t="n">
        <v>120</v>
      </c>
      <c r="M3215" s="28" t="n">
        <v>35</v>
      </c>
    </row>
    <row r="3216" customFormat="false" ht="15" hidden="false" customHeight="false" outlineLevel="0" collapsed="false">
      <c r="A3216" s="27" t="n">
        <v>45371</v>
      </c>
      <c r="B3216" s="28" t="n">
        <v>2024</v>
      </c>
      <c r="C3216" s="28" t="s">
        <v>203</v>
      </c>
      <c r="D3216" s="28" t="s">
        <v>44</v>
      </c>
      <c r="E3216" s="28" t="s">
        <v>923</v>
      </c>
      <c r="F3216" s="28" t="s">
        <v>142</v>
      </c>
      <c r="G3216" s="28" t="s">
        <v>148</v>
      </c>
      <c r="H3216" s="28" t="s">
        <v>275</v>
      </c>
      <c r="I3216" s="29" t="n">
        <v>303500</v>
      </c>
      <c r="J3216" s="29" t="n">
        <v>227625</v>
      </c>
      <c r="K3216" s="28" t="n">
        <v>11.25</v>
      </c>
      <c r="L3216" s="28" t="n">
        <v>120</v>
      </c>
      <c r="M3216" s="28" t="n">
        <v>12</v>
      </c>
    </row>
    <row r="3217" customFormat="false" ht="15" hidden="false" customHeight="false" outlineLevel="0" collapsed="false">
      <c r="A3217" s="27" t="n">
        <v>45371</v>
      </c>
      <c r="B3217" s="28" t="n">
        <v>2024</v>
      </c>
      <c r="C3217" s="28" t="s">
        <v>172</v>
      </c>
      <c r="D3217" s="28" t="s">
        <v>46</v>
      </c>
      <c r="E3217" s="28" t="s">
        <v>702</v>
      </c>
      <c r="F3217" s="28" t="s">
        <v>147</v>
      </c>
      <c r="G3217" s="28" t="s">
        <v>148</v>
      </c>
      <c r="H3217" s="28" t="s">
        <v>211</v>
      </c>
      <c r="I3217" s="29" t="n">
        <v>50000</v>
      </c>
      <c r="J3217" s="29" t="n">
        <v>25000</v>
      </c>
      <c r="K3217" s="28" t="n">
        <v>11.25</v>
      </c>
      <c r="L3217" s="28" t="n">
        <v>120</v>
      </c>
      <c r="M3217" s="28" t="n">
        <v>6</v>
      </c>
    </row>
    <row r="3218" customFormat="false" ht="15" hidden="false" customHeight="false" outlineLevel="0" collapsed="false">
      <c r="A3218" s="27" t="n">
        <v>45372</v>
      </c>
      <c r="B3218" s="28" t="n">
        <v>2024</v>
      </c>
      <c r="C3218" s="28" t="s">
        <v>145</v>
      </c>
      <c r="D3218" s="28" t="s">
        <v>46</v>
      </c>
      <c r="E3218" s="28" t="s">
        <v>719</v>
      </c>
      <c r="F3218" s="28" t="s">
        <v>142</v>
      </c>
      <c r="G3218" s="28" t="s">
        <v>148</v>
      </c>
      <c r="H3218" s="28" t="s">
        <v>275</v>
      </c>
      <c r="I3218" s="29" t="n">
        <v>50000</v>
      </c>
      <c r="J3218" s="29" t="n">
        <v>42500</v>
      </c>
      <c r="K3218" s="28" t="n">
        <v>15</v>
      </c>
      <c r="L3218" s="28" t="n">
        <v>104</v>
      </c>
      <c r="M3218" s="28" t="n">
        <v>4</v>
      </c>
    </row>
    <row r="3219" customFormat="false" ht="15" hidden="false" customHeight="false" outlineLevel="0" collapsed="false">
      <c r="A3219" s="27" t="n">
        <v>45373</v>
      </c>
      <c r="B3219" s="28" t="n">
        <v>2024</v>
      </c>
      <c r="C3219" s="28" t="s">
        <v>522</v>
      </c>
      <c r="D3219" s="28" t="s">
        <v>48</v>
      </c>
      <c r="E3219" s="28" t="s">
        <v>712</v>
      </c>
      <c r="F3219" s="28" t="s">
        <v>142</v>
      </c>
      <c r="G3219" s="28" t="s">
        <v>441</v>
      </c>
      <c r="H3219" s="28" t="s">
        <v>275</v>
      </c>
      <c r="I3219" s="29" t="n">
        <v>20000</v>
      </c>
      <c r="J3219" s="29" t="n">
        <v>17000</v>
      </c>
      <c r="K3219" s="28" t="n">
        <v>15</v>
      </c>
      <c r="L3219" s="28" t="n">
        <v>120</v>
      </c>
      <c r="M3219" s="28" t="n">
        <v>1</v>
      </c>
    </row>
    <row r="3220" customFormat="false" ht="15" hidden="false" customHeight="false" outlineLevel="0" collapsed="false">
      <c r="A3220" s="27" t="n">
        <v>45373</v>
      </c>
      <c r="B3220" s="28" t="n">
        <v>2024</v>
      </c>
      <c r="C3220" s="28" t="s">
        <v>312</v>
      </c>
      <c r="D3220" s="28" t="s">
        <v>51</v>
      </c>
      <c r="E3220" s="28" t="s">
        <v>779</v>
      </c>
      <c r="F3220" s="28" t="s">
        <v>142</v>
      </c>
      <c r="G3220" s="28" t="s">
        <v>143</v>
      </c>
      <c r="H3220" s="28" t="s">
        <v>382</v>
      </c>
      <c r="I3220" s="29" t="n">
        <v>499900</v>
      </c>
      <c r="J3220" s="29" t="n">
        <v>374925</v>
      </c>
      <c r="K3220" s="28" t="n">
        <v>11.25</v>
      </c>
      <c r="L3220" s="28" t="n">
        <v>124</v>
      </c>
      <c r="M3220" s="28" t="n">
        <v>3</v>
      </c>
    </row>
    <row r="3221" customFormat="false" ht="15" hidden="false" customHeight="false" outlineLevel="0" collapsed="false">
      <c r="A3221" s="27" t="n">
        <v>45373</v>
      </c>
      <c r="B3221" s="28" t="n">
        <v>2024</v>
      </c>
      <c r="C3221" s="28" t="s">
        <v>303</v>
      </c>
      <c r="D3221" s="28" t="s">
        <v>48</v>
      </c>
      <c r="E3221" s="28" t="s">
        <v>815</v>
      </c>
      <c r="F3221" s="28" t="s">
        <v>147</v>
      </c>
      <c r="G3221" s="28" t="s">
        <v>441</v>
      </c>
      <c r="H3221" s="28" t="s">
        <v>168</v>
      </c>
      <c r="I3221" s="29" t="n">
        <v>15000</v>
      </c>
      <c r="J3221" s="29" t="n">
        <v>7500</v>
      </c>
      <c r="K3221" s="28" t="n">
        <v>13</v>
      </c>
      <c r="L3221" s="28" t="n">
        <v>120</v>
      </c>
      <c r="M3221" s="28" t="n">
        <v>3</v>
      </c>
    </row>
    <row r="3222" customFormat="false" ht="15" hidden="false" customHeight="false" outlineLevel="0" collapsed="false">
      <c r="A3222" s="27" t="n">
        <v>45373</v>
      </c>
      <c r="B3222" s="28" t="n">
        <v>2024</v>
      </c>
      <c r="C3222" s="28" t="s">
        <v>201</v>
      </c>
      <c r="D3222" s="28" t="s">
        <v>42</v>
      </c>
      <c r="E3222" s="28" t="s">
        <v>784</v>
      </c>
      <c r="F3222" s="28" t="s">
        <v>142</v>
      </c>
      <c r="G3222" s="28" t="s">
        <v>143</v>
      </c>
      <c r="H3222" s="28" t="s">
        <v>221</v>
      </c>
      <c r="I3222" s="29" t="n">
        <v>150000</v>
      </c>
      <c r="J3222" s="29" t="n">
        <v>127500</v>
      </c>
      <c r="K3222" s="28" t="n">
        <v>12.25</v>
      </c>
      <c r="L3222" s="28" t="n">
        <v>120</v>
      </c>
      <c r="M3222" s="28" t="n">
        <v>6</v>
      </c>
    </row>
    <row r="3223" customFormat="false" ht="15" hidden="false" customHeight="false" outlineLevel="0" collapsed="false">
      <c r="A3223" s="27" t="n">
        <v>45373</v>
      </c>
      <c r="B3223" s="28" t="n">
        <v>2024</v>
      </c>
      <c r="C3223" s="28" t="s">
        <v>172</v>
      </c>
      <c r="D3223" s="28" t="s">
        <v>50</v>
      </c>
      <c r="E3223" s="28" t="s">
        <v>193</v>
      </c>
      <c r="F3223" s="28" t="s">
        <v>142</v>
      </c>
      <c r="G3223" s="28" t="s">
        <v>152</v>
      </c>
      <c r="H3223" s="28" t="s">
        <v>645</v>
      </c>
      <c r="I3223" s="29" t="n">
        <v>800000</v>
      </c>
      <c r="J3223" s="29" t="n">
        <v>600000</v>
      </c>
      <c r="K3223" s="28" t="n">
        <v>9.75</v>
      </c>
      <c r="L3223" s="28" t="n">
        <v>120</v>
      </c>
      <c r="M3223" s="28" t="n">
        <v>25</v>
      </c>
    </row>
    <row r="3224" customFormat="false" ht="15" hidden="false" customHeight="false" outlineLevel="0" collapsed="false">
      <c r="A3224" s="27" t="n">
        <v>45373</v>
      </c>
      <c r="B3224" s="28" t="n">
        <v>2024</v>
      </c>
      <c r="C3224" s="28" t="s">
        <v>172</v>
      </c>
      <c r="D3224" s="28" t="s">
        <v>48</v>
      </c>
      <c r="E3224" s="28" t="s">
        <v>736</v>
      </c>
      <c r="F3224" s="28" t="s">
        <v>147</v>
      </c>
      <c r="G3224" s="28" t="s">
        <v>148</v>
      </c>
      <c r="H3224" s="28" t="s">
        <v>162</v>
      </c>
      <c r="I3224" s="29" t="n">
        <v>500000</v>
      </c>
      <c r="J3224" s="29" t="n">
        <v>250000</v>
      </c>
      <c r="K3224" s="28" t="n">
        <v>11.25</v>
      </c>
      <c r="L3224" s="28" t="n">
        <v>120</v>
      </c>
      <c r="M3224" s="28" t="n">
        <v>40</v>
      </c>
    </row>
    <row r="3225" customFormat="false" ht="15" hidden="false" customHeight="false" outlineLevel="0" collapsed="false">
      <c r="A3225" s="27" t="n">
        <v>45373</v>
      </c>
      <c r="B3225" s="28" t="n">
        <v>2024</v>
      </c>
      <c r="C3225" s="28" t="s">
        <v>198</v>
      </c>
      <c r="D3225" s="28" t="s">
        <v>43</v>
      </c>
      <c r="E3225" s="28" t="s">
        <v>871</v>
      </c>
      <c r="F3225" s="28" t="s">
        <v>142</v>
      </c>
      <c r="G3225" s="28" t="s">
        <v>441</v>
      </c>
      <c r="H3225" s="28" t="s">
        <v>149</v>
      </c>
      <c r="I3225" s="29" t="n">
        <v>2265000</v>
      </c>
      <c r="J3225" s="29" t="n">
        <v>1698750</v>
      </c>
      <c r="K3225" s="28" t="n">
        <v>9.5</v>
      </c>
      <c r="L3225" s="28" t="n">
        <v>300</v>
      </c>
      <c r="M3225" s="28" t="n">
        <v>10</v>
      </c>
    </row>
    <row r="3226" customFormat="false" ht="15" hidden="false" customHeight="false" outlineLevel="0" collapsed="false">
      <c r="A3226" s="27" t="n">
        <v>45373</v>
      </c>
      <c r="B3226" s="28" t="n">
        <v>2024</v>
      </c>
      <c r="C3226" s="28" t="s">
        <v>172</v>
      </c>
      <c r="D3226" s="28" t="s">
        <v>45</v>
      </c>
      <c r="E3226" s="28" t="s">
        <v>745</v>
      </c>
      <c r="F3226" s="28" t="s">
        <v>194</v>
      </c>
      <c r="G3226" s="28" t="s">
        <v>148</v>
      </c>
      <c r="H3226" s="28" t="s">
        <v>1049</v>
      </c>
      <c r="I3226" s="29" t="n">
        <v>600000</v>
      </c>
      <c r="J3226" s="29" t="n">
        <v>450000</v>
      </c>
      <c r="K3226" s="28" t="n">
        <v>11.25</v>
      </c>
      <c r="L3226" s="28" t="n">
        <v>120</v>
      </c>
      <c r="M3226" s="28" t="n">
        <v>7</v>
      </c>
    </row>
    <row r="3227" customFormat="false" ht="15" hidden="false" customHeight="false" outlineLevel="0" collapsed="false">
      <c r="A3227" s="27" t="n">
        <v>45373</v>
      </c>
      <c r="B3227" s="28" t="n">
        <v>2024</v>
      </c>
      <c r="C3227" s="28" t="s">
        <v>172</v>
      </c>
      <c r="D3227" s="28" t="s">
        <v>44</v>
      </c>
      <c r="E3227" s="28" t="s">
        <v>730</v>
      </c>
      <c r="F3227" s="28" t="s">
        <v>142</v>
      </c>
      <c r="G3227" s="28" t="s">
        <v>143</v>
      </c>
      <c r="H3227" s="28" t="s">
        <v>144</v>
      </c>
      <c r="I3227" s="29" t="n">
        <v>3300000</v>
      </c>
      <c r="J3227" s="29" t="n">
        <v>2475000</v>
      </c>
      <c r="K3227" s="28" t="n">
        <v>9</v>
      </c>
      <c r="L3227" s="28" t="n">
        <v>132</v>
      </c>
      <c r="M3227" s="28" t="n">
        <v>10</v>
      </c>
    </row>
    <row r="3228" customFormat="false" ht="15" hidden="false" customHeight="false" outlineLevel="0" collapsed="false">
      <c r="A3228" s="27" t="n">
        <v>45374</v>
      </c>
      <c r="B3228" s="28" t="n">
        <v>2024</v>
      </c>
      <c r="C3228" s="28" t="s">
        <v>421</v>
      </c>
      <c r="D3228" s="28" t="s">
        <v>42</v>
      </c>
      <c r="E3228" s="28" t="s">
        <v>753</v>
      </c>
      <c r="F3228" s="28" t="s">
        <v>142</v>
      </c>
      <c r="G3228" s="28" t="s">
        <v>143</v>
      </c>
      <c r="H3228" s="28" t="s">
        <v>275</v>
      </c>
      <c r="I3228" s="29" t="n">
        <v>500000</v>
      </c>
      <c r="J3228" s="29" t="n">
        <v>375000</v>
      </c>
      <c r="K3228" s="28" t="n">
        <v>11.25</v>
      </c>
      <c r="L3228" s="28" t="n">
        <v>122</v>
      </c>
      <c r="M3228" s="28" t="n">
        <v>50</v>
      </c>
    </row>
    <row r="3229" customFormat="false" ht="15" hidden="false" customHeight="false" outlineLevel="0" collapsed="false">
      <c r="A3229" s="27" t="n">
        <v>45374</v>
      </c>
      <c r="B3229" s="28" t="n">
        <v>2024</v>
      </c>
      <c r="C3229" s="28" t="s">
        <v>198</v>
      </c>
      <c r="D3229" s="28" t="s">
        <v>43</v>
      </c>
      <c r="E3229" s="28" t="s">
        <v>757</v>
      </c>
      <c r="F3229" s="28" t="s">
        <v>142</v>
      </c>
      <c r="G3229" s="28" t="s">
        <v>148</v>
      </c>
      <c r="H3229" s="28" t="s">
        <v>950</v>
      </c>
      <c r="I3229" s="29" t="n">
        <v>139000</v>
      </c>
      <c r="J3229" s="29" t="n">
        <v>118150</v>
      </c>
      <c r="K3229" s="28" t="n">
        <v>12.25</v>
      </c>
      <c r="L3229" s="28" t="n">
        <v>120</v>
      </c>
      <c r="M3229" s="28" t="n">
        <v>2</v>
      </c>
    </row>
    <row r="3230" customFormat="false" ht="15" hidden="false" customHeight="false" outlineLevel="0" collapsed="false">
      <c r="A3230" s="27" t="n">
        <v>45374</v>
      </c>
      <c r="B3230" s="28" t="n">
        <v>2024</v>
      </c>
      <c r="C3230" s="28" t="s">
        <v>169</v>
      </c>
      <c r="D3230" s="28" t="s">
        <v>45</v>
      </c>
      <c r="E3230" s="28" t="s">
        <v>835</v>
      </c>
      <c r="F3230" s="28" t="s">
        <v>142</v>
      </c>
      <c r="G3230" s="28" t="s">
        <v>148</v>
      </c>
      <c r="H3230" s="28" t="s">
        <v>372</v>
      </c>
      <c r="I3230" s="29" t="n">
        <v>250000</v>
      </c>
      <c r="J3230" s="29" t="n">
        <v>187500</v>
      </c>
      <c r="K3230" s="28" t="n">
        <v>10.5</v>
      </c>
      <c r="L3230" s="28" t="n">
        <v>120</v>
      </c>
      <c r="M3230" s="28" t="n">
        <v>7</v>
      </c>
    </row>
    <row r="3231" customFormat="false" ht="15" hidden="false" customHeight="false" outlineLevel="0" collapsed="false">
      <c r="A3231" s="27" t="n">
        <v>45374</v>
      </c>
      <c r="B3231" s="28" t="n">
        <v>2024</v>
      </c>
      <c r="C3231" s="28" t="s">
        <v>172</v>
      </c>
      <c r="D3231" s="28" t="s">
        <v>51</v>
      </c>
      <c r="E3231" s="28" t="s">
        <v>779</v>
      </c>
      <c r="F3231" s="28" t="s">
        <v>142</v>
      </c>
      <c r="G3231" s="28" t="s">
        <v>143</v>
      </c>
      <c r="H3231" s="28" t="s">
        <v>211</v>
      </c>
      <c r="I3231" s="29" t="n">
        <v>500000</v>
      </c>
      <c r="J3231" s="29" t="n">
        <v>375000</v>
      </c>
      <c r="K3231" s="28" t="n">
        <v>10.75</v>
      </c>
      <c r="L3231" s="28" t="n">
        <v>120</v>
      </c>
      <c r="M3231" s="28" t="n">
        <v>11</v>
      </c>
    </row>
    <row r="3232" customFormat="false" ht="15" hidden="false" customHeight="false" outlineLevel="0" collapsed="false">
      <c r="A3232" s="27" t="n">
        <v>45374</v>
      </c>
      <c r="B3232" s="28" t="n">
        <v>2024</v>
      </c>
      <c r="C3232" s="28" t="s">
        <v>206</v>
      </c>
      <c r="D3232" s="28" t="s">
        <v>45</v>
      </c>
      <c r="E3232" s="28" t="s">
        <v>356</v>
      </c>
      <c r="F3232" s="28" t="s">
        <v>147</v>
      </c>
      <c r="G3232" s="28" t="s">
        <v>441</v>
      </c>
      <c r="H3232" s="28" t="s">
        <v>168</v>
      </c>
      <c r="I3232" s="29" t="n">
        <v>15000</v>
      </c>
      <c r="J3232" s="29" t="n">
        <v>7500</v>
      </c>
      <c r="K3232" s="28" t="n">
        <v>13.5</v>
      </c>
      <c r="L3232" s="28" t="n">
        <v>120</v>
      </c>
      <c r="M3232" s="28" t="n">
        <v>3</v>
      </c>
    </row>
    <row r="3233" customFormat="false" ht="15" hidden="false" customHeight="false" outlineLevel="0" collapsed="false">
      <c r="A3233" s="27" t="n">
        <v>45377</v>
      </c>
      <c r="B3233" s="28" t="n">
        <v>2024</v>
      </c>
      <c r="C3233" s="28" t="s">
        <v>196</v>
      </c>
      <c r="D3233" s="28" t="s">
        <v>43</v>
      </c>
      <c r="E3233" s="28" t="s">
        <v>967</v>
      </c>
      <c r="F3233" s="28" t="s">
        <v>142</v>
      </c>
      <c r="G3233" s="28" t="s">
        <v>143</v>
      </c>
      <c r="H3233" s="28" t="s">
        <v>159</v>
      </c>
      <c r="I3233" s="29" t="n">
        <v>100000</v>
      </c>
      <c r="J3233" s="29" t="n">
        <v>85000</v>
      </c>
      <c r="K3233" s="28" t="n">
        <v>10.75</v>
      </c>
      <c r="L3233" s="28" t="n">
        <v>60</v>
      </c>
      <c r="M3233" s="28" t="n">
        <v>2</v>
      </c>
    </row>
    <row r="3234" customFormat="false" ht="15" hidden="false" customHeight="false" outlineLevel="0" collapsed="false">
      <c r="A3234" s="27" t="n">
        <v>45377</v>
      </c>
      <c r="B3234" s="28" t="n">
        <v>2024</v>
      </c>
      <c r="C3234" s="28" t="s">
        <v>160</v>
      </c>
      <c r="D3234" s="28" t="s">
        <v>44</v>
      </c>
      <c r="E3234" s="28" t="s">
        <v>863</v>
      </c>
      <c r="F3234" s="28" t="s">
        <v>142</v>
      </c>
      <c r="G3234" s="28" t="s">
        <v>441</v>
      </c>
      <c r="H3234" s="28" t="s">
        <v>494</v>
      </c>
      <c r="I3234" s="29" t="n">
        <v>525000</v>
      </c>
      <c r="J3234" s="29" t="n">
        <v>393750</v>
      </c>
      <c r="K3234" s="28" t="n">
        <v>9.75</v>
      </c>
      <c r="L3234" s="28" t="n">
        <v>120</v>
      </c>
      <c r="M3234" s="28" t="n">
        <v>1</v>
      </c>
    </row>
    <row r="3235" customFormat="false" ht="15" hidden="false" customHeight="false" outlineLevel="0" collapsed="false">
      <c r="A3235" s="27" t="n">
        <v>45377</v>
      </c>
      <c r="B3235" s="28" t="n">
        <v>2024</v>
      </c>
      <c r="C3235" s="28" t="s">
        <v>312</v>
      </c>
      <c r="D3235" s="28" t="s">
        <v>43</v>
      </c>
      <c r="E3235" s="28" t="s">
        <v>1050</v>
      </c>
      <c r="F3235" s="28" t="s">
        <v>147</v>
      </c>
      <c r="G3235" s="28" t="s">
        <v>441</v>
      </c>
      <c r="H3235" s="28" t="s">
        <v>953</v>
      </c>
      <c r="I3235" s="29" t="n">
        <v>20000</v>
      </c>
      <c r="J3235" s="29" t="n">
        <v>10000</v>
      </c>
      <c r="K3235" s="28" t="n">
        <v>15</v>
      </c>
      <c r="L3235" s="28" t="n">
        <v>120</v>
      </c>
      <c r="M3235" s="28" t="n">
        <v>2</v>
      </c>
    </row>
    <row r="3236" customFormat="false" ht="15" hidden="false" customHeight="false" outlineLevel="0" collapsed="false">
      <c r="A3236" s="27" t="n">
        <v>45378</v>
      </c>
      <c r="B3236" s="28" t="n">
        <v>2024</v>
      </c>
      <c r="C3236" s="28" t="s">
        <v>213</v>
      </c>
      <c r="D3236" s="28" t="s">
        <v>45</v>
      </c>
      <c r="E3236" s="28" t="s">
        <v>824</v>
      </c>
      <c r="F3236" s="28" t="s">
        <v>147</v>
      </c>
      <c r="G3236" s="28" t="s">
        <v>148</v>
      </c>
      <c r="H3236" s="28" t="s">
        <v>469</v>
      </c>
      <c r="I3236" s="29" t="n">
        <v>100000</v>
      </c>
      <c r="J3236" s="29" t="n">
        <v>50000</v>
      </c>
      <c r="K3236" s="28" t="n">
        <v>9</v>
      </c>
      <c r="L3236" s="28" t="n">
        <v>120</v>
      </c>
      <c r="M3236" s="28" t="n">
        <v>0</v>
      </c>
    </row>
    <row r="3237" customFormat="false" ht="15" hidden="false" customHeight="false" outlineLevel="0" collapsed="false">
      <c r="A3237" s="27" t="n">
        <v>45378</v>
      </c>
      <c r="B3237" s="28" t="n">
        <v>2024</v>
      </c>
      <c r="C3237" s="28" t="s">
        <v>216</v>
      </c>
      <c r="D3237" s="28" t="s">
        <v>49</v>
      </c>
      <c r="E3237" s="28" t="s">
        <v>1016</v>
      </c>
      <c r="F3237" s="28" t="s">
        <v>194</v>
      </c>
      <c r="G3237" s="28" t="s">
        <v>441</v>
      </c>
      <c r="H3237" s="28" t="s">
        <v>799</v>
      </c>
      <c r="I3237" s="29" t="n">
        <v>485000</v>
      </c>
      <c r="J3237" s="29" t="n">
        <v>363750</v>
      </c>
      <c r="K3237" s="28" t="n">
        <v>11.5</v>
      </c>
      <c r="L3237" s="28" t="n">
        <v>120</v>
      </c>
      <c r="M3237" s="28" t="n">
        <v>13</v>
      </c>
    </row>
    <row r="3238" customFormat="false" ht="15" hidden="false" customHeight="false" outlineLevel="0" collapsed="false">
      <c r="A3238" s="27" t="n">
        <v>45378</v>
      </c>
      <c r="B3238" s="28" t="n">
        <v>2024</v>
      </c>
      <c r="C3238" s="28" t="s">
        <v>216</v>
      </c>
      <c r="D3238" s="28" t="s">
        <v>52</v>
      </c>
      <c r="E3238" s="28" t="s">
        <v>715</v>
      </c>
      <c r="F3238" s="28" t="s">
        <v>142</v>
      </c>
      <c r="G3238" s="28" t="s">
        <v>148</v>
      </c>
      <c r="H3238" s="28" t="s">
        <v>208</v>
      </c>
      <c r="I3238" s="29" t="n">
        <v>100000</v>
      </c>
      <c r="J3238" s="29" t="n">
        <v>85000</v>
      </c>
      <c r="K3238" s="28" t="n">
        <v>11.25</v>
      </c>
      <c r="L3238" s="28" t="n">
        <v>120</v>
      </c>
      <c r="M3238" s="28" t="n">
        <v>3</v>
      </c>
    </row>
    <row r="3239" customFormat="false" ht="15" hidden="false" customHeight="false" outlineLevel="0" collapsed="false">
      <c r="A3239" s="27" t="n">
        <v>45379</v>
      </c>
      <c r="B3239" s="28" t="n">
        <v>2024</v>
      </c>
      <c r="C3239" s="28" t="s">
        <v>206</v>
      </c>
      <c r="D3239" s="28" t="s">
        <v>42</v>
      </c>
      <c r="E3239" s="28" t="s">
        <v>753</v>
      </c>
      <c r="F3239" s="28" t="s">
        <v>142</v>
      </c>
      <c r="G3239" s="28" t="s">
        <v>148</v>
      </c>
      <c r="H3239" s="28" t="s">
        <v>275</v>
      </c>
      <c r="I3239" s="29" t="n">
        <v>50000</v>
      </c>
      <c r="J3239" s="29" t="n">
        <v>42500</v>
      </c>
      <c r="K3239" s="28" t="n">
        <v>15</v>
      </c>
      <c r="L3239" s="28" t="n">
        <v>120</v>
      </c>
      <c r="M3239" s="28" t="n">
        <v>5</v>
      </c>
    </row>
    <row r="3240" customFormat="false" ht="15" hidden="false" customHeight="false" outlineLevel="0" collapsed="false">
      <c r="A3240" s="27" t="n">
        <v>45379</v>
      </c>
      <c r="B3240" s="28" t="n">
        <v>2024</v>
      </c>
      <c r="C3240" s="28" t="s">
        <v>252</v>
      </c>
      <c r="D3240" s="28" t="s">
        <v>51</v>
      </c>
      <c r="E3240" s="28" t="s">
        <v>779</v>
      </c>
      <c r="F3240" s="28" t="s">
        <v>142</v>
      </c>
      <c r="G3240" s="28" t="s">
        <v>441</v>
      </c>
      <c r="H3240" s="28" t="s">
        <v>159</v>
      </c>
      <c r="I3240" s="29" t="n">
        <v>150000</v>
      </c>
      <c r="J3240" s="29" t="n">
        <v>127500</v>
      </c>
      <c r="K3240" s="28" t="n">
        <v>10.5</v>
      </c>
      <c r="L3240" s="28" t="n">
        <v>84</v>
      </c>
      <c r="M3240" s="28" t="n">
        <v>4</v>
      </c>
    </row>
    <row r="3241" customFormat="false" ht="15" hidden="false" customHeight="false" outlineLevel="0" collapsed="false">
      <c r="A3241" s="27" t="n">
        <v>45379</v>
      </c>
      <c r="B3241" s="28" t="n">
        <v>2024</v>
      </c>
      <c r="C3241" s="28" t="s">
        <v>518</v>
      </c>
      <c r="D3241" s="28" t="s">
        <v>43</v>
      </c>
      <c r="E3241" s="28" t="s">
        <v>788</v>
      </c>
      <c r="F3241" s="28" t="s">
        <v>142</v>
      </c>
      <c r="G3241" s="28" t="s">
        <v>148</v>
      </c>
      <c r="H3241" s="28" t="s">
        <v>275</v>
      </c>
      <c r="I3241" s="29" t="n">
        <v>50000</v>
      </c>
      <c r="J3241" s="29" t="n">
        <v>42500</v>
      </c>
      <c r="K3241" s="28" t="n">
        <v>15</v>
      </c>
      <c r="L3241" s="28" t="n">
        <v>120</v>
      </c>
      <c r="M3241" s="28" t="n">
        <v>8</v>
      </c>
    </row>
    <row r="3242" customFormat="false" ht="15" hidden="false" customHeight="false" outlineLevel="0" collapsed="false">
      <c r="A3242" s="27" t="n">
        <v>45380</v>
      </c>
      <c r="B3242" s="28" t="n">
        <v>2024</v>
      </c>
      <c r="C3242" s="28" t="s">
        <v>252</v>
      </c>
      <c r="D3242" s="28" t="s">
        <v>48</v>
      </c>
      <c r="E3242" s="28" t="s">
        <v>304</v>
      </c>
      <c r="F3242" s="28" t="s">
        <v>147</v>
      </c>
      <c r="G3242" s="28" t="s">
        <v>143</v>
      </c>
      <c r="H3242" s="28" t="s">
        <v>159</v>
      </c>
      <c r="I3242" s="29" t="n">
        <v>10000</v>
      </c>
      <c r="J3242" s="29" t="n">
        <v>5000</v>
      </c>
      <c r="K3242" s="28" t="n">
        <v>15</v>
      </c>
      <c r="L3242" s="28" t="n">
        <v>120</v>
      </c>
      <c r="M3242" s="28" t="n">
        <v>3</v>
      </c>
    </row>
    <row r="3243" customFormat="false" ht="15" hidden="false" customHeight="false" outlineLevel="0" collapsed="false">
      <c r="A3243" s="27" t="n">
        <v>45380</v>
      </c>
      <c r="B3243" s="28" t="n">
        <v>2024</v>
      </c>
      <c r="C3243" s="28" t="s">
        <v>206</v>
      </c>
      <c r="D3243" s="28" t="s">
        <v>42</v>
      </c>
      <c r="E3243" s="28" t="s">
        <v>226</v>
      </c>
      <c r="F3243" s="28" t="s">
        <v>142</v>
      </c>
      <c r="G3243" s="28" t="s">
        <v>148</v>
      </c>
      <c r="H3243" s="28" t="s">
        <v>771</v>
      </c>
      <c r="I3243" s="29" t="n">
        <v>50000</v>
      </c>
      <c r="J3243" s="29" t="n">
        <v>42500</v>
      </c>
      <c r="K3243" s="28" t="n">
        <v>11.25</v>
      </c>
      <c r="L3243" s="28" t="n">
        <v>120</v>
      </c>
      <c r="M3243" s="28" t="n">
        <v>0</v>
      </c>
    </row>
    <row r="3244" customFormat="false" ht="15" hidden="false" customHeight="false" outlineLevel="0" collapsed="false">
      <c r="A3244" s="27" t="n">
        <v>45380</v>
      </c>
      <c r="B3244" s="28" t="n">
        <v>2024</v>
      </c>
      <c r="C3244" s="28" t="s">
        <v>163</v>
      </c>
      <c r="D3244" s="28" t="s">
        <v>48</v>
      </c>
      <c r="E3244" s="28" t="s">
        <v>815</v>
      </c>
      <c r="F3244" s="28" t="s">
        <v>142</v>
      </c>
      <c r="G3244" s="28" t="s">
        <v>441</v>
      </c>
      <c r="H3244" s="28" t="s">
        <v>771</v>
      </c>
      <c r="I3244" s="29" t="n">
        <v>32900</v>
      </c>
      <c r="J3244" s="29" t="n">
        <v>27965</v>
      </c>
      <c r="K3244" s="28" t="n">
        <v>11.25</v>
      </c>
      <c r="L3244" s="28" t="n">
        <v>120</v>
      </c>
      <c r="M3244" s="28" t="n">
        <v>0</v>
      </c>
    </row>
    <row r="3245" customFormat="false" ht="15" hidden="false" customHeight="false" outlineLevel="0" collapsed="false">
      <c r="A3245" s="27" t="n">
        <v>45380</v>
      </c>
      <c r="B3245" s="28" t="n">
        <v>2024</v>
      </c>
      <c r="C3245" s="28" t="s">
        <v>252</v>
      </c>
      <c r="D3245" s="28" t="s">
        <v>48</v>
      </c>
      <c r="E3245" s="28" t="s">
        <v>304</v>
      </c>
      <c r="F3245" s="28" t="s">
        <v>142</v>
      </c>
      <c r="G3245" s="28" t="s">
        <v>143</v>
      </c>
      <c r="H3245" s="28" t="s">
        <v>159</v>
      </c>
      <c r="I3245" s="29" t="n">
        <v>25000</v>
      </c>
      <c r="J3245" s="29" t="n">
        <v>21250</v>
      </c>
      <c r="K3245" s="28" t="n">
        <v>11.74</v>
      </c>
      <c r="L3245" s="28" t="n">
        <v>60</v>
      </c>
      <c r="M3245" s="28" t="n">
        <v>3</v>
      </c>
    </row>
    <row r="3246" customFormat="false" ht="15" hidden="false" customHeight="false" outlineLevel="0" collapsed="false">
      <c r="A3246" s="27" t="n">
        <v>45381</v>
      </c>
      <c r="B3246" s="28" t="n">
        <v>2024</v>
      </c>
      <c r="C3246" s="28" t="s">
        <v>172</v>
      </c>
      <c r="D3246" s="28" t="s">
        <v>44</v>
      </c>
      <c r="E3246" s="28" t="s">
        <v>729</v>
      </c>
      <c r="F3246" s="28" t="s">
        <v>142</v>
      </c>
      <c r="G3246" s="28" t="s">
        <v>143</v>
      </c>
      <c r="H3246" s="28" t="s">
        <v>159</v>
      </c>
      <c r="I3246" s="29" t="n">
        <v>25000</v>
      </c>
      <c r="J3246" s="29" t="n">
        <v>21250</v>
      </c>
      <c r="K3246" s="28" t="n">
        <v>11.74</v>
      </c>
      <c r="L3246" s="28" t="n">
        <v>60</v>
      </c>
      <c r="M3246" s="28" t="n">
        <v>3</v>
      </c>
    </row>
    <row r="3247" customFormat="false" ht="15" hidden="false" customHeight="false" outlineLevel="0" collapsed="false">
      <c r="A3247" s="27" t="n">
        <v>45381</v>
      </c>
      <c r="B3247" s="28" t="n">
        <v>2024</v>
      </c>
      <c r="C3247" s="28" t="s">
        <v>172</v>
      </c>
      <c r="D3247" s="28" t="s">
        <v>44</v>
      </c>
      <c r="E3247" s="28" t="s">
        <v>729</v>
      </c>
      <c r="F3247" s="28" t="s">
        <v>147</v>
      </c>
      <c r="G3247" s="28" t="s">
        <v>143</v>
      </c>
      <c r="H3247" s="28" t="s">
        <v>159</v>
      </c>
      <c r="I3247" s="29" t="n">
        <v>25000</v>
      </c>
      <c r="J3247" s="29" t="n">
        <v>12500</v>
      </c>
      <c r="K3247" s="28" t="n">
        <v>15</v>
      </c>
      <c r="L3247" s="28" t="n">
        <v>120</v>
      </c>
      <c r="M3247" s="28" t="n">
        <v>3</v>
      </c>
    </row>
    <row r="3248" customFormat="false" ht="15" hidden="false" customHeight="false" outlineLevel="0" collapsed="false">
      <c r="A3248" s="27" t="n">
        <v>45381</v>
      </c>
      <c r="B3248" s="28" t="n">
        <v>2024</v>
      </c>
      <c r="C3248" s="28" t="s">
        <v>316</v>
      </c>
      <c r="D3248" s="28" t="s">
        <v>52</v>
      </c>
      <c r="E3248" s="28" t="s">
        <v>673</v>
      </c>
      <c r="F3248" s="28" t="s">
        <v>147</v>
      </c>
      <c r="G3248" s="28" t="s">
        <v>441</v>
      </c>
      <c r="H3248" s="28" t="s">
        <v>168</v>
      </c>
      <c r="I3248" s="29" t="n">
        <v>15000</v>
      </c>
      <c r="J3248" s="29" t="n">
        <v>7500</v>
      </c>
      <c r="K3248" s="28" t="n">
        <v>13</v>
      </c>
      <c r="L3248" s="28" t="n">
        <v>120</v>
      </c>
      <c r="M3248" s="28" t="n">
        <v>1</v>
      </c>
    </row>
    <row r="3249" customFormat="false" ht="15" hidden="false" customHeight="false" outlineLevel="0" collapsed="false">
      <c r="A3249" s="27" t="n">
        <v>45381</v>
      </c>
      <c r="B3249" s="28" t="n">
        <v>2024</v>
      </c>
      <c r="C3249" s="28" t="s">
        <v>230</v>
      </c>
      <c r="D3249" s="28" t="s">
        <v>52</v>
      </c>
      <c r="E3249" s="28" t="s">
        <v>720</v>
      </c>
      <c r="F3249" s="28" t="s">
        <v>142</v>
      </c>
      <c r="G3249" s="28" t="s">
        <v>152</v>
      </c>
      <c r="H3249" s="28" t="s">
        <v>326</v>
      </c>
      <c r="I3249" s="29" t="n">
        <v>1508900</v>
      </c>
      <c r="J3249" s="29" t="n">
        <v>1131675</v>
      </c>
      <c r="K3249" s="28" t="n">
        <v>11.25</v>
      </c>
      <c r="L3249" s="28" t="n">
        <v>120</v>
      </c>
      <c r="M3249" s="28" t="n">
        <v>51</v>
      </c>
    </row>
    <row r="3250" customFormat="false" ht="15" hidden="false" customHeight="false" outlineLevel="0" collapsed="false">
      <c r="A3250" s="27" t="n">
        <v>45384</v>
      </c>
      <c r="B3250" s="28" t="n">
        <v>2024</v>
      </c>
      <c r="C3250" s="28" t="s">
        <v>160</v>
      </c>
      <c r="D3250" s="28" t="s">
        <v>44</v>
      </c>
      <c r="E3250" s="28" t="s">
        <v>167</v>
      </c>
      <c r="F3250" s="28" t="s">
        <v>142</v>
      </c>
      <c r="G3250" s="28" t="s">
        <v>148</v>
      </c>
      <c r="H3250" s="28" t="s">
        <v>621</v>
      </c>
      <c r="I3250" s="29" t="n">
        <v>150000</v>
      </c>
      <c r="J3250" s="29" t="n">
        <v>127500</v>
      </c>
      <c r="K3250" s="28" t="n">
        <v>14.5</v>
      </c>
      <c r="L3250" s="28" t="n">
        <v>120</v>
      </c>
      <c r="M3250" s="28" t="n">
        <v>75</v>
      </c>
    </row>
    <row r="3251" customFormat="false" ht="15" hidden="false" customHeight="false" outlineLevel="0" collapsed="false">
      <c r="A3251" s="27" t="n">
        <v>45384</v>
      </c>
      <c r="B3251" s="28" t="n">
        <v>2024</v>
      </c>
      <c r="C3251" s="28" t="s">
        <v>169</v>
      </c>
      <c r="D3251" s="28" t="s">
        <v>50</v>
      </c>
      <c r="E3251" s="28" t="s">
        <v>389</v>
      </c>
      <c r="F3251" s="28" t="s">
        <v>147</v>
      </c>
      <c r="G3251" s="28" t="s">
        <v>143</v>
      </c>
      <c r="H3251" s="28" t="s">
        <v>211</v>
      </c>
      <c r="I3251" s="29" t="n">
        <v>30000</v>
      </c>
      <c r="J3251" s="29" t="n">
        <v>15000</v>
      </c>
      <c r="K3251" s="28" t="n">
        <v>11.25</v>
      </c>
      <c r="L3251" s="28" t="n">
        <v>120</v>
      </c>
      <c r="M3251" s="28" t="n">
        <v>4</v>
      </c>
    </row>
    <row r="3252" customFormat="false" ht="15" hidden="false" customHeight="false" outlineLevel="0" collapsed="false">
      <c r="A3252" s="27" t="n">
        <v>45384</v>
      </c>
      <c r="B3252" s="28" t="n">
        <v>2024</v>
      </c>
      <c r="C3252" s="28" t="s">
        <v>169</v>
      </c>
      <c r="D3252" s="28" t="s">
        <v>50</v>
      </c>
      <c r="E3252" s="28" t="s">
        <v>389</v>
      </c>
      <c r="F3252" s="28" t="s">
        <v>142</v>
      </c>
      <c r="G3252" s="28" t="s">
        <v>143</v>
      </c>
      <c r="H3252" s="28" t="s">
        <v>211</v>
      </c>
      <c r="I3252" s="29" t="n">
        <v>212500</v>
      </c>
      <c r="J3252" s="29" t="n">
        <v>159375</v>
      </c>
      <c r="K3252" s="28" t="n">
        <v>11.25</v>
      </c>
      <c r="L3252" s="28" t="n">
        <v>120</v>
      </c>
      <c r="M3252" s="28" t="n">
        <v>4</v>
      </c>
    </row>
    <row r="3253" customFormat="false" ht="15" hidden="false" customHeight="false" outlineLevel="0" collapsed="false">
      <c r="A3253" s="27" t="n">
        <v>45384</v>
      </c>
      <c r="B3253" s="28" t="n">
        <v>2024</v>
      </c>
      <c r="C3253" s="28" t="s">
        <v>160</v>
      </c>
      <c r="D3253" s="28" t="s">
        <v>49</v>
      </c>
      <c r="E3253" s="28" t="s">
        <v>932</v>
      </c>
      <c r="F3253" s="28" t="s">
        <v>147</v>
      </c>
      <c r="G3253" s="28" t="s">
        <v>148</v>
      </c>
      <c r="H3253" s="28" t="s">
        <v>162</v>
      </c>
      <c r="I3253" s="29" t="n">
        <v>112100</v>
      </c>
      <c r="J3253" s="29" t="n">
        <v>56050</v>
      </c>
      <c r="K3253" s="28" t="n">
        <v>6.89</v>
      </c>
      <c r="L3253" s="28" t="n">
        <v>120</v>
      </c>
      <c r="M3253" s="28" t="n">
        <v>0</v>
      </c>
    </row>
    <row r="3254" customFormat="false" ht="15" hidden="false" customHeight="false" outlineLevel="0" collapsed="false">
      <c r="A3254" s="27" t="n">
        <v>45384</v>
      </c>
      <c r="B3254" s="28" t="n">
        <v>2024</v>
      </c>
      <c r="C3254" s="28" t="s">
        <v>163</v>
      </c>
      <c r="D3254" s="28" t="s">
        <v>42</v>
      </c>
      <c r="E3254" s="28" t="s">
        <v>753</v>
      </c>
      <c r="F3254" s="28" t="s">
        <v>142</v>
      </c>
      <c r="G3254" s="28" t="s">
        <v>143</v>
      </c>
      <c r="H3254" s="28" t="s">
        <v>561</v>
      </c>
      <c r="I3254" s="29" t="n">
        <v>500000</v>
      </c>
      <c r="J3254" s="29" t="n">
        <v>375000</v>
      </c>
      <c r="K3254" s="28" t="n">
        <v>10.5</v>
      </c>
      <c r="L3254" s="28" t="n">
        <v>120</v>
      </c>
      <c r="M3254" s="28" t="n">
        <v>12</v>
      </c>
    </row>
    <row r="3255" customFormat="false" ht="15" hidden="false" customHeight="false" outlineLevel="0" collapsed="false">
      <c r="A3255" s="27" t="n">
        <v>45385</v>
      </c>
      <c r="B3255" s="28" t="n">
        <v>2024</v>
      </c>
      <c r="C3255" s="28" t="s">
        <v>206</v>
      </c>
      <c r="D3255" s="28" t="s">
        <v>44</v>
      </c>
      <c r="E3255" s="28" t="s">
        <v>863</v>
      </c>
      <c r="F3255" s="28" t="s">
        <v>147</v>
      </c>
      <c r="G3255" s="28" t="s">
        <v>148</v>
      </c>
      <c r="H3255" s="28" t="s">
        <v>162</v>
      </c>
      <c r="I3255" s="29" t="n">
        <v>500000</v>
      </c>
      <c r="J3255" s="29" t="n">
        <v>250000</v>
      </c>
      <c r="K3255" s="28" t="n">
        <v>11.25</v>
      </c>
      <c r="L3255" s="28" t="n">
        <v>120</v>
      </c>
      <c r="M3255" s="28" t="n">
        <v>25</v>
      </c>
    </row>
    <row r="3256" customFormat="false" ht="15" hidden="false" customHeight="false" outlineLevel="0" collapsed="false">
      <c r="A3256" s="27" t="n">
        <v>45385</v>
      </c>
      <c r="B3256" s="28" t="n">
        <v>2024</v>
      </c>
      <c r="C3256" s="28" t="s">
        <v>203</v>
      </c>
      <c r="D3256" s="28" t="s">
        <v>51</v>
      </c>
      <c r="E3256" s="28" t="s">
        <v>779</v>
      </c>
      <c r="F3256" s="28" t="s">
        <v>147</v>
      </c>
      <c r="G3256" s="28" t="s">
        <v>441</v>
      </c>
      <c r="H3256" s="28" t="s">
        <v>159</v>
      </c>
      <c r="I3256" s="29" t="n">
        <v>50000</v>
      </c>
      <c r="J3256" s="29" t="n">
        <v>25000</v>
      </c>
      <c r="K3256" s="28" t="n">
        <v>15</v>
      </c>
      <c r="L3256" s="28" t="n">
        <v>120</v>
      </c>
      <c r="M3256" s="28" t="n">
        <v>4</v>
      </c>
    </row>
    <row r="3257" customFormat="false" ht="15" hidden="false" customHeight="false" outlineLevel="0" collapsed="false">
      <c r="A3257" s="27" t="n">
        <v>45385</v>
      </c>
      <c r="B3257" s="28" t="n">
        <v>2024</v>
      </c>
      <c r="C3257" s="28" t="s">
        <v>203</v>
      </c>
      <c r="D3257" s="28" t="s">
        <v>51</v>
      </c>
      <c r="E3257" s="28" t="s">
        <v>779</v>
      </c>
      <c r="F3257" s="28" t="s">
        <v>142</v>
      </c>
      <c r="G3257" s="28" t="s">
        <v>441</v>
      </c>
      <c r="H3257" s="28" t="s">
        <v>159</v>
      </c>
      <c r="I3257" s="29" t="n">
        <v>50000</v>
      </c>
      <c r="J3257" s="29" t="n">
        <v>42500</v>
      </c>
      <c r="K3257" s="28" t="n">
        <v>10.75</v>
      </c>
      <c r="L3257" s="28" t="n">
        <v>60</v>
      </c>
      <c r="M3257" s="28" t="n">
        <v>4</v>
      </c>
    </row>
    <row r="3258" customFormat="false" ht="15" hidden="false" customHeight="false" outlineLevel="0" collapsed="false">
      <c r="A3258" s="27" t="n">
        <v>45385</v>
      </c>
      <c r="B3258" s="28" t="n">
        <v>2024</v>
      </c>
      <c r="C3258" s="28" t="s">
        <v>160</v>
      </c>
      <c r="D3258" s="28" t="s">
        <v>50</v>
      </c>
      <c r="E3258" s="28" t="s">
        <v>389</v>
      </c>
      <c r="F3258" s="28" t="s">
        <v>142</v>
      </c>
      <c r="G3258" s="28" t="s">
        <v>148</v>
      </c>
      <c r="H3258" s="28" t="s">
        <v>144</v>
      </c>
      <c r="I3258" s="29" t="n">
        <v>1150000</v>
      </c>
      <c r="J3258" s="29" t="n">
        <v>862500</v>
      </c>
      <c r="K3258" s="28" t="n">
        <v>10.65</v>
      </c>
      <c r="L3258" s="28" t="n">
        <v>120</v>
      </c>
      <c r="M3258" s="28" t="n">
        <v>12</v>
      </c>
    </row>
    <row r="3259" customFormat="false" ht="15" hidden="false" customHeight="false" outlineLevel="0" collapsed="false">
      <c r="A3259" s="27" t="n">
        <v>45385</v>
      </c>
      <c r="B3259" s="28" t="n">
        <v>2024</v>
      </c>
      <c r="C3259" s="28" t="s">
        <v>169</v>
      </c>
      <c r="D3259" s="28" t="s">
        <v>47</v>
      </c>
      <c r="E3259" s="28" t="s">
        <v>817</v>
      </c>
      <c r="F3259" s="28" t="s">
        <v>147</v>
      </c>
      <c r="G3259" s="28" t="s">
        <v>441</v>
      </c>
      <c r="H3259" s="28" t="s">
        <v>667</v>
      </c>
      <c r="I3259" s="29" t="n">
        <v>61100</v>
      </c>
      <c r="J3259" s="29" t="n">
        <v>30550</v>
      </c>
      <c r="K3259" s="28" t="n">
        <v>9.24</v>
      </c>
      <c r="L3259" s="28" t="n">
        <v>60</v>
      </c>
      <c r="M3259" s="28" t="n">
        <v>3</v>
      </c>
    </row>
    <row r="3260" customFormat="false" ht="15" hidden="false" customHeight="false" outlineLevel="0" collapsed="false">
      <c r="A3260" s="27" t="n">
        <v>45386</v>
      </c>
      <c r="B3260" s="28" t="n">
        <v>2024</v>
      </c>
      <c r="C3260" s="28" t="s">
        <v>603</v>
      </c>
      <c r="D3260" s="28" t="s">
        <v>43</v>
      </c>
      <c r="E3260" s="28" t="s">
        <v>952</v>
      </c>
      <c r="F3260" s="28" t="s">
        <v>142</v>
      </c>
      <c r="G3260" s="28" t="s">
        <v>143</v>
      </c>
      <c r="H3260" s="28" t="s">
        <v>693</v>
      </c>
      <c r="I3260" s="29" t="n">
        <v>150000</v>
      </c>
      <c r="J3260" s="29" t="n">
        <v>127500</v>
      </c>
      <c r="K3260" s="28" t="n">
        <v>13.25</v>
      </c>
      <c r="L3260" s="28" t="n">
        <v>72</v>
      </c>
      <c r="M3260" s="28" t="n">
        <v>5</v>
      </c>
    </row>
    <row r="3261" customFormat="false" ht="15" hidden="false" customHeight="false" outlineLevel="0" collapsed="false">
      <c r="A3261" s="27" t="n">
        <v>45386</v>
      </c>
      <c r="B3261" s="28" t="n">
        <v>2024</v>
      </c>
      <c r="C3261" s="28" t="s">
        <v>172</v>
      </c>
      <c r="D3261" s="28" t="s">
        <v>42</v>
      </c>
      <c r="E3261" s="28" t="s">
        <v>176</v>
      </c>
      <c r="F3261" s="28" t="s">
        <v>142</v>
      </c>
      <c r="G3261" s="28" t="s">
        <v>148</v>
      </c>
      <c r="H3261" s="28" t="s">
        <v>771</v>
      </c>
      <c r="I3261" s="29" t="n">
        <v>50000</v>
      </c>
      <c r="J3261" s="29" t="n">
        <v>42500</v>
      </c>
      <c r="K3261" s="28" t="n">
        <v>11.25</v>
      </c>
      <c r="L3261" s="28" t="n">
        <v>120</v>
      </c>
      <c r="M3261" s="28" t="n">
        <v>0</v>
      </c>
    </row>
    <row r="3262" customFormat="false" ht="15" hidden="false" customHeight="false" outlineLevel="0" collapsed="false">
      <c r="A3262" s="27" t="n">
        <v>45386</v>
      </c>
      <c r="B3262" s="28" t="n">
        <v>2024</v>
      </c>
      <c r="C3262" s="28" t="s">
        <v>163</v>
      </c>
      <c r="D3262" s="28" t="s">
        <v>51</v>
      </c>
      <c r="E3262" s="28" t="s">
        <v>800</v>
      </c>
      <c r="F3262" s="28" t="s">
        <v>142</v>
      </c>
      <c r="G3262" s="28" t="s">
        <v>143</v>
      </c>
      <c r="H3262" s="28" t="s">
        <v>463</v>
      </c>
      <c r="I3262" s="29" t="n">
        <v>2464000</v>
      </c>
      <c r="J3262" s="29" t="n">
        <v>1848000</v>
      </c>
      <c r="K3262" s="28" t="n">
        <v>11</v>
      </c>
      <c r="L3262" s="28" t="n">
        <v>129</v>
      </c>
      <c r="M3262" s="28" t="n">
        <v>7</v>
      </c>
    </row>
    <row r="3263" customFormat="false" ht="15" hidden="false" customHeight="false" outlineLevel="0" collapsed="false">
      <c r="A3263" s="27" t="n">
        <v>45387</v>
      </c>
      <c r="B3263" s="28" t="n">
        <v>2024</v>
      </c>
      <c r="C3263" s="28" t="s">
        <v>169</v>
      </c>
      <c r="D3263" s="28" t="s">
        <v>48</v>
      </c>
      <c r="E3263" s="28" t="s">
        <v>270</v>
      </c>
      <c r="F3263" s="28" t="s">
        <v>147</v>
      </c>
      <c r="G3263" s="28" t="s">
        <v>148</v>
      </c>
      <c r="H3263" s="28" t="s">
        <v>205</v>
      </c>
      <c r="I3263" s="29" t="n">
        <v>100000</v>
      </c>
      <c r="J3263" s="29" t="n">
        <v>50000</v>
      </c>
      <c r="K3263" s="28" t="n">
        <v>11</v>
      </c>
      <c r="L3263" s="28" t="n">
        <v>120</v>
      </c>
      <c r="M3263" s="28" t="n">
        <v>3</v>
      </c>
    </row>
    <row r="3264" customFormat="false" ht="15" hidden="false" customHeight="false" outlineLevel="0" collapsed="false">
      <c r="A3264" s="27" t="n">
        <v>45387</v>
      </c>
      <c r="B3264" s="28" t="n">
        <v>2024</v>
      </c>
      <c r="C3264" s="28" t="s">
        <v>172</v>
      </c>
      <c r="D3264" s="28" t="s">
        <v>44</v>
      </c>
      <c r="E3264" s="28" t="s">
        <v>783</v>
      </c>
      <c r="F3264" s="28" t="s">
        <v>142</v>
      </c>
      <c r="G3264" s="28" t="s">
        <v>148</v>
      </c>
      <c r="H3264" s="28" t="s">
        <v>501</v>
      </c>
      <c r="I3264" s="29" t="n">
        <v>1933000</v>
      </c>
      <c r="J3264" s="29" t="n">
        <v>1449750</v>
      </c>
      <c r="K3264" s="28" t="n">
        <v>11.25</v>
      </c>
      <c r="L3264" s="28" t="n">
        <v>120</v>
      </c>
      <c r="M3264" s="28" t="n">
        <v>292</v>
      </c>
    </row>
    <row r="3265" customFormat="false" ht="15" hidden="false" customHeight="false" outlineLevel="0" collapsed="false">
      <c r="A3265" s="27" t="n">
        <v>45388</v>
      </c>
      <c r="B3265" s="28" t="n">
        <v>2024</v>
      </c>
      <c r="C3265" s="28" t="s">
        <v>163</v>
      </c>
      <c r="D3265" s="28" t="s">
        <v>51</v>
      </c>
      <c r="E3265" s="28" t="s">
        <v>779</v>
      </c>
      <c r="F3265" s="28" t="s">
        <v>142</v>
      </c>
      <c r="G3265" s="28" t="s">
        <v>148</v>
      </c>
      <c r="H3265" s="28" t="s">
        <v>275</v>
      </c>
      <c r="I3265" s="29" t="n">
        <v>15000</v>
      </c>
      <c r="J3265" s="29" t="n">
        <v>12750</v>
      </c>
      <c r="K3265" s="28" t="n">
        <v>15</v>
      </c>
      <c r="L3265" s="28" t="n">
        <v>120</v>
      </c>
      <c r="M3265" s="28" t="n">
        <v>3</v>
      </c>
    </row>
    <row r="3266" customFormat="false" ht="15" hidden="false" customHeight="false" outlineLevel="0" collapsed="false">
      <c r="A3266" s="27" t="n">
        <v>45388</v>
      </c>
      <c r="B3266" s="28" t="n">
        <v>2024</v>
      </c>
      <c r="C3266" s="28" t="s">
        <v>235</v>
      </c>
      <c r="D3266" s="28" t="s">
        <v>52</v>
      </c>
      <c r="E3266" s="28" t="s">
        <v>715</v>
      </c>
      <c r="F3266" s="28" t="s">
        <v>142</v>
      </c>
      <c r="G3266" s="28" t="s">
        <v>148</v>
      </c>
      <c r="H3266" s="28" t="s">
        <v>771</v>
      </c>
      <c r="I3266" s="29" t="n">
        <v>47100</v>
      </c>
      <c r="J3266" s="29" t="n">
        <v>40035</v>
      </c>
      <c r="K3266" s="28" t="n">
        <v>11.25</v>
      </c>
      <c r="L3266" s="28" t="n">
        <v>120</v>
      </c>
      <c r="M3266" s="28" t="n">
        <v>0</v>
      </c>
    </row>
    <row r="3267" customFormat="false" ht="15" hidden="false" customHeight="false" outlineLevel="0" collapsed="false">
      <c r="A3267" s="27" t="n">
        <v>45390</v>
      </c>
      <c r="B3267" s="28" t="n">
        <v>2024</v>
      </c>
      <c r="C3267" s="28" t="s">
        <v>235</v>
      </c>
      <c r="D3267" s="28" t="s">
        <v>46</v>
      </c>
      <c r="E3267" s="28" t="s">
        <v>904</v>
      </c>
      <c r="F3267" s="28" t="s">
        <v>142</v>
      </c>
      <c r="G3267" s="28" t="s">
        <v>152</v>
      </c>
      <c r="H3267" s="28" t="s">
        <v>494</v>
      </c>
      <c r="I3267" s="29" t="n">
        <v>1495000</v>
      </c>
      <c r="J3267" s="29" t="n">
        <v>1121250</v>
      </c>
      <c r="K3267" s="28" t="n">
        <v>10.1</v>
      </c>
      <c r="L3267" s="28" t="n">
        <v>120</v>
      </c>
      <c r="M3267" s="28" t="n">
        <v>2</v>
      </c>
    </row>
    <row r="3268" customFormat="false" ht="15" hidden="false" customHeight="false" outlineLevel="0" collapsed="false">
      <c r="A3268" s="27" t="n">
        <v>45390</v>
      </c>
      <c r="B3268" s="28" t="n">
        <v>2024</v>
      </c>
      <c r="C3268" s="28" t="s">
        <v>172</v>
      </c>
      <c r="D3268" s="28" t="s">
        <v>45</v>
      </c>
      <c r="E3268" s="28" t="s">
        <v>740</v>
      </c>
      <c r="F3268" s="28" t="s">
        <v>142</v>
      </c>
      <c r="G3268" s="28" t="s">
        <v>143</v>
      </c>
      <c r="H3268" s="28" t="s">
        <v>287</v>
      </c>
      <c r="I3268" s="29" t="n">
        <v>150000</v>
      </c>
      <c r="J3268" s="29" t="n">
        <v>127500</v>
      </c>
      <c r="K3268" s="28" t="n">
        <v>11.25</v>
      </c>
      <c r="L3268" s="28" t="n">
        <v>120</v>
      </c>
      <c r="M3268" s="28" t="n">
        <v>2</v>
      </c>
    </row>
    <row r="3269" customFormat="false" ht="15" hidden="false" customHeight="false" outlineLevel="0" collapsed="false">
      <c r="A3269" s="27" t="n">
        <v>45391</v>
      </c>
      <c r="B3269" s="28" t="n">
        <v>2024</v>
      </c>
      <c r="C3269" s="28" t="s">
        <v>172</v>
      </c>
      <c r="D3269" s="28" t="s">
        <v>44</v>
      </c>
      <c r="E3269" s="28" t="s">
        <v>1051</v>
      </c>
      <c r="F3269" s="28" t="s">
        <v>147</v>
      </c>
      <c r="G3269" s="28" t="s">
        <v>148</v>
      </c>
      <c r="H3269" s="28" t="s">
        <v>221</v>
      </c>
      <c r="I3269" s="29" t="n">
        <v>150000</v>
      </c>
      <c r="J3269" s="29" t="n">
        <v>75000</v>
      </c>
      <c r="K3269" s="28" t="n">
        <v>11</v>
      </c>
      <c r="L3269" s="28" t="n">
        <v>120</v>
      </c>
      <c r="M3269" s="28" t="n">
        <v>18</v>
      </c>
    </row>
    <row r="3270" customFormat="false" ht="15" hidden="false" customHeight="false" outlineLevel="0" collapsed="false">
      <c r="A3270" s="27" t="n">
        <v>45391</v>
      </c>
      <c r="B3270" s="28" t="n">
        <v>2024</v>
      </c>
      <c r="C3270" s="28" t="s">
        <v>169</v>
      </c>
      <c r="D3270" s="28" t="s">
        <v>45</v>
      </c>
      <c r="E3270" s="28" t="s">
        <v>708</v>
      </c>
      <c r="F3270" s="28" t="s">
        <v>142</v>
      </c>
      <c r="G3270" s="28" t="s">
        <v>441</v>
      </c>
      <c r="H3270" s="28" t="s">
        <v>953</v>
      </c>
      <c r="I3270" s="29" t="n">
        <v>350000</v>
      </c>
      <c r="J3270" s="29" t="n">
        <v>262500</v>
      </c>
      <c r="K3270" s="28" t="n">
        <v>11.5</v>
      </c>
      <c r="L3270" s="28" t="n">
        <v>120</v>
      </c>
      <c r="M3270" s="28" t="n">
        <v>16</v>
      </c>
    </row>
    <row r="3271" customFormat="false" ht="15" hidden="false" customHeight="false" outlineLevel="0" collapsed="false">
      <c r="A3271" s="27" t="n">
        <v>45391</v>
      </c>
      <c r="B3271" s="28" t="n">
        <v>2024</v>
      </c>
      <c r="C3271" s="28" t="s">
        <v>198</v>
      </c>
      <c r="D3271" s="28" t="s">
        <v>48</v>
      </c>
      <c r="E3271" s="28" t="s">
        <v>995</v>
      </c>
      <c r="F3271" s="28" t="s">
        <v>142</v>
      </c>
      <c r="G3271" s="28" t="s">
        <v>148</v>
      </c>
      <c r="H3271" s="28" t="s">
        <v>171</v>
      </c>
      <c r="I3271" s="29" t="n">
        <v>150000</v>
      </c>
      <c r="J3271" s="29" t="n">
        <v>127500</v>
      </c>
      <c r="K3271" s="28" t="n">
        <v>13.25</v>
      </c>
      <c r="L3271" s="28" t="n">
        <v>120</v>
      </c>
      <c r="M3271" s="28" t="n">
        <v>0</v>
      </c>
    </row>
    <row r="3272" customFormat="false" ht="15" hidden="false" customHeight="false" outlineLevel="0" collapsed="false">
      <c r="A3272" s="27" t="n">
        <v>45392</v>
      </c>
      <c r="B3272" s="28" t="n">
        <v>2024</v>
      </c>
      <c r="C3272" s="28" t="s">
        <v>169</v>
      </c>
      <c r="D3272" s="28" t="s">
        <v>45</v>
      </c>
      <c r="E3272" s="28" t="s">
        <v>293</v>
      </c>
      <c r="F3272" s="28" t="s">
        <v>147</v>
      </c>
      <c r="G3272" s="28" t="s">
        <v>148</v>
      </c>
      <c r="H3272" s="28" t="s">
        <v>799</v>
      </c>
      <c r="I3272" s="29" t="n">
        <v>400000</v>
      </c>
      <c r="J3272" s="29" t="n">
        <v>200000</v>
      </c>
      <c r="K3272" s="28" t="n">
        <v>11</v>
      </c>
      <c r="L3272" s="28" t="n">
        <v>120</v>
      </c>
      <c r="M3272" s="28" t="n">
        <v>25</v>
      </c>
    </row>
    <row r="3273" customFormat="false" ht="15" hidden="false" customHeight="false" outlineLevel="0" collapsed="false">
      <c r="A3273" s="27" t="n">
        <v>45392</v>
      </c>
      <c r="B3273" s="28" t="n">
        <v>2024</v>
      </c>
      <c r="C3273" s="28" t="s">
        <v>169</v>
      </c>
      <c r="D3273" s="28" t="s">
        <v>48</v>
      </c>
      <c r="E3273" s="28" t="s">
        <v>765</v>
      </c>
      <c r="F3273" s="28" t="s">
        <v>142</v>
      </c>
      <c r="G3273" s="28" t="s">
        <v>148</v>
      </c>
      <c r="H3273" s="28" t="s">
        <v>171</v>
      </c>
      <c r="I3273" s="29" t="n">
        <v>85000</v>
      </c>
      <c r="J3273" s="29" t="n">
        <v>72250</v>
      </c>
      <c r="K3273" s="28" t="n">
        <v>13.25</v>
      </c>
      <c r="L3273" s="28" t="n">
        <v>120</v>
      </c>
      <c r="M3273" s="28" t="n">
        <v>1</v>
      </c>
    </row>
    <row r="3274" customFormat="false" ht="15" hidden="false" customHeight="false" outlineLevel="0" collapsed="false">
      <c r="A3274" s="27" t="n">
        <v>45392</v>
      </c>
      <c r="B3274" s="28" t="n">
        <v>2024</v>
      </c>
      <c r="C3274" s="28" t="s">
        <v>160</v>
      </c>
      <c r="D3274" s="28" t="s">
        <v>42</v>
      </c>
      <c r="E3274" s="28" t="s">
        <v>717</v>
      </c>
      <c r="F3274" s="28" t="s">
        <v>142</v>
      </c>
      <c r="G3274" s="28" t="s">
        <v>148</v>
      </c>
      <c r="H3274" s="28" t="s">
        <v>208</v>
      </c>
      <c r="I3274" s="29" t="n">
        <v>160000</v>
      </c>
      <c r="J3274" s="29" t="n">
        <v>120000</v>
      </c>
      <c r="K3274" s="28" t="n">
        <v>11.25</v>
      </c>
      <c r="L3274" s="28" t="n">
        <v>120</v>
      </c>
      <c r="M3274" s="28" t="n">
        <v>4</v>
      </c>
    </row>
    <row r="3275" customFormat="false" ht="15" hidden="false" customHeight="false" outlineLevel="0" collapsed="false">
      <c r="A3275" s="27" t="n">
        <v>45392</v>
      </c>
      <c r="B3275" s="28" t="n">
        <v>2024</v>
      </c>
      <c r="C3275" s="28" t="s">
        <v>172</v>
      </c>
      <c r="D3275" s="28" t="s">
        <v>48</v>
      </c>
      <c r="E3275" s="28" t="s">
        <v>362</v>
      </c>
      <c r="F3275" s="28" t="s">
        <v>142</v>
      </c>
      <c r="G3275" s="28" t="s">
        <v>148</v>
      </c>
      <c r="H3275" s="28" t="s">
        <v>275</v>
      </c>
      <c r="I3275" s="29" t="n">
        <v>23500</v>
      </c>
      <c r="J3275" s="29" t="n">
        <v>19975</v>
      </c>
      <c r="K3275" s="28" t="n">
        <v>15</v>
      </c>
      <c r="L3275" s="28" t="n">
        <v>120</v>
      </c>
      <c r="M3275" s="28" t="n">
        <v>7</v>
      </c>
    </row>
    <row r="3276" customFormat="false" ht="15" hidden="false" customHeight="false" outlineLevel="0" collapsed="false">
      <c r="A3276" s="27" t="n">
        <v>45393</v>
      </c>
      <c r="B3276" s="28" t="n">
        <v>2024</v>
      </c>
      <c r="C3276" s="28" t="s">
        <v>145</v>
      </c>
      <c r="D3276" s="28" t="s">
        <v>46</v>
      </c>
      <c r="E3276" s="28" t="s">
        <v>741</v>
      </c>
      <c r="F3276" s="28" t="s">
        <v>142</v>
      </c>
      <c r="G3276" s="28" t="s">
        <v>148</v>
      </c>
      <c r="H3276" s="28" t="s">
        <v>953</v>
      </c>
      <c r="I3276" s="29" t="n">
        <v>350000</v>
      </c>
      <c r="J3276" s="29" t="n">
        <v>262500</v>
      </c>
      <c r="K3276" s="28" t="n">
        <v>11.5</v>
      </c>
      <c r="L3276" s="28" t="n">
        <v>120</v>
      </c>
      <c r="M3276" s="28" t="n">
        <v>12</v>
      </c>
    </row>
    <row r="3277" customFormat="false" ht="15" hidden="false" customHeight="false" outlineLevel="0" collapsed="false">
      <c r="A3277" s="27" t="n">
        <v>45394</v>
      </c>
      <c r="B3277" s="28" t="n">
        <v>2024</v>
      </c>
      <c r="C3277" s="28" t="s">
        <v>203</v>
      </c>
      <c r="D3277" s="28" t="s">
        <v>48</v>
      </c>
      <c r="E3277" s="28" t="s">
        <v>704</v>
      </c>
      <c r="F3277" s="28" t="s">
        <v>147</v>
      </c>
      <c r="G3277" s="28" t="s">
        <v>441</v>
      </c>
      <c r="H3277" s="28" t="s">
        <v>144</v>
      </c>
      <c r="I3277" s="29" t="n">
        <v>100000</v>
      </c>
      <c r="J3277" s="29" t="n">
        <v>50000</v>
      </c>
      <c r="K3277" s="28" t="n">
        <v>10.63</v>
      </c>
      <c r="L3277" s="28" t="n">
        <v>120</v>
      </c>
      <c r="M3277" s="28" t="n">
        <v>7</v>
      </c>
    </row>
    <row r="3278" customFormat="false" ht="15" hidden="false" customHeight="false" outlineLevel="0" collapsed="false">
      <c r="A3278" s="27" t="n">
        <v>45394</v>
      </c>
      <c r="B3278" s="28" t="n">
        <v>2024</v>
      </c>
      <c r="C3278" s="28" t="s">
        <v>203</v>
      </c>
      <c r="D3278" s="28" t="s">
        <v>48</v>
      </c>
      <c r="E3278" s="28" t="s">
        <v>704</v>
      </c>
      <c r="F3278" s="28" t="s">
        <v>142</v>
      </c>
      <c r="G3278" s="28" t="s">
        <v>441</v>
      </c>
      <c r="H3278" s="28" t="s">
        <v>144</v>
      </c>
      <c r="I3278" s="29" t="n">
        <v>1250000</v>
      </c>
      <c r="J3278" s="29" t="n">
        <v>937500</v>
      </c>
      <c r="K3278" s="28" t="n">
        <v>10.63</v>
      </c>
      <c r="L3278" s="28" t="n">
        <v>120</v>
      </c>
      <c r="M3278" s="28" t="n">
        <v>7</v>
      </c>
    </row>
    <row r="3279" customFormat="false" ht="15" hidden="false" customHeight="false" outlineLevel="0" collapsed="false">
      <c r="A3279" s="27" t="n">
        <v>45395</v>
      </c>
      <c r="B3279" s="28" t="n">
        <v>2024</v>
      </c>
      <c r="C3279" s="28" t="s">
        <v>272</v>
      </c>
      <c r="D3279" s="28" t="s">
        <v>47</v>
      </c>
      <c r="E3279" s="28" t="s">
        <v>760</v>
      </c>
      <c r="F3279" s="28" t="s">
        <v>142</v>
      </c>
      <c r="G3279" s="28" t="s">
        <v>143</v>
      </c>
      <c r="H3279" s="28" t="s">
        <v>1052</v>
      </c>
      <c r="I3279" s="29" t="n">
        <v>630000</v>
      </c>
      <c r="J3279" s="29" t="n">
        <v>472500</v>
      </c>
      <c r="K3279" s="28" t="n">
        <v>10.25</v>
      </c>
      <c r="L3279" s="28" t="n">
        <v>126</v>
      </c>
      <c r="M3279" s="28" t="n">
        <v>13</v>
      </c>
    </row>
    <row r="3280" customFormat="false" ht="15" hidden="false" customHeight="false" outlineLevel="0" collapsed="false">
      <c r="A3280" s="27" t="n">
        <v>45395</v>
      </c>
      <c r="B3280" s="28" t="n">
        <v>2024</v>
      </c>
      <c r="C3280" s="28" t="s">
        <v>169</v>
      </c>
      <c r="D3280" s="28" t="s">
        <v>45</v>
      </c>
      <c r="E3280" s="28" t="s">
        <v>293</v>
      </c>
      <c r="F3280" s="28" t="s">
        <v>194</v>
      </c>
      <c r="G3280" s="28" t="s">
        <v>148</v>
      </c>
      <c r="H3280" s="28" t="s">
        <v>799</v>
      </c>
      <c r="I3280" s="29" t="n">
        <v>2692000</v>
      </c>
      <c r="J3280" s="29" t="n">
        <v>2019000</v>
      </c>
      <c r="K3280" s="28" t="n">
        <v>11</v>
      </c>
      <c r="L3280" s="28" t="n">
        <v>120</v>
      </c>
      <c r="M3280" s="28" t="n">
        <v>25</v>
      </c>
    </row>
    <row r="3281" customFormat="false" ht="15" hidden="false" customHeight="false" outlineLevel="0" collapsed="false">
      <c r="A3281" s="27" t="n">
        <v>45396</v>
      </c>
      <c r="B3281" s="28" t="n">
        <v>2024</v>
      </c>
      <c r="C3281" s="28" t="s">
        <v>265</v>
      </c>
      <c r="D3281" s="28" t="s">
        <v>42</v>
      </c>
      <c r="E3281" s="28" t="s">
        <v>717</v>
      </c>
      <c r="F3281" s="28" t="s">
        <v>194</v>
      </c>
      <c r="G3281" s="28" t="s">
        <v>148</v>
      </c>
      <c r="H3281" s="28" t="s">
        <v>1031</v>
      </c>
      <c r="I3281" s="29" t="n">
        <v>260000</v>
      </c>
      <c r="J3281" s="29" t="n">
        <v>195000</v>
      </c>
      <c r="K3281" s="28" t="n">
        <v>10.5</v>
      </c>
      <c r="L3281" s="28" t="n">
        <v>300</v>
      </c>
      <c r="M3281" s="28" t="n">
        <v>15</v>
      </c>
    </row>
    <row r="3282" customFormat="false" ht="15" hidden="false" customHeight="false" outlineLevel="0" collapsed="false">
      <c r="A3282" s="27" t="n">
        <v>45396</v>
      </c>
      <c r="B3282" s="28" t="n">
        <v>2024</v>
      </c>
      <c r="C3282" s="28" t="s">
        <v>303</v>
      </c>
      <c r="D3282" s="28" t="s">
        <v>43</v>
      </c>
      <c r="E3282" s="28" t="s">
        <v>841</v>
      </c>
      <c r="F3282" s="28" t="s">
        <v>142</v>
      </c>
      <c r="G3282" s="28" t="s">
        <v>148</v>
      </c>
      <c r="H3282" s="28" t="s">
        <v>275</v>
      </c>
      <c r="I3282" s="29" t="n">
        <v>25000</v>
      </c>
      <c r="J3282" s="29" t="n">
        <v>21250</v>
      </c>
      <c r="K3282" s="28" t="n">
        <v>15</v>
      </c>
      <c r="L3282" s="28" t="n">
        <v>120</v>
      </c>
      <c r="M3282" s="28" t="n">
        <v>18</v>
      </c>
    </row>
    <row r="3283" customFormat="false" ht="15" hidden="false" customHeight="false" outlineLevel="0" collapsed="false">
      <c r="A3283" s="27" t="n">
        <v>45398</v>
      </c>
      <c r="B3283" s="28" t="n">
        <v>2024</v>
      </c>
      <c r="C3283" s="28" t="s">
        <v>243</v>
      </c>
      <c r="D3283" s="28" t="s">
        <v>48</v>
      </c>
      <c r="E3283" s="28" t="s">
        <v>712</v>
      </c>
      <c r="F3283" s="28" t="s">
        <v>147</v>
      </c>
      <c r="G3283" s="28" t="s">
        <v>148</v>
      </c>
      <c r="H3283" s="28" t="s">
        <v>667</v>
      </c>
      <c r="I3283" s="29" t="n">
        <v>30000</v>
      </c>
      <c r="J3283" s="29" t="n">
        <v>15000</v>
      </c>
      <c r="K3283" s="28" t="n">
        <v>10.99</v>
      </c>
      <c r="L3283" s="28" t="n">
        <v>48</v>
      </c>
      <c r="M3283" s="28" t="n">
        <v>0</v>
      </c>
    </row>
    <row r="3284" customFormat="false" ht="15" hidden="false" customHeight="false" outlineLevel="0" collapsed="false">
      <c r="A3284" s="27" t="n">
        <v>45398</v>
      </c>
      <c r="B3284" s="28" t="n">
        <v>2024</v>
      </c>
      <c r="C3284" s="28" t="s">
        <v>163</v>
      </c>
      <c r="D3284" s="28" t="s">
        <v>49</v>
      </c>
      <c r="E3284" s="28" t="s">
        <v>1053</v>
      </c>
      <c r="F3284" s="28" t="s">
        <v>142</v>
      </c>
      <c r="G3284" s="28" t="s">
        <v>148</v>
      </c>
      <c r="H3284" s="28" t="s">
        <v>452</v>
      </c>
      <c r="I3284" s="29" t="n">
        <v>500000</v>
      </c>
      <c r="J3284" s="29" t="n">
        <v>375000</v>
      </c>
      <c r="K3284" s="28" t="n">
        <v>11.5</v>
      </c>
      <c r="L3284" s="28" t="n">
        <v>120</v>
      </c>
      <c r="M3284" s="28" t="n">
        <v>20</v>
      </c>
    </row>
    <row r="3285" customFormat="false" ht="15" hidden="false" customHeight="false" outlineLevel="0" collapsed="false">
      <c r="A3285" s="27" t="n">
        <v>45399</v>
      </c>
      <c r="B3285" s="28" t="n">
        <v>2024</v>
      </c>
      <c r="C3285" s="28" t="s">
        <v>163</v>
      </c>
      <c r="D3285" s="28" t="s">
        <v>42</v>
      </c>
      <c r="E3285" s="28" t="s">
        <v>753</v>
      </c>
      <c r="F3285" s="28" t="s">
        <v>142</v>
      </c>
      <c r="G3285" s="28" t="s">
        <v>148</v>
      </c>
      <c r="H3285" s="28" t="s">
        <v>275</v>
      </c>
      <c r="I3285" s="29" t="n">
        <v>50000</v>
      </c>
      <c r="J3285" s="29" t="n">
        <v>42500</v>
      </c>
      <c r="K3285" s="28" t="n">
        <v>15</v>
      </c>
      <c r="L3285" s="28" t="n">
        <v>120</v>
      </c>
      <c r="M3285" s="28" t="n">
        <v>16</v>
      </c>
    </row>
    <row r="3286" customFormat="false" ht="15" hidden="false" customHeight="false" outlineLevel="0" collapsed="false">
      <c r="A3286" s="27" t="n">
        <v>45399</v>
      </c>
      <c r="B3286" s="28" t="n">
        <v>2024</v>
      </c>
      <c r="C3286" s="28" t="s">
        <v>140</v>
      </c>
      <c r="D3286" s="28" t="s">
        <v>48</v>
      </c>
      <c r="E3286" s="28" t="s">
        <v>704</v>
      </c>
      <c r="F3286" s="28" t="s">
        <v>147</v>
      </c>
      <c r="G3286" s="28" t="s">
        <v>148</v>
      </c>
      <c r="H3286" s="28" t="s">
        <v>144</v>
      </c>
      <c r="I3286" s="29" t="n">
        <v>150000</v>
      </c>
      <c r="J3286" s="29" t="n">
        <v>75000</v>
      </c>
      <c r="K3286" s="28" t="n">
        <v>10.19</v>
      </c>
      <c r="L3286" s="28" t="n">
        <v>120</v>
      </c>
      <c r="M3286" s="28" t="n">
        <v>11</v>
      </c>
    </row>
    <row r="3287" customFormat="false" ht="15" hidden="false" customHeight="false" outlineLevel="0" collapsed="false">
      <c r="A3287" s="27" t="n">
        <v>45399</v>
      </c>
      <c r="B3287" s="28" t="n">
        <v>2024</v>
      </c>
      <c r="C3287" s="28" t="s">
        <v>591</v>
      </c>
      <c r="D3287" s="28" t="s">
        <v>45</v>
      </c>
      <c r="E3287" s="28" t="s">
        <v>222</v>
      </c>
      <c r="F3287" s="28" t="s">
        <v>142</v>
      </c>
      <c r="G3287" s="28" t="s">
        <v>143</v>
      </c>
      <c r="H3287" s="28" t="s">
        <v>221</v>
      </c>
      <c r="I3287" s="29" t="n">
        <v>114000</v>
      </c>
      <c r="J3287" s="29" t="n">
        <v>96900</v>
      </c>
      <c r="K3287" s="28" t="n">
        <v>11.5</v>
      </c>
      <c r="L3287" s="28" t="n">
        <v>120</v>
      </c>
      <c r="M3287" s="28" t="n">
        <v>9</v>
      </c>
    </row>
    <row r="3288" customFormat="false" ht="15" hidden="false" customHeight="false" outlineLevel="0" collapsed="false">
      <c r="A3288" s="27" t="n">
        <v>45399</v>
      </c>
      <c r="B3288" s="28" t="n">
        <v>2024</v>
      </c>
      <c r="C3288" s="28" t="s">
        <v>166</v>
      </c>
      <c r="D3288" s="28" t="s">
        <v>48</v>
      </c>
      <c r="E3288" s="28" t="s">
        <v>736</v>
      </c>
      <c r="F3288" s="28" t="s">
        <v>147</v>
      </c>
      <c r="G3288" s="28" t="s">
        <v>143</v>
      </c>
      <c r="H3288" s="28" t="s">
        <v>159</v>
      </c>
      <c r="I3288" s="29" t="n">
        <v>90000</v>
      </c>
      <c r="J3288" s="29" t="n">
        <v>45000</v>
      </c>
      <c r="K3288" s="28" t="n">
        <v>10.75</v>
      </c>
      <c r="L3288" s="28" t="n">
        <v>120</v>
      </c>
      <c r="M3288" s="28" t="n">
        <v>8</v>
      </c>
    </row>
    <row r="3289" customFormat="false" ht="15" hidden="false" customHeight="false" outlineLevel="0" collapsed="false">
      <c r="A3289" s="27" t="n">
        <v>45399</v>
      </c>
      <c r="B3289" s="28" t="n">
        <v>2024</v>
      </c>
      <c r="C3289" s="28" t="s">
        <v>353</v>
      </c>
      <c r="D3289" s="28" t="s">
        <v>48</v>
      </c>
      <c r="E3289" s="28" t="s">
        <v>736</v>
      </c>
      <c r="F3289" s="28" t="s">
        <v>142</v>
      </c>
      <c r="G3289" s="28" t="s">
        <v>148</v>
      </c>
      <c r="H3289" s="28" t="s">
        <v>953</v>
      </c>
      <c r="I3289" s="29" t="n">
        <v>650000</v>
      </c>
      <c r="J3289" s="29" t="n">
        <v>487500</v>
      </c>
      <c r="K3289" s="28" t="n">
        <v>11.5</v>
      </c>
      <c r="L3289" s="28" t="n">
        <v>120</v>
      </c>
      <c r="M3289" s="28" t="n">
        <v>12</v>
      </c>
    </row>
    <row r="3290" customFormat="false" ht="15" hidden="false" customHeight="false" outlineLevel="0" collapsed="false">
      <c r="A3290" s="27" t="n">
        <v>45399</v>
      </c>
      <c r="B3290" s="28" t="n">
        <v>2024</v>
      </c>
      <c r="C3290" s="28" t="s">
        <v>368</v>
      </c>
      <c r="D3290" s="28" t="s">
        <v>42</v>
      </c>
      <c r="E3290" s="28" t="s">
        <v>717</v>
      </c>
      <c r="F3290" s="28" t="s">
        <v>142</v>
      </c>
      <c r="G3290" s="28" t="s">
        <v>148</v>
      </c>
      <c r="H3290" s="28" t="s">
        <v>431</v>
      </c>
      <c r="I3290" s="29" t="n">
        <v>250000</v>
      </c>
      <c r="J3290" s="29" t="n">
        <v>187500</v>
      </c>
      <c r="K3290" s="28" t="n">
        <v>7.25</v>
      </c>
      <c r="L3290" s="28" t="n">
        <v>303</v>
      </c>
      <c r="M3290" s="28" t="n">
        <v>7</v>
      </c>
    </row>
    <row r="3291" customFormat="false" ht="15" hidden="false" customHeight="false" outlineLevel="0" collapsed="false">
      <c r="A3291" s="27" t="n">
        <v>45399</v>
      </c>
      <c r="B3291" s="28" t="n">
        <v>2024</v>
      </c>
      <c r="C3291" s="28" t="s">
        <v>172</v>
      </c>
      <c r="D3291" s="28" t="s">
        <v>48</v>
      </c>
      <c r="E3291" s="28" t="s">
        <v>362</v>
      </c>
      <c r="F3291" s="28" t="s">
        <v>147</v>
      </c>
      <c r="G3291" s="28" t="s">
        <v>148</v>
      </c>
      <c r="H3291" s="28" t="s">
        <v>159</v>
      </c>
      <c r="I3291" s="29" t="n">
        <v>25000</v>
      </c>
      <c r="J3291" s="29" t="n">
        <v>12500</v>
      </c>
      <c r="K3291" s="28" t="n">
        <v>15</v>
      </c>
      <c r="L3291" s="28" t="n">
        <v>82</v>
      </c>
      <c r="M3291" s="28" t="n">
        <v>0</v>
      </c>
    </row>
    <row r="3292" customFormat="false" ht="15" hidden="false" customHeight="false" outlineLevel="0" collapsed="false">
      <c r="A3292" s="27" t="n">
        <v>45399</v>
      </c>
      <c r="B3292" s="28" t="n">
        <v>2024</v>
      </c>
      <c r="C3292" s="28" t="s">
        <v>175</v>
      </c>
      <c r="D3292" s="28" t="s">
        <v>49</v>
      </c>
      <c r="E3292" s="28" t="s">
        <v>777</v>
      </c>
      <c r="F3292" s="28" t="s">
        <v>142</v>
      </c>
      <c r="G3292" s="28" t="s">
        <v>148</v>
      </c>
      <c r="H3292" s="28" t="s">
        <v>953</v>
      </c>
      <c r="I3292" s="29" t="n">
        <v>150000</v>
      </c>
      <c r="J3292" s="29" t="n">
        <v>127500</v>
      </c>
      <c r="K3292" s="28" t="n">
        <v>11.5</v>
      </c>
      <c r="L3292" s="28" t="n">
        <v>120</v>
      </c>
      <c r="M3292" s="28" t="n">
        <v>10</v>
      </c>
    </row>
    <row r="3293" customFormat="false" ht="15" hidden="false" customHeight="false" outlineLevel="0" collapsed="false">
      <c r="A3293" s="27" t="n">
        <v>45399</v>
      </c>
      <c r="B3293" s="28" t="n">
        <v>2024</v>
      </c>
      <c r="C3293" s="28" t="s">
        <v>140</v>
      </c>
      <c r="D3293" s="28" t="s">
        <v>48</v>
      </c>
      <c r="E3293" s="28" t="s">
        <v>704</v>
      </c>
      <c r="F3293" s="28" t="s">
        <v>142</v>
      </c>
      <c r="G3293" s="28" t="s">
        <v>148</v>
      </c>
      <c r="H3293" s="28" t="s">
        <v>144</v>
      </c>
      <c r="I3293" s="29" t="n">
        <v>280000</v>
      </c>
      <c r="J3293" s="29" t="n">
        <v>210000</v>
      </c>
      <c r="K3293" s="28" t="n">
        <v>10.24</v>
      </c>
      <c r="L3293" s="28" t="n">
        <v>120</v>
      </c>
      <c r="M3293" s="28" t="n">
        <v>11</v>
      </c>
    </row>
    <row r="3294" customFormat="false" ht="15" hidden="false" customHeight="false" outlineLevel="0" collapsed="false">
      <c r="A3294" s="27" t="n">
        <v>45400</v>
      </c>
      <c r="B3294" s="28" t="n">
        <v>2024</v>
      </c>
      <c r="C3294" s="28" t="s">
        <v>163</v>
      </c>
      <c r="D3294" s="28" t="s">
        <v>44</v>
      </c>
      <c r="E3294" s="28" t="s">
        <v>759</v>
      </c>
      <c r="F3294" s="28" t="s">
        <v>142</v>
      </c>
      <c r="G3294" s="28" t="s">
        <v>143</v>
      </c>
      <c r="H3294" s="28" t="s">
        <v>227</v>
      </c>
      <c r="I3294" s="29" t="n">
        <v>320000</v>
      </c>
      <c r="J3294" s="29" t="n">
        <v>240000</v>
      </c>
      <c r="K3294" s="28" t="n">
        <v>11.25</v>
      </c>
      <c r="L3294" s="28" t="n">
        <v>122</v>
      </c>
      <c r="M3294" s="28" t="n">
        <v>12</v>
      </c>
    </row>
    <row r="3295" customFormat="false" ht="15" hidden="false" customHeight="false" outlineLevel="0" collapsed="false">
      <c r="A3295" s="27" t="n">
        <v>45401</v>
      </c>
      <c r="B3295" s="28" t="n">
        <v>2024</v>
      </c>
      <c r="C3295" s="28" t="s">
        <v>175</v>
      </c>
      <c r="D3295" s="28" t="s">
        <v>44</v>
      </c>
      <c r="E3295" s="28" t="s">
        <v>920</v>
      </c>
      <c r="F3295" s="28" t="s">
        <v>147</v>
      </c>
      <c r="G3295" s="28" t="s">
        <v>441</v>
      </c>
      <c r="H3295" s="28" t="s">
        <v>144</v>
      </c>
      <c r="I3295" s="29" t="n">
        <v>200000</v>
      </c>
      <c r="J3295" s="29" t="n">
        <v>100000</v>
      </c>
      <c r="K3295" s="28" t="n">
        <v>11</v>
      </c>
      <c r="L3295" s="28" t="n">
        <v>120</v>
      </c>
      <c r="M3295" s="28" t="n">
        <v>100</v>
      </c>
    </row>
    <row r="3296" customFormat="false" ht="15" hidden="false" customHeight="false" outlineLevel="0" collapsed="false">
      <c r="A3296" s="27" t="n">
        <v>45401</v>
      </c>
      <c r="B3296" s="28" t="n">
        <v>2024</v>
      </c>
      <c r="C3296" s="28" t="s">
        <v>175</v>
      </c>
      <c r="D3296" s="28" t="s">
        <v>44</v>
      </c>
      <c r="E3296" s="28" t="s">
        <v>920</v>
      </c>
      <c r="F3296" s="28" t="s">
        <v>142</v>
      </c>
      <c r="G3296" s="28" t="s">
        <v>152</v>
      </c>
      <c r="H3296" s="28" t="s">
        <v>144</v>
      </c>
      <c r="I3296" s="29" t="n">
        <v>550000</v>
      </c>
      <c r="J3296" s="29" t="n">
        <v>412500</v>
      </c>
      <c r="K3296" s="28" t="n">
        <v>10.35</v>
      </c>
      <c r="L3296" s="28" t="n">
        <v>120</v>
      </c>
      <c r="M3296" s="28" t="n">
        <v>121</v>
      </c>
    </row>
    <row r="3297" customFormat="false" ht="15" hidden="false" customHeight="false" outlineLevel="0" collapsed="false">
      <c r="A3297" s="27" t="n">
        <v>45401</v>
      </c>
      <c r="B3297" s="28" t="n">
        <v>2024</v>
      </c>
      <c r="C3297" s="28" t="s">
        <v>230</v>
      </c>
      <c r="D3297" s="28" t="s">
        <v>56</v>
      </c>
      <c r="E3297" s="28" t="s">
        <v>207</v>
      </c>
      <c r="F3297" s="28" t="s">
        <v>147</v>
      </c>
      <c r="G3297" s="28" t="s">
        <v>148</v>
      </c>
      <c r="H3297" s="28" t="s">
        <v>159</v>
      </c>
      <c r="I3297" s="29" t="n">
        <v>75000</v>
      </c>
      <c r="J3297" s="29" t="n">
        <v>37500</v>
      </c>
      <c r="K3297" s="28" t="n">
        <v>13</v>
      </c>
      <c r="L3297" s="28" t="n">
        <v>86</v>
      </c>
      <c r="M3297" s="28" t="n">
        <v>4</v>
      </c>
    </row>
    <row r="3298" customFormat="false" ht="15" hidden="false" customHeight="false" outlineLevel="0" collapsed="false">
      <c r="A3298" s="27" t="n">
        <v>45401</v>
      </c>
      <c r="B3298" s="28" t="n">
        <v>2024</v>
      </c>
      <c r="C3298" s="28" t="s">
        <v>169</v>
      </c>
      <c r="D3298" s="28" t="s">
        <v>43</v>
      </c>
      <c r="E3298" s="28" t="s">
        <v>967</v>
      </c>
      <c r="F3298" s="28" t="s">
        <v>142</v>
      </c>
      <c r="G3298" s="28" t="s">
        <v>148</v>
      </c>
      <c r="H3298" s="28" t="s">
        <v>275</v>
      </c>
      <c r="I3298" s="29" t="n">
        <v>42500</v>
      </c>
      <c r="J3298" s="29" t="n">
        <v>36125</v>
      </c>
      <c r="K3298" s="28" t="n">
        <v>15</v>
      </c>
      <c r="L3298" s="28" t="n">
        <v>120</v>
      </c>
      <c r="M3298" s="28" t="n">
        <v>4</v>
      </c>
    </row>
    <row r="3299" customFormat="false" ht="15" hidden="false" customHeight="false" outlineLevel="0" collapsed="false">
      <c r="A3299" s="27" t="n">
        <v>45401</v>
      </c>
      <c r="B3299" s="28" t="n">
        <v>2024</v>
      </c>
      <c r="C3299" s="28" t="s">
        <v>235</v>
      </c>
      <c r="D3299" s="28" t="s">
        <v>56</v>
      </c>
      <c r="E3299" s="28" t="s">
        <v>207</v>
      </c>
      <c r="F3299" s="28" t="s">
        <v>142</v>
      </c>
      <c r="G3299" s="28" t="s">
        <v>148</v>
      </c>
      <c r="H3299" s="28" t="s">
        <v>171</v>
      </c>
      <c r="I3299" s="29" t="n">
        <v>150000</v>
      </c>
      <c r="J3299" s="29" t="n">
        <v>127500</v>
      </c>
      <c r="K3299" s="28" t="n">
        <v>13.25</v>
      </c>
      <c r="L3299" s="28" t="n">
        <v>120</v>
      </c>
      <c r="M3299" s="28" t="n">
        <v>12</v>
      </c>
    </row>
    <row r="3300" customFormat="false" ht="15" hidden="false" customHeight="false" outlineLevel="0" collapsed="false">
      <c r="A3300" s="27" t="n">
        <v>45401</v>
      </c>
      <c r="B3300" s="28" t="n">
        <v>2024</v>
      </c>
      <c r="C3300" s="28" t="s">
        <v>163</v>
      </c>
      <c r="D3300" s="28" t="s">
        <v>46</v>
      </c>
      <c r="E3300" s="28" t="s">
        <v>746</v>
      </c>
      <c r="F3300" s="28" t="s">
        <v>142</v>
      </c>
      <c r="G3300" s="28" t="s">
        <v>148</v>
      </c>
      <c r="H3300" s="28" t="s">
        <v>171</v>
      </c>
      <c r="I3300" s="29" t="n">
        <v>96800</v>
      </c>
      <c r="J3300" s="29" t="n">
        <v>82280</v>
      </c>
      <c r="K3300" s="28" t="n">
        <v>13.25</v>
      </c>
      <c r="L3300" s="28" t="n">
        <v>120</v>
      </c>
      <c r="M3300" s="28" t="n">
        <v>7</v>
      </c>
    </row>
    <row r="3301" customFormat="false" ht="15" hidden="false" customHeight="false" outlineLevel="0" collapsed="false">
      <c r="A3301" s="27" t="n">
        <v>45402</v>
      </c>
      <c r="B3301" s="28" t="n">
        <v>2024</v>
      </c>
      <c r="C3301" s="28" t="s">
        <v>172</v>
      </c>
      <c r="D3301" s="28" t="s">
        <v>46</v>
      </c>
      <c r="E3301" s="28" t="s">
        <v>727</v>
      </c>
      <c r="F3301" s="28" t="s">
        <v>142</v>
      </c>
      <c r="G3301" s="28" t="s">
        <v>148</v>
      </c>
      <c r="H3301" s="28" t="s">
        <v>149</v>
      </c>
      <c r="I3301" s="29" t="n">
        <v>340000</v>
      </c>
      <c r="J3301" s="29" t="n">
        <v>255000</v>
      </c>
      <c r="K3301" s="28" t="n">
        <v>9.75</v>
      </c>
      <c r="L3301" s="28" t="n">
        <v>300</v>
      </c>
      <c r="M3301" s="28" t="n">
        <v>3</v>
      </c>
    </row>
    <row r="3302" customFormat="false" ht="15" hidden="false" customHeight="false" outlineLevel="0" collapsed="false">
      <c r="A3302" s="27" t="n">
        <v>45402</v>
      </c>
      <c r="B3302" s="28" t="n">
        <v>2024</v>
      </c>
      <c r="C3302" s="28" t="s">
        <v>140</v>
      </c>
      <c r="D3302" s="28" t="s">
        <v>54</v>
      </c>
      <c r="E3302" s="28" t="s">
        <v>791</v>
      </c>
      <c r="F3302" s="28" t="s">
        <v>142</v>
      </c>
      <c r="G3302" s="28" t="s">
        <v>148</v>
      </c>
      <c r="H3302" s="28" t="s">
        <v>937</v>
      </c>
      <c r="I3302" s="29" t="n">
        <v>150000</v>
      </c>
      <c r="J3302" s="29" t="n">
        <v>127500</v>
      </c>
      <c r="K3302" s="28" t="n">
        <v>13</v>
      </c>
      <c r="L3302" s="28" t="n">
        <v>120</v>
      </c>
      <c r="M3302" s="28" t="n">
        <v>6</v>
      </c>
    </row>
    <row r="3303" customFormat="false" ht="15" hidden="false" customHeight="false" outlineLevel="0" collapsed="false">
      <c r="A3303" s="27" t="n">
        <v>45404</v>
      </c>
      <c r="B3303" s="28" t="n">
        <v>2024</v>
      </c>
      <c r="C3303" s="28" t="s">
        <v>238</v>
      </c>
      <c r="D3303" s="28" t="s">
        <v>42</v>
      </c>
      <c r="E3303" s="28" t="s">
        <v>717</v>
      </c>
      <c r="F3303" s="28" t="s">
        <v>142</v>
      </c>
      <c r="G3303" s="28" t="s">
        <v>148</v>
      </c>
      <c r="H3303" s="28" t="s">
        <v>953</v>
      </c>
      <c r="I3303" s="29" t="n">
        <v>500000</v>
      </c>
      <c r="J3303" s="29" t="n">
        <v>375000</v>
      </c>
      <c r="K3303" s="28" t="n">
        <v>11.5</v>
      </c>
      <c r="L3303" s="28" t="n">
        <v>120</v>
      </c>
      <c r="M3303" s="28" t="n">
        <v>39</v>
      </c>
    </row>
    <row r="3304" customFormat="false" ht="15" hidden="false" customHeight="false" outlineLevel="0" collapsed="false">
      <c r="A3304" s="27" t="n">
        <v>45404</v>
      </c>
      <c r="B3304" s="28" t="n">
        <v>2024</v>
      </c>
      <c r="C3304" s="28" t="s">
        <v>166</v>
      </c>
      <c r="D3304" s="28" t="s">
        <v>48</v>
      </c>
      <c r="E3304" s="28" t="s">
        <v>815</v>
      </c>
      <c r="F3304" s="28" t="s">
        <v>147</v>
      </c>
      <c r="G3304" s="28" t="s">
        <v>148</v>
      </c>
      <c r="H3304" s="28" t="s">
        <v>159</v>
      </c>
      <c r="I3304" s="29" t="n">
        <v>300000</v>
      </c>
      <c r="J3304" s="29" t="n">
        <v>150000</v>
      </c>
      <c r="K3304" s="28" t="n">
        <v>11</v>
      </c>
      <c r="L3304" s="28" t="n">
        <v>120</v>
      </c>
      <c r="M3304" s="28" t="n">
        <v>22</v>
      </c>
    </row>
    <row r="3305" customFormat="false" ht="15" hidden="false" customHeight="false" outlineLevel="0" collapsed="false">
      <c r="A3305" s="27" t="n">
        <v>45405</v>
      </c>
      <c r="B3305" s="28" t="n">
        <v>2024</v>
      </c>
      <c r="C3305" s="28" t="s">
        <v>172</v>
      </c>
      <c r="D3305" s="28" t="s">
        <v>48</v>
      </c>
      <c r="E3305" s="28" t="s">
        <v>228</v>
      </c>
      <c r="F3305" s="28" t="s">
        <v>142</v>
      </c>
      <c r="G3305" s="28" t="s">
        <v>148</v>
      </c>
      <c r="H3305" s="28" t="s">
        <v>208</v>
      </c>
      <c r="I3305" s="29" t="n">
        <v>100000</v>
      </c>
      <c r="J3305" s="29" t="n">
        <v>85000</v>
      </c>
      <c r="K3305" s="28" t="n">
        <v>11.25</v>
      </c>
      <c r="L3305" s="28" t="n">
        <v>120</v>
      </c>
      <c r="M3305" s="28" t="n">
        <v>1</v>
      </c>
    </row>
    <row r="3306" customFormat="false" ht="15" hidden="false" customHeight="false" outlineLevel="0" collapsed="false">
      <c r="A3306" s="27" t="n">
        <v>45405</v>
      </c>
      <c r="B3306" s="28" t="n">
        <v>2024</v>
      </c>
      <c r="C3306" s="28" t="s">
        <v>172</v>
      </c>
      <c r="D3306" s="28" t="s">
        <v>44</v>
      </c>
      <c r="E3306" s="28" t="s">
        <v>759</v>
      </c>
      <c r="F3306" s="28" t="s">
        <v>142</v>
      </c>
      <c r="G3306" s="28" t="s">
        <v>441</v>
      </c>
      <c r="H3306" s="28" t="s">
        <v>438</v>
      </c>
      <c r="I3306" s="29" t="n">
        <v>1625000</v>
      </c>
      <c r="J3306" s="29" t="n">
        <v>1218750</v>
      </c>
      <c r="K3306" s="28" t="n">
        <v>10.5</v>
      </c>
      <c r="L3306" s="28" t="n">
        <v>120</v>
      </c>
      <c r="M3306" s="28" t="n">
        <v>14</v>
      </c>
    </row>
    <row r="3307" customFormat="false" ht="15" hidden="false" customHeight="false" outlineLevel="0" collapsed="false">
      <c r="A3307" s="27" t="n">
        <v>45405</v>
      </c>
      <c r="B3307" s="28" t="n">
        <v>2024</v>
      </c>
      <c r="C3307" s="28" t="s">
        <v>163</v>
      </c>
      <c r="D3307" s="28" t="s">
        <v>45</v>
      </c>
      <c r="E3307" s="28" t="s">
        <v>222</v>
      </c>
      <c r="F3307" s="28" t="s">
        <v>142</v>
      </c>
      <c r="G3307" s="28" t="s">
        <v>152</v>
      </c>
      <c r="H3307" s="28" t="s">
        <v>827</v>
      </c>
      <c r="I3307" s="29" t="n">
        <v>1463000</v>
      </c>
      <c r="J3307" s="29" t="n">
        <v>1097250</v>
      </c>
      <c r="K3307" s="28" t="n">
        <v>10.5</v>
      </c>
      <c r="L3307" s="28" t="n">
        <v>120</v>
      </c>
      <c r="M3307" s="28" t="n">
        <v>3</v>
      </c>
    </row>
    <row r="3308" customFormat="false" ht="15" hidden="false" customHeight="false" outlineLevel="0" collapsed="false">
      <c r="A3308" s="27" t="n">
        <v>45405</v>
      </c>
      <c r="B3308" s="28" t="n">
        <v>2024</v>
      </c>
      <c r="C3308" s="28" t="s">
        <v>252</v>
      </c>
      <c r="D3308" s="28" t="s">
        <v>53</v>
      </c>
      <c r="E3308" s="28" t="s">
        <v>968</v>
      </c>
      <c r="F3308" s="28" t="s">
        <v>147</v>
      </c>
      <c r="G3308" s="28" t="s">
        <v>148</v>
      </c>
      <c r="H3308" s="28" t="s">
        <v>162</v>
      </c>
      <c r="I3308" s="29" t="n">
        <v>414000</v>
      </c>
      <c r="J3308" s="29" t="n">
        <v>207000</v>
      </c>
      <c r="K3308" s="28" t="n">
        <v>11.25</v>
      </c>
      <c r="L3308" s="28" t="n">
        <v>120</v>
      </c>
      <c r="M3308" s="28" t="n">
        <v>7</v>
      </c>
    </row>
    <row r="3309" customFormat="false" ht="15" hidden="false" customHeight="false" outlineLevel="0" collapsed="false">
      <c r="A3309" s="27" t="n">
        <v>45405</v>
      </c>
      <c r="B3309" s="28" t="n">
        <v>2024</v>
      </c>
      <c r="C3309" s="28" t="s">
        <v>172</v>
      </c>
      <c r="D3309" s="28" t="s">
        <v>44</v>
      </c>
      <c r="E3309" s="28" t="s">
        <v>759</v>
      </c>
      <c r="F3309" s="28" t="s">
        <v>147</v>
      </c>
      <c r="G3309" s="28" t="s">
        <v>441</v>
      </c>
      <c r="H3309" s="28" t="s">
        <v>438</v>
      </c>
      <c r="I3309" s="29" t="n">
        <v>300000</v>
      </c>
      <c r="J3309" s="29" t="n">
        <v>150000</v>
      </c>
      <c r="K3309" s="28" t="n">
        <v>10.5</v>
      </c>
      <c r="L3309" s="28" t="n">
        <v>120</v>
      </c>
      <c r="M3309" s="28" t="n">
        <v>14</v>
      </c>
    </row>
    <row r="3310" customFormat="false" ht="15" hidden="false" customHeight="false" outlineLevel="0" collapsed="false">
      <c r="A3310" s="27" t="n">
        <v>45406</v>
      </c>
      <c r="B3310" s="28" t="n">
        <v>2024</v>
      </c>
      <c r="C3310" s="28" t="s">
        <v>172</v>
      </c>
      <c r="D3310" s="28" t="s">
        <v>43</v>
      </c>
      <c r="E3310" s="28" t="s">
        <v>837</v>
      </c>
      <c r="F3310" s="28" t="s">
        <v>147</v>
      </c>
      <c r="G3310" s="28" t="s">
        <v>143</v>
      </c>
      <c r="H3310" s="28" t="s">
        <v>159</v>
      </c>
      <c r="I3310" s="29" t="n">
        <v>252000</v>
      </c>
      <c r="J3310" s="29" t="n">
        <v>126000</v>
      </c>
      <c r="K3310" s="28" t="n">
        <v>11</v>
      </c>
      <c r="L3310" s="28" t="n">
        <v>126</v>
      </c>
      <c r="M3310" s="28" t="n">
        <v>4</v>
      </c>
    </row>
    <row r="3311" customFormat="false" ht="15" hidden="false" customHeight="false" outlineLevel="0" collapsed="false">
      <c r="A3311" s="27" t="n">
        <v>45406</v>
      </c>
      <c r="B3311" s="28" t="n">
        <v>2024</v>
      </c>
      <c r="C3311" s="28" t="s">
        <v>172</v>
      </c>
      <c r="D3311" s="28" t="s">
        <v>54</v>
      </c>
      <c r="E3311" s="28" t="s">
        <v>791</v>
      </c>
      <c r="F3311" s="28" t="s">
        <v>142</v>
      </c>
      <c r="G3311" s="28" t="s">
        <v>148</v>
      </c>
      <c r="H3311" s="28" t="s">
        <v>667</v>
      </c>
      <c r="I3311" s="29" t="n">
        <v>182200</v>
      </c>
      <c r="J3311" s="29" t="n">
        <v>136650</v>
      </c>
      <c r="K3311" s="28" t="n">
        <v>8.57</v>
      </c>
      <c r="L3311" s="28" t="n">
        <v>300</v>
      </c>
      <c r="M3311" s="28" t="n">
        <v>8</v>
      </c>
    </row>
    <row r="3312" customFormat="false" ht="15" hidden="false" customHeight="false" outlineLevel="0" collapsed="false">
      <c r="A3312" s="27" t="n">
        <v>45406</v>
      </c>
      <c r="B3312" s="28" t="n">
        <v>2024</v>
      </c>
      <c r="C3312" s="28" t="s">
        <v>172</v>
      </c>
      <c r="D3312" s="28" t="s">
        <v>48</v>
      </c>
      <c r="E3312" s="28" t="s">
        <v>1054</v>
      </c>
      <c r="F3312" s="28" t="s">
        <v>142</v>
      </c>
      <c r="G3312" s="28" t="s">
        <v>148</v>
      </c>
      <c r="H3312" s="28" t="s">
        <v>953</v>
      </c>
      <c r="I3312" s="29" t="n">
        <v>200000</v>
      </c>
      <c r="J3312" s="29" t="n">
        <v>150000</v>
      </c>
      <c r="K3312" s="28" t="n">
        <v>11.5</v>
      </c>
      <c r="L3312" s="28" t="n">
        <v>120</v>
      </c>
      <c r="M3312" s="28" t="n">
        <v>4</v>
      </c>
    </row>
    <row r="3313" customFormat="false" ht="15" hidden="false" customHeight="false" outlineLevel="0" collapsed="false">
      <c r="A3313" s="27" t="n">
        <v>45406</v>
      </c>
      <c r="B3313" s="28" t="n">
        <v>2024</v>
      </c>
      <c r="C3313" s="28" t="s">
        <v>384</v>
      </c>
      <c r="D3313" s="28" t="s">
        <v>48</v>
      </c>
      <c r="E3313" s="28" t="s">
        <v>765</v>
      </c>
      <c r="F3313" s="28" t="s">
        <v>142</v>
      </c>
      <c r="G3313" s="28" t="s">
        <v>148</v>
      </c>
      <c r="H3313" s="28" t="s">
        <v>171</v>
      </c>
      <c r="I3313" s="29" t="n">
        <v>150000</v>
      </c>
      <c r="J3313" s="29" t="n">
        <v>127500</v>
      </c>
      <c r="K3313" s="28" t="n">
        <v>13.25</v>
      </c>
      <c r="L3313" s="28" t="n">
        <v>120</v>
      </c>
      <c r="M3313" s="28" t="n">
        <v>1</v>
      </c>
    </row>
    <row r="3314" customFormat="false" ht="15" hidden="false" customHeight="false" outlineLevel="0" collapsed="false">
      <c r="A3314" s="27" t="n">
        <v>45406</v>
      </c>
      <c r="B3314" s="28" t="n">
        <v>2024</v>
      </c>
      <c r="C3314" s="28" t="s">
        <v>243</v>
      </c>
      <c r="D3314" s="28" t="s">
        <v>45</v>
      </c>
      <c r="E3314" s="28" t="s">
        <v>222</v>
      </c>
      <c r="F3314" s="28" t="s">
        <v>142</v>
      </c>
      <c r="G3314" s="28" t="s">
        <v>152</v>
      </c>
      <c r="H3314" s="28" t="s">
        <v>211</v>
      </c>
      <c r="I3314" s="29" t="n">
        <v>1076000</v>
      </c>
      <c r="J3314" s="29" t="n">
        <v>807000</v>
      </c>
      <c r="K3314" s="28" t="n">
        <v>10</v>
      </c>
      <c r="L3314" s="28" t="n">
        <v>120</v>
      </c>
      <c r="M3314" s="28" t="n">
        <v>16</v>
      </c>
    </row>
    <row r="3315" customFormat="false" ht="15" hidden="false" customHeight="false" outlineLevel="0" collapsed="false">
      <c r="A3315" s="27" t="n">
        <v>45406</v>
      </c>
      <c r="B3315" s="28" t="n">
        <v>2024</v>
      </c>
      <c r="C3315" s="28" t="s">
        <v>607</v>
      </c>
      <c r="D3315" s="28" t="s">
        <v>49</v>
      </c>
      <c r="E3315" s="28" t="s">
        <v>777</v>
      </c>
      <c r="F3315" s="28" t="s">
        <v>142</v>
      </c>
      <c r="G3315" s="28" t="s">
        <v>152</v>
      </c>
      <c r="H3315" s="28" t="s">
        <v>1055</v>
      </c>
      <c r="I3315" s="29" t="n">
        <v>1909000</v>
      </c>
      <c r="J3315" s="29" t="n">
        <v>1431750</v>
      </c>
      <c r="K3315" s="28" t="n">
        <v>10.5</v>
      </c>
      <c r="L3315" s="28" t="n">
        <v>120</v>
      </c>
      <c r="M3315" s="28" t="n">
        <v>8</v>
      </c>
    </row>
    <row r="3316" customFormat="false" ht="15" hidden="false" customHeight="false" outlineLevel="0" collapsed="false">
      <c r="A3316" s="27" t="n">
        <v>45406</v>
      </c>
      <c r="B3316" s="28" t="n">
        <v>2024</v>
      </c>
      <c r="C3316" s="28" t="s">
        <v>243</v>
      </c>
      <c r="D3316" s="28" t="s">
        <v>45</v>
      </c>
      <c r="E3316" s="28" t="s">
        <v>222</v>
      </c>
      <c r="F3316" s="28" t="s">
        <v>147</v>
      </c>
      <c r="G3316" s="28" t="s">
        <v>152</v>
      </c>
      <c r="H3316" s="28" t="s">
        <v>211</v>
      </c>
      <c r="I3316" s="29" t="n">
        <v>150000</v>
      </c>
      <c r="J3316" s="29" t="n">
        <v>75000</v>
      </c>
      <c r="K3316" s="28" t="n">
        <v>10</v>
      </c>
      <c r="L3316" s="28" t="n">
        <v>120</v>
      </c>
      <c r="M3316" s="28" t="n">
        <v>16</v>
      </c>
    </row>
    <row r="3317" customFormat="false" ht="15" hidden="false" customHeight="false" outlineLevel="0" collapsed="false">
      <c r="A3317" s="27" t="n">
        <v>45407</v>
      </c>
      <c r="B3317" s="28" t="n">
        <v>2024</v>
      </c>
      <c r="C3317" s="28" t="s">
        <v>160</v>
      </c>
      <c r="D3317" s="28" t="s">
        <v>48</v>
      </c>
      <c r="E3317" s="28" t="s">
        <v>594</v>
      </c>
      <c r="F3317" s="28" t="s">
        <v>142</v>
      </c>
      <c r="G3317" s="28" t="s">
        <v>148</v>
      </c>
      <c r="H3317" s="28" t="s">
        <v>208</v>
      </c>
      <c r="I3317" s="29" t="n">
        <v>200000</v>
      </c>
      <c r="J3317" s="29" t="n">
        <v>150000</v>
      </c>
      <c r="K3317" s="28" t="n">
        <v>11.25</v>
      </c>
      <c r="L3317" s="28" t="n">
        <v>120</v>
      </c>
      <c r="M3317" s="28" t="n">
        <v>1</v>
      </c>
    </row>
    <row r="3318" customFormat="false" ht="15" hidden="false" customHeight="false" outlineLevel="0" collapsed="false">
      <c r="A3318" s="27" t="n">
        <v>45407</v>
      </c>
      <c r="B3318" s="28" t="n">
        <v>2024</v>
      </c>
      <c r="C3318" s="28" t="s">
        <v>172</v>
      </c>
      <c r="D3318" s="28" t="s">
        <v>42</v>
      </c>
      <c r="E3318" s="28" t="s">
        <v>753</v>
      </c>
      <c r="F3318" s="28" t="s">
        <v>147</v>
      </c>
      <c r="G3318" s="28" t="s">
        <v>143</v>
      </c>
      <c r="H3318" s="28" t="s">
        <v>211</v>
      </c>
      <c r="I3318" s="29" t="n">
        <v>40000</v>
      </c>
      <c r="J3318" s="29" t="n">
        <v>20000</v>
      </c>
      <c r="K3318" s="28" t="n">
        <v>11.25</v>
      </c>
      <c r="L3318" s="28" t="n">
        <v>120</v>
      </c>
      <c r="M3318" s="28" t="n">
        <v>10</v>
      </c>
    </row>
    <row r="3319" customFormat="false" ht="15" hidden="false" customHeight="false" outlineLevel="0" collapsed="false">
      <c r="A3319" s="27" t="n">
        <v>45407</v>
      </c>
      <c r="B3319" s="28" t="n">
        <v>2024</v>
      </c>
      <c r="C3319" s="28" t="s">
        <v>166</v>
      </c>
      <c r="D3319" s="28" t="s">
        <v>50</v>
      </c>
      <c r="E3319" s="28" t="s">
        <v>754</v>
      </c>
      <c r="F3319" s="28" t="s">
        <v>147</v>
      </c>
      <c r="G3319" s="28" t="s">
        <v>148</v>
      </c>
      <c r="H3319" s="28" t="s">
        <v>205</v>
      </c>
      <c r="I3319" s="29" t="n">
        <v>65000</v>
      </c>
      <c r="J3319" s="29" t="n">
        <v>32500</v>
      </c>
      <c r="K3319" s="28" t="n">
        <v>12.3</v>
      </c>
      <c r="L3319" s="28" t="n">
        <v>120</v>
      </c>
      <c r="M3319" s="28" t="n">
        <v>2</v>
      </c>
    </row>
    <row r="3320" customFormat="false" ht="15" hidden="false" customHeight="false" outlineLevel="0" collapsed="false">
      <c r="A3320" s="27" t="n">
        <v>45407</v>
      </c>
      <c r="B3320" s="28" t="n">
        <v>2024</v>
      </c>
      <c r="C3320" s="28" t="s">
        <v>175</v>
      </c>
      <c r="D3320" s="28" t="s">
        <v>48</v>
      </c>
      <c r="E3320" s="28" t="s">
        <v>762</v>
      </c>
      <c r="F3320" s="28" t="s">
        <v>147</v>
      </c>
      <c r="G3320" s="28" t="s">
        <v>148</v>
      </c>
      <c r="H3320" s="28" t="s">
        <v>159</v>
      </c>
      <c r="I3320" s="29" t="n">
        <v>30000</v>
      </c>
      <c r="J3320" s="29" t="n">
        <v>15000</v>
      </c>
      <c r="K3320" s="28" t="n">
        <v>11.5</v>
      </c>
      <c r="L3320" s="28" t="n">
        <v>120</v>
      </c>
      <c r="M3320" s="28" t="n">
        <v>6</v>
      </c>
    </row>
    <row r="3321" customFormat="false" ht="15" hidden="false" customHeight="false" outlineLevel="0" collapsed="false">
      <c r="A3321" s="27" t="n">
        <v>45407</v>
      </c>
      <c r="B3321" s="28" t="n">
        <v>2024</v>
      </c>
      <c r="C3321" s="28" t="s">
        <v>172</v>
      </c>
      <c r="D3321" s="28" t="s">
        <v>42</v>
      </c>
      <c r="E3321" s="28" t="s">
        <v>753</v>
      </c>
      <c r="F3321" s="28" t="s">
        <v>142</v>
      </c>
      <c r="G3321" s="28" t="s">
        <v>143</v>
      </c>
      <c r="H3321" s="28" t="s">
        <v>211</v>
      </c>
      <c r="I3321" s="29" t="n">
        <v>592000</v>
      </c>
      <c r="J3321" s="29" t="n">
        <v>444000</v>
      </c>
      <c r="K3321" s="28" t="n">
        <v>11.25</v>
      </c>
      <c r="L3321" s="28" t="n">
        <v>132</v>
      </c>
      <c r="M3321" s="28" t="n">
        <v>10</v>
      </c>
    </row>
    <row r="3322" customFormat="false" ht="15" hidden="false" customHeight="false" outlineLevel="0" collapsed="false">
      <c r="A3322" s="27" t="n">
        <v>45408</v>
      </c>
      <c r="B3322" s="28" t="n">
        <v>2024</v>
      </c>
      <c r="C3322" s="28" t="s">
        <v>257</v>
      </c>
      <c r="D3322" s="28" t="s">
        <v>42</v>
      </c>
      <c r="E3322" s="28" t="s">
        <v>753</v>
      </c>
      <c r="F3322" s="28" t="s">
        <v>194</v>
      </c>
      <c r="G3322" s="28" t="s">
        <v>143</v>
      </c>
      <c r="H3322" s="28" t="s">
        <v>1056</v>
      </c>
      <c r="I3322" s="29" t="n">
        <v>220000</v>
      </c>
      <c r="J3322" s="29" t="n">
        <v>165000</v>
      </c>
      <c r="K3322" s="28" t="n">
        <v>10</v>
      </c>
      <c r="L3322" s="28" t="n">
        <v>126</v>
      </c>
      <c r="M3322" s="28" t="n">
        <v>7</v>
      </c>
    </row>
    <row r="3323" customFormat="false" ht="15" hidden="false" customHeight="false" outlineLevel="0" collapsed="false">
      <c r="A3323" s="27" t="n">
        <v>45408</v>
      </c>
      <c r="B3323" s="28" t="n">
        <v>2024</v>
      </c>
      <c r="C3323" s="28" t="s">
        <v>163</v>
      </c>
      <c r="D3323" s="28" t="s">
        <v>42</v>
      </c>
      <c r="E3323" s="28" t="s">
        <v>717</v>
      </c>
      <c r="F3323" s="28" t="s">
        <v>142</v>
      </c>
      <c r="G3323" s="28" t="s">
        <v>143</v>
      </c>
      <c r="H3323" s="28" t="s">
        <v>227</v>
      </c>
      <c r="I3323" s="29" t="n">
        <v>460000</v>
      </c>
      <c r="J3323" s="29" t="n">
        <v>345000</v>
      </c>
      <c r="K3323" s="28" t="n">
        <v>11.25</v>
      </c>
      <c r="L3323" s="28" t="n">
        <v>120</v>
      </c>
      <c r="M3323" s="28" t="n">
        <v>79</v>
      </c>
    </row>
    <row r="3324" customFormat="false" ht="15" hidden="false" customHeight="false" outlineLevel="0" collapsed="false">
      <c r="A3324" s="27" t="n">
        <v>45408</v>
      </c>
      <c r="B3324" s="28" t="n">
        <v>2024</v>
      </c>
      <c r="C3324" s="28" t="s">
        <v>201</v>
      </c>
      <c r="D3324" s="28" t="s">
        <v>47</v>
      </c>
      <c r="E3324" s="28" t="s">
        <v>1041</v>
      </c>
      <c r="F3324" s="28" t="s">
        <v>194</v>
      </c>
      <c r="G3324" s="28" t="s">
        <v>148</v>
      </c>
      <c r="H3324" s="28" t="s">
        <v>291</v>
      </c>
      <c r="I3324" s="29" t="n">
        <v>5000000</v>
      </c>
      <c r="J3324" s="29" t="n">
        <v>4500000</v>
      </c>
      <c r="K3324" s="28" t="n">
        <v>10.5</v>
      </c>
      <c r="L3324" s="28" t="n">
        <v>36</v>
      </c>
      <c r="M3324" s="28" t="n">
        <v>5</v>
      </c>
    </row>
    <row r="3325" customFormat="false" ht="15" hidden="false" customHeight="false" outlineLevel="0" collapsed="false">
      <c r="A3325" s="27" t="n">
        <v>45408</v>
      </c>
      <c r="B3325" s="28" t="n">
        <v>2024</v>
      </c>
      <c r="C3325" s="28" t="s">
        <v>172</v>
      </c>
      <c r="D3325" s="28" t="s">
        <v>48</v>
      </c>
      <c r="E3325" s="28" t="s">
        <v>815</v>
      </c>
      <c r="F3325" s="28" t="s">
        <v>142</v>
      </c>
      <c r="G3325" s="28" t="s">
        <v>148</v>
      </c>
      <c r="H3325" s="28" t="s">
        <v>208</v>
      </c>
      <c r="I3325" s="29" t="n">
        <v>200000</v>
      </c>
      <c r="J3325" s="29" t="n">
        <v>150000</v>
      </c>
      <c r="K3325" s="28" t="n">
        <v>11.25</v>
      </c>
      <c r="L3325" s="28" t="n">
        <v>120</v>
      </c>
      <c r="M3325" s="28" t="n">
        <v>0</v>
      </c>
    </row>
    <row r="3326" customFormat="false" ht="15" hidden="false" customHeight="false" outlineLevel="0" collapsed="false">
      <c r="A3326" s="27" t="n">
        <v>45411</v>
      </c>
      <c r="B3326" s="28" t="n">
        <v>2024</v>
      </c>
      <c r="C3326" s="28" t="s">
        <v>140</v>
      </c>
      <c r="D3326" s="28" t="s">
        <v>55</v>
      </c>
      <c r="E3326" s="28" t="s">
        <v>552</v>
      </c>
      <c r="F3326" s="28" t="s">
        <v>142</v>
      </c>
      <c r="G3326" s="28" t="s">
        <v>148</v>
      </c>
      <c r="H3326" s="28" t="s">
        <v>1002</v>
      </c>
      <c r="I3326" s="29" t="n">
        <v>1800000</v>
      </c>
      <c r="J3326" s="29" t="n">
        <v>1350000</v>
      </c>
      <c r="K3326" s="28" t="n">
        <v>10.5</v>
      </c>
      <c r="L3326" s="28" t="n">
        <v>300</v>
      </c>
      <c r="M3326" s="28" t="n">
        <v>3</v>
      </c>
    </row>
    <row r="3327" customFormat="false" ht="15" hidden="false" customHeight="false" outlineLevel="0" collapsed="false">
      <c r="A3327" s="27" t="n">
        <v>45411</v>
      </c>
      <c r="B3327" s="28" t="n">
        <v>2024</v>
      </c>
      <c r="C3327" s="28" t="s">
        <v>375</v>
      </c>
      <c r="D3327" s="28" t="s">
        <v>48</v>
      </c>
      <c r="E3327" s="28" t="s">
        <v>815</v>
      </c>
      <c r="F3327" s="28" t="s">
        <v>142</v>
      </c>
      <c r="G3327" s="28" t="s">
        <v>148</v>
      </c>
      <c r="H3327" s="28" t="s">
        <v>275</v>
      </c>
      <c r="I3327" s="29" t="n">
        <v>2093000</v>
      </c>
      <c r="J3327" s="29" t="n">
        <v>1569750</v>
      </c>
      <c r="K3327" s="28" t="n">
        <v>11.5</v>
      </c>
      <c r="L3327" s="28" t="n">
        <v>120</v>
      </c>
      <c r="M3327" s="28" t="n">
        <v>10</v>
      </c>
    </row>
    <row r="3328" customFormat="false" ht="15" hidden="false" customHeight="false" outlineLevel="0" collapsed="false">
      <c r="A3328" s="27" t="n">
        <v>45411</v>
      </c>
      <c r="B3328" s="28" t="n">
        <v>2024</v>
      </c>
      <c r="C3328" s="28" t="s">
        <v>198</v>
      </c>
      <c r="D3328" s="28" t="s">
        <v>45</v>
      </c>
      <c r="E3328" s="28" t="s">
        <v>713</v>
      </c>
      <c r="F3328" s="28" t="s">
        <v>142</v>
      </c>
      <c r="G3328" s="28" t="s">
        <v>148</v>
      </c>
      <c r="H3328" s="28" t="s">
        <v>171</v>
      </c>
      <c r="I3328" s="29" t="n">
        <v>150000</v>
      </c>
      <c r="J3328" s="29" t="n">
        <v>127500</v>
      </c>
      <c r="K3328" s="28" t="n">
        <v>13.25</v>
      </c>
      <c r="L3328" s="28" t="n">
        <v>120</v>
      </c>
      <c r="M3328" s="28" t="n">
        <v>0</v>
      </c>
    </row>
    <row r="3329" customFormat="false" ht="15" hidden="false" customHeight="false" outlineLevel="0" collapsed="false">
      <c r="A3329" s="27" t="n">
        <v>45412</v>
      </c>
      <c r="B3329" s="28" t="n">
        <v>2024</v>
      </c>
      <c r="C3329" s="28" t="s">
        <v>384</v>
      </c>
      <c r="D3329" s="28" t="s">
        <v>46</v>
      </c>
      <c r="E3329" s="28" t="s">
        <v>813</v>
      </c>
      <c r="F3329" s="28" t="s">
        <v>142</v>
      </c>
      <c r="G3329" s="28" t="s">
        <v>148</v>
      </c>
      <c r="H3329" s="28" t="s">
        <v>937</v>
      </c>
      <c r="I3329" s="29" t="n">
        <v>150000</v>
      </c>
      <c r="J3329" s="29" t="n">
        <v>127500</v>
      </c>
      <c r="K3329" s="28" t="n">
        <v>13</v>
      </c>
      <c r="L3329" s="28" t="n">
        <v>120</v>
      </c>
      <c r="M3329" s="28" t="n">
        <v>12</v>
      </c>
    </row>
    <row r="3330" customFormat="false" ht="15" hidden="false" customHeight="false" outlineLevel="0" collapsed="false">
      <c r="A3330" s="27" t="n">
        <v>45412</v>
      </c>
      <c r="B3330" s="28" t="n">
        <v>2024</v>
      </c>
      <c r="C3330" s="28" t="s">
        <v>450</v>
      </c>
      <c r="D3330" s="28" t="s">
        <v>46</v>
      </c>
      <c r="E3330" s="28" t="s">
        <v>927</v>
      </c>
      <c r="F3330" s="28" t="s">
        <v>147</v>
      </c>
      <c r="G3330" s="28" t="s">
        <v>148</v>
      </c>
      <c r="H3330" s="28" t="s">
        <v>159</v>
      </c>
      <c r="I3330" s="29" t="n">
        <v>15000</v>
      </c>
      <c r="J3330" s="29" t="n">
        <v>7500</v>
      </c>
      <c r="K3330" s="28" t="n">
        <v>15</v>
      </c>
      <c r="L3330" s="28" t="n">
        <v>120</v>
      </c>
      <c r="M3330" s="28" t="n">
        <v>1</v>
      </c>
    </row>
    <row r="3331" customFormat="false" ht="15" hidden="false" customHeight="false" outlineLevel="0" collapsed="false">
      <c r="A3331" s="27" t="n">
        <v>45412</v>
      </c>
      <c r="B3331" s="28" t="n">
        <v>2024</v>
      </c>
      <c r="C3331" s="28" t="s">
        <v>375</v>
      </c>
      <c r="D3331" s="28" t="s">
        <v>47</v>
      </c>
      <c r="E3331" s="28" t="s">
        <v>1057</v>
      </c>
      <c r="F3331" s="28" t="s">
        <v>283</v>
      </c>
      <c r="G3331" s="28" t="s">
        <v>148</v>
      </c>
      <c r="H3331" s="28" t="s">
        <v>1058</v>
      </c>
      <c r="I3331" s="29" t="n">
        <v>443600</v>
      </c>
      <c r="J3331" s="29" t="n">
        <v>332700</v>
      </c>
      <c r="K3331" s="28" t="n">
        <v>10.75</v>
      </c>
      <c r="L3331" s="28" t="n">
        <v>29</v>
      </c>
      <c r="M3331" s="28" t="n">
        <v>152</v>
      </c>
    </row>
    <row r="3332" customFormat="false" ht="15" hidden="false" customHeight="false" outlineLevel="0" collapsed="false">
      <c r="A3332" s="27" t="n">
        <v>45412</v>
      </c>
      <c r="B3332" s="28" t="n">
        <v>2024</v>
      </c>
      <c r="C3332" s="28" t="s">
        <v>166</v>
      </c>
      <c r="D3332" s="28" t="s">
        <v>43</v>
      </c>
      <c r="E3332" s="28" t="s">
        <v>948</v>
      </c>
      <c r="F3332" s="28" t="s">
        <v>142</v>
      </c>
      <c r="G3332" s="28" t="s">
        <v>143</v>
      </c>
      <c r="H3332" s="28" t="s">
        <v>605</v>
      </c>
      <c r="I3332" s="29" t="n">
        <v>480000</v>
      </c>
      <c r="J3332" s="29" t="n">
        <v>360000</v>
      </c>
      <c r="K3332" s="28" t="n">
        <v>11</v>
      </c>
      <c r="L3332" s="28" t="n">
        <v>120</v>
      </c>
      <c r="M3332" s="28" t="n">
        <v>8</v>
      </c>
    </row>
    <row r="3333" customFormat="false" ht="15" hidden="false" customHeight="false" outlineLevel="0" collapsed="false">
      <c r="A3333" s="27" t="n">
        <v>45413</v>
      </c>
      <c r="B3333" s="28" t="n">
        <v>2024</v>
      </c>
      <c r="C3333" s="28" t="s">
        <v>160</v>
      </c>
      <c r="D3333" s="28" t="s">
        <v>50</v>
      </c>
      <c r="E3333" s="28" t="s">
        <v>724</v>
      </c>
      <c r="F3333" s="28" t="s">
        <v>147</v>
      </c>
      <c r="G3333" s="28" t="s">
        <v>143</v>
      </c>
      <c r="H3333" s="28" t="s">
        <v>159</v>
      </c>
      <c r="I3333" s="29" t="n">
        <v>25000</v>
      </c>
      <c r="J3333" s="29" t="n">
        <v>12500</v>
      </c>
      <c r="K3333" s="28" t="n">
        <v>10.75</v>
      </c>
      <c r="L3333" s="28" t="n">
        <v>120</v>
      </c>
      <c r="M3333" s="28" t="n">
        <v>3</v>
      </c>
    </row>
    <row r="3334" customFormat="false" ht="15" hidden="false" customHeight="false" outlineLevel="0" collapsed="false">
      <c r="A3334" s="27" t="n">
        <v>45413</v>
      </c>
      <c r="B3334" s="28" t="n">
        <v>2024</v>
      </c>
      <c r="C3334" s="28" t="s">
        <v>172</v>
      </c>
      <c r="D3334" s="28" t="s">
        <v>48</v>
      </c>
      <c r="E3334" s="28" t="s">
        <v>736</v>
      </c>
      <c r="F3334" s="28" t="s">
        <v>142</v>
      </c>
      <c r="G3334" s="28" t="s">
        <v>148</v>
      </c>
      <c r="H3334" s="28" t="s">
        <v>275</v>
      </c>
      <c r="I3334" s="29" t="n">
        <v>50000</v>
      </c>
      <c r="J3334" s="29" t="n">
        <v>42500</v>
      </c>
      <c r="K3334" s="28" t="n">
        <v>15</v>
      </c>
      <c r="L3334" s="28" t="n">
        <v>120</v>
      </c>
      <c r="M3334" s="28" t="n">
        <v>2</v>
      </c>
    </row>
    <row r="3335" customFormat="false" ht="15" hidden="false" customHeight="false" outlineLevel="0" collapsed="false">
      <c r="A3335" s="27" t="n">
        <v>45413</v>
      </c>
      <c r="B3335" s="28" t="n">
        <v>2024</v>
      </c>
      <c r="C3335" s="28" t="s">
        <v>172</v>
      </c>
      <c r="D3335" s="28" t="s">
        <v>48</v>
      </c>
      <c r="E3335" s="28" t="s">
        <v>815</v>
      </c>
      <c r="F3335" s="28" t="s">
        <v>142</v>
      </c>
      <c r="G3335" s="28" t="s">
        <v>148</v>
      </c>
      <c r="H3335" s="28" t="s">
        <v>275</v>
      </c>
      <c r="I3335" s="29" t="n">
        <v>204000</v>
      </c>
      <c r="J3335" s="29" t="n">
        <v>153000</v>
      </c>
      <c r="K3335" s="28" t="n">
        <v>11.25</v>
      </c>
      <c r="L3335" s="28" t="n">
        <v>120</v>
      </c>
      <c r="M3335" s="28" t="n">
        <v>4</v>
      </c>
    </row>
    <row r="3336" customFormat="false" ht="15" hidden="false" customHeight="false" outlineLevel="0" collapsed="false">
      <c r="A3336" s="27" t="n">
        <v>45413</v>
      </c>
      <c r="B3336" s="28" t="n">
        <v>2024</v>
      </c>
      <c r="C3336" s="28" t="s">
        <v>1059</v>
      </c>
      <c r="D3336" s="28" t="s">
        <v>49</v>
      </c>
      <c r="E3336" s="28" t="s">
        <v>939</v>
      </c>
      <c r="F3336" s="28" t="s">
        <v>142</v>
      </c>
      <c r="G3336" s="28" t="s">
        <v>441</v>
      </c>
      <c r="H3336" s="28" t="s">
        <v>494</v>
      </c>
      <c r="I3336" s="29" t="n">
        <v>1422000</v>
      </c>
      <c r="J3336" s="29" t="n">
        <v>1066500</v>
      </c>
      <c r="K3336" s="28" t="n">
        <v>9.75</v>
      </c>
      <c r="L3336" s="28" t="n">
        <v>120</v>
      </c>
      <c r="M3336" s="28" t="n">
        <v>3</v>
      </c>
    </row>
    <row r="3337" customFormat="false" ht="15" hidden="false" customHeight="false" outlineLevel="0" collapsed="false">
      <c r="A3337" s="27" t="n">
        <v>45413</v>
      </c>
      <c r="B3337" s="28" t="n">
        <v>2024</v>
      </c>
      <c r="C3337" s="28" t="s">
        <v>522</v>
      </c>
      <c r="D3337" s="28" t="s">
        <v>42</v>
      </c>
      <c r="E3337" s="28" t="s">
        <v>717</v>
      </c>
      <c r="F3337" s="28" t="s">
        <v>194</v>
      </c>
      <c r="G3337" s="28" t="s">
        <v>143</v>
      </c>
      <c r="H3337" s="28" t="s">
        <v>1060</v>
      </c>
      <c r="I3337" s="29" t="n">
        <v>1130600</v>
      </c>
      <c r="J3337" s="29" t="n">
        <v>847950</v>
      </c>
      <c r="K3337" s="28" t="n">
        <v>11</v>
      </c>
      <c r="L3337" s="28" t="n">
        <v>120</v>
      </c>
      <c r="M3337" s="28" t="n">
        <v>10</v>
      </c>
    </row>
    <row r="3338" customFormat="false" ht="15" hidden="false" customHeight="false" outlineLevel="0" collapsed="false">
      <c r="A3338" s="27" t="n">
        <v>45413</v>
      </c>
      <c r="B3338" s="28" t="n">
        <v>2024</v>
      </c>
      <c r="C3338" s="28" t="s">
        <v>243</v>
      </c>
      <c r="D3338" s="28" t="s">
        <v>51</v>
      </c>
      <c r="E3338" s="28" t="s">
        <v>779</v>
      </c>
      <c r="F3338" s="28" t="s">
        <v>142</v>
      </c>
      <c r="G3338" s="28" t="s">
        <v>143</v>
      </c>
      <c r="H3338" s="28" t="s">
        <v>382</v>
      </c>
      <c r="I3338" s="29" t="n">
        <v>500000</v>
      </c>
      <c r="J3338" s="29" t="n">
        <v>375000</v>
      </c>
      <c r="K3338" s="28" t="n">
        <v>11.25</v>
      </c>
      <c r="L3338" s="28" t="n">
        <v>124</v>
      </c>
      <c r="M3338" s="28" t="n">
        <v>5</v>
      </c>
    </row>
    <row r="3339" customFormat="false" ht="15" hidden="false" customHeight="false" outlineLevel="0" collapsed="false">
      <c r="A3339" s="27" t="n">
        <v>45413</v>
      </c>
      <c r="B3339" s="28" t="n">
        <v>2024</v>
      </c>
      <c r="C3339" s="28" t="s">
        <v>160</v>
      </c>
      <c r="D3339" s="28" t="s">
        <v>50</v>
      </c>
      <c r="E3339" s="28" t="s">
        <v>724</v>
      </c>
      <c r="F3339" s="28" t="s">
        <v>142</v>
      </c>
      <c r="G3339" s="28" t="s">
        <v>143</v>
      </c>
      <c r="H3339" s="28" t="s">
        <v>159</v>
      </c>
      <c r="I3339" s="29" t="n">
        <v>160000</v>
      </c>
      <c r="J3339" s="29" t="n">
        <v>120000</v>
      </c>
      <c r="K3339" s="28" t="n">
        <v>10.5</v>
      </c>
      <c r="L3339" s="28" t="n">
        <v>120</v>
      </c>
      <c r="M3339" s="28" t="n">
        <v>3</v>
      </c>
    </row>
    <row r="3340" customFormat="false" ht="15" hidden="false" customHeight="false" outlineLevel="0" collapsed="false">
      <c r="A3340" s="27" t="n">
        <v>45414</v>
      </c>
      <c r="B3340" s="28" t="n">
        <v>2024</v>
      </c>
      <c r="C3340" s="28" t="s">
        <v>160</v>
      </c>
      <c r="D3340" s="28" t="s">
        <v>52</v>
      </c>
      <c r="E3340" s="28" t="s">
        <v>894</v>
      </c>
      <c r="F3340" s="28" t="s">
        <v>147</v>
      </c>
      <c r="G3340" s="28" t="s">
        <v>441</v>
      </c>
      <c r="H3340" s="28" t="s">
        <v>168</v>
      </c>
      <c r="I3340" s="29" t="n">
        <v>15000</v>
      </c>
      <c r="J3340" s="29" t="n">
        <v>7500</v>
      </c>
      <c r="K3340" s="28" t="n">
        <v>14.5</v>
      </c>
      <c r="L3340" s="28" t="n">
        <v>120</v>
      </c>
      <c r="M3340" s="28" t="n">
        <v>0</v>
      </c>
    </row>
    <row r="3341" customFormat="false" ht="15" hidden="false" customHeight="false" outlineLevel="0" collapsed="false">
      <c r="A3341" s="27" t="n">
        <v>45414</v>
      </c>
      <c r="B3341" s="28" t="n">
        <v>2024</v>
      </c>
      <c r="C3341" s="28" t="s">
        <v>169</v>
      </c>
      <c r="D3341" s="28" t="s">
        <v>48</v>
      </c>
      <c r="E3341" s="28" t="s">
        <v>815</v>
      </c>
      <c r="F3341" s="28" t="s">
        <v>142</v>
      </c>
      <c r="G3341" s="28" t="s">
        <v>441</v>
      </c>
      <c r="H3341" s="28" t="s">
        <v>605</v>
      </c>
      <c r="I3341" s="29" t="n">
        <v>495000</v>
      </c>
      <c r="J3341" s="29" t="n">
        <v>371250</v>
      </c>
      <c r="K3341" s="28" t="n">
        <v>11.5</v>
      </c>
      <c r="L3341" s="28" t="n">
        <v>120</v>
      </c>
      <c r="M3341" s="28" t="n">
        <v>90</v>
      </c>
    </row>
    <row r="3342" customFormat="false" ht="15" hidden="false" customHeight="false" outlineLevel="0" collapsed="false">
      <c r="A3342" s="27" t="n">
        <v>45414</v>
      </c>
      <c r="B3342" s="28" t="n">
        <v>2024</v>
      </c>
      <c r="C3342" s="28" t="s">
        <v>169</v>
      </c>
      <c r="D3342" s="28" t="s">
        <v>47</v>
      </c>
      <c r="E3342" s="28" t="s">
        <v>1061</v>
      </c>
      <c r="F3342" s="28" t="s">
        <v>142</v>
      </c>
      <c r="G3342" s="28" t="s">
        <v>148</v>
      </c>
      <c r="H3342" s="28" t="s">
        <v>579</v>
      </c>
      <c r="I3342" s="29" t="n">
        <v>150000</v>
      </c>
      <c r="J3342" s="29" t="n">
        <v>127500</v>
      </c>
      <c r="K3342" s="28" t="n">
        <v>11.5</v>
      </c>
      <c r="L3342" s="28" t="n">
        <v>120</v>
      </c>
      <c r="M3342" s="28" t="n">
        <v>6</v>
      </c>
    </row>
    <row r="3343" customFormat="false" ht="15" hidden="false" customHeight="false" outlineLevel="0" collapsed="false">
      <c r="A3343" s="27" t="n">
        <v>45414</v>
      </c>
      <c r="B3343" s="28" t="n">
        <v>2024</v>
      </c>
      <c r="C3343" s="28" t="s">
        <v>213</v>
      </c>
      <c r="D3343" s="28" t="s">
        <v>43</v>
      </c>
      <c r="E3343" s="28" t="s">
        <v>942</v>
      </c>
      <c r="F3343" s="28" t="s">
        <v>147</v>
      </c>
      <c r="G3343" s="28" t="s">
        <v>441</v>
      </c>
      <c r="H3343" s="28" t="s">
        <v>469</v>
      </c>
      <c r="I3343" s="29" t="n">
        <v>212500</v>
      </c>
      <c r="J3343" s="29" t="n">
        <v>106250</v>
      </c>
      <c r="K3343" s="28" t="n">
        <v>8.5</v>
      </c>
      <c r="L3343" s="28" t="n">
        <v>300</v>
      </c>
      <c r="M3343" s="28" t="n">
        <v>2</v>
      </c>
    </row>
    <row r="3344" customFormat="false" ht="15" hidden="false" customHeight="false" outlineLevel="0" collapsed="false">
      <c r="A3344" s="27" t="n">
        <v>45414</v>
      </c>
      <c r="B3344" s="28" t="n">
        <v>2024</v>
      </c>
      <c r="C3344" s="28" t="s">
        <v>201</v>
      </c>
      <c r="D3344" s="28" t="s">
        <v>56</v>
      </c>
      <c r="E3344" s="28" t="s">
        <v>772</v>
      </c>
      <c r="F3344" s="28" t="s">
        <v>194</v>
      </c>
      <c r="G3344" s="28" t="s">
        <v>143</v>
      </c>
      <c r="H3344" s="28" t="s">
        <v>1062</v>
      </c>
      <c r="I3344" s="29" t="n">
        <v>250000</v>
      </c>
      <c r="J3344" s="29" t="n">
        <v>187500</v>
      </c>
      <c r="K3344" s="28" t="n">
        <v>11</v>
      </c>
      <c r="L3344" s="28" t="n">
        <v>120</v>
      </c>
      <c r="M3344" s="28" t="n">
        <v>4</v>
      </c>
    </row>
    <row r="3345" customFormat="false" ht="15" hidden="false" customHeight="false" outlineLevel="0" collapsed="false">
      <c r="A3345" s="27" t="n">
        <v>45415</v>
      </c>
      <c r="B3345" s="28" t="n">
        <v>2024</v>
      </c>
      <c r="C3345" s="28" t="s">
        <v>235</v>
      </c>
      <c r="D3345" s="28" t="s">
        <v>46</v>
      </c>
      <c r="E3345" s="28" t="s">
        <v>813</v>
      </c>
      <c r="F3345" s="28" t="s">
        <v>142</v>
      </c>
      <c r="G3345" s="28" t="s">
        <v>143</v>
      </c>
      <c r="H3345" s="28" t="s">
        <v>1063</v>
      </c>
      <c r="I3345" s="29" t="n">
        <v>350000</v>
      </c>
      <c r="J3345" s="29" t="n">
        <v>262500</v>
      </c>
      <c r="K3345" s="28" t="n">
        <v>10.75</v>
      </c>
      <c r="L3345" s="28" t="n">
        <v>123</v>
      </c>
      <c r="M3345" s="28" t="n">
        <v>12</v>
      </c>
    </row>
    <row r="3346" customFormat="false" ht="15" hidden="false" customHeight="false" outlineLevel="0" collapsed="false">
      <c r="A3346" s="27" t="n">
        <v>45415</v>
      </c>
      <c r="B3346" s="28" t="n">
        <v>2024</v>
      </c>
      <c r="C3346" s="28" t="s">
        <v>166</v>
      </c>
      <c r="D3346" s="28" t="s">
        <v>44</v>
      </c>
      <c r="E3346" s="28" t="s">
        <v>863</v>
      </c>
      <c r="F3346" s="28" t="s">
        <v>147</v>
      </c>
      <c r="G3346" s="28" t="s">
        <v>148</v>
      </c>
      <c r="H3346" s="28" t="s">
        <v>159</v>
      </c>
      <c r="I3346" s="29" t="n">
        <v>35000</v>
      </c>
      <c r="J3346" s="29" t="n">
        <v>17500</v>
      </c>
      <c r="K3346" s="28" t="n">
        <v>15</v>
      </c>
      <c r="L3346" s="28" t="n">
        <v>120</v>
      </c>
      <c r="M3346" s="28" t="n">
        <v>5</v>
      </c>
    </row>
    <row r="3347" customFormat="false" ht="15" hidden="false" customHeight="false" outlineLevel="0" collapsed="false">
      <c r="A3347" s="27" t="n">
        <v>45415</v>
      </c>
      <c r="B3347" s="28" t="n">
        <v>2024</v>
      </c>
      <c r="C3347" s="28" t="s">
        <v>500</v>
      </c>
      <c r="D3347" s="28" t="s">
        <v>45</v>
      </c>
      <c r="E3347" s="28" t="s">
        <v>480</v>
      </c>
      <c r="F3347" s="28" t="s">
        <v>142</v>
      </c>
      <c r="G3347" s="28" t="s">
        <v>148</v>
      </c>
      <c r="H3347" s="28" t="s">
        <v>619</v>
      </c>
      <c r="I3347" s="29" t="n">
        <v>500000</v>
      </c>
      <c r="J3347" s="29" t="n">
        <v>375000</v>
      </c>
      <c r="K3347" s="28" t="n">
        <v>11.25</v>
      </c>
      <c r="L3347" s="28" t="n">
        <v>300</v>
      </c>
      <c r="M3347" s="28" t="n">
        <v>37</v>
      </c>
    </row>
    <row r="3348" customFormat="false" ht="15" hidden="false" customHeight="false" outlineLevel="0" collapsed="false">
      <c r="A3348" s="27" t="n">
        <v>45415</v>
      </c>
      <c r="B3348" s="28" t="n">
        <v>2024</v>
      </c>
      <c r="C3348" s="28" t="s">
        <v>166</v>
      </c>
      <c r="D3348" s="28" t="s">
        <v>44</v>
      </c>
      <c r="E3348" s="28" t="s">
        <v>863</v>
      </c>
      <c r="F3348" s="28" t="s">
        <v>147</v>
      </c>
      <c r="G3348" s="28" t="s">
        <v>148</v>
      </c>
      <c r="H3348" s="28" t="s">
        <v>159</v>
      </c>
      <c r="I3348" s="29" t="n">
        <v>60000</v>
      </c>
      <c r="J3348" s="29" t="n">
        <v>30000</v>
      </c>
      <c r="K3348" s="28" t="n">
        <v>12</v>
      </c>
      <c r="L3348" s="28" t="n">
        <v>60</v>
      </c>
      <c r="M3348" s="28" t="n">
        <v>5</v>
      </c>
    </row>
    <row r="3349" customFormat="false" ht="15" hidden="false" customHeight="false" outlineLevel="0" collapsed="false">
      <c r="A3349" s="27" t="n">
        <v>45415</v>
      </c>
      <c r="B3349" s="28" t="n">
        <v>2024</v>
      </c>
      <c r="C3349" s="28" t="s">
        <v>252</v>
      </c>
      <c r="D3349" s="28" t="s">
        <v>48</v>
      </c>
      <c r="E3349" s="28" t="s">
        <v>362</v>
      </c>
      <c r="F3349" s="28" t="s">
        <v>147</v>
      </c>
      <c r="G3349" s="28" t="s">
        <v>152</v>
      </c>
      <c r="H3349" s="28" t="s">
        <v>211</v>
      </c>
      <c r="I3349" s="29" t="n">
        <v>130000</v>
      </c>
      <c r="J3349" s="29" t="n">
        <v>65000</v>
      </c>
      <c r="K3349" s="28" t="n">
        <v>11.25</v>
      </c>
      <c r="L3349" s="28" t="n">
        <v>120</v>
      </c>
      <c r="M3349" s="28" t="n">
        <v>2</v>
      </c>
    </row>
    <row r="3350" customFormat="false" ht="15" hidden="false" customHeight="false" outlineLevel="0" collapsed="false">
      <c r="A3350" s="27" t="n">
        <v>45415</v>
      </c>
      <c r="B3350" s="28" t="n">
        <v>2024</v>
      </c>
      <c r="C3350" s="28" t="s">
        <v>252</v>
      </c>
      <c r="D3350" s="28" t="s">
        <v>48</v>
      </c>
      <c r="E3350" s="28" t="s">
        <v>362</v>
      </c>
      <c r="F3350" s="28" t="s">
        <v>142</v>
      </c>
      <c r="G3350" s="28" t="s">
        <v>152</v>
      </c>
      <c r="H3350" s="28" t="s">
        <v>211</v>
      </c>
      <c r="I3350" s="29" t="n">
        <v>839000</v>
      </c>
      <c r="J3350" s="29" t="n">
        <v>629250</v>
      </c>
      <c r="K3350" s="28" t="n">
        <v>11.25</v>
      </c>
      <c r="L3350" s="28" t="n">
        <v>120</v>
      </c>
      <c r="M3350" s="28" t="n">
        <v>2</v>
      </c>
    </row>
    <row r="3351" customFormat="false" ht="15" hidden="false" customHeight="false" outlineLevel="0" collapsed="false">
      <c r="A3351" s="27" t="n">
        <v>45415</v>
      </c>
      <c r="B3351" s="28" t="n">
        <v>2024</v>
      </c>
      <c r="C3351" s="28" t="s">
        <v>166</v>
      </c>
      <c r="D3351" s="28" t="s">
        <v>45</v>
      </c>
      <c r="E3351" s="28" t="s">
        <v>708</v>
      </c>
      <c r="F3351" s="28" t="s">
        <v>142</v>
      </c>
      <c r="G3351" s="28" t="s">
        <v>143</v>
      </c>
      <c r="H3351" s="28" t="s">
        <v>287</v>
      </c>
      <c r="I3351" s="29" t="n">
        <v>125000</v>
      </c>
      <c r="J3351" s="29" t="n">
        <v>106250</v>
      </c>
      <c r="K3351" s="28" t="n">
        <v>11.25</v>
      </c>
      <c r="L3351" s="28" t="n">
        <v>120</v>
      </c>
      <c r="M3351" s="28" t="n">
        <v>11</v>
      </c>
    </row>
    <row r="3352" customFormat="false" ht="15" hidden="false" customHeight="false" outlineLevel="0" collapsed="false">
      <c r="A3352" s="27" t="n">
        <v>45416</v>
      </c>
      <c r="B3352" s="28" t="n">
        <v>2024</v>
      </c>
      <c r="C3352" s="28" t="s">
        <v>169</v>
      </c>
      <c r="D3352" s="28" t="s">
        <v>44</v>
      </c>
      <c r="E3352" s="28" t="s">
        <v>730</v>
      </c>
      <c r="F3352" s="28" t="s">
        <v>147</v>
      </c>
      <c r="G3352" s="28" t="s">
        <v>143</v>
      </c>
      <c r="H3352" s="28" t="s">
        <v>621</v>
      </c>
      <c r="I3352" s="29" t="n">
        <v>25000</v>
      </c>
      <c r="J3352" s="29" t="n">
        <v>12500</v>
      </c>
      <c r="K3352" s="28" t="n">
        <v>11.25</v>
      </c>
      <c r="L3352" s="28" t="n">
        <v>120</v>
      </c>
      <c r="M3352" s="28" t="n">
        <v>52</v>
      </c>
    </row>
    <row r="3353" customFormat="false" ht="15" hidden="false" customHeight="false" outlineLevel="0" collapsed="false">
      <c r="A3353" s="27" t="n">
        <v>45416</v>
      </c>
      <c r="B3353" s="28" t="n">
        <v>2024</v>
      </c>
      <c r="C3353" s="28" t="s">
        <v>169</v>
      </c>
      <c r="D3353" s="28" t="s">
        <v>44</v>
      </c>
      <c r="E3353" s="28" t="s">
        <v>730</v>
      </c>
      <c r="F3353" s="28" t="s">
        <v>142</v>
      </c>
      <c r="G3353" s="28" t="s">
        <v>143</v>
      </c>
      <c r="H3353" s="28" t="s">
        <v>621</v>
      </c>
      <c r="I3353" s="29" t="n">
        <v>450000</v>
      </c>
      <c r="J3353" s="29" t="n">
        <v>337500</v>
      </c>
      <c r="K3353" s="28" t="n">
        <v>11.25</v>
      </c>
      <c r="L3353" s="28" t="n">
        <v>120</v>
      </c>
      <c r="M3353" s="28" t="n">
        <v>52</v>
      </c>
    </row>
    <row r="3354" customFormat="false" ht="15" hidden="false" customHeight="false" outlineLevel="0" collapsed="false">
      <c r="A3354" s="27" t="n">
        <v>45418</v>
      </c>
      <c r="B3354" s="28" t="n">
        <v>2024</v>
      </c>
      <c r="C3354" s="28" t="s">
        <v>206</v>
      </c>
      <c r="D3354" s="28" t="s">
        <v>51</v>
      </c>
      <c r="E3354" s="28" t="s">
        <v>779</v>
      </c>
      <c r="F3354" s="28" t="s">
        <v>194</v>
      </c>
      <c r="G3354" s="28" t="s">
        <v>152</v>
      </c>
      <c r="H3354" s="28" t="s">
        <v>453</v>
      </c>
      <c r="I3354" s="29" t="n">
        <v>1000000</v>
      </c>
      <c r="J3354" s="29" t="n">
        <v>750000</v>
      </c>
      <c r="K3354" s="28" t="n">
        <v>10</v>
      </c>
      <c r="L3354" s="28" t="n">
        <v>120</v>
      </c>
      <c r="M3354" s="28" t="n">
        <v>33</v>
      </c>
    </row>
    <row r="3355" customFormat="false" ht="15" hidden="false" customHeight="false" outlineLevel="0" collapsed="false">
      <c r="A3355" s="27" t="n">
        <v>45419</v>
      </c>
      <c r="B3355" s="28" t="n">
        <v>2024</v>
      </c>
      <c r="C3355" s="28" t="s">
        <v>201</v>
      </c>
      <c r="D3355" s="28" t="s">
        <v>50</v>
      </c>
      <c r="E3355" s="28" t="s">
        <v>836</v>
      </c>
      <c r="F3355" s="28" t="s">
        <v>142</v>
      </c>
      <c r="G3355" s="28" t="s">
        <v>143</v>
      </c>
      <c r="H3355" s="28" t="s">
        <v>413</v>
      </c>
      <c r="I3355" s="29" t="n">
        <v>219900</v>
      </c>
      <c r="J3355" s="29" t="n">
        <v>164925</v>
      </c>
      <c r="K3355" s="28" t="n">
        <v>10</v>
      </c>
      <c r="L3355" s="28" t="n">
        <v>120</v>
      </c>
      <c r="M3355" s="28" t="n">
        <v>7</v>
      </c>
    </row>
    <row r="3356" customFormat="false" ht="15" hidden="false" customHeight="false" outlineLevel="0" collapsed="false">
      <c r="A3356" s="27" t="n">
        <v>45419</v>
      </c>
      <c r="B3356" s="28" t="n">
        <v>2024</v>
      </c>
      <c r="C3356" s="28" t="s">
        <v>172</v>
      </c>
      <c r="D3356" s="28" t="s">
        <v>48</v>
      </c>
      <c r="E3356" s="28" t="s">
        <v>342</v>
      </c>
      <c r="F3356" s="28" t="s">
        <v>147</v>
      </c>
      <c r="G3356" s="28" t="s">
        <v>441</v>
      </c>
      <c r="H3356" s="28" t="s">
        <v>168</v>
      </c>
      <c r="I3356" s="29" t="n">
        <v>15000</v>
      </c>
      <c r="J3356" s="29" t="n">
        <v>7500</v>
      </c>
      <c r="K3356" s="28" t="n">
        <v>13</v>
      </c>
      <c r="L3356" s="28" t="n">
        <v>120</v>
      </c>
      <c r="M3356" s="28" t="n">
        <v>1</v>
      </c>
    </row>
    <row r="3357" customFormat="false" ht="15" hidden="false" customHeight="false" outlineLevel="0" collapsed="false">
      <c r="A3357" s="27" t="n">
        <v>45419</v>
      </c>
      <c r="B3357" s="28" t="n">
        <v>2024</v>
      </c>
      <c r="C3357" s="28" t="s">
        <v>252</v>
      </c>
      <c r="D3357" s="28" t="s">
        <v>50</v>
      </c>
      <c r="E3357" s="28" t="s">
        <v>877</v>
      </c>
      <c r="F3357" s="28" t="s">
        <v>142</v>
      </c>
      <c r="G3357" s="28" t="s">
        <v>148</v>
      </c>
      <c r="H3357" s="28" t="s">
        <v>171</v>
      </c>
      <c r="I3357" s="29" t="n">
        <v>101000</v>
      </c>
      <c r="J3357" s="29" t="n">
        <v>85850</v>
      </c>
      <c r="K3357" s="28" t="n">
        <v>13.25</v>
      </c>
      <c r="L3357" s="28" t="n">
        <v>120</v>
      </c>
      <c r="M3357" s="28" t="n">
        <v>2</v>
      </c>
    </row>
    <row r="3358" customFormat="false" ht="15" hidden="false" customHeight="false" outlineLevel="0" collapsed="false">
      <c r="A3358" s="27" t="n">
        <v>45419</v>
      </c>
      <c r="B3358" s="28" t="n">
        <v>2024</v>
      </c>
      <c r="C3358" s="28" t="s">
        <v>243</v>
      </c>
      <c r="D3358" s="28" t="s">
        <v>56</v>
      </c>
      <c r="E3358" s="28" t="s">
        <v>772</v>
      </c>
      <c r="F3358" s="28" t="s">
        <v>142</v>
      </c>
      <c r="G3358" s="28" t="s">
        <v>148</v>
      </c>
      <c r="H3358" s="28" t="s">
        <v>987</v>
      </c>
      <c r="I3358" s="29" t="n">
        <v>987000</v>
      </c>
      <c r="J3358" s="29" t="n">
        <v>740250</v>
      </c>
      <c r="K3358" s="28" t="n">
        <v>11.25</v>
      </c>
      <c r="L3358" s="28" t="n">
        <v>120</v>
      </c>
      <c r="M3358" s="28" t="n">
        <v>60</v>
      </c>
    </row>
    <row r="3359" customFormat="false" ht="15" hidden="false" customHeight="false" outlineLevel="0" collapsed="false">
      <c r="A3359" s="27" t="n">
        <v>45419</v>
      </c>
      <c r="B3359" s="28" t="n">
        <v>2024</v>
      </c>
      <c r="C3359" s="28" t="s">
        <v>213</v>
      </c>
      <c r="D3359" s="28" t="s">
        <v>48</v>
      </c>
      <c r="E3359" s="28" t="s">
        <v>362</v>
      </c>
      <c r="F3359" s="28" t="s">
        <v>142</v>
      </c>
      <c r="G3359" s="28" t="s">
        <v>152</v>
      </c>
      <c r="H3359" s="28" t="s">
        <v>845</v>
      </c>
      <c r="I3359" s="29" t="n">
        <v>1070000</v>
      </c>
      <c r="J3359" s="29" t="n">
        <v>802500</v>
      </c>
      <c r="K3359" s="28" t="n">
        <v>10.5</v>
      </c>
      <c r="L3359" s="28" t="n">
        <v>120</v>
      </c>
      <c r="M3359" s="28" t="n">
        <v>13</v>
      </c>
    </row>
    <row r="3360" customFormat="false" ht="15" hidden="false" customHeight="false" outlineLevel="0" collapsed="false">
      <c r="A3360" s="27" t="n">
        <v>45420</v>
      </c>
      <c r="B3360" s="28" t="n">
        <v>2024</v>
      </c>
      <c r="C3360" s="28" t="s">
        <v>203</v>
      </c>
      <c r="D3360" s="28" t="s">
        <v>44</v>
      </c>
      <c r="E3360" s="28" t="s">
        <v>759</v>
      </c>
      <c r="F3360" s="28" t="s">
        <v>142</v>
      </c>
      <c r="G3360" s="28" t="s">
        <v>143</v>
      </c>
      <c r="H3360" s="28" t="s">
        <v>382</v>
      </c>
      <c r="I3360" s="29" t="n">
        <v>335600</v>
      </c>
      <c r="J3360" s="29" t="n">
        <v>251700</v>
      </c>
      <c r="K3360" s="28" t="n">
        <v>11.25</v>
      </c>
      <c r="L3360" s="28" t="n">
        <v>124</v>
      </c>
      <c r="M3360" s="28" t="n">
        <v>6</v>
      </c>
    </row>
    <row r="3361" customFormat="false" ht="15" hidden="false" customHeight="false" outlineLevel="0" collapsed="false">
      <c r="A3361" s="27" t="n">
        <v>45420</v>
      </c>
      <c r="B3361" s="28" t="n">
        <v>2024</v>
      </c>
      <c r="C3361" s="28" t="s">
        <v>344</v>
      </c>
      <c r="D3361" s="28" t="s">
        <v>47</v>
      </c>
      <c r="E3361" s="28" t="s">
        <v>1041</v>
      </c>
      <c r="F3361" s="28" t="s">
        <v>142</v>
      </c>
      <c r="G3361" s="28" t="s">
        <v>143</v>
      </c>
      <c r="H3361" s="28" t="s">
        <v>208</v>
      </c>
      <c r="I3361" s="29" t="n">
        <v>1860800</v>
      </c>
      <c r="J3361" s="29" t="n">
        <v>1395600</v>
      </c>
      <c r="K3361" s="28" t="n">
        <v>10.5</v>
      </c>
      <c r="L3361" s="28" t="n">
        <v>126</v>
      </c>
      <c r="M3361" s="28" t="n">
        <v>32</v>
      </c>
    </row>
    <row r="3362" customFormat="false" ht="15" hidden="false" customHeight="false" outlineLevel="0" collapsed="false">
      <c r="A3362" s="27" t="n">
        <v>45420</v>
      </c>
      <c r="B3362" s="28" t="n">
        <v>2024</v>
      </c>
      <c r="C3362" s="28" t="s">
        <v>166</v>
      </c>
      <c r="D3362" s="28" t="s">
        <v>48</v>
      </c>
      <c r="E3362" s="28" t="s">
        <v>704</v>
      </c>
      <c r="F3362" s="28" t="s">
        <v>142</v>
      </c>
      <c r="G3362" s="28" t="s">
        <v>148</v>
      </c>
      <c r="H3362" s="28" t="s">
        <v>621</v>
      </c>
      <c r="I3362" s="29" t="n">
        <v>120000</v>
      </c>
      <c r="J3362" s="29" t="n">
        <v>102000</v>
      </c>
      <c r="K3362" s="28" t="n">
        <v>14.5</v>
      </c>
      <c r="L3362" s="28" t="n">
        <v>120</v>
      </c>
      <c r="M3362" s="28" t="n">
        <v>3</v>
      </c>
    </row>
    <row r="3363" customFormat="false" ht="15" hidden="false" customHeight="false" outlineLevel="0" collapsed="false">
      <c r="A3363" s="27" t="n">
        <v>45420</v>
      </c>
      <c r="B3363" s="28" t="n">
        <v>2024</v>
      </c>
      <c r="C3363" s="28" t="s">
        <v>145</v>
      </c>
      <c r="D3363" s="28" t="s">
        <v>42</v>
      </c>
      <c r="E3363" s="28" t="s">
        <v>717</v>
      </c>
      <c r="F3363" s="28" t="s">
        <v>142</v>
      </c>
      <c r="G3363" s="28" t="s">
        <v>152</v>
      </c>
      <c r="H3363" s="28" t="s">
        <v>149</v>
      </c>
      <c r="I3363" s="29" t="n">
        <v>295000</v>
      </c>
      <c r="J3363" s="29" t="n">
        <v>221250</v>
      </c>
      <c r="K3363" s="28" t="n">
        <v>10.5</v>
      </c>
      <c r="L3363" s="28" t="n">
        <v>120</v>
      </c>
      <c r="M3363" s="28" t="n">
        <v>9</v>
      </c>
    </row>
    <row r="3364" customFormat="false" ht="15" hidden="false" customHeight="false" outlineLevel="0" collapsed="false">
      <c r="A3364" s="27" t="n">
        <v>45420</v>
      </c>
      <c r="B3364" s="28" t="n">
        <v>2024</v>
      </c>
      <c r="C3364" s="28" t="s">
        <v>169</v>
      </c>
      <c r="D3364" s="28" t="s">
        <v>50</v>
      </c>
      <c r="E3364" s="28" t="s">
        <v>877</v>
      </c>
      <c r="F3364" s="28" t="s">
        <v>147</v>
      </c>
      <c r="G3364" s="28" t="s">
        <v>148</v>
      </c>
      <c r="H3364" s="28" t="s">
        <v>205</v>
      </c>
      <c r="I3364" s="29" t="n">
        <v>200000</v>
      </c>
      <c r="J3364" s="29" t="n">
        <v>100000</v>
      </c>
      <c r="K3364" s="28" t="n">
        <v>11.5</v>
      </c>
      <c r="L3364" s="28" t="n">
        <v>120</v>
      </c>
      <c r="M3364" s="28" t="n">
        <v>3</v>
      </c>
    </row>
    <row r="3365" customFormat="false" ht="15" hidden="false" customHeight="false" outlineLevel="0" collapsed="false">
      <c r="A3365" s="27" t="n">
        <v>45421</v>
      </c>
      <c r="B3365" s="28" t="n">
        <v>2024</v>
      </c>
      <c r="C3365" s="28" t="s">
        <v>855</v>
      </c>
      <c r="D3365" s="28" t="s">
        <v>48</v>
      </c>
      <c r="E3365" s="28" t="s">
        <v>840</v>
      </c>
      <c r="F3365" s="28" t="s">
        <v>142</v>
      </c>
      <c r="G3365" s="28" t="s">
        <v>148</v>
      </c>
      <c r="H3365" s="28" t="s">
        <v>171</v>
      </c>
      <c r="I3365" s="29" t="n">
        <v>150000</v>
      </c>
      <c r="J3365" s="29" t="n">
        <v>127500</v>
      </c>
      <c r="K3365" s="28" t="n">
        <v>13.25</v>
      </c>
      <c r="L3365" s="28" t="n">
        <v>120</v>
      </c>
      <c r="M3365" s="28" t="n">
        <v>0</v>
      </c>
    </row>
    <row r="3366" customFormat="false" ht="15" hidden="false" customHeight="false" outlineLevel="0" collapsed="false">
      <c r="A3366" s="27" t="n">
        <v>45421</v>
      </c>
      <c r="B3366" s="28" t="n">
        <v>2024</v>
      </c>
      <c r="C3366" s="28" t="s">
        <v>166</v>
      </c>
      <c r="D3366" s="28" t="s">
        <v>52</v>
      </c>
      <c r="E3366" s="28" t="s">
        <v>720</v>
      </c>
      <c r="F3366" s="28" t="s">
        <v>142</v>
      </c>
      <c r="G3366" s="28" t="s">
        <v>148</v>
      </c>
      <c r="H3366" s="28" t="s">
        <v>208</v>
      </c>
      <c r="I3366" s="29" t="n">
        <v>100000</v>
      </c>
      <c r="J3366" s="29" t="n">
        <v>85000</v>
      </c>
      <c r="K3366" s="28" t="n">
        <v>11.25</v>
      </c>
      <c r="L3366" s="28" t="n">
        <v>120</v>
      </c>
      <c r="M3366" s="28" t="n">
        <v>1</v>
      </c>
    </row>
    <row r="3367" customFormat="false" ht="15" hidden="false" customHeight="false" outlineLevel="0" collapsed="false">
      <c r="A3367" s="27" t="n">
        <v>45421</v>
      </c>
      <c r="B3367" s="28" t="n">
        <v>2024</v>
      </c>
      <c r="C3367" s="28" t="s">
        <v>172</v>
      </c>
      <c r="D3367" s="28" t="s">
        <v>44</v>
      </c>
      <c r="E3367" s="28" t="s">
        <v>863</v>
      </c>
      <c r="F3367" s="28" t="s">
        <v>147</v>
      </c>
      <c r="G3367" s="28" t="s">
        <v>148</v>
      </c>
      <c r="H3367" s="28" t="s">
        <v>159</v>
      </c>
      <c r="I3367" s="29" t="n">
        <v>100000</v>
      </c>
      <c r="J3367" s="29" t="n">
        <v>50000</v>
      </c>
      <c r="K3367" s="28" t="n">
        <v>12</v>
      </c>
      <c r="L3367" s="28" t="n">
        <v>60</v>
      </c>
      <c r="M3367" s="28" t="n">
        <v>2</v>
      </c>
    </row>
    <row r="3368" customFormat="false" ht="15" hidden="false" customHeight="false" outlineLevel="0" collapsed="false">
      <c r="A3368" s="27" t="n">
        <v>45421</v>
      </c>
      <c r="B3368" s="28" t="n">
        <v>2024</v>
      </c>
      <c r="C3368" s="28" t="s">
        <v>209</v>
      </c>
      <c r="D3368" s="28" t="s">
        <v>48</v>
      </c>
      <c r="E3368" s="28" t="s">
        <v>762</v>
      </c>
      <c r="F3368" s="28" t="s">
        <v>147</v>
      </c>
      <c r="G3368" s="28" t="s">
        <v>441</v>
      </c>
      <c r="H3368" s="28" t="s">
        <v>255</v>
      </c>
      <c r="I3368" s="29" t="n">
        <v>200000</v>
      </c>
      <c r="J3368" s="29" t="n">
        <v>100000</v>
      </c>
      <c r="K3368" s="28" t="n">
        <v>10</v>
      </c>
      <c r="L3368" s="28" t="n">
        <v>120</v>
      </c>
      <c r="M3368" s="28" t="n">
        <v>9</v>
      </c>
    </row>
    <row r="3369" customFormat="false" ht="15" hidden="false" customHeight="false" outlineLevel="0" collapsed="false">
      <c r="A3369" s="27" t="n">
        <v>45421</v>
      </c>
      <c r="B3369" s="28" t="n">
        <v>2024</v>
      </c>
      <c r="C3369" s="28" t="s">
        <v>344</v>
      </c>
      <c r="D3369" s="28" t="s">
        <v>50</v>
      </c>
      <c r="E3369" s="28" t="s">
        <v>193</v>
      </c>
      <c r="F3369" s="28" t="s">
        <v>147</v>
      </c>
      <c r="G3369" s="28" t="s">
        <v>152</v>
      </c>
      <c r="H3369" s="28" t="s">
        <v>211</v>
      </c>
      <c r="I3369" s="29" t="n">
        <v>75000</v>
      </c>
      <c r="J3369" s="29" t="n">
        <v>37500</v>
      </c>
      <c r="K3369" s="28" t="n">
        <v>10</v>
      </c>
      <c r="L3369" s="28" t="n">
        <v>120</v>
      </c>
      <c r="M3369" s="28" t="n">
        <v>16</v>
      </c>
    </row>
    <row r="3370" customFormat="false" ht="15" hidden="false" customHeight="false" outlineLevel="0" collapsed="false">
      <c r="A3370" s="27" t="n">
        <v>45421</v>
      </c>
      <c r="B3370" s="28" t="n">
        <v>2024</v>
      </c>
      <c r="C3370" s="28" t="s">
        <v>368</v>
      </c>
      <c r="D3370" s="28" t="s">
        <v>56</v>
      </c>
      <c r="E3370" s="28" t="s">
        <v>722</v>
      </c>
      <c r="F3370" s="28" t="s">
        <v>147</v>
      </c>
      <c r="G3370" s="28" t="s">
        <v>148</v>
      </c>
      <c r="H3370" s="28" t="s">
        <v>469</v>
      </c>
      <c r="I3370" s="29" t="n">
        <v>495000</v>
      </c>
      <c r="J3370" s="29" t="n">
        <v>247500</v>
      </c>
      <c r="K3370" s="28" t="n">
        <v>9.25</v>
      </c>
      <c r="L3370" s="28" t="n">
        <v>300</v>
      </c>
      <c r="M3370" s="28" t="n">
        <v>2</v>
      </c>
    </row>
    <row r="3371" customFormat="false" ht="15" hidden="false" customHeight="false" outlineLevel="0" collapsed="false">
      <c r="A3371" s="27" t="n">
        <v>45421</v>
      </c>
      <c r="B3371" s="28" t="n">
        <v>2024</v>
      </c>
      <c r="C3371" s="28" t="s">
        <v>344</v>
      </c>
      <c r="D3371" s="28" t="s">
        <v>50</v>
      </c>
      <c r="E3371" s="28" t="s">
        <v>193</v>
      </c>
      <c r="F3371" s="28" t="s">
        <v>142</v>
      </c>
      <c r="G3371" s="28" t="s">
        <v>152</v>
      </c>
      <c r="H3371" s="28" t="s">
        <v>211</v>
      </c>
      <c r="I3371" s="29" t="n">
        <v>832500</v>
      </c>
      <c r="J3371" s="29" t="n">
        <v>624375</v>
      </c>
      <c r="K3371" s="28" t="n">
        <v>10</v>
      </c>
      <c r="L3371" s="28" t="n">
        <v>120</v>
      </c>
      <c r="M3371" s="28" t="n">
        <v>16</v>
      </c>
    </row>
    <row r="3372" customFormat="false" ht="15" hidden="false" customHeight="false" outlineLevel="0" collapsed="false">
      <c r="A3372" s="27" t="n">
        <v>45422</v>
      </c>
      <c r="B3372" s="28" t="n">
        <v>2024</v>
      </c>
      <c r="C3372" s="28" t="s">
        <v>394</v>
      </c>
      <c r="D3372" s="28" t="s">
        <v>49</v>
      </c>
      <c r="E3372" s="28" t="s">
        <v>939</v>
      </c>
      <c r="F3372" s="28" t="s">
        <v>194</v>
      </c>
      <c r="G3372" s="28" t="s">
        <v>143</v>
      </c>
      <c r="H3372" s="28" t="s">
        <v>1031</v>
      </c>
      <c r="I3372" s="29" t="n">
        <v>200000</v>
      </c>
      <c r="J3372" s="29" t="n">
        <v>150000</v>
      </c>
      <c r="K3372" s="28" t="n">
        <v>10</v>
      </c>
      <c r="L3372" s="28" t="n">
        <v>120</v>
      </c>
      <c r="M3372" s="28" t="n">
        <v>10</v>
      </c>
    </row>
    <row r="3373" customFormat="false" ht="15" hidden="false" customHeight="false" outlineLevel="0" collapsed="false">
      <c r="A3373" s="27" t="n">
        <v>45422</v>
      </c>
      <c r="B3373" s="28" t="n">
        <v>2024</v>
      </c>
      <c r="C3373" s="28" t="s">
        <v>423</v>
      </c>
      <c r="D3373" s="28" t="s">
        <v>45</v>
      </c>
      <c r="E3373" s="28" t="s">
        <v>222</v>
      </c>
      <c r="F3373" s="28" t="s">
        <v>142</v>
      </c>
      <c r="G3373" s="28" t="s">
        <v>148</v>
      </c>
      <c r="H3373" s="28" t="s">
        <v>171</v>
      </c>
      <c r="I3373" s="29" t="n">
        <v>125000</v>
      </c>
      <c r="J3373" s="29" t="n">
        <v>106250</v>
      </c>
      <c r="K3373" s="28" t="n">
        <v>13.25</v>
      </c>
      <c r="L3373" s="28" t="n">
        <v>120</v>
      </c>
      <c r="M3373" s="28" t="n">
        <v>4</v>
      </c>
    </row>
    <row r="3374" customFormat="false" ht="15" hidden="false" customHeight="false" outlineLevel="0" collapsed="false">
      <c r="A3374" s="27" t="n">
        <v>45422</v>
      </c>
      <c r="B3374" s="28" t="n">
        <v>2024</v>
      </c>
      <c r="C3374" s="28" t="s">
        <v>203</v>
      </c>
      <c r="D3374" s="28" t="s">
        <v>44</v>
      </c>
      <c r="E3374" s="28" t="s">
        <v>167</v>
      </c>
      <c r="F3374" s="28" t="s">
        <v>142</v>
      </c>
      <c r="G3374" s="28" t="s">
        <v>148</v>
      </c>
      <c r="H3374" s="28" t="s">
        <v>953</v>
      </c>
      <c r="I3374" s="29" t="n">
        <v>1200000</v>
      </c>
      <c r="J3374" s="29" t="n">
        <v>900000</v>
      </c>
      <c r="K3374" s="28" t="n">
        <v>11.5</v>
      </c>
      <c r="L3374" s="28" t="n">
        <v>120</v>
      </c>
      <c r="M3374" s="28" t="n">
        <v>50</v>
      </c>
    </row>
    <row r="3375" customFormat="false" ht="15" hidden="false" customHeight="false" outlineLevel="0" collapsed="false">
      <c r="A3375" s="27" t="n">
        <v>45422</v>
      </c>
      <c r="B3375" s="28" t="n">
        <v>2024</v>
      </c>
      <c r="C3375" s="28" t="s">
        <v>169</v>
      </c>
      <c r="D3375" s="28" t="s">
        <v>49</v>
      </c>
      <c r="E3375" s="28" t="s">
        <v>1064</v>
      </c>
      <c r="F3375" s="28" t="s">
        <v>147</v>
      </c>
      <c r="G3375" s="28" t="s">
        <v>148</v>
      </c>
      <c r="H3375" s="28" t="s">
        <v>205</v>
      </c>
      <c r="I3375" s="29" t="n">
        <v>160000</v>
      </c>
      <c r="J3375" s="29" t="n">
        <v>80000</v>
      </c>
      <c r="K3375" s="28" t="n">
        <v>11.5</v>
      </c>
      <c r="L3375" s="28" t="n">
        <v>120</v>
      </c>
      <c r="M3375" s="28" t="n">
        <v>2</v>
      </c>
    </row>
    <row r="3376" customFormat="false" ht="15" hidden="false" customHeight="false" outlineLevel="0" collapsed="false">
      <c r="A3376" s="27" t="n">
        <v>45422</v>
      </c>
      <c r="B3376" s="28" t="n">
        <v>2024</v>
      </c>
      <c r="C3376" s="28" t="s">
        <v>394</v>
      </c>
      <c r="D3376" s="28" t="s">
        <v>49</v>
      </c>
      <c r="E3376" s="28" t="s">
        <v>939</v>
      </c>
      <c r="F3376" s="28" t="s">
        <v>147</v>
      </c>
      <c r="G3376" s="28" t="s">
        <v>143</v>
      </c>
      <c r="H3376" s="28" t="s">
        <v>1031</v>
      </c>
      <c r="I3376" s="29" t="n">
        <v>150000</v>
      </c>
      <c r="J3376" s="29" t="n">
        <v>75000</v>
      </c>
      <c r="K3376" s="28" t="n">
        <v>10.5</v>
      </c>
      <c r="L3376" s="28" t="n">
        <v>120</v>
      </c>
      <c r="M3376" s="28" t="n">
        <v>10</v>
      </c>
    </row>
    <row r="3377" customFormat="false" ht="15" hidden="false" customHeight="false" outlineLevel="0" collapsed="false">
      <c r="A3377" s="27" t="n">
        <v>45425</v>
      </c>
      <c r="B3377" s="28" t="n">
        <v>2024</v>
      </c>
      <c r="C3377" s="28" t="s">
        <v>160</v>
      </c>
      <c r="D3377" s="28" t="s">
        <v>44</v>
      </c>
      <c r="E3377" s="28" t="s">
        <v>920</v>
      </c>
      <c r="F3377" s="28" t="s">
        <v>142</v>
      </c>
      <c r="G3377" s="28" t="s">
        <v>148</v>
      </c>
      <c r="H3377" s="28" t="s">
        <v>144</v>
      </c>
      <c r="I3377" s="29" t="n">
        <v>1150000</v>
      </c>
      <c r="J3377" s="29" t="n">
        <v>770500</v>
      </c>
      <c r="K3377" s="28" t="n">
        <v>10.25</v>
      </c>
      <c r="L3377" s="28" t="n">
        <v>120</v>
      </c>
      <c r="M3377" s="28" t="n">
        <v>120</v>
      </c>
    </row>
    <row r="3378" customFormat="false" ht="15" hidden="false" customHeight="false" outlineLevel="0" collapsed="false">
      <c r="A3378" s="27" t="n">
        <v>45426</v>
      </c>
      <c r="B3378" s="28" t="n">
        <v>2024</v>
      </c>
      <c r="C3378" s="28" t="s">
        <v>328</v>
      </c>
      <c r="D3378" s="28" t="s">
        <v>49</v>
      </c>
      <c r="E3378" s="28" t="s">
        <v>1064</v>
      </c>
      <c r="F3378" s="28" t="s">
        <v>142</v>
      </c>
      <c r="G3378" s="28" t="s">
        <v>148</v>
      </c>
      <c r="H3378" s="28" t="s">
        <v>171</v>
      </c>
      <c r="I3378" s="29" t="n">
        <v>81000</v>
      </c>
      <c r="J3378" s="29" t="n">
        <v>68850</v>
      </c>
      <c r="K3378" s="28" t="n">
        <v>13.25</v>
      </c>
      <c r="L3378" s="28" t="n">
        <v>120</v>
      </c>
      <c r="M3378" s="28" t="n">
        <v>2</v>
      </c>
    </row>
    <row r="3379" customFormat="false" ht="15" hidden="false" customHeight="false" outlineLevel="0" collapsed="false">
      <c r="A3379" s="27" t="n">
        <v>45426</v>
      </c>
      <c r="B3379" s="28" t="n">
        <v>2024</v>
      </c>
      <c r="C3379" s="28" t="s">
        <v>206</v>
      </c>
      <c r="D3379" s="28" t="s">
        <v>57</v>
      </c>
      <c r="E3379" s="28" t="s">
        <v>985</v>
      </c>
      <c r="F3379" s="28" t="s">
        <v>147</v>
      </c>
      <c r="G3379" s="28" t="s">
        <v>441</v>
      </c>
      <c r="H3379" s="28" t="s">
        <v>168</v>
      </c>
      <c r="I3379" s="29" t="n">
        <v>15000</v>
      </c>
      <c r="J3379" s="29" t="n">
        <v>7500</v>
      </c>
      <c r="K3379" s="28" t="n">
        <v>13</v>
      </c>
      <c r="L3379" s="28" t="n">
        <v>120</v>
      </c>
      <c r="M3379" s="28" t="n">
        <v>1</v>
      </c>
    </row>
    <row r="3380" customFormat="false" ht="15" hidden="false" customHeight="false" outlineLevel="0" collapsed="false">
      <c r="A3380" s="27" t="n">
        <v>45426</v>
      </c>
      <c r="B3380" s="28" t="n">
        <v>2024</v>
      </c>
      <c r="C3380" s="28" t="s">
        <v>349</v>
      </c>
      <c r="D3380" s="28" t="s">
        <v>45</v>
      </c>
      <c r="E3380" s="28" t="s">
        <v>1043</v>
      </c>
      <c r="F3380" s="28" t="s">
        <v>142</v>
      </c>
      <c r="G3380" s="28" t="s">
        <v>148</v>
      </c>
      <c r="H3380" s="28" t="s">
        <v>771</v>
      </c>
      <c r="I3380" s="29" t="n">
        <v>150000</v>
      </c>
      <c r="J3380" s="29" t="n">
        <v>127500</v>
      </c>
      <c r="K3380" s="28" t="n">
        <v>11.25</v>
      </c>
      <c r="L3380" s="28" t="n">
        <v>120</v>
      </c>
      <c r="M3380" s="28" t="n">
        <v>8</v>
      </c>
    </row>
    <row r="3381" customFormat="false" ht="15" hidden="false" customHeight="false" outlineLevel="0" collapsed="false">
      <c r="A3381" s="27" t="n">
        <v>45426</v>
      </c>
      <c r="B3381" s="28" t="n">
        <v>2024</v>
      </c>
      <c r="C3381" s="28" t="s">
        <v>379</v>
      </c>
      <c r="D3381" s="28" t="s">
        <v>43</v>
      </c>
      <c r="E3381" s="28" t="s">
        <v>952</v>
      </c>
      <c r="F3381" s="28" t="s">
        <v>142</v>
      </c>
      <c r="G3381" s="28" t="s">
        <v>152</v>
      </c>
      <c r="H3381" s="28" t="s">
        <v>1065</v>
      </c>
      <c r="I3381" s="29" t="n">
        <v>655000</v>
      </c>
      <c r="J3381" s="29" t="n">
        <v>491250</v>
      </c>
      <c r="K3381" s="28" t="n">
        <v>10.5</v>
      </c>
      <c r="L3381" s="28" t="n">
        <v>120</v>
      </c>
      <c r="M3381" s="28" t="n">
        <v>16</v>
      </c>
    </row>
    <row r="3382" customFormat="false" ht="15" hidden="false" customHeight="false" outlineLevel="0" collapsed="false">
      <c r="A3382" s="27" t="n">
        <v>45426</v>
      </c>
      <c r="B3382" s="28" t="n">
        <v>2024</v>
      </c>
      <c r="C3382" s="28" t="s">
        <v>500</v>
      </c>
      <c r="D3382" s="28" t="s">
        <v>51</v>
      </c>
      <c r="E3382" s="28" t="s">
        <v>779</v>
      </c>
      <c r="F3382" s="28" t="s">
        <v>142</v>
      </c>
      <c r="G3382" s="28" t="s">
        <v>143</v>
      </c>
      <c r="H3382" s="28" t="s">
        <v>227</v>
      </c>
      <c r="I3382" s="29" t="n">
        <v>100000</v>
      </c>
      <c r="J3382" s="29" t="n">
        <v>85000</v>
      </c>
      <c r="K3382" s="28" t="n">
        <v>11.25</v>
      </c>
      <c r="L3382" s="28" t="n">
        <v>120</v>
      </c>
      <c r="M3382" s="28" t="n">
        <v>20</v>
      </c>
    </row>
    <row r="3383" customFormat="false" ht="15" hidden="false" customHeight="false" outlineLevel="0" collapsed="false">
      <c r="A3383" s="27" t="n">
        <v>45426</v>
      </c>
      <c r="B3383" s="28" t="n">
        <v>2024</v>
      </c>
      <c r="C3383" s="28" t="s">
        <v>172</v>
      </c>
      <c r="D3383" s="28" t="s">
        <v>47</v>
      </c>
      <c r="E3383" s="28" t="s">
        <v>1066</v>
      </c>
      <c r="F3383" s="28" t="s">
        <v>142</v>
      </c>
      <c r="G3383" s="28" t="s">
        <v>148</v>
      </c>
      <c r="H3383" s="28" t="s">
        <v>937</v>
      </c>
      <c r="I3383" s="29" t="n">
        <v>122700</v>
      </c>
      <c r="J3383" s="29" t="n">
        <v>104295</v>
      </c>
      <c r="K3383" s="28" t="n">
        <v>13</v>
      </c>
      <c r="L3383" s="28" t="n">
        <v>120</v>
      </c>
      <c r="M3383" s="28" t="n">
        <v>3</v>
      </c>
    </row>
    <row r="3384" customFormat="false" ht="15" hidden="false" customHeight="false" outlineLevel="0" collapsed="false">
      <c r="A3384" s="27" t="n">
        <v>45427</v>
      </c>
      <c r="B3384" s="28" t="n">
        <v>2024</v>
      </c>
      <c r="C3384" s="28" t="s">
        <v>172</v>
      </c>
      <c r="D3384" s="28" t="s">
        <v>49</v>
      </c>
      <c r="E3384" s="28" t="s">
        <v>710</v>
      </c>
      <c r="F3384" s="28" t="s">
        <v>142</v>
      </c>
      <c r="G3384" s="28" t="s">
        <v>143</v>
      </c>
      <c r="H3384" s="28" t="s">
        <v>144</v>
      </c>
      <c r="I3384" s="29" t="n">
        <v>500000</v>
      </c>
      <c r="J3384" s="29" t="n">
        <v>375000</v>
      </c>
      <c r="K3384" s="28" t="n">
        <v>9.45</v>
      </c>
      <c r="L3384" s="28" t="n">
        <v>120</v>
      </c>
      <c r="M3384" s="28" t="n">
        <v>12</v>
      </c>
    </row>
    <row r="3385" customFormat="false" ht="15" hidden="false" customHeight="false" outlineLevel="0" collapsed="false">
      <c r="A3385" s="27" t="n">
        <v>45427</v>
      </c>
      <c r="B3385" s="28" t="n">
        <v>2024</v>
      </c>
      <c r="C3385" s="28" t="s">
        <v>272</v>
      </c>
      <c r="D3385" s="28" t="s">
        <v>43</v>
      </c>
      <c r="E3385" s="28" t="s">
        <v>757</v>
      </c>
      <c r="F3385" s="28" t="s">
        <v>142</v>
      </c>
      <c r="G3385" s="28" t="s">
        <v>148</v>
      </c>
      <c r="H3385" s="28" t="s">
        <v>937</v>
      </c>
      <c r="I3385" s="29" t="n">
        <v>150000</v>
      </c>
      <c r="J3385" s="29" t="n">
        <v>127500</v>
      </c>
      <c r="K3385" s="28" t="n">
        <v>11.25</v>
      </c>
      <c r="L3385" s="28" t="n">
        <v>120</v>
      </c>
      <c r="M3385" s="28" t="n">
        <v>3</v>
      </c>
    </row>
    <row r="3386" customFormat="false" ht="15" hidden="false" customHeight="false" outlineLevel="0" collapsed="false">
      <c r="A3386" s="27" t="n">
        <v>45427</v>
      </c>
      <c r="B3386" s="28" t="n">
        <v>2024</v>
      </c>
      <c r="C3386" s="28" t="s">
        <v>206</v>
      </c>
      <c r="D3386" s="28" t="s">
        <v>48</v>
      </c>
      <c r="E3386" s="28" t="s">
        <v>712</v>
      </c>
      <c r="F3386" s="28" t="s">
        <v>142</v>
      </c>
      <c r="G3386" s="28" t="s">
        <v>148</v>
      </c>
      <c r="H3386" s="28" t="s">
        <v>275</v>
      </c>
      <c r="I3386" s="29" t="n">
        <v>50000</v>
      </c>
      <c r="J3386" s="29" t="n">
        <v>42500</v>
      </c>
      <c r="K3386" s="28" t="n">
        <v>15</v>
      </c>
      <c r="L3386" s="28" t="n">
        <v>120</v>
      </c>
      <c r="M3386" s="28" t="n">
        <v>1</v>
      </c>
    </row>
    <row r="3387" customFormat="false" ht="15" hidden="false" customHeight="false" outlineLevel="0" collapsed="false">
      <c r="A3387" s="27" t="n">
        <v>45427</v>
      </c>
      <c r="B3387" s="28" t="n">
        <v>2024</v>
      </c>
      <c r="C3387" s="28" t="s">
        <v>163</v>
      </c>
      <c r="D3387" s="28" t="s">
        <v>46</v>
      </c>
      <c r="E3387" s="28" t="s">
        <v>719</v>
      </c>
      <c r="F3387" s="28" t="s">
        <v>147</v>
      </c>
      <c r="G3387" s="28" t="s">
        <v>148</v>
      </c>
      <c r="H3387" s="28" t="s">
        <v>667</v>
      </c>
      <c r="I3387" s="29" t="n">
        <v>50000</v>
      </c>
      <c r="J3387" s="29" t="n">
        <v>25000</v>
      </c>
      <c r="K3387" s="28" t="n">
        <v>11.49</v>
      </c>
      <c r="L3387" s="28" t="n">
        <v>120</v>
      </c>
      <c r="M3387" s="28" t="n">
        <v>2</v>
      </c>
    </row>
    <row r="3388" customFormat="false" ht="15" hidden="false" customHeight="false" outlineLevel="0" collapsed="false">
      <c r="A3388" s="27" t="n">
        <v>45428</v>
      </c>
      <c r="B3388" s="28" t="n">
        <v>2024</v>
      </c>
      <c r="C3388" s="28" t="s">
        <v>166</v>
      </c>
      <c r="D3388" s="28" t="s">
        <v>48</v>
      </c>
      <c r="E3388" s="28" t="s">
        <v>765</v>
      </c>
      <c r="F3388" s="28" t="s">
        <v>147</v>
      </c>
      <c r="G3388" s="28" t="s">
        <v>441</v>
      </c>
      <c r="H3388" s="28" t="s">
        <v>168</v>
      </c>
      <c r="I3388" s="29" t="n">
        <v>15000</v>
      </c>
      <c r="J3388" s="29" t="n">
        <v>7500</v>
      </c>
      <c r="K3388" s="28" t="n">
        <v>13</v>
      </c>
      <c r="L3388" s="28" t="n">
        <v>120</v>
      </c>
      <c r="M3388" s="28" t="n">
        <v>0</v>
      </c>
    </row>
    <row r="3389" customFormat="false" ht="15" hidden="false" customHeight="false" outlineLevel="0" collapsed="false">
      <c r="A3389" s="27" t="n">
        <v>45428</v>
      </c>
      <c r="B3389" s="28" t="n">
        <v>2024</v>
      </c>
      <c r="C3389" s="28" t="s">
        <v>172</v>
      </c>
      <c r="D3389" s="28" t="s">
        <v>45</v>
      </c>
      <c r="E3389" s="28" t="s">
        <v>356</v>
      </c>
      <c r="F3389" s="28" t="s">
        <v>142</v>
      </c>
      <c r="G3389" s="28" t="s">
        <v>441</v>
      </c>
      <c r="H3389" s="28" t="s">
        <v>275</v>
      </c>
      <c r="I3389" s="29" t="n">
        <v>131300</v>
      </c>
      <c r="J3389" s="29" t="n">
        <v>111605</v>
      </c>
      <c r="K3389" s="28" t="n">
        <v>11.25</v>
      </c>
      <c r="L3389" s="28" t="n">
        <v>120</v>
      </c>
      <c r="M3389" s="28" t="n">
        <v>4</v>
      </c>
    </row>
    <row r="3390" customFormat="false" ht="15" hidden="false" customHeight="false" outlineLevel="0" collapsed="false">
      <c r="A3390" s="27" t="n">
        <v>45428</v>
      </c>
      <c r="B3390" s="28" t="n">
        <v>2024</v>
      </c>
      <c r="C3390" s="28" t="s">
        <v>379</v>
      </c>
      <c r="D3390" s="28" t="s">
        <v>44</v>
      </c>
      <c r="E3390" s="28" t="s">
        <v>729</v>
      </c>
      <c r="F3390" s="28" t="s">
        <v>194</v>
      </c>
      <c r="G3390" s="28" t="s">
        <v>143</v>
      </c>
      <c r="H3390" s="28" t="s">
        <v>1031</v>
      </c>
      <c r="I3390" s="29" t="n">
        <v>350000</v>
      </c>
      <c r="J3390" s="29" t="n">
        <v>262500</v>
      </c>
      <c r="K3390" s="28" t="n">
        <v>9.75</v>
      </c>
      <c r="L3390" s="28" t="n">
        <v>120</v>
      </c>
      <c r="M3390" s="28" t="n">
        <v>9</v>
      </c>
    </row>
    <row r="3391" customFormat="false" ht="15" hidden="false" customHeight="false" outlineLevel="0" collapsed="false">
      <c r="A3391" s="27" t="n">
        <v>45429</v>
      </c>
      <c r="B3391" s="28" t="n">
        <v>2024</v>
      </c>
      <c r="C3391" s="28" t="s">
        <v>166</v>
      </c>
      <c r="D3391" s="28" t="s">
        <v>48</v>
      </c>
      <c r="E3391" s="28" t="s">
        <v>765</v>
      </c>
      <c r="F3391" s="28" t="s">
        <v>142</v>
      </c>
      <c r="G3391" s="28" t="s">
        <v>148</v>
      </c>
      <c r="H3391" s="28" t="s">
        <v>269</v>
      </c>
      <c r="I3391" s="29" t="n">
        <v>87500</v>
      </c>
      <c r="J3391" s="29" t="n">
        <v>74375</v>
      </c>
      <c r="K3391" s="28" t="n">
        <v>11.25</v>
      </c>
      <c r="L3391" s="28" t="n">
        <v>120</v>
      </c>
      <c r="M3391" s="28" t="n">
        <v>3</v>
      </c>
    </row>
    <row r="3392" customFormat="false" ht="15" hidden="false" customHeight="false" outlineLevel="0" collapsed="false">
      <c r="A3392" s="27" t="n">
        <v>45429</v>
      </c>
      <c r="B3392" s="28" t="n">
        <v>2024</v>
      </c>
      <c r="C3392" s="28" t="s">
        <v>310</v>
      </c>
      <c r="D3392" s="28" t="s">
        <v>42</v>
      </c>
      <c r="E3392" s="28" t="s">
        <v>717</v>
      </c>
      <c r="F3392" s="28" t="s">
        <v>142</v>
      </c>
      <c r="G3392" s="28" t="s">
        <v>148</v>
      </c>
      <c r="H3392" s="28" t="s">
        <v>953</v>
      </c>
      <c r="I3392" s="29" t="n">
        <v>500000</v>
      </c>
      <c r="J3392" s="29" t="n">
        <v>375000</v>
      </c>
      <c r="K3392" s="28" t="n">
        <v>11.5</v>
      </c>
      <c r="L3392" s="28" t="n">
        <v>120</v>
      </c>
      <c r="M3392" s="28" t="n">
        <v>25</v>
      </c>
    </row>
    <row r="3393" customFormat="false" ht="15" hidden="false" customHeight="false" outlineLevel="0" collapsed="false">
      <c r="A3393" s="27" t="n">
        <v>45432</v>
      </c>
      <c r="B3393" s="28" t="n">
        <v>2024</v>
      </c>
      <c r="C3393" s="28" t="s">
        <v>140</v>
      </c>
      <c r="D3393" s="28" t="s">
        <v>49</v>
      </c>
      <c r="E3393" s="28" t="s">
        <v>1032</v>
      </c>
      <c r="F3393" s="28" t="s">
        <v>142</v>
      </c>
      <c r="G3393" s="28" t="s">
        <v>148</v>
      </c>
      <c r="H3393" s="28" t="s">
        <v>208</v>
      </c>
      <c r="I3393" s="29" t="n">
        <v>85000</v>
      </c>
      <c r="J3393" s="29" t="n">
        <v>72250</v>
      </c>
      <c r="K3393" s="28" t="n">
        <v>11.25</v>
      </c>
      <c r="L3393" s="28" t="n">
        <v>120</v>
      </c>
      <c r="M3393" s="28" t="n">
        <v>0</v>
      </c>
    </row>
    <row r="3394" customFormat="false" ht="15" hidden="false" customHeight="false" outlineLevel="0" collapsed="false">
      <c r="A3394" s="27" t="n">
        <v>45432</v>
      </c>
      <c r="B3394" s="28" t="n">
        <v>2024</v>
      </c>
      <c r="C3394" s="28" t="s">
        <v>166</v>
      </c>
      <c r="D3394" s="28" t="s">
        <v>42</v>
      </c>
      <c r="E3394" s="28" t="s">
        <v>717</v>
      </c>
      <c r="F3394" s="28" t="s">
        <v>142</v>
      </c>
      <c r="G3394" s="28" t="s">
        <v>441</v>
      </c>
      <c r="H3394" s="28" t="s">
        <v>438</v>
      </c>
      <c r="I3394" s="29" t="n">
        <v>1275000</v>
      </c>
      <c r="J3394" s="29" t="n">
        <v>956250</v>
      </c>
      <c r="K3394" s="28" t="n">
        <v>11.25</v>
      </c>
      <c r="L3394" s="28" t="n">
        <v>300</v>
      </c>
      <c r="M3394" s="28" t="n">
        <v>22</v>
      </c>
    </row>
    <row r="3395" customFormat="false" ht="15" hidden="false" customHeight="false" outlineLevel="0" collapsed="false">
      <c r="A3395" s="27" t="n">
        <v>45432</v>
      </c>
      <c r="B3395" s="28" t="n">
        <v>2024</v>
      </c>
      <c r="C3395" s="28" t="s">
        <v>312</v>
      </c>
      <c r="D3395" s="28" t="s">
        <v>46</v>
      </c>
      <c r="E3395" s="28" t="s">
        <v>741</v>
      </c>
      <c r="F3395" s="28" t="s">
        <v>142</v>
      </c>
      <c r="G3395" s="28" t="s">
        <v>143</v>
      </c>
      <c r="H3395" s="28" t="s">
        <v>374</v>
      </c>
      <c r="I3395" s="29" t="n">
        <v>310000</v>
      </c>
      <c r="J3395" s="29" t="n">
        <v>232500</v>
      </c>
      <c r="K3395" s="28" t="n">
        <v>11</v>
      </c>
      <c r="L3395" s="28" t="n">
        <v>123</v>
      </c>
      <c r="M3395" s="28" t="n">
        <v>2</v>
      </c>
    </row>
    <row r="3396" customFormat="false" ht="15" hidden="false" customHeight="false" outlineLevel="0" collapsed="false">
      <c r="A3396" s="27" t="n">
        <v>45432</v>
      </c>
      <c r="B3396" s="28" t="n">
        <v>2024</v>
      </c>
      <c r="C3396" s="28" t="s">
        <v>169</v>
      </c>
      <c r="D3396" s="28" t="s">
        <v>43</v>
      </c>
      <c r="E3396" s="28" t="s">
        <v>952</v>
      </c>
      <c r="F3396" s="28" t="s">
        <v>147</v>
      </c>
      <c r="G3396" s="28" t="s">
        <v>441</v>
      </c>
      <c r="H3396" s="28" t="s">
        <v>168</v>
      </c>
      <c r="I3396" s="29" t="n">
        <v>15000</v>
      </c>
      <c r="J3396" s="29" t="n">
        <v>7500</v>
      </c>
      <c r="K3396" s="28" t="n">
        <v>13</v>
      </c>
      <c r="L3396" s="28" t="n">
        <v>120</v>
      </c>
      <c r="M3396" s="28" t="n">
        <v>1</v>
      </c>
    </row>
    <row r="3397" customFormat="false" ht="15" hidden="false" customHeight="false" outlineLevel="0" collapsed="false">
      <c r="A3397" s="27" t="n">
        <v>45432</v>
      </c>
      <c r="B3397" s="28" t="n">
        <v>2024</v>
      </c>
      <c r="C3397" s="28" t="s">
        <v>169</v>
      </c>
      <c r="D3397" s="28" t="s">
        <v>43</v>
      </c>
      <c r="E3397" s="28" t="s">
        <v>757</v>
      </c>
      <c r="F3397" s="28" t="s">
        <v>142</v>
      </c>
      <c r="G3397" s="28" t="s">
        <v>148</v>
      </c>
      <c r="H3397" s="28" t="s">
        <v>275</v>
      </c>
      <c r="I3397" s="29" t="n">
        <v>50000</v>
      </c>
      <c r="J3397" s="29" t="n">
        <v>42500</v>
      </c>
      <c r="K3397" s="28" t="n">
        <v>15</v>
      </c>
      <c r="L3397" s="28" t="n">
        <v>120</v>
      </c>
      <c r="M3397" s="28" t="n">
        <v>1</v>
      </c>
    </row>
    <row r="3398" customFormat="false" ht="15" hidden="false" customHeight="false" outlineLevel="0" collapsed="false">
      <c r="A3398" s="27" t="n">
        <v>45432</v>
      </c>
      <c r="B3398" s="28" t="n">
        <v>2024</v>
      </c>
      <c r="C3398" s="28" t="s">
        <v>540</v>
      </c>
      <c r="D3398" s="28" t="s">
        <v>45</v>
      </c>
      <c r="E3398" s="28" t="s">
        <v>222</v>
      </c>
      <c r="F3398" s="28" t="s">
        <v>142</v>
      </c>
      <c r="G3398" s="28" t="s">
        <v>143</v>
      </c>
      <c r="H3398" s="28" t="s">
        <v>953</v>
      </c>
      <c r="I3398" s="29" t="n">
        <v>1500000</v>
      </c>
      <c r="J3398" s="29" t="n">
        <v>1125000</v>
      </c>
      <c r="K3398" s="28" t="n">
        <v>11.5</v>
      </c>
      <c r="L3398" s="28" t="n">
        <v>120</v>
      </c>
      <c r="M3398" s="28" t="n">
        <v>106</v>
      </c>
    </row>
    <row r="3399" customFormat="false" ht="15" hidden="false" customHeight="false" outlineLevel="0" collapsed="false">
      <c r="A3399" s="27" t="n">
        <v>45433</v>
      </c>
      <c r="B3399" s="28" t="n">
        <v>2024</v>
      </c>
      <c r="C3399" s="28" t="s">
        <v>303</v>
      </c>
      <c r="D3399" s="28" t="s">
        <v>44</v>
      </c>
      <c r="E3399" s="28" t="s">
        <v>339</v>
      </c>
      <c r="F3399" s="28" t="s">
        <v>142</v>
      </c>
      <c r="G3399" s="28" t="s">
        <v>148</v>
      </c>
      <c r="H3399" s="28" t="s">
        <v>171</v>
      </c>
      <c r="I3399" s="29" t="n">
        <v>150000</v>
      </c>
      <c r="J3399" s="29" t="n">
        <v>127500</v>
      </c>
      <c r="K3399" s="28" t="n">
        <v>13.25</v>
      </c>
      <c r="L3399" s="28" t="n">
        <v>107</v>
      </c>
      <c r="M3399" s="28" t="n">
        <v>17</v>
      </c>
    </row>
    <row r="3400" customFormat="false" ht="15" hidden="false" customHeight="false" outlineLevel="0" collapsed="false">
      <c r="A3400" s="27" t="n">
        <v>45433</v>
      </c>
      <c r="B3400" s="28" t="n">
        <v>2024</v>
      </c>
      <c r="C3400" s="28" t="s">
        <v>201</v>
      </c>
      <c r="D3400" s="28" t="s">
        <v>50</v>
      </c>
      <c r="E3400" s="28" t="s">
        <v>193</v>
      </c>
      <c r="F3400" s="28" t="s">
        <v>142</v>
      </c>
      <c r="G3400" s="28" t="s">
        <v>148</v>
      </c>
      <c r="H3400" s="28" t="s">
        <v>171</v>
      </c>
      <c r="I3400" s="29" t="n">
        <v>66000</v>
      </c>
      <c r="J3400" s="29" t="n">
        <v>56100</v>
      </c>
      <c r="K3400" s="28" t="n">
        <v>13.25</v>
      </c>
      <c r="L3400" s="28" t="n">
        <v>120</v>
      </c>
      <c r="M3400" s="28" t="n">
        <v>0</v>
      </c>
    </row>
    <row r="3401" customFormat="false" ht="15" hidden="false" customHeight="false" outlineLevel="0" collapsed="false">
      <c r="A3401" s="27" t="n">
        <v>45433</v>
      </c>
      <c r="B3401" s="28" t="n">
        <v>2024</v>
      </c>
      <c r="C3401" s="28" t="s">
        <v>206</v>
      </c>
      <c r="D3401" s="28" t="s">
        <v>45</v>
      </c>
      <c r="E3401" s="28" t="s">
        <v>708</v>
      </c>
      <c r="F3401" s="28" t="s">
        <v>194</v>
      </c>
      <c r="G3401" s="28" t="s">
        <v>152</v>
      </c>
      <c r="H3401" s="28" t="s">
        <v>523</v>
      </c>
      <c r="I3401" s="29" t="n">
        <v>1323900</v>
      </c>
      <c r="J3401" s="29" t="n">
        <v>992925</v>
      </c>
      <c r="K3401" s="28" t="n">
        <v>11.25</v>
      </c>
      <c r="L3401" s="28" t="n">
        <v>240</v>
      </c>
      <c r="M3401" s="28" t="n">
        <v>12</v>
      </c>
    </row>
    <row r="3402" customFormat="false" ht="15" hidden="false" customHeight="false" outlineLevel="0" collapsed="false">
      <c r="A3402" s="27" t="n">
        <v>45434</v>
      </c>
      <c r="B3402" s="28" t="n">
        <v>2024</v>
      </c>
      <c r="C3402" s="28" t="s">
        <v>163</v>
      </c>
      <c r="D3402" s="28" t="s">
        <v>44</v>
      </c>
      <c r="E3402" s="28" t="s">
        <v>167</v>
      </c>
      <c r="F3402" s="28" t="s">
        <v>142</v>
      </c>
      <c r="G3402" s="28" t="s">
        <v>148</v>
      </c>
      <c r="H3402" s="28" t="s">
        <v>953</v>
      </c>
      <c r="I3402" s="29" t="n">
        <v>300000</v>
      </c>
      <c r="J3402" s="29" t="n">
        <v>225000</v>
      </c>
      <c r="K3402" s="28" t="n">
        <v>11.5</v>
      </c>
      <c r="L3402" s="28" t="n">
        <v>300</v>
      </c>
      <c r="M3402" s="28" t="n">
        <v>98</v>
      </c>
    </row>
    <row r="3403" customFormat="false" ht="15" hidden="false" customHeight="false" outlineLevel="0" collapsed="false">
      <c r="A3403" s="27" t="n">
        <v>45434</v>
      </c>
      <c r="B3403" s="28" t="n">
        <v>2024</v>
      </c>
      <c r="C3403" s="28" t="s">
        <v>203</v>
      </c>
      <c r="D3403" s="28" t="s">
        <v>45</v>
      </c>
      <c r="E3403" s="28" t="s">
        <v>874</v>
      </c>
      <c r="F3403" s="28" t="s">
        <v>142</v>
      </c>
      <c r="G3403" s="28" t="s">
        <v>148</v>
      </c>
      <c r="H3403" s="28" t="s">
        <v>937</v>
      </c>
      <c r="I3403" s="29" t="n">
        <v>252700</v>
      </c>
      <c r="J3403" s="29" t="n">
        <v>189525</v>
      </c>
      <c r="K3403" s="28" t="n">
        <v>13</v>
      </c>
      <c r="L3403" s="28" t="n">
        <v>120</v>
      </c>
      <c r="M3403" s="28" t="n">
        <v>17</v>
      </c>
    </row>
    <row r="3404" customFormat="false" ht="15" hidden="false" customHeight="false" outlineLevel="0" collapsed="false">
      <c r="A3404" s="27" t="n">
        <v>45434</v>
      </c>
      <c r="B3404" s="28" t="n">
        <v>2024</v>
      </c>
      <c r="C3404" s="28" t="s">
        <v>235</v>
      </c>
      <c r="D3404" s="28" t="s">
        <v>42</v>
      </c>
      <c r="E3404" s="28" t="s">
        <v>717</v>
      </c>
      <c r="F3404" s="28" t="s">
        <v>142</v>
      </c>
      <c r="G3404" s="28" t="s">
        <v>143</v>
      </c>
      <c r="H3404" s="28" t="s">
        <v>211</v>
      </c>
      <c r="I3404" s="29" t="n">
        <v>361200</v>
      </c>
      <c r="J3404" s="29" t="n">
        <v>270900</v>
      </c>
      <c r="K3404" s="28" t="n">
        <v>10.75</v>
      </c>
      <c r="L3404" s="28" t="n">
        <v>120</v>
      </c>
      <c r="M3404" s="28" t="n">
        <v>10</v>
      </c>
    </row>
    <row r="3405" customFormat="false" ht="15" hidden="false" customHeight="false" outlineLevel="0" collapsed="false">
      <c r="A3405" s="27" t="n">
        <v>45434</v>
      </c>
      <c r="B3405" s="28" t="n">
        <v>2024</v>
      </c>
      <c r="C3405" s="28" t="s">
        <v>235</v>
      </c>
      <c r="D3405" s="28" t="s">
        <v>42</v>
      </c>
      <c r="E3405" s="28" t="s">
        <v>717</v>
      </c>
      <c r="F3405" s="28" t="s">
        <v>147</v>
      </c>
      <c r="G3405" s="28" t="s">
        <v>143</v>
      </c>
      <c r="H3405" s="28" t="s">
        <v>211</v>
      </c>
      <c r="I3405" s="29" t="n">
        <v>25000</v>
      </c>
      <c r="J3405" s="29" t="n">
        <v>12500</v>
      </c>
      <c r="K3405" s="28" t="n">
        <v>10.75</v>
      </c>
      <c r="L3405" s="28" t="n">
        <v>120</v>
      </c>
      <c r="M3405" s="28" t="n">
        <v>10</v>
      </c>
    </row>
    <row r="3406" customFormat="false" ht="15" hidden="false" customHeight="false" outlineLevel="0" collapsed="false">
      <c r="A3406" s="27" t="n">
        <v>45435</v>
      </c>
      <c r="B3406" s="28" t="n">
        <v>2024</v>
      </c>
      <c r="C3406" s="28" t="s">
        <v>172</v>
      </c>
      <c r="D3406" s="28" t="s">
        <v>46</v>
      </c>
      <c r="E3406" s="28" t="s">
        <v>727</v>
      </c>
      <c r="F3406" s="28" t="s">
        <v>147</v>
      </c>
      <c r="G3406" s="28" t="s">
        <v>152</v>
      </c>
      <c r="H3406" s="28" t="s">
        <v>376</v>
      </c>
      <c r="I3406" s="29" t="n">
        <v>247500</v>
      </c>
      <c r="J3406" s="29" t="n">
        <v>123750</v>
      </c>
      <c r="K3406" s="28" t="n">
        <v>8.5</v>
      </c>
      <c r="L3406" s="28" t="n">
        <v>84</v>
      </c>
      <c r="M3406" s="28" t="n">
        <v>10</v>
      </c>
    </row>
    <row r="3407" customFormat="false" ht="15" hidden="false" customHeight="false" outlineLevel="0" collapsed="false">
      <c r="A3407" s="27" t="n">
        <v>45436</v>
      </c>
      <c r="B3407" s="28" t="n">
        <v>2024</v>
      </c>
      <c r="C3407" s="28" t="s">
        <v>206</v>
      </c>
      <c r="D3407" s="28" t="s">
        <v>42</v>
      </c>
      <c r="E3407" s="28" t="s">
        <v>784</v>
      </c>
      <c r="F3407" s="28" t="s">
        <v>142</v>
      </c>
      <c r="G3407" s="28" t="s">
        <v>143</v>
      </c>
      <c r="H3407" s="28" t="s">
        <v>159</v>
      </c>
      <c r="I3407" s="29" t="n">
        <v>100000</v>
      </c>
      <c r="J3407" s="29" t="n">
        <v>85000</v>
      </c>
      <c r="K3407" s="28" t="n">
        <v>10.75</v>
      </c>
      <c r="L3407" s="28" t="n">
        <v>60</v>
      </c>
      <c r="M3407" s="28" t="n">
        <v>6</v>
      </c>
    </row>
    <row r="3408" customFormat="false" ht="15" hidden="false" customHeight="false" outlineLevel="0" collapsed="false">
      <c r="A3408" s="27" t="n">
        <v>45436</v>
      </c>
      <c r="B3408" s="28" t="n">
        <v>2024</v>
      </c>
      <c r="C3408" s="28" t="s">
        <v>206</v>
      </c>
      <c r="D3408" s="28" t="s">
        <v>42</v>
      </c>
      <c r="E3408" s="28" t="s">
        <v>784</v>
      </c>
      <c r="F3408" s="28" t="s">
        <v>147</v>
      </c>
      <c r="G3408" s="28" t="s">
        <v>143</v>
      </c>
      <c r="H3408" s="28" t="s">
        <v>159</v>
      </c>
      <c r="I3408" s="29" t="n">
        <v>60000</v>
      </c>
      <c r="J3408" s="29" t="n">
        <v>30000</v>
      </c>
      <c r="K3408" s="28" t="n">
        <v>10.75</v>
      </c>
      <c r="L3408" s="28" t="n">
        <v>120</v>
      </c>
      <c r="M3408" s="28" t="n">
        <v>6</v>
      </c>
    </row>
    <row r="3409" customFormat="false" ht="15" hidden="false" customHeight="false" outlineLevel="0" collapsed="false">
      <c r="A3409" s="27" t="n">
        <v>45436</v>
      </c>
      <c r="B3409" s="28" t="n">
        <v>2024</v>
      </c>
      <c r="C3409" s="28" t="s">
        <v>172</v>
      </c>
      <c r="D3409" s="28" t="s">
        <v>42</v>
      </c>
      <c r="E3409" s="28" t="s">
        <v>717</v>
      </c>
      <c r="F3409" s="28" t="s">
        <v>142</v>
      </c>
      <c r="G3409" s="28" t="s">
        <v>148</v>
      </c>
      <c r="H3409" s="28" t="s">
        <v>275</v>
      </c>
      <c r="I3409" s="29" t="n">
        <v>500000</v>
      </c>
      <c r="J3409" s="29" t="n">
        <v>375000</v>
      </c>
      <c r="K3409" s="28" t="n">
        <v>11.25</v>
      </c>
      <c r="L3409" s="28" t="n">
        <v>120</v>
      </c>
      <c r="M3409" s="28" t="n">
        <v>41</v>
      </c>
    </row>
    <row r="3410" customFormat="false" ht="15" hidden="false" customHeight="false" outlineLevel="0" collapsed="false">
      <c r="A3410" s="27" t="n">
        <v>45436</v>
      </c>
      <c r="B3410" s="28" t="n">
        <v>2024</v>
      </c>
      <c r="C3410" s="28" t="s">
        <v>421</v>
      </c>
      <c r="D3410" s="28" t="s">
        <v>46</v>
      </c>
      <c r="E3410" s="28" t="s">
        <v>702</v>
      </c>
      <c r="F3410" s="28" t="s">
        <v>142</v>
      </c>
      <c r="G3410" s="28" t="s">
        <v>152</v>
      </c>
      <c r="H3410" s="28" t="s">
        <v>404</v>
      </c>
      <c r="I3410" s="29" t="n">
        <v>1000000</v>
      </c>
      <c r="J3410" s="29" t="n">
        <v>750000</v>
      </c>
      <c r="K3410" s="28" t="n">
        <v>7.35</v>
      </c>
      <c r="L3410" s="28" t="n">
        <v>300</v>
      </c>
      <c r="M3410" s="28" t="n">
        <v>12</v>
      </c>
    </row>
    <row r="3411" customFormat="false" ht="15" hidden="false" customHeight="false" outlineLevel="0" collapsed="false">
      <c r="A3411" s="27" t="n">
        <v>45440</v>
      </c>
      <c r="B3411" s="28" t="n">
        <v>2024</v>
      </c>
      <c r="C3411" s="28" t="s">
        <v>166</v>
      </c>
      <c r="D3411" s="28" t="s">
        <v>43</v>
      </c>
      <c r="E3411" s="28" t="s">
        <v>972</v>
      </c>
      <c r="F3411" s="28" t="s">
        <v>142</v>
      </c>
      <c r="G3411" s="28" t="s">
        <v>148</v>
      </c>
      <c r="H3411" s="28" t="s">
        <v>953</v>
      </c>
      <c r="I3411" s="29" t="n">
        <v>55000</v>
      </c>
      <c r="J3411" s="29" t="n">
        <v>46750</v>
      </c>
      <c r="K3411" s="28" t="n">
        <v>11.5</v>
      </c>
      <c r="L3411" s="28" t="n">
        <v>120</v>
      </c>
      <c r="M3411" s="28" t="n">
        <v>3</v>
      </c>
    </row>
    <row r="3412" customFormat="false" ht="15" hidden="false" customHeight="false" outlineLevel="0" collapsed="false">
      <c r="A3412" s="27" t="n">
        <v>45440</v>
      </c>
      <c r="B3412" s="28" t="n">
        <v>2024</v>
      </c>
      <c r="C3412" s="28" t="s">
        <v>203</v>
      </c>
      <c r="D3412" s="28" t="s">
        <v>45</v>
      </c>
      <c r="E3412" s="28" t="s">
        <v>740</v>
      </c>
      <c r="F3412" s="28" t="s">
        <v>142</v>
      </c>
      <c r="G3412" s="28" t="s">
        <v>143</v>
      </c>
      <c r="H3412" s="28" t="s">
        <v>287</v>
      </c>
      <c r="I3412" s="29" t="n">
        <v>150000</v>
      </c>
      <c r="J3412" s="29" t="n">
        <v>127500</v>
      </c>
      <c r="K3412" s="28" t="n">
        <v>11.25</v>
      </c>
      <c r="L3412" s="28" t="n">
        <v>120</v>
      </c>
      <c r="M3412" s="28" t="n">
        <v>1</v>
      </c>
    </row>
    <row r="3413" customFormat="false" ht="15" hidden="false" customHeight="false" outlineLevel="0" collapsed="false">
      <c r="A3413" s="27" t="n">
        <v>45441</v>
      </c>
      <c r="B3413" s="28" t="n">
        <v>2024</v>
      </c>
      <c r="C3413" s="28" t="s">
        <v>166</v>
      </c>
      <c r="D3413" s="28" t="s">
        <v>42</v>
      </c>
      <c r="E3413" s="28" t="s">
        <v>717</v>
      </c>
      <c r="F3413" s="28" t="s">
        <v>142</v>
      </c>
      <c r="G3413" s="28" t="s">
        <v>143</v>
      </c>
      <c r="H3413" s="28" t="s">
        <v>159</v>
      </c>
      <c r="I3413" s="29" t="n">
        <v>1200000</v>
      </c>
      <c r="J3413" s="29" t="n">
        <v>900000</v>
      </c>
      <c r="K3413" s="28" t="n">
        <v>10</v>
      </c>
      <c r="L3413" s="28" t="n">
        <v>129</v>
      </c>
      <c r="M3413" s="28" t="n">
        <v>32</v>
      </c>
    </row>
    <row r="3414" customFormat="false" ht="15" hidden="false" customHeight="false" outlineLevel="0" collapsed="false">
      <c r="A3414" s="27" t="n">
        <v>45441</v>
      </c>
      <c r="B3414" s="28" t="n">
        <v>2024</v>
      </c>
      <c r="C3414" s="28" t="s">
        <v>196</v>
      </c>
      <c r="D3414" s="28" t="s">
        <v>48</v>
      </c>
      <c r="E3414" s="28" t="s">
        <v>210</v>
      </c>
      <c r="F3414" s="28" t="s">
        <v>142</v>
      </c>
      <c r="G3414" s="28" t="s">
        <v>148</v>
      </c>
      <c r="H3414" s="28" t="s">
        <v>179</v>
      </c>
      <c r="I3414" s="29" t="n">
        <v>356000</v>
      </c>
      <c r="J3414" s="29" t="n">
        <v>178000</v>
      </c>
      <c r="K3414" s="28" t="n">
        <v>10.75</v>
      </c>
      <c r="L3414" s="28" t="n">
        <v>6</v>
      </c>
      <c r="M3414" s="28" t="n">
        <v>8</v>
      </c>
    </row>
    <row r="3415" customFormat="false" ht="15" hidden="false" customHeight="false" outlineLevel="0" collapsed="false">
      <c r="A3415" s="27" t="n">
        <v>45441</v>
      </c>
      <c r="B3415" s="28" t="n">
        <v>2024</v>
      </c>
      <c r="C3415" s="28" t="s">
        <v>163</v>
      </c>
      <c r="D3415" s="28" t="s">
        <v>44</v>
      </c>
      <c r="E3415" s="28" t="s">
        <v>167</v>
      </c>
      <c r="F3415" s="28" t="s">
        <v>142</v>
      </c>
      <c r="G3415" s="28" t="s">
        <v>148</v>
      </c>
      <c r="H3415" s="28" t="s">
        <v>171</v>
      </c>
      <c r="I3415" s="29" t="n">
        <v>150000</v>
      </c>
      <c r="J3415" s="29" t="n">
        <v>127500</v>
      </c>
      <c r="K3415" s="28" t="n">
        <v>13.25</v>
      </c>
      <c r="L3415" s="28" t="n">
        <v>120</v>
      </c>
      <c r="M3415" s="28" t="n">
        <v>52</v>
      </c>
    </row>
    <row r="3416" customFormat="false" ht="15" hidden="false" customHeight="false" outlineLevel="0" collapsed="false">
      <c r="A3416" s="27" t="n">
        <v>45441</v>
      </c>
      <c r="B3416" s="28" t="n">
        <v>2024</v>
      </c>
      <c r="C3416" s="28" t="s">
        <v>169</v>
      </c>
      <c r="D3416" s="28" t="s">
        <v>51</v>
      </c>
      <c r="E3416" s="28" t="s">
        <v>779</v>
      </c>
      <c r="F3416" s="28" t="s">
        <v>142</v>
      </c>
      <c r="G3416" s="28" t="s">
        <v>148</v>
      </c>
      <c r="H3416" s="28" t="s">
        <v>171</v>
      </c>
      <c r="I3416" s="29" t="n">
        <v>150000</v>
      </c>
      <c r="J3416" s="29" t="n">
        <v>127500</v>
      </c>
      <c r="K3416" s="28" t="n">
        <v>13.25</v>
      </c>
      <c r="L3416" s="28" t="n">
        <v>120</v>
      </c>
      <c r="M3416" s="28" t="n">
        <v>0</v>
      </c>
    </row>
    <row r="3417" customFormat="false" ht="15" hidden="false" customHeight="false" outlineLevel="0" collapsed="false">
      <c r="A3417" s="27" t="n">
        <v>45441</v>
      </c>
      <c r="B3417" s="28" t="n">
        <v>2024</v>
      </c>
      <c r="C3417" s="28" t="s">
        <v>166</v>
      </c>
      <c r="D3417" s="28" t="s">
        <v>42</v>
      </c>
      <c r="E3417" s="28" t="s">
        <v>717</v>
      </c>
      <c r="F3417" s="28" t="s">
        <v>147</v>
      </c>
      <c r="G3417" s="28" t="s">
        <v>143</v>
      </c>
      <c r="H3417" s="28" t="s">
        <v>159</v>
      </c>
      <c r="I3417" s="29" t="n">
        <v>50000</v>
      </c>
      <c r="J3417" s="29" t="n">
        <v>25000</v>
      </c>
      <c r="K3417" s="28" t="n">
        <v>11</v>
      </c>
      <c r="L3417" s="28" t="n">
        <v>120</v>
      </c>
      <c r="M3417" s="28" t="n">
        <v>32</v>
      </c>
    </row>
    <row r="3418" customFormat="false" ht="15" hidden="false" customHeight="false" outlineLevel="0" collapsed="false">
      <c r="A3418" s="27" t="n">
        <v>45442</v>
      </c>
      <c r="B3418" s="28" t="n">
        <v>2024</v>
      </c>
      <c r="C3418" s="28" t="s">
        <v>172</v>
      </c>
      <c r="D3418" s="28" t="s">
        <v>45</v>
      </c>
      <c r="E3418" s="28" t="s">
        <v>708</v>
      </c>
      <c r="F3418" s="28" t="s">
        <v>147</v>
      </c>
      <c r="G3418" s="28" t="s">
        <v>441</v>
      </c>
      <c r="H3418" s="28" t="s">
        <v>205</v>
      </c>
      <c r="I3418" s="29" t="n">
        <v>25000</v>
      </c>
      <c r="J3418" s="29" t="n">
        <v>12500</v>
      </c>
      <c r="K3418" s="28" t="n">
        <v>11.5</v>
      </c>
      <c r="L3418" s="28" t="n">
        <v>120</v>
      </c>
      <c r="M3418" s="28" t="n">
        <v>1</v>
      </c>
    </row>
    <row r="3419" customFormat="false" ht="15" hidden="false" customHeight="false" outlineLevel="0" collapsed="false">
      <c r="A3419" s="27" t="n">
        <v>45442</v>
      </c>
      <c r="B3419" s="28" t="n">
        <v>2024</v>
      </c>
      <c r="C3419" s="28" t="s">
        <v>216</v>
      </c>
      <c r="D3419" s="28" t="s">
        <v>57</v>
      </c>
      <c r="E3419" s="28" t="s">
        <v>1067</v>
      </c>
      <c r="F3419" s="28" t="s">
        <v>147</v>
      </c>
      <c r="G3419" s="28" t="s">
        <v>441</v>
      </c>
      <c r="H3419" s="28" t="s">
        <v>168</v>
      </c>
      <c r="I3419" s="29" t="n">
        <v>40000</v>
      </c>
      <c r="J3419" s="29" t="n">
        <v>20000</v>
      </c>
      <c r="K3419" s="28" t="n">
        <v>13</v>
      </c>
      <c r="L3419" s="28" t="n">
        <v>120</v>
      </c>
      <c r="M3419" s="28" t="n">
        <v>0</v>
      </c>
    </row>
    <row r="3420" customFormat="false" ht="15" hidden="false" customHeight="false" outlineLevel="0" collapsed="false">
      <c r="A3420" s="27" t="n">
        <v>45442</v>
      </c>
      <c r="B3420" s="28" t="n">
        <v>2024</v>
      </c>
      <c r="C3420" s="28" t="s">
        <v>172</v>
      </c>
      <c r="D3420" s="28" t="s">
        <v>52</v>
      </c>
      <c r="E3420" s="28" t="s">
        <v>715</v>
      </c>
      <c r="F3420" s="28" t="s">
        <v>142</v>
      </c>
      <c r="G3420" s="28" t="s">
        <v>152</v>
      </c>
      <c r="H3420" s="28" t="s">
        <v>326</v>
      </c>
      <c r="I3420" s="29" t="n">
        <v>495900</v>
      </c>
      <c r="J3420" s="29" t="n">
        <v>371925</v>
      </c>
      <c r="K3420" s="28" t="n">
        <v>11.25</v>
      </c>
      <c r="L3420" s="28" t="n">
        <v>120</v>
      </c>
      <c r="M3420" s="28" t="n">
        <v>11</v>
      </c>
    </row>
    <row r="3421" customFormat="false" ht="15" hidden="false" customHeight="false" outlineLevel="0" collapsed="false">
      <c r="A3421" s="27" t="n">
        <v>45442</v>
      </c>
      <c r="B3421" s="28" t="n">
        <v>2024</v>
      </c>
      <c r="C3421" s="28" t="s">
        <v>316</v>
      </c>
      <c r="D3421" s="28" t="s">
        <v>47</v>
      </c>
      <c r="E3421" s="28" t="s">
        <v>866</v>
      </c>
      <c r="F3421" s="28" t="s">
        <v>142</v>
      </c>
      <c r="G3421" s="28" t="s">
        <v>148</v>
      </c>
      <c r="H3421" s="28" t="s">
        <v>211</v>
      </c>
      <c r="I3421" s="29" t="n">
        <v>350000</v>
      </c>
      <c r="J3421" s="29" t="n">
        <v>262500</v>
      </c>
      <c r="K3421" s="28" t="n">
        <v>11.25</v>
      </c>
      <c r="L3421" s="28" t="n">
        <v>120</v>
      </c>
      <c r="M3421" s="28" t="n">
        <v>2</v>
      </c>
    </row>
    <row r="3422" customFormat="false" ht="15" hidden="false" customHeight="false" outlineLevel="0" collapsed="false">
      <c r="A3422" s="27" t="n">
        <v>45443</v>
      </c>
      <c r="B3422" s="28" t="n">
        <v>2024</v>
      </c>
      <c r="C3422" s="28" t="s">
        <v>206</v>
      </c>
      <c r="D3422" s="28" t="s">
        <v>48</v>
      </c>
      <c r="E3422" s="28" t="s">
        <v>736</v>
      </c>
      <c r="F3422" s="28" t="s">
        <v>142</v>
      </c>
      <c r="G3422" s="28" t="s">
        <v>148</v>
      </c>
      <c r="H3422" s="28" t="s">
        <v>953</v>
      </c>
      <c r="I3422" s="29" t="n">
        <v>250000</v>
      </c>
      <c r="J3422" s="29" t="n">
        <v>187500</v>
      </c>
      <c r="K3422" s="28" t="n">
        <v>11.5</v>
      </c>
      <c r="L3422" s="28" t="n">
        <v>120</v>
      </c>
      <c r="M3422" s="28" t="n">
        <v>13</v>
      </c>
    </row>
    <row r="3423" customFormat="false" ht="15" hidden="false" customHeight="false" outlineLevel="0" collapsed="false">
      <c r="A3423" s="27" t="n">
        <v>45443</v>
      </c>
      <c r="B3423" s="28" t="n">
        <v>2024</v>
      </c>
      <c r="C3423" s="28" t="s">
        <v>140</v>
      </c>
      <c r="D3423" s="28" t="s">
        <v>51</v>
      </c>
      <c r="E3423" s="28" t="s">
        <v>779</v>
      </c>
      <c r="F3423" s="28" t="s">
        <v>142</v>
      </c>
      <c r="G3423" s="28" t="s">
        <v>143</v>
      </c>
      <c r="H3423" s="28" t="s">
        <v>291</v>
      </c>
      <c r="I3423" s="29" t="n">
        <v>238000</v>
      </c>
      <c r="J3423" s="29" t="n">
        <v>178500</v>
      </c>
      <c r="K3423" s="28" t="n">
        <v>10.75</v>
      </c>
      <c r="L3423" s="28" t="n">
        <v>120</v>
      </c>
      <c r="M3423" s="28" t="n">
        <v>12</v>
      </c>
    </row>
    <row r="3424" customFormat="false" ht="15" hidden="false" customHeight="false" outlineLevel="0" collapsed="false">
      <c r="A3424" s="27" t="n">
        <v>45443</v>
      </c>
      <c r="B3424" s="28" t="n">
        <v>2024</v>
      </c>
      <c r="C3424" s="28" t="s">
        <v>140</v>
      </c>
      <c r="D3424" s="28" t="s">
        <v>44</v>
      </c>
      <c r="E3424" s="28" t="s">
        <v>729</v>
      </c>
      <c r="F3424" s="28" t="s">
        <v>147</v>
      </c>
      <c r="G3424" s="28" t="s">
        <v>143</v>
      </c>
      <c r="H3424" s="28" t="s">
        <v>291</v>
      </c>
      <c r="I3424" s="29" t="n">
        <v>50000</v>
      </c>
      <c r="J3424" s="29" t="n">
        <v>25000</v>
      </c>
      <c r="K3424" s="28" t="n">
        <v>10.75</v>
      </c>
      <c r="L3424" s="28" t="n">
        <v>120</v>
      </c>
      <c r="M3424" s="28" t="n">
        <v>12</v>
      </c>
    </row>
    <row r="3425" customFormat="false" ht="15" hidden="false" customHeight="false" outlineLevel="0" collapsed="false">
      <c r="A3425" s="27" t="n">
        <v>45443</v>
      </c>
      <c r="B3425" s="28" t="n">
        <v>2024</v>
      </c>
      <c r="C3425" s="28" t="s">
        <v>252</v>
      </c>
      <c r="D3425" s="28" t="s">
        <v>50</v>
      </c>
      <c r="E3425" s="28" t="s">
        <v>507</v>
      </c>
      <c r="F3425" s="28" t="s">
        <v>142</v>
      </c>
      <c r="G3425" s="28" t="s">
        <v>148</v>
      </c>
      <c r="H3425" s="28" t="s">
        <v>269</v>
      </c>
      <c r="I3425" s="29" t="n">
        <v>100000</v>
      </c>
      <c r="J3425" s="29" t="n">
        <v>85000</v>
      </c>
      <c r="K3425" s="28" t="n">
        <v>11.25</v>
      </c>
      <c r="L3425" s="28" t="n">
        <v>107</v>
      </c>
      <c r="M3425" s="28" t="n">
        <v>2</v>
      </c>
    </row>
    <row r="3426" customFormat="false" ht="15" hidden="false" customHeight="false" outlineLevel="0" collapsed="false">
      <c r="A3426" s="27" t="n">
        <v>45443</v>
      </c>
      <c r="B3426" s="28" t="n">
        <v>2024</v>
      </c>
      <c r="C3426" s="28" t="s">
        <v>166</v>
      </c>
      <c r="D3426" s="28" t="s">
        <v>49</v>
      </c>
      <c r="E3426" s="28" t="s">
        <v>1068</v>
      </c>
      <c r="F3426" s="28" t="s">
        <v>142</v>
      </c>
      <c r="G3426" s="28" t="s">
        <v>441</v>
      </c>
      <c r="H3426" s="28" t="s">
        <v>159</v>
      </c>
      <c r="I3426" s="29" t="n">
        <v>75000</v>
      </c>
      <c r="J3426" s="29" t="n">
        <v>63750</v>
      </c>
      <c r="K3426" s="28" t="n">
        <v>11.24</v>
      </c>
      <c r="L3426" s="28" t="n">
        <v>60</v>
      </c>
      <c r="M3426" s="28" t="n">
        <v>3</v>
      </c>
    </row>
    <row r="3427" customFormat="false" ht="15" hidden="false" customHeight="false" outlineLevel="0" collapsed="false">
      <c r="A3427" s="27" t="n">
        <v>45443</v>
      </c>
      <c r="B3427" s="28" t="n">
        <v>2024</v>
      </c>
      <c r="C3427" s="28" t="s">
        <v>145</v>
      </c>
      <c r="D3427" s="28" t="s">
        <v>44</v>
      </c>
      <c r="E3427" s="28" t="s">
        <v>863</v>
      </c>
      <c r="F3427" s="28" t="s">
        <v>142</v>
      </c>
      <c r="G3427" s="28" t="s">
        <v>143</v>
      </c>
      <c r="H3427" s="28" t="s">
        <v>287</v>
      </c>
      <c r="I3427" s="29" t="n">
        <v>150000</v>
      </c>
      <c r="J3427" s="29" t="n">
        <v>127500</v>
      </c>
      <c r="K3427" s="28" t="n">
        <v>11.25</v>
      </c>
      <c r="L3427" s="28" t="n">
        <v>120</v>
      </c>
      <c r="M3427" s="28" t="n">
        <v>5</v>
      </c>
    </row>
    <row r="3428" customFormat="false" ht="15" hidden="false" customHeight="false" outlineLevel="0" collapsed="false">
      <c r="A3428" s="27" t="n">
        <v>45444</v>
      </c>
      <c r="B3428" s="28" t="n">
        <v>2024</v>
      </c>
      <c r="C3428" s="28" t="s">
        <v>196</v>
      </c>
      <c r="D3428" s="28" t="s">
        <v>44</v>
      </c>
      <c r="E3428" s="28" t="s">
        <v>167</v>
      </c>
      <c r="F3428" s="28" t="s">
        <v>147</v>
      </c>
      <c r="G3428" s="28" t="s">
        <v>441</v>
      </c>
      <c r="H3428" s="28" t="s">
        <v>587</v>
      </c>
      <c r="I3428" s="29" t="n">
        <v>200000</v>
      </c>
      <c r="J3428" s="29" t="n">
        <v>100000</v>
      </c>
      <c r="K3428" s="28" t="n">
        <v>10.5</v>
      </c>
      <c r="L3428" s="28" t="n">
        <v>72</v>
      </c>
      <c r="M3428" s="28" t="n">
        <v>4</v>
      </c>
    </row>
    <row r="3429" customFormat="false" ht="15" hidden="false" customHeight="false" outlineLevel="0" collapsed="false">
      <c r="A3429" s="27" t="n">
        <v>45446</v>
      </c>
      <c r="B3429" s="28" t="n">
        <v>2024</v>
      </c>
      <c r="C3429" s="28" t="s">
        <v>172</v>
      </c>
      <c r="D3429" s="28" t="s">
        <v>42</v>
      </c>
      <c r="E3429" s="28" t="s">
        <v>753</v>
      </c>
      <c r="F3429" s="28" t="s">
        <v>142</v>
      </c>
      <c r="G3429" s="28" t="s">
        <v>152</v>
      </c>
      <c r="H3429" s="28" t="s">
        <v>281</v>
      </c>
      <c r="I3429" s="29" t="n">
        <v>1671000</v>
      </c>
      <c r="J3429" s="29" t="n">
        <v>1253250</v>
      </c>
      <c r="K3429" s="28" t="n">
        <v>10.75</v>
      </c>
      <c r="L3429" s="28" t="n">
        <v>120</v>
      </c>
      <c r="M3429" s="28" t="n">
        <v>39</v>
      </c>
    </row>
    <row r="3430" customFormat="false" ht="15" hidden="false" customHeight="false" outlineLevel="0" collapsed="false">
      <c r="A3430" s="27" t="n">
        <v>45446</v>
      </c>
      <c r="B3430" s="28" t="n">
        <v>2024</v>
      </c>
      <c r="C3430" s="28" t="s">
        <v>160</v>
      </c>
      <c r="D3430" s="28" t="s">
        <v>42</v>
      </c>
      <c r="E3430" s="28" t="s">
        <v>784</v>
      </c>
      <c r="F3430" s="28" t="s">
        <v>142</v>
      </c>
      <c r="G3430" s="28" t="s">
        <v>143</v>
      </c>
      <c r="H3430" s="28" t="s">
        <v>211</v>
      </c>
      <c r="I3430" s="29" t="n">
        <v>557800</v>
      </c>
      <c r="J3430" s="29" t="n">
        <v>418350</v>
      </c>
      <c r="K3430" s="28" t="n">
        <v>11</v>
      </c>
      <c r="L3430" s="28" t="n">
        <v>120</v>
      </c>
      <c r="M3430" s="28" t="n">
        <v>7</v>
      </c>
    </row>
    <row r="3431" customFormat="false" ht="15" hidden="false" customHeight="false" outlineLevel="0" collapsed="false">
      <c r="A3431" s="27" t="n">
        <v>45446</v>
      </c>
      <c r="B3431" s="28" t="n">
        <v>2024</v>
      </c>
      <c r="C3431" s="28" t="s">
        <v>172</v>
      </c>
      <c r="D3431" s="28" t="s">
        <v>46</v>
      </c>
      <c r="E3431" s="28" t="s">
        <v>782</v>
      </c>
      <c r="F3431" s="28" t="s">
        <v>194</v>
      </c>
      <c r="G3431" s="28" t="s">
        <v>441</v>
      </c>
      <c r="H3431" s="28" t="s">
        <v>799</v>
      </c>
      <c r="I3431" s="29" t="n">
        <v>442600</v>
      </c>
      <c r="J3431" s="29" t="n">
        <v>331950</v>
      </c>
      <c r="K3431" s="28" t="n">
        <v>11.25</v>
      </c>
      <c r="L3431" s="28" t="n">
        <v>120</v>
      </c>
      <c r="M3431" s="28" t="n">
        <v>23</v>
      </c>
    </row>
    <row r="3432" customFormat="false" ht="15" hidden="false" customHeight="false" outlineLevel="0" collapsed="false">
      <c r="A3432" s="27" t="n">
        <v>45446</v>
      </c>
      <c r="B3432" s="28" t="n">
        <v>2024</v>
      </c>
      <c r="C3432" s="28" t="s">
        <v>160</v>
      </c>
      <c r="D3432" s="28" t="s">
        <v>42</v>
      </c>
      <c r="E3432" s="28" t="s">
        <v>784</v>
      </c>
      <c r="F3432" s="28" t="s">
        <v>147</v>
      </c>
      <c r="G3432" s="28" t="s">
        <v>143</v>
      </c>
      <c r="H3432" s="28" t="s">
        <v>211</v>
      </c>
      <c r="I3432" s="29" t="n">
        <v>25000</v>
      </c>
      <c r="J3432" s="29" t="n">
        <v>12500</v>
      </c>
      <c r="K3432" s="28" t="n">
        <v>11</v>
      </c>
      <c r="L3432" s="28" t="n">
        <v>120</v>
      </c>
      <c r="M3432" s="28" t="n">
        <v>7</v>
      </c>
    </row>
    <row r="3433" customFormat="false" ht="15" hidden="false" customHeight="false" outlineLevel="0" collapsed="false">
      <c r="A3433" s="27" t="n">
        <v>45447</v>
      </c>
      <c r="B3433" s="28" t="n">
        <v>2024</v>
      </c>
      <c r="C3433" s="28" t="s">
        <v>344</v>
      </c>
      <c r="D3433" s="28" t="s">
        <v>50</v>
      </c>
      <c r="E3433" s="28" t="s">
        <v>1069</v>
      </c>
      <c r="F3433" s="28" t="s">
        <v>142</v>
      </c>
      <c r="G3433" s="28" t="s">
        <v>148</v>
      </c>
      <c r="H3433" s="28" t="s">
        <v>579</v>
      </c>
      <c r="I3433" s="29" t="n">
        <v>77400</v>
      </c>
      <c r="J3433" s="29" t="n">
        <v>65790</v>
      </c>
      <c r="K3433" s="28" t="n">
        <v>11.5</v>
      </c>
      <c r="L3433" s="28" t="n">
        <v>120</v>
      </c>
      <c r="M3433" s="28" t="n">
        <v>2</v>
      </c>
    </row>
    <row r="3434" customFormat="false" ht="15" hidden="false" customHeight="false" outlineLevel="0" collapsed="false">
      <c r="A3434" s="27" t="n">
        <v>45447</v>
      </c>
      <c r="B3434" s="28" t="n">
        <v>2024</v>
      </c>
      <c r="C3434" s="28" t="s">
        <v>169</v>
      </c>
      <c r="D3434" s="28" t="s">
        <v>49</v>
      </c>
      <c r="E3434" s="28" t="s">
        <v>809</v>
      </c>
      <c r="F3434" s="28" t="s">
        <v>147</v>
      </c>
      <c r="G3434" s="28" t="s">
        <v>148</v>
      </c>
      <c r="H3434" s="28" t="s">
        <v>205</v>
      </c>
      <c r="I3434" s="29" t="n">
        <v>160000</v>
      </c>
      <c r="J3434" s="29" t="n">
        <v>80000</v>
      </c>
      <c r="K3434" s="28" t="n">
        <v>11.5</v>
      </c>
      <c r="L3434" s="28" t="n">
        <v>120</v>
      </c>
      <c r="M3434" s="28" t="n">
        <v>16</v>
      </c>
    </row>
    <row r="3435" customFormat="false" ht="15" hidden="false" customHeight="false" outlineLevel="0" collapsed="false">
      <c r="A3435" s="27" t="n">
        <v>45447</v>
      </c>
      <c r="B3435" s="28" t="n">
        <v>2024</v>
      </c>
      <c r="C3435" s="28" t="s">
        <v>172</v>
      </c>
      <c r="D3435" s="28" t="s">
        <v>42</v>
      </c>
      <c r="E3435" s="28" t="s">
        <v>753</v>
      </c>
      <c r="F3435" s="28" t="s">
        <v>142</v>
      </c>
      <c r="G3435" s="28" t="s">
        <v>152</v>
      </c>
      <c r="H3435" s="28" t="s">
        <v>314</v>
      </c>
      <c r="I3435" s="29" t="n">
        <v>321000</v>
      </c>
      <c r="J3435" s="29" t="n">
        <v>240750</v>
      </c>
      <c r="K3435" s="28" t="n">
        <v>10.75</v>
      </c>
      <c r="L3435" s="28" t="n">
        <v>120</v>
      </c>
      <c r="M3435" s="28" t="n">
        <v>16</v>
      </c>
    </row>
    <row r="3436" customFormat="false" ht="15" hidden="false" customHeight="false" outlineLevel="0" collapsed="false">
      <c r="A3436" s="27" t="n">
        <v>45447</v>
      </c>
      <c r="B3436" s="28" t="n">
        <v>2024</v>
      </c>
      <c r="C3436" s="28" t="s">
        <v>201</v>
      </c>
      <c r="D3436" s="28" t="s">
        <v>45</v>
      </c>
      <c r="E3436" s="28" t="s">
        <v>824</v>
      </c>
      <c r="F3436" s="28" t="s">
        <v>142</v>
      </c>
      <c r="G3436" s="28" t="s">
        <v>143</v>
      </c>
      <c r="H3436" s="28" t="s">
        <v>287</v>
      </c>
      <c r="I3436" s="29" t="n">
        <v>250000</v>
      </c>
      <c r="J3436" s="29" t="n">
        <v>187500</v>
      </c>
      <c r="K3436" s="28" t="n">
        <v>11.25</v>
      </c>
      <c r="L3436" s="28" t="n">
        <v>120</v>
      </c>
      <c r="M3436" s="28" t="n">
        <v>4</v>
      </c>
    </row>
    <row r="3437" customFormat="false" ht="15" hidden="false" customHeight="false" outlineLevel="0" collapsed="false">
      <c r="A3437" s="27" t="n">
        <v>45447</v>
      </c>
      <c r="B3437" s="28" t="n">
        <v>2024</v>
      </c>
      <c r="C3437" s="28" t="s">
        <v>303</v>
      </c>
      <c r="D3437" s="28" t="s">
        <v>42</v>
      </c>
      <c r="E3437" s="28" t="s">
        <v>717</v>
      </c>
      <c r="F3437" s="28" t="s">
        <v>147</v>
      </c>
      <c r="G3437" s="28" t="s">
        <v>143</v>
      </c>
      <c r="H3437" s="28" t="s">
        <v>1070</v>
      </c>
      <c r="I3437" s="29" t="n">
        <v>300000</v>
      </c>
      <c r="J3437" s="29" t="n">
        <v>150000</v>
      </c>
      <c r="K3437" s="28" t="n">
        <v>10</v>
      </c>
      <c r="L3437" s="28" t="n">
        <v>108</v>
      </c>
      <c r="M3437" s="28" t="n">
        <v>12</v>
      </c>
    </row>
    <row r="3438" customFormat="false" ht="15" hidden="false" customHeight="false" outlineLevel="0" collapsed="false">
      <c r="A3438" s="27" t="n">
        <v>45447</v>
      </c>
      <c r="B3438" s="28" t="n">
        <v>2024</v>
      </c>
      <c r="C3438" s="28" t="s">
        <v>172</v>
      </c>
      <c r="D3438" s="28" t="s">
        <v>50</v>
      </c>
      <c r="E3438" s="28" t="s">
        <v>1003</v>
      </c>
      <c r="F3438" s="28" t="s">
        <v>142</v>
      </c>
      <c r="G3438" s="28" t="s">
        <v>148</v>
      </c>
      <c r="H3438" s="28" t="s">
        <v>953</v>
      </c>
      <c r="I3438" s="29" t="n">
        <v>127000</v>
      </c>
      <c r="J3438" s="29" t="n">
        <v>107950</v>
      </c>
      <c r="K3438" s="28" t="n">
        <v>11.5</v>
      </c>
      <c r="L3438" s="28" t="n">
        <v>120</v>
      </c>
      <c r="M3438" s="28" t="n">
        <v>3</v>
      </c>
    </row>
    <row r="3439" customFormat="false" ht="15" hidden="false" customHeight="false" outlineLevel="0" collapsed="false">
      <c r="A3439" s="27" t="n">
        <v>45448</v>
      </c>
      <c r="B3439" s="28" t="n">
        <v>2024</v>
      </c>
      <c r="C3439" s="28" t="s">
        <v>169</v>
      </c>
      <c r="D3439" s="28" t="s">
        <v>43</v>
      </c>
      <c r="E3439" s="28" t="s">
        <v>858</v>
      </c>
      <c r="F3439" s="28" t="s">
        <v>142</v>
      </c>
      <c r="G3439" s="28" t="s">
        <v>441</v>
      </c>
      <c r="H3439" s="28" t="s">
        <v>605</v>
      </c>
      <c r="I3439" s="29" t="n">
        <v>310000</v>
      </c>
      <c r="J3439" s="29" t="n">
        <v>232500</v>
      </c>
      <c r="K3439" s="28" t="n">
        <v>11.5</v>
      </c>
      <c r="L3439" s="28" t="n">
        <v>120</v>
      </c>
      <c r="M3439" s="28" t="n">
        <v>12</v>
      </c>
    </row>
    <row r="3440" customFormat="false" ht="15" hidden="false" customHeight="false" outlineLevel="0" collapsed="false">
      <c r="A3440" s="27" t="n">
        <v>45448</v>
      </c>
      <c r="B3440" s="28" t="n">
        <v>2024</v>
      </c>
      <c r="C3440" s="28" t="s">
        <v>196</v>
      </c>
      <c r="D3440" s="28" t="s">
        <v>44</v>
      </c>
      <c r="E3440" s="28" t="s">
        <v>167</v>
      </c>
      <c r="F3440" s="28" t="s">
        <v>142</v>
      </c>
      <c r="G3440" s="28" t="s">
        <v>441</v>
      </c>
      <c r="H3440" s="28" t="s">
        <v>587</v>
      </c>
      <c r="I3440" s="29" t="n">
        <v>1671500</v>
      </c>
      <c r="J3440" s="29" t="n">
        <v>1253625</v>
      </c>
      <c r="K3440" s="28" t="n">
        <v>10.75</v>
      </c>
      <c r="L3440" s="28" t="n">
        <v>120</v>
      </c>
      <c r="M3440" s="28" t="n">
        <v>4</v>
      </c>
    </row>
    <row r="3441" customFormat="false" ht="15" hidden="false" customHeight="false" outlineLevel="0" collapsed="false">
      <c r="A3441" s="27" t="n">
        <v>45448</v>
      </c>
      <c r="B3441" s="28" t="n">
        <v>2024</v>
      </c>
      <c r="C3441" s="28" t="s">
        <v>166</v>
      </c>
      <c r="D3441" s="28" t="s">
        <v>47</v>
      </c>
      <c r="E3441" s="28" t="s">
        <v>707</v>
      </c>
      <c r="F3441" s="28" t="s">
        <v>147</v>
      </c>
      <c r="G3441" s="28" t="s">
        <v>148</v>
      </c>
      <c r="H3441" s="28" t="s">
        <v>162</v>
      </c>
      <c r="I3441" s="29" t="n">
        <v>200000</v>
      </c>
      <c r="J3441" s="29" t="n">
        <v>100000</v>
      </c>
      <c r="K3441" s="28" t="n">
        <v>11.5</v>
      </c>
      <c r="L3441" s="28" t="n">
        <v>120</v>
      </c>
      <c r="M3441" s="28" t="n">
        <v>9</v>
      </c>
    </row>
    <row r="3442" customFormat="false" ht="15" hidden="false" customHeight="false" outlineLevel="0" collapsed="false">
      <c r="A3442" s="27" t="n">
        <v>45448</v>
      </c>
      <c r="B3442" s="28" t="n">
        <v>2024</v>
      </c>
      <c r="C3442" s="28" t="s">
        <v>172</v>
      </c>
      <c r="D3442" s="28" t="s">
        <v>48</v>
      </c>
      <c r="E3442" s="28" t="s">
        <v>228</v>
      </c>
      <c r="F3442" s="28" t="s">
        <v>147</v>
      </c>
      <c r="G3442" s="28" t="s">
        <v>148</v>
      </c>
      <c r="H3442" s="28" t="s">
        <v>159</v>
      </c>
      <c r="I3442" s="29" t="n">
        <v>60000</v>
      </c>
      <c r="J3442" s="29" t="n">
        <v>30000</v>
      </c>
      <c r="K3442" s="28" t="n">
        <v>13</v>
      </c>
      <c r="L3442" s="28" t="n">
        <v>120</v>
      </c>
      <c r="M3442" s="28" t="n">
        <v>2</v>
      </c>
    </row>
    <row r="3443" customFormat="false" ht="15" hidden="false" customHeight="false" outlineLevel="0" collapsed="false">
      <c r="A3443" s="27" t="n">
        <v>45448</v>
      </c>
      <c r="B3443" s="28" t="n">
        <v>2024</v>
      </c>
      <c r="C3443" s="28" t="s">
        <v>172</v>
      </c>
      <c r="D3443" s="28" t="s">
        <v>42</v>
      </c>
      <c r="E3443" s="28" t="s">
        <v>753</v>
      </c>
      <c r="F3443" s="28" t="s">
        <v>147</v>
      </c>
      <c r="G3443" s="28" t="s">
        <v>441</v>
      </c>
      <c r="H3443" s="28" t="s">
        <v>205</v>
      </c>
      <c r="I3443" s="29" t="n">
        <v>10000</v>
      </c>
      <c r="J3443" s="29" t="n">
        <v>5000</v>
      </c>
      <c r="K3443" s="28" t="n">
        <v>11.5</v>
      </c>
      <c r="L3443" s="28" t="n">
        <v>120</v>
      </c>
      <c r="M3443" s="28" t="n">
        <v>1</v>
      </c>
    </row>
    <row r="3444" customFormat="false" ht="15" hidden="false" customHeight="false" outlineLevel="0" collapsed="false">
      <c r="A3444" s="27" t="n">
        <v>45449</v>
      </c>
      <c r="B3444" s="28" t="n">
        <v>2024</v>
      </c>
      <c r="C3444" s="28" t="s">
        <v>203</v>
      </c>
      <c r="D3444" s="28" t="s">
        <v>42</v>
      </c>
      <c r="E3444" s="28" t="s">
        <v>753</v>
      </c>
      <c r="F3444" s="28" t="s">
        <v>147</v>
      </c>
      <c r="G3444" s="28" t="s">
        <v>143</v>
      </c>
      <c r="H3444" s="28" t="s">
        <v>469</v>
      </c>
      <c r="I3444" s="29" t="n">
        <v>403000</v>
      </c>
      <c r="J3444" s="29" t="n">
        <v>201500</v>
      </c>
      <c r="K3444" s="28" t="n">
        <v>8.5</v>
      </c>
      <c r="L3444" s="28" t="n">
        <v>120</v>
      </c>
      <c r="M3444" s="28" t="n">
        <v>8</v>
      </c>
    </row>
    <row r="3445" customFormat="false" ht="15" hidden="false" customHeight="false" outlineLevel="0" collapsed="false">
      <c r="A3445" s="27" t="n">
        <v>45449</v>
      </c>
      <c r="B3445" s="28" t="n">
        <v>2024</v>
      </c>
      <c r="C3445" s="28" t="s">
        <v>172</v>
      </c>
      <c r="D3445" s="28" t="s">
        <v>48</v>
      </c>
      <c r="E3445" s="28" t="s">
        <v>765</v>
      </c>
      <c r="F3445" s="28" t="s">
        <v>142</v>
      </c>
      <c r="G3445" s="28" t="s">
        <v>441</v>
      </c>
      <c r="H3445" s="28" t="s">
        <v>159</v>
      </c>
      <c r="I3445" s="29" t="n">
        <v>200000</v>
      </c>
      <c r="J3445" s="29" t="n">
        <v>150000</v>
      </c>
      <c r="K3445" s="28" t="n">
        <v>11.25</v>
      </c>
      <c r="L3445" s="28" t="n">
        <v>84</v>
      </c>
      <c r="M3445" s="28" t="n">
        <v>2</v>
      </c>
    </row>
    <row r="3446" customFormat="false" ht="15" hidden="false" customHeight="false" outlineLevel="0" collapsed="false">
      <c r="A3446" s="27" t="n">
        <v>45449</v>
      </c>
      <c r="B3446" s="28" t="n">
        <v>2024</v>
      </c>
      <c r="C3446" s="28" t="s">
        <v>203</v>
      </c>
      <c r="D3446" s="28" t="s">
        <v>52</v>
      </c>
      <c r="E3446" s="28" t="s">
        <v>599</v>
      </c>
      <c r="F3446" s="28" t="s">
        <v>142</v>
      </c>
      <c r="G3446" s="28" t="s">
        <v>441</v>
      </c>
      <c r="H3446" s="28" t="s">
        <v>326</v>
      </c>
      <c r="I3446" s="29" t="n">
        <v>730000</v>
      </c>
      <c r="J3446" s="29" t="n">
        <v>547500</v>
      </c>
      <c r="K3446" s="28" t="n">
        <v>11.5</v>
      </c>
      <c r="L3446" s="28" t="n">
        <v>120</v>
      </c>
      <c r="M3446" s="28" t="n">
        <v>17</v>
      </c>
    </row>
    <row r="3447" customFormat="false" ht="15" hidden="false" customHeight="false" outlineLevel="0" collapsed="false">
      <c r="A3447" s="27" t="n">
        <v>45449</v>
      </c>
      <c r="B3447" s="28" t="n">
        <v>2024</v>
      </c>
      <c r="C3447" s="28" t="s">
        <v>198</v>
      </c>
      <c r="D3447" s="28" t="s">
        <v>43</v>
      </c>
      <c r="E3447" s="28" t="s">
        <v>933</v>
      </c>
      <c r="F3447" s="28" t="s">
        <v>142</v>
      </c>
      <c r="G3447" s="28" t="s">
        <v>148</v>
      </c>
      <c r="H3447" s="28" t="s">
        <v>281</v>
      </c>
      <c r="I3447" s="29" t="n">
        <v>380000</v>
      </c>
      <c r="J3447" s="29" t="n">
        <v>285000</v>
      </c>
      <c r="K3447" s="28" t="n">
        <v>11</v>
      </c>
      <c r="L3447" s="28" t="n">
        <v>60</v>
      </c>
      <c r="M3447" s="28" t="n">
        <v>4</v>
      </c>
    </row>
    <row r="3448" customFormat="false" ht="15" hidden="false" customHeight="false" outlineLevel="0" collapsed="false">
      <c r="A3448" s="27" t="n">
        <v>45449</v>
      </c>
      <c r="B3448" s="28" t="n">
        <v>2024</v>
      </c>
      <c r="C3448" s="28" t="s">
        <v>169</v>
      </c>
      <c r="D3448" s="28" t="s">
        <v>51</v>
      </c>
      <c r="E3448" s="28" t="s">
        <v>848</v>
      </c>
      <c r="F3448" s="28" t="s">
        <v>147</v>
      </c>
      <c r="G3448" s="28" t="s">
        <v>148</v>
      </c>
      <c r="H3448" s="28" t="s">
        <v>205</v>
      </c>
      <c r="I3448" s="29" t="n">
        <v>100000</v>
      </c>
      <c r="J3448" s="29" t="n">
        <v>50000</v>
      </c>
      <c r="K3448" s="28" t="n">
        <v>11.5</v>
      </c>
      <c r="L3448" s="28" t="n">
        <v>120</v>
      </c>
      <c r="M3448" s="28" t="n">
        <v>5</v>
      </c>
    </row>
    <row r="3449" customFormat="false" ht="15" hidden="false" customHeight="false" outlineLevel="0" collapsed="false">
      <c r="A3449" s="27" t="n">
        <v>45449</v>
      </c>
      <c r="B3449" s="28" t="n">
        <v>2024</v>
      </c>
      <c r="C3449" s="28" t="s">
        <v>166</v>
      </c>
      <c r="D3449" s="28" t="s">
        <v>48</v>
      </c>
      <c r="E3449" s="28" t="s">
        <v>925</v>
      </c>
      <c r="F3449" s="28" t="s">
        <v>147</v>
      </c>
      <c r="G3449" s="28" t="s">
        <v>148</v>
      </c>
      <c r="H3449" s="28" t="s">
        <v>205</v>
      </c>
      <c r="I3449" s="29" t="n">
        <v>75000</v>
      </c>
      <c r="J3449" s="29" t="n">
        <v>37500</v>
      </c>
      <c r="K3449" s="28" t="n">
        <v>11.5</v>
      </c>
      <c r="L3449" s="28" t="n">
        <v>120</v>
      </c>
      <c r="M3449" s="28" t="n">
        <v>0</v>
      </c>
    </row>
    <row r="3450" customFormat="false" ht="15" hidden="false" customHeight="false" outlineLevel="0" collapsed="false">
      <c r="A3450" s="27" t="n">
        <v>45449</v>
      </c>
      <c r="B3450" s="28" t="n">
        <v>2024</v>
      </c>
      <c r="C3450" s="28" t="s">
        <v>887</v>
      </c>
      <c r="D3450" s="28" t="s">
        <v>45</v>
      </c>
      <c r="E3450" s="28" t="s">
        <v>824</v>
      </c>
      <c r="F3450" s="28" t="s">
        <v>142</v>
      </c>
      <c r="G3450" s="28" t="s">
        <v>148</v>
      </c>
      <c r="H3450" s="28" t="s">
        <v>771</v>
      </c>
      <c r="I3450" s="29" t="n">
        <v>250000</v>
      </c>
      <c r="J3450" s="29" t="n">
        <v>187500</v>
      </c>
      <c r="K3450" s="28" t="n">
        <v>11.25</v>
      </c>
      <c r="L3450" s="28" t="n">
        <v>120</v>
      </c>
      <c r="M3450" s="28" t="n">
        <v>54</v>
      </c>
    </row>
    <row r="3451" customFormat="false" ht="15" hidden="false" customHeight="false" outlineLevel="0" collapsed="false">
      <c r="A3451" s="27" t="n">
        <v>45449</v>
      </c>
      <c r="B3451" s="28" t="n">
        <v>2024</v>
      </c>
      <c r="C3451" s="28" t="s">
        <v>169</v>
      </c>
      <c r="D3451" s="28" t="s">
        <v>44</v>
      </c>
      <c r="E3451" s="28" t="s">
        <v>167</v>
      </c>
      <c r="F3451" s="28" t="s">
        <v>147</v>
      </c>
      <c r="G3451" s="28" t="s">
        <v>148</v>
      </c>
      <c r="H3451" s="28" t="s">
        <v>953</v>
      </c>
      <c r="I3451" s="29" t="n">
        <v>250000</v>
      </c>
      <c r="J3451" s="29" t="n">
        <v>125000</v>
      </c>
      <c r="K3451" s="28" t="n">
        <v>14.5</v>
      </c>
      <c r="L3451" s="28" t="n">
        <v>72</v>
      </c>
      <c r="M3451" s="28" t="n">
        <v>100</v>
      </c>
    </row>
    <row r="3452" customFormat="false" ht="15" hidden="false" customHeight="false" outlineLevel="0" collapsed="false">
      <c r="A3452" s="27" t="n">
        <v>45450</v>
      </c>
      <c r="B3452" s="28" t="n">
        <v>2024</v>
      </c>
      <c r="C3452" s="28" t="s">
        <v>140</v>
      </c>
      <c r="D3452" s="28" t="s">
        <v>47</v>
      </c>
      <c r="E3452" s="28" t="s">
        <v>284</v>
      </c>
      <c r="F3452" s="28" t="s">
        <v>142</v>
      </c>
      <c r="G3452" s="28" t="s">
        <v>148</v>
      </c>
      <c r="H3452" s="28" t="s">
        <v>621</v>
      </c>
      <c r="I3452" s="29" t="n">
        <v>150000</v>
      </c>
      <c r="J3452" s="29" t="n">
        <v>127500</v>
      </c>
      <c r="K3452" s="28" t="n">
        <v>14.5</v>
      </c>
      <c r="L3452" s="28" t="n">
        <v>120</v>
      </c>
      <c r="M3452" s="28" t="n">
        <v>3</v>
      </c>
    </row>
    <row r="3453" customFormat="false" ht="15" hidden="false" customHeight="false" outlineLevel="0" collapsed="false">
      <c r="A3453" s="27" t="n">
        <v>45450</v>
      </c>
      <c r="B3453" s="28" t="n">
        <v>2024</v>
      </c>
      <c r="C3453" s="28" t="s">
        <v>160</v>
      </c>
      <c r="D3453" s="28" t="s">
        <v>48</v>
      </c>
      <c r="E3453" s="28" t="s">
        <v>277</v>
      </c>
      <c r="F3453" s="28" t="s">
        <v>147</v>
      </c>
      <c r="G3453" s="28" t="s">
        <v>143</v>
      </c>
      <c r="H3453" s="28" t="s">
        <v>159</v>
      </c>
      <c r="I3453" s="29" t="n">
        <v>100000</v>
      </c>
      <c r="J3453" s="29" t="n">
        <v>50000</v>
      </c>
      <c r="K3453" s="28" t="n">
        <v>11</v>
      </c>
      <c r="L3453" s="28" t="n">
        <v>120</v>
      </c>
      <c r="M3453" s="28" t="n">
        <v>4</v>
      </c>
    </row>
    <row r="3454" customFormat="false" ht="15" hidden="false" customHeight="false" outlineLevel="0" collapsed="false">
      <c r="A3454" s="27" t="n">
        <v>45450</v>
      </c>
      <c r="B3454" s="28" t="n">
        <v>2024</v>
      </c>
      <c r="C3454" s="28" t="s">
        <v>206</v>
      </c>
      <c r="D3454" s="28" t="s">
        <v>46</v>
      </c>
      <c r="E3454" s="28" t="s">
        <v>806</v>
      </c>
      <c r="F3454" s="28" t="s">
        <v>194</v>
      </c>
      <c r="G3454" s="28" t="s">
        <v>143</v>
      </c>
      <c r="H3454" s="28" t="s">
        <v>799</v>
      </c>
      <c r="I3454" s="29" t="n">
        <v>125000</v>
      </c>
      <c r="J3454" s="29" t="n">
        <v>106250</v>
      </c>
      <c r="K3454" s="28" t="n">
        <v>11.5</v>
      </c>
      <c r="L3454" s="28" t="n">
        <v>120</v>
      </c>
      <c r="M3454" s="28" t="n">
        <v>8</v>
      </c>
    </row>
    <row r="3455" customFormat="false" ht="15" hidden="false" customHeight="false" outlineLevel="0" collapsed="false">
      <c r="A3455" s="27" t="n">
        <v>45450</v>
      </c>
      <c r="B3455" s="28" t="n">
        <v>2024</v>
      </c>
      <c r="C3455" s="28" t="s">
        <v>173</v>
      </c>
      <c r="D3455" s="28" t="s">
        <v>47</v>
      </c>
      <c r="E3455" s="28" t="s">
        <v>623</v>
      </c>
      <c r="F3455" s="28" t="s">
        <v>142</v>
      </c>
      <c r="G3455" s="28" t="s">
        <v>148</v>
      </c>
      <c r="H3455" s="28" t="s">
        <v>275</v>
      </c>
      <c r="I3455" s="29" t="n">
        <v>15000</v>
      </c>
      <c r="J3455" s="29" t="n">
        <v>12750</v>
      </c>
      <c r="K3455" s="28" t="n">
        <v>15</v>
      </c>
      <c r="L3455" s="28" t="n">
        <v>120</v>
      </c>
      <c r="M3455" s="28" t="n">
        <v>0</v>
      </c>
    </row>
    <row r="3456" customFormat="false" ht="15" hidden="false" customHeight="false" outlineLevel="0" collapsed="false">
      <c r="A3456" s="27" t="n">
        <v>45452</v>
      </c>
      <c r="B3456" s="28" t="n">
        <v>2024</v>
      </c>
      <c r="C3456" s="28" t="s">
        <v>353</v>
      </c>
      <c r="D3456" s="28" t="s">
        <v>42</v>
      </c>
      <c r="E3456" s="28" t="s">
        <v>717</v>
      </c>
      <c r="F3456" s="28" t="s">
        <v>142</v>
      </c>
      <c r="G3456" s="28" t="s">
        <v>148</v>
      </c>
      <c r="H3456" s="28" t="s">
        <v>953</v>
      </c>
      <c r="I3456" s="29" t="n">
        <v>100000</v>
      </c>
      <c r="J3456" s="29" t="n">
        <v>85000</v>
      </c>
      <c r="K3456" s="28" t="n">
        <v>11.5</v>
      </c>
      <c r="L3456" s="28" t="n">
        <v>120</v>
      </c>
      <c r="M3456" s="28" t="n">
        <v>2</v>
      </c>
    </row>
    <row r="3457" customFormat="false" ht="15" hidden="false" customHeight="false" outlineLevel="0" collapsed="false">
      <c r="A3457" s="27" t="n">
        <v>45453</v>
      </c>
      <c r="B3457" s="28" t="n">
        <v>2024</v>
      </c>
      <c r="C3457" s="28" t="s">
        <v>243</v>
      </c>
      <c r="D3457" s="28" t="s">
        <v>48</v>
      </c>
      <c r="E3457" s="28" t="s">
        <v>736</v>
      </c>
      <c r="F3457" s="28" t="s">
        <v>147</v>
      </c>
      <c r="G3457" s="28" t="s">
        <v>441</v>
      </c>
      <c r="H3457" s="28" t="s">
        <v>159</v>
      </c>
      <c r="I3457" s="29" t="n">
        <v>275000</v>
      </c>
      <c r="J3457" s="29" t="n">
        <v>137500</v>
      </c>
      <c r="K3457" s="28" t="n">
        <v>10.75</v>
      </c>
      <c r="L3457" s="28" t="n">
        <v>120</v>
      </c>
      <c r="M3457" s="28" t="n">
        <v>6</v>
      </c>
    </row>
    <row r="3458" customFormat="false" ht="15" hidden="false" customHeight="false" outlineLevel="0" collapsed="false">
      <c r="A3458" s="27" t="n">
        <v>45453</v>
      </c>
      <c r="B3458" s="28" t="n">
        <v>2024</v>
      </c>
      <c r="C3458" s="28" t="s">
        <v>206</v>
      </c>
      <c r="D3458" s="28" t="s">
        <v>51</v>
      </c>
      <c r="E3458" s="28" t="s">
        <v>800</v>
      </c>
      <c r="F3458" s="28" t="s">
        <v>147</v>
      </c>
      <c r="G3458" s="28" t="s">
        <v>148</v>
      </c>
      <c r="H3458" s="28" t="s">
        <v>428</v>
      </c>
      <c r="I3458" s="29" t="n">
        <v>150000</v>
      </c>
      <c r="J3458" s="29" t="n">
        <v>75000</v>
      </c>
      <c r="K3458" s="28" t="n">
        <v>10.9</v>
      </c>
      <c r="L3458" s="28" t="n">
        <v>120</v>
      </c>
      <c r="M3458" s="28" t="n">
        <v>16</v>
      </c>
    </row>
    <row r="3459" customFormat="false" ht="15" hidden="false" customHeight="false" outlineLevel="0" collapsed="false">
      <c r="A3459" s="27" t="n">
        <v>45453</v>
      </c>
      <c r="B3459" s="28" t="n">
        <v>2024</v>
      </c>
      <c r="C3459" s="28" t="s">
        <v>206</v>
      </c>
      <c r="D3459" s="28" t="s">
        <v>42</v>
      </c>
      <c r="E3459" s="28" t="s">
        <v>753</v>
      </c>
      <c r="F3459" s="28" t="s">
        <v>142</v>
      </c>
      <c r="G3459" s="28" t="s">
        <v>148</v>
      </c>
      <c r="H3459" s="28" t="s">
        <v>144</v>
      </c>
      <c r="I3459" s="29" t="n">
        <v>350000</v>
      </c>
      <c r="J3459" s="29" t="n">
        <v>255500</v>
      </c>
      <c r="K3459" s="28" t="n">
        <v>13</v>
      </c>
      <c r="L3459" s="28" t="n">
        <v>120</v>
      </c>
      <c r="M3459" s="28" t="n">
        <v>8</v>
      </c>
    </row>
    <row r="3460" customFormat="false" ht="15" hidden="false" customHeight="false" outlineLevel="0" collapsed="false">
      <c r="A3460" s="27" t="n">
        <v>45453</v>
      </c>
      <c r="B3460" s="28" t="n">
        <v>2024</v>
      </c>
      <c r="C3460" s="28" t="s">
        <v>163</v>
      </c>
      <c r="D3460" s="28" t="s">
        <v>45</v>
      </c>
      <c r="E3460" s="28" t="s">
        <v>222</v>
      </c>
      <c r="F3460" s="28" t="s">
        <v>142</v>
      </c>
      <c r="G3460" s="28" t="s">
        <v>148</v>
      </c>
      <c r="H3460" s="28" t="s">
        <v>771</v>
      </c>
      <c r="I3460" s="29" t="n">
        <v>96200</v>
      </c>
      <c r="J3460" s="29" t="n">
        <v>81770</v>
      </c>
      <c r="K3460" s="28" t="n">
        <v>11.25</v>
      </c>
      <c r="L3460" s="28" t="n">
        <v>120</v>
      </c>
      <c r="M3460" s="28" t="n">
        <v>2</v>
      </c>
    </row>
    <row r="3461" customFormat="false" ht="15" hidden="false" customHeight="false" outlineLevel="0" collapsed="false">
      <c r="A3461" s="27" t="n">
        <v>45454</v>
      </c>
      <c r="B3461" s="28" t="n">
        <v>2024</v>
      </c>
      <c r="C3461" s="28" t="s">
        <v>166</v>
      </c>
      <c r="D3461" s="28" t="s">
        <v>48</v>
      </c>
      <c r="E3461" s="28" t="s">
        <v>815</v>
      </c>
      <c r="F3461" s="28" t="s">
        <v>142</v>
      </c>
      <c r="G3461" s="28" t="s">
        <v>148</v>
      </c>
      <c r="H3461" s="28" t="s">
        <v>159</v>
      </c>
      <c r="I3461" s="29" t="n">
        <v>120000</v>
      </c>
      <c r="J3461" s="29" t="n">
        <v>102000</v>
      </c>
      <c r="K3461" s="28" t="n">
        <v>8.99</v>
      </c>
      <c r="L3461" s="28" t="n">
        <v>120</v>
      </c>
      <c r="M3461" s="28" t="n">
        <v>3</v>
      </c>
    </row>
    <row r="3462" customFormat="false" ht="15" hidden="false" customHeight="false" outlineLevel="0" collapsed="false">
      <c r="A3462" s="27" t="n">
        <v>45454</v>
      </c>
      <c r="B3462" s="28" t="n">
        <v>2024</v>
      </c>
      <c r="C3462" s="28" t="s">
        <v>145</v>
      </c>
      <c r="D3462" s="28" t="s">
        <v>45</v>
      </c>
      <c r="E3462" s="28" t="s">
        <v>708</v>
      </c>
      <c r="F3462" s="28" t="s">
        <v>142</v>
      </c>
      <c r="G3462" s="28" t="s">
        <v>148</v>
      </c>
      <c r="H3462" s="28" t="s">
        <v>171</v>
      </c>
      <c r="I3462" s="29" t="n">
        <v>150000</v>
      </c>
      <c r="J3462" s="29" t="n">
        <v>127500</v>
      </c>
      <c r="K3462" s="28" t="n">
        <v>13.25</v>
      </c>
      <c r="L3462" s="28" t="n">
        <v>120</v>
      </c>
      <c r="M3462" s="28" t="n">
        <v>8</v>
      </c>
    </row>
    <row r="3463" customFormat="false" ht="15" hidden="false" customHeight="false" outlineLevel="0" collapsed="false">
      <c r="A3463" s="27" t="n">
        <v>45454</v>
      </c>
      <c r="B3463" s="28" t="n">
        <v>2024</v>
      </c>
      <c r="C3463" s="28" t="s">
        <v>172</v>
      </c>
      <c r="D3463" s="28" t="s">
        <v>57</v>
      </c>
      <c r="E3463" s="28" t="s">
        <v>1030</v>
      </c>
      <c r="F3463" s="28" t="s">
        <v>142</v>
      </c>
      <c r="G3463" s="28" t="s">
        <v>148</v>
      </c>
      <c r="H3463" s="28" t="s">
        <v>211</v>
      </c>
      <c r="I3463" s="29" t="n">
        <v>500000</v>
      </c>
      <c r="J3463" s="29" t="n">
        <v>375000</v>
      </c>
      <c r="K3463" s="28" t="n">
        <v>11.25</v>
      </c>
      <c r="L3463" s="28" t="n">
        <v>120</v>
      </c>
      <c r="M3463" s="28" t="n">
        <v>5</v>
      </c>
    </row>
    <row r="3464" customFormat="false" ht="15" hidden="false" customHeight="false" outlineLevel="0" collapsed="false">
      <c r="A3464" s="27" t="n">
        <v>45454</v>
      </c>
      <c r="B3464" s="28" t="n">
        <v>2024</v>
      </c>
      <c r="C3464" s="28" t="s">
        <v>203</v>
      </c>
      <c r="D3464" s="28" t="s">
        <v>48</v>
      </c>
      <c r="E3464" s="28" t="s">
        <v>905</v>
      </c>
      <c r="F3464" s="28" t="s">
        <v>147</v>
      </c>
      <c r="G3464" s="28" t="s">
        <v>148</v>
      </c>
      <c r="H3464" s="28" t="s">
        <v>469</v>
      </c>
      <c r="I3464" s="29" t="n">
        <v>342000</v>
      </c>
      <c r="J3464" s="29" t="n">
        <v>171000</v>
      </c>
      <c r="K3464" s="28" t="n">
        <v>9.25</v>
      </c>
      <c r="L3464" s="28" t="n">
        <v>300</v>
      </c>
      <c r="M3464" s="28" t="n">
        <v>1</v>
      </c>
    </row>
    <row r="3465" customFormat="false" ht="15" hidden="false" customHeight="false" outlineLevel="0" collapsed="false">
      <c r="A3465" s="27" t="n">
        <v>45454</v>
      </c>
      <c r="B3465" s="28" t="n">
        <v>2024</v>
      </c>
      <c r="C3465" s="28" t="s">
        <v>166</v>
      </c>
      <c r="D3465" s="28" t="s">
        <v>48</v>
      </c>
      <c r="E3465" s="28" t="s">
        <v>277</v>
      </c>
      <c r="F3465" s="28" t="s">
        <v>147</v>
      </c>
      <c r="G3465" s="28" t="s">
        <v>441</v>
      </c>
      <c r="H3465" s="28" t="s">
        <v>191</v>
      </c>
      <c r="I3465" s="29" t="n">
        <v>20000</v>
      </c>
      <c r="J3465" s="29" t="n">
        <v>10000</v>
      </c>
      <c r="K3465" s="28" t="n">
        <v>12.4</v>
      </c>
      <c r="L3465" s="28" t="n">
        <v>120</v>
      </c>
      <c r="M3465" s="28" t="n">
        <v>2</v>
      </c>
    </row>
    <row r="3466" customFormat="false" ht="15" hidden="false" customHeight="false" outlineLevel="0" collapsed="false">
      <c r="A3466" s="27" t="n">
        <v>45454</v>
      </c>
      <c r="B3466" s="28" t="n">
        <v>2024</v>
      </c>
      <c r="C3466" s="28" t="s">
        <v>172</v>
      </c>
      <c r="D3466" s="28" t="s">
        <v>43</v>
      </c>
      <c r="E3466" s="28" t="s">
        <v>952</v>
      </c>
      <c r="F3466" s="28" t="s">
        <v>142</v>
      </c>
      <c r="G3466" s="28" t="s">
        <v>148</v>
      </c>
      <c r="H3466" s="28" t="s">
        <v>376</v>
      </c>
      <c r="I3466" s="29" t="n">
        <v>250000</v>
      </c>
      <c r="J3466" s="29" t="n">
        <v>187500</v>
      </c>
      <c r="K3466" s="28" t="n">
        <v>8.5</v>
      </c>
      <c r="L3466" s="28" t="n">
        <v>60</v>
      </c>
      <c r="M3466" s="28" t="n">
        <v>38</v>
      </c>
    </row>
    <row r="3467" customFormat="false" ht="15" hidden="false" customHeight="false" outlineLevel="0" collapsed="false">
      <c r="A3467" s="27" t="n">
        <v>45454</v>
      </c>
      <c r="B3467" s="28" t="n">
        <v>2024</v>
      </c>
      <c r="C3467" s="28" t="s">
        <v>163</v>
      </c>
      <c r="D3467" s="28" t="s">
        <v>48</v>
      </c>
      <c r="E3467" s="28" t="s">
        <v>210</v>
      </c>
      <c r="F3467" s="28" t="s">
        <v>142</v>
      </c>
      <c r="G3467" s="28" t="s">
        <v>148</v>
      </c>
      <c r="H3467" s="28" t="s">
        <v>275</v>
      </c>
      <c r="I3467" s="29" t="n">
        <v>303500</v>
      </c>
      <c r="J3467" s="29" t="n">
        <v>227625</v>
      </c>
      <c r="K3467" s="28" t="n">
        <v>11.25</v>
      </c>
      <c r="L3467" s="28" t="n">
        <v>120</v>
      </c>
      <c r="M3467" s="28" t="n">
        <v>0</v>
      </c>
    </row>
    <row r="3468" customFormat="false" ht="15" hidden="false" customHeight="false" outlineLevel="0" collapsed="false">
      <c r="A3468" s="27" t="n">
        <v>45455</v>
      </c>
      <c r="B3468" s="28" t="n">
        <v>2024</v>
      </c>
      <c r="C3468" s="28" t="s">
        <v>394</v>
      </c>
      <c r="D3468" s="28" t="s">
        <v>46</v>
      </c>
      <c r="E3468" s="28" t="s">
        <v>727</v>
      </c>
      <c r="F3468" s="28" t="s">
        <v>142</v>
      </c>
      <c r="G3468" s="28" t="s">
        <v>148</v>
      </c>
      <c r="H3468" s="28" t="s">
        <v>314</v>
      </c>
      <c r="I3468" s="29" t="n">
        <v>225000</v>
      </c>
      <c r="J3468" s="29" t="n">
        <v>168750</v>
      </c>
      <c r="K3468" s="28" t="n">
        <v>10.5</v>
      </c>
      <c r="L3468" s="28" t="n">
        <v>300</v>
      </c>
      <c r="M3468" s="28" t="n">
        <v>12</v>
      </c>
    </row>
    <row r="3469" customFormat="false" ht="15" hidden="false" customHeight="false" outlineLevel="0" collapsed="false">
      <c r="A3469" s="27" t="n">
        <v>45455</v>
      </c>
      <c r="B3469" s="28" t="n">
        <v>2024</v>
      </c>
      <c r="C3469" s="28" t="s">
        <v>169</v>
      </c>
      <c r="D3469" s="28" t="s">
        <v>48</v>
      </c>
      <c r="E3469" s="28" t="s">
        <v>342</v>
      </c>
      <c r="F3469" s="28" t="s">
        <v>142</v>
      </c>
      <c r="G3469" s="28" t="s">
        <v>148</v>
      </c>
      <c r="H3469" s="28" t="s">
        <v>771</v>
      </c>
      <c r="I3469" s="29" t="n">
        <v>50000</v>
      </c>
      <c r="J3469" s="29" t="n">
        <v>42500</v>
      </c>
      <c r="K3469" s="28" t="n">
        <v>11.25</v>
      </c>
      <c r="L3469" s="28" t="n">
        <v>120</v>
      </c>
      <c r="M3469" s="28" t="n">
        <v>10</v>
      </c>
    </row>
    <row r="3470" customFormat="false" ht="15" hidden="false" customHeight="false" outlineLevel="0" collapsed="false">
      <c r="A3470" s="27" t="n">
        <v>45455</v>
      </c>
      <c r="B3470" s="28" t="n">
        <v>2024</v>
      </c>
      <c r="C3470" s="28" t="s">
        <v>196</v>
      </c>
      <c r="D3470" s="28" t="s">
        <v>44</v>
      </c>
      <c r="E3470" s="28" t="s">
        <v>167</v>
      </c>
      <c r="F3470" s="28" t="s">
        <v>142</v>
      </c>
      <c r="G3470" s="28" t="s">
        <v>148</v>
      </c>
      <c r="H3470" s="28" t="s">
        <v>144</v>
      </c>
      <c r="I3470" s="29" t="n">
        <v>325000</v>
      </c>
      <c r="J3470" s="29" t="n">
        <v>243750</v>
      </c>
      <c r="K3470" s="28" t="n">
        <v>11.99</v>
      </c>
      <c r="L3470" s="28" t="n">
        <v>120</v>
      </c>
      <c r="M3470" s="28" t="n">
        <v>70</v>
      </c>
    </row>
    <row r="3471" customFormat="false" ht="15" hidden="false" customHeight="false" outlineLevel="0" collapsed="false">
      <c r="A3471" s="27" t="n">
        <v>45455</v>
      </c>
      <c r="B3471" s="28" t="n">
        <v>2024</v>
      </c>
      <c r="C3471" s="28" t="s">
        <v>172</v>
      </c>
      <c r="D3471" s="28" t="s">
        <v>44</v>
      </c>
      <c r="E3471" s="28" t="s">
        <v>729</v>
      </c>
      <c r="F3471" s="28" t="s">
        <v>142</v>
      </c>
      <c r="G3471" s="28" t="s">
        <v>143</v>
      </c>
      <c r="H3471" s="28" t="s">
        <v>211</v>
      </c>
      <c r="I3471" s="29" t="n">
        <v>527000</v>
      </c>
      <c r="J3471" s="29" t="n">
        <v>395250</v>
      </c>
      <c r="K3471" s="28" t="n">
        <v>8.5</v>
      </c>
      <c r="L3471" s="28" t="n">
        <v>132</v>
      </c>
      <c r="M3471" s="28" t="n">
        <v>4</v>
      </c>
    </row>
    <row r="3472" customFormat="false" ht="15" hidden="false" customHeight="false" outlineLevel="0" collapsed="false">
      <c r="A3472" s="27" t="n">
        <v>45456</v>
      </c>
      <c r="B3472" s="28" t="n">
        <v>2024</v>
      </c>
      <c r="C3472" s="28" t="s">
        <v>172</v>
      </c>
      <c r="D3472" s="28" t="s">
        <v>57</v>
      </c>
      <c r="E3472" s="28" t="s">
        <v>1030</v>
      </c>
      <c r="F3472" s="28" t="s">
        <v>142</v>
      </c>
      <c r="G3472" s="28" t="s">
        <v>148</v>
      </c>
      <c r="H3472" s="28" t="s">
        <v>275</v>
      </c>
      <c r="I3472" s="29" t="n">
        <v>705000</v>
      </c>
      <c r="J3472" s="29" t="n">
        <v>528750</v>
      </c>
      <c r="K3472" s="28" t="n">
        <v>11</v>
      </c>
      <c r="L3472" s="28" t="n">
        <v>120</v>
      </c>
      <c r="M3472" s="28" t="n">
        <v>4</v>
      </c>
    </row>
    <row r="3473" customFormat="false" ht="15" hidden="false" customHeight="false" outlineLevel="0" collapsed="false">
      <c r="A3473" s="27" t="n">
        <v>45456</v>
      </c>
      <c r="B3473" s="28" t="n">
        <v>2024</v>
      </c>
      <c r="C3473" s="28" t="s">
        <v>421</v>
      </c>
      <c r="D3473" s="28" t="s">
        <v>46</v>
      </c>
      <c r="E3473" s="28" t="s">
        <v>770</v>
      </c>
      <c r="F3473" s="28" t="s">
        <v>147</v>
      </c>
      <c r="G3473" s="28" t="s">
        <v>148</v>
      </c>
      <c r="H3473" s="28" t="s">
        <v>953</v>
      </c>
      <c r="I3473" s="29" t="n">
        <v>40000</v>
      </c>
      <c r="J3473" s="29" t="n">
        <v>20000</v>
      </c>
      <c r="K3473" s="28" t="n">
        <v>15</v>
      </c>
      <c r="L3473" s="28" t="n">
        <v>120</v>
      </c>
      <c r="M3473" s="28" t="n">
        <v>6</v>
      </c>
    </row>
    <row r="3474" customFormat="false" ht="15" hidden="false" customHeight="false" outlineLevel="0" collapsed="false">
      <c r="A3474" s="27" t="n">
        <v>45456</v>
      </c>
      <c r="B3474" s="28" t="n">
        <v>2024</v>
      </c>
      <c r="C3474" s="28" t="s">
        <v>235</v>
      </c>
      <c r="D3474" s="28" t="s">
        <v>42</v>
      </c>
      <c r="E3474" s="28" t="s">
        <v>753</v>
      </c>
      <c r="F3474" s="28" t="s">
        <v>142</v>
      </c>
      <c r="G3474" s="28" t="s">
        <v>143</v>
      </c>
      <c r="H3474" s="28" t="s">
        <v>494</v>
      </c>
      <c r="I3474" s="29" t="n">
        <v>658600</v>
      </c>
      <c r="J3474" s="29" t="n">
        <v>493950</v>
      </c>
      <c r="K3474" s="28" t="n">
        <v>9.99</v>
      </c>
      <c r="L3474" s="28" t="n">
        <v>120</v>
      </c>
      <c r="M3474" s="28" t="n">
        <v>7</v>
      </c>
    </row>
    <row r="3475" customFormat="false" ht="15" hidden="false" customHeight="false" outlineLevel="0" collapsed="false">
      <c r="A3475" s="27" t="n">
        <v>45456</v>
      </c>
      <c r="B3475" s="28" t="n">
        <v>2024</v>
      </c>
      <c r="C3475" s="28" t="s">
        <v>1071</v>
      </c>
      <c r="D3475" s="28" t="s">
        <v>50</v>
      </c>
      <c r="E3475" s="28" t="s">
        <v>193</v>
      </c>
      <c r="F3475" s="28" t="s">
        <v>142</v>
      </c>
      <c r="G3475" s="28" t="s">
        <v>148</v>
      </c>
      <c r="H3475" s="28" t="s">
        <v>621</v>
      </c>
      <c r="I3475" s="29" t="n">
        <v>150000</v>
      </c>
      <c r="J3475" s="29" t="n">
        <v>127500</v>
      </c>
      <c r="K3475" s="28" t="n">
        <v>14.5</v>
      </c>
      <c r="L3475" s="28" t="n">
        <v>120</v>
      </c>
      <c r="M3475" s="28" t="n">
        <v>8</v>
      </c>
    </row>
    <row r="3476" customFormat="false" ht="15" hidden="false" customHeight="false" outlineLevel="0" collapsed="false">
      <c r="A3476" s="27" t="n">
        <v>45456</v>
      </c>
      <c r="B3476" s="28" t="n">
        <v>2024</v>
      </c>
      <c r="C3476" s="28" t="s">
        <v>172</v>
      </c>
      <c r="D3476" s="28" t="s">
        <v>48</v>
      </c>
      <c r="E3476" s="28" t="s">
        <v>736</v>
      </c>
      <c r="F3476" s="28" t="s">
        <v>142</v>
      </c>
      <c r="G3476" s="28" t="s">
        <v>148</v>
      </c>
      <c r="H3476" s="28" t="s">
        <v>953</v>
      </c>
      <c r="I3476" s="29" t="n">
        <v>2500000</v>
      </c>
      <c r="J3476" s="29" t="n">
        <v>1875000</v>
      </c>
      <c r="K3476" s="28" t="n">
        <v>11.5</v>
      </c>
      <c r="L3476" s="28" t="n">
        <v>120</v>
      </c>
      <c r="M3476" s="28" t="n">
        <v>18</v>
      </c>
    </row>
    <row r="3477" customFormat="false" ht="15" hidden="false" customHeight="false" outlineLevel="0" collapsed="false">
      <c r="A3477" s="27" t="n">
        <v>45457</v>
      </c>
      <c r="B3477" s="28" t="n">
        <v>2024</v>
      </c>
      <c r="C3477" s="28" t="s">
        <v>166</v>
      </c>
      <c r="D3477" s="28" t="s">
        <v>43</v>
      </c>
      <c r="E3477" s="28" t="s">
        <v>1005</v>
      </c>
      <c r="F3477" s="28" t="s">
        <v>147</v>
      </c>
      <c r="G3477" s="28" t="s">
        <v>441</v>
      </c>
      <c r="H3477" s="28" t="s">
        <v>168</v>
      </c>
      <c r="I3477" s="29" t="n">
        <v>15000</v>
      </c>
      <c r="J3477" s="29" t="n">
        <v>7500</v>
      </c>
      <c r="K3477" s="28" t="n">
        <v>15</v>
      </c>
      <c r="L3477" s="28" t="n">
        <v>120</v>
      </c>
      <c r="M3477" s="28" t="n">
        <v>0</v>
      </c>
    </row>
    <row r="3478" customFormat="false" ht="15" hidden="false" customHeight="false" outlineLevel="0" collapsed="false">
      <c r="A3478" s="27" t="n">
        <v>45457</v>
      </c>
      <c r="B3478" s="28" t="n">
        <v>2024</v>
      </c>
      <c r="C3478" s="28" t="s">
        <v>160</v>
      </c>
      <c r="D3478" s="28" t="s">
        <v>54</v>
      </c>
      <c r="E3478" s="28" t="s">
        <v>791</v>
      </c>
      <c r="F3478" s="28" t="s">
        <v>142</v>
      </c>
      <c r="G3478" s="28" t="s">
        <v>148</v>
      </c>
      <c r="H3478" s="28" t="s">
        <v>275</v>
      </c>
      <c r="I3478" s="29" t="n">
        <v>50000</v>
      </c>
      <c r="J3478" s="29" t="n">
        <v>42500</v>
      </c>
      <c r="K3478" s="28" t="n">
        <v>15</v>
      </c>
      <c r="L3478" s="28" t="n">
        <v>120</v>
      </c>
      <c r="M3478" s="28" t="n">
        <v>2</v>
      </c>
    </row>
    <row r="3479" customFormat="false" ht="15" hidden="false" customHeight="false" outlineLevel="0" collapsed="false">
      <c r="A3479" s="27" t="n">
        <v>45460</v>
      </c>
      <c r="B3479" s="28" t="n">
        <v>2024</v>
      </c>
      <c r="C3479" s="28" t="s">
        <v>166</v>
      </c>
      <c r="D3479" s="28" t="s">
        <v>43</v>
      </c>
      <c r="E3479" s="28" t="s">
        <v>952</v>
      </c>
      <c r="F3479" s="28" t="s">
        <v>142</v>
      </c>
      <c r="G3479" s="28" t="s">
        <v>143</v>
      </c>
      <c r="H3479" s="28" t="s">
        <v>621</v>
      </c>
      <c r="I3479" s="29" t="n">
        <v>437800</v>
      </c>
      <c r="J3479" s="29" t="n">
        <v>328350</v>
      </c>
      <c r="K3479" s="28" t="n">
        <v>11</v>
      </c>
      <c r="L3479" s="28" t="n">
        <v>126</v>
      </c>
      <c r="M3479" s="28" t="n">
        <v>6</v>
      </c>
    </row>
    <row r="3480" customFormat="false" ht="15" hidden="false" customHeight="false" outlineLevel="0" collapsed="false">
      <c r="A3480" s="27" t="n">
        <v>45460</v>
      </c>
      <c r="B3480" s="28" t="n">
        <v>2024</v>
      </c>
      <c r="C3480" s="28" t="s">
        <v>243</v>
      </c>
      <c r="D3480" s="28" t="s">
        <v>53</v>
      </c>
      <c r="E3480" s="28" t="s">
        <v>383</v>
      </c>
      <c r="F3480" s="28" t="s">
        <v>142</v>
      </c>
      <c r="G3480" s="28" t="s">
        <v>148</v>
      </c>
      <c r="H3480" s="28" t="s">
        <v>275</v>
      </c>
      <c r="I3480" s="29" t="n">
        <v>50000</v>
      </c>
      <c r="J3480" s="29" t="n">
        <v>42500</v>
      </c>
      <c r="K3480" s="28" t="n">
        <v>15</v>
      </c>
      <c r="L3480" s="28" t="n">
        <v>120</v>
      </c>
      <c r="M3480" s="28" t="n">
        <v>2</v>
      </c>
    </row>
    <row r="3481" customFormat="false" ht="15" hidden="false" customHeight="false" outlineLevel="0" collapsed="false">
      <c r="A3481" s="27" t="n">
        <v>45460</v>
      </c>
      <c r="B3481" s="28" t="n">
        <v>2024</v>
      </c>
      <c r="C3481" s="28" t="s">
        <v>738</v>
      </c>
      <c r="D3481" s="28" t="s">
        <v>45</v>
      </c>
      <c r="E3481" s="28" t="s">
        <v>548</v>
      </c>
      <c r="F3481" s="28" t="s">
        <v>142</v>
      </c>
      <c r="G3481" s="28" t="s">
        <v>441</v>
      </c>
      <c r="H3481" s="28" t="s">
        <v>382</v>
      </c>
      <c r="I3481" s="29" t="n">
        <v>570000</v>
      </c>
      <c r="J3481" s="29" t="n">
        <v>427500</v>
      </c>
      <c r="K3481" s="28" t="n">
        <v>11</v>
      </c>
      <c r="L3481" s="28" t="n">
        <v>300</v>
      </c>
      <c r="M3481" s="28" t="n">
        <v>2</v>
      </c>
    </row>
    <row r="3482" customFormat="false" ht="15" hidden="false" customHeight="false" outlineLevel="0" collapsed="false">
      <c r="A3482" s="27" t="n">
        <v>45460</v>
      </c>
      <c r="B3482" s="28" t="n">
        <v>2024</v>
      </c>
      <c r="C3482" s="28" t="s">
        <v>166</v>
      </c>
      <c r="D3482" s="28" t="s">
        <v>48</v>
      </c>
      <c r="E3482" s="28" t="s">
        <v>210</v>
      </c>
      <c r="F3482" s="28" t="s">
        <v>142</v>
      </c>
      <c r="G3482" s="28" t="s">
        <v>148</v>
      </c>
      <c r="H3482" s="28" t="s">
        <v>1072</v>
      </c>
      <c r="I3482" s="29" t="n">
        <v>1000000</v>
      </c>
      <c r="J3482" s="29" t="n">
        <v>750000</v>
      </c>
      <c r="K3482" s="28" t="n">
        <v>7.65</v>
      </c>
      <c r="L3482" s="28" t="n">
        <v>120</v>
      </c>
      <c r="M3482" s="28" t="n">
        <v>10</v>
      </c>
    </row>
    <row r="3483" customFormat="false" ht="15" hidden="false" customHeight="false" outlineLevel="0" collapsed="false">
      <c r="A3483" s="27" t="n">
        <v>45461</v>
      </c>
      <c r="B3483" s="28" t="n">
        <v>2024</v>
      </c>
      <c r="C3483" s="28" t="s">
        <v>172</v>
      </c>
      <c r="D3483" s="28" t="s">
        <v>48</v>
      </c>
      <c r="E3483" s="28" t="s">
        <v>210</v>
      </c>
      <c r="F3483" s="28" t="s">
        <v>142</v>
      </c>
      <c r="G3483" s="28" t="s">
        <v>148</v>
      </c>
      <c r="H3483" s="28" t="s">
        <v>275</v>
      </c>
      <c r="I3483" s="29" t="n">
        <v>30000</v>
      </c>
      <c r="J3483" s="29" t="n">
        <v>25500</v>
      </c>
      <c r="K3483" s="28" t="n">
        <v>13.25</v>
      </c>
      <c r="L3483" s="28" t="n">
        <v>120</v>
      </c>
      <c r="M3483" s="28" t="n">
        <v>0</v>
      </c>
    </row>
    <row r="3484" customFormat="false" ht="15" hidden="false" customHeight="false" outlineLevel="0" collapsed="false">
      <c r="A3484" s="27" t="n">
        <v>45461</v>
      </c>
      <c r="B3484" s="28" t="n">
        <v>2024</v>
      </c>
      <c r="C3484" s="28" t="s">
        <v>235</v>
      </c>
      <c r="D3484" s="28" t="s">
        <v>49</v>
      </c>
      <c r="E3484" s="28" t="s">
        <v>1073</v>
      </c>
      <c r="F3484" s="28" t="s">
        <v>142</v>
      </c>
      <c r="G3484" s="28" t="s">
        <v>148</v>
      </c>
      <c r="H3484" s="28" t="s">
        <v>208</v>
      </c>
      <c r="I3484" s="29" t="n">
        <v>689000</v>
      </c>
      <c r="J3484" s="29" t="n">
        <v>516750</v>
      </c>
      <c r="K3484" s="28" t="n">
        <v>11.25</v>
      </c>
      <c r="L3484" s="28" t="n">
        <v>120</v>
      </c>
      <c r="M3484" s="28" t="n">
        <v>21</v>
      </c>
    </row>
    <row r="3485" customFormat="false" ht="15" hidden="false" customHeight="false" outlineLevel="0" collapsed="false">
      <c r="A3485" s="27" t="n">
        <v>45461</v>
      </c>
      <c r="B3485" s="28" t="n">
        <v>2024</v>
      </c>
      <c r="C3485" s="28" t="s">
        <v>198</v>
      </c>
      <c r="D3485" s="28" t="s">
        <v>46</v>
      </c>
      <c r="E3485" s="28" t="s">
        <v>746</v>
      </c>
      <c r="F3485" s="28" t="s">
        <v>194</v>
      </c>
      <c r="G3485" s="28" t="s">
        <v>148</v>
      </c>
      <c r="H3485" s="28" t="s">
        <v>494</v>
      </c>
      <c r="I3485" s="29" t="n">
        <v>542800</v>
      </c>
      <c r="J3485" s="29" t="n">
        <v>407100</v>
      </c>
      <c r="K3485" s="28" t="n">
        <v>10</v>
      </c>
      <c r="L3485" s="28" t="n">
        <v>300</v>
      </c>
      <c r="M3485" s="28" t="n">
        <v>4</v>
      </c>
    </row>
    <row r="3486" customFormat="false" ht="15" hidden="false" customHeight="false" outlineLevel="0" collapsed="false">
      <c r="A3486" s="27" t="n">
        <v>45463</v>
      </c>
      <c r="B3486" s="28" t="n">
        <v>2024</v>
      </c>
      <c r="C3486" s="28" t="s">
        <v>166</v>
      </c>
      <c r="D3486" s="28" t="s">
        <v>44</v>
      </c>
      <c r="E3486" s="28" t="s">
        <v>751</v>
      </c>
      <c r="F3486" s="28" t="s">
        <v>142</v>
      </c>
      <c r="G3486" s="28" t="s">
        <v>148</v>
      </c>
      <c r="H3486" s="28" t="s">
        <v>275</v>
      </c>
      <c r="I3486" s="29" t="n">
        <v>35000</v>
      </c>
      <c r="J3486" s="29" t="n">
        <v>29750</v>
      </c>
      <c r="K3486" s="28" t="n">
        <v>15</v>
      </c>
      <c r="L3486" s="28" t="n">
        <v>120</v>
      </c>
      <c r="M3486" s="28" t="n">
        <v>3</v>
      </c>
    </row>
    <row r="3487" customFormat="false" ht="15" hidden="false" customHeight="false" outlineLevel="0" collapsed="false">
      <c r="A3487" s="27" t="n">
        <v>45463</v>
      </c>
      <c r="B3487" s="28" t="n">
        <v>2024</v>
      </c>
      <c r="C3487" s="28" t="s">
        <v>145</v>
      </c>
      <c r="D3487" s="28" t="s">
        <v>43</v>
      </c>
      <c r="E3487" s="28" t="s">
        <v>757</v>
      </c>
      <c r="F3487" s="28" t="s">
        <v>147</v>
      </c>
      <c r="G3487" s="28" t="s">
        <v>148</v>
      </c>
      <c r="H3487" s="28" t="s">
        <v>187</v>
      </c>
      <c r="I3487" s="29" t="n">
        <v>500000</v>
      </c>
      <c r="J3487" s="29" t="n">
        <v>250000</v>
      </c>
      <c r="K3487" s="28" t="n">
        <v>11.5</v>
      </c>
      <c r="L3487" s="28" t="n">
        <v>120</v>
      </c>
      <c r="M3487" s="28" t="n">
        <v>34</v>
      </c>
    </row>
    <row r="3488" customFormat="false" ht="15" hidden="false" customHeight="false" outlineLevel="0" collapsed="false">
      <c r="A3488" s="27" t="n">
        <v>45464</v>
      </c>
      <c r="B3488" s="28" t="n">
        <v>2024</v>
      </c>
      <c r="C3488" s="28" t="s">
        <v>169</v>
      </c>
      <c r="D3488" s="28" t="s">
        <v>48</v>
      </c>
      <c r="E3488" s="28" t="s">
        <v>1074</v>
      </c>
      <c r="F3488" s="28" t="s">
        <v>142</v>
      </c>
      <c r="G3488" s="28" t="s">
        <v>148</v>
      </c>
      <c r="H3488" s="28" t="s">
        <v>162</v>
      </c>
      <c r="I3488" s="29" t="n">
        <v>663000</v>
      </c>
      <c r="J3488" s="29" t="n">
        <v>497250</v>
      </c>
      <c r="K3488" s="28" t="n">
        <v>6.5</v>
      </c>
      <c r="L3488" s="28" t="n">
        <v>300</v>
      </c>
      <c r="M3488" s="28" t="n">
        <v>50</v>
      </c>
    </row>
    <row r="3489" customFormat="false" ht="15" hidden="false" customHeight="false" outlineLevel="0" collapsed="false">
      <c r="A3489" s="27" t="n">
        <v>45464</v>
      </c>
      <c r="B3489" s="28" t="n">
        <v>2024</v>
      </c>
      <c r="C3489" s="28" t="s">
        <v>166</v>
      </c>
      <c r="D3489" s="28" t="s">
        <v>48</v>
      </c>
      <c r="E3489" s="28" t="s">
        <v>304</v>
      </c>
      <c r="F3489" s="28" t="s">
        <v>142</v>
      </c>
      <c r="G3489" s="28" t="s">
        <v>148</v>
      </c>
      <c r="H3489" s="28" t="s">
        <v>579</v>
      </c>
      <c r="I3489" s="29" t="n">
        <v>150000</v>
      </c>
      <c r="J3489" s="29" t="n">
        <v>127500</v>
      </c>
      <c r="K3489" s="28" t="n">
        <v>11.5</v>
      </c>
      <c r="L3489" s="28" t="n">
        <v>120</v>
      </c>
      <c r="M3489" s="28" t="n">
        <v>5</v>
      </c>
    </row>
    <row r="3490" customFormat="false" ht="15" hidden="false" customHeight="false" outlineLevel="0" collapsed="false">
      <c r="A3490" s="27" t="n">
        <v>45465</v>
      </c>
      <c r="B3490" s="28" t="n">
        <v>2024</v>
      </c>
      <c r="C3490" s="28" t="s">
        <v>169</v>
      </c>
      <c r="D3490" s="28" t="s">
        <v>44</v>
      </c>
      <c r="E3490" s="28" t="s">
        <v>730</v>
      </c>
      <c r="F3490" s="28" t="s">
        <v>142</v>
      </c>
      <c r="G3490" s="28" t="s">
        <v>143</v>
      </c>
      <c r="H3490" s="28" t="s">
        <v>1075</v>
      </c>
      <c r="I3490" s="29" t="n">
        <v>460400</v>
      </c>
      <c r="J3490" s="29" t="n">
        <v>345300</v>
      </c>
      <c r="K3490" s="28" t="n">
        <v>11.25</v>
      </c>
      <c r="L3490" s="28" t="n">
        <v>120</v>
      </c>
      <c r="M3490" s="28" t="n">
        <v>34</v>
      </c>
    </row>
    <row r="3491" customFormat="false" ht="15" hidden="false" customHeight="false" outlineLevel="0" collapsed="false">
      <c r="A3491" s="27" t="n">
        <v>45467</v>
      </c>
      <c r="B3491" s="28" t="n">
        <v>2024</v>
      </c>
      <c r="C3491" s="28" t="s">
        <v>172</v>
      </c>
      <c r="D3491" s="28" t="s">
        <v>57</v>
      </c>
      <c r="E3491" s="28" t="s">
        <v>474</v>
      </c>
      <c r="F3491" s="28" t="s">
        <v>142</v>
      </c>
      <c r="G3491" s="28" t="s">
        <v>148</v>
      </c>
      <c r="H3491" s="28" t="s">
        <v>431</v>
      </c>
      <c r="I3491" s="29" t="n">
        <v>495000</v>
      </c>
      <c r="J3491" s="29" t="n">
        <v>371250</v>
      </c>
      <c r="K3491" s="28" t="n">
        <v>11.25</v>
      </c>
      <c r="L3491" s="28" t="n">
        <v>120</v>
      </c>
      <c r="M3491" s="28" t="n">
        <v>15</v>
      </c>
    </row>
    <row r="3492" customFormat="false" ht="15" hidden="false" customHeight="false" outlineLevel="0" collapsed="false">
      <c r="A3492" s="27" t="n">
        <v>45467</v>
      </c>
      <c r="B3492" s="28" t="n">
        <v>2024</v>
      </c>
      <c r="C3492" s="28" t="s">
        <v>423</v>
      </c>
      <c r="D3492" s="28" t="s">
        <v>52</v>
      </c>
      <c r="E3492" s="28" t="s">
        <v>720</v>
      </c>
      <c r="F3492" s="28" t="s">
        <v>142</v>
      </c>
      <c r="G3492" s="28" t="s">
        <v>148</v>
      </c>
      <c r="H3492" s="28" t="s">
        <v>208</v>
      </c>
      <c r="I3492" s="29" t="n">
        <v>500000</v>
      </c>
      <c r="J3492" s="29" t="n">
        <v>375000</v>
      </c>
      <c r="K3492" s="28" t="n">
        <v>11.25</v>
      </c>
      <c r="L3492" s="28" t="n">
        <v>120</v>
      </c>
      <c r="M3492" s="28" t="n">
        <v>36</v>
      </c>
    </row>
    <row r="3493" customFormat="false" ht="15" hidden="false" customHeight="false" outlineLevel="0" collapsed="false">
      <c r="A3493" s="27" t="n">
        <v>45467</v>
      </c>
      <c r="B3493" s="28" t="n">
        <v>2024</v>
      </c>
      <c r="C3493" s="28" t="s">
        <v>206</v>
      </c>
      <c r="D3493" s="28" t="s">
        <v>46</v>
      </c>
      <c r="E3493" s="28" t="s">
        <v>813</v>
      </c>
      <c r="F3493" s="28" t="s">
        <v>142</v>
      </c>
      <c r="G3493" s="28" t="s">
        <v>148</v>
      </c>
      <c r="H3493" s="28" t="s">
        <v>953</v>
      </c>
      <c r="I3493" s="29" t="n">
        <v>500000</v>
      </c>
      <c r="J3493" s="29" t="n">
        <v>375000</v>
      </c>
      <c r="K3493" s="28" t="n">
        <v>11.5</v>
      </c>
      <c r="L3493" s="28" t="n">
        <v>120</v>
      </c>
      <c r="M3493" s="28" t="n">
        <v>10</v>
      </c>
    </row>
    <row r="3494" customFormat="false" ht="15" hidden="false" customHeight="false" outlineLevel="0" collapsed="false">
      <c r="A3494" s="27" t="n">
        <v>45467</v>
      </c>
      <c r="B3494" s="28" t="n">
        <v>2024</v>
      </c>
      <c r="C3494" s="28" t="s">
        <v>160</v>
      </c>
      <c r="D3494" s="28" t="s">
        <v>44</v>
      </c>
      <c r="E3494" s="28" t="s">
        <v>167</v>
      </c>
      <c r="F3494" s="28" t="s">
        <v>142</v>
      </c>
      <c r="G3494" s="28" t="s">
        <v>143</v>
      </c>
      <c r="H3494" s="28" t="s">
        <v>621</v>
      </c>
      <c r="I3494" s="29" t="n">
        <v>316000</v>
      </c>
      <c r="J3494" s="29" t="n">
        <v>237000</v>
      </c>
      <c r="K3494" s="28" t="n">
        <v>11.25</v>
      </c>
      <c r="L3494" s="28" t="n">
        <v>120</v>
      </c>
      <c r="M3494" s="28" t="n">
        <v>6</v>
      </c>
    </row>
    <row r="3495" customFormat="false" ht="15" hidden="false" customHeight="false" outlineLevel="0" collapsed="false">
      <c r="A3495" s="27" t="n">
        <v>45467</v>
      </c>
      <c r="B3495" s="28" t="n">
        <v>2024</v>
      </c>
      <c r="C3495" s="28" t="s">
        <v>312</v>
      </c>
      <c r="D3495" s="28" t="s">
        <v>42</v>
      </c>
      <c r="E3495" s="28" t="s">
        <v>753</v>
      </c>
      <c r="F3495" s="28" t="s">
        <v>142</v>
      </c>
      <c r="G3495" s="28" t="s">
        <v>152</v>
      </c>
      <c r="H3495" s="28" t="s">
        <v>314</v>
      </c>
      <c r="I3495" s="29" t="n">
        <v>719000</v>
      </c>
      <c r="J3495" s="29" t="n">
        <v>539250</v>
      </c>
      <c r="K3495" s="28" t="n">
        <v>10.5</v>
      </c>
      <c r="L3495" s="28" t="n">
        <v>120</v>
      </c>
      <c r="M3495" s="28" t="n">
        <v>62</v>
      </c>
    </row>
    <row r="3496" customFormat="false" ht="15" hidden="false" customHeight="false" outlineLevel="0" collapsed="false">
      <c r="A3496" s="27" t="n">
        <v>45468</v>
      </c>
      <c r="B3496" s="28" t="n">
        <v>2024</v>
      </c>
      <c r="C3496" s="28" t="s">
        <v>203</v>
      </c>
      <c r="D3496" s="28" t="s">
        <v>42</v>
      </c>
      <c r="E3496" s="28" t="s">
        <v>705</v>
      </c>
      <c r="F3496" s="28" t="s">
        <v>142</v>
      </c>
      <c r="G3496" s="28" t="s">
        <v>152</v>
      </c>
      <c r="H3496" s="28" t="s">
        <v>149</v>
      </c>
      <c r="I3496" s="29" t="n">
        <v>2715000</v>
      </c>
      <c r="J3496" s="29" t="n">
        <v>2036250</v>
      </c>
      <c r="K3496" s="28" t="n">
        <v>9.75</v>
      </c>
      <c r="L3496" s="28" t="n">
        <v>300</v>
      </c>
      <c r="M3496" s="28" t="n">
        <v>9</v>
      </c>
    </row>
    <row r="3497" customFormat="false" ht="15" hidden="false" customHeight="false" outlineLevel="0" collapsed="false">
      <c r="A3497" s="27" t="n">
        <v>45468</v>
      </c>
      <c r="B3497" s="28" t="n">
        <v>2024</v>
      </c>
      <c r="C3497" s="28" t="s">
        <v>172</v>
      </c>
      <c r="D3497" s="28" t="s">
        <v>42</v>
      </c>
      <c r="E3497" s="28" t="s">
        <v>717</v>
      </c>
      <c r="F3497" s="28" t="s">
        <v>142</v>
      </c>
      <c r="G3497" s="28" t="s">
        <v>441</v>
      </c>
      <c r="H3497" s="28" t="s">
        <v>159</v>
      </c>
      <c r="I3497" s="29" t="n">
        <v>400000</v>
      </c>
      <c r="J3497" s="29" t="n">
        <v>300000</v>
      </c>
      <c r="K3497" s="28" t="n">
        <v>11.25</v>
      </c>
      <c r="L3497" s="28" t="n">
        <v>120</v>
      </c>
      <c r="M3497" s="28" t="n">
        <v>19</v>
      </c>
    </row>
    <row r="3498" customFormat="false" ht="15" hidden="false" customHeight="false" outlineLevel="0" collapsed="false">
      <c r="A3498" s="27" t="n">
        <v>45468</v>
      </c>
      <c r="B3498" s="28" t="n">
        <v>2024</v>
      </c>
      <c r="C3498" s="28" t="s">
        <v>169</v>
      </c>
      <c r="D3498" s="28" t="s">
        <v>48</v>
      </c>
      <c r="E3498" s="28" t="s">
        <v>362</v>
      </c>
      <c r="F3498" s="28" t="s">
        <v>147</v>
      </c>
      <c r="G3498" s="28" t="s">
        <v>148</v>
      </c>
      <c r="H3498" s="28" t="s">
        <v>159</v>
      </c>
      <c r="I3498" s="29" t="n">
        <v>240000</v>
      </c>
      <c r="J3498" s="29" t="n">
        <v>120000</v>
      </c>
      <c r="K3498" s="28" t="n">
        <v>11</v>
      </c>
      <c r="L3498" s="28" t="n">
        <v>120</v>
      </c>
      <c r="M3498" s="28" t="n">
        <v>13</v>
      </c>
    </row>
    <row r="3499" customFormat="false" ht="15" hidden="false" customHeight="false" outlineLevel="0" collapsed="false">
      <c r="A3499" s="27" t="n">
        <v>45469</v>
      </c>
      <c r="B3499" s="28" t="n">
        <v>2024</v>
      </c>
      <c r="C3499" s="28" t="s">
        <v>198</v>
      </c>
      <c r="D3499" s="28" t="s">
        <v>46</v>
      </c>
      <c r="E3499" s="28" t="s">
        <v>746</v>
      </c>
      <c r="F3499" s="28" t="s">
        <v>147</v>
      </c>
      <c r="G3499" s="28" t="s">
        <v>148</v>
      </c>
      <c r="H3499" s="28" t="s">
        <v>494</v>
      </c>
      <c r="I3499" s="29" t="n">
        <v>30000</v>
      </c>
      <c r="J3499" s="29" t="n">
        <v>15000</v>
      </c>
      <c r="K3499" s="28" t="n">
        <v>11.25</v>
      </c>
      <c r="L3499" s="28" t="n">
        <v>120</v>
      </c>
      <c r="M3499" s="28" t="n">
        <v>4</v>
      </c>
    </row>
    <row r="3500" customFormat="false" ht="15" hidden="false" customHeight="false" outlineLevel="0" collapsed="false">
      <c r="A3500" s="27" t="n">
        <v>45469</v>
      </c>
      <c r="B3500" s="28" t="n">
        <v>2024</v>
      </c>
      <c r="C3500" s="28" t="s">
        <v>172</v>
      </c>
      <c r="D3500" s="28" t="s">
        <v>42</v>
      </c>
      <c r="E3500" s="28" t="s">
        <v>717</v>
      </c>
      <c r="F3500" s="28" t="s">
        <v>147</v>
      </c>
      <c r="G3500" s="28" t="s">
        <v>441</v>
      </c>
      <c r="H3500" s="28" t="s">
        <v>159</v>
      </c>
      <c r="I3500" s="29" t="n">
        <v>25000</v>
      </c>
      <c r="J3500" s="29" t="n">
        <v>12500</v>
      </c>
      <c r="K3500" s="28" t="n">
        <v>10.75</v>
      </c>
      <c r="L3500" s="28" t="n">
        <v>120</v>
      </c>
      <c r="M3500" s="28" t="n">
        <v>19</v>
      </c>
    </row>
    <row r="3501" customFormat="false" ht="15" hidden="false" customHeight="false" outlineLevel="0" collapsed="false">
      <c r="A3501" s="27" t="n">
        <v>45469</v>
      </c>
      <c r="B3501" s="28" t="n">
        <v>2024</v>
      </c>
      <c r="C3501" s="28" t="s">
        <v>198</v>
      </c>
      <c r="D3501" s="28" t="s">
        <v>42</v>
      </c>
      <c r="E3501" s="28" t="s">
        <v>176</v>
      </c>
      <c r="F3501" s="28" t="s">
        <v>142</v>
      </c>
      <c r="G3501" s="28" t="s">
        <v>143</v>
      </c>
      <c r="H3501" s="28" t="s">
        <v>159</v>
      </c>
      <c r="I3501" s="29" t="n">
        <v>85000</v>
      </c>
      <c r="J3501" s="29" t="n">
        <v>72250</v>
      </c>
      <c r="K3501" s="28" t="n">
        <v>10.5</v>
      </c>
      <c r="L3501" s="28" t="n">
        <v>60</v>
      </c>
      <c r="M3501" s="28" t="n">
        <v>2</v>
      </c>
    </row>
    <row r="3502" customFormat="false" ht="15" hidden="false" customHeight="false" outlineLevel="0" collapsed="false">
      <c r="A3502" s="27" t="n">
        <v>45469</v>
      </c>
      <c r="B3502" s="28" t="n">
        <v>2024</v>
      </c>
      <c r="C3502" s="28" t="s">
        <v>172</v>
      </c>
      <c r="D3502" s="28" t="s">
        <v>51</v>
      </c>
      <c r="E3502" s="28" t="s">
        <v>492</v>
      </c>
      <c r="F3502" s="28" t="s">
        <v>142</v>
      </c>
      <c r="G3502" s="28" t="s">
        <v>441</v>
      </c>
      <c r="H3502" s="28" t="s">
        <v>287</v>
      </c>
      <c r="I3502" s="29" t="n">
        <v>900000</v>
      </c>
      <c r="J3502" s="29" t="n">
        <v>675000</v>
      </c>
      <c r="K3502" s="28" t="n">
        <v>11.25</v>
      </c>
      <c r="L3502" s="28" t="n">
        <v>120</v>
      </c>
      <c r="M3502" s="28" t="n">
        <v>40</v>
      </c>
    </row>
    <row r="3503" customFormat="false" ht="15" hidden="false" customHeight="false" outlineLevel="0" collapsed="false">
      <c r="A3503" s="27" t="n">
        <v>45469</v>
      </c>
      <c r="B3503" s="28" t="n">
        <v>2024</v>
      </c>
      <c r="C3503" s="28" t="s">
        <v>357</v>
      </c>
      <c r="D3503" s="28" t="s">
        <v>50</v>
      </c>
      <c r="E3503" s="28" t="s">
        <v>711</v>
      </c>
      <c r="F3503" s="28" t="s">
        <v>142</v>
      </c>
      <c r="G3503" s="28" t="s">
        <v>148</v>
      </c>
      <c r="H3503" s="28" t="s">
        <v>171</v>
      </c>
      <c r="I3503" s="29" t="n">
        <v>150000</v>
      </c>
      <c r="J3503" s="29" t="n">
        <v>127500</v>
      </c>
      <c r="K3503" s="28" t="n">
        <v>13.25</v>
      </c>
      <c r="L3503" s="28" t="n">
        <v>120</v>
      </c>
      <c r="M3503" s="28" t="n">
        <v>2</v>
      </c>
    </row>
    <row r="3504" customFormat="false" ht="15" hidden="false" customHeight="false" outlineLevel="0" collapsed="false">
      <c r="A3504" s="27" t="n">
        <v>45469</v>
      </c>
      <c r="B3504" s="28" t="n">
        <v>2024</v>
      </c>
      <c r="C3504" s="28" t="s">
        <v>172</v>
      </c>
      <c r="D3504" s="28" t="s">
        <v>46</v>
      </c>
      <c r="E3504" s="28" t="s">
        <v>770</v>
      </c>
      <c r="F3504" s="28" t="s">
        <v>147</v>
      </c>
      <c r="G3504" s="28" t="s">
        <v>148</v>
      </c>
      <c r="H3504" s="28" t="s">
        <v>205</v>
      </c>
      <c r="I3504" s="29" t="n">
        <v>55600</v>
      </c>
      <c r="J3504" s="29" t="n">
        <v>27800</v>
      </c>
      <c r="K3504" s="28" t="n">
        <v>11.5</v>
      </c>
      <c r="L3504" s="28" t="n">
        <v>120</v>
      </c>
      <c r="M3504" s="28" t="n">
        <v>0</v>
      </c>
    </row>
    <row r="3505" customFormat="false" ht="15" hidden="false" customHeight="false" outlineLevel="0" collapsed="false">
      <c r="A3505" s="27" t="n">
        <v>45469</v>
      </c>
      <c r="B3505" s="28" t="n">
        <v>2024</v>
      </c>
      <c r="C3505" s="28" t="s">
        <v>198</v>
      </c>
      <c r="D3505" s="28" t="s">
        <v>42</v>
      </c>
      <c r="E3505" s="28" t="s">
        <v>176</v>
      </c>
      <c r="F3505" s="28" t="s">
        <v>147</v>
      </c>
      <c r="G3505" s="28" t="s">
        <v>143</v>
      </c>
      <c r="H3505" s="28" t="s">
        <v>159</v>
      </c>
      <c r="I3505" s="29" t="n">
        <v>10000</v>
      </c>
      <c r="J3505" s="29" t="n">
        <v>5000</v>
      </c>
      <c r="K3505" s="28" t="n">
        <v>15</v>
      </c>
      <c r="L3505" s="28" t="n">
        <v>120</v>
      </c>
      <c r="M3505" s="28" t="n">
        <v>2</v>
      </c>
    </row>
    <row r="3506" customFormat="false" ht="15" hidden="false" customHeight="false" outlineLevel="0" collapsed="false">
      <c r="A3506" s="27" t="n">
        <v>45470</v>
      </c>
      <c r="B3506" s="28" t="n">
        <v>2024</v>
      </c>
      <c r="C3506" s="28" t="s">
        <v>145</v>
      </c>
      <c r="D3506" s="28" t="s">
        <v>43</v>
      </c>
      <c r="E3506" s="28" t="s">
        <v>749</v>
      </c>
      <c r="F3506" s="28" t="s">
        <v>142</v>
      </c>
      <c r="G3506" s="28" t="s">
        <v>148</v>
      </c>
      <c r="H3506" s="28" t="s">
        <v>388</v>
      </c>
      <c r="I3506" s="29" t="n">
        <v>4667000</v>
      </c>
      <c r="J3506" s="29" t="n">
        <v>3500250</v>
      </c>
      <c r="K3506" s="28" t="n">
        <v>11.25</v>
      </c>
      <c r="L3506" s="28" t="n">
        <v>120</v>
      </c>
      <c r="M3506" s="28" t="n">
        <v>11</v>
      </c>
    </row>
    <row r="3507" customFormat="false" ht="15" hidden="false" customHeight="false" outlineLevel="0" collapsed="false">
      <c r="A3507" s="27" t="n">
        <v>45470</v>
      </c>
      <c r="B3507" s="28" t="n">
        <v>2024</v>
      </c>
      <c r="C3507" s="28" t="s">
        <v>160</v>
      </c>
      <c r="D3507" s="28" t="s">
        <v>52</v>
      </c>
      <c r="E3507" s="28" t="s">
        <v>599</v>
      </c>
      <c r="F3507" s="28" t="s">
        <v>142</v>
      </c>
      <c r="G3507" s="28" t="s">
        <v>441</v>
      </c>
      <c r="H3507" s="28" t="s">
        <v>159</v>
      </c>
      <c r="I3507" s="29" t="n">
        <v>32300</v>
      </c>
      <c r="J3507" s="29" t="n">
        <v>27455</v>
      </c>
      <c r="K3507" s="28" t="n">
        <v>10.75</v>
      </c>
      <c r="L3507" s="28" t="n">
        <v>60</v>
      </c>
      <c r="M3507" s="28" t="n">
        <v>2</v>
      </c>
    </row>
    <row r="3508" customFormat="false" ht="15" hidden="false" customHeight="false" outlineLevel="0" collapsed="false">
      <c r="A3508" s="27" t="n">
        <v>45471</v>
      </c>
      <c r="B3508" s="28" t="n">
        <v>2024</v>
      </c>
      <c r="C3508" s="28" t="s">
        <v>160</v>
      </c>
      <c r="D3508" s="28" t="s">
        <v>43</v>
      </c>
      <c r="E3508" s="28" t="s">
        <v>816</v>
      </c>
      <c r="F3508" s="28" t="s">
        <v>142</v>
      </c>
      <c r="G3508" s="28" t="s">
        <v>143</v>
      </c>
      <c r="H3508" s="28" t="s">
        <v>211</v>
      </c>
      <c r="I3508" s="29" t="n">
        <v>1202000</v>
      </c>
      <c r="J3508" s="29" t="n">
        <v>901500</v>
      </c>
      <c r="K3508" s="28" t="n">
        <v>11</v>
      </c>
      <c r="L3508" s="28" t="n">
        <v>128</v>
      </c>
      <c r="M3508" s="28" t="n">
        <v>42</v>
      </c>
    </row>
    <row r="3509" customFormat="false" ht="15" hidden="false" customHeight="false" outlineLevel="0" collapsed="false">
      <c r="A3509" s="27" t="n">
        <v>45474</v>
      </c>
      <c r="B3509" s="28" t="n">
        <v>2024</v>
      </c>
      <c r="C3509" s="28" t="s">
        <v>145</v>
      </c>
      <c r="D3509" s="28" t="s">
        <v>51</v>
      </c>
      <c r="E3509" s="28" t="s">
        <v>800</v>
      </c>
      <c r="F3509" s="28" t="s">
        <v>147</v>
      </c>
      <c r="G3509" s="28" t="s">
        <v>441</v>
      </c>
      <c r="H3509" s="28" t="s">
        <v>205</v>
      </c>
      <c r="I3509" s="29" t="n">
        <v>20000</v>
      </c>
      <c r="J3509" s="29" t="n">
        <v>10000</v>
      </c>
      <c r="K3509" s="28" t="n">
        <v>11.5</v>
      </c>
      <c r="L3509" s="28" t="n">
        <v>120</v>
      </c>
      <c r="M3509" s="28" t="n">
        <v>2</v>
      </c>
    </row>
    <row r="3510" customFormat="false" ht="15" hidden="false" customHeight="false" outlineLevel="0" collapsed="false">
      <c r="A3510" s="27" t="n">
        <v>45474</v>
      </c>
      <c r="B3510" s="28" t="n">
        <v>2024</v>
      </c>
      <c r="C3510" s="28" t="s">
        <v>166</v>
      </c>
      <c r="D3510" s="28" t="s">
        <v>48</v>
      </c>
      <c r="E3510" s="28" t="s">
        <v>277</v>
      </c>
      <c r="F3510" s="28" t="s">
        <v>147</v>
      </c>
      <c r="G3510" s="28" t="s">
        <v>441</v>
      </c>
      <c r="H3510" s="28" t="s">
        <v>191</v>
      </c>
      <c r="I3510" s="29" t="n">
        <v>20000</v>
      </c>
      <c r="J3510" s="29" t="n">
        <v>10000</v>
      </c>
      <c r="K3510" s="28" t="n">
        <v>12.4</v>
      </c>
      <c r="L3510" s="28" t="n">
        <v>120</v>
      </c>
      <c r="M3510" s="28" t="n">
        <v>0</v>
      </c>
    </row>
    <row r="3511" customFormat="false" ht="15" hidden="false" customHeight="false" outlineLevel="0" collapsed="false">
      <c r="A3511" s="27" t="n">
        <v>45475</v>
      </c>
      <c r="B3511" s="28" t="n">
        <v>2024</v>
      </c>
      <c r="C3511" s="28" t="s">
        <v>172</v>
      </c>
      <c r="D3511" s="28" t="s">
        <v>44</v>
      </c>
      <c r="E3511" s="28" t="s">
        <v>167</v>
      </c>
      <c r="F3511" s="28" t="s">
        <v>147</v>
      </c>
      <c r="G3511" s="28" t="s">
        <v>148</v>
      </c>
      <c r="H3511" s="28" t="s">
        <v>667</v>
      </c>
      <c r="I3511" s="29" t="n">
        <v>77000</v>
      </c>
      <c r="J3511" s="29" t="n">
        <v>38500</v>
      </c>
      <c r="K3511" s="28" t="n">
        <v>11.74</v>
      </c>
      <c r="L3511" s="28" t="n">
        <v>120</v>
      </c>
      <c r="M3511" s="28" t="n">
        <v>2</v>
      </c>
    </row>
    <row r="3512" customFormat="false" ht="15" hidden="false" customHeight="false" outlineLevel="0" collapsed="false">
      <c r="A3512" s="27" t="n">
        <v>45475</v>
      </c>
      <c r="B3512" s="28" t="n">
        <v>2024</v>
      </c>
      <c r="C3512" s="28" t="s">
        <v>216</v>
      </c>
      <c r="D3512" s="28" t="s">
        <v>52</v>
      </c>
      <c r="E3512" s="28" t="s">
        <v>599</v>
      </c>
      <c r="F3512" s="28" t="s">
        <v>142</v>
      </c>
      <c r="G3512" s="28" t="s">
        <v>152</v>
      </c>
      <c r="H3512" s="28" t="s">
        <v>1076</v>
      </c>
      <c r="I3512" s="29" t="n">
        <v>648000</v>
      </c>
      <c r="J3512" s="29" t="n">
        <v>486000</v>
      </c>
      <c r="K3512" s="28" t="n">
        <v>11.25</v>
      </c>
      <c r="L3512" s="28" t="n">
        <v>120</v>
      </c>
      <c r="M3512" s="28" t="n">
        <v>9</v>
      </c>
    </row>
    <row r="3513" customFormat="false" ht="15" hidden="false" customHeight="false" outlineLevel="0" collapsed="false">
      <c r="A3513" s="27" t="n">
        <v>45475</v>
      </c>
      <c r="B3513" s="28" t="n">
        <v>2024</v>
      </c>
      <c r="C3513" s="28" t="s">
        <v>160</v>
      </c>
      <c r="D3513" s="28" t="s">
        <v>43</v>
      </c>
      <c r="E3513" s="28" t="s">
        <v>972</v>
      </c>
      <c r="F3513" s="28" t="s">
        <v>142</v>
      </c>
      <c r="G3513" s="28" t="s">
        <v>441</v>
      </c>
      <c r="H3513" s="28" t="s">
        <v>275</v>
      </c>
      <c r="I3513" s="29" t="n">
        <v>105000</v>
      </c>
      <c r="J3513" s="29" t="n">
        <v>89250</v>
      </c>
      <c r="K3513" s="28" t="n">
        <v>11.25</v>
      </c>
      <c r="L3513" s="28" t="n">
        <v>120</v>
      </c>
      <c r="M3513" s="28" t="n">
        <v>2</v>
      </c>
    </row>
    <row r="3514" customFormat="false" ht="15" hidden="false" customHeight="false" outlineLevel="0" collapsed="false">
      <c r="A3514" s="27" t="n">
        <v>45475</v>
      </c>
      <c r="B3514" s="28" t="n">
        <v>2024</v>
      </c>
      <c r="C3514" s="28" t="s">
        <v>172</v>
      </c>
      <c r="D3514" s="28" t="s">
        <v>46</v>
      </c>
      <c r="E3514" s="28" t="s">
        <v>770</v>
      </c>
      <c r="F3514" s="28" t="s">
        <v>142</v>
      </c>
      <c r="G3514" s="28" t="s">
        <v>148</v>
      </c>
      <c r="H3514" s="28" t="s">
        <v>278</v>
      </c>
      <c r="I3514" s="29" t="n">
        <v>200000</v>
      </c>
      <c r="J3514" s="29" t="n">
        <v>150000</v>
      </c>
      <c r="K3514" s="28" t="n">
        <v>11.25</v>
      </c>
      <c r="L3514" s="28" t="n">
        <v>120</v>
      </c>
      <c r="M3514" s="28" t="n">
        <v>11</v>
      </c>
    </row>
    <row r="3515" customFormat="false" ht="15" hidden="false" customHeight="false" outlineLevel="0" collapsed="false">
      <c r="A3515" s="27" t="n">
        <v>45475</v>
      </c>
      <c r="B3515" s="28" t="n">
        <v>2024</v>
      </c>
      <c r="C3515" s="28" t="s">
        <v>140</v>
      </c>
      <c r="D3515" s="28" t="s">
        <v>45</v>
      </c>
      <c r="E3515" s="28" t="s">
        <v>1077</v>
      </c>
      <c r="F3515" s="28" t="s">
        <v>142</v>
      </c>
      <c r="G3515" s="28" t="s">
        <v>148</v>
      </c>
      <c r="H3515" s="28" t="s">
        <v>275</v>
      </c>
      <c r="I3515" s="29" t="n">
        <v>25000</v>
      </c>
      <c r="J3515" s="29" t="n">
        <v>21250</v>
      </c>
      <c r="K3515" s="28" t="n">
        <v>15</v>
      </c>
      <c r="L3515" s="28" t="n">
        <v>120</v>
      </c>
      <c r="M3515" s="28" t="n">
        <v>6</v>
      </c>
    </row>
    <row r="3516" customFormat="false" ht="15" hidden="false" customHeight="false" outlineLevel="0" collapsed="false">
      <c r="A3516" s="27" t="n">
        <v>45475</v>
      </c>
      <c r="B3516" s="28" t="n">
        <v>2024</v>
      </c>
      <c r="C3516" s="28" t="s">
        <v>163</v>
      </c>
      <c r="D3516" s="28" t="s">
        <v>42</v>
      </c>
      <c r="E3516" s="28" t="s">
        <v>753</v>
      </c>
      <c r="F3516" s="28" t="s">
        <v>142</v>
      </c>
      <c r="G3516" s="28" t="s">
        <v>143</v>
      </c>
      <c r="H3516" s="28" t="s">
        <v>229</v>
      </c>
      <c r="I3516" s="29" t="n">
        <v>272000</v>
      </c>
      <c r="J3516" s="29" t="n">
        <v>204000</v>
      </c>
      <c r="K3516" s="28" t="n">
        <v>11.25</v>
      </c>
      <c r="L3516" s="28" t="n">
        <v>120</v>
      </c>
      <c r="M3516" s="28" t="n">
        <v>20</v>
      </c>
    </row>
    <row r="3517" customFormat="false" ht="15" hidden="false" customHeight="false" outlineLevel="0" collapsed="false">
      <c r="A3517" s="27" t="n">
        <v>45476</v>
      </c>
      <c r="B3517" s="28" t="n">
        <v>2024</v>
      </c>
      <c r="C3517" s="28" t="s">
        <v>353</v>
      </c>
      <c r="D3517" s="28" t="s">
        <v>42</v>
      </c>
      <c r="E3517" s="28" t="s">
        <v>753</v>
      </c>
      <c r="F3517" s="28" t="s">
        <v>142</v>
      </c>
      <c r="G3517" s="28" t="s">
        <v>143</v>
      </c>
      <c r="H3517" s="28" t="s">
        <v>382</v>
      </c>
      <c r="I3517" s="29" t="n">
        <v>500000</v>
      </c>
      <c r="J3517" s="29" t="n">
        <v>375000</v>
      </c>
      <c r="K3517" s="28" t="n">
        <v>10.75</v>
      </c>
      <c r="L3517" s="28" t="n">
        <v>126</v>
      </c>
      <c r="M3517" s="28" t="n">
        <v>17</v>
      </c>
    </row>
    <row r="3518" customFormat="false" ht="15" hidden="false" customHeight="false" outlineLevel="0" collapsed="false">
      <c r="A3518" s="27" t="n">
        <v>45476</v>
      </c>
      <c r="B3518" s="28" t="n">
        <v>2024</v>
      </c>
      <c r="C3518" s="28" t="s">
        <v>172</v>
      </c>
      <c r="D3518" s="28" t="s">
        <v>48</v>
      </c>
      <c r="E3518" s="28" t="s">
        <v>342</v>
      </c>
      <c r="F3518" s="28" t="s">
        <v>142</v>
      </c>
      <c r="G3518" s="28" t="s">
        <v>441</v>
      </c>
      <c r="H3518" s="28" t="s">
        <v>771</v>
      </c>
      <c r="I3518" s="29" t="n">
        <v>50000</v>
      </c>
      <c r="J3518" s="29" t="n">
        <v>42500</v>
      </c>
      <c r="K3518" s="28" t="n">
        <v>11.25</v>
      </c>
      <c r="L3518" s="28" t="n">
        <v>120</v>
      </c>
      <c r="M3518" s="28" t="n">
        <v>3</v>
      </c>
    </row>
    <row r="3519" customFormat="false" ht="15" hidden="false" customHeight="false" outlineLevel="0" collapsed="false">
      <c r="A3519" s="27" t="n">
        <v>45476</v>
      </c>
      <c r="B3519" s="28" t="n">
        <v>2024</v>
      </c>
      <c r="C3519" s="28" t="s">
        <v>140</v>
      </c>
      <c r="D3519" s="28" t="s">
        <v>44</v>
      </c>
      <c r="E3519" s="28" t="s">
        <v>755</v>
      </c>
      <c r="F3519" s="28" t="s">
        <v>194</v>
      </c>
      <c r="G3519" s="28" t="s">
        <v>148</v>
      </c>
      <c r="H3519" s="28" t="s">
        <v>950</v>
      </c>
      <c r="I3519" s="29" t="n">
        <v>150000</v>
      </c>
      <c r="J3519" s="29" t="n">
        <v>127500</v>
      </c>
      <c r="K3519" s="28" t="n">
        <v>12.25</v>
      </c>
      <c r="L3519" s="28" t="n">
        <v>120</v>
      </c>
      <c r="M3519" s="28" t="n">
        <v>12</v>
      </c>
    </row>
    <row r="3520" customFormat="false" ht="15" hidden="false" customHeight="false" outlineLevel="0" collapsed="false">
      <c r="A3520" s="27" t="n">
        <v>45478</v>
      </c>
      <c r="B3520" s="28" t="n">
        <v>2024</v>
      </c>
      <c r="C3520" s="28" t="s">
        <v>500</v>
      </c>
      <c r="D3520" s="28" t="s">
        <v>50</v>
      </c>
      <c r="E3520" s="28" t="s">
        <v>193</v>
      </c>
      <c r="F3520" s="28" t="s">
        <v>147</v>
      </c>
      <c r="G3520" s="28" t="s">
        <v>441</v>
      </c>
      <c r="H3520" s="28" t="s">
        <v>168</v>
      </c>
      <c r="I3520" s="29" t="n">
        <v>15000</v>
      </c>
      <c r="J3520" s="29" t="n">
        <v>7500</v>
      </c>
      <c r="K3520" s="28" t="n">
        <v>15</v>
      </c>
      <c r="L3520" s="28" t="n">
        <v>120</v>
      </c>
      <c r="M3520" s="28" t="n">
        <v>1</v>
      </c>
    </row>
    <row r="3521" customFormat="false" ht="15" hidden="false" customHeight="false" outlineLevel="0" collapsed="false">
      <c r="A3521" s="27" t="n">
        <v>45478</v>
      </c>
      <c r="B3521" s="28" t="n">
        <v>2024</v>
      </c>
      <c r="C3521" s="28" t="s">
        <v>160</v>
      </c>
      <c r="D3521" s="28" t="s">
        <v>44</v>
      </c>
      <c r="E3521" s="28" t="s">
        <v>783</v>
      </c>
      <c r="F3521" s="28" t="s">
        <v>142</v>
      </c>
      <c r="G3521" s="28" t="s">
        <v>148</v>
      </c>
      <c r="H3521" s="28" t="s">
        <v>165</v>
      </c>
      <c r="I3521" s="29" t="n">
        <v>435000</v>
      </c>
      <c r="J3521" s="29" t="n">
        <v>326250</v>
      </c>
      <c r="K3521" s="28" t="n">
        <v>9</v>
      </c>
      <c r="L3521" s="28" t="n">
        <v>119</v>
      </c>
      <c r="M3521" s="28" t="n">
        <v>1</v>
      </c>
    </row>
    <row r="3522" customFormat="false" ht="15" hidden="false" customHeight="false" outlineLevel="0" collapsed="false">
      <c r="A3522" s="27" t="n">
        <v>45478</v>
      </c>
      <c r="B3522" s="28" t="n">
        <v>2024</v>
      </c>
      <c r="C3522" s="28" t="s">
        <v>257</v>
      </c>
      <c r="D3522" s="28" t="s">
        <v>45</v>
      </c>
      <c r="E3522" s="28" t="s">
        <v>480</v>
      </c>
      <c r="F3522" s="28" t="s">
        <v>142</v>
      </c>
      <c r="G3522" s="28" t="s">
        <v>148</v>
      </c>
      <c r="H3522" s="28" t="s">
        <v>208</v>
      </c>
      <c r="I3522" s="29" t="n">
        <v>250000</v>
      </c>
      <c r="J3522" s="29" t="n">
        <v>187500</v>
      </c>
      <c r="K3522" s="28" t="n">
        <v>11.25</v>
      </c>
      <c r="L3522" s="28" t="n">
        <v>120</v>
      </c>
      <c r="M3522" s="28" t="n">
        <v>6</v>
      </c>
    </row>
    <row r="3523" customFormat="false" ht="15" hidden="false" customHeight="false" outlineLevel="0" collapsed="false">
      <c r="A3523" s="27" t="n">
        <v>45478</v>
      </c>
      <c r="B3523" s="28" t="n">
        <v>2024</v>
      </c>
      <c r="C3523" s="28" t="s">
        <v>163</v>
      </c>
      <c r="D3523" s="28" t="s">
        <v>48</v>
      </c>
      <c r="E3523" s="28" t="s">
        <v>712</v>
      </c>
      <c r="F3523" s="28" t="s">
        <v>142</v>
      </c>
      <c r="G3523" s="28" t="s">
        <v>148</v>
      </c>
      <c r="H3523" s="28" t="s">
        <v>278</v>
      </c>
      <c r="I3523" s="29" t="n">
        <v>1062000</v>
      </c>
      <c r="J3523" s="29" t="n">
        <v>796500</v>
      </c>
      <c r="K3523" s="28" t="n">
        <v>11.25</v>
      </c>
      <c r="L3523" s="28" t="n">
        <v>120</v>
      </c>
      <c r="M3523" s="28" t="n">
        <v>12</v>
      </c>
    </row>
    <row r="3524" customFormat="false" ht="15" hidden="false" customHeight="false" outlineLevel="0" collapsed="false">
      <c r="A3524" s="27" t="n">
        <v>45478</v>
      </c>
      <c r="B3524" s="28" t="n">
        <v>2024</v>
      </c>
      <c r="C3524" s="28" t="s">
        <v>163</v>
      </c>
      <c r="D3524" s="28" t="s">
        <v>48</v>
      </c>
      <c r="E3524" s="28" t="s">
        <v>712</v>
      </c>
      <c r="F3524" s="28" t="s">
        <v>147</v>
      </c>
      <c r="G3524" s="28" t="s">
        <v>148</v>
      </c>
      <c r="H3524" s="28" t="s">
        <v>278</v>
      </c>
      <c r="I3524" s="29" t="n">
        <v>150000</v>
      </c>
      <c r="J3524" s="29" t="n">
        <v>75000</v>
      </c>
      <c r="K3524" s="28" t="n">
        <v>11.25</v>
      </c>
      <c r="L3524" s="28" t="n">
        <v>120</v>
      </c>
      <c r="M3524" s="28" t="n">
        <v>12</v>
      </c>
    </row>
    <row r="3525" customFormat="false" ht="15" hidden="false" customHeight="false" outlineLevel="0" collapsed="false">
      <c r="A3525" s="27" t="n">
        <v>45481</v>
      </c>
      <c r="B3525" s="28" t="n">
        <v>2024</v>
      </c>
      <c r="C3525" s="28" t="s">
        <v>213</v>
      </c>
      <c r="D3525" s="28" t="s">
        <v>45</v>
      </c>
      <c r="E3525" s="28" t="s">
        <v>864</v>
      </c>
      <c r="F3525" s="28" t="s">
        <v>147</v>
      </c>
      <c r="G3525" s="28" t="s">
        <v>148</v>
      </c>
      <c r="H3525" s="28" t="s">
        <v>469</v>
      </c>
      <c r="I3525" s="29" t="n">
        <v>24000</v>
      </c>
      <c r="J3525" s="29" t="n">
        <v>12000</v>
      </c>
      <c r="K3525" s="28" t="n">
        <v>13.7</v>
      </c>
      <c r="L3525" s="28" t="n">
        <v>84</v>
      </c>
      <c r="M3525" s="28" t="n">
        <v>6</v>
      </c>
    </row>
    <row r="3526" customFormat="false" ht="15" hidden="false" customHeight="false" outlineLevel="0" collapsed="false">
      <c r="A3526" s="27" t="n">
        <v>45481</v>
      </c>
      <c r="B3526" s="28" t="n">
        <v>2024</v>
      </c>
      <c r="C3526" s="28" t="s">
        <v>213</v>
      </c>
      <c r="D3526" s="28" t="s">
        <v>45</v>
      </c>
      <c r="E3526" s="28" t="s">
        <v>864</v>
      </c>
      <c r="F3526" s="28" t="s">
        <v>147</v>
      </c>
      <c r="G3526" s="28" t="s">
        <v>148</v>
      </c>
      <c r="H3526" s="28" t="s">
        <v>469</v>
      </c>
      <c r="I3526" s="29" t="n">
        <v>169500</v>
      </c>
      <c r="J3526" s="29" t="n">
        <v>84750</v>
      </c>
      <c r="K3526" s="28" t="n">
        <v>5.5</v>
      </c>
      <c r="L3526" s="28" t="n">
        <v>84</v>
      </c>
      <c r="M3526" s="28" t="n">
        <v>6</v>
      </c>
    </row>
    <row r="3527" customFormat="false" ht="15" hidden="false" customHeight="false" outlineLevel="0" collapsed="false">
      <c r="A3527" s="27" t="n">
        <v>45482</v>
      </c>
      <c r="B3527" s="28" t="n">
        <v>2024</v>
      </c>
      <c r="C3527" s="28" t="s">
        <v>203</v>
      </c>
      <c r="D3527" s="28" t="s">
        <v>44</v>
      </c>
      <c r="E3527" s="28" t="s">
        <v>759</v>
      </c>
      <c r="F3527" s="28" t="s">
        <v>147</v>
      </c>
      <c r="G3527" s="28" t="s">
        <v>148</v>
      </c>
      <c r="H3527" s="28" t="s">
        <v>1070</v>
      </c>
      <c r="I3527" s="29" t="n">
        <v>250000</v>
      </c>
      <c r="J3527" s="29" t="n">
        <v>125000</v>
      </c>
      <c r="K3527" s="28" t="n">
        <v>10</v>
      </c>
      <c r="L3527" s="28" t="n">
        <v>12</v>
      </c>
      <c r="M3527" s="28" t="n">
        <v>3</v>
      </c>
    </row>
    <row r="3528" customFormat="false" ht="15" hidden="false" customHeight="false" outlineLevel="0" collapsed="false">
      <c r="A3528" s="27" t="n">
        <v>45482</v>
      </c>
      <c r="B3528" s="28" t="n">
        <v>2024</v>
      </c>
      <c r="C3528" s="28" t="s">
        <v>518</v>
      </c>
      <c r="D3528" s="28" t="s">
        <v>52</v>
      </c>
      <c r="E3528" s="28" t="s">
        <v>720</v>
      </c>
      <c r="F3528" s="28" t="s">
        <v>142</v>
      </c>
      <c r="G3528" s="28" t="s">
        <v>441</v>
      </c>
      <c r="H3528" s="28" t="s">
        <v>275</v>
      </c>
      <c r="I3528" s="29" t="n">
        <v>772000</v>
      </c>
      <c r="J3528" s="29" t="n">
        <v>579000</v>
      </c>
      <c r="K3528" s="28" t="n">
        <v>11.5</v>
      </c>
      <c r="L3528" s="28" t="n">
        <v>120</v>
      </c>
      <c r="M3528" s="28" t="n">
        <v>19</v>
      </c>
    </row>
    <row r="3529" customFormat="false" ht="15" hidden="false" customHeight="false" outlineLevel="0" collapsed="false">
      <c r="A3529" s="27" t="n">
        <v>45482</v>
      </c>
      <c r="B3529" s="28" t="n">
        <v>2024</v>
      </c>
      <c r="C3529" s="28" t="s">
        <v>160</v>
      </c>
      <c r="D3529" s="28" t="s">
        <v>49</v>
      </c>
      <c r="E3529" s="28" t="s">
        <v>932</v>
      </c>
      <c r="F3529" s="28" t="s">
        <v>147</v>
      </c>
      <c r="G3529" s="28" t="s">
        <v>148</v>
      </c>
      <c r="H3529" s="28" t="s">
        <v>162</v>
      </c>
      <c r="I3529" s="29" t="n">
        <v>221400</v>
      </c>
      <c r="J3529" s="29" t="n">
        <v>110700</v>
      </c>
      <c r="K3529" s="28" t="n">
        <v>8.45</v>
      </c>
      <c r="L3529" s="28" t="n">
        <v>72</v>
      </c>
      <c r="M3529" s="28" t="n">
        <v>3</v>
      </c>
    </row>
    <row r="3530" customFormat="false" ht="15" hidden="false" customHeight="false" outlineLevel="0" collapsed="false">
      <c r="A3530" s="27" t="n">
        <v>45482</v>
      </c>
      <c r="B3530" s="28" t="n">
        <v>2024</v>
      </c>
      <c r="C3530" s="28" t="s">
        <v>172</v>
      </c>
      <c r="D3530" s="28" t="s">
        <v>44</v>
      </c>
      <c r="E3530" s="28" t="s">
        <v>755</v>
      </c>
      <c r="F3530" s="28" t="s">
        <v>142</v>
      </c>
      <c r="G3530" s="28" t="s">
        <v>148</v>
      </c>
      <c r="H3530" s="28" t="s">
        <v>275</v>
      </c>
      <c r="I3530" s="29" t="n">
        <v>50000</v>
      </c>
      <c r="J3530" s="29" t="n">
        <v>42500</v>
      </c>
      <c r="K3530" s="28" t="n">
        <v>15</v>
      </c>
      <c r="L3530" s="28" t="n">
        <v>120</v>
      </c>
      <c r="M3530" s="28" t="n">
        <v>0</v>
      </c>
    </row>
    <row r="3531" customFormat="false" ht="15" hidden="false" customHeight="false" outlineLevel="0" collapsed="false">
      <c r="A3531" s="27" t="n">
        <v>45482</v>
      </c>
      <c r="B3531" s="28" t="n">
        <v>2024</v>
      </c>
      <c r="C3531" s="28" t="s">
        <v>166</v>
      </c>
      <c r="D3531" s="28" t="s">
        <v>43</v>
      </c>
      <c r="E3531" s="28" t="s">
        <v>942</v>
      </c>
      <c r="F3531" s="28" t="s">
        <v>147</v>
      </c>
      <c r="G3531" s="28" t="s">
        <v>148</v>
      </c>
      <c r="H3531" s="28" t="s">
        <v>159</v>
      </c>
      <c r="I3531" s="29" t="n">
        <v>50000</v>
      </c>
      <c r="J3531" s="29" t="n">
        <v>25000</v>
      </c>
      <c r="K3531" s="28" t="n">
        <v>15</v>
      </c>
      <c r="L3531" s="28" t="n">
        <v>120</v>
      </c>
      <c r="M3531" s="28" t="n">
        <v>20</v>
      </c>
    </row>
    <row r="3532" customFormat="false" ht="15" hidden="false" customHeight="false" outlineLevel="0" collapsed="false">
      <c r="A3532" s="27" t="n">
        <v>45483</v>
      </c>
      <c r="B3532" s="28" t="n">
        <v>2024</v>
      </c>
      <c r="C3532" s="28" t="s">
        <v>169</v>
      </c>
      <c r="D3532" s="28" t="s">
        <v>46</v>
      </c>
      <c r="E3532" s="28" t="s">
        <v>702</v>
      </c>
      <c r="F3532" s="28" t="s">
        <v>142</v>
      </c>
      <c r="G3532" s="28" t="s">
        <v>143</v>
      </c>
      <c r="H3532" s="28" t="s">
        <v>211</v>
      </c>
      <c r="I3532" s="29" t="n">
        <v>337500</v>
      </c>
      <c r="J3532" s="29" t="n">
        <v>253125</v>
      </c>
      <c r="K3532" s="28" t="n">
        <v>11</v>
      </c>
      <c r="L3532" s="28" t="n">
        <v>120</v>
      </c>
      <c r="M3532" s="28" t="n">
        <v>8</v>
      </c>
    </row>
    <row r="3533" customFormat="false" ht="15" hidden="false" customHeight="false" outlineLevel="0" collapsed="false">
      <c r="A3533" s="27" t="n">
        <v>45483</v>
      </c>
      <c r="B3533" s="28" t="n">
        <v>2024</v>
      </c>
      <c r="C3533" s="28" t="s">
        <v>169</v>
      </c>
      <c r="D3533" s="28" t="s">
        <v>57</v>
      </c>
      <c r="E3533" s="28" t="s">
        <v>728</v>
      </c>
      <c r="F3533" s="28" t="s">
        <v>147</v>
      </c>
      <c r="G3533" s="28" t="s">
        <v>148</v>
      </c>
      <c r="H3533" s="28" t="s">
        <v>162</v>
      </c>
      <c r="I3533" s="29" t="n">
        <v>500000</v>
      </c>
      <c r="J3533" s="29" t="n">
        <v>250000</v>
      </c>
      <c r="K3533" s="28" t="n">
        <v>11.5</v>
      </c>
      <c r="L3533" s="28" t="n">
        <v>120</v>
      </c>
      <c r="M3533" s="28" t="n">
        <v>5</v>
      </c>
    </row>
    <row r="3534" customFormat="false" ht="15" hidden="false" customHeight="false" outlineLevel="0" collapsed="false">
      <c r="A3534" s="27" t="n">
        <v>45483</v>
      </c>
      <c r="B3534" s="28" t="n">
        <v>2024</v>
      </c>
      <c r="C3534" s="28" t="s">
        <v>344</v>
      </c>
      <c r="D3534" s="28" t="s">
        <v>45</v>
      </c>
      <c r="E3534" s="28" t="s">
        <v>835</v>
      </c>
      <c r="F3534" s="28" t="s">
        <v>147</v>
      </c>
      <c r="G3534" s="28" t="s">
        <v>143</v>
      </c>
      <c r="H3534" s="28" t="s">
        <v>211</v>
      </c>
      <c r="I3534" s="29" t="n">
        <v>50000</v>
      </c>
      <c r="J3534" s="29" t="n">
        <v>25000</v>
      </c>
      <c r="K3534" s="28" t="n">
        <v>11.25</v>
      </c>
      <c r="L3534" s="28" t="n">
        <v>120</v>
      </c>
      <c r="M3534" s="28" t="n">
        <v>4</v>
      </c>
    </row>
    <row r="3535" customFormat="false" ht="15" hidden="false" customHeight="false" outlineLevel="0" collapsed="false">
      <c r="A3535" s="27" t="n">
        <v>45483</v>
      </c>
      <c r="B3535" s="28" t="n">
        <v>2024</v>
      </c>
      <c r="C3535" s="28" t="s">
        <v>169</v>
      </c>
      <c r="D3535" s="28" t="s">
        <v>46</v>
      </c>
      <c r="E3535" s="28" t="s">
        <v>702</v>
      </c>
      <c r="F3535" s="28" t="s">
        <v>147</v>
      </c>
      <c r="G3535" s="28" t="s">
        <v>143</v>
      </c>
      <c r="H3535" s="28" t="s">
        <v>211</v>
      </c>
      <c r="I3535" s="29" t="n">
        <v>50000</v>
      </c>
      <c r="J3535" s="29" t="n">
        <v>25000</v>
      </c>
      <c r="K3535" s="28" t="n">
        <v>11</v>
      </c>
      <c r="L3535" s="28" t="n">
        <v>120</v>
      </c>
      <c r="M3535" s="28" t="n">
        <v>8</v>
      </c>
    </row>
    <row r="3536" customFormat="false" ht="15" hidden="false" customHeight="false" outlineLevel="0" collapsed="false">
      <c r="A3536" s="27" t="n">
        <v>45483</v>
      </c>
      <c r="B3536" s="28" t="n">
        <v>2024</v>
      </c>
      <c r="C3536" s="28" t="s">
        <v>344</v>
      </c>
      <c r="D3536" s="28" t="s">
        <v>45</v>
      </c>
      <c r="E3536" s="28" t="s">
        <v>835</v>
      </c>
      <c r="F3536" s="28" t="s">
        <v>142</v>
      </c>
      <c r="G3536" s="28" t="s">
        <v>143</v>
      </c>
      <c r="H3536" s="28" t="s">
        <v>211</v>
      </c>
      <c r="I3536" s="29" t="n">
        <v>169000</v>
      </c>
      <c r="J3536" s="29" t="n">
        <v>126750</v>
      </c>
      <c r="K3536" s="28" t="n">
        <v>11.25</v>
      </c>
      <c r="L3536" s="28" t="n">
        <v>120</v>
      </c>
      <c r="M3536" s="28" t="n">
        <v>4</v>
      </c>
    </row>
    <row r="3537" customFormat="false" ht="15" hidden="false" customHeight="false" outlineLevel="0" collapsed="false">
      <c r="A3537" s="27" t="n">
        <v>45483</v>
      </c>
      <c r="B3537" s="28" t="n">
        <v>2024</v>
      </c>
      <c r="C3537" s="28" t="s">
        <v>198</v>
      </c>
      <c r="D3537" s="28" t="s">
        <v>43</v>
      </c>
      <c r="E3537" s="28" t="s">
        <v>933</v>
      </c>
      <c r="F3537" s="28" t="s">
        <v>194</v>
      </c>
      <c r="G3537" s="28" t="s">
        <v>152</v>
      </c>
      <c r="H3537" s="28" t="s">
        <v>693</v>
      </c>
      <c r="I3537" s="29" t="n">
        <v>180000</v>
      </c>
      <c r="J3537" s="29" t="n">
        <v>135000</v>
      </c>
      <c r="K3537" s="28" t="n">
        <v>13.25</v>
      </c>
      <c r="L3537" s="28" t="n">
        <v>84</v>
      </c>
      <c r="M3537" s="28" t="n">
        <v>3</v>
      </c>
    </row>
    <row r="3538" customFormat="false" ht="15" hidden="false" customHeight="false" outlineLevel="0" collapsed="false">
      <c r="A3538" s="27" t="n">
        <v>45484</v>
      </c>
      <c r="B3538" s="28" t="n">
        <v>2024</v>
      </c>
      <c r="C3538" s="28" t="s">
        <v>203</v>
      </c>
      <c r="D3538" s="28" t="s">
        <v>45</v>
      </c>
      <c r="E3538" s="28" t="s">
        <v>222</v>
      </c>
      <c r="F3538" s="28" t="s">
        <v>147</v>
      </c>
      <c r="G3538" s="28" t="s">
        <v>148</v>
      </c>
      <c r="H3538" s="28" t="s">
        <v>159</v>
      </c>
      <c r="I3538" s="29" t="n">
        <v>250000</v>
      </c>
      <c r="J3538" s="29" t="n">
        <v>125000</v>
      </c>
      <c r="K3538" s="28" t="n">
        <v>9.5</v>
      </c>
      <c r="L3538" s="28" t="n">
        <v>120</v>
      </c>
      <c r="M3538" s="28" t="n">
        <v>1</v>
      </c>
    </row>
    <row r="3539" customFormat="false" ht="15" hidden="false" customHeight="false" outlineLevel="0" collapsed="false">
      <c r="A3539" s="27" t="n">
        <v>45484</v>
      </c>
      <c r="B3539" s="28" t="n">
        <v>2024</v>
      </c>
      <c r="C3539" s="28" t="s">
        <v>484</v>
      </c>
      <c r="D3539" s="28" t="s">
        <v>42</v>
      </c>
      <c r="E3539" s="28" t="s">
        <v>717</v>
      </c>
      <c r="F3539" s="28" t="s">
        <v>142</v>
      </c>
      <c r="G3539" s="28" t="s">
        <v>152</v>
      </c>
      <c r="H3539" s="28" t="s">
        <v>255</v>
      </c>
      <c r="I3539" s="29" t="n">
        <v>580000</v>
      </c>
      <c r="J3539" s="29" t="n">
        <v>435000</v>
      </c>
      <c r="K3539" s="28" t="n">
        <v>11.25</v>
      </c>
      <c r="L3539" s="28" t="n">
        <v>120</v>
      </c>
      <c r="M3539" s="28" t="n">
        <v>11</v>
      </c>
    </row>
    <row r="3540" customFormat="false" ht="15" hidden="false" customHeight="false" outlineLevel="0" collapsed="false">
      <c r="A3540" s="27" t="n">
        <v>45484</v>
      </c>
      <c r="B3540" s="28" t="n">
        <v>2024</v>
      </c>
      <c r="C3540" s="28" t="s">
        <v>303</v>
      </c>
      <c r="D3540" s="28" t="s">
        <v>43</v>
      </c>
      <c r="E3540" s="28" t="s">
        <v>841</v>
      </c>
      <c r="F3540" s="28" t="s">
        <v>194</v>
      </c>
      <c r="G3540" s="28" t="s">
        <v>148</v>
      </c>
      <c r="H3540" s="28" t="s">
        <v>561</v>
      </c>
      <c r="I3540" s="29" t="n">
        <v>144000</v>
      </c>
      <c r="J3540" s="29" t="n">
        <v>108000</v>
      </c>
      <c r="K3540" s="28" t="n">
        <v>10.5</v>
      </c>
      <c r="L3540" s="28" t="n">
        <v>120</v>
      </c>
      <c r="M3540" s="28" t="n">
        <v>1</v>
      </c>
    </row>
    <row r="3541" customFormat="false" ht="15" hidden="false" customHeight="false" outlineLevel="0" collapsed="false">
      <c r="A3541" s="27" t="n">
        <v>45484</v>
      </c>
      <c r="B3541" s="28" t="n">
        <v>2024</v>
      </c>
      <c r="C3541" s="28" t="s">
        <v>206</v>
      </c>
      <c r="D3541" s="28" t="s">
        <v>50</v>
      </c>
      <c r="E3541" s="28" t="s">
        <v>877</v>
      </c>
      <c r="F3541" s="28" t="s">
        <v>147</v>
      </c>
      <c r="G3541" s="28" t="s">
        <v>441</v>
      </c>
      <c r="H3541" s="28" t="s">
        <v>205</v>
      </c>
      <c r="I3541" s="29" t="n">
        <v>25000</v>
      </c>
      <c r="J3541" s="29" t="n">
        <v>12500</v>
      </c>
      <c r="K3541" s="28" t="n">
        <v>11.5</v>
      </c>
      <c r="L3541" s="28" t="n">
        <v>120</v>
      </c>
      <c r="M3541" s="28" t="n">
        <v>1</v>
      </c>
    </row>
    <row r="3542" customFormat="false" ht="15" hidden="false" customHeight="false" outlineLevel="0" collapsed="false">
      <c r="A3542" s="27" t="n">
        <v>45485</v>
      </c>
      <c r="B3542" s="28" t="n">
        <v>2024</v>
      </c>
      <c r="C3542" s="28" t="s">
        <v>166</v>
      </c>
      <c r="D3542" s="28" t="s">
        <v>45</v>
      </c>
      <c r="E3542" s="28" t="s">
        <v>798</v>
      </c>
      <c r="F3542" s="28" t="s">
        <v>142</v>
      </c>
      <c r="G3542" s="28" t="s">
        <v>143</v>
      </c>
      <c r="H3542" s="28" t="s">
        <v>179</v>
      </c>
      <c r="I3542" s="29" t="n">
        <v>1018300</v>
      </c>
      <c r="J3542" s="29" t="n">
        <v>763725</v>
      </c>
      <c r="K3542" s="28" t="n">
        <v>11.25</v>
      </c>
      <c r="L3542" s="28" t="n">
        <v>126</v>
      </c>
      <c r="M3542" s="28" t="n">
        <v>22</v>
      </c>
    </row>
    <row r="3543" customFormat="false" ht="15" hidden="false" customHeight="false" outlineLevel="0" collapsed="false">
      <c r="A3543" s="27" t="n">
        <v>45485</v>
      </c>
      <c r="B3543" s="28" t="n">
        <v>2024</v>
      </c>
      <c r="C3543" s="28" t="s">
        <v>172</v>
      </c>
      <c r="D3543" s="28" t="s">
        <v>46</v>
      </c>
      <c r="E3543" s="28" t="s">
        <v>770</v>
      </c>
      <c r="F3543" s="28" t="s">
        <v>142</v>
      </c>
      <c r="G3543" s="28" t="s">
        <v>143</v>
      </c>
      <c r="H3543" s="28" t="s">
        <v>211</v>
      </c>
      <c r="I3543" s="29" t="n">
        <v>705000</v>
      </c>
      <c r="J3543" s="29" t="n">
        <v>528750</v>
      </c>
      <c r="K3543" s="28" t="n">
        <v>10.75</v>
      </c>
      <c r="L3543" s="28" t="n">
        <v>120</v>
      </c>
      <c r="M3543" s="28" t="n">
        <v>8</v>
      </c>
    </row>
    <row r="3544" customFormat="false" ht="15" hidden="false" customHeight="false" outlineLevel="0" collapsed="false">
      <c r="A3544" s="27" t="n">
        <v>45485</v>
      </c>
      <c r="B3544" s="28" t="n">
        <v>2024</v>
      </c>
      <c r="C3544" s="28" t="s">
        <v>522</v>
      </c>
      <c r="D3544" s="28" t="s">
        <v>51</v>
      </c>
      <c r="E3544" s="28" t="s">
        <v>800</v>
      </c>
      <c r="F3544" s="28" t="s">
        <v>142</v>
      </c>
      <c r="G3544" s="28" t="s">
        <v>152</v>
      </c>
      <c r="H3544" s="28" t="s">
        <v>1076</v>
      </c>
      <c r="I3544" s="29" t="n">
        <v>180000</v>
      </c>
      <c r="J3544" s="29" t="n">
        <v>135000</v>
      </c>
      <c r="K3544" s="28" t="n">
        <v>11.25</v>
      </c>
      <c r="L3544" s="28" t="n">
        <v>120</v>
      </c>
      <c r="M3544" s="28" t="n">
        <v>1</v>
      </c>
    </row>
    <row r="3545" customFormat="false" ht="15" hidden="false" customHeight="false" outlineLevel="0" collapsed="false">
      <c r="A3545" s="27" t="n">
        <v>45485</v>
      </c>
      <c r="B3545" s="28" t="n">
        <v>2024</v>
      </c>
      <c r="C3545" s="28" t="s">
        <v>172</v>
      </c>
      <c r="D3545" s="28" t="s">
        <v>46</v>
      </c>
      <c r="E3545" s="28" t="s">
        <v>770</v>
      </c>
      <c r="F3545" s="28" t="s">
        <v>147</v>
      </c>
      <c r="G3545" s="28" t="s">
        <v>143</v>
      </c>
      <c r="H3545" s="28" t="s">
        <v>211</v>
      </c>
      <c r="I3545" s="29" t="n">
        <v>50000</v>
      </c>
      <c r="J3545" s="29" t="n">
        <v>25000</v>
      </c>
      <c r="K3545" s="28" t="n">
        <v>10.75</v>
      </c>
      <c r="L3545" s="28" t="n">
        <v>120</v>
      </c>
      <c r="M3545" s="28" t="n">
        <v>8</v>
      </c>
    </row>
    <row r="3546" customFormat="false" ht="15" hidden="false" customHeight="false" outlineLevel="0" collapsed="false">
      <c r="A3546" s="27" t="n">
        <v>45488</v>
      </c>
      <c r="B3546" s="28" t="n">
        <v>2024</v>
      </c>
      <c r="C3546" s="28" t="s">
        <v>196</v>
      </c>
      <c r="D3546" s="28" t="s">
        <v>42</v>
      </c>
      <c r="E3546" s="28" t="s">
        <v>717</v>
      </c>
      <c r="F3546" s="28" t="s">
        <v>142</v>
      </c>
      <c r="G3546" s="28" t="s">
        <v>143</v>
      </c>
      <c r="H3546" s="28" t="s">
        <v>953</v>
      </c>
      <c r="I3546" s="29" t="n">
        <v>1300000</v>
      </c>
      <c r="J3546" s="29" t="n">
        <v>975000</v>
      </c>
      <c r="K3546" s="28" t="n">
        <v>11.5</v>
      </c>
      <c r="L3546" s="28" t="n">
        <v>127</v>
      </c>
      <c r="M3546" s="28" t="n">
        <v>25</v>
      </c>
    </row>
    <row r="3547" customFormat="false" ht="15" hidden="false" customHeight="false" outlineLevel="0" collapsed="false">
      <c r="A3547" s="27" t="n">
        <v>45488</v>
      </c>
      <c r="B3547" s="28" t="n">
        <v>2024</v>
      </c>
      <c r="C3547" s="28" t="s">
        <v>172</v>
      </c>
      <c r="D3547" s="28" t="s">
        <v>42</v>
      </c>
      <c r="E3547" s="28" t="s">
        <v>717</v>
      </c>
      <c r="F3547" s="28" t="s">
        <v>147</v>
      </c>
      <c r="G3547" s="28" t="s">
        <v>441</v>
      </c>
      <c r="H3547" s="28" t="s">
        <v>159</v>
      </c>
      <c r="I3547" s="29" t="n">
        <v>50000</v>
      </c>
      <c r="J3547" s="29" t="n">
        <v>25000</v>
      </c>
      <c r="K3547" s="28" t="n">
        <v>12.25</v>
      </c>
      <c r="L3547" s="28" t="n">
        <v>120</v>
      </c>
      <c r="M3547" s="28" t="n">
        <v>25</v>
      </c>
    </row>
    <row r="3548" customFormat="false" ht="15" hidden="false" customHeight="false" outlineLevel="0" collapsed="false">
      <c r="A3548" s="27" t="n">
        <v>45489</v>
      </c>
      <c r="B3548" s="28" t="n">
        <v>2024</v>
      </c>
      <c r="C3548" s="28" t="s">
        <v>303</v>
      </c>
      <c r="D3548" s="28" t="s">
        <v>43</v>
      </c>
      <c r="E3548" s="28" t="s">
        <v>841</v>
      </c>
      <c r="F3548" s="28" t="s">
        <v>147</v>
      </c>
      <c r="G3548" s="28" t="s">
        <v>148</v>
      </c>
      <c r="H3548" s="28" t="s">
        <v>561</v>
      </c>
      <c r="I3548" s="29" t="n">
        <v>150000</v>
      </c>
      <c r="J3548" s="29" t="n">
        <v>75000</v>
      </c>
      <c r="K3548" s="28" t="n">
        <v>10.5</v>
      </c>
      <c r="L3548" s="28" t="n">
        <v>120</v>
      </c>
      <c r="M3548" s="28" t="n">
        <v>0</v>
      </c>
    </row>
    <row r="3549" customFormat="false" ht="15" hidden="false" customHeight="false" outlineLevel="0" collapsed="false">
      <c r="A3549" s="27" t="n">
        <v>45489</v>
      </c>
      <c r="B3549" s="28" t="n">
        <v>2024</v>
      </c>
      <c r="C3549" s="28" t="s">
        <v>172</v>
      </c>
      <c r="D3549" s="28" t="s">
        <v>46</v>
      </c>
      <c r="E3549" s="28" t="s">
        <v>702</v>
      </c>
      <c r="F3549" s="28" t="s">
        <v>142</v>
      </c>
      <c r="G3549" s="28" t="s">
        <v>143</v>
      </c>
      <c r="H3549" s="28" t="s">
        <v>211</v>
      </c>
      <c r="I3549" s="29" t="n">
        <v>465000</v>
      </c>
      <c r="J3549" s="29" t="n">
        <v>348750</v>
      </c>
      <c r="K3549" s="28" t="n">
        <v>11.25</v>
      </c>
      <c r="L3549" s="28" t="n">
        <v>120</v>
      </c>
      <c r="M3549" s="28" t="n">
        <v>11</v>
      </c>
    </row>
    <row r="3550" customFormat="false" ht="15" hidden="false" customHeight="false" outlineLevel="0" collapsed="false">
      <c r="A3550" s="27" t="n">
        <v>45489</v>
      </c>
      <c r="B3550" s="28" t="n">
        <v>2024</v>
      </c>
      <c r="C3550" s="28" t="s">
        <v>172</v>
      </c>
      <c r="D3550" s="28" t="s">
        <v>49</v>
      </c>
      <c r="E3550" s="28" t="s">
        <v>1064</v>
      </c>
      <c r="F3550" s="28" t="s">
        <v>142</v>
      </c>
      <c r="G3550" s="28" t="s">
        <v>152</v>
      </c>
      <c r="H3550" s="28" t="s">
        <v>457</v>
      </c>
      <c r="I3550" s="29" t="n">
        <v>2925000</v>
      </c>
      <c r="J3550" s="29" t="n">
        <v>2193750</v>
      </c>
      <c r="K3550" s="28" t="n">
        <v>11</v>
      </c>
      <c r="L3550" s="28" t="n">
        <v>120</v>
      </c>
      <c r="M3550" s="28" t="n">
        <v>21</v>
      </c>
    </row>
    <row r="3551" customFormat="false" ht="15" hidden="false" customHeight="false" outlineLevel="0" collapsed="false">
      <c r="A3551" s="27" t="n">
        <v>45489</v>
      </c>
      <c r="B3551" s="28" t="n">
        <v>2024</v>
      </c>
      <c r="C3551" s="28" t="s">
        <v>172</v>
      </c>
      <c r="D3551" s="28" t="s">
        <v>46</v>
      </c>
      <c r="E3551" s="28" t="s">
        <v>702</v>
      </c>
      <c r="F3551" s="28" t="s">
        <v>147</v>
      </c>
      <c r="G3551" s="28" t="s">
        <v>143</v>
      </c>
      <c r="H3551" s="28" t="s">
        <v>211</v>
      </c>
      <c r="I3551" s="29" t="n">
        <v>40000</v>
      </c>
      <c r="J3551" s="29" t="n">
        <v>20000</v>
      </c>
      <c r="K3551" s="28" t="n">
        <v>11.25</v>
      </c>
      <c r="L3551" s="28" t="n">
        <v>120</v>
      </c>
      <c r="M3551" s="28" t="n">
        <v>11</v>
      </c>
    </row>
    <row r="3552" customFormat="false" ht="15" hidden="false" customHeight="false" outlineLevel="0" collapsed="false">
      <c r="A3552" s="27" t="n">
        <v>45489</v>
      </c>
      <c r="B3552" s="28" t="n">
        <v>2024</v>
      </c>
      <c r="C3552" s="28" t="s">
        <v>198</v>
      </c>
      <c r="D3552" s="28" t="s">
        <v>42</v>
      </c>
      <c r="E3552" s="28" t="s">
        <v>828</v>
      </c>
      <c r="F3552" s="28" t="s">
        <v>142</v>
      </c>
      <c r="G3552" s="28" t="s">
        <v>441</v>
      </c>
      <c r="H3552" s="28" t="s">
        <v>227</v>
      </c>
      <c r="I3552" s="29" t="n">
        <v>1120000</v>
      </c>
      <c r="J3552" s="29" t="n">
        <v>840000</v>
      </c>
      <c r="K3552" s="28" t="n">
        <v>11.25</v>
      </c>
      <c r="L3552" s="28" t="n">
        <v>308</v>
      </c>
      <c r="M3552" s="28" t="n">
        <v>0</v>
      </c>
    </row>
    <row r="3553" customFormat="false" ht="15" hidden="false" customHeight="false" outlineLevel="0" collapsed="false">
      <c r="A3553" s="27" t="n">
        <v>45489</v>
      </c>
      <c r="B3553" s="28" t="n">
        <v>2024</v>
      </c>
      <c r="C3553" s="28" t="s">
        <v>172</v>
      </c>
      <c r="D3553" s="28" t="s">
        <v>49</v>
      </c>
      <c r="E3553" s="28" t="s">
        <v>1064</v>
      </c>
      <c r="F3553" s="28" t="s">
        <v>147</v>
      </c>
      <c r="G3553" s="28" t="s">
        <v>148</v>
      </c>
      <c r="H3553" s="28" t="s">
        <v>457</v>
      </c>
      <c r="I3553" s="29" t="n">
        <v>250000</v>
      </c>
      <c r="J3553" s="29" t="n">
        <v>125000</v>
      </c>
      <c r="K3553" s="28" t="n">
        <v>11</v>
      </c>
      <c r="L3553" s="28" t="n">
        <v>120</v>
      </c>
      <c r="M3553" s="28" t="n">
        <v>21</v>
      </c>
    </row>
    <row r="3554" customFormat="false" ht="15" hidden="false" customHeight="false" outlineLevel="0" collapsed="false">
      <c r="A3554" s="27" t="n">
        <v>45489</v>
      </c>
      <c r="B3554" s="28" t="n">
        <v>2024</v>
      </c>
      <c r="C3554" s="28" t="s">
        <v>243</v>
      </c>
      <c r="D3554" s="28" t="s">
        <v>50</v>
      </c>
      <c r="E3554" s="28" t="s">
        <v>1078</v>
      </c>
      <c r="F3554" s="28" t="s">
        <v>142</v>
      </c>
      <c r="G3554" s="28" t="s">
        <v>143</v>
      </c>
      <c r="H3554" s="28" t="s">
        <v>372</v>
      </c>
      <c r="I3554" s="29" t="n">
        <v>212500</v>
      </c>
      <c r="J3554" s="29" t="n">
        <v>159375</v>
      </c>
      <c r="K3554" s="28" t="n">
        <v>11.25</v>
      </c>
      <c r="L3554" s="28" t="n">
        <v>120</v>
      </c>
      <c r="M3554" s="28" t="n">
        <v>1</v>
      </c>
    </row>
    <row r="3555" customFormat="false" ht="15" hidden="false" customHeight="false" outlineLevel="0" collapsed="false">
      <c r="A3555" s="27" t="n">
        <v>45489</v>
      </c>
      <c r="B3555" s="28" t="n">
        <v>2024</v>
      </c>
      <c r="C3555" s="28" t="s">
        <v>510</v>
      </c>
      <c r="D3555" s="28" t="s">
        <v>46</v>
      </c>
      <c r="E3555" s="28" t="s">
        <v>727</v>
      </c>
      <c r="F3555" s="28" t="s">
        <v>194</v>
      </c>
      <c r="G3555" s="28" t="s">
        <v>148</v>
      </c>
      <c r="H3555" s="28" t="s">
        <v>266</v>
      </c>
      <c r="I3555" s="29" t="n">
        <v>222000</v>
      </c>
      <c r="J3555" s="29" t="n">
        <v>166500</v>
      </c>
      <c r="K3555" s="28" t="n">
        <v>8.15</v>
      </c>
      <c r="L3555" s="28" t="n">
        <v>240</v>
      </c>
      <c r="M3555" s="28" t="n">
        <v>9</v>
      </c>
    </row>
    <row r="3556" customFormat="false" ht="15" hidden="false" customHeight="false" outlineLevel="0" collapsed="false">
      <c r="A3556" s="27" t="n">
        <v>45490</v>
      </c>
      <c r="B3556" s="28" t="n">
        <v>2024</v>
      </c>
      <c r="C3556" s="28" t="s">
        <v>209</v>
      </c>
      <c r="D3556" s="28" t="s">
        <v>42</v>
      </c>
      <c r="E3556" s="28" t="s">
        <v>753</v>
      </c>
      <c r="F3556" s="28" t="s">
        <v>142</v>
      </c>
      <c r="G3556" s="28" t="s">
        <v>148</v>
      </c>
      <c r="H3556" s="28" t="s">
        <v>771</v>
      </c>
      <c r="I3556" s="29" t="n">
        <v>250000</v>
      </c>
      <c r="J3556" s="29" t="n">
        <v>187500</v>
      </c>
      <c r="K3556" s="28" t="n">
        <v>11.25</v>
      </c>
      <c r="L3556" s="28" t="n">
        <v>120</v>
      </c>
      <c r="M3556" s="28" t="n">
        <v>99</v>
      </c>
    </row>
    <row r="3557" customFormat="false" ht="15" hidden="false" customHeight="false" outlineLevel="0" collapsed="false">
      <c r="A3557" s="27" t="n">
        <v>45490</v>
      </c>
      <c r="B3557" s="28" t="n">
        <v>2024</v>
      </c>
      <c r="C3557" s="28" t="s">
        <v>163</v>
      </c>
      <c r="D3557" s="28" t="s">
        <v>42</v>
      </c>
      <c r="E3557" s="28" t="s">
        <v>753</v>
      </c>
      <c r="F3557" s="28" t="s">
        <v>142</v>
      </c>
      <c r="G3557" s="28" t="s">
        <v>143</v>
      </c>
      <c r="H3557" s="28" t="s">
        <v>211</v>
      </c>
      <c r="I3557" s="29" t="n">
        <v>204500</v>
      </c>
      <c r="J3557" s="29" t="n">
        <v>153375</v>
      </c>
      <c r="K3557" s="28" t="n">
        <v>10.75</v>
      </c>
      <c r="L3557" s="28" t="n">
        <v>120</v>
      </c>
      <c r="M3557" s="28" t="n">
        <v>11</v>
      </c>
    </row>
    <row r="3558" customFormat="false" ht="15" hidden="false" customHeight="false" outlineLevel="0" collapsed="false">
      <c r="A3558" s="27" t="n">
        <v>45490</v>
      </c>
      <c r="B3558" s="28" t="n">
        <v>2024</v>
      </c>
      <c r="C3558" s="28" t="s">
        <v>484</v>
      </c>
      <c r="D3558" s="28" t="s">
        <v>43</v>
      </c>
      <c r="E3558" s="28" t="s">
        <v>1079</v>
      </c>
      <c r="F3558" s="28" t="s">
        <v>142</v>
      </c>
      <c r="G3558" s="28" t="s">
        <v>152</v>
      </c>
      <c r="H3558" s="28" t="s">
        <v>388</v>
      </c>
      <c r="I3558" s="29" t="n">
        <v>3123000</v>
      </c>
      <c r="J3558" s="29" t="n">
        <v>2342250</v>
      </c>
      <c r="K3558" s="28" t="n">
        <v>11</v>
      </c>
      <c r="L3558" s="28" t="n">
        <v>120</v>
      </c>
      <c r="M3558" s="28" t="n">
        <v>9</v>
      </c>
    </row>
    <row r="3559" customFormat="false" ht="15" hidden="false" customHeight="false" outlineLevel="0" collapsed="false">
      <c r="A3559" s="27" t="n">
        <v>45490</v>
      </c>
      <c r="B3559" s="28" t="n">
        <v>2024</v>
      </c>
      <c r="C3559" s="28" t="s">
        <v>169</v>
      </c>
      <c r="D3559" s="28" t="s">
        <v>48</v>
      </c>
      <c r="E3559" s="28" t="s">
        <v>736</v>
      </c>
      <c r="F3559" s="28" t="s">
        <v>142</v>
      </c>
      <c r="G3559" s="28" t="s">
        <v>148</v>
      </c>
      <c r="H3559" s="28" t="s">
        <v>388</v>
      </c>
      <c r="I3559" s="29" t="n">
        <v>3605000</v>
      </c>
      <c r="J3559" s="29" t="n">
        <v>2703750</v>
      </c>
      <c r="K3559" s="28" t="n">
        <v>11.25</v>
      </c>
      <c r="L3559" s="28" t="n">
        <v>120</v>
      </c>
      <c r="M3559" s="28" t="n">
        <v>97</v>
      </c>
    </row>
    <row r="3560" customFormat="false" ht="15" hidden="false" customHeight="false" outlineLevel="0" collapsed="false">
      <c r="A3560" s="27" t="n">
        <v>45490</v>
      </c>
      <c r="B3560" s="28" t="n">
        <v>2024</v>
      </c>
      <c r="C3560" s="28" t="s">
        <v>175</v>
      </c>
      <c r="D3560" s="28" t="s">
        <v>48</v>
      </c>
      <c r="E3560" s="28" t="s">
        <v>362</v>
      </c>
      <c r="F3560" s="28" t="s">
        <v>142</v>
      </c>
      <c r="G3560" s="28" t="s">
        <v>148</v>
      </c>
      <c r="H3560" s="28" t="s">
        <v>275</v>
      </c>
      <c r="I3560" s="29" t="n">
        <v>304000</v>
      </c>
      <c r="J3560" s="29" t="n">
        <v>228000</v>
      </c>
      <c r="K3560" s="28" t="n">
        <v>11.25</v>
      </c>
      <c r="L3560" s="28" t="n">
        <v>120</v>
      </c>
      <c r="M3560" s="28" t="n">
        <v>6</v>
      </c>
    </row>
    <row r="3561" customFormat="false" ht="15" hidden="false" customHeight="false" outlineLevel="0" collapsed="false">
      <c r="A3561" s="27" t="n">
        <v>45491</v>
      </c>
      <c r="B3561" s="28" t="n">
        <v>2024</v>
      </c>
      <c r="C3561" s="28" t="s">
        <v>188</v>
      </c>
      <c r="D3561" s="28" t="s">
        <v>43</v>
      </c>
      <c r="E3561" s="28" t="s">
        <v>933</v>
      </c>
      <c r="F3561" s="28" t="s">
        <v>142</v>
      </c>
      <c r="G3561" s="28" t="s">
        <v>148</v>
      </c>
      <c r="H3561" s="28" t="s">
        <v>171</v>
      </c>
      <c r="I3561" s="29" t="n">
        <v>150000</v>
      </c>
      <c r="J3561" s="29" t="n">
        <v>127500</v>
      </c>
      <c r="K3561" s="28" t="n">
        <v>13.25</v>
      </c>
      <c r="L3561" s="28" t="n">
        <v>120</v>
      </c>
      <c r="M3561" s="28" t="n">
        <v>6</v>
      </c>
    </row>
    <row r="3562" customFormat="false" ht="15" hidden="false" customHeight="false" outlineLevel="0" collapsed="false">
      <c r="A3562" s="27" t="n">
        <v>45492</v>
      </c>
      <c r="B3562" s="28" t="n">
        <v>2024</v>
      </c>
      <c r="C3562" s="28" t="s">
        <v>169</v>
      </c>
      <c r="D3562" s="28" t="s">
        <v>48</v>
      </c>
      <c r="E3562" s="28" t="s">
        <v>736</v>
      </c>
      <c r="F3562" s="28" t="s">
        <v>147</v>
      </c>
      <c r="G3562" s="28" t="s">
        <v>148</v>
      </c>
      <c r="H3562" s="28" t="s">
        <v>388</v>
      </c>
      <c r="I3562" s="29" t="n">
        <v>500000</v>
      </c>
      <c r="J3562" s="29" t="n">
        <v>250000</v>
      </c>
      <c r="K3562" s="28" t="n">
        <v>11.25</v>
      </c>
      <c r="L3562" s="28" t="n">
        <v>120</v>
      </c>
      <c r="M3562" s="28" t="n">
        <v>97</v>
      </c>
    </row>
    <row r="3563" customFormat="false" ht="15" hidden="false" customHeight="false" outlineLevel="0" collapsed="false">
      <c r="A3563" s="27" t="n">
        <v>45492</v>
      </c>
      <c r="B3563" s="28" t="n">
        <v>2024</v>
      </c>
      <c r="C3563" s="28" t="s">
        <v>484</v>
      </c>
      <c r="D3563" s="28" t="s">
        <v>43</v>
      </c>
      <c r="E3563" s="28" t="s">
        <v>1079</v>
      </c>
      <c r="F3563" s="28" t="s">
        <v>147</v>
      </c>
      <c r="G3563" s="28" t="s">
        <v>152</v>
      </c>
      <c r="H3563" s="28" t="s">
        <v>388</v>
      </c>
      <c r="I3563" s="29" t="n">
        <v>350000</v>
      </c>
      <c r="J3563" s="29" t="n">
        <v>175000</v>
      </c>
      <c r="K3563" s="28" t="n">
        <v>11</v>
      </c>
      <c r="L3563" s="28" t="n">
        <v>120</v>
      </c>
      <c r="M3563" s="28" t="n">
        <v>9</v>
      </c>
    </row>
    <row r="3564" customFormat="false" ht="15" hidden="false" customHeight="false" outlineLevel="0" collapsed="false">
      <c r="A3564" s="27" t="n">
        <v>45492</v>
      </c>
      <c r="B3564" s="28" t="n">
        <v>2024</v>
      </c>
      <c r="C3564" s="28" t="s">
        <v>140</v>
      </c>
      <c r="D3564" s="28" t="s">
        <v>44</v>
      </c>
      <c r="E3564" s="28" t="s">
        <v>1080</v>
      </c>
      <c r="F3564" s="28" t="s">
        <v>194</v>
      </c>
      <c r="G3564" s="28" t="s">
        <v>143</v>
      </c>
      <c r="H3564" s="28" t="s">
        <v>1081</v>
      </c>
      <c r="I3564" s="29" t="n">
        <v>300000</v>
      </c>
      <c r="J3564" s="29" t="n">
        <v>225000</v>
      </c>
      <c r="K3564" s="28" t="n">
        <v>10</v>
      </c>
      <c r="L3564" s="28" t="n">
        <v>120</v>
      </c>
      <c r="M3564" s="28" t="n">
        <v>32</v>
      </c>
    </row>
    <row r="3565" customFormat="false" ht="15" hidden="false" customHeight="false" outlineLevel="0" collapsed="false">
      <c r="A3565" s="27" t="n">
        <v>45492</v>
      </c>
      <c r="B3565" s="28" t="n">
        <v>2024</v>
      </c>
      <c r="C3565" s="28" t="s">
        <v>384</v>
      </c>
      <c r="D3565" s="28" t="s">
        <v>51</v>
      </c>
      <c r="E3565" s="28" t="s">
        <v>779</v>
      </c>
      <c r="F3565" s="28" t="s">
        <v>147</v>
      </c>
      <c r="G3565" s="28" t="s">
        <v>143</v>
      </c>
      <c r="H3565" s="28" t="s">
        <v>159</v>
      </c>
      <c r="I3565" s="29" t="n">
        <v>40000</v>
      </c>
      <c r="J3565" s="29" t="n">
        <v>20000</v>
      </c>
      <c r="K3565" s="28" t="n">
        <v>10.5</v>
      </c>
      <c r="L3565" s="28" t="n">
        <v>120</v>
      </c>
      <c r="M3565" s="28" t="n">
        <v>13</v>
      </c>
    </row>
    <row r="3566" customFormat="false" ht="15" hidden="false" customHeight="false" outlineLevel="0" collapsed="false">
      <c r="A3566" s="27" t="n">
        <v>45492</v>
      </c>
      <c r="B3566" s="28" t="n">
        <v>2024</v>
      </c>
      <c r="C3566" s="28" t="s">
        <v>384</v>
      </c>
      <c r="D3566" s="28" t="s">
        <v>51</v>
      </c>
      <c r="E3566" s="28" t="s">
        <v>779</v>
      </c>
      <c r="F3566" s="28" t="s">
        <v>142</v>
      </c>
      <c r="G3566" s="28" t="s">
        <v>143</v>
      </c>
      <c r="H3566" s="28" t="s">
        <v>159</v>
      </c>
      <c r="I3566" s="29" t="n">
        <v>300000</v>
      </c>
      <c r="J3566" s="29" t="n">
        <v>225000</v>
      </c>
      <c r="K3566" s="28" t="n">
        <v>10.5</v>
      </c>
      <c r="L3566" s="28" t="n">
        <v>120</v>
      </c>
      <c r="M3566" s="28" t="n">
        <v>13</v>
      </c>
    </row>
    <row r="3567" customFormat="false" ht="15" hidden="false" customHeight="false" outlineLevel="0" collapsed="false">
      <c r="A3567" s="27" t="n">
        <v>45492</v>
      </c>
      <c r="B3567" s="28" t="n">
        <v>2024</v>
      </c>
      <c r="C3567" s="28" t="s">
        <v>140</v>
      </c>
      <c r="D3567" s="28" t="s">
        <v>44</v>
      </c>
      <c r="E3567" s="28" t="s">
        <v>1080</v>
      </c>
      <c r="F3567" s="28" t="s">
        <v>147</v>
      </c>
      <c r="G3567" s="28" t="s">
        <v>143</v>
      </c>
      <c r="H3567" s="28" t="s">
        <v>1081</v>
      </c>
      <c r="I3567" s="29" t="n">
        <v>300000</v>
      </c>
      <c r="J3567" s="29" t="n">
        <v>150000</v>
      </c>
      <c r="K3567" s="28" t="n">
        <v>10</v>
      </c>
      <c r="L3567" s="28" t="n">
        <v>120</v>
      </c>
      <c r="M3567" s="28" t="n">
        <v>32</v>
      </c>
    </row>
    <row r="3568" customFormat="false" ht="15" hidden="false" customHeight="false" outlineLevel="0" collapsed="false">
      <c r="A3568" s="27" t="n">
        <v>45495</v>
      </c>
      <c r="B3568" s="28" t="n">
        <v>2024</v>
      </c>
      <c r="C3568" s="28" t="s">
        <v>163</v>
      </c>
      <c r="D3568" s="28" t="s">
        <v>51</v>
      </c>
      <c r="E3568" s="28" t="s">
        <v>779</v>
      </c>
      <c r="F3568" s="28" t="s">
        <v>142</v>
      </c>
      <c r="G3568" s="28" t="s">
        <v>143</v>
      </c>
      <c r="H3568" s="28" t="s">
        <v>227</v>
      </c>
      <c r="I3568" s="29" t="n">
        <v>463000</v>
      </c>
      <c r="J3568" s="29" t="n">
        <v>347250</v>
      </c>
      <c r="K3568" s="28" t="n">
        <v>11.25</v>
      </c>
      <c r="L3568" s="28" t="n">
        <v>129</v>
      </c>
      <c r="M3568" s="28" t="n">
        <v>6</v>
      </c>
    </row>
    <row r="3569" customFormat="false" ht="15" hidden="false" customHeight="false" outlineLevel="0" collapsed="false">
      <c r="A3569" s="27" t="n">
        <v>45495</v>
      </c>
      <c r="B3569" s="28" t="n">
        <v>2024</v>
      </c>
      <c r="C3569" s="28" t="s">
        <v>172</v>
      </c>
      <c r="D3569" s="28" t="s">
        <v>48</v>
      </c>
      <c r="E3569" s="28" t="s">
        <v>704</v>
      </c>
      <c r="F3569" s="28" t="s">
        <v>142</v>
      </c>
      <c r="G3569" s="28" t="s">
        <v>152</v>
      </c>
      <c r="H3569" s="28" t="s">
        <v>205</v>
      </c>
      <c r="I3569" s="29" t="n">
        <v>412000</v>
      </c>
      <c r="J3569" s="29" t="n">
        <v>309000</v>
      </c>
      <c r="K3569" s="28" t="n">
        <v>8.2</v>
      </c>
      <c r="L3569" s="28" t="n">
        <v>120</v>
      </c>
      <c r="M3569" s="28" t="n">
        <v>3</v>
      </c>
    </row>
    <row r="3570" customFormat="false" ht="15" hidden="false" customHeight="false" outlineLevel="0" collapsed="false">
      <c r="A3570" s="27" t="n">
        <v>45495</v>
      </c>
      <c r="B3570" s="28" t="n">
        <v>2024</v>
      </c>
      <c r="C3570" s="28" t="s">
        <v>198</v>
      </c>
      <c r="D3570" s="28" t="s">
        <v>48</v>
      </c>
      <c r="E3570" s="28" t="s">
        <v>840</v>
      </c>
      <c r="F3570" s="28" t="s">
        <v>142</v>
      </c>
      <c r="G3570" s="28" t="s">
        <v>148</v>
      </c>
      <c r="H3570" s="28" t="s">
        <v>171</v>
      </c>
      <c r="I3570" s="29" t="n">
        <v>52300</v>
      </c>
      <c r="J3570" s="29" t="n">
        <v>44455</v>
      </c>
      <c r="K3570" s="28" t="n">
        <v>13.25</v>
      </c>
      <c r="L3570" s="28" t="n">
        <v>120</v>
      </c>
      <c r="M3570" s="28" t="n">
        <v>1</v>
      </c>
    </row>
    <row r="3571" customFormat="false" ht="15" hidden="false" customHeight="false" outlineLevel="0" collapsed="false">
      <c r="A3571" s="27" t="n">
        <v>45495</v>
      </c>
      <c r="B3571" s="28" t="n">
        <v>2024</v>
      </c>
      <c r="C3571" s="28" t="s">
        <v>332</v>
      </c>
      <c r="D3571" s="28" t="s">
        <v>42</v>
      </c>
      <c r="E3571" s="28" t="s">
        <v>717</v>
      </c>
      <c r="F3571" s="28" t="s">
        <v>147</v>
      </c>
      <c r="G3571" s="28" t="s">
        <v>143</v>
      </c>
      <c r="H3571" s="28" t="s">
        <v>655</v>
      </c>
      <c r="I3571" s="29" t="n">
        <v>500000</v>
      </c>
      <c r="J3571" s="29" t="n">
        <v>250000</v>
      </c>
      <c r="K3571" s="28" t="n">
        <v>9.5</v>
      </c>
      <c r="L3571" s="28" t="n">
        <v>60</v>
      </c>
      <c r="M3571" s="28" t="n">
        <v>40</v>
      </c>
    </row>
    <row r="3572" customFormat="false" ht="15" hidden="false" customHeight="false" outlineLevel="0" collapsed="false">
      <c r="A3572" s="27" t="n">
        <v>45495</v>
      </c>
      <c r="B3572" s="28" t="n">
        <v>2024</v>
      </c>
      <c r="C3572" s="28" t="s">
        <v>166</v>
      </c>
      <c r="D3572" s="28" t="s">
        <v>48</v>
      </c>
      <c r="E3572" s="28" t="s">
        <v>362</v>
      </c>
      <c r="F3572" s="28" t="s">
        <v>147</v>
      </c>
      <c r="G3572" s="28" t="s">
        <v>148</v>
      </c>
      <c r="H3572" s="28" t="s">
        <v>144</v>
      </c>
      <c r="I3572" s="29" t="n">
        <v>500000</v>
      </c>
      <c r="J3572" s="29" t="n">
        <v>250000</v>
      </c>
      <c r="K3572" s="28" t="n">
        <v>9.5</v>
      </c>
      <c r="L3572" s="28" t="n">
        <v>120</v>
      </c>
      <c r="M3572" s="28" t="n">
        <v>52</v>
      </c>
    </row>
    <row r="3573" customFormat="false" ht="15" hidden="false" customHeight="false" outlineLevel="0" collapsed="false">
      <c r="A3573" s="27" t="n">
        <v>45495</v>
      </c>
      <c r="B3573" s="28" t="n">
        <v>2024</v>
      </c>
      <c r="C3573" s="28" t="s">
        <v>160</v>
      </c>
      <c r="D3573" s="28" t="s">
        <v>48</v>
      </c>
      <c r="E3573" s="28" t="s">
        <v>765</v>
      </c>
      <c r="F3573" s="28" t="s">
        <v>142</v>
      </c>
      <c r="G3573" s="28" t="s">
        <v>148</v>
      </c>
      <c r="H3573" s="28" t="s">
        <v>275</v>
      </c>
      <c r="I3573" s="29" t="n">
        <v>50000</v>
      </c>
      <c r="J3573" s="29" t="n">
        <v>42500</v>
      </c>
      <c r="K3573" s="28" t="n">
        <v>15</v>
      </c>
      <c r="L3573" s="28" t="n">
        <v>111</v>
      </c>
      <c r="M3573" s="28" t="n">
        <v>2</v>
      </c>
    </row>
    <row r="3574" customFormat="false" ht="15" hidden="false" customHeight="false" outlineLevel="0" collapsed="false">
      <c r="A3574" s="27" t="n">
        <v>45496</v>
      </c>
      <c r="B3574" s="28" t="n">
        <v>2024</v>
      </c>
      <c r="C3574" s="28" t="s">
        <v>169</v>
      </c>
      <c r="D3574" s="28" t="s">
        <v>46</v>
      </c>
      <c r="E3574" s="28" t="s">
        <v>813</v>
      </c>
      <c r="F3574" s="28" t="s">
        <v>147</v>
      </c>
      <c r="G3574" s="28" t="s">
        <v>148</v>
      </c>
      <c r="H3574" s="28" t="s">
        <v>205</v>
      </c>
      <c r="I3574" s="29" t="n">
        <v>25000</v>
      </c>
      <c r="J3574" s="29" t="n">
        <v>12500</v>
      </c>
      <c r="K3574" s="28" t="n">
        <v>11.5</v>
      </c>
      <c r="L3574" s="28" t="n">
        <v>120</v>
      </c>
      <c r="M3574" s="28" t="n">
        <v>10</v>
      </c>
    </row>
    <row r="3575" customFormat="false" ht="15" hidden="false" customHeight="false" outlineLevel="0" collapsed="false">
      <c r="A3575" s="27" t="n">
        <v>45496</v>
      </c>
      <c r="B3575" s="28" t="n">
        <v>2024</v>
      </c>
      <c r="C3575" s="28" t="s">
        <v>379</v>
      </c>
      <c r="D3575" s="28" t="s">
        <v>42</v>
      </c>
      <c r="E3575" s="28" t="s">
        <v>717</v>
      </c>
      <c r="F3575" s="28" t="s">
        <v>142</v>
      </c>
      <c r="G3575" s="28" t="s">
        <v>148</v>
      </c>
      <c r="H3575" s="28" t="s">
        <v>211</v>
      </c>
      <c r="I3575" s="29" t="n">
        <v>150000</v>
      </c>
      <c r="J3575" s="29" t="n">
        <v>127500</v>
      </c>
      <c r="K3575" s="28" t="n">
        <v>11.25</v>
      </c>
      <c r="L3575" s="28" t="n">
        <v>120</v>
      </c>
      <c r="M3575" s="28" t="n">
        <v>16</v>
      </c>
    </row>
    <row r="3576" customFormat="false" ht="15" hidden="false" customHeight="false" outlineLevel="0" collapsed="false">
      <c r="A3576" s="27" t="n">
        <v>45496</v>
      </c>
      <c r="B3576" s="28" t="n">
        <v>2024</v>
      </c>
      <c r="C3576" s="28" t="s">
        <v>522</v>
      </c>
      <c r="D3576" s="28" t="s">
        <v>50</v>
      </c>
      <c r="E3576" s="28" t="s">
        <v>193</v>
      </c>
      <c r="F3576" s="28" t="s">
        <v>147</v>
      </c>
      <c r="G3576" s="28" t="s">
        <v>148</v>
      </c>
      <c r="H3576" s="28" t="s">
        <v>494</v>
      </c>
      <c r="I3576" s="29" t="n">
        <v>100000</v>
      </c>
      <c r="J3576" s="29" t="n">
        <v>50000</v>
      </c>
      <c r="K3576" s="28" t="n">
        <v>11.25</v>
      </c>
      <c r="L3576" s="28" t="n">
        <v>120</v>
      </c>
      <c r="M3576" s="28" t="n">
        <v>4</v>
      </c>
    </row>
    <row r="3577" customFormat="false" ht="15" hidden="false" customHeight="false" outlineLevel="0" collapsed="false">
      <c r="A3577" s="27" t="n">
        <v>45496</v>
      </c>
      <c r="B3577" s="28" t="n">
        <v>2024</v>
      </c>
      <c r="C3577" s="28" t="s">
        <v>175</v>
      </c>
      <c r="D3577" s="28" t="s">
        <v>47</v>
      </c>
      <c r="E3577" s="28" t="s">
        <v>707</v>
      </c>
      <c r="F3577" s="28" t="s">
        <v>142</v>
      </c>
      <c r="G3577" s="28" t="s">
        <v>152</v>
      </c>
      <c r="H3577" s="28" t="s">
        <v>372</v>
      </c>
      <c r="I3577" s="29" t="n">
        <v>450000</v>
      </c>
      <c r="J3577" s="29" t="n">
        <v>337500</v>
      </c>
      <c r="K3577" s="28" t="n">
        <v>10.25</v>
      </c>
      <c r="L3577" s="28" t="n">
        <v>120</v>
      </c>
      <c r="M3577" s="28" t="n">
        <v>22</v>
      </c>
    </row>
    <row r="3578" customFormat="false" ht="15" hidden="false" customHeight="false" outlineLevel="0" collapsed="false">
      <c r="A3578" s="27" t="n">
        <v>45496</v>
      </c>
      <c r="B3578" s="28" t="n">
        <v>2024</v>
      </c>
      <c r="C3578" s="28" t="s">
        <v>206</v>
      </c>
      <c r="D3578" s="28" t="s">
        <v>48</v>
      </c>
      <c r="E3578" s="28" t="s">
        <v>905</v>
      </c>
      <c r="F3578" s="28" t="s">
        <v>142</v>
      </c>
      <c r="G3578" s="28" t="s">
        <v>148</v>
      </c>
      <c r="H3578" s="28" t="s">
        <v>171</v>
      </c>
      <c r="I3578" s="29" t="n">
        <v>44000</v>
      </c>
      <c r="J3578" s="29" t="n">
        <v>37400</v>
      </c>
      <c r="K3578" s="28" t="n">
        <v>13.25</v>
      </c>
      <c r="L3578" s="28" t="n">
        <v>123</v>
      </c>
      <c r="M3578" s="28" t="n">
        <v>0</v>
      </c>
    </row>
    <row r="3579" customFormat="false" ht="15" hidden="false" customHeight="false" outlineLevel="0" collapsed="false">
      <c r="A3579" s="27" t="n">
        <v>45497</v>
      </c>
      <c r="B3579" s="28" t="n">
        <v>2024</v>
      </c>
      <c r="C3579" s="28" t="s">
        <v>172</v>
      </c>
      <c r="D3579" s="28" t="s">
        <v>50</v>
      </c>
      <c r="E3579" s="28" t="s">
        <v>877</v>
      </c>
      <c r="F3579" s="28" t="s">
        <v>142</v>
      </c>
      <c r="G3579" s="28" t="s">
        <v>143</v>
      </c>
      <c r="H3579" s="28" t="s">
        <v>953</v>
      </c>
      <c r="I3579" s="29" t="n">
        <v>150000</v>
      </c>
      <c r="J3579" s="29" t="n">
        <v>127500</v>
      </c>
      <c r="K3579" s="28" t="n">
        <v>11.5</v>
      </c>
      <c r="L3579" s="28" t="n">
        <v>120</v>
      </c>
      <c r="M3579" s="28" t="n">
        <v>6</v>
      </c>
    </row>
    <row r="3580" customFormat="false" ht="15" hidden="false" customHeight="false" outlineLevel="0" collapsed="false">
      <c r="A3580" s="27" t="n">
        <v>45497</v>
      </c>
      <c r="B3580" s="28" t="n">
        <v>2024</v>
      </c>
      <c r="C3580" s="28" t="s">
        <v>522</v>
      </c>
      <c r="D3580" s="28" t="s">
        <v>50</v>
      </c>
      <c r="E3580" s="28" t="s">
        <v>193</v>
      </c>
      <c r="F3580" s="28" t="s">
        <v>142</v>
      </c>
      <c r="G3580" s="28" t="s">
        <v>441</v>
      </c>
      <c r="H3580" s="28" t="s">
        <v>494</v>
      </c>
      <c r="I3580" s="29" t="n">
        <v>1775000</v>
      </c>
      <c r="J3580" s="29" t="n">
        <v>1331250</v>
      </c>
      <c r="K3580" s="28" t="n">
        <v>9.5</v>
      </c>
      <c r="L3580" s="28" t="n">
        <v>300</v>
      </c>
      <c r="M3580" s="28" t="n">
        <v>4</v>
      </c>
    </row>
    <row r="3581" customFormat="false" ht="15" hidden="false" customHeight="false" outlineLevel="0" collapsed="false">
      <c r="A3581" s="27" t="n">
        <v>45497</v>
      </c>
      <c r="B3581" s="28" t="n">
        <v>2024</v>
      </c>
      <c r="C3581" s="28" t="s">
        <v>196</v>
      </c>
      <c r="D3581" s="28" t="s">
        <v>42</v>
      </c>
      <c r="E3581" s="28" t="s">
        <v>717</v>
      </c>
      <c r="F3581" s="28" t="s">
        <v>142</v>
      </c>
      <c r="G3581" s="28" t="s">
        <v>148</v>
      </c>
      <c r="H3581" s="28" t="s">
        <v>149</v>
      </c>
      <c r="I3581" s="29" t="n">
        <v>400000</v>
      </c>
      <c r="J3581" s="29" t="n">
        <v>300000</v>
      </c>
      <c r="K3581" s="28" t="n">
        <v>10.25</v>
      </c>
      <c r="L3581" s="28" t="n">
        <v>120</v>
      </c>
      <c r="M3581" s="28" t="n">
        <v>13</v>
      </c>
    </row>
    <row r="3582" customFormat="false" ht="15" hidden="false" customHeight="false" outlineLevel="0" collapsed="false">
      <c r="A3582" s="27" t="n">
        <v>45497</v>
      </c>
      <c r="B3582" s="28" t="n">
        <v>2024</v>
      </c>
      <c r="C3582" s="28" t="s">
        <v>201</v>
      </c>
      <c r="D3582" s="28" t="s">
        <v>48</v>
      </c>
      <c r="E3582" s="28" t="s">
        <v>762</v>
      </c>
      <c r="F3582" s="28" t="s">
        <v>142</v>
      </c>
      <c r="G3582" s="28" t="s">
        <v>143</v>
      </c>
      <c r="H3582" s="28" t="s">
        <v>144</v>
      </c>
      <c r="I3582" s="29" t="n">
        <v>3950000</v>
      </c>
      <c r="J3582" s="29" t="n">
        <v>2962500</v>
      </c>
      <c r="K3582" s="28" t="n">
        <v>8.5</v>
      </c>
      <c r="L3582" s="28" t="n">
        <v>306</v>
      </c>
      <c r="M3582" s="28" t="n">
        <v>20</v>
      </c>
    </row>
    <row r="3583" customFormat="false" ht="15" hidden="false" customHeight="false" outlineLevel="0" collapsed="false">
      <c r="A3583" s="27" t="n">
        <v>45497</v>
      </c>
      <c r="B3583" s="28" t="n">
        <v>2024</v>
      </c>
      <c r="C3583" s="28" t="s">
        <v>201</v>
      </c>
      <c r="D3583" s="28" t="s">
        <v>56</v>
      </c>
      <c r="E3583" s="28" t="s">
        <v>1017</v>
      </c>
      <c r="F3583" s="28" t="s">
        <v>142</v>
      </c>
      <c r="G3583" s="28" t="s">
        <v>148</v>
      </c>
      <c r="H3583" s="28" t="s">
        <v>953</v>
      </c>
      <c r="I3583" s="29" t="n">
        <v>2500000</v>
      </c>
      <c r="J3583" s="29" t="n">
        <v>1875000</v>
      </c>
      <c r="K3583" s="28" t="n">
        <v>11.5</v>
      </c>
      <c r="L3583" s="28" t="n">
        <v>120</v>
      </c>
      <c r="M3583" s="28" t="n">
        <v>79</v>
      </c>
    </row>
    <row r="3584" customFormat="false" ht="15" hidden="false" customHeight="false" outlineLevel="0" collapsed="false">
      <c r="A3584" s="27" t="n">
        <v>45498</v>
      </c>
      <c r="B3584" s="28" t="n">
        <v>2024</v>
      </c>
      <c r="C3584" s="28" t="s">
        <v>216</v>
      </c>
      <c r="D3584" s="28" t="s">
        <v>43</v>
      </c>
      <c r="E3584" s="28" t="s">
        <v>757</v>
      </c>
      <c r="F3584" s="28" t="s">
        <v>142</v>
      </c>
      <c r="G3584" s="28" t="s">
        <v>143</v>
      </c>
      <c r="H3584" s="28" t="s">
        <v>211</v>
      </c>
      <c r="I3584" s="29" t="n">
        <v>198600</v>
      </c>
      <c r="J3584" s="29" t="n">
        <v>148950</v>
      </c>
      <c r="K3584" s="28" t="n">
        <v>11.25</v>
      </c>
      <c r="L3584" s="28" t="n">
        <v>120</v>
      </c>
      <c r="M3584" s="28" t="n">
        <v>5</v>
      </c>
    </row>
    <row r="3585" customFormat="false" ht="15" hidden="false" customHeight="false" outlineLevel="0" collapsed="false">
      <c r="A3585" s="27" t="n">
        <v>45498</v>
      </c>
      <c r="B3585" s="28" t="n">
        <v>2024</v>
      </c>
      <c r="C3585" s="28" t="s">
        <v>303</v>
      </c>
      <c r="D3585" s="28" t="s">
        <v>52</v>
      </c>
      <c r="E3585" s="28" t="s">
        <v>720</v>
      </c>
      <c r="F3585" s="28" t="s">
        <v>142</v>
      </c>
      <c r="G3585" s="28" t="s">
        <v>148</v>
      </c>
      <c r="H3585" s="28" t="s">
        <v>771</v>
      </c>
      <c r="I3585" s="29" t="n">
        <v>135100</v>
      </c>
      <c r="J3585" s="29" t="n">
        <v>114835</v>
      </c>
      <c r="K3585" s="28" t="n">
        <v>11.25</v>
      </c>
      <c r="L3585" s="28" t="n">
        <v>120</v>
      </c>
      <c r="M3585" s="28" t="n">
        <v>4</v>
      </c>
    </row>
    <row r="3586" customFormat="false" ht="15" hidden="false" customHeight="false" outlineLevel="0" collapsed="false">
      <c r="A3586" s="27" t="n">
        <v>45498</v>
      </c>
      <c r="B3586" s="28" t="n">
        <v>2024</v>
      </c>
      <c r="C3586" s="28" t="s">
        <v>230</v>
      </c>
      <c r="D3586" s="28" t="s">
        <v>45</v>
      </c>
      <c r="E3586" s="28" t="s">
        <v>906</v>
      </c>
      <c r="F3586" s="28" t="s">
        <v>142</v>
      </c>
      <c r="G3586" s="28" t="s">
        <v>148</v>
      </c>
      <c r="H3586" s="28" t="s">
        <v>771</v>
      </c>
      <c r="I3586" s="29" t="n">
        <v>50000</v>
      </c>
      <c r="J3586" s="29" t="n">
        <v>42500</v>
      </c>
      <c r="K3586" s="28" t="n">
        <v>11.25</v>
      </c>
      <c r="L3586" s="28" t="n">
        <v>120</v>
      </c>
      <c r="M3586" s="28" t="n">
        <v>39</v>
      </c>
    </row>
    <row r="3587" customFormat="false" ht="15" hidden="false" customHeight="false" outlineLevel="0" collapsed="false">
      <c r="A3587" s="27" t="n">
        <v>45498</v>
      </c>
      <c r="B3587" s="28" t="n">
        <v>2024</v>
      </c>
      <c r="C3587" s="28" t="s">
        <v>384</v>
      </c>
      <c r="D3587" s="28" t="s">
        <v>51</v>
      </c>
      <c r="E3587" s="28" t="s">
        <v>800</v>
      </c>
      <c r="F3587" s="28" t="s">
        <v>147</v>
      </c>
      <c r="G3587" s="28" t="s">
        <v>148</v>
      </c>
      <c r="H3587" s="28" t="s">
        <v>428</v>
      </c>
      <c r="I3587" s="29" t="n">
        <v>175000</v>
      </c>
      <c r="J3587" s="29" t="n">
        <v>87500</v>
      </c>
      <c r="K3587" s="28" t="n">
        <v>10.9</v>
      </c>
      <c r="L3587" s="28" t="n">
        <v>120</v>
      </c>
      <c r="M3587" s="28" t="n">
        <v>17</v>
      </c>
    </row>
    <row r="3588" customFormat="false" ht="15" hidden="false" customHeight="false" outlineLevel="0" collapsed="false">
      <c r="A3588" s="27" t="n">
        <v>45499</v>
      </c>
      <c r="B3588" s="28" t="n">
        <v>2024</v>
      </c>
      <c r="C3588" s="28" t="s">
        <v>140</v>
      </c>
      <c r="D3588" s="28" t="s">
        <v>51</v>
      </c>
      <c r="E3588" s="28" t="s">
        <v>726</v>
      </c>
      <c r="F3588" s="28" t="s">
        <v>142</v>
      </c>
      <c r="G3588" s="28" t="s">
        <v>148</v>
      </c>
      <c r="H3588" s="28" t="s">
        <v>171</v>
      </c>
      <c r="I3588" s="29" t="n">
        <v>150000</v>
      </c>
      <c r="J3588" s="29" t="n">
        <v>127500</v>
      </c>
      <c r="K3588" s="28" t="n">
        <v>13.25</v>
      </c>
      <c r="L3588" s="28" t="n">
        <v>120</v>
      </c>
      <c r="M3588" s="28" t="n">
        <v>10</v>
      </c>
    </row>
    <row r="3589" customFormat="false" ht="15" hidden="false" customHeight="false" outlineLevel="0" collapsed="false">
      <c r="A3589" s="27" t="n">
        <v>45499</v>
      </c>
      <c r="B3589" s="28" t="n">
        <v>2024</v>
      </c>
      <c r="C3589" s="28" t="s">
        <v>140</v>
      </c>
      <c r="D3589" s="28" t="s">
        <v>50</v>
      </c>
      <c r="E3589" s="28" t="s">
        <v>1082</v>
      </c>
      <c r="F3589" s="28" t="s">
        <v>147</v>
      </c>
      <c r="G3589" s="28" t="s">
        <v>143</v>
      </c>
      <c r="H3589" s="28" t="s">
        <v>211</v>
      </c>
      <c r="I3589" s="29" t="n">
        <v>30000</v>
      </c>
      <c r="J3589" s="29" t="n">
        <v>15000</v>
      </c>
      <c r="K3589" s="28" t="n">
        <v>11.25</v>
      </c>
      <c r="L3589" s="28" t="n">
        <v>120</v>
      </c>
      <c r="M3589" s="28" t="n">
        <v>9</v>
      </c>
    </row>
    <row r="3590" customFormat="false" ht="15" hidden="false" customHeight="false" outlineLevel="0" collapsed="false">
      <c r="A3590" s="27" t="n">
        <v>45499</v>
      </c>
      <c r="B3590" s="28" t="n">
        <v>2024</v>
      </c>
      <c r="C3590" s="28" t="s">
        <v>1083</v>
      </c>
      <c r="D3590" s="28" t="s">
        <v>48</v>
      </c>
      <c r="E3590" s="28" t="s">
        <v>762</v>
      </c>
      <c r="F3590" s="28" t="s">
        <v>142</v>
      </c>
      <c r="G3590" s="28" t="s">
        <v>152</v>
      </c>
      <c r="H3590" s="28" t="s">
        <v>621</v>
      </c>
      <c r="I3590" s="29" t="n">
        <v>172500</v>
      </c>
      <c r="J3590" s="29" t="n">
        <v>129375</v>
      </c>
      <c r="K3590" s="28" t="n">
        <v>10.75</v>
      </c>
      <c r="L3590" s="28" t="n">
        <v>120</v>
      </c>
      <c r="M3590" s="28" t="n">
        <v>2</v>
      </c>
    </row>
    <row r="3591" customFormat="false" ht="15" hidden="false" customHeight="false" outlineLevel="0" collapsed="false">
      <c r="A3591" s="27" t="n">
        <v>45499</v>
      </c>
      <c r="B3591" s="28" t="n">
        <v>2024</v>
      </c>
      <c r="C3591" s="28" t="s">
        <v>172</v>
      </c>
      <c r="D3591" s="28" t="s">
        <v>42</v>
      </c>
      <c r="E3591" s="28" t="s">
        <v>784</v>
      </c>
      <c r="F3591" s="28" t="s">
        <v>142</v>
      </c>
      <c r="G3591" s="28" t="s">
        <v>152</v>
      </c>
      <c r="H3591" s="28" t="s">
        <v>494</v>
      </c>
      <c r="I3591" s="29" t="n">
        <v>988000</v>
      </c>
      <c r="J3591" s="29" t="n">
        <v>741000</v>
      </c>
      <c r="K3591" s="28" t="n">
        <v>9.5</v>
      </c>
      <c r="L3591" s="28" t="n">
        <v>120</v>
      </c>
      <c r="M3591" s="28" t="n">
        <v>7</v>
      </c>
    </row>
    <row r="3592" customFormat="false" ht="15" hidden="false" customHeight="false" outlineLevel="0" collapsed="false">
      <c r="A3592" s="27" t="n">
        <v>45499</v>
      </c>
      <c r="B3592" s="28" t="n">
        <v>2024</v>
      </c>
      <c r="C3592" s="28" t="s">
        <v>166</v>
      </c>
      <c r="D3592" s="28" t="s">
        <v>46</v>
      </c>
      <c r="E3592" s="28" t="s">
        <v>770</v>
      </c>
      <c r="F3592" s="28" t="s">
        <v>147</v>
      </c>
      <c r="G3592" s="28" t="s">
        <v>441</v>
      </c>
      <c r="H3592" s="28" t="s">
        <v>205</v>
      </c>
      <c r="I3592" s="29" t="n">
        <v>25000</v>
      </c>
      <c r="J3592" s="29" t="n">
        <v>12500</v>
      </c>
      <c r="K3592" s="28" t="n">
        <v>11.5</v>
      </c>
      <c r="L3592" s="28" t="n">
        <v>120</v>
      </c>
      <c r="M3592" s="28" t="n">
        <v>0</v>
      </c>
    </row>
    <row r="3593" customFormat="false" ht="15" hidden="false" customHeight="false" outlineLevel="0" collapsed="false">
      <c r="A3593" s="27" t="n">
        <v>45499</v>
      </c>
      <c r="B3593" s="28" t="n">
        <v>2024</v>
      </c>
      <c r="C3593" s="28" t="s">
        <v>140</v>
      </c>
      <c r="D3593" s="28" t="s">
        <v>50</v>
      </c>
      <c r="E3593" s="28" t="s">
        <v>1082</v>
      </c>
      <c r="F3593" s="28" t="s">
        <v>142</v>
      </c>
      <c r="G3593" s="28" t="s">
        <v>143</v>
      </c>
      <c r="H3593" s="28" t="s">
        <v>211</v>
      </c>
      <c r="I3593" s="29" t="n">
        <v>442000</v>
      </c>
      <c r="J3593" s="29" t="n">
        <v>331500</v>
      </c>
      <c r="K3593" s="28" t="n">
        <v>11.25</v>
      </c>
      <c r="L3593" s="28" t="n">
        <v>129</v>
      </c>
      <c r="M3593" s="28" t="n">
        <v>9</v>
      </c>
    </row>
    <row r="3594" customFormat="false" ht="15" hidden="false" customHeight="false" outlineLevel="0" collapsed="false">
      <c r="A3594" s="27" t="n">
        <v>45499</v>
      </c>
      <c r="B3594" s="28" t="n">
        <v>2024</v>
      </c>
      <c r="C3594" s="28" t="s">
        <v>216</v>
      </c>
      <c r="D3594" s="28" t="s">
        <v>50</v>
      </c>
      <c r="E3594" s="28" t="s">
        <v>853</v>
      </c>
      <c r="F3594" s="28" t="s">
        <v>147</v>
      </c>
      <c r="G3594" s="28" t="s">
        <v>441</v>
      </c>
      <c r="H3594" s="28" t="s">
        <v>799</v>
      </c>
      <c r="I3594" s="29" t="n">
        <v>150000</v>
      </c>
      <c r="J3594" s="29" t="n">
        <v>75000</v>
      </c>
      <c r="K3594" s="28" t="n">
        <v>11.25</v>
      </c>
      <c r="L3594" s="28" t="n">
        <v>120</v>
      </c>
      <c r="M3594" s="28" t="n">
        <v>7</v>
      </c>
    </row>
    <row r="3595" customFormat="false" ht="15" hidden="false" customHeight="false" outlineLevel="0" collapsed="false">
      <c r="A3595" s="27" t="n">
        <v>45499</v>
      </c>
      <c r="B3595" s="28" t="n">
        <v>2024</v>
      </c>
      <c r="C3595" s="28" t="s">
        <v>1084</v>
      </c>
      <c r="D3595" s="28" t="s">
        <v>43</v>
      </c>
      <c r="E3595" s="28" t="s">
        <v>1045</v>
      </c>
      <c r="F3595" s="28" t="s">
        <v>142</v>
      </c>
      <c r="G3595" s="28" t="s">
        <v>143</v>
      </c>
      <c r="H3595" s="28" t="s">
        <v>374</v>
      </c>
      <c r="I3595" s="29" t="n">
        <v>400000</v>
      </c>
      <c r="J3595" s="29" t="n">
        <v>300000</v>
      </c>
      <c r="K3595" s="28" t="n">
        <v>10.75</v>
      </c>
      <c r="L3595" s="28" t="n">
        <v>300</v>
      </c>
      <c r="M3595" s="28" t="n">
        <v>1</v>
      </c>
    </row>
    <row r="3596" customFormat="false" ht="15" hidden="false" customHeight="false" outlineLevel="0" collapsed="false">
      <c r="A3596" s="27" t="n">
        <v>45503</v>
      </c>
      <c r="B3596" s="28" t="n">
        <v>2024</v>
      </c>
      <c r="C3596" s="28" t="s">
        <v>196</v>
      </c>
      <c r="D3596" s="28" t="s">
        <v>48</v>
      </c>
      <c r="E3596" s="28" t="s">
        <v>905</v>
      </c>
      <c r="F3596" s="28" t="s">
        <v>142</v>
      </c>
      <c r="G3596" s="28" t="s">
        <v>148</v>
      </c>
      <c r="H3596" s="28" t="s">
        <v>275</v>
      </c>
      <c r="I3596" s="29" t="n">
        <v>50000</v>
      </c>
      <c r="J3596" s="29" t="n">
        <v>42500</v>
      </c>
      <c r="K3596" s="28" t="n">
        <v>15</v>
      </c>
      <c r="L3596" s="28" t="n">
        <v>120</v>
      </c>
      <c r="M3596" s="28" t="n">
        <v>8</v>
      </c>
    </row>
    <row r="3597" customFormat="false" ht="15" hidden="false" customHeight="false" outlineLevel="0" collapsed="false">
      <c r="A3597" s="27" t="n">
        <v>45503</v>
      </c>
      <c r="B3597" s="28" t="n">
        <v>2024</v>
      </c>
      <c r="C3597" s="28" t="s">
        <v>172</v>
      </c>
      <c r="D3597" s="28" t="s">
        <v>45</v>
      </c>
      <c r="E3597" s="28" t="s">
        <v>708</v>
      </c>
      <c r="F3597" s="28" t="s">
        <v>147</v>
      </c>
      <c r="G3597" s="28" t="s">
        <v>148</v>
      </c>
      <c r="H3597" s="28" t="s">
        <v>205</v>
      </c>
      <c r="I3597" s="29" t="n">
        <v>200000</v>
      </c>
      <c r="J3597" s="29" t="n">
        <v>100000</v>
      </c>
      <c r="K3597" s="28" t="n">
        <v>11.5</v>
      </c>
      <c r="L3597" s="28" t="n">
        <v>120</v>
      </c>
      <c r="M3597" s="28" t="n">
        <v>5</v>
      </c>
    </row>
    <row r="3598" customFormat="false" ht="15" hidden="false" customHeight="false" outlineLevel="0" collapsed="false">
      <c r="A3598" s="27" t="n">
        <v>45503</v>
      </c>
      <c r="B3598" s="28" t="n">
        <v>2024</v>
      </c>
      <c r="C3598" s="28" t="s">
        <v>169</v>
      </c>
      <c r="D3598" s="28" t="s">
        <v>52</v>
      </c>
      <c r="E3598" s="28" t="s">
        <v>715</v>
      </c>
      <c r="F3598" s="28" t="s">
        <v>142</v>
      </c>
      <c r="G3598" s="28" t="s">
        <v>148</v>
      </c>
      <c r="H3598" s="28" t="s">
        <v>771</v>
      </c>
      <c r="I3598" s="29" t="n">
        <v>75000</v>
      </c>
      <c r="J3598" s="29" t="n">
        <v>63750</v>
      </c>
      <c r="K3598" s="28" t="n">
        <v>11.25</v>
      </c>
      <c r="L3598" s="28" t="n">
        <v>120</v>
      </c>
      <c r="M3598" s="28" t="n">
        <v>1</v>
      </c>
    </row>
    <row r="3599" customFormat="false" ht="15" hidden="false" customHeight="false" outlineLevel="0" collapsed="false">
      <c r="A3599" s="27" t="n">
        <v>45503</v>
      </c>
      <c r="B3599" s="28" t="n">
        <v>2024</v>
      </c>
      <c r="C3599" s="28" t="s">
        <v>272</v>
      </c>
      <c r="D3599" s="28" t="s">
        <v>43</v>
      </c>
      <c r="E3599" s="28" t="s">
        <v>858</v>
      </c>
      <c r="F3599" s="28" t="s">
        <v>147</v>
      </c>
      <c r="G3599" s="28" t="s">
        <v>148</v>
      </c>
      <c r="H3599" s="28" t="s">
        <v>495</v>
      </c>
      <c r="I3599" s="29" t="n">
        <v>75000</v>
      </c>
      <c r="J3599" s="29" t="n">
        <v>37500</v>
      </c>
      <c r="K3599" s="28" t="n">
        <v>10.5</v>
      </c>
      <c r="L3599" s="28" t="n">
        <v>72</v>
      </c>
      <c r="M3599" s="28" t="n">
        <v>1</v>
      </c>
    </row>
    <row r="3600" customFormat="false" ht="15" hidden="false" customHeight="false" outlineLevel="0" collapsed="false">
      <c r="A3600" s="27" t="n">
        <v>45503</v>
      </c>
      <c r="B3600" s="28" t="n">
        <v>2024</v>
      </c>
      <c r="C3600" s="28" t="s">
        <v>198</v>
      </c>
      <c r="D3600" s="28" t="s">
        <v>56</v>
      </c>
      <c r="E3600" s="28" t="s">
        <v>929</v>
      </c>
      <c r="F3600" s="28" t="s">
        <v>142</v>
      </c>
      <c r="G3600" s="28" t="s">
        <v>148</v>
      </c>
      <c r="H3600" s="28" t="s">
        <v>144</v>
      </c>
      <c r="I3600" s="29" t="n">
        <v>104500</v>
      </c>
      <c r="J3600" s="29" t="n">
        <v>88825</v>
      </c>
      <c r="K3600" s="28" t="n">
        <v>10.99</v>
      </c>
      <c r="L3600" s="28" t="n">
        <v>120</v>
      </c>
      <c r="M3600" s="28" t="n">
        <v>6</v>
      </c>
    </row>
    <row r="3601" customFormat="false" ht="15" hidden="false" customHeight="false" outlineLevel="0" collapsed="false">
      <c r="A3601" s="27" t="n">
        <v>45503</v>
      </c>
      <c r="B3601" s="28" t="n">
        <v>2024</v>
      </c>
      <c r="C3601" s="28" t="s">
        <v>272</v>
      </c>
      <c r="D3601" s="28" t="s">
        <v>43</v>
      </c>
      <c r="E3601" s="28" t="s">
        <v>858</v>
      </c>
      <c r="F3601" s="28" t="s">
        <v>147</v>
      </c>
      <c r="G3601" s="28" t="s">
        <v>152</v>
      </c>
      <c r="H3601" s="28" t="s">
        <v>495</v>
      </c>
      <c r="I3601" s="29" t="n">
        <v>100000</v>
      </c>
      <c r="J3601" s="29" t="n">
        <v>50000</v>
      </c>
      <c r="K3601" s="28" t="n">
        <v>10.5</v>
      </c>
      <c r="L3601" s="28" t="n">
        <v>60</v>
      </c>
      <c r="M3601" s="28" t="n">
        <v>1</v>
      </c>
    </row>
    <row r="3602" customFormat="false" ht="15" hidden="false" customHeight="false" outlineLevel="0" collapsed="false">
      <c r="A3602" s="27" t="n">
        <v>45503</v>
      </c>
      <c r="B3602" s="28" t="n">
        <v>2024</v>
      </c>
      <c r="C3602" s="28" t="s">
        <v>166</v>
      </c>
      <c r="D3602" s="28" t="s">
        <v>43</v>
      </c>
      <c r="E3602" s="28" t="s">
        <v>732</v>
      </c>
      <c r="F3602" s="28" t="s">
        <v>147</v>
      </c>
      <c r="G3602" s="28" t="s">
        <v>148</v>
      </c>
      <c r="H3602" s="28" t="s">
        <v>205</v>
      </c>
      <c r="I3602" s="29" t="n">
        <v>40000</v>
      </c>
      <c r="J3602" s="29" t="n">
        <v>20000</v>
      </c>
      <c r="K3602" s="28" t="n">
        <v>11.5</v>
      </c>
      <c r="L3602" s="28" t="n">
        <v>120</v>
      </c>
      <c r="M3602" s="28" t="n">
        <v>1</v>
      </c>
    </row>
    <row r="3603" customFormat="false" ht="15" hidden="false" customHeight="false" outlineLevel="0" collapsed="false">
      <c r="A3603" s="27" t="n">
        <v>45503</v>
      </c>
      <c r="B3603" s="28" t="n">
        <v>2024</v>
      </c>
      <c r="C3603" s="28" t="s">
        <v>166</v>
      </c>
      <c r="D3603" s="28" t="s">
        <v>52</v>
      </c>
      <c r="E3603" s="28" t="s">
        <v>715</v>
      </c>
      <c r="F3603" s="28" t="s">
        <v>142</v>
      </c>
      <c r="G3603" s="28" t="s">
        <v>441</v>
      </c>
      <c r="H3603" s="28" t="s">
        <v>159</v>
      </c>
      <c r="I3603" s="29" t="n">
        <v>60000</v>
      </c>
      <c r="J3603" s="29" t="n">
        <v>51000</v>
      </c>
      <c r="K3603" s="28" t="n">
        <v>10.75</v>
      </c>
      <c r="L3603" s="28" t="n">
        <v>48</v>
      </c>
      <c r="M3603" s="28" t="n">
        <v>2</v>
      </c>
    </row>
    <row r="3604" customFormat="false" ht="15" hidden="false" customHeight="false" outlineLevel="0" collapsed="false">
      <c r="A3604" s="27" t="n">
        <v>45503</v>
      </c>
      <c r="B3604" s="28" t="n">
        <v>2024</v>
      </c>
      <c r="C3604" s="28" t="s">
        <v>169</v>
      </c>
      <c r="D3604" s="28" t="s">
        <v>45</v>
      </c>
      <c r="E3604" s="28" t="s">
        <v>713</v>
      </c>
      <c r="F3604" s="28" t="s">
        <v>147</v>
      </c>
      <c r="G3604" s="28" t="s">
        <v>148</v>
      </c>
      <c r="H3604" s="28" t="s">
        <v>205</v>
      </c>
      <c r="I3604" s="29" t="n">
        <v>200000</v>
      </c>
      <c r="J3604" s="29" t="n">
        <v>100000</v>
      </c>
      <c r="K3604" s="28" t="n">
        <v>11.5</v>
      </c>
      <c r="L3604" s="28" t="n">
        <v>120</v>
      </c>
      <c r="M3604" s="28" t="n">
        <v>0</v>
      </c>
    </row>
    <row r="3605" customFormat="false" ht="15" hidden="false" customHeight="false" outlineLevel="0" collapsed="false">
      <c r="A3605" s="27" t="n">
        <v>45503</v>
      </c>
      <c r="B3605" s="28" t="n">
        <v>2024</v>
      </c>
      <c r="C3605" s="28" t="s">
        <v>169</v>
      </c>
      <c r="D3605" s="28" t="s">
        <v>49</v>
      </c>
      <c r="E3605" s="28" t="s">
        <v>1085</v>
      </c>
      <c r="F3605" s="28" t="s">
        <v>147</v>
      </c>
      <c r="G3605" s="28" t="s">
        <v>148</v>
      </c>
      <c r="H3605" s="28" t="s">
        <v>205</v>
      </c>
      <c r="I3605" s="29" t="n">
        <v>50000</v>
      </c>
      <c r="J3605" s="29" t="n">
        <v>25000</v>
      </c>
      <c r="K3605" s="28" t="n">
        <v>11.5</v>
      </c>
      <c r="L3605" s="28" t="n">
        <v>120</v>
      </c>
      <c r="M3605" s="28" t="n">
        <v>1</v>
      </c>
    </row>
    <row r="3606" customFormat="false" ht="15" hidden="false" customHeight="false" outlineLevel="0" collapsed="false">
      <c r="A3606" s="27" t="n">
        <v>45504</v>
      </c>
      <c r="B3606" s="28" t="n">
        <v>2024</v>
      </c>
      <c r="C3606" s="28" t="s">
        <v>166</v>
      </c>
      <c r="D3606" s="28" t="s">
        <v>47</v>
      </c>
      <c r="E3606" s="28" t="s">
        <v>1086</v>
      </c>
      <c r="F3606" s="28" t="s">
        <v>142</v>
      </c>
      <c r="G3606" s="28" t="s">
        <v>143</v>
      </c>
      <c r="H3606" s="28" t="s">
        <v>211</v>
      </c>
      <c r="I3606" s="29" t="n">
        <v>404000</v>
      </c>
      <c r="J3606" s="29" t="n">
        <v>303000</v>
      </c>
      <c r="K3606" s="28" t="n">
        <v>11</v>
      </c>
      <c r="L3606" s="28" t="n">
        <v>120</v>
      </c>
      <c r="M3606" s="28" t="n">
        <v>9</v>
      </c>
    </row>
    <row r="3607" customFormat="false" ht="15" hidden="false" customHeight="false" outlineLevel="0" collapsed="false">
      <c r="A3607" s="27" t="n">
        <v>45504</v>
      </c>
      <c r="B3607" s="28" t="n">
        <v>2024</v>
      </c>
      <c r="C3607" s="28" t="s">
        <v>198</v>
      </c>
      <c r="D3607" s="28" t="s">
        <v>42</v>
      </c>
      <c r="E3607" s="28" t="s">
        <v>717</v>
      </c>
      <c r="F3607" s="28" t="s">
        <v>142</v>
      </c>
      <c r="G3607" s="28" t="s">
        <v>148</v>
      </c>
      <c r="H3607" s="28" t="s">
        <v>168</v>
      </c>
      <c r="I3607" s="29" t="n">
        <v>490000</v>
      </c>
      <c r="J3607" s="29" t="n">
        <v>367500</v>
      </c>
      <c r="K3607" s="28" t="n">
        <v>8.51</v>
      </c>
      <c r="L3607" s="28" t="n">
        <v>120</v>
      </c>
      <c r="M3607" s="28" t="n">
        <v>35</v>
      </c>
    </row>
    <row r="3608" customFormat="false" ht="15" hidden="false" customHeight="false" outlineLevel="0" collapsed="false">
      <c r="A3608" s="27" t="n">
        <v>45504</v>
      </c>
      <c r="B3608" s="28" t="n">
        <v>2024</v>
      </c>
      <c r="C3608" s="28" t="s">
        <v>198</v>
      </c>
      <c r="D3608" s="28" t="s">
        <v>48</v>
      </c>
      <c r="E3608" s="28" t="s">
        <v>304</v>
      </c>
      <c r="F3608" s="28" t="s">
        <v>142</v>
      </c>
      <c r="G3608" s="28" t="s">
        <v>148</v>
      </c>
      <c r="H3608" s="28" t="s">
        <v>469</v>
      </c>
      <c r="I3608" s="29" t="n">
        <v>954000</v>
      </c>
      <c r="J3608" s="29" t="n">
        <v>715500</v>
      </c>
      <c r="K3608" s="28" t="n">
        <v>7.5</v>
      </c>
      <c r="L3608" s="28" t="n">
        <v>300</v>
      </c>
      <c r="M3608" s="28" t="n">
        <v>3</v>
      </c>
    </row>
    <row r="3609" customFormat="false" ht="15" hidden="false" customHeight="false" outlineLevel="0" collapsed="false">
      <c r="A3609" s="27" t="n">
        <v>45505</v>
      </c>
      <c r="B3609" s="28" t="n">
        <v>2024</v>
      </c>
      <c r="C3609" s="28" t="s">
        <v>312</v>
      </c>
      <c r="D3609" s="28" t="s">
        <v>44</v>
      </c>
      <c r="E3609" s="28" t="s">
        <v>1087</v>
      </c>
      <c r="F3609" s="28" t="s">
        <v>142</v>
      </c>
      <c r="G3609" s="28" t="s">
        <v>148</v>
      </c>
      <c r="H3609" s="28" t="s">
        <v>275</v>
      </c>
      <c r="I3609" s="29" t="n">
        <v>30000</v>
      </c>
      <c r="J3609" s="29" t="n">
        <v>25500</v>
      </c>
      <c r="K3609" s="28" t="n">
        <v>15</v>
      </c>
      <c r="L3609" s="28" t="n">
        <v>120</v>
      </c>
      <c r="M3609" s="28" t="n">
        <v>4</v>
      </c>
    </row>
    <row r="3610" customFormat="false" ht="15" hidden="false" customHeight="false" outlineLevel="0" collapsed="false">
      <c r="A3610" s="27" t="n">
        <v>45505</v>
      </c>
      <c r="B3610" s="28" t="n">
        <v>2024</v>
      </c>
      <c r="C3610" s="28" t="s">
        <v>235</v>
      </c>
      <c r="D3610" s="28" t="s">
        <v>45</v>
      </c>
      <c r="E3610" s="28" t="s">
        <v>835</v>
      </c>
      <c r="F3610" s="28" t="s">
        <v>142</v>
      </c>
      <c r="G3610" s="28" t="s">
        <v>143</v>
      </c>
      <c r="H3610" s="28" t="s">
        <v>287</v>
      </c>
      <c r="I3610" s="29" t="n">
        <v>150000</v>
      </c>
      <c r="J3610" s="29" t="n">
        <v>127500</v>
      </c>
      <c r="K3610" s="28" t="n">
        <v>11.25</v>
      </c>
      <c r="L3610" s="28" t="n">
        <v>120</v>
      </c>
      <c r="M3610" s="28" t="n">
        <v>5</v>
      </c>
    </row>
    <row r="3611" customFormat="false" ht="15" hidden="false" customHeight="false" outlineLevel="0" collapsed="false">
      <c r="A3611" s="27" t="n">
        <v>45505</v>
      </c>
      <c r="B3611" s="28" t="n">
        <v>2024</v>
      </c>
      <c r="C3611" s="28" t="s">
        <v>206</v>
      </c>
      <c r="D3611" s="28" t="s">
        <v>42</v>
      </c>
      <c r="E3611" s="28" t="s">
        <v>753</v>
      </c>
      <c r="F3611" s="28" t="s">
        <v>142</v>
      </c>
      <c r="G3611" s="28" t="s">
        <v>143</v>
      </c>
      <c r="H3611" s="28" t="s">
        <v>275</v>
      </c>
      <c r="I3611" s="29" t="n">
        <v>1680000</v>
      </c>
      <c r="J3611" s="29" t="n">
        <v>1260000</v>
      </c>
      <c r="K3611" s="28" t="n">
        <v>11.25</v>
      </c>
      <c r="L3611" s="28" t="n">
        <v>125</v>
      </c>
      <c r="M3611" s="28" t="n">
        <v>15</v>
      </c>
    </row>
    <row r="3612" customFormat="false" ht="15" hidden="false" customHeight="false" outlineLevel="0" collapsed="false">
      <c r="A3612" s="27" t="n">
        <v>45506</v>
      </c>
      <c r="B3612" s="28" t="n">
        <v>2024</v>
      </c>
      <c r="C3612" s="28" t="s">
        <v>316</v>
      </c>
      <c r="D3612" s="28" t="s">
        <v>46</v>
      </c>
      <c r="E3612" s="28" t="s">
        <v>727</v>
      </c>
      <c r="F3612" s="28" t="s">
        <v>194</v>
      </c>
      <c r="G3612" s="28" t="s">
        <v>143</v>
      </c>
      <c r="H3612" s="28" t="s">
        <v>1031</v>
      </c>
      <c r="I3612" s="29" t="n">
        <v>75000</v>
      </c>
      <c r="J3612" s="29" t="n">
        <v>63750</v>
      </c>
      <c r="K3612" s="28" t="n">
        <v>11</v>
      </c>
      <c r="L3612" s="28" t="n">
        <v>120</v>
      </c>
      <c r="M3612" s="28" t="n">
        <v>7</v>
      </c>
    </row>
    <row r="3613" customFormat="false" ht="15" hidden="false" customHeight="false" outlineLevel="0" collapsed="false">
      <c r="A3613" s="27" t="n">
        <v>45506</v>
      </c>
      <c r="B3613" s="28" t="n">
        <v>2024</v>
      </c>
      <c r="C3613" s="28" t="s">
        <v>344</v>
      </c>
      <c r="D3613" s="28" t="s">
        <v>52</v>
      </c>
      <c r="E3613" s="28" t="s">
        <v>720</v>
      </c>
      <c r="F3613" s="28" t="s">
        <v>147</v>
      </c>
      <c r="G3613" s="28" t="s">
        <v>148</v>
      </c>
      <c r="H3613" s="28" t="s">
        <v>162</v>
      </c>
      <c r="I3613" s="29" t="n">
        <v>71000</v>
      </c>
      <c r="J3613" s="29" t="n">
        <v>35500</v>
      </c>
      <c r="K3613" s="28" t="n">
        <v>7.23</v>
      </c>
      <c r="L3613" s="28" t="n">
        <v>120</v>
      </c>
      <c r="M3613" s="28" t="n">
        <v>6</v>
      </c>
    </row>
    <row r="3614" customFormat="false" ht="15" hidden="false" customHeight="false" outlineLevel="0" collapsed="false">
      <c r="A3614" s="27" t="n">
        <v>45506</v>
      </c>
      <c r="B3614" s="28" t="n">
        <v>2024</v>
      </c>
      <c r="C3614" s="28" t="s">
        <v>160</v>
      </c>
      <c r="D3614" s="28" t="s">
        <v>53</v>
      </c>
      <c r="E3614" s="28" t="s">
        <v>718</v>
      </c>
      <c r="F3614" s="28" t="s">
        <v>147</v>
      </c>
      <c r="G3614" s="28" t="s">
        <v>143</v>
      </c>
      <c r="H3614" s="28" t="s">
        <v>159</v>
      </c>
      <c r="I3614" s="29" t="n">
        <v>10000</v>
      </c>
      <c r="J3614" s="29" t="n">
        <v>5000</v>
      </c>
      <c r="K3614" s="28" t="n">
        <v>10</v>
      </c>
      <c r="L3614" s="28" t="n">
        <v>120</v>
      </c>
      <c r="M3614" s="28" t="n">
        <v>1</v>
      </c>
    </row>
    <row r="3615" customFormat="false" ht="15" hidden="false" customHeight="false" outlineLevel="0" collapsed="false">
      <c r="A3615" s="27" t="n">
        <v>45506</v>
      </c>
      <c r="B3615" s="28" t="n">
        <v>2024</v>
      </c>
      <c r="C3615" s="28" t="s">
        <v>160</v>
      </c>
      <c r="D3615" s="28" t="s">
        <v>53</v>
      </c>
      <c r="E3615" s="28" t="s">
        <v>718</v>
      </c>
      <c r="F3615" s="28" t="s">
        <v>142</v>
      </c>
      <c r="G3615" s="28" t="s">
        <v>143</v>
      </c>
      <c r="H3615" s="28" t="s">
        <v>159</v>
      </c>
      <c r="I3615" s="29" t="n">
        <v>279000</v>
      </c>
      <c r="J3615" s="29" t="n">
        <v>209250</v>
      </c>
      <c r="K3615" s="28" t="n">
        <v>10.25</v>
      </c>
      <c r="L3615" s="28" t="n">
        <v>120</v>
      </c>
      <c r="M3615" s="28" t="n">
        <v>1</v>
      </c>
    </row>
    <row r="3616" customFormat="false" ht="15" hidden="false" customHeight="false" outlineLevel="0" collapsed="false">
      <c r="A3616" s="27" t="n">
        <v>45506</v>
      </c>
      <c r="B3616" s="28" t="n">
        <v>2024</v>
      </c>
      <c r="C3616" s="28" t="s">
        <v>546</v>
      </c>
      <c r="D3616" s="28" t="s">
        <v>42</v>
      </c>
      <c r="E3616" s="28" t="s">
        <v>717</v>
      </c>
      <c r="F3616" s="28" t="s">
        <v>194</v>
      </c>
      <c r="G3616" s="28" t="s">
        <v>143</v>
      </c>
      <c r="H3616" s="28" t="s">
        <v>227</v>
      </c>
      <c r="I3616" s="29" t="n">
        <v>699000</v>
      </c>
      <c r="J3616" s="29" t="n">
        <v>524250</v>
      </c>
      <c r="K3616" s="28" t="n">
        <v>11.25</v>
      </c>
      <c r="L3616" s="28" t="n">
        <v>300</v>
      </c>
      <c r="M3616" s="28" t="n">
        <v>30</v>
      </c>
    </row>
    <row r="3617" customFormat="false" ht="15" hidden="false" customHeight="false" outlineLevel="0" collapsed="false">
      <c r="A3617" s="27" t="n">
        <v>45509</v>
      </c>
      <c r="B3617" s="28" t="n">
        <v>2024</v>
      </c>
      <c r="C3617" s="28" t="s">
        <v>303</v>
      </c>
      <c r="D3617" s="28" t="s">
        <v>43</v>
      </c>
      <c r="E3617" s="28" t="s">
        <v>967</v>
      </c>
      <c r="F3617" s="28" t="s">
        <v>142</v>
      </c>
      <c r="G3617" s="28" t="s">
        <v>148</v>
      </c>
      <c r="H3617" s="28" t="s">
        <v>771</v>
      </c>
      <c r="I3617" s="29" t="n">
        <v>50000</v>
      </c>
      <c r="J3617" s="29" t="n">
        <v>42500</v>
      </c>
      <c r="K3617" s="28" t="n">
        <v>11.25</v>
      </c>
      <c r="L3617" s="28" t="n">
        <v>120</v>
      </c>
      <c r="M3617" s="28" t="n">
        <v>3</v>
      </c>
    </row>
    <row r="3618" customFormat="false" ht="15" hidden="false" customHeight="false" outlineLevel="0" collapsed="false">
      <c r="A3618" s="27" t="n">
        <v>45509</v>
      </c>
      <c r="B3618" s="28" t="n">
        <v>2024</v>
      </c>
      <c r="C3618" s="28" t="s">
        <v>172</v>
      </c>
      <c r="D3618" s="28" t="s">
        <v>50</v>
      </c>
      <c r="E3618" s="28" t="s">
        <v>836</v>
      </c>
      <c r="F3618" s="28" t="s">
        <v>194</v>
      </c>
      <c r="G3618" s="28" t="s">
        <v>143</v>
      </c>
      <c r="H3618" s="28" t="s">
        <v>799</v>
      </c>
      <c r="I3618" s="29" t="n">
        <v>974900</v>
      </c>
      <c r="J3618" s="29" t="n">
        <v>731175</v>
      </c>
      <c r="K3618" s="28" t="n">
        <v>11.25</v>
      </c>
      <c r="L3618" s="28" t="n">
        <v>117</v>
      </c>
      <c r="M3618" s="28" t="n">
        <v>6</v>
      </c>
    </row>
    <row r="3619" customFormat="false" ht="15" hidden="false" customHeight="false" outlineLevel="0" collapsed="false">
      <c r="A3619" s="27" t="n">
        <v>45509</v>
      </c>
      <c r="B3619" s="28" t="n">
        <v>2024</v>
      </c>
      <c r="C3619" s="28" t="s">
        <v>172</v>
      </c>
      <c r="D3619" s="28" t="s">
        <v>50</v>
      </c>
      <c r="E3619" s="28" t="s">
        <v>724</v>
      </c>
      <c r="F3619" s="28" t="s">
        <v>142</v>
      </c>
      <c r="G3619" s="28" t="s">
        <v>148</v>
      </c>
      <c r="H3619" s="28" t="s">
        <v>771</v>
      </c>
      <c r="I3619" s="29" t="n">
        <v>20000</v>
      </c>
      <c r="J3619" s="29" t="n">
        <v>17000</v>
      </c>
      <c r="K3619" s="28" t="n">
        <v>11.25</v>
      </c>
      <c r="L3619" s="28" t="n">
        <v>120</v>
      </c>
      <c r="M3619" s="28" t="n">
        <v>13</v>
      </c>
    </row>
    <row r="3620" customFormat="false" ht="15" hidden="false" customHeight="false" outlineLevel="0" collapsed="false">
      <c r="A3620" s="27" t="n">
        <v>45509</v>
      </c>
      <c r="B3620" s="28" t="n">
        <v>2024</v>
      </c>
      <c r="C3620" s="28" t="s">
        <v>166</v>
      </c>
      <c r="D3620" s="28" t="s">
        <v>45</v>
      </c>
      <c r="E3620" s="28" t="s">
        <v>293</v>
      </c>
      <c r="F3620" s="28" t="s">
        <v>142</v>
      </c>
      <c r="G3620" s="28" t="s">
        <v>148</v>
      </c>
      <c r="H3620" s="28" t="s">
        <v>275</v>
      </c>
      <c r="I3620" s="29" t="n">
        <v>50000</v>
      </c>
      <c r="J3620" s="29" t="n">
        <v>42500</v>
      </c>
      <c r="K3620" s="28" t="n">
        <v>15</v>
      </c>
      <c r="L3620" s="28" t="n">
        <v>120</v>
      </c>
      <c r="M3620" s="28" t="n">
        <v>0</v>
      </c>
    </row>
    <row r="3621" customFormat="false" ht="15" hidden="false" customHeight="false" outlineLevel="0" collapsed="false">
      <c r="A3621" s="27" t="n">
        <v>45510</v>
      </c>
      <c r="B3621" s="28" t="n">
        <v>2024</v>
      </c>
      <c r="C3621" s="28" t="s">
        <v>175</v>
      </c>
      <c r="D3621" s="28" t="s">
        <v>50</v>
      </c>
      <c r="E3621" s="28" t="s">
        <v>724</v>
      </c>
      <c r="F3621" s="28" t="s">
        <v>142</v>
      </c>
      <c r="G3621" s="28" t="s">
        <v>152</v>
      </c>
      <c r="H3621" s="28" t="s">
        <v>153</v>
      </c>
      <c r="I3621" s="29" t="n">
        <v>356400</v>
      </c>
      <c r="J3621" s="29" t="n">
        <v>267300</v>
      </c>
      <c r="K3621" s="28" t="n">
        <v>10</v>
      </c>
      <c r="L3621" s="28" t="n">
        <v>120</v>
      </c>
      <c r="M3621" s="28" t="n">
        <v>14</v>
      </c>
    </row>
    <row r="3622" customFormat="false" ht="15" hidden="false" customHeight="false" outlineLevel="0" collapsed="false">
      <c r="A3622" s="27" t="n">
        <v>45510</v>
      </c>
      <c r="B3622" s="28" t="n">
        <v>2024</v>
      </c>
      <c r="C3622" s="28" t="s">
        <v>169</v>
      </c>
      <c r="D3622" s="28" t="s">
        <v>43</v>
      </c>
      <c r="E3622" s="28" t="s">
        <v>1088</v>
      </c>
      <c r="F3622" s="28" t="s">
        <v>142</v>
      </c>
      <c r="G3622" s="28" t="s">
        <v>143</v>
      </c>
      <c r="H3622" s="28" t="s">
        <v>605</v>
      </c>
      <c r="I3622" s="29" t="n">
        <v>122000</v>
      </c>
      <c r="J3622" s="29" t="n">
        <v>103700</v>
      </c>
      <c r="K3622" s="28" t="n">
        <v>11.5</v>
      </c>
      <c r="L3622" s="28" t="n">
        <v>120</v>
      </c>
      <c r="M3622" s="28" t="n">
        <v>4</v>
      </c>
    </row>
    <row r="3623" customFormat="false" ht="15" hidden="false" customHeight="false" outlineLevel="0" collapsed="false">
      <c r="A3623" s="27" t="n">
        <v>45510</v>
      </c>
      <c r="B3623" s="28" t="n">
        <v>2024</v>
      </c>
      <c r="C3623" s="28" t="s">
        <v>169</v>
      </c>
      <c r="D3623" s="28" t="s">
        <v>46</v>
      </c>
      <c r="E3623" s="28" t="s">
        <v>727</v>
      </c>
      <c r="F3623" s="28" t="s">
        <v>147</v>
      </c>
      <c r="G3623" s="28" t="s">
        <v>148</v>
      </c>
      <c r="H3623" s="28" t="s">
        <v>159</v>
      </c>
      <c r="I3623" s="29" t="n">
        <v>20000</v>
      </c>
      <c r="J3623" s="29" t="n">
        <v>10000</v>
      </c>
      <c r="K3623" s="28" t="n">
        <v>15</v>
      </c>
      <c r="L3623" s="28" t="n">
        <v>120</v>
      </c>
      <c r="M3623" s="28" t="n">
        <v>2</v>
      </c>
    </row>
    <row r="3624" customFormat="false" ht="15" hidden="false" customHeight="false" outlineLevel="0" collapsed="false">
      <c r="A3624" s="27" t="n">
        <v>45510</v>
      </c>
      <c r="B3624" s="28" t="n">
        <v>2024</v>
      </c>
      <c r="C3624" s="28" t="s">
        <v>172</v>
      </c>
      <c r="D3624" s="28" t="s">
        <v>48</v>
      </c>
      <c r="E3624" s="28" t="s">
        <v>840</v>
      </c>
      <c r="F3624" s="28" t="s">
        <v>142</v>
      </c>
      <c r="G3624" s="28" t="s">
        <v>148</v>
      </c>
      <c r="H3624" s="28" t="s">
        <v>269</v>
      </c>
      <c r="I3624" s="29" t="n">
        <v>150000</v>
      </c>
      <c r="J3624" s="29" t="n">
        <v>127500</v>
      </c>
      <c r="K3624" s="28" t="n">
        <v>11.25</v>
      </c>
      <c r="L3624" s="28" t="n">
        <v>120</v>
      </c>
      <c r="M3624" s="28" t="n">
        <v>7</v>
      </c>
    </row>
    <row r="3625" customFormat="false" ht="15" hidden="false" customHeight="false" outlineLevel="0" collapsed="false">
      <c r="A3625" s="27" t="n">
        <v>45510</v>
      </c>
      <c r="B3625" s="28" t="n">
        <v>2024</v>
      </c>
      <c r="C3625" s="28" t="s">
        <v>172</v>
      </c>
      <c r="D3625" s="28" t="s">
        <v>56</v>
      </c>
      <c r="E3625" s="28" t="s">
        <v>772</v>
      </c>
      <c r="F3625" s="28" t="s">
        <v>142</v>
      </c>
      <c r="G3625" s="28" t="s">
        <v>148</v>
      </c>
      <c r="H3625" s="28" t="s">
        <v>771</v>
      </c>
      <c r="I3625" s="29" t="n">
        <v>50000</v>
      </c>
      <c r="J3625" s="29" t="n">
        <v>42500</v>
      </c>
      <c r="K3625" s="28" t="n">
        <v>11.25</v>
      </c>
      <c r="L3625" s="28" t="n">
        <v>120</v>
      </c>
      <c r="M3625" s="28" t="n">
        <v>3</v>
      </c>
    </row>
    <row r="3626" customFormat="false" ht="15" hidden="false" customHeight="false" outlineLevel="0" collapsed="false">
      <c r="A3626" s="27" t="n">
        <v>45511</v>
      </c>
      <c r="B3626" s="28" t="n">
        <v>2024</v>
      </c>
      <c r="C3626" s="28" t="s">
        <v>206</v>
      </c>
      <c r="D3626" s="28" t="s">
        <v>47</v>
      </c>
      <c r="E3626" s="28" t="s">
        <v>760</v>
      </c>
      <c r="F3626" s="28" t="s">
        <v>147</v>
      </c>
      <c r="G3626" s="28" t="s">
        <v>148</v>
      </c>
      <c r="H3626" s="28" t="s">
        <v>372</v>
      </c>
      <c r="I3626" s="29" t="n">
        <v>70000</v>
      </c>
      <c r="J3626" s="29" t="n">
        <v>35000</v>
      </c>
      <c r="K3626" s="28" t="n">
        <v>10.25</v>
      </c>
      <c r="L3626" s="28" t="n">
        <v>84</v>
      </c>
      <c r="M3626" s="28" t="n">
        <v>50</v>
      </c>
    </row>
    <row r="3627" customFormat="false" ht="15" hidden="false" customHeight="false" outlineLevel="0" collapsed="false">
      <c r="A3627" s="27" t="n">
        <v>45511</v>
      </c>
      <c r="B3627" s="28" t="n">
        <v>2024</v>
      </c>
      <c r="C3627" s="28" t="s">
        <v>172</v>
      </c>
      <c r="D3627" s="28" t="s">
        <v>45</v>
      </c>
      <c r="E3627" s="28" t="s">
        <v>708</v>
      </c>
      <c r="F3627" s="28" t="s">
        <v>147</v>
      </c>
      <c r="G3627" s="28" t="s">
        <v>148</v>
      </c>
      <c r="H3627" s="28" t="s">
        <v>159</v>
      </c>
      <c r="I3627" s="29" t="n">
        <v>250000</v>
      </c>
      <c r="J3627" s="29" t="n">
        <v>125000</v>
      </c>
      <c r="K3627" s="28" t="n">
        <v>9.75</v>
      </c>
      <c r="L3627" s="28" t="n">
        <v>72</v>
      </c>
      <c r="M3627" s="28" t="n">
        <v>12</v>
      </c>
    </row>
    <row r="3628" customFormat="false" ht="15" hidden="false" customHeight="false" outlineLevel="0" collapsed="false">
      <c r="A3628" s="27" t="n">
        <v>45511</v>
      </c>
      <c r="B3628" s="28" t="n">
        <v>2024</v>
      </c>
      <c r="C3628" s="28" t="s">
        <v>160</v>
      </c>
      <c r="D3628" s="28" t="s">
        <v>56</v>
      </c>
      <c r="E3628" s="28" t="s">
        <v>772</v>
      </c>
      <c r="F3628" s="28" t="s">
        <v>142</v>
      </c>
      <c r="G3628" s="28" t="s">
        <v>148</v>
      </c>
      <c r="H3628" s="28" t="s">
        <v>953</v>
      </c>
      <c r="I3628" s="29" t="n">
        <v>75000</v>
      </c>
      <c r="J3628" s="29" t="n">
        <v>63750</v>
      </c>
      <c r="K3628" s="28" t="n">
        <v>11.5</v>
      </c>
      <c r="L3628" s="28" t="n">
        <v>120</v>
      </c>
      <c r="M3628" s="28" t="n">
        <v>0</v>
      </c>
    </row>
    <row r="3629" customFormat="false" ht="15" hidden="false" customHeight="false" outlineLevel="0" collapsed="false">
      <c r="A3629" s="27" t="n">
        <v>45511</v>
      </c>
      <c r="B3629" s="28" t="n">
        <v>2024</v>
      </c>
      <c r="C3629" s="28" t="s">
        <v>172</v>
      </c>
      <c r="D3629" s="28" t="s">
        <v>42</v>
      </c>
      <c r="E3629" s="28" t="s">
        <v>753</v>
      </c>
      <c r="F3629" s="28" t="s">
        <v>147</v>
      </c>
      <c r="G3629" s="28" t="s">
        <v>148</v>
      </c>
      <c r="H3629" s="28" t="s">
        <v>159</v>
      </c>
      <c r="I3629" s="29" t="n">
        <v>80000</v>
      </c>
      <c r="J3629" s="29" t="n">
        <v>40000</v>
      </c>
      <c r="K3629" s="28" t="n">
        <v>10.75</v>
      </c>
      <c r="L3629" s="28" t="n">
        <v>120</v>
      </c>
      <c r="M3629" s="28" t="n">
        <v>7</v>
      </c>
    </row>
    <row r="3630" customFormat="false" ht="15" hidden="false" customHeight="false" outlineLevel="0" collapsed="false">
      <c r="A3630" s="27" t="n">
        <v>45511</v>
      </c>
      <c r="B3630" s="28" t="n">
        <v>2024</v>
      </c>
      <c r="C3630" s="28" t="s">
        <v>216</v>
      </c>
      <c r="D3630" s="28" t="s">
        <v>52</v>
      </c>
      <c r="E3630" s="28" t="s">
        <v>715</v>
      </c>
      <c r="F3630" s="28" t="s">
        <v>142</v>
      </c>
      <c r="G3630" s="28" t="s">
        <v>148</v>
      </c>
      <c r="H3630" s="28" t="s">
        <v>1089</v>
      </c>
      <c r="I3630" s="29" t="n">
        <v>682700</v>
      </c>
      <c r="J3630" s="29" t="n">
        <v>512025</v>
      </c>
      <c r="K3630" s="28" t="n">
        <v>10.75</v>
      </c>
      <c r="L3630" s="28" t="n">
        <v>120</v>
      </c>
      <c r="M3630" s="28" t="n">
        <v>1</v>
      </c>
    </row>
    <row r="3631" customFormat="false" ht="15" hidden="false" customHeight="false" outlineLevel="0" collapsed="false">
      <c r="A3631" s="27" t="n">
        <v>45511</v>
      </c>
      <c r="B3631" s="28" t="n">
        <v>2024</v>
      </c>
      <c r="C3631" s="28" t="s">
        <v>166</v>
      </c>
      <c r="D3631" s="28" t="s">
        <v>48</v>
      </c>
      <c r="E3631" s="28" t="s">
        <v>1090</v>
      </c>
      <c r="F3631" s="28" t="s">
        <v>142</v>
      </c>
      <c r="G3631" s="28" t="s">
        <v>148</v>
      </c>
      <c r="H3631" s="28" t="s">
        <v>275</v>
      </c>
      <c r="I3631" s="29" t="n">
        <v>1275000</v>
      </c>
      <c r="J3631" s="29" t="n">
        <v>956250</v>
      </c>
      <c r="K3631" s="28" t="n">
        <v>11.25</v>
      </c>
      <c r="L3631" s="28" t="n">
        <v>180</v>
      </c>
      <c r="M3631" s="28" t="n">
        <v>16</v>
      </c>
    </row>
    <row r="3632" customFormat="false" ht="15" hidden="false" customHeight="false" outlineLevel="0" collapsed="false">
      <c r="A3632" s="27" t="n">
        <v>45512</v>
      </c>
      <c r="B3632" s="28" t="n">
        <v>2024</v>
      </c>
      <c r="C3632" s="28" t="s">
        <v>243</v>
      </c>
      <c r="D3632" s="28" t="s">
        <v>57</v>
      </c>
      <c r="E3632" s="28" t="s">
        <v>728</v>
      </c>
      <c r="F3632" s="28" t="s">
        <v>142</v>
      </c>
      <c r="G3632" s="28" t="s">
        <v>148</v>
      </c>
      <c r="H3632" s="28" t="s">
        <v>211</v>
      </c>
      <c r="I3632" s="29" t="n">
        <v>105000</v>
      </c>
      <c r="J3632" s="29" t="n">
        <v>89250</v>
      </c>
      <c r="K3632" s="28" t="n">
        <v>11.25</v>
      </c>
      <c r="L3632" s="28" t="n">
        <v>120</v>
      </c>
      <c r="M3632" s="28" t="n">
        <v>2</v>
      </c>
    </row>
    <row r="3633" customFormat="false" ht="15" hidden="false" customHeight="false" outlineLevel="0" collapsed="false">
      <c r="A3633" s="27" t="n">
        <v>45512</v>
      </c>
      <c r="B3633" s="28" t="n">
        <v>2024</v>
      </c>
      <c r="C3633" s="28" t="s">
        <v>145</v>
      </c>
      <c r="D3633" s="28" t="s">
        <v>43</v>
      </c>
      <c r="E3633" s="28" t="s">
        <v>749</v>
      </c>
      <c r="F3633" s="28" t="s">
        <v>142</v>
      </c>
      <c r="G3633" s="28" t="s">
        <v>441</v>
      </c>
      <c r="H3633" s="28" t="s">
        <v>208</v>
      </c>
      <c r="I3633" s="29" t="n">
        <v>1325000</v>
      </c>
      <c r="J3633" s="29" t="n">
        <v>993750</v>
      </c>
      <c r="K3633" s="28" t="n">
        <v>10.5</v>
      </c>
      <c r="L3633" s="28" t="n">
        <v>120</v>
      </c>
      <c r="M3633" s="28" t="n">
        <v>4</v>
      </c>
    </row>
    <row r="3634" customFormat="false" ht="15" hidden="false" customHeight="false" outlineLevel="0" collapsed="false">
      <c r="A3634" s="27" t="n">
        <v>45512</v>
      </c>
      <c r="B3634" s="28" t="n">
        <v>2024</v>
      </c>
      <c r="C3634" s="28" t="s">
        <v>166</v>
      </c>
      <c r="D3634" s="28" t="s">
        <v>42</v>
      </c>
      <c r="E3634" s="28" t="s">
        <v>753</v>
      </c>
      <c r="F3634" s="28" t="s">
        <v>142</v>
      </c>
      <c r="G3634" s="28" t="s">
        <v>148</v>
      </c>
      <c r="H3634" s="28" t="s">
        <v>771</v>
      </c>
      <c r="I3634" s="29" t="n">
        <v>150000</v>
      </c>
      <c r="J3634" s="29" t="n">
        <v>127500</v>
      </c>
      <c r="K3634" s="28" t="n">
        <v>11.25</v>
      </c>
      <c r="L3634" s="28" t="n">
        <v>120</v>
      </c>
      <c r="M3634" s="28" t="n">
        <v>11</v>
      </c>
    </row>
    <row r="3635" customFormat="false" ht="15" hidden="false" customHeight="false" outlineLevel="0" collapsed="false">
      <c r="A3635" s="27" t="n">
        <v>45512</v>
      </c>
      <c r="B3635" s="28" t="n">
        <v>2024</v>
      </c>
      <c r="C3635" s="28" t="s">
        <v>140</v>
      </c>
      <c r="D3635" s="28" t="s">
        <v>44</v>
      </c>
      <c r="E3635" s="28" t="s">
        <v>167</v>
      </c>
      <c r="F3635" s="28" t="s">
        <v>142</v>
      </c>
      <c r="G3635" s="28" t="s">
        <v>148</v>
      </c>
      <c r="H3635" s="28" t="s">
        <v>953</v>
      </c>
      <c r="I3635" s="29" t="n">
        <v>300000</v>
      </c>
      <c r="J3635" s="29" t="n">
        <v>225000</v>
      </c>
      <c r="K3635" s="28" t="n">
        <v>11.5</v>
      </c>
      <c r="L3635" s="28" t="n">
        <v>120</v>
      </c>
      <c r="M3635" s="28" t="n">
        <v>135</v>
      </c>
    </row>
    <row r="3636" customFormat="false" ht="15" hidden="false" customHeight="false" outlineLevel="0" collapsed="false">
      <c r="A3636" s="27" t="n">
        <v>45512</v>
      </c>
      <c r="B3636" s="28" t="n">
        <v>2024</v>
      </c>
      <c r="C3636" s="28" t="s">
        <v>257</v>
      </c>
      <c r="D3636" s="28" t="s">
        <v>42</v>
      </c>
      <c r="E3636" s="28" t="s">
        <v>753</v>
      </c>
      <c r="F3636" s="28" t="s">
        <v>142</v>
      </c>
      <c r="G3636" s="28" t="s">
        <v>152</v>
      </c>
      <c r="H3636" s="28" t="s">
        <v>314</v>
      </c>
      <c r="I3636" s="29" t="n">
        <v>185000</v>
      </c>
      <c r="J3636" s="29" t="n">
        <v>138750</v>
      </c>
      <c r="K3636" s="28" t="n">
        <v>10.5</v>
      </c>
      <c r="L3636" s="28" t="n">
        <v>120</v>
      </c>
      <c r="M3636" s="28" t="n">
        <v>13</v>
      </c>
    </row>
    <row r="3637" customFormat="false" ht="15" hidden="false" customHeight="false" outlineLevel="0" collapsed="false">
      <c r="A3637" s="27" t="n">
        <v>45513</v>
      </c>
      <c r="B3637" s="28" t="n">
        <v>2024</v>
      </c>
      <c r="C3637" s="28" t="s">
        <v>172</v>
      </c>
      <c r="D3637" s="28" t="s">
        <v>48</v>
      </c>
      <c r="E3637" s="28" t="s">
        <v>925</v>
      </c>
      <c r="F3637" s="28" t="s">
        <v>147</v>
      </c>
      <c r="G3637" s="28" t="s">
        <v>441</v>
      </c>
      <c r="H3637" s="28" t="s">
        <v>162</v>
      </c>
      <c r="I3637" s="29" t="n">
        <v>200000</v>
      </c>
      <c r="J3637" s="29" t="n">
        <v>100000</v>
      </c>
      <c r="K3637" s="28" t="n">
        <v>11.5</v>
      </c>
      <c r="L3637" s="28" t="n">
        <v>120</v>
      </c>
      <c r="M3637" s="28" t="n">
        <v>15</v>
      </c>
    </row>
    <row r="3638" customFormat="false" ht="15" hidden="false" customHeight="false" outlineLevel="0" collapsed="false">
      <c r="A3638" s="27" t="n">
        <v>45513</v>
      </c>
      <c r="B3638" s="28" t="n">
        <v>2024</v>
      </c>
      <c r="C3638" s="28" t="s">
        <v>169</v>
      </c>
      <c r="D3638" s="28" t="s">
        <v>54</v>
      </c>
      <c r="E3638" s="28" t="s">
        <v>833</v>
      </c>
      <c r="F3638" s="28" t="s">
        <v>142</v>
      </c>
      <c r="G3638" s="28" t="s">
        <v>148</v>
      </c>
      <c r="H3638" s="28" t="s">
        <v>208</v>
      </c>
      <c r="I3638" s="29" t="n">
        <v>60000</v>
      </c>
      <c r="J3638" s="29" t="n">
        <v>51000</v>
      </c>
      <c r="K3638" s="28" t="n">
        <v>11.25</v>
      </c>
      <c r="L3638" s="28" t="n">
        <v>120</v>
      </c>
      <c r="M3638" s="28" t="n">
        <v>0</v>
      </c>
    </row>
    <row r="3639" customFormat="false" ht="15" hidden="false" customHeight="false" outlineLevel="0" collapsed="false">
      <c r="A3639" s="27" t="n">
        <v>45514</v>
      </c>
      <c r="B3639" s="28" t="n">
        <v>2024</v>
      </c>
      <c r="C3639" s="28" t="s">
        <v>166</v>
      </c>
      <c r="D3639" s="28" t="s">
        <v>47</v>
      </c>
      <c r="E3639" s="28" t="s">
        <v>1086</v>
      </c>
      <c r="F3639" s="28" t="s">
        <v>147</v>
      </c>
      <c r="G3639" s="28" t="s">
        <v>143</v>
      </c>
      <c r="H3639" s="28" t="s">
        <v>211</v>
      </c>
      <c r="I3639" s="29" t="n">
        <v>100000</v>
      </c>
      <c r="J3639" s="29" t="n">
        <v>50000</v>
      </c>
      <c r="K3639" s="28" t="n">
        <v>11</v>
      </c>
      <c r="L3639" s="28" t="n">
        <v>120</v>
      </c>
      <c r="M3639" s="28" t="n">
        <v>11</v>
      </c>
    </row>
    <row r="3640" customFormat="false" ht="15" hidden="false" customHeight="false" outlineLevel="0" collapsed="false">
      <c r="A3640" s="27" t="n">
        <v>45516</v>
      </c>
      <c r="B3640" s="28" t="n">
        <v>2024</v>
      </c>
      <c r="C3640" s="28" t="s">
        <v>230</v>
      </c>
      <c r="D3640" s="28" t="s">
        <v>45</v>
      </c>
      <c r="E3640" s="28" t="s">
        <v>222</v>
      </c>
      <c r="F3640" s="28" t="s">
        <v>142</v>
      </c>
      <c r="G3640" s="28" t="s">
        <v>152</v>
      </c>
      <c r="H3640" s="28" t="s">
        <v>827</v>
      </c>
      <c r="I3640" s="29" t="n">
        <v>1806000</v>
      </c>
      <c r="J3640" s="29" t="n">
        <v>1354500</v>
      </c>
      <c r="K3640" s="28" t="n">
        <v>10.5</v>
      </c>
      <c r="L3640" s="28" t="n">
        <v>120</v>
      </c>
      <c r="M3640" s="28" t="n">
        <v>9</v>
      </c>
    </row>
    <row r="3641" customFormat="false" ht="15" hidden="false" customHeight="false" outlineLevel="0" collapsed="false">
      <c r="A3641" s="27" t="n">
        <v>45516</v>
      </c>
      <c r="B3641" s="28" t="n">
        <v>2024</v>
      </c>
      <c r="C3641" s="28" t="s">
        <v>206</v>
      </c>
      <c r="D3641" s="28" t="s">
        <v>44</v>
      </c>
      <c r="E3641" s="28" t="s">
        <v>730</v>
      </c>
      <c r="F3641" s="28" t="s">
        <v>142</v>
      </c>
      <c r="G3641" s="28" t="s">
        <v>148</v>
      </c>
      <c r="H3641" s="28" t="s">
        <v>1010</v>
      </c>
      <c r="I3641" s="29" t="n">
        <v>997300</v>
      </c>
      <c r="J3641" s="29" t="n">
        <v>747975</v>
      </c>
      <c r="K3641" s="28" t="n">
        <v>11.25</v>
      </c>
      <c r="L3641" s="28" t="n">
        <v>120</v>
      </c>
      <c r="M3641" s="28" t="n">
        <v>35</v>
      </c>
    </row>
    <row r="3642" customFormat="false" ht="15" hidden="false" customHeight="false" outlineLevel="0" collapsed="false">
      <c r="A3642" s="27" t="n">
        <v>45516</v>
      </c>
      <c r="B3642" s="28" t="n">
        <v>2024</v>
      </c>
      <c r="C3642" s="28" t="s">
        <v>145</v>
      </c>
      <c r="D3642" s="28" t="s">
        <v>48</v>
      </c>
      <c r="E3642" s="28" t="s">
        <v>815</v>
      </c>
      <c r="F3642" s="28" t="s">
        <v>142</v>
      </c>
      <c r="G3642" s="28" t="s">
        <v>148</v>
      </c>
      <c r="H3642" s="28" t="s">
        <v>771</v>
      </c>
      <c r="I3642" s="29" t="n">
        <v>250000</v>
      </c>
      <c r="J3642" s="29" t="n">
        <v>187500</v>
      </c>
      <c r="K3642" s="28" t="n">
        <v>11.25</v>
      </c>
      <c r="L3642" s="28" t="n">
        <v>120</v>
      </c>
      <c r="M3642" s="28" t="n">
        <v>12</v>
      </c>
    </row>
    <row r="3643" customFormat="false" ht="15" hidden="false" customHeight="false" outlineLevel="0" collapsed="false">
      <c r="A3643" s="27" t="n">
        <v>45517</v>
      </c>
      <c r="B3643" s="28" t="n">
        <v>2024</v>
      </c>
      <c r="C3643" s="28" t="s">
        <v>169</v>
      </c>
      <c r="D3643" s="28" t="s">
        <v>55</v>
      </c>
      <c r="E3643" s="28" t="s">
        <v>1091</v>
      </c>
      <c r="F3643" s="28" t="s">
        <v>142</v>
      </c>
      <c r="G3643" s="28" t="s">
        <v>148</v>
      </c>
      <c r="H3643" s="28" t="s">
        <v>953</v>
      </c>
      <c r="I3643" s="29" t="n">
        <v>75000</v>
      </c>
      <c r="J3643" s="29" t="n">
        <v>63750</v>
      </c>
      <c r="K3643" s="28" t="n">
        <v>11.5</v>
      </c>
      <c r="L3643" s="28" t="n">
        <v>120</v>
      </c>
      <c r="M3643" s="28" t="n">
        <v>45</v>
      </c>
    </row>
    <row r="3644" customFormat="false" ht="15" hidden="false" customHeight="false" outlineLevel="0" collapsed="false">
      <c r="A3644" s="27" t="n">
        <v>45517</v>
      </c>
      <c r="B3644" s="28" t="n">
        <v>2024</v>
      </c>
      <c r="C3644" s="28" t="s">
        <v>203</v>
      </c>
      <c r="D3644" s="28" t="s">
        <v>46</v>
      </c>
      <c r="E3644" s="28" t="s">
        <v>770</v>
      </c>
      <c r="F3644" s="28" t="s">
        <v>142</v>
      </c>
      <c r="G3644" s="28" t="s">
        <v>143</v>
      </c>
      <c r="H3644" s="28" t="s">
        <v>211</v>
      </c>
      <c r="I3644" s="29" t="n">
        <v>525000</v>
      </c>
      <c r="J3644" s="29" t="n">
        <v>393750</v>
      </c>
      <c r="K3644" s="28" t="n">
        <v>11.25</v>
      </c>
      <c r="L3644" s="28" t="n">
        <v>132</v>
      </c>
      <c r="M3644" s="28" t="n">
        <v>22</v>
      </c>
    </row>
    <row r="3645" customFormat="false" ht="15" hidden="false" customHeight="false" outlineLevel="0" collapsed="false">
      <c r="A3645" s="27" t="n">
        <v>45517</v>
      </c>
      <c r="B3645" s="28" t="n">
        <v>2024</v>
      </c>
      <c r="C3645" s="28" t="s">
        <v>203</v>
      </c>
      <c r="D3645" s="28" t="s">
        <v>43</v>
      </c>
      <c r="E3645" s="28" t="s">
        <v>967</v>
      </c>
      <c r="F3645" s="28" t="s">
        <v>147</v>
      </c>
      <c r="G3645" s="28" t="s">
        <v>441</v>
      </c>
      <c r="H3645" s="28" t="s">
        <v>159</v>
      </c>
      <c r="I3645" s="29" t="n">
        <v>25000</v>
      </c>
      <c r="J3645" s="29" t="n">
        <v>12500</v>
      </c>
      <c r="K3645" s="28" t="n">
        <v>15</v>
      </c>
      <c r="L3645" s="28" t="n">
        <v>120</v>
      </c>
      <c r="M3645" s="28" t="n">
        <v>5</v>
      </c>
    </row>
    <row r="3646" customFormat="false" ht="15" hidden="false" customHeight="false" outlineLevel="0" collapsed="false">
      <c r="A3646" s="27" t="n">
        <v>45517</v>
      </c>
      <c r="B3646" s="28" t="n">
        <v>2024</v>
      </c>
      <c r="C3646" s="28" t="s">
        <v>172</v>
      </c>
      <c r="D3646" s="28" t="s">
        <v>48</v>
      </c>
      <c r="E3646" s="28" t="s">
        <v>362</v>
      </c>
      <c r="F3646" s="28" t="s">
        <v>147</v>
      </c>
      <c r="G3646" s="28" t="s">
        <v>148</v>
      </c>
      <c r="H3646" s="28" t="s">
        <v>428</v>
      </c>
      <c r="I3646" s="29" t="n">
        <v>40000</v>
      </c>
      <c r="J3646" s="29" t="n">
        <v>20000</v>
      </c>
      <c r="K3646" s="28" t="n">
        <v>15</v>
      </c>
      <c r="L3646" s="28" t="n">
        <v>120</v>
      </c>
      <c r="M3646" s="28" t="n">
        <v>4</v>
      </c>
    </row>
    <row r="3647" customFormat="false" ht="15" hidden="false" customHeight="false" outlineLevel="0" collapsed="false">
      <c r="A3647" s="27" t="n">
        <v>45517</v>
      </c>
      <c r="B3647" s="28" t="n">
        <v>2024</v>
      </c>
      <c r="C3647" s="28" t="s">
        <v>510</v>
      </c>
      <c r="D3647" s="28" t="s">
        <v>45</v>
      </c>
      <c r="E3647" s="28" t="s">
        <v>222</v>
      </c>
      <c r="F3647" s="28" t="s">
        <v>194</v>
      </c>
      <c r="G3647" s="28" t="s">
        <v>143</v>
      </c>
      <c r="H3647" s="28" t="s">
        <v>266</v>
      </c>
      <c r="I3647" s="29" t="n">
        <v>247900</v>
      </c>
      <c r="J3647" s="29" t="n">
        <v>185925</v>
      </c>
      <c r="K3647" s="28" t="n">
        <v>8.5</v>
      </c>
      <c r="L3647" s="28" t="n">
        <v>60</v>
      </c>
      <c r="M3647" s="28" t="n">
        <v>2</v>
      </c>
    </row>
    <row r="3648" customFormat="false" ht="15" hidden="false" customHeight="false" outlineLevel="0" collapsed="false">
      <c r="A3648" s="27" t="n">
        <v>45517</v>
      </c>
      <c r="B3648" s="28" t="n">
        <v>2024</v>
      </c>
      <c r="C3648" s="28" t="s">
        <v>203</v>
      </c>
      <c r="D3648" s="28" t="s">
        <v>43</v>
      </c>
      <c r="E3648" s="28" t="s">
        <v>967</v>
      </c>
      <c r="F3648" s="28" t="s">
        <v>142</v>
      </c>
      <c r="G3648" s="28" t="s">
        <v>441</v>
      </c>
      <c r="H3648" s="28" t="s">
        <v>159</v>
      </c>
      <c r="I3648" s="29" t="n">
        <v>75000</v>
      </c>
      <c r="J3648" s="29" t="n">
        <v>63750</v>
      </c>
      <c r="K3648" s="28" t="n">
        <v>9.49</v>
      </c>
      <c r="L3648" s="28" t="n">
        <v>60</v>
      </c>
      <c r="M3648" s="28" t="n">
        <v>4</v>
      </c>
    </row>
    <row r="3649" customFormat="false" ht="15" hidden="false" customHeight="false" outlineLevel="0" collapsed="false">
      <c r="A3649" s="27" t="n">
        <v>45517</v>
      </c>
      <c r="B3649" s="28" t="n">
        <v>2024</v>
      </c>
      <c r="C3649" s="28" t="s">
        <v>303</v>
      </c>
      <c r="D3649" s="28" t="s">
        <v>47</v>
      </c>
      <c r="E3649" s="28" t="s">
        <v>873</v>
      </c>
      <c r="F3649" s="28" t="s">
        <v>142</v>
      </c>
      <c r="G3649" s="28" t="s">
        <v>148</v>
      </c>
      <c r="H3649" s="28" t="s">
        <v>953</v>
      </c>
      <c r="I3649" s="29" t="n">
        <v>1600000</v>
      </c>
      <c r="J3649" s="29" t="n">
        <v>1200000</v>
      </c>
      <c r="K3649" s="28" t="n">
        <v>11.5</v>
      </c>
      <c r="L3649" s="28" t="n">
        <v>120</v>
      </c>
      <c r="M3649" s="28" t="n">
        <v>45</v>
      </c>
    </row>
    <row r="3650" customFormat="false" ht="15" hidden="false" customHeight="false" outlineLevel="0" collapsed="false">
      <c r="A3650" s="27" t="n">
        <v>45519</v>
      </c>
      <c r="B3650" s="28" t="n">
        <v>2024</v>
      </c>
      <c r="C3650" s="28" t="s">
        <v>515</v>
      </c>
      <c r="D3650" s="28" t="s">
        <v>45</v>
      </c>
      <c r="E3650" s="28" t="s">
        <v>222</v>
      </c>
      <c r="F3650" s="28" t="s">
        <v>142</v>
      </c>
      <c r="G3650" s="28" t="s">
        <v>148</v>
      </c>
      <c r="H3650" s="28" t="s">
        <v>771</v>
      </c>
      <c r="I3650" s="29" t="n">
        <v>50000</v>
      </c>
      <c r="J3650" s="29" t="n">
        <v>42500</v>
      </c>
      <c r="K3650" s="28" t="n">
        <v>11.25</v>
      </c>
      <c r="L3650" s="28" t="n">
        <v>115</v>
      </c>
      <c r="M3650" s="28" t="n">
        <v>2</v>
      </c>
    </row>
    <row r="3651" customFormat="false" ht="15" hidden="false" customHeight="false" outlineLevel="0" collapsed="false">
      <c r="A3651" s="27" t="n">
        <v>45519</v>
      </c>
      <c r="B3651" s="28" t="n">
        <v>2024</v>
      </c>
      <c r="C3651" s="28" t="s">
        <v>328</v>
      </c>
      <c r="D3651" s="28" t="s">
        <v>53</v>
      </c>
      <c r="E3651" s="28" t="s">
        <v>734</v>
      </c>
      <c r="F3651" s="28" t="s">
        <v>194</v>
      </c>
      <c r="G3651" s="28" t="s">
        <v>148</v>
      </c>
      <c r="H3651" s="28" t="s">
        <v>1031</v>
      </c>
      <c r="I3651" s="29" t="n">
        <v>135000</v>
      </c>
      <c r="J3651" s="29" t="n">
        <v>114750</v>
      </c>
      <c r="K3651" s="28" t="n">
        <v>11</v>
      </c>
      <c r="L3651" s="28" t="n">
        <v>120</v>
      </c>
      <c r="M3651" s="28" t="n">
        <v>2</v>
      </c>
    </row>
    <row r="3652" customFormat="false" ht="15" hidden="false" customHeight="false" outlineLevel="0" collapsed="false">
      <c r="A3652" s="27" t="n">
        <v>45519</v>
      </c>
      <c r="B3652" s="28" t="n">
        <v>2024</v>
      </c>
      <c r="C3652" s="28" t="s">
        <v>169</v>
      </c>
      <c r="D3652" s="28" t="s">
        <v>47</v>
      </c>
      <c r="E3652" s="28" t="s">
        <v>760</v>
      </c>
      <c r="F3652" s="28" t="s">
        <v>142</v>
      </c>
      <c r="G3652" s="28" t="s">
        <v>143</v>
      </c>
      <c r="H3652" s="28" t="s">
        <v>372</v>
      </c>
      <c r="I3652" s="29" t="n">
        <v>643500</v>
      </c>
      <c r="J3652" s="29" t="n">
        <v>482625</v>
      </c>
      <c r="K3652" s="28" t="n">
        <v>9.5</v>
      </c>
      <c r="L3652" s="28" t="n">
        <v>300</v>
      </c>
      <c r="M3652" s="28" t="n">
        <v>7</v>
      </c>
    </row>
    <row r="3653" customFormat="false" ht="15" hidden="false" customHeight="false" outlineLevel="0" collapsed="false">
      <c r="A3653" s="27" t="n">
        <v>45519</v>
      </c>
      <c r="B3653" s="28" t="n">
        <v>2024</v>
      </c>
      <c r="C3653" s="28" t="s">
        <v>203</v>
      </c>
      <c r="D3653" s="28" t="s">
        <v>50</v>
      </c>
      <c r="E3653" s="28" t="s">
        <v>462</v>
      </c>
      <c r="F3653" s="28" t="s">
        <v>142</v>
      </c>
      <c r="G3653" s="28" t="s">
        <v>148</v>
      </c>
      <c r="H3653" s="28" t="s">
        <v>771</v>
      </c>
      <c r="I3653" s="29" t="n">
        <v>50000</v>
      </c>
      <c r="J3653" s="29" t="n">
        <v>42500</v>
      </c>
      <c r="K3653" s="28" t="n">
        <v>11.25</v>
      </c>
      <c r="L3653" s="28" t="n">
        <v>120</v>
      </c>
      <c r="M3653" s="28" t="n">
        <v>1</v>
      </c>
    </row>
    <row r="3654" customFormat="false" ht="15" hidden="false" customHeight="false" outlineLevel="0" collapsed="false">
      <c r="A3654" s="27" t="n">
        <v>45519</v>
      </c>
      <c r="B3654" s="28" t="n">
        <v>2024</v>
      </c>
      <c r="C3654" s="28" t="s">
        <v>332</v>
      </c>
      <c r="D3654" s="28" t="s">
        <v>48</v>
      </c>
      <c r="E3654" s="28" t="s">
        <v>362</v>
      </c>
      <c r="F3654" s="28" t="s">
        <v>142</v>
      </c>
      <c r="G3654" s="28" t="s">
        <v>148</v>
      </c>
      <c r="H3654" s="28" t="s">
        <v>334</v>
      </c>
      <c r="I3654" s="29" t="n">
        <v>4120000</v>
      </c>
      <c r="J3654" s="29" t="n">
        <v>3090000</v>
      </c>
      <c r="K3654" s="28" t="n">
        <v>11.25</v>
      </c>
      <c r="L3654" s="28" t="n">
        <v>120</v>
      </c>
      <c r="M3654" s="28" t="n">
        <v>106</v>
      </c>
    </row>
    <row r="3655" customFormat="false" ht="15" hidden="false" customHeight="false" outlineLevel="0" collapsed="false">
      <c r="A3655" s="27" t="n">
        <v>45520</v>
      </c>
      <c r="B3655" s="28" t="n">
        <v>2024</v>
      </c>
      <c r="C3655" s="28" t="s">
        <v>384</v>
      </c>
      <c r="D3655" s="28" t="s">
        <v>48</v>
      </c>
      <c r="E3655" s="28" t="s">
        <v>797</v>
      </c>
      <c r="F3655" s="28" t="s">
        <v>142</v>
      </c>
      <c r="G3655" s="28" t="s">
        <v>148</v>
      </c>
      <c r="H3655" s="28" t="s">
        <v>275</v>
      </c>
      <c r="I3655" s="29" t="n">
        <v>500000</v>
      </c>
      <c r="J3655" s="29" t="n">
        <v>375000</v>
      </c>
      <c r="K3655" s="28" t="n">
        <v>11.25</v>
      </c>
      <c r="L3655" s="28" t="n">
        <v>120</v>
      </c>
      <c r="M3655" s="28" t="n">
        <v>2</v>
      </c>
    </row>
    <row r="3656" customFormat="false" ht="15" hidden="false" customHeight="false" outlineLevel="0" collapsed="false">
      <c r="A3656" s="27" t="n">
        <v>45520</v>
      </c>
      <c r="B3656" s="28" t="n">
        <v>2024</v>
      </c>
      <c r="C3656" s="28" t="s">
        <v>145</v>
      </c>
      <c r="D3656" s="28" t="s">
        <v>57</v>
      </c>
      <c r="E3656" s="28" t="s">
        <v>728</v>
      </c>
      <c r="F3656" s="28" t="s">
        <v>142</v>
      </c>
      <c r="G3656" s="28" t="s">
        <v>148</v>
      </c>
      <c r="H3656" s="28" t="s">
        <v>953</v>
      </c>
      <c r="I3656" s="29" t="n">
        <v>250000</v>
      </c>
      <c r="J3656" s="29" t="n">
        <v>187500</v>
      </c>
      <c r="K3656" s="28" t="n">
        <v>11.5</v>
      </c>
      <c r="L3656" s="28" t="n">
        <v>120</v>
      </c>
      <c r="M3656" s="28" t="n">
        <v>22</v>
      </c>
    </row>
    <row r="3657" customFormat="false" ht="15" hidden="false" customHeight="false" outlineLevel="0" collapsed="false">
      <c r="A3657" s="27" t="n">
        <v>45520</v>
      </c>
      <c r="B3657" s="28" t="n">
        <v>2024</v>
      </c>
      <c r="C3657" s="28" t="s">
        <v>196</v>
      </c>
      <c r="D3657" s="28" t="s">
        <v>45</v>
      </c>
      <c r="E3657" s="28" t="s">
        <v>708</v>
      </c>
      <c r="F3657" s="28" t="s">
        <v>142</v>
      </c>
      <c r="G3657" s="28" t="s">
        <v>148</v>
      </c>
      <c r="H3657" s="28" t="s">
        <v>449</v>
      </c>
      <c r="I3657" s="29" t="n">
        <v>750000</v>
      </c>
      <c r="J3657" s="29" t="n">
        <v>562500</v>
      </c>
      <c r="K3657" s="28" t="n">
        <v>11.25</v>
      </c>
      <c r="L3657" s="28" t="n">
        <v>126</v>
      </c>
      <c r="M3657" s="28" t="n">
        <v>6</v>
      </c>
    </row>
    <row r="3658" customFormat="false" ht="15" hidden="false" customHeight="false" outlineLevel="0" collapsed="false">
      <c r="A3658" s="27" t="n">
        <v>45520</v>
      </c>
      <c r="B3658" s="28" t="n">
        <v>2024</v>
      </c>
      <c r="C3658" s="28" t="s">
        <v>150</v>
      </c>
      <c r="D3658" s="28" t="s">
        <v>54</v>
      </c>
      <c r="E3658" s="28" t="s">
        <v>1092</v>
      </c>
      <c r="F3658" s="28" t="s">
        <v>142</v>
      </c>
      <c r="G3658" s="28" t="s">
        <v>148</v>
      </c>
      <c r="H3658" s="28" t="s">
        <v>843</v>
      </c>
      <c r="I3658" s="29" t="n">
        <v>500000</v>
      </c>
      <c r="J3658" s="29" t="n">
        <v>375000</v>
      </c>
      <c r="K3658" s="28" t="n">
        <v>10.5</v>
      </c>
      <c r="L3658" s="28" t="n">
        <v>120</v>
      </c>
      <c r="M3658" s="28" t="n">
        <v>13</v>
      </c>
    </row>
    <row r="3659" customFormat="false" ht="15" hidden="false" customHeight="false" outlineLevel="0" collapsed="false">
      <c r="A3659" s="27" t="n">
        <v>45520</v>
      </c>
      <c r="B3659" s="28" t="n">
        <v>2024</v>
      </c>
      <c r="C3659" s="28" t="s">
        <v>172</v>
      </c>
      <c r="D3659" s="28" t="s">
        <v>44</v>
      </c>
      <c r="E3659" s="28" t="s">
        <v>167</v>
      </c>
      <c r="F3659" s="28" t="s">
        <v>147</v>
      </c>
      <c r="G3659" s="28" t="s">
        <v>143</v>
      </c>
      <c r="H3659" s="28" t="s">
        <v>211</v>
      </c>
      <c r="I3659" s="29" t="n">
        <v>25000</v>
      </c>
      <c r="J3659" s="29" t="n">
        <v>12500</v>
      </c>
      <c r="K3659" s="28" t="n">
        <v>11</v>
      </c>
      <c r="L3659" s="28" t="n">
        <v>120</v>
      </c>
      <c r="M3659" s="28" t="n">
        <v>4</v>
      </c>
    </row>
    <row r="3660" customFormat="false" ht="15" hidden="false" customHeight="false" outlineLevel="0" collapsed="false">
      <c r="A3660" s="27" t="n">
        <v>45520</v>
      </c>
      <c r="B3660" s="28" t="n">
        <v>2024</v>
      </c>
      <c r="C3660" s="28" t="s">
        <v>201</v>
      </c>
      <c r="D3660" s="28" t="s">
        <v>46</v>
      </c>
      <c r="E3660" s="28" t="s">
        <v>746</v>
      </c>
      <c r="F3660" s="28" t="s">
        <v>142</v>
      </c>
      <c r="G3660" s="28" t="s">
        <v>148</v>
      </c>
      <c r="H3660" s="28" t="s">
        <v>269</v>
      </c>
      <c r="I3660" s="29" t="n">
        <v>150000</v>
      </c>
      <c r="J3660" s="29" t="n">
        <v>127500</v>
      </c>
      <c r="K3660" s="28" t="n">
        <v>11.25</v>
      </c>
      <c r="L3660" s="28" t="n">
        <v>120</v>
      </c>
      <c r="M3660" s="28" t="n">
        <v>1</v>
      </c>
    </row>
    <row r="3661" customFormat="false" ht="15" hidden="false" customHeight="false" outlineLevel="0" collapsed="false">
      <c r="A3661" s="27" t="n">
        <v>45520</v>
      </c>
      <c r="B3661" s="28" t="n">
        <v>2024</v>
      </c>
      <c r="C3661" s="28" t="s">
        <v>160</v>
      </c>
      <c r="D3661" s="28" t="s">
        <v>45</v>
      </c>
      <c r="E3661" s="28" t="s">
        <v>222</v>
      </c>
      <c r="F3661" s="28" t="s">
        <v>142</v>
      </c>
      <c r="G3661" s="28" t="s">
        <v>152</v>
      </c>
      <c r="H3661" s="28" t="s">
        <v>281</v>
      </c>
      <c r="I3661" s="29" t="n">
        <v>2612800</v>
      </c>
      <c r="J3661" s="29" t="n">
        <v>1959600</v>
      </c>
      <c r="K3661" s="28" t="n">
        <v>8.5</v>
      </c>
      <c r="L3661" s="28" t="n">
        <v>120</v>
      </c>
      <c r="M3661" s="28" t="n">
        <v>29</v>
      </c>
    </row>
    <row r="3662" customFormat="false" ht="15" hidden="false" customHeight="false" outlineLevel="0" collapsed="false">
      <c r="A3662" s="27" t="n">
        <v>45520</v>
      </c>
      <c r="B3662" s="28" t="n">
        <v>2024</v>
      </c>
      <c r="C3662" s="28" t="s">
        <v>172</v>
      </c>
      <c r="D3662" s="28" t="s">
        <v>44</v>
      </c>
      <c r="E3662" s="28" t="s">
        <v>167</v>
      </c>
      <c r="F3662" s="28" t="s">
        <v>142</v>
      </c>
      <c r="G3662" s="28" t="s">
        <v>143</v>
      </c>
      <c r="H3662" s="28" t="s">
        <v>211</v>
      </c>
      <c r="I3662" s="29" t="n">
        <v>185000</v>
      </c>
      <c r="J3662" s="29" t="n">
        <v>138750</v>
      </c>
      <c r="K3662" s="28" t="n">
        <v>11</v>
      </c>
      <c r="L3662" s="28" t="n">
        <v>120</v>
      </c>
      <c r="M3662" s="28" t="n">
        <v>4</v>
      </c>
    </row>
    <row r="3663" customFormat="false" ht="15" hidden="false" customHeight="false" outlineLevel="0" collapsed="false">
      <c r="A3663" s="27" t="n">
        <v>45520</v>
      </c>
      <c r="B3663" s="28" t="n">
        <v>2024</v>
      </c>
      <c r="C3663" s="28" t="s">
        <v>166</v>
      </c>
      <c r="D3663" s="28" t="s">
        <v>48</v>
      </c>
      <c r="E3663" s="28" t="s">
        <v>765</v>
      </c>
      <c r="F3663" s="28" t="s">
        <v>142</v>
      </c>
      <c r="G3663" s="28" t="s">
        <v>148</v>
      </c>
      <c r="H3663" s="28" t="s">
        <v>771</v>
      </c>
      <c r="I3663" s="29" t="n">
        <v>250000</v>
      </c>
      <c r="J3663" s="29" t="n">
        <v>187500</v>
      </c>
      <c r="K3663" s="28" t="n">
        <v>11.25</v>
      </c>
      <c r="L3663" s="28" t="n">
        <v>120</v>
      </c>
      <c r="M3663" s="28" t="n">
        <v>7</v>
      </c>
    </row>
    <row r="3664" customFormat="false" ht="15" hidden="false" customHeight="false" outlineLevel="0" collapsed="false">
      <c r="A3664" s="27" t="n">
        <v>45520</v>
      </c>
      <c r="B3664" s="28" t="n">
        <v>2024</v>
      </c>
      <c r="C3664" s="28" t="s">
        <v>172</v>
      </c>
      <c r="D3664" s="28" t="s">
        <v>42</v>
      </c>
      <c r="E3664" s="28" t="s">
        <v>717</v>
      </c>
      <c r="F3664" s="28" t="s">
        <v>142</v>
      </c>
      <c r="G3664" s="28" t="s">
        <v>148</v>
      </c>
      <c r="H3664" s="28" t="s">
        <v>144</v>
      </c>
      <c r="I3664" s="29" t="n">
        <v>300000</v>
      </c>
      <c r="J3664" s="29" t="n">
        <v>225000</v>
      </c>
      <c r="K3664" s="28" t="n">
        <v>13</v>
      </c>
      <c r="L3664" s="28" t="n">
        <v>120</v>
      </c>
      <c r="M3664" s="28" t="n">
        <v>22</v>
      </c>
    </row>
    <row r="3665" customFormat="false" ht="15" hidden="false" customHeight="false" outlineLevel="0" collapsed="false">
      <c r="A3665" s="27" t="n">
        <v>45521</v>
      </c>
      <c r="B3665" s="28" t="n">
        <v>2024</v>
      </c>
      <c r="C3665" s="28" t="s">
        <v>169</v>
      </c>
      <c r="D3665" s="28" t="s">
        <v>50</v>
      </c>
      <c r="E3665" s="28" t="s">
        <v>193</v>
      </c>
      <c r="F3665" s="28" t="s">
        <v>142</v>
      </c>
      <c r="G3665" s="28" t="s">
        <v>152</v>
      </c>
      <c r="H3665" s="28" t="s">
        <v>372</v>
      </c>
      <c r="I3665" s="29" t="n">
        <v>1177100</v>
      </c>
      <c r="J3665" s="29" t="n">
        <v>882825</v>
      </c>
      <c r="K3665" s="28" t="n">
        <v>10.75</v>
      </c>
      <c r="L3665" s="28" t="n">
        <v>120</v>
      </c>
      <c r="M3665" s="28" t="n">
        <v>23</v>
      </c>
    </row>
    <row r="3666" customFormat="false" ht="15" hidden="false" customHeight="false" outlineLevel="0" collapsed="false">
      <c r="A3666" s="27" t="n">
        <v>45521</v>
      </c>
      <c r="B3666" s="28" t="n">
        <v>2024</v>
      </c>
      <c r="C3666" s="28" t="s">
        <v>252</v>
      </c>
      <c r="D3666" s="28" t="s">
        <v>46</v>
      </c>
      <c r="E3666" s="28" t="s">
        <v>852</v>
      </c>
      <c r="F3666" s="28" t="s">
        <v>142</v>
      </c>
      <c r="G3666" s="28" t="s">
        <v>148</v>
      </c>
      <c r="H3666" s="28" t="s">
        <v>269</v>
      </c>
      <c r="I3666" s="29" t="n">
        <v>150000</v>
      </c>
      <c r="J3666" s="29" t="n">
        <v>127500</v>
      </c>
      <c r="K3666" s="28" t="n">
        <v>11.25</v>
      </c>
      <c r="L3666" s="28" t="n">
        <v>120</v>
      </c>
      <c r="M3666" s="28" t="n">
        <v>10</v>
      </c>
    </row>
    <row r="3667" customFormat="false" ht="15" hidden="false" customHeight="false" outlineLevel="0" collapsed="false">
      <c r="A3667" s="27" t="n">
        <v>45523</v>
      </c>
      <c r="B3667" s="28" t="n">
        <v>2024</v>
      </c>
      <c r="C3667" s="28" t="s">
        <v>145</v>
      </c>
      <c r="D3667" s="28" t="s">
        <v>46</v>
      </c>
      <c r="E3667" s="28" t="s">
        <v>770</v>
      </c>
      <c r="F3667" s="28" t="s">
        <v>147</v>
      </c>
      <c r="G3667" s="28" t="s">
        <v>441</v>
      </c>
      <c r="H3667" s="28" t="s">
        <v>159</v>
      </c>
      <c r="I3667" s="29" t="n">
        <v>50000</v>
      </c>
      <c r="J3667" s="29" t="n">
        <v>25000</v>
      </c>
      <c r="K3667" s="28" t="n">
        <v>11</v>
      </c>
      <c r="L3667" s="28" t="n">
        <v>120</v>
      </c>
      <c r="M3667" s="28" t="n">
        <v>9</v>
      </c>
    </row>
    <row r="3668" customFormat="false" ht="15" hidden="false" customHeight="false" outlineLevel="0" collapsed="false">
      <c r="A3668" s="27" t="n">
        <v>45524</v>
      </c>
      <c r="B3668" s="28" t="n">
        <v>2024</v>
      </c>
      <c r="C3668" s="28" t="s">
        <v>1083</v>
      </c>
      <c r="D3668" s="28" t="s">
        <v>43</v>
      </c>
      <c r="E3668" s="28" t="s">
        <v>1093</v>
      </c>
      <c r="F3668" s="28" t="s">
        <v>142</v>
      </c>
      <c r="G3668" s="28" t="s">
        <v>148</v>
      </c>
      <c r="H3668" s="28" t="s">
        <v>291</v>
      </c>
      <c r="I3668" s="29" t="n">
        <v>1376000</v>
      </c>
      <c r="J3668" s="29" t="n">
        <v>1032000</v>
      </c>
      <c r="K3668" s="28" t="n">
        <v>10.5</v>
      </c>
      <c r="L3668" s="28" t="n">
        <v>192</v>
      </c>
      <c r="M3668" s="28" t="n">
        <v>10</v>
      </c>
    </row>
    <row r="3669" customFormat="false" ht="15" hidden="false" customHeight="false" outlineLevel="0" collapsed="false">
      <c r="A3669" s="27" t="n">
        <v>45524</v>
      </c>
      <c r="B3669" s="28" t="n">
        <v>2024</v>
      </c>
      <c r="C3669" s="28" t="s">
        <v>166</v>
      </c>
      <c r="D3669" s="28" t="s">
        <v>50</v>
      </c>
      <c r="E3669" s="28" t="s">
        <v>1094</v>
      </c>
      <c r="F3669" s="28" t="s">
        <v>147</v>
      </c>
      <c r="G3669" s="28" t="s">
        <v>148</v>
      </c>
      <c r="H3669" s="28" t="s">
        <v>428</v>
      </c>
      <c r="I3669" s="29" t="n">
        <v>250000</v>
      </c>
      <c r="J3669" s="29" t="n">
        <v>125000</v>
      </c>
      <c r="K3669" s="28" t="n">
        <v>13.25</v>
      </c>
      <c r="L3669" s="28" t="n">
        <v>84</v>
      </c>
      <c r="M3669" s="28" t="n">
        <v>10</v>
      </c>
    </row>
    <row r="3670" customFormat="false" ht="15" hidden="false" customHeight="false" outlineLevel="0" collapsed="false">
      <c r="A3670" s="27" t="n">
        <v>45525</v>
      </c>
      <c r="B3670" s="28" t="n">
        <v>2024</v>
      </c>
      <c r="C3670" s="28" t="s">
        <v>172</v>
      </c>
      <c r="D3670" s="28" t="s">
        <v>50</v>
      </c>
      <c r="E3670" s="28" t="s">
        <v>836</v>
      </c>
      <c r="F3670" s="28" t="s">
        <v>147</v>
      </c>
      <c r="G3670" s="28" t="s">
        <v>143</v>
      </c>
      <c r="H3670" s="28" t="s">
        <v>799</v>
      </c>
      <c r="I3670" s="29" t="n">
        <v>250000</v>
      </c>
      <c r="J3670" s="29" t="n">
        <v>125000</v>
      </c>
      <c r="K3670" s="28" t="n">
        <v>11.25</v>
      </c>
      <c r="L3670" s="28" t="n">
        <v>120</v>
      </c>
      <c r="M3670" s="28" t="n">
        <v>10</v>
      </c>
    </row>
    <row r="3671" customFormat="false" ht="15" hidden="false" customHeight="false" outlineLevel="0" collapsed="false">
      <c r="A3671" s="27" t="n">
        <v>45525</v>
      </c>
      <c r="B3671" s="28" t="n">
        <v>2024</v>
      </c>
      <c r="C3671" s="28" t="s">
        <v>203</v>
      </c>
      <c r="D3671" s="28" t="s">
        <v>43</v>
      </c>
      <c r="E3671" s="28" t="s">
        <v>732</v>
      </c>
      <c r="F3671" s="28" t="s">
        <v>142</v>
      </c>
      <c r="G3671" s="28" t="s">
        <v>148</v>
      </c>
      <c r="H3671" s="28" t="s">
        <v>937</v>
      </c>
      <c r="I3671" s="29" t="n">
        <v>31100</v>
      </c>
      <c r="J3671" s="29" t="n">
        <v>26435</v>
      </c>
      <c r="K3671" s="28" t="n">
        <v>13</v>
      </c>
      <c r="L3671" s="28" t="n">
        <v>120</v>
      </c>
      <c r="M3671" s="28" t="n">
        <v>3</v>
      </c>
    </row>
    <row r="3672" customFormat="false" ht="15" hidden="false" customHeight="false" outlineLevel="0" collapsed="false">
      <c r="A3672" s="27" t="n">
        <v>45525</v>
      </c>
      <c r="B3672" s="28" t="n">
        <v>2024</v>
      </c>
      <c r="C3672" s="28" t="s">
        <v>243</v>
      </c>
      <c r="D3672" s="28" t="s">
        <v>44</v>
      </c>
      <c r="E3672" s="28" t="s">
        <v>730</v>
      </c>
      <c r="F3672" s="28" t="s">
        <v>142</v>
      </c>
      <c r="G3672" s="28" t="s">
        <v>143</v>
      </c>
      <c r="H3672" s="28" t="s">
        <v>153</v>
      </c>
      <c r="I3672" s="29" t="n">
        <v>2372000</v>
      </c>
      <c r="J3672" s="29" t="n">
        <v>1779000</v>
      </c>
      <c r="K3672" s="28" t="n">
        <v>9.5</v>
      </c>
      <c r="L3672" s="28" t="n">
        <v>120</v>
      </c>
      <c r="M3672" s="28" t="n">
        <v>16</v>
      </c>
    </row>
    <row r="3673" customFormat="false" ht="15" hidden="false" customHeight="false" outlineLevel="0" collapsed="false">
      <c r="A3673" s="27" t="n">
        <v>45525</v>
      </c>
      <c r="B3673" s="28" t="n">
        <v>2024</v>
      </c>
      <c r="C3673" s="28" t="s">
        <v>1083</v>
      </c>
      <c r="D3673" s="28" t="s">
        <v>43</v>
      </c>
      <c r="E3673" s="28" t="s">
        <v>1093</v>
      </c>
      <c r="F3673" s="28" t="s">
        <v>147</v>
      </c>
      <c r="G3673" s="28" t="s">
        <v>152</v>
      </c>
      <c r="H3673" s="28" t="s">
        <v>291</v>
      </c>
      <c r="I3673" s="29" t="n">
        <v>150000</v>
      </c>
      <c r="J3673" s="29" t="n">
        <v>75000</v>
      </c>
      <c r="K3673" s="28" t="n">
        <v>10.5</v>
      </c>
      <c r="L3673" s="28" t="n">
        <v>120</v>
      </c>
      <c r="M3673" s="28" t="n">
        <v>10</v>
      </c>
    </row>
    <row r="3674" customFormat="false" ht="15" hidden="false" customHeight="false" outlineLevel="0" collapsed="false">
      <c r="A3674" s="27" t="n">
        <v>45525</v>
      </c>
      <c r="B3674" s="28" t="n">
        <v>2024</v>
      </c>
      <c r="C3674" s="28" t="s">
        <v>145</v>
      </c>
      <c r="D3674" s="28" t="s">
        <v>46</v>
      </c>
      <c r="E3674" s="28" t="s">
        <v>702</v>
      </c>
      <c r="F3674" s="28" t="s">
        <v>147</v>
      </c>
      <c r="G3674" s="28" t="s">
        <v>441</v>
      </c>
      <c r="H3674" s="28" t="s">
        <v>205</v>
      </c>
      <c r="I3674" s="29" t="n">
        <v>211000</v>
      </c>
      <c r="J3674" s="29" t="n">
        <v>105500</v>
      </c>
      <c r="K3674" s="28" t="n">
        <v>11.5</v>
      </c>
      <c r="L3674" s="28" t="n">
        <v>120</v>
      </c>
      <c r="M3674" s="28" t="n">
        <v>20</v>
      </c>
    </row>
    <row r="3675" customFormat="false" ht="15" hidden="false" customHeight="false" outlineLevel="0" collapsed="false">
      <c r="A3675" s="27" t="n">
        <v>45525</v>
      </c>
      <c r="B3675" s="28" t="n">
        <v>2024</v>
      </c>
      <c r="C3675" s="28" t="s">
        <v>169</v>
      </c>
      <c r="D3675" s="28" t="s">
        <v>45</v>
      </c>
      <c r="E3675" s="28" t="s">
        <v>745</v>
      </c>
      <c r="F3675" s="28" t="s">
        <v>142</v>
      </c>
      <c r="G3675" s="28" t="s">
        <v>148</v>
      </c>
      <c r="H3675" s="28" t="s">
        <v>275</v>
      </c>
      <c r="I3675" s="29" t="n">
        <v>500000</v>
      </c>
      <c r="J3675" s="29" t="n">
        <v>375000</v>
      </c>
      <c r="K3675" s="28" t="n">
        <v>11.25</v>
      </c>
      <c r="L3675" s="28" t="n">
        <v>120</v>
      </c>
      <c r="M3675" s="28" t="n">
        <v>22</v>
      </c>
    </row>
    <row r="3676" customFormat="false" ht="15" hidden="false" customHeight="false" outlineLevel="0" collapsed="false">
      <c r="A3676" s="27" t="n">
        <v>45526</v>
      </c>
      <c r="B3676" s="28" t="n">
        <v>2024</v>
      </c>
      <c r="C3676" s="28" t="s">
        <v>145</v>
      </c>
      <c r="D3676" s="28" t="s">
        <v>46</v>
      </c>
      <c r="E3676" s="28" t="s">
        <v>702</v>
      </c>
      <c r="F3676" s="28" t="s">
        <v>147</v>
      </c>
      <c r="G3676" s="28" t="s">
        <v>148</v>
      </c>
      <c r="H3676" s="28" t="s">
        <v>205</v>
      </c>
      <c r="I3676" s="29" t="n">
        <v>39000</v>
      </c>
      <c r="J3676" s="29" t="n">
        <v>19500</v>
      </c>
      <c r="K3676" s="28" t="n">
        <v>13</v>
      </c>
      <c r="L3676" s="28" t="n">
        <v>60</v>
      </c>
      <c r="M3676" s="28" t="n">
        <v>20</v>
      </c>
    </row>
    <row r="3677" customFormat="false" ht="15" hidden="false" customHeight="false" outlineLevel="0" collapsed="false">
      <c r="A3677" s="27" t="n">
        <v>45530</v>
      </c>
      <c r="B3677" s="28" t="n">
        <v>2024</v>
      </c>
      <c r="C3677" s="28" t="s">
        <v>243</v>
      </c>
      <c r="D3677" s="28" t="s">
        <v>45</v>
      </c>
      <c r="E3677" s="28" t="s">
        <v>824</v>
      </c>
      <c r="F3677" s="28" t="s">
        <v>142</v>
      </c>
      <c r="G3677" s="28" t="s">
        <v>148</v>
      </c>
      <c r="H3677" s="28" t="s">
        <v>171</v>
      </c>
      <c r="I3677" s="29" t="n">
        <v>36400</v>
      </c>
      <c r="J3677" s="29" t="n">
        <v>30940</v>
      </c>
      <c r="K3677" s="28" t="n">
        <v>13.25</v>
      </c>
      <c r="L3677" s="28" t="n">
        <v>120</v>
      </c>
      <c r="M3677" s="28" t="n">
        <v>0</v>
      </c>
    </row>
    <row r="3678" customFormat="false" ht="15" hidden="false" customHeight="false" outlineLevel="0" collapsed="false">
      <c r="A3678" s="27" t="n">
        <v>45530</v>
      </c>
      <c r="B3678" s="28" t="n">
        <v>2024</v>
      </c>
      <c r="C3678" s="28" t="s">
        <v>203</v>
      </c>
      <c r="D3678" s="28" t="s">
        <v>44</v>
      </c>
      <c r="E3678" s="28" t="s">
        <v>1087</v>
      </c>
      <c r="F3678" s="28" t="s">
        <v>142</v>
      </c>
      <c r="G3678" s="28" t="s">
        <v>441</v>
      </c>
      <c r="H3678" s="28" t="s">
        <v>281</v>
      </c>
      <c r="I3678" s="29" t="n">
        <v>2977700</v>
      </c>
      <c r="J3678" s="29" t="n">
        <v>2233275</v>
      </c>
      <c r="K3678" s="28" t="n">
        <v>11.25</v>
      </c>
      <c r="L3678" s="28" t="n">
        <v>308</v>
      </c>
      <c r="M3678" s="28" t="n">
        <v>26</v>
      </c>
    </row>
    <row r="3679" customFormat="false" ht="15" hidden="false" customHeight="false" outlineLevel="0" collapsed="false">
      <c r="A3679" s="27" t="n">
        <v>45530</v>
      </c>
      <c r="B3679" s="28" t="n">
        <v>2024</v>
      </c>
      <c r="C3679" s="28" t="s">
        <v>198</v>
      </c>
      <c r="D3679" s="28" t="s">
        <v>53</v>
      </c>
      <c r="E3679" s="28" t="s">
        <v>718</v>
      </c>
      <c r="F3679" s="28" t="s">
        <v>142</v>
      </c>
      <c r="G3679" s="28" t="s">
        <v>143</v>
      </c>
      <c r="H3679" s="28" t="s">
        <v>287</v>
      </c>
      <c r="I3679" s="29" t="n">
        <v>150000</v>
      </c>
      <c r="J3679" s="29" t="n">
        <v>127500</v>
      </c>
      <c r="K3679" s="28" t="n">
        <v>11.25</v>
      </c>
      <c r="L3679" s="28" t="n">
        <v>120</v>
      </c>
      <c r="M3679" s="28" t="n">
        <v>2</v>
      </c>
    </row>
    <row r="3680" customFormat="false" ht="15" hidden="false" customHeight="false" outlineLevel="0" collapsed="false">
      <c r="A3680" s="27" t="n">
        <v>45530</v>
      </c>
      <c r="B3680" s="28" t="n">
        <v>2024</v>
      </c>
      <c r="C3680" s="28" t="s">
        <v>198</v>
      </c>
      <c r="D3680" s="28" t="s">
        <v>43</v>
      </c>
      <c r="E3680" s="28" t="s">
        <v>871</v>
      </c>
      <c r="F3680" s="28" t="s">
        <v>142</v>
      </c>
      <c r="G3680" s="28" t="s">
        <v>441</v>
      </c>
      <c r="H3680" s="28" t="s">
        <v>162</v>
      </c>
      <c r="I3680" s="29" t="n">
        <v>718000</v>
      </c>
      <c r="J3680" s="29" t="n">
        <v>538500</v>
      </c>
      <c r="K3680" s="28" t="n">
        <v>6</v>
      </c>
      <c r="L3680" s="28" t="n">
        <v>300</v>
      </c>
      <c r="M3680" s="28" t="n">
        <v>14</v>
      </c>
    </row>
    <row r="3681" customFormat="false" ht="15" hidden="false" customHeight="false" outlineLevel="0" collapsed="false">
      <c r="A3681" s="27" t="n">
        <v>45530</v>
      </c>
      <c r="B3681" s="28" t="n">
        <v>2024</v>
      </c>
      <c r="C3681" s="28" t="s">
        <v>201</v>
      </c>
      <c r="D3681" s="28" t="s">
        <v>42</v>
      </c>
      <c r="E3681" s="28" t="s">
        <v>717</v>
      </c>
      <c r="F3681" s="28" t="s">
        <v>142</v>
      </c>
      <c r="G3681" s="28" t="s">
        <v>143</v>
      </c>
      <c r="H3681" s="28" t="s">
        <v>470</v>
      </c>
      <c r="I3681" s="29" t="n">
        <v>1000000</v>
      </c>
      <c r="J3681" s="29" t="n">
        <v>750000</v>
      </c>
      <c r="K3681" s="28" t="n">
        <v>10</v>
      </c>
      <c r="L3681" s="28" t="n">
        <v>120</v>
      </c>
      <c r="M3681" s="28" t="n">
        <v>22</v>
      </c>
    </row>
    <row r="3682" customFormat="false" ht="15" hidden="false" customHeight="false" outlineLevel="0" collapsed="false">
      <c r="A3682" s="27" t="n">
        <v>45530</v>
      </c>
      <c r="B3682" s="28" t="n">
        <v>2024</v>
      </c>
      <c r="C3682" s="28" t="s">
        <v>252</v>
      </c>
      <c r="D3682" s="28" t="s">
        <v>46</v>
      </c>
      <c r="E3682" s="28" t="s">
        <v>727</v>
      </c>
      <c r="F3682" s="28" t="s">
        <v>142</v>
      </c>
      <c r="G3682" s="28" t="s">
        <v>148</v>
      </c>
      <c r="H3682" s="28" t="s">
        <v>275</v>
      </c>
      <c r="I3682" s="29" t="n">
        <v>50000</v>
      </c>
      <c r="J3682" s="29" t="n">
        <v>42500</v>
      </c>
      <c r="K3682" s="28" t="n">
        <v>15</v>
      </c>
      <c r="L3682" s="28" t="n">
        <v>120</v>
      </c>
      <c r="M3682" s="28" t="n">
        <v>6</v>
      </c>
    </row>
    <row r="3683" customFormat="false" ht="15" hidden="false" customHeight="false" outlineLevel="0" collapsed="false">
      <c r="A3683" s="27" t="n">
        <v>45530</v>
      </c>
      <c r="B3683" s="28" t="n">
        <v>2024</v>
      </c>
      <c r="C3683" s="28" t="s">
        <v>384</v>
      </c>
      <c r="D3683" s="28" t="s">
        <v>56</v>
      </c>
      <c r="E3683" s="28" t="s">
        <v>1095</v>
      </c>
      <c r="F3683" s="28" t="s">
        <v>142</v>
      </c>
      <c r="G3683" s="28" t="s">
        <v>148</v>
      </c>
      <c r="H3683" s="28" t="s">
        <v>937</v>
      </c>
      <c r="I3683" s="29" t="n">
        <v>26000</v>
      </c>
      <c r="J3683" s="29" t="n">
        <v>22100</v>
      </c>
      <c r="K3683" s="28" t="n">
        <v>13</v>
      </c>
      <c r="L3683" s="28" t="n">
        <v>120</v>
      </c>
      <c r="M3683" s="28" t="n">
        <v>8</v>
      </c>
    </row>
    <row r="3684" customFormat="false" ht="15" hidden="false" customHeight="false" outlineLevel="0" collapsed="false">
      <c r="A3684" s="27" t="n">
        <v>45530</v>
      </c>
      <c r="B3684" s="28" t="n">
        <v>2024</v>
      </c>
      <c r="C3684" s="28" t="s">
        <v>145</v>
      </c>
      <c r="D3684" s="28" t="s">
        <v>48</v>
      </c>
      <c r="E3684" s="28" t="s">
        <v>346</v>
      </c>
      <c r="F3684" s="28" t="s">
        <v>142</v>
      </c>
      <c r="G3684" s="28" t="s">
        <v>148</v>
      </c>
      <c r="H3684" s="28" t="s">
        <v>577</v>
      </c>
      <c r="I3684" s="29" t="n">
        <v>1632000</v>
      </c>
      <c r="J3684" s="29" t="n">
        <v>1224000</v>
      </c>
      <c r="K3684" s="28" t="n">
        <v>11</v>
      </c>
      <c r="L3684" s="28" t="n">
        <v>120</v>
      </c>
      <c r="M3684" s="28" t="n">
        <v>29</v>
      </c>
    </row>
    <row r="3685" customFormat="false" ht="15" hidden="false" customHeight="false" outlineLevel="0" collapsed="false">
      <c r="A3685" s="27" t="n">
        <v>45530</v>
      </c>
      <c r="B3685" s="28" t="n">
        <v>2024</v>
      </c>
      <c r="C3685" s="28" t="s">
        <v>203</v>
      </c>
      <c r="D3685" s="28" t="s">
        <v>43</v>
      </c>
      <c r="E3685" s="28" t="s">
        <v>933</v>
      </c>
      <c r="F3685" s="28" t="s">
        <v>142</v>
      </c>
      <c r="G3685" s="28" t="s">
        <v>148</v>
      </c>
      <c r="H3685" s="28" t="s">
        <v>171</v>
      </c>
      <c r="I3685" s="29" t="n">
        <v>150000</v>
      </c>
      <c r="J3685" s="29" t="n">
        <v>127500</v>
      </c>
      <c r="K3685" s="28" t="n">
        <v>13.25</v>
      </c>
      <c r="L3685" s="28" t="n">
        <v>120</v>
      </c>
      <c r="M3685" s="28" t="n">
        <v>2</v>
      </c>
    </row>
    <row r="3686" customFormat="false" ht="15" hidden="false" customHeight="false" outlineLevel="0" collapsed="false">
      <c r="A3686" s="27" t="n">
        <v>45530</v>
      </c>
      <c r="B3686" s="28" t="n">
        <v>2024</v>
      </c>
      <c r="C3686" s="28" t="s">
        <v>166</v>
      </c>
      <c r="D3686" s="28" t="s">
        <v>49</v>
      </c>
      <c r="E3686" s="28" t="s">
        <v>778</v>
      </c>
      <c r="F3686" s="28" t="s">
        <v>142</v>
      </c>
      <c r="G3686" s="28" t="s">
        <v>148</v>
      </c>
      <c r="H3686" s="28" t="s">
        <v>953</v>
      </c>
      <c r="I3686" s="29" t="n">
        <v>500000</v>
      </c>
      <c r="J3686" s="29" t="n">
        <v>375000</v>
      </c>
      <c r="K3686" s="28" t="n">
        <v>11.5</v>
      </c>
      <c r="L3686" s="28" t="n">
        <v>120</v>
      </c>
      <c r="M3686" s="28" t="n">
        <v>7</v>
      </c>
    </row>
    <row r="3687" customFormat="false" ht="15" hidden="false" customHeight="false" outlineLevel="0" collapsed="false">
      <c r="A3687" s="27" t="n">
        <v>45531</v>
      </c>
      <c r="B3687" s="28" t="n">
        <v>2024</v>
      </c>
      <c r="C3687" s="28" t="s">
        <v>166</v>
      </c>
      <c r="D3687" s="28" t="s">
        <v>48</v>
      </c>
      <c r="E3687" s="28" t="s">
        <v>925</v>
      </c>
      <c r="F3687" s="28" t="s">
        <v>142</v>
      </c>
      <c r="G3687" s="28" t="s">
        <v>441</v>
      </c>
      <c r="H3687" s="28" t="s">
        <v>168</v>
      </c>
      <c r="I3687" s="29" t="n">
        <v>1543200</v>
      </c>
      <c r="J3687" s="29" t="n">
        <v>1157400</v>
      </c>
      <c r="K3687" s="28" t="n">
        <v>7.05</v>
      </c>
      <c r="L3687" s="28" t="n">
        <v>300</v>
      </c>
      <c r="M3687" s="28" t="n">
        <v>8</v>
      </c>
    </row>
    <row r="3688" customFormat="false" ht="15" hidden="false" customHeight="false" outlineLevel="0" collapsed="false">
      <c r="A3688" s="27" t="n">
        <v>45531</v>
      </c>
      <c r="B3688" s="28" t="n">
        <v>2024</v>
      </c>
      <c r="C3688" s="28" t="s">
        <v>201</v>
      </c>
      <c r="D3688" s="28" t="s">
        <v>48</v>
      </c>
      <c r="E3688" s="28" t="s">
        <v>346</v>
      </c>
      <c r="F3688" s="28" t="s">
        <v>142</v>
      </c>
      <c r="G3688" s="28" t="s">
        <v>148</v>
      </c>
      <c r="H3688" s="28" t="s">
        <v>1006</v>
      </c>
      <c r="I3688" s="29" t="n">
        <v>500000</v>
      </c>
      <c r="J3688" s="29" t="n">
        <v>375000</v>
      </c>
      <c r="K3688" s="28" t="n">
        <v>11.25</v>
      </c>
      <c r="L3688" s="28" t="n">
        <v>120</v>
      </c>
      <c r="M3688" s="28" t="n">
        <v>0</v>
      </c>
    </row>
    <row r="3689" customFormat="false" ht="15" hidden="false" customHeight="false" outlineLevel="0" collapsed="false">
      <c r="A3689" s="27" t="n">
        <v>45531</v>
      </c>
      <c r="B3689" s="28" t="n">
        <v>2024</v>
      </c>
      <c r="C3689" s="28" t="s">
        <v>272</v>
      </c>
      <c r="D3689" s="28" t="s">
        <v>48</v>
      </c>
      <c r="E3689" s="28" t="s">
        <v>304</v>
      </c>
      <c r="F3689" s="28" t="s">
        <v>142</v>
      </c>
      <c r="G3689" s="28" t="s">
        <v>148</v>
      </c>
      <c r="H3689" s="28" t="s">
        <v>168</v>
      </c>
      <c r="I3689" s="29" t="n">
        <v>312500</v>
      </c>
      <c r="J3689" s="29" t="n">
        <v>234375</v>
      </c>
      <c r="K3689" s="28" t="n">
        <v>7.05</v>
      </c>
      <c r="L3689" s="28" t="n">
        <v>300</v>
      </c>
      <c r="M3689" s="28" t="n">
        <v>8</v>
      </c>
    </row>
    <row r="3690" customFormat="false" ht="15" hidden="false" customHeight="false" outlineLevel="0" collapsed="false">
      <c r="A3690" s="27" t="n">
        <v>45532</v>
      </c>
      <c r="B3690" s="28" t="n">
        <v>2024</v>
      </c>
      <c r="C3690" s="28" t="s">
        <v>172</v>
      </c>
      <c r="D3690" s="28" t="s">
        <v>53</v>
      </c>
      <c r="E3690" s="28" t="s">
        <v>383</v>
      </c>
      <c r="F3690" s="28" t="s">
        <v>147</v>
      </c>
      <c r="G3690" s="28" t="s">
        <v>148</v>
      </c>
      <c r="H3690" s="28" t="s">
        <v>428</v>
      </c>
      <c r="I3690" s="29" t="n">
        <v>26000</v>
      </c>
      <c r="J3690" s="29" t="n">
        <v>13000</v>
      </c>
      <c r="K3690" s="28" t="n">
        <v>15</v>
      </c>
      <c r="L3690" s="28" t="n">
        <v>120</v>
      </c>
      <c r="M3690" s="28" t="n">
        <v>0</v>
      </c>
    </row>
    <row r="3691" customFormat="false" ht="15" hidden="false" customHeight="false" outlineLevel="0" collapsed="false">
      <c r="A3691" s="27" t="n">
        <v>45532</v>
      </c>
      <c r="B3691" s="28" t="n">
        <v>2024</v>
      </c>
      <c r="C3691" s="28" t="s">
        <v>344</v>
      </c>
      <c r="D3691" s="28" t="s">
        <v>49</v>
      </c>
      <c r="E3691" s="28" t="s">
        <v>857</v>
      </c>
      <c r="F3691" s="28" t="s">
        <v>147</v>
      </c>
      <c r="G3691" s="28" t="s">
        <v>441</v>
      </c>
      <c r="H3691" s="28" t="s">
        <v>159</v>
      </c>
      <c r="I3691" s="29" t="n">
        <v>25000</v>
      </c>
      <c r="J3691" s="29" t="n">
        <v>12500</v>
      </c>
      <c r="K3691" s="28" t="n">
        <v>15</v>
      </c>
      <c r="L3691" s="28" t="n">
        <v>120</v>
      </c>
      <c r="M3691" s="28" t="n">
        <v>0</v>
      </c>
    </row>
    <row r="3692" customFormat="false" ht="15" hidden="false" customHeight="false" outlineLevel="0" collapsed="false">
      <c r="A3692" s="27" t="n">
        <v>45532</v>
      </c>
      <c r="B3692" s="28" t="n">
        <v>2024</v>
      </c>
      <c r="C3692" s="28" t="s">
        <v>163</v>
      </c>
      <c r="D3692" s="28" t="s">
        <v>42</v>
      </c>
      <c r="E3692" s="28" t="s">
        <v>753</v>
      </c>
      <c r="F3692" s="28" t="s">
        <v>142</v>
      </c>
      <c r="G3692" s="28" t="s">
        <v>143</v>
      </c>
      <c r="H3692" s="28" t="s">
        <v>211</v>
      </c>
      <c r="I3692" s="29" t="n">
        <v>301600</v>
      </c>
      <c r="J3692" s="29" t="n">
        <v>226200</v>
      </c>
      <c r="K3692" s="28" t="n">
        <v>11.25</v>
      </c>
      <c r="L3692" s="28" t="n">
        <v>120</v>
      </c>
      <c r="M3692" s="28" t="n">
        <v>40</v>
      </c>
    </row>
    <row r="3693" customFormat="false" ht="15" hidden="false" customHeight="false" outlineLevel="0" collapsed="false">
      <c r="A3693" s="27" t="n">
        <v>45532</v>
      </c>
      <c r="B3693" s="28" t="n">
        <v>2024</v>
      </c>
      <c r="C3693" s="28" t="s">
        <v>198</v>
      </c>
      <c r="D3693" s="28" t="s">
        <v>54</v>
      </c>
      <c r="E3693" s="28" t="s">
        <v>791</v>
      </c>
      <c r="F3693" s="28" t="s">
        <v>142</v>
      </c>
      <c r="G3693" s="28" t="s">
        <v>148</v>
      </c>
      <c r="H3693" s="28" t="s">
        <v>208</v>
      </c>
      <c r="I3693" s="29" t="n">
        <v>100000</v>
      </c>
      <c r="J3693" s="29" t="n">
        <v>85000</v>
      </c>
      <c r="K3693" s="28" t="n">
        <v>11.25</v>
      </c>
      <c r="L3693" s="28" t="n">
        <v>120</v>
      </c>
      <c r="M3693" s="28" t="n">
        <v>0</v>
      </c>
    </row>
    <row r="3694" customFormat="false" ht="15" hidden="false" customHeight="false" outlineLevel="0" collapsed="false">
      <c r="A3694" s="27" t="n">
        <v>45532</v>
      </c>
      <c r="B3694" s="28" t="n">
        <v>2024</v>
      </c>
      <c r="C3694" s="28" t="s">
        <v>163</v>
      </c>
      <c r="D3694" s="28" t="s">
        <v>42</v>
      </c>
      <c r="E3694" s="28" t="s">
        <v>753</v>
      </c>
      <c r="F3694" s="28" t="s">
        <v>147</v>
      </c>
      <c r="G3694" s="28" t="s">
        <v>143</v>
      </c>
      <c r="H3694" s="28" t="s">
        <v>211</v>
      </c>
      <c r="I3694" s="29" t="n">
        <v>30000</v>
      </c>
      <c r="J3694" s="29" t="n">
        <v>15000</v>
      </c>
      <c r="K3694" s="28" t="n">
        <v>11.25</v>
      </c>
      <c r="L3694" s="28" t="n">
        <v>120</v>
      </c>
      <c r="M3694" s="28" t="n">
        <v>40</v>
      </c>
    </row>
    <row r="3695" customFormat="false" ht="15" hidden="false" customHeight="false" outlineLevel="0" collapsed="false">
      <c r="A3695" s="27" t="n">
        <v>45532</v>
      </c>
      <c r="B3695" s="28" t="n">
        <v>2024</v>
      </c>
      <c r="C3695" s="28" t="s">
        <v>145</v>
      </c>
      <c r="D3695" s="28" t="s">
        <v>42</v>
      </c>
      <c r="E3695" s="28" t="s">
        <v>717</v>
      </c>
      <c r="F3695" s="28" t="s">
        <v>142</v>
      </c>
      <c r="G3695" s="28" t="s">
        <v>148</v>
      </c>
      <c r="H3695" s="28" t="s">
        <v>771</v>
      </c>
      <c r="I3695" s="29" t="n">
        <v>241100</v>
      </c>
      <c r="J3695" s="29" t="n">
        <v>180825</v>
      </c>
      <c r="K3695" s="28" t="n">
        <v>11.25</v>
      </c>
      <c r="L3695" s="28" t="n">
        <v>120</v>
      </c>
      <c r="M3695" s="28" t="n">
        <v>4</v>
      </c>
    </row>
    <row r="3696" customFormat="false" ht="15" hidden="false" customHeight="false" outlineLevel="0" collapsed="false">
      <c r="A3696" s="27" t="n">
        <v>45533</v>
      </c>
      <c r="B3696" s="28" t="n">
        <v>2024</v>
      </c>
      <c r="C3696" s="28" t="s">
        <v>175</v>
      </c>
      <c r="D3696" s="28" t="s">
        <v>42</v>
      </c>
      <c r="E3696" s="28" t="s">
        <v>753</v>
      </c>
      <c r="F3696" s="28" t="s">
        <v>142</v>
      </c>
      <c r="G3696" s="28" t="s">
        <v>143</v>
      </c>
      <c r="H3696" s="28" t="s">
        <v>463</v>
      </c>
      <c r="I3696" s="29" t="n">
        <v>335000</v>
      </c>
      <c r="J3696" s="29" t="n">
        <v>251250</v>
      </c>
      <c r="K3696" s="28" t="n">
        <v>11.25</v>
      </c>
      <c r="L3696" s="28" t="n">
        <v>120</v>
      </c>
      <c r="M3696" s="28" t="n">
        <v>8</v>
      </c>
    </row>
    <row r="3697" customFormat="false" ht="15" hidden="false" customHeight="false" outlineLevel="0" collapsed="false">
      <c r="A3697" s="27" t="n">
        <v>45533</v>
      </c>
      <c r="B3697" s="28" t="n">
        <v>2024</v>
      </c>
      <c r="C3697" s="28" t="s">
        <v>196</v>
      </c>
      <c r="D3697" s="28" t="s">
        <v>42</v>
      </c>
      <c r="E3697" s="28" t="s">
        <v>717</v>
      </c>
      <c r="F3697" s="28" t="s">
        <v>142</v>
      </c>
      <c r="G3697" s="28" t="s">
        <v>441</v>
      </c>
      <c r="H3697" s="28" t="s">
        <v>275</v>
      </c>
      <c r="I3697" s="29" t="n">
        <v>1120000</v>
      </c>
      <c r="J3697" s="29" t="n">
        <v>840000</v>
      </c>
      <c r="K3697" s="28" t="n">
        <v>10.5</v>
      </c>
      <c r="L3697" s="28" t="n">
        <v>120</v>
      </c>
      <c r="M3697" s="28" t="n">
        <v>19</v>
      </c>
    </row>
    <row r="3698" customFormat="false" ht="15" hidden="false" customHeight="false" outlineLevel="0" collapsed="false">
      <c r="A3698" s="27" t="n">
        <v>45534</v>
      </c>
      <c r="B3698" s="28" t="n">
        <v>2024</v>
      </c>
      <c r="C3698" s="28" t="s">
        <v>198</v>
      </c>
      <c r="D3698" s="28" t="s">
        <v>43</v>
      </c>
      <c r="E3698" s="28" t="s">
        <v>788</v>
      </c>
      <c r="F3698" s="28" t="s">
        <v>142</v>
      </c>
      <c r="G3698" s="28" t="s">
        <v>143</v>
      </c>
      <c r="H3698" s="28" t="s">
        <v>215</v>
      </c>
      <c r="I3698" s="29" t="n">
        <v>1100000</v>
      </c>
      <c r="J3698" s="29" t="n">
        <v>825000</v>
      </c>
      <c r="K3698" s="28" t="n">
        <v>10</v>
      </c>
      <c r="L3698" s="28" t="n">
        <v>300</v>
      </c>
      <c r="M3698" s="28" t="n">
        <v>20</v>
      </c>
    </row>
    <row r="3699" customFormat="false" ht="15" hidden="false" customHeight="false" outlineLevel="0" collapsed="false">
      <c r="A3699" s="27" t="n">
        <v>45534</v>
      </c>
      <c r="B3699" s="28" t="n">
        <v>2024</v>
      </c>
      <c r="C3699" s="28" t="s">
        <v>198</v>
      </c>
      <c r="D3699" s="28" t="s">
        <v>50</v>
      </c>
      <c r="E3699" s="28" t="s">
        <v>1094</v>
      </c>
      <c r="F3699" s="28" t="s">
        <v>147</v>
      </c>
      <c r="G3699" s="28" t="s">
        <v>148</v>
      </c>
      <c r="H3699" s="28" t="s">
        <v>162</v>
      </c>
      <c r="I3699" s="29" t="n">
        <v>124800</v>
      </c>
      <c r="J3699" s="29" t="n">
        <v>62400</v>
      </c>
      <c r="K3699" s="28" t="n">
        <v>7.55</v>
      </c>
      <c r="L3699" s="28" t="n">
        <v>120</v>
      </c>
      <c r="M3699" s="28" t="n">
        <v>10</v>
      </c>
    </row>
    <row r="3700" customFormat="false" ht="15" hidden="false" customHeight="false" outlineLevel="0" collapsed="false">
      <c r="A3700" s="27" t="n">
        <v>45534</v>
      </c>
      <c r="B3700" s="28" t="n">
        <v>2024</v>
      </c>
      <c r="C3700" s="28" t="s">
        <v>172</v>
      </c>
      <c r="D3700" s="28" t="s">
        <v>42</v>
      </c>
      <c r="E3700" s="28" t="s">
        <v>753</v>
      </c>
      <c r="F3700" s="28" t="s">
        <v>142</v>
      </c>
      <c r="G3700" s="28" t="s">
        <v>441</v>
      </c>
      <c r="H3700" s="28" t="s">
        <v>592</v>
      </c>
      <c r="I3700" s="29" t="n">
        <v>382500</v>
      </c>
      <c r="J3700" s="29" t="n">
        <v>286875</v>
      </c>
      <c r="K3700" s="28" t="n">
        <v>9.75</v>
      </c>
      <c r="L3700" s="28" t="n">
        <v>300</v>
      </c>
      <c r="M3700" s="28" t="n">
        <v>4</v>
      </c>
    </row>
    <row r="3701" customFormat="false" ht="15" hidden="false" customHeight="false" outlineLevel="0" collapsed="false">
      <c r="A3701" s="27" t="n">
        <v>45535</v>
      </c>
      <c r="B3701" s="28" t="n">
        <v>2024</v>
      </c>
      <c r="C3701" s="28" t="s">
        <v>166</v>
      </c>
      <c r="D3701" s="28" t="s">
        <v>48</v>
      </c>
      <c r="E3701" s="28" t="s">
        <v>704</v>
      </c>
      <c r="F3701" s="28" t="s">
        <v>142</v>
      </c>
      <c r="G3701" s="28" t="s">
        <v>148</v>
      </c>
      <c r="H3701" s="28" t="s">
        <v>269</v>
      </c>
      <c r="I3701" s="29" t="n">
        <v>150000</v>
      </c>
      <c r="J3701" s="29" t="n">
        <v>127500</v>
      </c>
      <c r="K3701" s="28" t="n">
        <v>11.25</v>
      </c>
      <c r="L3701" s="28" t="n">
        <v>120</v>
      </c>
      <c r="M3701" s="28" t="n">
        <v>4</v>
      </c>
    </row>
    <row r="3702" customFormat="false" ht="15" hidden="false" customHeight="false" outlineLevel="0" collapsed="false">
      <c r="A3702" s="27" t="n">
        <v>45535</v>
      </c>
      <c r="B3702" s="28" t="n">
        <v>2024</v>
      </c>
      <c r="C3702" s="28" t="s">
        <v>163</v>
      </c>
      <c r="D3702" s="28" t="s">
        <v>56</v>
      </c>
      <c r="E3702" s="28" t="s">
        <v>207</v>
      </c>
      <c r="F3702" s="28" t="s">
        <v>142</v>
      </c>
      <c r="G3702" s="28" t="s">
        <v>148</v>
      </c>
      <c r="H3702" s="28" t="s">
        <v>771</v>
      </c>
      <c r="I3702" s="29" t="n">
        <v>50000</v>
      </c>
      <c r="J3702" s="29" t="n">
        <v>42500</v>
      </c>
      <c r="K3702" s="28" t="n">
        <v>11.25</v>
      </c>
      <c r="L3702" s="28" t="n">
        <v>120</v>
      </c>
      <c r="M3702" s="28" t="n">
        <v>16</v>
      </c>
    </row>
    <row r="3703" customFormat="false" ht="15" hidden="false" customHeight="false" outlineLevel="0" collapsed="false">
      <c r="A3703" s="27" t="n">
        <v>45535</v>
      </c>
      <c r="B3703" s="28" t="n">
        <v>2024</v>
      </c>
      <c r="C3703" s="28" t="s">
        <v>303</v>
      </c>
      <c r="D3703" s="28" t="s">
        <v>52</v>
      </c>
      <c r="E3703" s="28" t="s">
        <v>604</v>
      </c>
      <c r="F3703" s="28" t="s">
        <v>147</v>
      </c>
      <c r="G3703" s="28" t="s">
        <v>441</v>
      </c>
      <c r="H3703" s="28" t="s">
        <v>168</v>
      </c>
      <c r="I3703" s="29" t="n">
        <v>20000</v>
      </c>
      <c r="J3703" s="29" t="n">
        <v>10000</v>
      </c>
      <c r="K3703" s="28" t="n">
        <v>13.5</v>
      </c>
      <c r="L3703" s="28" t="n">
        <v>120</v>
      </c>
      <c r="M3703" s="28" t="n">
        <v>0</v>
      </c>
    </row>
    <row r="3704" customFormat="false" ht="15" hidden="false" customHeight="false" outlineLevel="0" collapsed="false">
      <c r="A3704" s="27" t="n">
        <v>45538</v>
      </c>
      <c r="B3704" s="28" t="n">
        <v>2024</v>
      </c>
      <c r="C3704" s="28" t="s">
        <v>515</v>
      </c>
      <c r="D3704" s="28" t="s">
        <v>42</v>
      </c>
      <c r="E3704" s="28" t="s">
        <v>176</v>
      </c>
      <c r="F3704" s="28" t="s">
        <v>142</v>
      </c>
      <c r="G3704" s="28" t="s">
        <v>143</v>
      </c>
      <c r="H3704" s="28" t="s">
        <v>953</v>
      </c>
      <c r="I3704" s="29" t="n">
        <v>85000</v>
      </c>
      <c r="J3704" s="29" t="n">
        <v>72250</v>
      </c>
      <c r="K3704" s="28" t="n">
        <v>11.5</v>
      </c>
      <c r="L3704" s="28" t="n">
        <v>123</v>
      </c>
      <c r="M3704" s="28" t="n">
        <v>6</v>
      </c>
    </row>
    <row r="3705" customFormat="false" ht="15" hidden="false" customHeight="false" outlineLevel="0" collapsed="false">
      <c r="A3705" s="27" t="n">
        <v>45538</v>
      </c>
      <c r="B3705" s="28" t="n">
        <v>2024</v>
      </c>
      <c r="C3705" s="28" t="s">
        <v>216</v>
      </c>
      <c r="D3705" s="28" t="s">
        <v>52</v>
      </c>
      <c r="E3705" s="28" t="s">
        <v>715</v>
      </c>
      <c r="F3705" s="28" t="s">
        <v>142</v>
      </c>
      <c r="G3705" s="28" t="s">
        <v>148</v>
      </c>
      <c r="H3705" s="28" t="s">
        <v>937</v>
      </c>
      <c r="I3705" s="29" t="n">
        <v>137700</v>
      </c>
      <c r="J3705" s="29" t="n">
        <v>117045</v>
      </c>
      <c r="K3705" s="28" t="n">
        <v>13</v>
      </c>
      <c r="L3705" s="28" t="n">
        <v>120</v>
      </c>
      <c r="M3705" s="28" t="n">
        <v>6</v>
      </c>
    </row>
    <row r="3706" customFormat="false" ht="15" hidden="false" customHeight="false" outlineLevel="0" collapsed="false">
      <c r="A3706" s="27" t="n">
        <v>45538</v>
      </c>
      <c r="B3706" s="28" t="n">
        <v>2024</v>
      </c>
      <c r="C3706" s="28" t="s">
        <v>316</v>
      </c>
      <c r="D3706" s="28" t="s">
        <v>50</v>
      </c>
      <c r="E3706" s="28" t="s">
        <v>711</v>
      </c>
      <c r="F3706" s="28" t="s">
        <v>147</v>
      </c>
      <c r="G3706" s="28" t="s">
        <v>441</v>
      </c>
      <c r="H3706" s="28" t="s">
        <v>144</v>
      </c>
      <c r="I3706" s="29" t="n">
        <v>250000</v>
      </c>
      <c r="J3706" s="29" t="n">
        <v>125000</v>
      </c>
      <c r="K3706" s="28" t="n">
        <v>10.5</v>
      </c>
      <c r="L3706" s="28" t="n">
        <v>120</v>
      </c>
      <c r="M3706" s="28" t="n">
        <v>46</v>
      </c>
    </row>
    <row r="3707" customFormat="false" ht="15" hidden="false" customHeight="false" outlineLevel="0" collapsed="false">
      <c r="A3707" s="27" t="n">
        <v>45538</v>
      </c>
      <c r="B3707" s="28" t="n">
        <v>2024</v>
      </c>
      <c r="C3707" s="28" t="s">
        <v>316</v>
      </c>
      <c r="D3707" s="28" t="s">
        <v>50</v>
      </c>
      <c r="E3707" s="28" t="s">
        <v>711</v>
      </c>
      <c r="F3707" s="28" t="s">
        <v>142</v>
      </c>
      <c r="G3707" s="28" t="s">
        <v>143</v>
      </c>
      <c r="H3707" s="28" t="s">
        <v>144</v>
      </c>
      <c r="I3707" s="29" t="n">
        <v>950000</v>
      </c>
      <c r="J3707" s="29" t="n">
        <v>712500</v>
      </c>
      <c r="K3707" s="28" t="n">
        <v>10.5</v>
      </c>
      <c r="L3707" s="28" t="n">
        <v>120</v>
      </c>
      <c r="M3707" s="28" t="n">
        <v>46</v>
      </c>
    </row>
    <row r="3708" customFormat="false" ht="15" hidden="false" customHeight="false" outlineLevel="0" collapsed="false">
      <c r="A3708" s="27" t="n">
        <v>45538</v>
      </c>
      <c r="B3708" s="28" t="n">
        <v>2024</v>
      </c>
      <c r="C3708" s="28" t="s">
        <v>166</v>
      </c>
      <c r="D3708" s="28" t="s">
        <v>52</v>
      </c>
      <c r="E3708" s="28" t="s">
        <v>715</v>
      </c>
      <c r="F3708" s="28" t="s">
        <v>142</v>
      </c>
      <c r="G3708" s="28" t="s">
        <v>148</v>
      </c>
      <c r="H3708" s="28" t="s">
        <v>771</v>
      </c>
      <c r="I3708" s="29" t="n">
        <v>100000</v>
      </c>
      <c r="J3708" s="29" t="n">
        <v>85000</v>
      </c>
      <c r="K3708" s="28" t="n">
        <v>11.25</v>
      </c>
      <c r="L3708" s="28" t="n">
        <v>120</v>
      </c>
      <c r="M3708" s="28" t="n">
        <v>1</v>
      </c>
    </row>
    <row r="3709" customFormat="false" ht="15" hidden="false" customHeight="false" outlineLevel="0" collapsed="false">
      <c r="A3709" s="27" t="n">
        <v>45538</v>
      </c>
      <c r="B3709" s="28" t="n">
        <v>2024</v>
      </c>
      <c r="C3709" s="28" t="s">
        <v>368</v>
      </c>
      <c r="D3709" s="28" t="s">
        <v>52</v>
      </c>
      <c r="E3709" s="28" t="s">
        <v>716</v>
      </c>
      <c r="F3709" s="28" t="s">
        <v>142</v>
      </c>
      <c r="G3709" s="28" t="s">
        <v>148</v>
      </c>
      <c r="H3709" s="28" t="s">
        <v>937</v>
      </c>
      <c r="I3709" s="29" t="n">
        <v>41400</v>
      </c>
      <c r="J3709" s="29" t="n">
        <v>35190</v>
      </c>
      <c r="K3709" s="28" t="n">
        <v>13</v>
      </c>
      <c r="L3709" s="28" t="n">
        <v>120</v>
      </c>
      <c r="M3709" s="28" t="n">
        <v>3</v>
      </c>
    </row>
    <row r="3710" customFormat="false" ht="15" hidden="false" customHeight="false" outlineLevel="0" collapsed="false">
      <c r="A3710" s="27" t="n">
        <v>45539</v>
      </c>
      <c r="B3710" s="28" t="n">
        <v>2024</v>
      </c>
      <c r="C3710" s="28" t="s">
        <v>163</v>
      </c>
      <c r="D3710" s="28" t="s">
        <v>56</v>
      </c>
      <c r="E3710" s="28" t="s">
        <v>772</v>
      </c>
      <c r="F3710" s="28" t="s">
        <v>142</v>
      </c>
      <c r="G3710" s="28" t="s">
        <v>143</v>
      </c>
      <c r="H3710" s="28" t="s">
        <v>416</v>
      </c>
      <c r="I3710" s="29" t="n">
        <v>1680000</v>
      </c>
      <c r="J3710" s="29" t="n">
        <v>1260000</v>
      </c>
      <c r="K3710" s="28" t="n">
        <v>9.5</v>
      </c>
      <c r="L3710" s="28" t="n">
        <v>132</v>
      </c>
      <c r="M3710" s="28" t="n">
        <v>12</v>
      </c>
    </row>
    <row r="3711" customFormat="false" ht="15" hidden="false" customHeight="false" outlineLevel="0" collapsed="false">
      <c r="A3711" s="27" t="n">
        <v>45539</v>
      </c>
      <c r="B3711" s="28" t="n">
        <v>2024</v>
      </c>
      <c r="C3711" s="28" t="s">
        <v>310</v>
      </c>
      <c r="D3711" s="28" t="s">
        <v>42</v>
      </c>
      <c r="E3711" s="28" t="s">
        <v>717</v>
      </c>
      <c r="F3711" s="28" t="s">
        <v>142</v>
      </c>
      <c r="G3711" s="28" t="s">
        <v>148</v>
      </c>
      <c r="H3711" s="28" t="s">
        <v>953</v>
      </c>
      <c r="I3711" s="29" t="n">
        <v>250000</v>
      </c>
      <c r="J3711" s="29" t="n">
        <v>187500</v>
      </c>
      <c r="K3711" s="28" t="n">
        <v>11.5</v>
      </c>
      <c r="L3711" s="28" t="n">
        <v>120</v>
      </c>
      <c r="M3711" s="28" t="n">
        <v>25</v>
      </c>
    </row>
    <row r="3712" customFormat="false" ht="15" hidden="false" customHeight="false" outlineLevel="0" collapsed="false">
      <c r="A3712" s="27" t="n">
        <v>45540</v>
      </c>
      <c r="B3712" s="28" t="n">
        <v>2024</v>
      </c>
      <c r="C3712" s="28" t="s">
        <v>677</v>
      </c>
      <c r="D3712" s="28" t="s">
        <v>42</v>
      </c>
      <c r="E3712" s="28" t="s">
        <v>717</v>
      </c>
      <c r="F3712" s="28" t="s">
        <v>142</v>
      </c>
      <c r="G3712" s="28" t="s">
        <v>148</v>
      </c>
      <c r="H3712" s="28" t="s">
        <v>269</v>
      </c>
      <c r="I3712" s="29" t="n">
        <v>150000</v>
      </c>
      <c r="J3712" s="29" t="n">
        <v>127500</v>
      </c>
      <c r="K3712" s="28" t="n">
        <v>11.25</v>
      </c>
      <c r="L3712" s="28" t="n">
        <v>120</v>
      </c>
      <c r="M3712" s="28" t="n">
        <v>35</v>
      </c>
    </row>
    <row r="3713" customFormat="false" ht="15" hidden="false" customHeight="false" outlineLevel="0" collapsed="false">
      <c r="A3713" s="27" t="n">
        <v>45540</v>
      </c>
      <c r="B3713" s="28" t="n">
        <v>2024</v>
      </c>
      <c r="C3713" s="28" t="s">
        <v>203</v>
      </c>
      <c r="D3713" s="28" t="s">
        <v>43</v>
      </c>
      <c r="E3713" s="28" t="s">
        <v>788</v>
      </c>
      <c r="F3713" s="28" t="s">
        <v>142</v>
      </c>
      <c r="G3713" s="28" t="s">
        <v>143</v>
      </c>
      <c r="H3713" s="28" t="s">
        <v>281</v>
      </c>
      <c r="I3713" s="29" t="n">
        <v>400000</v>
      </c>
      <c r="J3713" s="29" t="n">
        <v>300000</v>
      </c>
      <c r="K3713" s="28" t="n">
        <v>9.5</v>
      </c>
      <c r="L3713" s="28" t="n">
        <v>120</v>
      </c>
      <c r="M3713" s="28" t="n">
        <v>20</v>
      </c>
    </row>
    <row r="3714" customFormat="false" ht="15" hidden="false" customHeight="false" outlineLevel="0" collapsed="false">
      <c r="A3714" s="27" t="n">
        <v>45540</v>
      </c>
      <c r="B3714" s="28" t="n">
        <v>2024</v>
      </c>
      <c r="C3714" s="28" t="s">
        <v>252</v>
      </c>
      <c r="D3714" s="28" t="s">
        <v>44</v>
      </c>
      <c r="E3714" s="28" t="s">
        <v>863</v>
      </c>
      <c r="F3714" s="28" t="s">
        <v>142</v>
      </c>
      <c r="G3714" s="28" t="s">
        <v>148</v>
      </c>
      <c r="H3714" s="28" t="s">
        <v>275</v>
      </c>
      <c r="I3714" s="29" t="n">
        <v>115000</v>
      </c>
      <c r="J3714" s="29" t="n">
        <v>97750</v>
      </c>
      <c r="K3714" s="28" t="n">
        <v>11.25</v>
      </c>
      <c r="L3714" s="28" t="n">
        <v>119</v>
      </c>
      <c r="M3714" s="28" t="n">
        <v>7</v>
      </c>
    </row>
    <row r="3715" customFormat="false" ht="15" hidden="false" customHeight="false" outlineLevel="0" collapsed="false">
      <c r="A3715" s="27" t="n">
        <v>45540</v>
      </c>
      <c r="B3715" s="28" t="n">
        <v>2024</v>
      </c>
      <c r="C3715" s="28" t="s">
        <v>500</v>
      </c>
      <c r="D3715" s="28" t="s">
        <v>42</v>
      </c>
      <c r="E3715" s="28" t="s">
        <v>717</v>
      </c>
      <c r="F3715" s="28" t="s">
        <v>142</v>
      </c>
      <c r="G3715" s="28" t="s">
        <v>148</v>
      </c>
      <c r="H3715" s="28" t="s">
        <v>275</v>
      </c>
      <c r="I3715" s="29" t="n">
        <v>50000</v>
      </c>
      <c r="J3715" s="29" t="n">
        <v>42500</v>
      </c>
      <c r="K3715" s="28" t="n">
        <v>15</v>
      </c>
      <c r="L3715" s="28" t="n">
        <v>120</v>
      </c>
      <c r="M3715" s="28" t="n">
        <v>3</v>
      </c>
    </row>
    <row r="3716" customFormat="false" ht="15" hidden="false" customHeight="false" outlineLevel="0" collapsed="false">
      <c r="A3716" s="27" t="n">
        <v>45540</v>
      </c>
      <c r="B3716" s="28" t="n">
        <v>2024</v>
      </c>
      <c r="C3716" s="28" t="s">
        <v>169</v>
      </c>
      <c r="D3716" s="28" t="s">
        <v>48</v>
      </c>
      <c r="E3716" s="28" t="s">
        <v>736</v>
      </c>
      <c r="F3716" s="28" t="s">
        <v>147</v>
      </c>
      <c r="G3716" s="28" t="s">
        <v>148</v>
      </c>
      <c r="H3716" s="28" t="s">
        <v>291</v>
      </c>
      <c r="I3716" s="29" t="n">
        <v>500000</v>
      </c>
      <c r="J3716" s="29" t="n">
        <v>250000</v>
      </c>
      <c r="K3716" s="28" t="n">
        <v>11.25</v>
      </c>
      <c r="L3716" s="28" t="n">
        <v>120</v>
      </c>
      <c r="M3716" s="28" t="n">
        <v>24</v>
      </c>
    </row>
    <row r="3717" customFormat="false" ht="15" hidden="false" customHeight="false" outlineLevel="0" collapsed="false">
      <c r="A3717" s="27" t="n">
        <v>45540</v>
      </c>
      <c r="B3717" s="28" t="n">
        <v>2024</v>
      </c>
      <c r="C3717" s="28" t="s">
        <v>169</v>
      </c>
      <c r="D3717" s="28" t="s">
        <v>48</v>
      </c>
      <c r="E3717" s="28" t="s">
        <v>270</v>
      </c>
      <c r="F3717" s="28" t="s">
        <v>142</v>
      </c>
      <c r="G3717" s="28" t="s">
        <v>148</v>
      </c>
      <c r="H3717" s="28" t="s">
        <v>771</v>
      </c>
      <c r="I3717" s="29" t="n">
        <v>100000</v>
      </c>
      <c r="J3717" s="29" t="n">
        <v>85000</v>
      </c>
      <c r="K3717" s="28" t="n">
        <v>11.25</v>
      </c>
      <c r="L3717" s="28" t="n">
        <v>120</v>
      </c>
      <c r="M3717" s="28" t="n">
        <v>10</v>
      </c>
    </row>
    <row r="3718" customFormat="false" ht="15" hidden="false" customHeight="false" outlineLevel="0" collapsed="false">
      <c r="A3718" s="27" t="n">
        <v>45541</v>
      </c>
      <c r="B3718" s="28" t="n">
        <v>2024</v>
      </c>
      <c r="C3718" s="28" t="s">
        <v>163</v>
      </c>
      <c r="D3718" s="28" t="s">
        <v>52</v>
      </c>
      <c r="E3718" s="28" t="s">
        <v>715</v>
      </c>
      <c r="F3718" s="28" t="s">
        <v>142</v>
      </c>
      <c r="G3718" s="28" t="s">
        <v>148</v>
      </c>
      <c r="H3718" s="28" t="s">
        <v>937</v>
      </c>
      <c r="I3718" s="29" t="n">
        <v>92700</v>
      </c>
      <c r="J3718" s="29" t="n">
        <v>78795</v>
      </c>
      <c r="K3718" s="28" t="n">
        <v>13</v>
      </c>
      <c r="L3718" s="28" t="n">
        <v>120</v>
      </c>
      <c r="M3718" s="28" t="n">
        <v>2</v>
      </c>
    </row>
    <row r="3719" customFormat="false" ht="15" hidden="false" customHeight="false" outlineLevel="0" collapsed="false">
      <c r="A3719" s="27" t="n">
        <v>45541</v>
      </c>
      <c r="B3719" s="28" t="n">
        <v>2024</v>
      </c>
      <c r="C3719" s="28" t="s">
        <v>140</v>
      </c>
      <c r="D3719" s="28" t="s">
        <v>43</v>
      </c>
      <c r="E3719" s="28" t="s">
        <v>816</v>
      </c>
      <c r="F3719" s="28" t="s">
        <v>142</v>
      </c>
      <c r="G3719" s="28" t="s">
        <v>152</v>
      </c>
      <c r="H3719" s="28" t="s">
        <v>449</v>
      </c>
      <c r="I3719" s="29" t="n">
        <v>916000</v>
      </c>
      <c r="J3719" s="29" t="n">
        <v>687000</v>
      </c>
      <c r="K3719" s="28" t="n">
        <v>10.75</v>
      </c>
      <c r="L3719" s="28" t="n">
        <v>120</v>
      </c>
      <c r="M3719" s="28" t="n">
        <v>15</v>
      </c>
    </row>
    <row r="3720" customFormat="false" ht="15" hidden="false" customHeight="false" outlineLevel="0" collapsed="false">
      <c r="A3720" s="27" t="n">
        <v>45544</v>
      </c>
      <c r="B3720" s="28" t="n">
        <v>2024</v>
      </c>
      <c r="C3720" s="28" t="s">
        <v>235</v>
      </c>
      <c r="D3720" s="28" t="s">
        <v>46</v>
      </c>
      <c r="E3720" s="28" t="s">
        <v>702</v>
      </c>
      <c r="F3720" s="28" t="s">
        <v>142</v>
      </c>
      <c r="G3720" s="28" t="s">
        <v>143</v>
      </c>
      <c r="H3720" s="28" t="s">
        <v>494</v>
      </c>
      <c r="I3720" s="29" t="n">
        <v>960000</v>
      </c>
      <c r="J3720" s="29" t="n">
        <v>720000</v>
      </c>
      <c r="K3720" s="28" t="n">
        <v>10</v>
      </c>
      <c r="L3720" s="28" t="n">
        <v>126</v>
      </c>
      <c r="M3720" s="28" t="n">
        <v>13</v>
      </c>
    </row>
    <row r="3721" customFormat="false" ht="15" hidden="false" customHeight="false" outlineLevel="0" collapsed="false">
      <c r="A3721" s="27" t="n">
        <v>45545</v>
      </c>
      <c r="B3721" s="28" t="n">
        <v>2024</v>
      </c>
      <c r="C3721" s="28" t="s">
        <v>196</v>
      </c>
      <c r="D3721" s="28" t="s">
        <v>48</v>
      </c>
      <c r="E3721" s="28" t="s">
        <v>228</v>
      </c>
      <c r="F3721" s="28" t="s">
        <v>147</v>
      </c>
      <c r="G3721" s="28" t="s">
        <v>148</v>
      </c>
      <c r="H3721" s="28" t="s">
        <v>799</v>
      </c>
      <c r="I3721" s="29" t="n">
        <v>350000</v>
      </c>
      <c r="J3721" s="29" t="n">
        <v>175000</v>
      </c>
      <c r="K3721" s="28" t="n">
        <v>10</v>
      </c>
      <c r="L3721" s="28" t="n">
        <v>120</v>
      </c>
      <c r="M3721" s="28" t="n">
        <v>6</v>
      </c>
    </row>
    <row r="3722" customFormat="false" ht="15" hidden="false" customHeight="false" outlineLevel="0" collapsed="false">
      <c r="A3722" s="27" t="n">
        <v>45545</v>
      </c>
      <c r="B3722" s="28" t="n">
        <v>2024</v>
      </c>
      <c r="C3722" s="28" t="s">
        <v>198</v>
      </c>
      <c r="D3722" s="28" t="s">
        <v>52</v>
      </c>
      <c r="E3722" s="28" t="s">
        <v>715</v>
      </c>
      <c r="F3722" s="28" t="s">
        <v>142</v>
      </c>
      <c r="G3722" s="28" t="s">
        <v>148</v>
      </c>
      <c r="H3722" s="28" t="s">
        <v>771</v>
      </c>
      <c r="I3722" s="29" t="n">
        <v>150000</v>
      </c>
      <c r="J3722" s="29" t="n">
        <v>127500</v>
      </c>
      <c r="K3722" s="28" t="n">
        <v>11.25</v>
      </c>
      <c r="L3722" s="28" t="n">
        <v>120</v>
      </c>
      <c r="M3722" s="28" t="n">
        <v>6</v>
      </c>
    </row>
    <row r="3723" customFormat="false" ht="15" hidden="false" customHeight="false" outlineLevel="0" collapsed="false">
      <c r="A3723" s="27" t="n">
        <v>45545</v>
      </c>
      <c r="B3723" s="28" t="n">
        <v>2024</v>
      </c>
      <c r="C3723" s="28" t="s">
        <v>213</v>
      </c>
      <c r="D3723" s="28" t="s">
        <v>43</v>
      </c>
      <c r="E3723" s="28" t="s">
        <v>826</v>
      </c>
      <c r="F3723" s="28" t="s">
        <v>147</v>
      </c>
      <c r="G3723" s="28" t="s">
        <v>148</v>
      </c>
      <c r="H3723" s="28" t="s">
        <v>469</v>
      </c>
      <c r="I3723" s="29" t="n">
        <v>25000</v>
      </c>
      <c r="J3723" s="29" t="n">
        <v>12500</v>
      </c>
      <c r="K3723" s="28" t="n">
        <v>9</v>
      </c>
      <c r="L3723" s="28" t="n">
        <v>120</v>
      </c>
      <c r="M3723" s="28" t="n">
        <v>0</v>
      </c>
    </row>
    <row r="3724" customFormat="false" ht="15" hidden="false" customHeight="false" outlineLevel="0" collapsed="false">
      <c r="A3724" s="27" t="n">
        <v>45545</v>
      </c>
      <c r="B3724" s="28" t="n">
        <v>2024</v>
      </c>
      <c r="C3724" s="28" t="s">
        <v>421</v>
      </c>
      <c r="D3724" s="28" t="s">
        <v>44</v>
      </c>
      <c r="E3724" s="28" t="s">
        <v>759</v>
      </c>
      <c r="F3724" s="28" t="s">
        <v>142</v>
      </c>
      <c r="G3724" s="28" t="s">
        <v>143</v>
      </c>
      <c r="H3724" s="28" t="s">
        <v>621</v>
      </c>
      <c r="I3724" s="29" t="n">
        <v>438500</v>
      </c>
      <c r="J3724" s="29" t="n">
        <v>328875</v>
      </c>
      <c r="K3724" s="28" t="n">
        <v>11.25</v>
      </c>
      <c r="L3724" s="28" t="n">
        <v>126</v>
      </c>
      <c r="M3724" s="28" t="n">
        <v>2</v>
      </c>
    </row>
    <row r="3725" customFormat="false" ht="15" hidden="false" customHeight="false" outlineLevel="0" collapsed="false">
      <c r="A3725" s="27" t="n">
        <v>45545</v>
      </c>
      <c r="B3725" s="28" t="n">
        <v>2024</v>
      </c>
      <c r="C3725" s="28" t="s">
        <v>172</v>
      </c>
      <c r="D3725" s="28" t="s">
        <v>56</v>
      </c>
      <c r="E3725" s="28" t="s">
        <v>772</v>
      </c>
      <c r="F3725" s="28" t="s">
        <v>147</v>
      </c>
      <c r="G3725" s="28" t="s">
        <v>143</v>
      </c>
      <c r="H3725" s="28" t="s">
        <v>159</v>
      </c>
      <c r="I3725" s="29" t="n">
        <v>25000</v>
      </c>
      <c r="J3725" s="29" t="n">
        <v>12500</v>
      </c>
      <c r="K3725" s="28" t="n">
        <v>10.75</v>
      </c>
      <c r="L3725" s="28" t="n">
        <v>120</v>
      </c>
      <c r="M3725" s="28" t="n">
        <v>3</v>
      </c>
    </row>
    <row r="3726" customFormat="false" ht="15" hidden="false" customHeight="false" outlineLevel="0" collapsed="false">
      <c r="A3726" s="27" t="n">
        <v>45545</v>
      </c>
      <c r="B3726" s="28" t="n">
        <v>2024</v>
      </c>
      <c r="C3726" s="28" t="s">
        <v>172</v>
      </c>
      <c r="D3726" s="28" t="s">
        <v>50</v>
      </c>
      <c r="E3726" s="28" t="s">
        <v>877</v>
      </c>
      <c r="F3726" s="28" t="s">
        <v>147</v>
      </c>
      <c r="G3726" s="28" t="s">
        <v>441</v>
      </c>
      <c r="H3726" s="28" t="s">
        <v>376</v>
      </c>
      <c r="I3726" s="29" t="n">
        <v>150000</v>
      </c>
      <c r="J3726" s="29" t="n">
        <v>75000</v>
      </c>
      <c r="K3726" s="28" t="n">
        <v>10.5</v>
      </c>
      <c r="L3726" s="28" t="n">
        <v>120</v>
      </c>
      <c r="M3726" s="28" t="n">
        <v>11</v>
      </c>
    </row>
    <row r="3727" customFormat="false" ht="15" hidden="false" customHeight="false" outlineLevel="0" collapsed="false">
      <c r="A3727" s="27" t="n">
        <v>45545</v>
      </c>
      <c r="B3727" s="28" t="n">
        <v>2024</v>
      </c>
      <c r="C3727" s="28" t="s">
        <v>172</v>
      </c>
      <c r="D3727" s="28" t="s">
        <v>56</v>
      </c>
      <c r="E3727" s="28" t="s">
        <v>772</v>
      </c>
      <c r="F3727" s="28" t="s">
        <v>142</v>
      </c>
      <c r="G3727" s="28" t="s">
        <v>143</v>
      </c>
      <c r="H3727" s="28" t="s">
        <v>159</v>
      </c>
      <c r="I3727" s="29" t="n">
        <v>300000</v>
      </c>
      <c r="J3727" s="29" t="n">
        <v>225000</v>
      </c>
      <c r="K3727" s="28" t="n">
        <v>10.5</v>
      </c>
      <c r="L3727" s="28" t="n">
        <v>120</v>
      </c>
      <c r="M3727" s="28" t="n">
        <v>3</v>
      </c>
    </row>
    <row r="3728" customFormat="false" ht="15" hidden="false" customHeight="false" outlineLevel="0" collapsed="false">
      <c r="A3728" s="27" t="n">
        <v>45546</v>
      </c>
      <c r="B3728" s="28" t="n">
        <v>2024</v>
      </c>
      <c r="C3728" s="28" t="s">
        <v>160</v>
      </c>
      <c r="D3728" s="28" t="s">
        <v>45</v>
      </c>
      <c r="E3728" s="28" t="s">
        <v>222</v>
      </c>
      <c r="F3728" s="28" t="s">
        <v>142</v>
      </c>
      <c r="G3728" s="28" t="s">
        <v>148</v>
      </c>
      <c r="H3728" s="28" t="s">
        <v>771</v>
      </c>
      <c r="I3728" s="29" t="n">
        <v>35000</v>
      </c>
      <c r="J3728" s="29" t="n">
        <v>29750</v>
      </c>
      <c r="K3728" s="28" t="n">
        <v>11.25</v>
      </c>
      <c r="L3728" s="28" t="n">
        <v>120</v>
      </c>
      <c r="M3728" s="28" t="n">
        <v>2</v>
      </c>
    </row>
    <row r="3729" customFormat="false" ht="15" hidden="false" customHeight="false" outlineLevel="0" collapsed="false">
      <c r="A3729" s="27" t="n">
        <v>45546</v>
      </c>
      <c r="B3729" s="28" t="n">
        <v>2024</v>
      </c>
      <c r="C3729" s="28" t="s">
        <v>568</v>
      </c>
      <c r="D3729" s="28" t="s">
        <v>47</v>
      </c>
      <c r="E3729" s="28" t="s">
        <v>776</v>
      </c>
      <c r="F3729" s="28" t="s">
        <v>194</v>
      </c>
      <c r="G3729" s="28" t="s">
        <v>143</v>
      </c>
      <c r="H3729" s="28" t="s">
        <v>266</v>
      </c>
      <c r="I3729" s="29" t="n">
        <v>124400</v>
      </c>
      <c r="J3729" s="29" t="n">
        <v>93300</v>
      </c>
      <c r="K3729" s="28" t="n">
        <v>8.25</v>
      </c>
      <c r="L3729" s="28" t="n">
        <v>240</v>
      </c>
      <c r="M3729" s="28" t="n">
        <v>4</v>
      </c>
    </row>
    <row r="3730" customFormat="false" ht="15" hidden="false" customHeight="false" outlineLevel="0" collapsed="false">
      <c r="A3730" s="27" t="n">
        <v>45546</v>
      </c>
      <c r="B3730" s="28" t="n">
        <v>2024</v>
      </c>
      <c r="C3730" s="28" t="s">
        <v>232</v>
      </c>
      <c r="D3730" s="28" t="s">
        <v>47</v>
      </c>
      <c r="E3730" s="28" t="s">
        <v>1029</v>
      </c>
      <c r="F3730" s="28" t="s">
        <v>194</v>
      </c>
      <c r="G3730" s="28" t="s">
        <v>441</v>
      </c>
      <c r="H3730" s="28" t="s">
        <v>234</v>
      </c>
      <c r="I3730" s="29" t="n">
        <v>250000</v>
      </c>
      <c r="J3730" s="29" t="n">
        <v>187500</v>
      </c>
      <c r="K3730" s="28" t="n">
        <v>8</v>
      </c>
      <c r="L3730" s="28" t="n">
        <v>120</v>
      </c>
      <c r="M3730" s="28" t="n">
        <v>19</v>
      </c>
    </row>
    <row r="3731" customFormat="false" ht="15" hidden="false" customHeight="false" outlineLevel="0" collapsed="false">
      <c r="A3731" s="27" t="n">
        <v>45546</v>
      </c>
      <c r="B3731" s="28" t="n">
        <v>2024</v>
      </c>
      <c r="C3731" s="28" t="s">
        <v>198</v>
      </c>
      <c r="D3731" s="28" t="s">
        <v>44</v>
      </c>
      <c r="E3731" s="28" t="s">
        <v>729</v>
      </c>
      <c r="F3731" s="28" t="s">
        <v>142</v>
      </c>
      <c r="G3731" s="28" t="s">
        <v>148</v>
      </c>
      <c r="H3731" s="28" t="s">
        <v>275</v>
      </c>
      <c r="I3731" s="29" t="n">
        <v>150000</v>
      </c>
      <c r="J3731" s="29" t="n">
        <v>127500</v>
      </c>
      <c r="K3731" s="28" t="n">
        <v>11.25</v>
      </c>
      <c r="L3731" s="28" t="n">
        <v>120</v>
      </c>
      <c r="M3731" s="28" t="n">
        <v>0</v>
      </c>
    </row>
    <row r="3732" customFormat="false" ht="15" hidden="false" customHeight="false" outlineLevel="0" collapsed="false">
      <c r="A3732" s="27" t="n">
        <v>45546</v>
      </c>
      <c r="B3732" s="28" t="n">
        <v>2024</v>
      </c>
      <c r="C3732" s="28" t="s">
        <v>172</v>
      </c>
      <c r="D3732" s="28" t="s">
        <v>43</v>
      </c>
      <c r="E3732" s="28" t="s">
        <v>1096</v>
      </c>
      <c r="F3732" s="28" t="s">
        <v>142</v>
      </c>
      <c r="G3732" s="28" t="s">
        <v>148</v>
      </c>
      <c r="H3732" s="28" t="s">
        <v>953</v>
      </c>
      <c r="I3732" s="29" t="n">
        <v>175000</v>
      </c>
      <c r="J3732" s="29" t="n">
        <v>131250</v>
      </c>
      <c r="K3732" s="28" t="n">
        <v>11.5</v>
      </c>
      <c r="L3732" s="28" t="n">
        <v>120</v>
      </c>
      <c r="M3732" s="28" t="n">
        <v>2</v>
      </c>
    </row>
    <row r="3733" customFormat="false" ht="15" hidden="false" customHeight="false" outlineLevel="0" collapsed="false">
      <c r="A3733" s="27" t="n">
        <v>45547</v>
      </c>
      <c r="B3733" s="28" t="n">
        <v>2024</v>
      </c>
      <c r="C3733" s="28" t="s">
        <v>169</v>
      </c>
      <c r="D3733" s="28" t="s">
        <v>52</v>
      </c>
      <c r="E3733" s="28" t="s">
        <v>832</v>
      </c>
      <c r="F3733" s="28" t="s">
        <v>194</v>
      </c>
      <c r="G3733" s="28" t="s">
        <v>148</v>
      </c>
      <c r="H3733" s="28" t="s">
        <v>799</v>
      </c>
      <c r="I3733" s="29" t="n">
        <v>5000000</v>
      </c>
      <c r="J3733" s="29" t="n">
        <v>3750000</v>
      </c>
      <c r="K3733" s="28" t="n">
        <v>10.5</v>
      </c>
      <c r="L3733" s="28" t="n">
        <v>120</v>
      </c>
      <c r="M3733" s="28" t="n">
        <v>91</v>
      </c>
    </row>
    <row r="3734" customFormat="false" ht="15" hidden="false" customHeight="false" outlineLevel="0" collapsed="false">
      <c r="A3734" s="27" t="n">
        <v>45547</v>
      </c>
      <c r="B3734" s="28" t="n">
        <v>2024</v>
      </c>
      <c r="C3734" s="28" t="s">
        <v>303</v>
      </c>
      <c r="D3734" s="28" t="s">
        <v>55</v>
      </c>
      <c r="E3734" s="28" t="s">
        <v>1091</v>
      </c>
      <c r="F3734" s="28" t="s">
        <v>142</v>
      </c>
      <c r="G3734" s="28" t="s">
        <v>148</v>
      </c>
      <c r="H3734" s="28" t="s">
        <v>953</v>
      </c>
      <c r="I3734" s="29" t="n">
        <v>215000</v>
      </c>
      <c r="J3734" s="29" t="n">
        <v>161250</v>
      </c>
      <c r="K3734" s="28" t="n">
        <v>11.5</v>
      </c>
      <c r="L3734" s="28" t="n">
        <v>300</v>
      </c>
      <c r="M3734" s="28" t="n">
        <v>40</v>
      </c>
    </row>
    <row r="3735" customFormat="false" ht="15" hidden="false" customHeight="false" outlineLevel="0" collapsed="false">
      <c r="A3735" s="27" t="n">
        <v>45547</v>
      </c>
      <c r="B3735" s="28" t="n">
        <v>2024</v>
      </c>
      <c r="C3735" s="28" t="s">
        <v>163</v>
      </c>
      <c r="D3735" s="28" t="s">
        <v>48</v>
      </c>
      <c r="E3735" s="28" t="s">
        <v>815</v>
      </c>
      <c r="F3735" s="28" t="s">
        <v>142</v>
      </c>
      <c r="G3735" s="28" t="s">
        <v>148</v>
      </c>
      <c r="H3735" s="28" t="s">
        <v>208</v>
      </c>
      <c r="I3735" s="29" t="n">
        <v>100000</v>
      </c>
      <c r="J3735" s="29" t="n">
        <v>85000</v>
      </c>
      <c r="K3735" s="28" t="n">
        <v>11.25</v>
      </c>
      <c r="L3735" s="28" t="n">
        <v>120</v>
      </c>
      <c r="M3735" s="28" t="n">
        <v>2</v>
      </c>
    </row>
    <row r="3736" customFormat="false" ht="15" hidden="false" customHeight="false" outlineLevel="0" collapsed="false">
      <c r="A3736" s="27" t="n">
        <v>45547</v>
      </c>
      <c r="B3736" s="28" t="n">
        <v>2024</v>
      </c>
      <c r="C3736" s="28" t="s">
        <v>627</v>
      </c>
      <c r="D3736" s="28" t="s">
        <v>43</v>
      </c>
      <c r="E3736" s="28" t="s">
        <v>837</v>
      </c>
      <c r="F3736" s="28" t="s">
        <v>194</v>
      </c>
      <c r="G3736" s="28" t="s">
        <v>143</v>
      </c>
      <c r="H3736" s="28" t="s">
        <v>221</v>
      </c>
      <c r="I3736" s="29" t="n">
        <v>400000</v>
      </c>
      <c r="J3736" s="29" t="n">
        <v>300000</v>
      </c>
      <c r="K3736" s="28" t="n">
        <v>10.75</v>
      </c>
      <c r="L3736" s="28" t="n">
        <v>132</v>
      </c>
      <c r="M3736" s="28" t="n">
        <v>2</v>
      </c>
    </row>
    <row r="3737" customFormat="false" ht="15" hidden="false" customHeight="false" outlineLevel="0" collapsed="false">
      <c r="A3737" s="27" t="n">
        <v>45548</v>
      </c>
      <c r="B3737" s="28" t="n">
        <v>2024</v>
      </c>
      <c r="C3737" s="28" t="s">
        <v>163</v>
      </c>
      <c r="D3737" s="28" t="s">
        <v>47</v>
      </c>
      <c r="E3737" s="28" t="s">
        <v>760</v>
      </c>
      <c r="F3737" s="28" t="s">
        <v>142</v>
      </c>
      <c r="G3737" s="28" t="s">
        <v>143</v>
      </c>
      <c r="H3737" s="28" t="s">
        <v>191</v>
      </c>
      <c r="I3737" s="29" t="n">
        <v>545700</v>
      </c>
      <c r="J3737" s="29" t="n">
        <v>409275</v>
      </c>
      <c r="K3737" s="28" t="n">
        <v>8.83</v>
      </c>
      <c r="L3737" s="28" t="n">
        <v>120</v>
      </c>
      <c r="M3737" s="28" t="n">
        <v>4</v>
      </c>
    </row>
    <row r="3738" customFormat="false" ht="15" hidden="false" customHeight="false" outlineLevel="0" collapsed="false">
      <c r="A3738" s="27" t="n">
        <v>45548</v>
      </c>
      <c r="B3738" s="28" t="n">
        <v>2024</v>
      </c>
      <c r="C3738" s="28" t="s">
        <v>499</v>
      </c>
      <c r="D3738" s="28" t="s">
        <v>42</v>
      </c>
      <c r="E3738" s="28" t="s">
        <v>705</v>
      </c>
      <c r="F3738" s="28" t="s">
        <v>142</v>
      </c>
      <c r="G3738" s="28" t="s">
        <v>152</v>
      </c>
      <c r="H3738" s="28" t="s">
        <v>211</v>
      </c>
      <c r="I3738" s="29" t="n">
        <v>3995500</v>
      </c>
      <c r="J3738" s="29" t="n">
        <v>2996625</v>
      </c>
      <c r="K3738" s="28" t="n">
        <v>10.5</v>
      </c>
      <c r="L3738" s="28" t="n">
        <v>306</v>
      </c>
      <c r="M3738" s="28" t="n">
        <v>15</v>
      </c>
    </row>
    <row r="3739" customFormat="false" ht="15" hidden="false" customHeight="false" outlineLevel="0" collapsed="false">
      <c r="A3739" s="27" t="n">
        <v>45548</v>
      </c>
      <c r="B3739" s="28" t="n">
        <v>2024</v>
      </c>
      <c r="C3739" s="28" t="s">
        <v>360</v>
      </c>
      <c r="D3739" s="28" t="s">
        <v>45</v>
      </c>
      <c r="E3739" s="28" t="s">
        <v>480</v>
      </c>
      <c r="F3739" s="28" t="s">
        <v>142</v>
      </c>
      <c r="G3739" s="28" t="s">
        <v>148</v>
      </c>
      <c r="H3739" s="28" t="s">
        <v>159</v>
      </c>
      <c r="I3739" s="29" t="n">
        <v>150000</v>
      </c>
      <c r="J3739" s="29" t="n">
        <v>127500</v>
      </c>
      <c r="K3739" s="28" t="n">
        <v>11.25</v>
      </c>
      <c r="L3739" s="28" t="n">
        <v>84</v>
      </c>
      <c r="M3739" s="28" t="n">
        <v>4</v>
      </c>
    </row>
    <row r="3740" customFormat="false" ht="15" hidden="false" customHeight="false" outlineLevel="0" collapsed="false">
      <c r="A3740" s="27" t="n">
        <v>45548</v>
      </c>
      <c r="B3740" s="28" t="n">
        <v>2024</v>
      </c>
      <c r="C3740" s="28" t="s">
        <v>145</v>
      </c>
      <c r="D3740" s="28" t="s">
        <v>46</v>
      </c>
      <c r="E3740" s="28" t="s">
        <v>770</v>
      </c>
      <c r="F3740" s="28" t="s">
        <v>142</v>
      </c>
      <c r="G3740" s="28" t="s">
        <v>441</v>
      </c>
      <c r="H3740" s="28" t="s">
        <v>159</v>
      </c>
      <c r="I3740" s="29" t="n">
        <v>200000</v>
      </c>
      <c r="J3740" s="29" t="n">
        <v>150000</v>
      </c>
      <c r="K3740" s="28" t="n">
        <v>10.25</v>
      </c>
      <c r="L3740" s="28" t="n">
        <v>84</v>
      </c>
      <c r="M3740" s="28" t="n">
        <v>9</v>
      </c>
    </row>
    <row r="3741" customFormat="false" ht="15" hidden="false" customHeight="false" outlineLevel="0" collapsed="false">
      <c r="A3741" s="27" t="n">
        <v>45549</v>
      </c>
      <c r="B3741" s="28" t="n">
        <v>2024</v>
      </c>
      <c r="C3741" s="28" t="s">
        <v>172</v>
      </c>
      <c r="D3741" s="28" t="s">
        <v>48</v>
      </c>
      <c r="E3741" s="28" t="s">
        <v>905</v>
      </c>
      <c r="F3741" s="28" t="s">
        <v>142</v>
      </c>
      <c r="G3741" s="28" t="s">
        <v>148</v>
      </c>
      <c r="H3741" s="28" t="s">
        <v>771</v>
      </c>
      <c r="I3741" s="29" t="n">
        <v>50000</v>
      </c>
      <c r="J3741" s="29" t="n">
        <v>42500</v>
      </c>
      <c r="K3741" s="28" t="n">
        <v>11.25</v>
      </c>
      <c r="L3741" s="28" t="n">
        <v>120</v>
      </c>
      <c r="M3741" s="28" t="n">
        <v>2</v>
      </c>
    </row>
    <row r="3742" customFormat="false" ht="15" hidden="false" customHeight="false" outlineLevel="0" collapsed="false">
      <c r="A3742" s="27" t="n">
        <v>45551</v>
      </c>
      <c r="B3742" s="28" t="n">
        <v>2024</v>
      </c>
      <c r="C3742" s="28" t="s">
        <v>499</v>
      </c>
      <c r="D3742" s="28" t="s">
        <v>43</v>
      </c>
      <c r="E3742" s="28" t="s">
        <v>1088</v>
      </c>
      <c r="F3742" s="28" t="s">
        <v>142</v>
      </c>
      <c r="G3742" s="28" t="s">
        <v>152</v>
      </c>
      <c r="H3742" s="28" t="s">
        <v>483</v>
      </c>
      <c r="I3742" s="29" t="n">
        <v>1334200</v>
      </c>
      <c r="J3742" s="29" t="n">
        <v>1000650</v>
      </c>
      <c r="K3742" s="28" t="n">
        <v>11</v>
      </c>
      <c r="L3742" s="28" t="n">
        <v>300</v>
      </c>
      <c r="M3742" s="28" t="n">
        <v>7</v>
      </c>
    </row>
    <row r="3743" customFormat="false" ht="15" hidden="false" customHeight="false" outlineLevel="0" collapsed="false">
      <c r="A3743" s="27" t="n">
        <v>45551</v>
      </c>
      <c r="B3743" s="28" t="n">
        <v>2024</v>
      </c>
      <c r="C3743" s="28" t="s">
        <v>140</v>
      </c>
      <c r="D3743" s="28" t="s">
        <v>50</v>
      </c>
      <c r="E3743" s="28" t="s">
        <v>1097</v>
      </c>
      <c r="F3743" s="28" t="s">
        <v>142</v>
      </c>
      <c r="G3743" s="28" t="s">
        <v>148</v>
      </c>
      <c r="H3743" s="28" t="s">
        <v>771</v>
      </c>
      <c r="I3743" s="29" t="n">
        <v>72900</v>
      </c>
      <c r="J3743" s="29" t="n">
        <v>61965</v>
      </c>
      <c r="K3743" s="28" t="n">
        <v>11.25</v>
      </c>
      <c r="L3743" s="28" t="n">
        <v>120</v>
      </c>
      <c r="M3743" s="28" t="n">
        <v>1</v>
      </c>
    </row>
    <row r="3744" customFormat="false" ht="15" hidden="false" customHeight="false" outlineLevel="0" collapsed="false">
      <c r="A3744" s="27" t="n">
        <v>45552</v>
      </c>
      <c r="B3744" s="28" t="n">
        <v>2024</v>
      </c>
      <c r="C3744" s="28" t="s">
        <v>163</v>
      </c>
      <c r="D3744" s="28" t="s">
        <v>50</v>
      </c>
      <c r="E3744" s="28" t="s">
        <v>754</v>
      </c>
      <c r="F3744" s="28" t="s">
        <v>142</v>
      </c>
      <c r="G3744" s="28" t="s">
        <v>148</v>
      </c>
      <c r="H3744" s="28" t="s">
        <v>275</v>
      </c>
      <c r="I3744" s="29" t="n">
        <v>500000</v>
      </c>
      <c r="J3744" s="29" t="n">
        <v>375000</v>
      </c>
      <c r="K3744" s="28" t="n">
        <v>11.25</v>
      </c>
      <c r="L3744" s="28" t="n">
        <v>120</v>
      </c>
      <c r="M3744" s="28" t="n">
        <v>13</v>
      </c>
    </row>
    <row r="3745" customFormat="false" ht="15" hidden="false" customHeight="false" outlineLevel="0" collapsed="false">
      <c r="A3745" s="27" t="n">
        <v>45552</v>
      </c>
      <c r="B3745" s="28" t="n">
        <v>2024</v>
      </c>
      <c r="C3745" s="28" t="s">
        <v>450</v>
      </c>
      <c r="D3745" s="28" t="s">
        <v>55</v>
      </c>
      <c r="E3745" s="28" t="s">
        <v>739</v>
      </c>
      <c r="F3745" s="28" t="s">
        <v>142</v>
      </c>
      <c r="G3745" s="28" t="s">
        <v>148</v>
      </c>
      <c r="H3745" s="28" t="s">
        <v>144</v>
      </c>
      <c r="I3745" s="29" t="n">
        <v>1436000</v>
      </c>
      <c r="J3745" s="29" t="n">
        <v>1077000</v>
      </c>
      <c r="K3745" s="28" t="n">
        <v>8.75</v>
      </c>
      <c r="L3745" s="28" t="n">
        <v>256</v>
      </c>
      <c r="M3745" s="28" t="n">
        <v>5</v>
      </c>
    </row>
    <row r="3746" customFormat="false" ht="15" hidden="false" customHeight="false" outlineLevel="0" collapsed="false">
      <c r="A3746" s="27" t="n">
        <v>45552</v>
      </c>
      <c r="B3746" s="28" t="n">
        <v>2024</v>
      </c>
      <c r="C3746" s="28" t="s">
        <v>160</v>
      </c>
      <c r="D3746" s="28" t="s">
        <v>44</v>
      </c>
      <c r="E3746" s="28" t="s">
        <v>783</v>
      </c>
      <c r="F3746" s="28" t="s">
        <v>142</v>
      </c>
      <c r="G3746" s="28" t="s">
        <v>148</v>
      </c>
      <c r="H3746" s="28" t="s">
        <v>208</v>
      </c>
      <c r="I3746" s="29" t="n">
        <v>80000</v>
      </c>
      <c r="J3746" s="29" t="n">
        <v>68000</v>
      </c>
      <c r="K3746" s="28" t="n">
        <v>11.25</v>
      </c>
      <c r="L3746" s="28" t="n">
        <v>120</v>
      </c>
      <c r="M3746" s="28" t="n">
        <v>0</v>
      </c>
    </row>
    <row r="3747" customFormat="false" ht="15" hidden="false" customHeight="false" outlineLevel="0" collapsed="false">
      <c r="A3747" s="27" t="n">
        <v>45552</v>
      </c>
      <c r="B3747" s="28" t="n">
        <v>2024</v>
      </c>
      <c r="C3747" s="28" t="s">
        <v>172</v>
      </c>
      <c r="D3747" s="28" t="s">
        <v>44</v>
      </c>
      <c r="E3747" s="28" t="s">
        <v>897</v>
      </c>
      <c r="F3747" s="28" t="s">
        <v>142</v>
      </c>
      <c r="G3747" s="28" t="s">
        <v>148</v>
      </c>
      <c r="H3747" s="28" t="s">
        <v>771</v>
      </c>
      <c r="I3747" s="29" t="n">
        <v>250000</v>
      </c>
      <c r="J3747" s="29" t="n">
        <v>187500</v>
      </c>
      <c r="K3747" s="28" t="n">
        <v>11.25</v>
      </c>
      <c r="L3747" s="28" t="n">
        <v>120</v>
      </c>
      <c r="M3747" s="28" t="n">
        <v>32</v>
      </c>
    </row>
    <row r="3748" customFormat="false" ht="15" hidden="false" customHeight="false" outlineLevel="0" collapsed="false">
      <c r="A3748" s="27" t="n">
        <v>45552</v>
      </c>
      <c r="B3748" s="28" t="n">
        <v>2024</v>
      </c>
      <c r="C3748" s="28" t="s">
        <v>265</v>
      </c>
      <c r="D3748" s="28" t="s">
        <v>50</v>
      </c>
      <c r="E3748" s="28" t="s">
        <v>193</v>
      </c>
      <c r="F3748" s="28" t="s">
        <v>147</v>
      </c>
      <c r="G3748" s="28" t="s">
        <v>148</v>
      </c>
      <c r="H3748" s="28" t="s">
        <v>266</v>
      </c>
      <c r="I3748" s="29" t="n">
        <v>25000</v>
      </c>
      <c r="J3748" s="29" t="n">
        <v>12500</v>
      </c>
      <c r="K3748" s="28" t="n">
        <v>9</v>
      </c>
      <c r="L3748" s="28" t="n">
        <v>120</v>
      </c>
      <c r="M3748" s="28" t="n">
        <v>31</v>
      </c>
    </row>
    <row r="3749" customFormat="false" ht="15" hidden="false" customHeight="false" outlineLevel="0" collapsed="false">
      <c r="A3749" s="27" t="n">
        <v>45552</v>
      </c>
      <c r="B3749" s="28" t="n">
        <v>2024</v>
      </c>
      <c r="C3749" s="28" t="s">
        <v>560</v>
      </c>
      <c r="D3749" s="28" t="s">
        <v>48</v>
      </c>
      <c r="E3749" s="28" t="s">
        <v>762</v>
      </c>
      <c r="F3749" s="28" t="s">
        <v>142</v>
      </c>
      <c r="G3749" s="28" t="s">
        <v>152</v>
      </c>
      <c r="H3749" s="28" t="s">
        <v>494</v>
      </c>
      <c r="I3749" s="29" t="n">
        <v>1675000</v>
      </c>
      <c r="J3749" s="29" t="n">
        <v>1256250</v>
      </c>
      <c r="K3749" s="28" t="n">
        <v>10</v>
      </c>
      <c r="L3749" s="28" t="n">
        <v>120</v>
      </c>
      <c r="M3749" s="28" t="n">
        <v>48</v>
      </c>
    </row>
    <row r="3750" customFormat="false" ht="15" hidden="false" customHeight="false" outlineLevel="0" collapsed="false">
      <c r="A3750" s="27" t="n">
        <v>45552</v>
      </c>
      <c r="B3750" s="28" t="n">
        <v>2024</v>
      </c>
      <c r="C3750" s="28" t="s">
        <v>1098</v>
      </c>
      <c r="D3750" s="28" t="s">
        <v>42</v>
      </c>
      <c r="E3750" s="28" t="s">
        <v>705</v>
      </c>
      <c r="F3750" s="28" t="s">
        <v>142</v>
      </c>
      <c r="G3750" s="28" t="s">
        <v>152</v>
      </c>
      <c r="H3750" s="28" t="s">
        <v>326</v>
      </c>
      <c r="I3750" s="29" t="n">
        <v>1330000</v>
      </c>
      <c r="J3750" s="29" t="n">
        <v>997500</v>
      </c>
      <c r="K3750" s="28" t="n">
        <v>9.75</v>
      </c>
      <c r="L3750" s="28" t="n">
        <v>300</v>
      </c>
      <c r="M3750" s="28" t="n">
        <v>13</v>
      </c>
    </row>
    <row r="3751" customFormat="false" ht="15" hidden="false" customHeight="false" outlineLevel="0" collapsed="false">
      <c r="A3751" s="27" t="n">
        <v>45552</v>
      </c>
      <c r="B3751" s="28" t="n">
        <v>2024</v>
      </c>
      <c r="C3751" s="28" t="s">
        <v>344</v>
      </c>
      <c r="D3751" s="28" t="s">
        <v>45</v>
      </c>
      <c r="E3751" s="28" t="s">
        <v>222</v>
      </c>
      <c r="F3751" s="28" t="s">
        <v>142</v>
      </c>
      <c r="G3751" s="28" t="s">
        <v>148</v>
      </c>
      <c r="H3751" s="28" t="s">
        <v>275</v>
      </c>
      <c r="I3751" s="29" t="n">
        <v>50000</v>
      </c>
      <c r="J3751" s="29" t="n">
        <v>42500</v>
      </c>
      <c r="K3751" s="28" t="n">
        <v>15</v>
      </c>
      <c r="L3751" s="28" t="n">
        <v>120</v>
      </c>
      <c r="M3751" s="28" t="n">
        <v>0</v>
      </c>
    </row>
    <row r="3752" customFormat="false" ht="15" hidden="false" customHeight="false" outlineLevel="0" collapsed="false">
      <c r="A3752" s="27" t="n">
        <v>45552</v>
      </c>
      <c r="B3752" s="28" t="n">
        <v>2024</v>
      </c>
      <c r="C3752" s="28" t="s">
        <v>1099</v>
      </c>
      <c r="D3752" s="28" t="s">
        <v>52</v>
      </c>
      <c r="E3752" s="28" t="s">
        <v>599</v>
      </c>
      <c r="F3752" s="28" t="s">
        <v>147</v>
      </c>
      <c r="G3752" s="28" t="s">
        <v>441</v>
      </c>
      <c r="H3752" s="28" t="s">
        <v>168</v>
      </c>
      <c r="I3752" s="29" t="n">
        <v>15000</v>
      </c>
      <c r="J3752" s="29" t="n">
        <v>7500</v>
      </c>
      <c r="K3752" s="28" t="n">
        <v>13.5</v>
      </c>
      <c r="L3752" s="28" t="n">
        <v>120</v>
      </c>
      <c r="M3752" s="28" t="n">
        <v>4</v>
      </c>
    </row>
    <row r="3753" customFormat="false" ht="15" hidden="false" customHeight="false" outlineLevel="0" collapsed="false">
      <c r="A3753" s="27" t="n">
        <v>45552</v>
      </c>
      <c r="B3753" s="28" t="n">
        <v>2024</v>
      </c>
      <c r="C3753" s="28" t="s">
        <v>206</v>
      </c>
      <c r="D3753" s="28" t="s">
        <v>48</v>
      </c>
      <c r="E3753" s="28" t="s">
        <v>277</v>
      </c>
      <c r="F3753" s="28" t="s">
        <v>147</v>
      </c>
      <c r="G3753" s="28" t="s">
        <v>148</v>
      </c>
      <c r="H3753" s="28" t="s">
        <v>428</v>
      </c>
      <c r="I3753" s="29" t="n">
        <v>400000</v>
      </c>
      <c r="J3753" s="29" t="n">
        <v>200000</v>
      </c>
      <c r="K3753" s="28" t="n">
        <v>10</v>
      </c>
      <c r="L3753" s="28" t="n">
        <v>120</v>
      </c>
      <c r="M3753" s="28" t="n">
        <v>5</v>
      </c>
    </row>
    <row r="3754" customFormat="false" ht="15" hidden="false" customHeight="false" outlineLevel="0" collapsed="false">
      <c r="A3754" s="27" t="n">
        <v>45552</v>
      </c>
      <c r="B3754" s="28" t="n">
        <v>2024</v>
      </c>
      <c r="C3754" s="28" t="s">
        <v>303</v>
      </c>
      <c r="D3754" s="28" t="s">
        <v>53</v>
      </c>
      <c r="E3754" s="28" t="s">
        <v>383</v>
      </c>
      <c r="F3754" s="28" t="s">
        <v>147</v>
      </c>
      <c r="G3754" s="28" t="s">
        <v>148</v>
      </c>
      <c r="H3754" s="28" t="s">
        <v>428</v>
      </c>
      <c r="I3754" s="29" t="n">
        <v>100000</v>
      </c>
      <c r="J3754" s="29" t="n">
        <v>50000</v>
      </c>
      <c r="K3754" s="28" t="n">
        <v>14.5</v>
      </c>
      <c r="L3754" s="28" t="n">
        <v>120</v>
      </c>
      <c r="M3754" s="28" t="n">
        <v>0</v>
      </c>
    </row>
    <row r="3755" customFormat="false" ht="15" hidden="false" customHeight="false" outlineLevel="0" collapsed="false">
      <c r="A3755" s="27" t="n">
        <v>45553</v>
      </c>
      <c r="B3755" s="28" t="n">
        <v>2024</v>
      </c>
      <c r="C3755" s="28" t="s">
        <v>421</v>
      </c>
      <c r="D3755" s="28" t="s">
        <v>42</v>
      </c>
      <c r="E3755" s="28" t="s">
        <v>753</v>
      </c>
      <c r="F3755" s="28" t="s">
        <v>142</v>
      </c>
      <c r="G3755" s="28" t="s">
        <v>152</v>
      </c>
      <c r="H3755" s="28" t="s">
        <v>269</v>
      </c>
      <c r="I3755" s="29" t="n">
        <v>5000000</v>
      </c>
      <c r="J3755" s="29" t="n">
        <v>3750000</v>
      </c>
      <c r="K3755" s="28" t="n">
        <v>11</v>
      </c>
      <c r="L3755" s="28" t="n">
        <v>120</v>
      </c>
      <c r="M3755" s="28" t="n">
        <v>300</v>
      </c>
    </row>
    <row r="3756" customFormat="false" ht="15" hidden="false" customHeight="false" outlineLevel="0" collapsed="false">
      <c r="A3756" s="27" t="n">
        <v>45553</v>
      </c>
      <c r="B3756" s="28" t="n">
        <v>2024</v>
      </c>
      <c r="C3756" s="28" t="s">
        <v>206</v>
      </c>
      <c r="D3756" s="28" t="s">
        <v>42</v>
      </c>
      <c r="E3756" s="28" t="s">
        <v>717</v>
      </c>
      <c r="F3756" s="28" t="s">
        <v>142</v>
      </c>
      <c r="G3756" s="28" t="s">
        <v>143</v>
      </c>
      <c r="H3756" s="28" t="s">
        <v>159</v>
      </c>
      <c r="I3756" s="29" t="n">
        <v>350000</v>
      </c>
      <c r="J3756" s="29" t="n">
        <v>262500</v>
      </c>
      <c r="K3756" s="28" t="n">
        <v>12.5</v>
      </c>
      <c r="L3756" s="28" t="n">
        <v>120</v>
      </c>
      <c r="M3756" s="28" t="n">
        <v>32</v>
      </c>
    </row>
    <row r="3757" customFormat="false" ht="15" hidden="false" customHeight="false" outlineLevel="0" collapsed="false">
      <c r="A3757" s="27" t="n">
        <v>45553</v>
      </c>
      <c r="B3757" s="28" t="n">
        <v>2024</v>
      </c>
      <c r="C3757" s="28" t="s">
        <v>163</v>
      </c>
      <c r="D3757" s="28" t="s">
        <v>53</v>
      </c>
      <c r="E3757" s="28" t="s">
        <v>383</v>
      </c>
      <c r="F3757" s="28" t="s">
        <v>142</v>
      </c>
      <c r="G3757" s="28" t="s">
        <v>148</v>
      </c>
      <c r="H3757" s="28" t="s">
        <v>953</v>
      </c>
      <c r="I3757" s="29" t="n">
        <v>231000</v>
      </c>
      <c r="J3757" s="29" t="n">
        <v>173250</v>
      </c>
      <c r="K3757" s="28" t="n">
        <v>11.5</v>
      </c>
      <c r="L3757" s="28" t="n">
        <v>120</v>
      </c>
      <c r="M3757" s="28" t="n">
        <v>18</v>
      </c>
    </row>
    <row r="3758" customFormat="false" ht="15" hidden="false" customHeight="false" outlineLevel="0" collapsed="false">
      <c r="A3758" s="27" t="n">
        <v>45553</v>
      </c>
      <c r="B3758" s="28" t="n">
        <v>2024</v>
      </c>
      <c r="C3758" s="28" t="s">
        <v>160</v>
      </c>
      <c r="D3758" s="28" t="s">
        <v>54</v>
      </c>
      <c r="E3758" s="28" t="s">
        <v>791</v>
      </c>
      <c r="F3758" s="28" t="s">
        <v>147</v>
      </c>
      <c r="G3758" s="28" t="s">
        <v>148</v>
      </c>
      <c r="H3758" s="28" t="s">
        <v>404</v>
      </c>
      <c r="I3758" s="29" t="n">
        <v>350000</v>
      </c>
      <c r="J3758" s="29" t="n">
        <v>175000</v>
      </c>
      <c r="K3758" s="28" t="n">
        <v>11.25</v>
      </c>
      <c r="L3758" s="28" t="n">
        <v>120</v>
      </c>
      <c r="M3758" s="28" t="n">
        <v>10</v>
      </c>
    </row>
    <row r="3759" customFormat="false" ht="15" hidden="false" customHeight="false" outlineLevel="0" collapsed="false">
      <c r="A3759" s="27" t="n">
        <v>45554</v>
      </c>
      <c r="B3759" s="28" t="n">
        <v>2024</v>
      </c>
      <c r="C3759" s="28" t="s">
        <v>169</v>
      </c>
      <c r="D3759" s="28" t="s">
        <v>48</v>
      </c>
      <c r="E3759" s="28" t="s">
        <v>736</v>
      </c>
      <c r="F3759" s="28" t="s">
        <v>147</v>
      </c>
      <c r="G3759" s="28" t="s">
        <v>148</v>
      </c>
      <c r="H3759" s="28" t="s">
        <v>205</v>
      </c>
      <c r="I3759" s="29" t="n">
        <v>50000</v>
      </c>
      <c r="J3759" s="29" t="n">
        <v>25000</v>
      </c>
      <c r="K3759" s="28" t="n">
        <v>11.5</v>
      </c>
      <c r="L3759" s="28" t="n">
        <v>120</v>
      </c>
      <c r="M3759" s="28" t="n">
        <v>0</v>
      </c>
    </row>
    <row r="3760" customFormat="false" ht="15" hidden="false" customHeight="false" outlineLevel="0" collapsed="false">
      <c r="A3760" s="27" t="n">
        <v>45554</v>
      </c>
      <c r="B3760" s="28" t="n">
        <v>2024</v>
      </c>
      <c r="C3760" s="28" t="s">
        <v>213</v>
      </c>
      <c r="D3760" s="28" t="s">
        <v>52</v>
      </c>
      <c r="E3760" s="28" t="s">
        <v>250</v>
      </c>
      <c r="F3760" s="28" t="s">
        <v>147</v>
      </c>
      <c r="G3760" s="28" t="s">
        <v>148</v>
      </c>
      <c r="H3760" s="28" t="s">
        <v>469</v>
      </c>
      <c r="I3760" s="29" t="n">
        <v>268500</v>
      </c>
      <c r="J3760" s="29" t="n">
        <v>134250</v>
      </c>
      <c r="K3760" s="28" t="n">
        <v>6.75</v>
      </c>
      <c r="L3760" s="28" t="n">
        <v>96</v>
      </c>
      <c r="M3760" s="28" t="n">
        <v>0</v>
      </c>
    </row>
    <row r="3761" customFormat="false" ht="15" hidden="false" customHeight="false" outlineLevel="0" collapsed="false">
      <c r="A3761" s="27" t="n">
        <v>45555</v>
      </c>
      <c r="B3761" s="28" t="n">
        <v>2024</v>
      </c>
      <c r="C3761" s="28" t="s">
        <v>172</v>
      </c>
      <c r="D3761" s="28" t="s">
        <v>51</v>
      </c>
      <c r="E3761" s="28" t="s">
        <v>726</v>
      </c>
      <c r="F3761" s="28" t="s">
        <v>142</v>
      </c>
      <c r="G3761" s="28" t="s">
        <v>148</v>
      </c>
      <c r="H3761" s="28" t="s">
        <v>275</v>
      </c>
      <c r="I3761" s="29" t="n">
        <v>150000</v>
      </c>
      <c r="J3761" s="29" t="n">
        <v>127500</v>
      </c>
      <c r="K3761" s="28" t="n">
        <v>11.25</v>
      </c>
      <c r="L3761" s="28" t="n">
        <v>120</v>
      </c>
      <c r="M3761" s="28" t="n">
        <v>3</v>
      </c>
    </row>
    <row r="3762" customFormat="false" ht="15" hidden="false" customHeight="false" outlineLevel="0" collapsed="false">
      <c r="A3762" s="27" t="n">
        <v>45555</v>
      </c>
      <c r="B3762" s="28" t="n">
        <v>2024</v>
      </c>
      <c r="C3762" s="28" t="s">
        <v>318</v>
      </c>
      <c r="D3762" s="28" t="s">
        <v>46</v>
      </c>
      <c r="E3762" s="28" t="s">
        <v>702</v>
      </c>
      <c r="F3762" s="28" t="s">
        <v>194</v>
      </c>
      <c r="G3762" s="28" t="s">
        <v>148</v>
      </c>
      <c r="H3762" s="28" t="s">
        <v>291</v>
      </c>
      <c r="I3762" s="29" t="n">
        <v>914000</v>
      </c>
      <c r="J3762" s="29" t="n">
        <v>685500</v>
      </c>
      <c r="K3762" s="28" t="n">
        <v>10.5</v>
      </c>
      <c r="L3762" s="28" t="n">
        <v>300</v>
      </c>
      <c r="M3762" s="28" t="n">
        <v>8</v>
      </c>
    </row>
    <row r="3763" customFormat="false" ht="15" hidden="false" customHeight="false" outlineLevel="0" collapsed="false">
      <c r="A3763" s="27" t="n">
        <v>45555</v>
      </c>
      <c r="B3763" s="28" t="n">
        <v>2024</v>
      </c>
      <c r="C3763" s="28" t="s">
        <v>172</v>
      </c>
      <c r="D3763" s="28" t="s">
        <v>46</v>
      </c>
      <c r="E3763" s="28" t="s">
        <v>1028</v>
      </c>
      <c r="F3763" s="28" t="s">
        <v>142</v>
      </c>
      <c r="G3763" s="28" t="s">
        <v>143</v>
      </c>
      <c r="H3763" s="28" t="s">
        <v>287</v>
      </c>
      <c r="I3763" s="29" t="n">
        <v>275000</v>
      </c>
      <c r="J3763" s="29" t="n">
        <v>206250</v>
      </c>
      <c r="K3763" s="28" t="n">
        <v>11.25</v>
      </c>
      <c r="L3763" s="28" t="n">
        <v>120</v>
      </c>
      <c r="M3763" s="28" t="n">
        <v>3</v>
      </c>
    </row>
    <row r="3764" customFormat="false" ht="15" hidden="false" customHeight="false" outlineLevel="0" collapsed="false">
      <c r="A3764" s="27" t="n">
        <v>45555</v>
      </c>
      <c r="B3764" s="28" t="n">
        <v>2024</v>
      </c>
      <c r="C3764" s="28" t="s">
        <v>172</v>
      </c>
      <c r="D3764" s="28" t="s">
        <v>46</v>
      </c>
      <c r="E3764" s="28" t="s">
        <v>807</v>
      </c>
      <c r="F3764" s="28" t="s">
        <v>142</v>
      </c>
      <c r="G3764" s="28" t="s">
        <v>152</v>
      </c>
      <c r="H3764" s="28" t="s">
        <v>149</v>
      </c>
      <c r="I3764" s="29" t="n">
        <v>500000</v>
      </c>
      <c r="J3764" s="29" t="n">
        <v>375000</v>
      </c>
      <c r="K3764" s="28" t="n">
        <v>10.5</v>
      </c>
      <c r="L3764" s="28" t="n">
        <v>120</v>
      </c>
      <c r="M3764" s="28" t="n">
        <v>5</v>
      </c>
    </row>
    <row r="3765" customFormat="false" ht="15" hidden="false" customHeight="false" outlineLevel="0" collapsed="false">
      <c r="A3765" s="27" t="n">
        <v>45556</v>
      </c>
      <c r="B3765" s="28" t="n">
        <v>2024</v>
      </c>
      <c r="C3765" s="28" t="s">
        <v>163</v>
      </c>
      <c r="D3765" s="28" t="s">
        <v>44</v>
      </c>
      <c r="E3765" s="28" t="s">
        <v>863</v>
      </c>
      <c r="F3765" s="28" t="s">
        <v>194</v>
      </c>
      <c r="G3765" s="28" t="s">
        <v>143</v>
      </c>
      <c r="H3765" s="28" t="s">
        <v>1031</v>
      </c>
      <c r="I3765" s="29" t="n">
        <v>100000</v>
      </c>
      <c r="J3765" s="29" t="n">
        <v>85000</v>
      </c>
      <c r="K3765" s="28" t="n">
        <v>10.5</v>
      </c>
      <c r="L3765" s="28" t="n">
        <v>120</v>
      </c>
      <c r="M3765" s="28" t="n">
        <v>4</v>
      </c>
    </row>
    <row r="3766" customFormat="false" ht="15" hidden="false" customHeight="false" outlineLevel="0" collapsed="false">
      <c r="A3766" s="27" t="n">
        <v>45556</v>
      </c>
      <c r="B3766" s="28" t="n">
        <v>2024</v>
      </c>
      <c r="C3766" s="28" t="s">
        <v>201</v>
      </c>
      <c r="D3766" s="28" t="s">
        <v>48</v>
      </c>
      <c r="E3766" s="28" t="s">
        <v>815</v>
      </c>
      <c r="F3766" s="28" t="s">
        <v>194</v>
      </c>
      <c r="G3766" s="28" t="s">
        <v>152</v>
      </c>
      <c r="H3766" s="28" t="s">
        <v>799</v>
      </c>
      <c r="I3766" s="29" t="n">
        <v>1168000</v>
      </c>
      <c r="J3766" s="29" t="n">
        <v>876000</v>
      </c>
      <c r="K3766" s="28" t="n">
        <v>10.5</v>
      </c>
      <c r="L3766" s="28" t="n">
        <v>120</v>
      </c>
      <c r="M3766" s="28" t="n">
        <v>6</v>
      </c>
    </row>
    <row r="3767" customFormat="false" ht="15" hidden="false" customHeight="false" outlineLevel="0" collapsed="false">
      <c r="A3767" s="27" t="n">
        <v>45556</v>
      </c>
      <c r="B3767" s="28" t="n">
        <v>2024</v>
      </c>
      <c r="C3767" s="28" t="s">
        <v>172</v>
      </c>
      <c r="D3767" s="28" t="s">
        <v>45</v>
      </c>
      <c r="E3767" s="28" t="s">
        <v>708</v>
      </c>
      <c r="F3767" s="28" t="s">
        <v>147</v>
      </c>
      <c r="G3767" s="28" t="s">
        <v>441</v>
      </c>
      <c r="H3767" s="28" t="s">
        <v>168</v>
      </c>
      <c r="I3767" s="29" t="n">
        <v>40000</v>
      </c>
      <c r="J3767" s="29" t="n">
        <v>20000</v>
      </c>
      <c r="K3767" s="28" t="n">
        <v>13.5</v>
      </c>
      <c r="L3767" s="28" t="n">
        <v>120</v>
      </c>
      <c r="M3767" s="28" t="n">
        <v>3</v>
      </c>
    </row>
    <row r="3768" customFormat="false" ht="15" hidden="false" customHeight="false" outlineLevel="0" collapsed="false">
      <c r="A3768" s="27" t="n">
        <v>45556</v>
      </c>
      <c r="B3768" s="28" t="n">
        <v>2024</v>
      </c>
      <c r="C3768" s="28" t="s">
        <v>172</v>
      </c>
      <c r="D3768" s="28" t="s">
        <v>51</v>
      </c>
      <c r="E3768" s="28" t="s">
        <v>779</v>
      </c>
      <c r="F3768" s="28" t="s">
        <v>142</v>
      </c>
      <c r="G3768" s="28" t="s">
        <v>441</v>
      </c>
      <c r="H3768" s="28" t="s">
        <v>159</v>
      </c>
      <c r="I3768" s="29" t="n">
        <v>158100</v>
      </c>
      <c r="J3768" s="29" t="n">
        <v>118575</v>
      </c>
      <c r="K3768" s="28" t="n">
        <v>9.75</v>
      </c>
      <c r="L3768" s="28" t="n">
        <v>60</v>
      </c>
      <c r="M3768" s="28" t="n">
        <v>3</v>
      </c>
    </row>
    <row r="3769" customFormat="false" ht="15" hidden="false" customHeight="false" outlineLevel="0" collapsed="false">
      <c r="A3769" s="27" t="n">
        <v>45557</v>
      </c>
      <c r="B3769" s="28" t="n">
        <v>2024</v>
      </c>
      <c r="C3769" s="28" t="s">
        <v>203</v>
      </c>
      <c r="D3769" s="28" t="s">
        <v>42</v>
      </c>
      <c r="E3769" s="28" t="s">
        <v>176</v>
      </c>
      <c r="F3769" s="28" t="s">
        <v>147</v>
      </c>
      <c r="G3769" s="28" t="s">
        <v>441</v>
      </c>
      <c r="H3769" s="28" t="s">
        <v>168</v>
      </c>
      <c r="I3769" s="29" t="n">
        <v>15000</v>
      </c>
      <c r="J3769" s="29" t="n">
        <v>7500</v>
      </c>
      <c r="K3769" s="28" t="n">
        <v>14.5</v>
      </c>
      <c r="L3769" s="28" t="n">
        <v>120</v>
      </c>
      <c r="M3769" s="28" t="n">
        <v>0</v>
      </c>
    </row>
    <row r="3770" customFormat="false" ht="15" hidden="false" customHeight="false" outlineLevel="0" collapsed="false">
      <c r="A3770" s="27" t="n">
        <v>45559</v>
      </c>
      <c r="B3770" s="28" t="n">
        <v>2024</v>
      </c>
      <c r="C3770" s="28" t="s">
        <v>172</v>
      </c>
      <c r="D3770" s="28" t="s">
        <v>45</v>
      </c>
      <c r="E3770" s="28" t="s">
        <v>480</v>
      </c>
      <c r="F3770" s="28" t="s">
        <v>147</v>
      </c>
      <c r="G3770" s="28" t="s">
        <v>148</v>
      </c>
      <c r="H3770" s="28" t="s">
        <v>159</v>
      </c>
      <c r="I3770" s="29" t="n">
        <v>95000</v>
      </c>
      <c r="J3770" s="29" t="n">
        <v>47500</v>
      </c>
      <c r="K3770" s="28" t="n">
        <v>13</v>
      </c>
      <c r="L3770" s="28" t="n">
        <v>120</v>
      </c>
      <c r="M3770" s="28" t="n">
        <v>4</v>
      </c>
    </row>
    <row r="3771" customFormat="false" ht="15" hidden="false" customHeight="false" outlineLevel="0" collapsed="false">
      <c r="A3771" s="27" t="n">
        <v>45559</v>
      </c>
      <c r="B3771" s="28" t="n">
        <v>2024</v>
      </c>
      <c r="C3771" s="28" t="s">
        <v>172</v>
      </c>
      <c r="D3771" s="28" t="s">
        <v>42</v>
      </c>
      <c r="E3771" s="28" t="s">
        <v>784</v>
      </c>
      <c r="F3771" s="28" t="s">
        <v>142</v>
      </c>
      <c r="G3771" s="28" t="s">
        <v>148</v>
      </c>
      <c r="H3771" s="28" t="s">
        <v>605</v>
      </c>
      <c r="I3771" s="29" t="n">
        <v>495000</v>
      </c>
      <c r="J3771" s="29" t="n">
        <v>371250</v>
      </c>
      <c r="K3771" s="28" t="n">
        <v>11.5</v>
      </c>
      <c r="L3771" s="28" t="n">
        <v>125</v>
      </c>
      <c r="M3771" s="28" t="n">
        <v>15</v>
      </c>
    </row>
    <row r="3772" customFormat="false" ht="15" hidden="false" customHeight="false" outlineLevel="0" collapsed="false">
      <c r="A3772" s="27" t="n">
        <v>45559</v>
      </c>
      <c r="B3772" s="28" t="n">
        <v>2024</v>
      </c>
      <c r="C3772" s="28" t="s">
        <v>303</v>
      </c>
      <c r="D3772" s="28" t="s">
        <v>50</v>
      </c>
      <c r="E3772" s="28" t="s">
        <v>193</v>
      </c>
      <c r="F3772" s="28" t="s">
        <v>147</v>
      </c>
      <c r="G3772" s="28" t="s">
        <v>152</v>
      </c>
      <c r="H3772" s="28" t="s">
        <v>211</v>
      </c>
      <c r="I3772" s="29" t="n">
        <v>50000</v>
      </c>
      <c r="J3772" s="29" t="n">
        <v>25000</v>
      </c>
      <c r="K3772" s="28" t="n">
        <v>10.75</v>
      </c>
      <c r="L3772" s="28" t="n">
        <v>120</v>
      </c>
      <c r="M3772" s="28" t="n">
        <v>10</v>
      </c>
    </row>
    <row r="3773" customFormat="false" ht="15" hidden="false" customHeight="false" outlineLevel="0" collapsed="false">
      <c r="A3773" s="27" t="n">
        <v>45559</v>
      </c>
      <c r="B3773" s="28" t="n">
        <v>2024</v>
      </c>
      <c r="C3773" s="28" t="s">
        <v>160</v>
      </c>
      <c r="D3773" s="28" t="s">
        <v>48</v>
      </c>
      <c r="E3773" s="28" t="s">
        <v>210</v>
      </c>
      <c r="F3773" s="28" t="s">
        <v>142</v>
      </c>
      <c r="G3773" s="28" t="s">
        <v>148</v>
      </c>
      <c r="H3773" s="28" t="s">
        <v>208</v>
      </c>
      <c r="I3773" s="29" t="n">
        <v>375000</v>
      </c>
      <c r="J3773" s="29" t="n">
        <v>281250</v>
      </c>
      <c r="K3773" s="28" t="n">
        <v>11.25</v>
      </c>
      <c r="L3773" s="28" t="n">
        <v>120</v>
      </c>
      <c r="M3773" s="28" t="n">
        <v>4</v>
      </c>
    </row>
    <row r="3774" customFormat="false" ht="15" hidden="false" customHeight="false" outlineLevel="0" collapsed="false">
      <c r="A3774" s="27" t="n">
        <v>45559</v>
      </c>
      <c r="B3774" s="28" t="n">
        <v>2024</v>
      </c>
      <c r="C3774" s="28" t="s">
        <v>166</v>
      </c>
      <c r="D3774" s="28" t="s">
        <v>44</v>
      </c>
      <c r="E3774" s="28" t="s">
        <v>755</v>
      </c>
      <c r="F3774" s="28" t="s">
        <v>142</v>
      </c>
      <c r="G3774" s="28" t="s">
        <v>143</v>
      </c>
      <c r="H3774" s="28" t="s">
        <v>144</v>
      </c>
      <c r="I3774" s="29" t="n">
        <v>1995000</v>
      </c>
      <c r="J3774" s="29" t="n">
        <v>1496250</v>
      </c>
      <c r="K3774" s="28" t="n">
        <v>8.5</v>
      </c>
      <c r="L3774" s="28" t="n">
        <v>312</v>
      </c>
      <c r="M3774" s="28" t="n">
        <v>7</v>
      </c>
    </row>
    <row r="3775" customFormat="false" ht="15" hidden="false" customHeight="false" outlineLevel="0" collapsed="false">
      <c r="A3775" s="27" t="n">
        <v>45559</v>
      </c>
      <c r="B3775" s="28" t="n">
        <v>2024</v>
      </c>
      <c r="C3775" s="28" t="s">
        <v>140</v>
      </c>
      <c r="D3775" s="28" t="s">
        <v>52</v>
      </c>
      <c r="E3775" s="28" t="s">
        <v>715</v>
      </c>
      <c r="F3775" s="28" t="s">
        <v>142</v>
      </c>
      <c r="G3775" s="28" t="s">
        <v>152</v>
      </c>
      <c r="H3775" s="28" t="s">
        <v>1060</v>
      </c>
      <c r="I3775" s="29" t="n">
        <v>4233000</v>
      </c>
      <c r="J3775" s="29" t="n">
        <v>3174750</v>
      </c>
      <c r="K3775" s="28" t="n">
        <v>11.25</v>
      </c>
      <c r="L3775" s="28" t="n">
        <v>120</v>
      </c>
      <c r="M3775" s="28" t="n">
        <v>71</v>
      </c>
    </row>
    <row r="3776" customFormat="false" ht="15" hidden="false" customHeight="false" outlineLevel="0" collapsed="false">
      <c r="A3776" s="27" t="n">
        <v>45559</v>
      </c>
      <c r="B3776" s="28" t="n">
        <v>2024</v>
      </c>
      <c r="C3776" s="28" t="s">
        <v>163</v>
      </c>
      <c r="D3776" s="28" t="s">
        <v>42</v>
      </c>
      <c r="E3776" s="28" t="s">
        <v>753</v>
      </c>
      <c r="F3776" s="28" t="s">
        <v>147</v>
      </c>
      <c r="G3776" s="28" t="s">
        <v>143</v>
      </c>
      <c r="H3776" s="28" t="s">
        <v>211</v>
      </c>
      <c r="I3776" s="29" t="n">
        <v>20000</v>
      </c>
      <c r="J3776" s="29" t="n">
        <v>10000</v>
      </c>
      <c r="K3776" s="28" t="n">
        <v>10.75</v>
      </c>
      <c r="L3776" s="28" t="n">
        <v>120</v>
      </c>
      <c r="M3776" s="28" t="n">
        <v>11</v>
      </c>
    </row>
    <row r="3777" customFormat="false" ht="15" hidden="false" customHeight="false" outlineLevel="0" collapsed="false">
      <c r="A3777" s="27" t="n">
        <v>45559</v>
      </c>
      <c r="B3777" s="28" t="n">
        <v>2024</v>
      </c>
      <c r="C3777" s="28" t="s">
        <v>303</v>
      </c>
      <c r="D3777" s="28" t="s">
        <v>50</v>
      </c>
      <c r="E3777" s="28" t="s">
        <v>193</v>
      </c>
      <c r="F3777" s="28" t="s">
        <v>142</v>
      </c>
      <c r="G3777" s="28" t="s">
        <v>152</v>
      </c>
      <c r="H3777" s="28" t="s">
        <v>211</v>
      </c>
      <c r="I3777" s="29" t="n">
        <v>350000</v>
      </c>
      <c r="J3777" s="29" t="n">
        <v>262500</v>
      </c>
      <c r="K3777" s="28" t="n">
        <v>10.75</v>
      </c>
      <c r="L3777" s="28" t="n">
        <v>120</v>
      </c>
      <c r="M3777" s="28" t="n">
        <v>10</v>
      </c>
    </row>
    <row r="3778" customFormat="false" ht="15" hidden="false" customHeight="false" outlineLevel="0" collapsed="false">
      <c r="A3778" s="27" t="n">
        <v>45560</v>
      </c>
      <c r="B3778" s="28" t="n">
        <v>2024</v>
      </c>
      <c r="C3778" s="28" t="s">
        <v>166</v>
      </c>
      <c r="D3778" s="28" t="s">
        <v>50</v>
      </c>
      <c r="E3778" s="28" t="s">
        <v>1100</v>
      </c>
      <c r="F3778" s="28" t="s">
        <v>142</v>
      </c>
      <c r="G3778" s="28" t="s">
        <v>148</v>
      </c>
      <c r="H3778" s="28" t="s">
        <v>162</v>
      </c>
      <c r="I3778" s="29" t="n">
        <v>1512000</v>
      </c>
      <c r="J3778" s="29" t="n">
        <v>1134000</v>
      </c>
      <c r="K3778" s="28" t="n">
        <v>6.55</v>
      </c>
      <c r="L3778" s="28" t="n">
        <v>120</v>
      </c>
      <c r="M3778" s="28" t="n">
        <v>10</v>
      </c>
    </row>
    <row r="3779" customFormat="false" ht="15" hidden="false" customHeight="false" outlineLevel="0" collapsed="false">
      <c r="A3779" s="27" t="n">
        <v>45560</v>
      </c>
      <c r="B3779" s="28" t="n">
        <v>2024</v>
      </c>
      <c r="C3779" s="28" t="s">
        <v>565</v>
      </c>
      <c r="D3779" s="28" t="s">
        <v>46</v>
      </c>
      <c r="E3779" s="28" t="s">
        <v>904</v>
      </c>
      <c r="F3779" s="28" t="s">
        <v>142</v>
      </c>
      <c r="G3779" s="28" t="s">
        <v>148</v>
      </c>
      <c r="H3779" s="28" t="s">
        <v>579</v>
      </c>
      <c r="I3779" s="29" t="n">
        <v>54300</v>
      </c>
      <c r="J3779" s="29" t="n">
        <v>46155</v>
      </c>
      <c r="K3779" s="28" t="n">
        <v>11.5</v>
      </c>
      <c r="L3779" s="28" t="n">
        <v>120</v>
      </c>
      <c r="M3779" s="28" t="n">
        <v>3</v>
      </c>
    </row>
    <row r="3780" customFormat="false" ht="15" hidden="false" customHeight="false" outlineLevel="0" collapsed="false">
      <c r="A3780" s="27" t="n">
        <v>45560</v>
      </c>
      <c r="B3780" s="28" t="n">
        <v>2024</v>
      </c>
      <c r="C3780" s="28" t="s">
        <v>172</v>
      </c>
      <c r="D3780" s="28" t="s">
        <v>44</v>
      </c>
      <c r="E3780" s="28" t="s">
        <v>755</v>
      </c>
      <c r="F3780" s="28" t="s">
        <v>142</v>
      </c>
      <c r="G3780" s="28" t="s">
        <v>143</v>
      </c>
      <c r="H3780" s="28" t="s">
        <v>1072</v>
      </c>
      <c r="I3780" s="29" t="n">
        <v>1660000</v>
      </c>
      <c r="J3780" s="29" t="n">
        <v>1245000</v>
      </c>
      <c r="K3780" s="28" t="n">
        <v>8.5</v>
      </c>
      <c r="L3780" s="28" t="n">
        <v>306</v>
      </c>
      <c r="M3780" s="28" t="n">
        <v>5</v>
      </c>
    </row>
    <row r="3781" customFormat="false" ht="15" hidden="false" customHeight="false" outlineLevel="0" collapsed="false">
      <c r="A3781" s="27" t="n">
        <v>45561</v>
      </c>
      <c r="B3781" s="28" t="n">
        <v>2024</v>
      </c>
      <c r="C3781" s="28" t="s">
        <v>140</v>
      </c>
      <c r="D3781" s="28" t="s">
        <v>45</v>
      </c>
      <c r="E3781" s="28" t="s">
        <v>872</v>
      </c>
      <c r="F3781" s="28" t="s">
        <v>147</v>
      </c>
      <c r="G3781" s="28" t="s">
        <v>143</v>
      </c>
      <c r="H3781" s="28" t="s">
        <v>159</v>
      </c>
      <c r="I3781" s="29" t="n">
        <v>25000</v>
      </c>
      <c r="J3781" s="29" t="n">
        <v>12500</v>
      </c>
      <c r="K3781" s="28" t="n">
        <v>15</v>
      </c>
      <c r="L3781" s="28" t="n">
        <v>120</v>
      </c>
      <c r="M3781" s="28" t="n">
        <v>3</v>
      </c>
    </row>
    <row r="3782" customFormat="false" ht="15" hidden="false" customHeight="false" outlineLevel="0" collapsed="false">
      <c r="A3782" s="27" t="n">
        <v>45561</v>
      </c>
      <c r="B3782" s="28" t="n">
        <v>2024</v>
      </c>
      <c r="C3782" s="28" t="s">
        <v>172</v>
      </c>
      <c r="D3782" s="28" t="s">
        <v>42</v>
      </c>
      <c r="E3782" s="28" t="s">
        <v>717</v>
      </c>
      <c r="F3782" s="28" t="s">
        <v>142</v>
      </c>
      <c r="G3782" s="28" t="s">
        <v>441</v>
      </c>
      <c r="H3782" s="28" t="s">
        <v>577</v>
      </c>
      <c r="I3782" s="29" t="n">
        <v>1850000</v>
      </c>
      <c r="J3782" s="29" t="n">
        <v>1387500</v>
      </c>
      <c r="K3782" s="28" t="n">
        <v>11</v>
      </c>
      <c r="L3782" s="28" t="n">
        <v>120</v>
      </c>
      <c r="M3782" s="28" t="n">
        <v>10</v>
      </c>
    </row>
    <row r="3783" customFormat="false" ht="15" hidden="false" customHeight="false" outlineLevel="0" collapsed="false">
      <c r="A3783" s="27" t="n">
        <v>45561</v>
      </c>
      <c r="B3783" s="28" t="n">
        <v>2024</v>
      </c>
      <c r="C3783" s="28" t="s">
        <v>166</v>
      </c>
      <c r="D3783" s="28" t="s">
        <v>44</v>
      </c>
      <c r="E3783" s="28" t="s">
        <v>783</v>
      </c>
      <c r="F3783" s="28" t="s">
        <v>147</v>
      </c>
      <c r="G3783" s="28" t="s">
        <v>148</v>
      </c>
      <c r="H3783" s="28" t="s">
        <v>205</v>
      </c>
      <c r="I3783" s="29" t="n">
        <v>25000</v>
      </c>
      <c r="J3783" s="29" t="n">
        <v>12500</v>
      </c>
      <c r="K3783" s="28" t="n">
        <v>11.5</v>
      </c>
      <c r="L3783" s="28" t="n">
        <v>120</v>
      </c>
      <c r="M3783" s="28" t="n">
        <v>1</v>
      </c>
    </row>
    <row r="3784" customFormat="false" ht="15" hidden="false" customHeight="false" outlineLevel="0" collapsed="false">
      <c r="A3784" s="27" t="n">
        <v>45561</v>
      </c>
      <c r="B3784" s="28" t="n">
        <v>2024</v>
      </c>
      <c r="C3784" s="28" t="s">
        <v>163</v>
      </c>
      <c r="D3784" s="28" t="s">
        <v>48</v>
      </c>
      <c r="E3784" s="28" t="s">
        <v>210</v>
      </c>
      <c r="F3784" s="28" t="s">
        <v>147</v>
      </c>
      <c r="G3784" s="28" t="s">
        <v>148</v>
      </c>
      <c r="H3784" s="28" t="s">
        <v>281</v>
      </c>
      <c r="I3784" s="29" t="n">
        <v>75000</v>
      </c>
      <c r="J3784" s="29" t="n">
        <v>37500</v>
      </c>
      <c r="K3784" s="28" t="n">
        <v>11.5</v>
      </c>
      <c r="L3784" s="28" t="n">
        <v>120</v>
      </c>
      <c r="M3784" s="28" t="n">
        <v>0</v>
      </c>
    </row>
    <row r="3785" customFormat="false" ht="15" hidden="false" customHeight="false" outlineLevel="0" collapsed="false">
      <c r="A3785" s="27" t="n">
        <v>45561</v>
      </c>
      <c r="B3785" s="28" t="n">
        <v>2024</v>
      </c>
      <c r="C3785" s="28" t="s">
        <v>166</v>
      </c>
      <c r="D3785" s="28" t="s">
        <v>48</v>
      </c>
      <c r="E3785" s="28" t="s">
        <v>736</v>
      </c>
      <c r="F3785" s="28" t="s">
        <v>147</v>
      </c>
      <c r="G3785" s="28" t="s">
        <v>441</v>
      </c>
      <c r="H3785" s="28" t="s">
        <v>159</v>
      </c>
      <c r="I3785" s="29" t="n">
        <v>250000</v>
      </c>
      <c r="J3785" s="29" t="n">
        <v>125000</v>
      </c>
      <c r="K3785" s="28" t="n">
        <v>10.75</v>
      </c>
      <c r="L3785" s="28" t="n">
        <v>120</v>
      </c>
      <c r="M3785" s="28" t="n">
        <v>17</v>
      </c>
    </row>
    <row r="3786" customFormat="false" ht="15" hidden="false" customHeight="false" outlineLevel="0" collapsed="false">
      <c r="A3786" s="27" t="n">
        <v>45561</v>
      </c>
      <c r="B3786" s="28" t="n">
        <v>2024</v>
      </c>
      <c r="C3786" s="28" t="s">
        <v>235</v>
      </c>
      <c r="D3786" s="28" t="s">
        <v>50</v>
      </c>
      <c r="E3786" s="28" t="s">
        <v>724</v>
      </c>
      <c r="F3786" s="28" t="s">
        <v>142</v>
      </c>
      <c r="G3786" s="28" t="s">
        <v>441</v>
      </c>
      <c r="H3786" s="28" t="s">
        <v>205</v>
      </c>
      <c r="I3786" s="29" t="n">
        <v>546300</v>
      </c>
      <c r="J3786" s="29" t="n">
        <v>409725</v>
      </c>
      <c r="K3786" s="28" t="n">
        <v>7.41</v>
      </c>
      <c r="L3786" s="28" t="n">
        <v>120</v>
      </c>
      <c r="M3786" s="28" t="n">
        <v>24</v>
      </c>
    </row>
    <row r="3787" customFormat="false" ht="15" hidden="false" customHeight="false" outlineLevel="0" collapsed="false">
      <c r="A3787" s="27" t="n">
        <v>45561</v>
      </c>
      <c r="B3787" s="28" t="n">
        <v>2024</v>
      </c>
      <c r="C3787" s="28" t="s">
        <v>172</v>
      </c>
      <c r="D3787" s="28" t="s">
        <v>48</v>
      </c>
      <c r="E3787" s="28" t="s">
        <v>905</v>
      </c>
      <c r="F3787" s="28" t="s">
        <v>142</v>
      </c>
      <c r="G3787" s="28" t="s">
        <v>148</v>
      </c>
      <c r="H3787" s="28" t="s">
        <v>771</v>
      </c>
      <c r="I3787" s="29" t="n">
        <v>75000</v>
      </c>
      <c r="J3787" s="29" t="n">
        <v>63750</v>
      </c>
      <c r="K3787" s="28" t="n">
        <v>11.25</v>
      </c>
      <c r="L3787" s="28" t="n">
        <v>120</v>
      </c>
      <c r="M3787" s="28" t="n">
        <v>4</v>
      </c>
    </row>
    <row r="3788" customFormat="false" ht="15" hidden="false" customHeight="false" outlineLevel="0" collapsed="false">
      <c r="A3788" s="27" t="n">
        <v>45561</v>
      </c>
      <c r="B3788" s="28" t="n">
        <v>2024</v>
      </c>
      <c r="C3788" s="28" t="s">
        <v>353</v>
      </c>
      <c r="D3788" s="28" t="s">
        <v>50</v>
      </c>
      <c r="E3788" s="28" t="s">
        <v>724</v>
      </c>
      <c r="F3788" s="28" t="s">
        <v>142</v>
      </c>
      <c r="G3788" s="28" t="s">
        <v>148</v>
      </c>
      <c r="H3788" s="28" t="s">
        <v>171</v>
      </c>
      <c r="I3788" s="29" t="n">
        <v>150000</v>
      </c>
      <c r="J3788" s="29" t="n">
        <v>127500</v>
      </c>
      <c r="K3788" s="28" t="n">
        <v>13.25</v>
      </c>
      <c r="L3788" s="28" t="n">
        <v>120</v>
      </c>
      <c r="M3788" s="28" t="n">
        <v>4</v>
      </c>
    </row>
    <row r="3789" customFormat="false" ht="15" hidden="false" customHeight="false" outlineLevel="0" collapsed="false">
      <c r="A3789" s="27" t="n">
        <v>45561</v>
      </c>
      <c r="B3789" s="28" t="n">
        <v>2024</v>
      </c>
      <c r="C3789" s="28" t="s">
        <v>157</v>
      </c>
      <c r="D3789" s="28" t="s">
        <v>50</v>
      </c>
      <c r="E3789" s="28" t="s">
        <v>711</v>
      </c>
      <c r="F3789" s="28" t="s">
        <v>142</v>
      </c>
      <c r="G3789" s="28" t="s">
        <v>148</v>
      </c>
      <c r="H3789" s="28" t="s">
        <v>168</v>
      </c>
      <c r="I3789" s="29" t="n">
        <v>1446200</v>
      </c>
      <c r="J3789" s="29" t="n">
        <v>1084650</v>
      </c>
      <c r="K3789" s="28" t="n">
        <v>7.4</v>
      </c>
      <c r="L3789" s="28" t="n">
        <v>215</v>
      </c>
      <c r="M3789" s="28" t="n">
        <v>62</v>
      </c>
    </row>
    <row r="3790" customFormat="false" ht="15" hidden="false" customHeight="false" outlineLevel="0" collapsed="false">
      <c r="A3790" s="27" t="n">
        <v>45561</v>
      </c>
      <c r="B3790" s="28" t="n">
        <v>2024</v>
      </c>
      <c r="C3790" s="28" t="s">
        <v>145</v>
      </c>
      <c r="D3790" s="28" t="s">
        <v>42</v>
      </c>
      <c r="E3790" s="28" t="s">
        <v>784</v>
      </c>
      <c r="F3790" s="28" t="s">
        <v>147</v>
      </c>
      <c r="G3790" s="28" t="s">
        <v>441</v>
      </c>
      <c r="H3790" s="28" t="s">
        <v>205</v>
      </c>
      <c r="I3790" s="29" t="n">
        <v>25000</v>
      </c>
      <c r="J3790" s="29" t="n">
        <v>12500</v>
      </c>
      <c r="K3790" s="28" t="n">
        <v>11</v>
      </c>
      <c r="L3790" s="28" t="n">
        <v>120</v>
      </c>
      <c r="M3790" s="28" t="n">
        <v>10</v>
      </c>
    </row>
    <row r="3791" customFormat="false" ht="15" hidden="false" customHeight="false" outlineLevel="0" collapsed="false">
      <c r="A3791" s="27" t="n">
        <v>45561</v>
      </c>
      <c r="B3791" s="28" t="n">
        <v>2024</v>
      </c>
      <c r="C3791" s="28" t="s">
        <v>140</v>
      </c>
      <c r="D3791" s="28" t="s">
        <v>45</v>
      </c>
      <c r="E3791" s="28" t="s">
        <v>872</v>
      </c>
      <c r="F3791" s="28" t="s">
        <v>142</v>
      </c>
      <c r="G3791" s="28" t="s">
        <v>143</v>
      </c>
      <c r="H3791" s="28" t="s">
        <v>159</v>
      </c>
      <c r="I3791" s="29" t="n">
        <v>175000</v>
      </c>
      <c r="J3791" s="29" t="n">
        <v>131250</v>
      </c>
      <c r="K3791" s="28" t="n">
        <v>10.75</v>
      </c>
      <c r="L3791" s="28" t="n">
        <v>60</v>
      </c>
      <c r="M3791" s="28" t="n">
        <v>3</v>
      </c>
    </row>
    <row r="3792" customFormat="false" ht="15" hidden="false" customHeight="false" outlineLevel="0" collapsed="false">
      <c r="A3792" s="27" t="n">
        <v>45561</v>
      </c>
      <c r="B3792" s="28" t="n">
        <v>2024</v>
      </c>
      <c r="C3792" s="28" t="s">
        <v>172</v>
      </c>
      <c r="D3792" s="28" t="s">
        <v>42</v>
      </c>
      <c r="E3792" s="28" t="s">
        <v>717</v>
      </c>
      <c r="F3792" s="28" t="s">
        <v>142</v>
      </c>
      <c r="G3792" s="28" t="s">
        <v>152</v>
      </c>
      <c r="H3792" s="28" t="s">
        <v>149</v>
      </c>
      <c r="I3792" s="29" t="n">
        <v>600000</v>
      </c>
      <c r="J3792" s="29" t="n">
        <v>450000</v>
      </c>
      <c r="K3792" s="28" t="n">
        <v>10.25</v>
      </c>
      <c r="L3792" s="28" t="n">
        <v>120</v>
      </c>
      <c r="M3792" s="28" t="n">
        <v>15</v>
      </c>
    </row>
    <row r="3793" customFormat="false" ht="15" hidden="false" customHeight="false" outlineLevel="0" collapsed="false">
      <c r="A3793" s="27" t="n">
        <v>45561</v>
      </c>
      <c r="B3793" s="28" t="n">
        <v>2024</v>
      </c>
      <c r="C3793" s="28" t="s">
        <v>172</v>
      </c>
      <c r="D3793" s="28" t="s">
        <v>44</v>
      </c>
      <c r="E3793" s="28" t="s">
        <v>730</v>
      </c>
      <c r="F3793" s="28" t="s">
        <v>142</v>
      </c>
      <c r="G3793" s="28" t="s">
        <v>148</v>
      </c>
      <c r="H3793" s="28" t="s">
        <v>171</v>
      </c>
      <c r="I3793" s="29" t="n">
        <v>100000</v>
      </c>
      <c r="J3793" s="29" t="n">
        <v>85000</v>
      </c>
      <c r="K3793" s="28" t="n">
        <v>12.75</v>
      </c>
      <c r="L3793" s="28" t="n">
        <v>120</v>
      </c>
      <c r="M3793" s="28" t="n">
        <v>8</v>
      </c>
    </row>
    <row r="3794" customFormat="false" ht="15" hidden="false" customHeight="false" outlineLevel="0" collapsed="false">
      <c r="A3794" s="27" t="n">
        <v>45561</v>
      </c>
      <c r="B3794" s="28" t="n">
        <v>2024</v>
      </c>
      <c r="C3794" s="28" t="s">
        <v>163</v>
      </c>
      <c r="D3794" s="28" t="s">
        <v>48</v>
      </c>
      <c r="E3794" s="28" t="s">
        <v>210</v>
      </c>
      <c r="F3794" s="28" t="s">
        <v>142</v>
      </c>
      <c r="G3794" s="28" t="s">
        <v>148</v>
      </c>
      <c r="H3794" s="28" t="s">
        <v>281</v>
      </c>
      <c r="I3794" s="29" t="n">
        <v>316500</v>
      </c>
      <c r="J3794" s="29" t="n">
        <v>237375</v>
      </c>
      <c r="K3794" s="28" t="n">
        <v>11.5</v>
      </c>
      <c r="L3794" s="28" t="n">
        <v>120</v>
      </c>
      <c r="M3794" s="28" t="n">
        <v>0</v>
      </c>
    </row>
    <row r="3795" customFormat="false" ht="15" hidden="false" customHeight="false" outlineLevel="0" collapsed="false">
      <c r="A3795" s="27" t="n">
        <v>45561</v>
      </c>
      <c r="B3795" s="28" t="n">
        <v>2024</v>
      </c>
      <c r="C3795" s="28" t="s">
        <v>201</v>
      </c>
      <c r="D3795" s="28" t="s">
        <v>44</v>
      </c>
      <c r="E3795" s="28" t="s">
        <v>729</v>
      </c>
      <c r="F3795" s="28" t="s">
        <v>142</v>
      </c>
      <c r="G3795" s="28" t="s">
        <v>143</v>
      </c>
      <c r="H3795" s="28" t="s">
        <v>291</v>
      </c>
      <c r="I3795" s="29" t="n">
        <v>465000</v>
      </c>
      <c r="J3795" s="29" t="n">
        <v>348750</v>
      </c>
      <c r="K3795" s="28" t="n">
        <v>11</v>
      </c>
      <c r="L3795" s="28" t="n">
        <v>126</v>
      </c>
      <c r="M3795" s="28" t="n">
        <v>10</v>
      </c>
    </row>
    <row r="3796" customFormat="false" ht="15" hidden="false" customHeight="false" outlineLevel="0" collapsed="false">
      <c r="A3796" s="27" t="n">
        <v>45561</v>
      </c>
      <c r="B3796" s="28" t="n">
        <v>2024</v>
      </c>
      <c r="C3796" s="28" t="s">
        <v>172</v>
      </c>
      <c r="D3796" s="28" t="s">
        <v>43</v>
      </c>
      <c r="E3796" s="28" t="s">
        <v>942</v>
      </c>
      <c r="F3796" s="28" t="s">
        <v>142</v>
      </c>
      <c r="G3796" s="28" t="s">
        <v>152</v>
      </c>
      <c r="H3796" s="28" t="s">
        <v>211</v>
      </c>
      <c r="I3796" s="29" t="n">
        <v>830000</v>
      </c>
      <c r="J3796" s="29" t="n">
        <v>622500</v>
      </c>
      <c r="K3796" s="28" t="n">
        <v>10.5</v>
      </c>
      <c r="L3796" s="28" t="n">
        <v>120</v>
      </c>
      <c r="M3796" s="28" t="n">
        <v>5</v>
      </c>
    </row>
    <row r="3797" customFormat="false" ht="15" hidden="false" customHeight="false" outlineLevel="0" collapsed="false">
      <c r="A3797" s="27" t="n">
        <v>45561</v>
      </c>
      <c r="B3797" s="28" t="n">
        <v>2024</v>
      </c>
      <c r="C3797" s="28" t="s">
        <v>172</v>
      </c>
      <c r="D3797" s="28" t="s">
        <v>43</v>
      </c>
      <c r="E3797" s="28" t="s">
        <v>942</v>
      </c>
      <c r="F3797" s="28" t="s">
        <v>147</v>
      </c>
      <c r="G3797" s="28" t="s">
        <v>152</v>
      </c>
      <c r="H3797" s="28" t="s">
        <v>211</v>
      </c>
      <c r="I3797" s="29" t="n">
        <v>50000</v>
      </c>
      <c r="J3797" s="29" t="n">
        <v>25000</v>
      </c>
      <c r="K3797" s="28" t="n">
        <v>10.5</v>
      </c>
      <c r="L3797" s="28" t="n">
        <v>120</v>
      </c>
      <c r="M3797" s="28" t="n">
        <v>5</v>
      </c>
    </row>
    <row r="3798" customFormat="false" ht="15" hidden="false" customHeight="false" outlineLevel="0" collapsed="false">
      <c r="A3798" s="27" t="n">
        <v>45562</v>
      </c>
      <c r="B3798" s="28" t="n">
        <v>2024</v>
      </c>
      <c r="C3798" s="28" t="s">
        <v>292</v>
      </c>
      <c r="D3798" s="28" t="s">
        <v>46</v>
      </c>
      <c r="E3798" s="28" t="s">
        <v>770</v>
      </c>
      <c r="F3798" s="28" t="s">
        <v>142</v>
      </c>
      <c r="G3798" s="28" t="s">
        <v>143</v>
      </c>
      <c r="H3798" s="28" t="s">
        <v>413</v>
      </c>
      <c r="I3798" s="29" t="n">
        <v>1227000</v>
      </c>
      <c r="J3798" s="29" t="n">
        <v>920250</v>
      </c>
      <c r="K3798" s="28" t="n">
        <v>10.75</v>
      </c>
      <c r="L3798" s="28" t="n">
        <v>304</v>
      </c>
      <c r="M3798" s="28" t="n">
        <v>20</v>
      </c>
    </row>
    <row r="3799" customFormat="false" ht="15" hidden="false" customHeight="false" outlineLevel="0" collapsed="false">
      <c r="A3799" s="27" t="n">
        <v>45562</v>
      </c>
      <c r="B3799" s="28" t="n">
        <v>2024</v>
      </c>
      <c r="C3799" s="28" t="s">
        <v>460</v>
      </c>
      <c r="D3799" s="28" t="s">
        <v>43</v>
      </c>
      <c r="E3799" s="28" t="s">
        <v>893</v>
      </c>
      <c r="F3799" s="28" t="s">
        <v>142</v>
      </c>
      <c r="G3799" s="28" t="s">
        <v>152</v>
      </c>
      <c r="H3799" s="28" t="s">
        <v>501</v>
      </c>
      <c r="I3799" s="29" t="n">
        <v>1518000</v>
      </c>
      <c r="J3799" s="29" t="n">
        <v>1138500</v>
      </c>
      <c r="K3799" s="28" t="n">
        <v>11.25</v>
      </c>
      <c r="L3799" s="28" t="n">
        <v>120</v>
      </c>
      <c r="M3799" s="28" t="n">
        <v>29</v>
      </c>
    </row>
    <row r="3800" customFormat="false" ht="15" hidden="false" customHeight="false" outlineLevel="0" collapsed="false">
      <c r="A3800" s="27" t="n">
        <v>45562</v>
      </c>
      <c r="B3800" s="28" t="n">
        <v>2024</v>
      </c>
      <c r="C3800" s="28" t="s">
        <v>169</v>
      </c>
      <c r="D3800" s="28" t="s">
        <v>52</v>
      </c>
      <c r="E3800" s="28" t="s">
        <v>604</v>
      </c>
      <c r="F3800" s="28" t="s">
        <v>142</v>
      </c>
      <c r="G3800" s="28" t="s">
        <v>152</v>
      </c>
      <c r="H3800" s="28" t="s">
        <v>950</v>
      </c>
      <c r="I3800" s="29" t="n">
        <v>978500</v>
      </c>
      <c r="J3800" s="29" t="n">
        <v>733875</v>
      </c>
      <c r="K3800" s="28" t="n">
        <v>11.25</v>
      </c>
      <c r="L3800" s="28" t="n">
        <v>120</v>
      </c>
      <c r="M3800" s="28" t="n">
        <v>30</v>
      </c>
    </row>
    <row r="3801" customFormat="false" ht="15" hidden="false" customHeight="false" outlineLevel="0" collapsed="false">
      <c r="A3801" s="27" t="n">
        <v>45565</v>
      </c>
      <c r="B3801" s="28" t="n">
        <v>2024</v>
      </c>
      <c r="C3801" s="28" t="s">
        <v>172</v>
      </c>
      <c r="D3801" s="28" t="s">
        <v>42</v>
      </c>
      <c r="E3801" s="28" t="s">
        <v>226</v>
      </c>
      <c r="F3801" s="28" t="s">
        <v>142</v>
      </c>
      <c r="G3801" s="28" t="s">
        <v>441</v>
      </c>
      <c r="H3801" s="28" t="s">
        <v>168</v>
      </c>
      <c r="I3801" s="29" t="n">
        <v>1176500</v>
      </c>
      <c r="J3801" s="29" t="n">
        <v>882375</v>
      </c>
      <c r="K3801" s="28" t="n">
        <v>7.38</v>
      </c>
      <c r="L3801" s="28" t="n">
        <v>312</v>
      </c>
      <c r="M3801" s="28" t="n">
        <v>10</v>
      </c>
    </row>
    <row r="3802" customFormat="false" ht="15" hidden="false" customHeight="false" outlineLevel="0" collapsed="false">
      <c r="A3802" s="27" t="n">
        <v>45565</v>
      </c>
      <c r="B3802" s="28" t="n">
        <v>2024</v>
      </c>
      <c r="C3802" s="28" t="s">
        <v>216</v>
      </c>
      <c r="D3802" s="28" t="s">
        <v>49</v>
      </c>
      <c r="E3802" s="28" t="s">
        <v>1016</v>
      </c>
      <c r="F3802" s="28" t="s">
        <v>147</v>
      </c>
      <c r="G3802" s="28" t="s">
        <v>148</v>
      </c>
      <c r="H3802" s="28" t="s">
        <v>799</v>
      </c>
      <c r="I3802" s="29" t="n">
        <v>250000</v>
      </c>
      <c r="J3802" s="29" t="n">
        <v>125000</v>
      </c>
      <c r="K3802" s="28" t="n">
        <v>10.5</v>
      </c>
      <c r="L3802" s="28" t="n">
        <v>120</v>
      </c>
      <c r="M3802" s="28" t="n">
        <v>26</v>
      </c>
    </row>
    <row r="3803" customFormat="false" ht="15" hidden="false" customHeight="false" outlineLevel="0" collapsed="false">
      <c r="A3803" s="27" t="n">
        <v>45565</v>
      </c>
      <c r="B3803" s="28" t="n">
        <v>2024</v>
      </c>
      <c r="C3803" s="28" t="s">
        <v>549</v>
      </c>
      <c r="D3803" s="28" t="s">
        <v>46</v>
      </c>
      <c r="E3803" s="28" t="s">
        <v>706</v>
      </c>
      <c r="F3803" s="28" t="s">
        <v>194</v>
      </c>
      <c r="G3803" s="28" t="s">
        <v>148</v>
      </c>
      <c r="H3803" s="28" t="s">
        <v>153</v>
      </c>
      <c r="I3803" s="29" t="n">
        <v>1092400</v>
      </c>
      <c r="J3803" s="29" t="n">
        <v>819300</v>
      </c>
      <c r="K3803" s="28" t="n">
        <v>9.25</v>
      </c>
      <c r="L3803" s="28" t="n">
        <v>212</v>
      </c>
      <c r="M3803" s="28" t="n">
        <v>7</v>
      </c>
    </row>
    <row r="3804" customFormat="false" ht="15" hidden="false" customHeight="false" outlineLevel="0" collapsed="false">
      <c r="A3804" s="27" t="n">
        <v>45566</v>
      </c>
      <c r="B3804" s="28" t="n">
        <v>2025</v>
      </c>
      <c r="C3804" s="28" t="s">
        <v>163</v>
      </c>
      <c r="D3804" s="28" t="s">
        <v>49</v>
      </c>
      <c r="E3804" s="28" t="s">
        <v>778</v>
      </c>
      <c r="F3804" s="28" t="s">
        <v>142</v>
      </c>
      <c r="G3804" s="28" t="s">
        <v>148</v>
      </c>
      <c r="H3804" s="28" t="s">
        <v>269</v>
      </c>
      <c r="I3804" s="29" t="n">
        <v>150000</v>
      </c>
      <c r="J3804" s="29" t="n">
        <v>127500</v>
      </c>
      <c r="K3804" s="28" t="n">
        <v>11.25</v>
      </c>
      <c r="L3804" s="28" t="n">
        <v>120</v>
      </c>
      <c r="M3804" s="28" t="n">
        <v>4</v>
      </c>
    </row>
    <row r="3805" customFormat="false" ht="15" hidden="false" customHeight="false" outlineLevel="0" collapsed="false">
      <c r="A3805" s="27" t="n">
        <v>45566</v>
      </c>
      <c r="B3805" s="28" t="n">
        <v>2025</v>
      </c>
      <c r="C3805" s="28" t="s">
        <v>198</v>
      </c>
      <c r="D3805" s="28" t="s">
        <v>48</v>
      </c>
      <c r="E3805" s="28" t="s">
        <v>304</v>
      </c>
      <c r="F3805" s="28" t="s">
        <v>147</v>
      </c>
      <c r="G3805" s="28" t="s">
        <v>148</v>
      </c>
      <c r="H3805" s="28" t="s">
        <v>159</v>
      </c>
      <c r="I3805" s="29" t="n">
        <v>45000</v>
      </c>
      <c r="J3805" s="29" t="n">
        <v>22500</v>
      </c>
      <c r="K3805" s="28" t="n">
        <v>14.5</v>
      </c>
      <c r="L3805" s="28" t="n">
        <v>120</v>
      </c>
      <c r="M3805" s="28" t="n">
        <v>3</v>
      </c>
    </row>
    <row r="3806" customFormat="false" ht="15" hidden="false" customHeight="false" outlineLevel="0" collapsed="false">
      <c r="A3806" s="27" t="n">
        <v>45567</v>
      </c>
      <c r="B3806" s="28" t="n">
        <v>2025</v>
      </c>
      <c r="C3806" s="28" t="s">
        <v>172</v>
      </c>
      <c r="D3806" s="28" t="s">
        <v>42</v>
      </c>
      <c r="E3806" s="28" t="s">
        <v>753</v>
      </c>
      <c r="F3806" s="28" t="s">
        <v>142</v>
      </c>
      <c r="G3806" s="28" t="s">
        <v>441</v>
      </c>
      <c r="H3806" s="28" t="s">
        <v>771</v>
      </c>
      <c r="I3806" s="29" t="n">
        <v>200000</v>
      </c>
      <c r="J3806" s="29" t="n">
        <v>150000</v>
      </c>
      <c r="K3806" s="28" t="n">
        <v>10.75</v>
      </c>
      <c r="L3806" s="28" t="n">
        <v>120</v>
      </c>
      <c r="M3806" s="28" t="n">
        <v>6</v>
      </c>
    </row>
    <row r="3807" customFormat="false" ht="15" hidden="false" customHeight="false" outlineLevel="0" collapsed="false">
      <c r="A3807" s="27" t="n">
        <v>45567</v>
      </c>
      <c r="B3807" s="28" t="n">
        <v>2025</v>
      </c>
      <c r="C3807" s="28" t="s">
        <v>166</v>
      </c>
      <c r="D3807" s="28" t="s">
        <v>48</v>
      </c>
      <c r="E3807" s="28" t="s">
        <v>905</v>
      </c>
      <c r="F3807" s="28" t="s">
        <v>142</v>
      </c>
      <c r="G3807" s="28" t="s">
        <v>148</v>
      </c>
      <c r="H3807" s="28" t="s">
        <v>168</v>
      </c>
      <c r="I3807" s="29" t="n">
        <v>250200</v>
      </c>
      <c r="J3807" s="29" t="n">
        <v>187650</v>
      </c>
      <c r="K3807" s="28" t="n">
        <v>6.8</v>
      </c>
      <c r="L3807" s="28" t="n">
        <v>300</v>
      </c>
      <c r="M3807" s="28" t="n">
        <v>4</v>
      </c>
    </row>
    <row r="3808" customFormat="false" ht="15" hidden="false" customHeight="false" outlineLevel="0" collapsed="false">
      <c r="A3808" s="27" t="n">
        <v>45567</v>
      </c>
      <c r="B3808" s="28" t="n">
        <v>2025</v>
      </c>
      <c r="C3808" s="28" t="s">
        <v>196</v>
      </c>
      <c r="D3808" s="28" t="s">
        <v>53</v>
      </c>
      <c r="E3808" s="28" t="s">
        <v>383</v>
      </c>
      <c r="F3808" s="28" t="s">
        <v>147</v>
      </c>
      <c r="G3808" s="28" t="s">
        <v>148</v>
      </c>
      <c r="H3808" s="28" t="s">
        <v>162</v>
      </c>
      <c r="I3808" s="29" t="n">
        <v>216000</v>
      </c>
      <c r="J3808" s="29" t="n">
        <v>108000</v>
      </c>
      <c r="K3808" s="28" t="n">
        <v>6.3</v>
      </c>
      <c r="L3808" s="28" t="n">
        <v>300</v>
      </c>
      <c r="M3808" s="28" t="n">
        <v>2</v>
      </c>
    </row>
    <row r="3809" customFormat="false" ht="15" hidden="false" customHeight="false" outlineLevel="0" collapsed="false">
      <c r="A3809" s="27" t="n">
        <v>45567</v>
      </c>
      <c r="B3809" s="28" t="n">
        <v>2025</v>
      </c>
      <c r="C3809" s="28" t="s">
        <v>303</v>
      </c>
      <c r="D3809" s="28" t="s">
        <v>44</v>
      </c>
      <c r="E3809" s="28" t="s">
        <v>167</v>
      </c>
      <c r="F3809" s="28" t="s">
        <v>142</v>
      </c>
      <c r="G3809" s="28" t="s">
        <v>143</v>
      </c>
      <c r="H3809" s="28" t="s">
        <v>693</v>
      </c>
      <c r="I3809" s="29" t="n">
        <v>150000</v>
      </c>
      <c r="J3809" s="29" t="n">
        <v>127500</v>
      </c>
      <c r="K3809" s="28" t="n">
        <v>12.75</v>
      </c>
      <c r="L3809" s="28" t="n">
        <v>120</v>
      </c>
      <c r="M3809" s="28" t="n">
        <v>5</v>
      </c>
    </row>
    <row r="3810" customFormat="false" ht="15" hidden="false" customHeight="false" outlineLevel="0" collapsed="false">
      <c r="A3810" s="27" t="n">
        <v>45567</v>
      </c>
      <c r="B3810" s="28" t="n">
        <v>2025</v>
      </c>
      <c r="C3810" s="28" t="s">
        <v>145</v>
      </c>
      <c r="D3810" s="28" t="s">
        <v>56</v>
      </c>
      <c r="E3810" s="28" t="s">
        <v>772</v>
      </c>
      <c r="F3810" s="28" t="s">
        <v>147</v>
      </c>
      <c r="G3810" s="28" t="s">
        <v>148</v>
      </c>
      <c r="H3810" s="28" t="s">
        <v>162</v>
      </c>
      <c r="I3810" s="29" t="n">
        <v>250000</v>
      </c>
      <c r="J3810" s="29" t="n">
        <v>125000</v>
      </c>
      <c r="K3810" s="28" t="n">
        <v>11</v>
      </c>
      <c r="L3810" s="28" t="n">
        <v>120</v>
      </c>
      <c r="M3810" s="28" t="n">
        <v>8</v>
      </c>
    </row>
    <row r="3811" customFormat="false" ht="15" hidden="false" customHeight="false" outlineLevel="0" collapsed="false">
      <c r="A3811" s="27" t="n">
        <v>45567</v>
      </c>
      <c r="B3811" s="28" t="n">
        <v>2025</v>
      </c>
      <c r="C3811" s="28" t="s">
        <v>1101</v>
      </c>
      <c r="D3811" s="28" t="s">
        <v>45</v>
      </c>
      <c r="E3811" s="28" t="s">
        <v>293</v>
      </c>
      <c r="F3811" s="28" t="s">
        <v>142</v>
      </c>
      <c r="G3811" s="28" t="s">
        <v>148</v>
      </c>
      <c r="H3811" s="28" t="s">
        <v>275</v>
      </c>
      <c r="I3811" s="29" t="n">
        <v>500000</v>
      </c>
      <c r="J3811" s="29" t="n">
        <v>375000</v>
      </c>
      <c r="K3811" s="28" t="n">
        <v>10.75</v>
      </c>
      <c r="L3811" s="28" t="n">
        <v>120</v>
      </c>
      <c r="M3811" s="28" t="n">
        <v>0</v>
      </c>
    </row>
    <row r="3812" customFormat="false" ht="15" hidden="false" customHeight="false" outlineLevel="0" collapsed="false">
      <c r="A3812" s="27" t="n">
        <v>45568</v>
      </c>
      <c r="B3812" s="28" t="n">
        <v>2025</v>
      </c>
      <c r="C3812" s="28" t="s">
        <v>243</v>
      </c>
      <c r="D3812" s="28" t="s">
        <v>43</v>
      </c>
      <c r="E3812" s="28" t="s">
        <v>858</v>
      </c>
      <c r="F3812" s="28" t="s">
        <v>142</v>
      </c>
      <c r="G3812" s="28" t="s">
        <v>148</v>
      </c>
      <c r="H3812" s="28" t="s">
        <v>269</v>
      </c>
      <c r="I3812" s="29" t="n">
        <v>100000</v>
      </c>
      <c r="J3812" s="29" t="n">
        <v>85000</v>
      </c>
      <c r="K3812" s="28" t="n">
        <v>10.75</v>
      </c>
      <c r="L3812" s="28" t="n">
        <v>120</v>
      </c>
      <c r="M3812" s="28" t="n">
        <v>2</v>
      </c>
    </row>
    <row r="3813" customFormat="false" ht="15" hidden="false" customHeight="false" outlineLevel="0" collapsed="false">
      <c r="A3813" s="27" t="n">
        <v>45568</v>
      </c>
      <c r="B3813" s="28" t="n">
        <v>2025</v>
      </c>
      <c r="C3813" s="28" t="s">
        <v>272</v>
      </c>
      <c r="D3813" s="28" t="s">
        <v>45</v>
      </c>
      <c r="E3813" s="28" t="s">
        <v>713</v>
      </c>
      <c r="F3813" s="28" t="s">
        <v>142</v>
      </c>
      <c r="G3813" s="28" t="s">
        <v>148</v>
      </c>
      <c r="H3813" s="28" t="s">
        <v>771</v>
      </c>
      <c r="I3813" s="29" t="n">
        <v>100000</v>
      </c>
      <c r="J3813" s="29" t="n">
        <v>85000</v>
      </c>
      <c r="K3813" s="28" t="n">
        <v>10.75</v>
      </c>
      <c r="L3813" s="28" t="n">
        <v>120</v>
      </c>
      <c r="M3813" s="28" t="n">
        <v>1</v>
      </c>
    </row>
    <row r="3814" customFormat="false" ht="15" hidden="false" customHeight="false" outlineLevel="0" collapsed="false">
      <c r="A3814" s="27" t="n">
        <v>45568</v>
      </c>
      <c r="B3814" s="28" t="n">
        <v>2025</v>
      </c>
      <c r="C3814" s="28" t="s">
        <v>160</v>
      </c>
      <c r="D3814" s="28" t="s">
        <v>50</v>
      </c>
      <c r="E3814" s="28" t="s">
        <v>1082</v>
      </c>
      <c r="F3814" s="28" t="s">
        <v>142</v>
      </c>
      <c r="G3814" s="28" t="s">
        <v>441</v>
      </c>
      <c r="H3814" s="28" t="s">
        <v>269</v>
      </c>
      <c r="I3814" s="29" t="n">
        <v>68500</v>
      </c>
      <c r="J3814" s="29" t="n">
        <v>58225</v>
      </c>
      <c r="K3814" s="28" t="n">
        <v>10.75</v>
      </c>
      <c r="L3814" s="28" t="n">
        <v>120</v>
      </c>
      <c r="M3814" s="28" t="n">
        <v>3</v>
      </c>
    </row>
    <row r="3815" customFormat="false" ht="15" hidden="false" customHeight="false" outlineLevel="0" collapsed="false">
      <c r="A3815" s="27" t="n">
        <v>45568</v>
      </c>
      <c r="B3815" s="28" t="n">
        <v>2025</v>
      </c>
      <c r="C3815" s="28" t="s">
        <v>243</v>
      </c>
      <c r="D3815" s="28" t="s">
        <v>42</v>
      </c>
      <c r="E3815" s="28" t="s">
        <v>784</v>
      </c>
      <c r="F3815" s="28" t="s">
        <v>142</v>
      </c>
      <c r="G3815" s="28" t="s">
        <v>148</v>
      </c>
      <c r="H3815" s="28" t="s">
        <v>416</v>
      </c>
      <c r="I3815" s="29" t="n">
        <v>500000</v>
      </c>
      <c r="J3815" s="29" t="n">
        <v>375000</v>
      </c>
      <c r="K3815" s="28" t="n">
        <v>10.25</v>
      </c>
      <c r="L3815" s="28" t="n">
        <v>126</v>
      </c>
      <c r="M3815" s="28" t="n">
        <v>14</v>
      </c>
    </row>
    <row r="3816" customFormat="false" ht="15" hidden="false" customHeight="false" outlineLevel="0" collapsed="false">
      <c r="A3816" s="27" t="n">
        <v>45568</v>
      </c>
      <c r="B3816" s="28" t="n">
        <v>2025</v>
      </c>
      <c r="C3816" s="28" t="s">
        <v>432</v>
      </c>
      <c r="D3816" s="28" t="s">
        <v>44</v>
      </c>
      <c r="E3816" s="28" t="s">
        <v>729</v>
      </c>
      <c r="F3816" s="28" t="s">
        <v>142</v>
      </c>
      <c r="G3816" s="28" t="s">
        <v>148</v>
      </c>
      <c r="H3816" s="28" t="s">
        <v>953</v>
      </c>
      <c r="I3816" s="29" t="n">
        <v>500000</v>
      </c>
      <c r="J3816" s="29" t="n">
        <v>375000</v>
      </c>
      <c r="K3816" s="28" t="n">
        <v>11</v>
      </c>
      <c r="L3816" s="28" t="n">
        <v>120</v>
      </c>
      <c r="M3816" s="28" t="n">
        <v>4</v>
      </c>
    </row>
    <row r="3817" customFormat="false" ht="15" hidden="false" customHeight="false" outlineLevel="0" collapsed="false">
      <c r="A3817" s="27" t="n">
        <v>45568</v>
      </c>
      <c r="B3817" s="28" t="n">
        <v>2025</v>
      </c>
      <c r="C3817" s="28" t="s">
        <v>160</v>
      </c>
      <c r="D3817" s="28" t="s">
        <v>46</v>
      </c>
      <c r="E3817" s="28" t="s">
        <v>727</v>
      </c>
      <c r="F3817" s="28" t="s">
        <v>142</v>
      </c>
      <c r="G3817" s="28" t="s">
        <v>148</v>
      </c>
      <c r="H3817" s="28" t="s">
        <v>771</v>
      </c>
      <c r="I3817" s="29" t="n">
        <v>18000</v>
      </c>
      <c r="J3817" s="29" t="n">
        <v>15300</v>
      </c>
      <c r="K3817" s="28" t="n">
        <v>10.75</v>
      </c>
      <c r="L3817" s="28" t="n">
        <v>113</v>
      </c>
      <c r="M3817" s="28" t="n">
        <v>1</v>
      </c>
    </row>
    <row r="3818" customFormat="false" ht="15" hidden="false" customHeight="false" outlineLevel="0" collapsed="false">
      <c r="A3818" s="27" t="n">
        <v>45569</v>
      </c>
      <c r="B3818" s="28" t="n">
        <v>2025</v>
      </c>
      <c r="C3818" s="28" t="s">
        <v>384</v>
      </c>
      <c r="D3818" s="28" t="s">
        <v>43</v>
      </c>
      <c r="E3818" s="28" t="s">
        <v>732</v>
      </c>
      <c r="F3818" s="28" t="s">
        <v>142</v>
      </c>
      <c r="G3818" s="28" t="s">
        <v>148</v>
      </c>
      <c r="H3818" s="28" t="s">
        <v>269</v>
      </c>
      <c r="I3818" s="29" t="n">
        <v>150000</v>
      </c>
      <c r="J3818" s="29" t="n">
        <v>127500</v>
      </c>
      <c r="K3818" s="28" t="n">
        <v>10.75</v>
      </c>
      <c r="L3818" s="28" t="n">
        <v>120</v>
      </c>
      <c r="M3818" s="28" t="n">
        <v>5</v>
      </c>
    </row>
    <row r="3819" customFormat="false" ht="15" hidden="false" customHeight="false" outlineLevel="0" collapsed="false">
      <c r="A3819" s="27" t="n">
        <v>45573</v>
      </c>
      <c r="B3819" s="28" t="n">
        <v>2025</v>
      </c>
      <c r="C3819" s="28" t="s">
        <v>252</v>
      </c>
      <c r="D3819" s="28" t="s">
        <v>45</v>
      </c>
      <c r="E3819" s="28" t="s">
        <v>708</v>
      </c>
      <c r="F3819" s="28" t="s">
        <v>142</v>
      </c>
      <c r="G3819" s="28" t="s">
        <v>148</v>
      </c>
      <c r="H3819" s="28" t="s">
        <v>211</v>
      </c>
      <c r="I3819" s="29" t="n">
        <v>175000</v>
      </c>
      <c r="J3819" s="29" t="n">
        <v>131250</v>
      </c>
      <c r="K3819" s="28" t="n">
        <v>10.75</v>
      </c>
      <c r="L3819" s="28" t="n">
        <v>120</v>
      </c>
      <c r="M3819" s="28" t="n">
        <v>2</v>
      </c>
    </row>
    <row r="3820" customFormat="false" ht="15" hidden="false" customHeight="false" outlineLevel="0" collapsed="false">
      <c r="A3820" s="27" t="n">
        <v>45573</v>
      </c>
      <c r="B3820" s="28" t="n">
        <v>2025</v>
      </c>
      <c r="C3820" s="28" t="s">
        <v>172</v>
      </c>
      <c r="D3820" s="28" t="s">
        <v>46</v>
      </c>
      <c r="E3820" s="28" t="s">
        <v>926</v>
      </c>
      <c r="F3820" s="28" t="s">
        <v>142</v>
      </c>
      <c r="G3820" s="28" t="s">
        <v>148</v>
      </c>
      <c r="H3820" s="28" t="s">
        <v>168</v>
      </c>
      <c r="I3820" s="29" t="n">
        <v>800300</v>
      </c>
      <c r="J3820" s="29" t="n">
        <v>600225</v>
      </c>
      <c r="K3820" s="28" t="n">
        <v>7.08</v>
      </c>
      <c r="L3820" s="28" t="n">
        <v>300</v>
      </c>
      <c r="M3820" s="28" t="n">
        <v>7</v>
      </c>
    </row>
    <row r="3821" customFormat="false" ht="15" hidden="false" customHeight="false" outlineLevel="0" collapsed="false">
      <c r="A3821" s="27" t="n">
        <v>45573</v>
      </c>
      <c r="B3821" s="28" t="n">
        <v>2025</v>
      </c>
      <c r="C3821" s="28" t="s">
        <v>303</v>
      </c>
      <c r="D3821" s="28" t="s">
        <v>45</v>
      </c>
      <c r="E3821" s="28" t="s">
        <v>713</v>
      </c>
      <c r="F3821" s="28" t="s">
        <v>147</v>
      </c>
      <c r="G3821" s="28" t="s">
        <v>148</v>
      </c>
      <c r="H3821" s="28" t="s">
        <v>953</v>
      </c>
      <c r="I3821" s="29" t="n">
        <v>250000</v>
      </c>
      <c r="J3821" s="29" t="n">
        <v>125000</v>
      </c>
      <c r="K3821" s="28" t="n">
        <v>11.5</v>
      </c>
      <c r="L3821" s="28" t="n">
        <v>120</v>
      </c>
      <c r="M3821" s="28" t="n">
        <v>45</v>
      </c>
    </row>
    <row r="3822" customFormat="false" ht="15" hidden="false" customHeight="false" outlineLevel="0" collapsed="false">
      <c r="A3822" s="27" t="n">
        <v>45573</v>
      </c>
      <c r="B3822" s="28" t="n">
        <v>2025</v>
      </c>
      <c r="C3822" s="28" t="s">
        <v>198</v>
      </c>
      <c r="D3822" s="28" t="s">
        <v>43</v>
      </c>
      <c r="E3822" s="28" t="s">
        <v>952</v>
      </c>
      <c r="F3822" s="28" t="s">
        <v>142</v>
      </c>
      <c r="G3822" s="28" t="s">
        <v>152</v>
      </c>
      <c r="H3822" s="28" t="s">
        <v>417</v>
      </c>
      <c r="I3822" s="29" t="n">
        <v>352800</v>
      </c>
      <c r="J3822" s="29" t="n">
        <v>264600</v>
      </c>
      <c r="K3822" s="28" t="n">
        <v>10.5</v>
      </c>
      <c r="L3822" s="28" t="n">
        <v>120</v>
      </c>
      <c r="M3822" s="28" t="n">
        <v>14</v>
      </c>
    </row>
    <row r="3823" customFormat="false" ht="15" hidden="false" customHeight="false" outlineLevel="0" collapsed="false">
      <c r="A3823" s="27" t="n">
        <v>45573</v>
      </c>
      <c r="B3823" s="28" t="n">
        <v>2025</v>
      </c>
      <c r="C3823" s="28" t="s">
        <v>353</v>
      </c>
      <c r="D3823" s="28" t="s">
        <v>45</v>
      </c>
      <c r="E3823" s="28" t="s">
        <v>835</v>
      </c>
      <c r="F3823" s="28" t="s">
        <v>142</v>
      </c>
      <c r="G3823" s="28" t="s">
        <v>143</v>
      </c>
      <c r="H3823" s="28" t="s">
        <v>621</v>
      </c>
      <c r="I3823" s="29" t="n">
        <v>109500</v>
      </c>
      <c r="J3823" s="29" t="n">
        <v>93075</v>
      </c>
      <c r="K3823" s="28" t="n">
        <v>10.75</v>
      </c>
      <c r="L3823" s="28" t="n">
        <v>120</v>
      </c>
      <c r="M3823" s="28" t="n">
        <v>4</v>
      </c>
    </row>
    <row r="3824" customFormat="false" ht="15" hidden="false" customHeight="false" outlineLevel="0" collapsed="false">
      <c r="A3824" s="27" t="n">
        <v>45574</v>
      </c>
      <c r="B3824" s="28" t="n">
        <v>2025</v>
      </c>
      <c r="C3824" s="28" t="s">
        <v>160</v>
      </c>
      <c r="D3824" s="28" t="s">
        <v>44</v>
      </c>
      <c r="E3824" s="28" t="s">
        <v>513</v>
      </c>
      <c r="F3824" s="28" t="s">
        <v>142</v>
      </c>
      <c r="G3824" s="28" t="s">
        <v>148</v>
      </c>
      <c r="H3824" s="28" t="s">
        <v>275</v>
      </c>
      <c r="I3824" s="29" t="n">
        <v>50000</v>
      </c>
      <c r="J3824" s="29" t="n">
        <v>42500</v>
      </c>
      <c r="K3824" s="28" t="n">
        <v>14.5</v>
      </c>
      <c r="L3824" s="28" t="n">
        <v>120</v>
      </c>
      <c r="M3824" s="28" t="n">
        <v>1</v>
      </c>
    </row>
    <row r="3825" customFormat="false" ht="15" hidden="false" customHeight="false" outlineLevel="0" collapsed="false">
      <c r="A3825" s="27" t="n">
        <v>45574</v>
      </c>
      <c r="B3825" s="28" t="n">
        <v>2025</v>
      </c>
      <c r="C3825" s="28" t="s">
        <v>353</v>
      </c>
      <c r="D3825" s="28" t="s">
        <v>44</v>
      </c>
      <c r="E3825" s="28" t="s">
        <v>759</v>
      </c>
      <c r="F3825" s="28" t="s">
        <v>147</v>
      </c>
      <c r="G3825" s="28" t="s">
        <v>148</v>
      </c>
      <c r="H3825" s="28" t="s">
        <v>159</v>
      </c>
      <c r="I3825" s="29" t="n">
        <v>10000</v>
      </c>
      <c r="J3825" s="29" t="n">
        <v>5000</v>
      </c>
      <c r="K3825" s="28" t="n">
        <v>14.5</v>
      </c>
      <c r="L3825" s="28" t="n">
        <v>80</v>
      </c>
      <c r="M3825" s="28" t="n">
        <v>9</v>
      </c>
    </row>
    <row r="3826" customFormat="false" ht="15" hidden="false" customHeight="false" outlineLevel="0" collapsed="false">
      <c r="A3826" s="27" t="n">
        <v>45574</v>
      </c>
      <c r="B3826" s="28" t="n">
        <v>2025</v>
      </c>
      <c r="C3826" s="28" t="s">
        <v>163</v>
      </c>
      <c r="D3826" s="28" t="s">
        <v>43</v>
      </c>
      <c r="E3826" s="28" t="s">
        <v>757</v>
      </c>
      <c r="F3826" s="28" t="s">
        <v>147</v>
      </c>
      <c r="G3826" s="28" t="s">
        <v>148</v>
      </c>
      <c r="H3826" s="28" t="s">
        <v>205</v>
      </c>
      <c r="I3826" s="29" t="n">
        <v>100000</v>
      </c>
      <c r="J3826" s="29" t="n">
        <v>50000</v>
      </c>
      <c r="K3826" s="28" t="n">
        <v>11</v>
      </c>
      <c r="L3826" s="28" t="n">
        <v>120</v>
      </c>
      <c r="M3826" s="28" t="n">
        <v>2</v>
      </c>
    </row>
    <row r="3827" customFormat="false" ht="15" hidden="false" customHeight="false" outlineLevel="0" collapsed="false">
      <c r="A3827" s="27" t="n">
        <v>45575</v>
      </c>
      <c r="B3827" s="28" t="n">
        <v>2025</v>
      </c>
      <c r="C3827" s="28" t="s">
        <v>379</v>
      </c>
      <c r="D3827" s="28" t="s">
        <v>45</v>
      </c>
      <c r="E3827" s="28" t="s">
        <v>713</v>
      </c>
      <c r="F3827" s="28" t="s">
        <v>142</v>
      </c>
      <c r="G3827" s="28" t="s">
        <v>148</v>
      </c>
      <c r="H3827" s="28" t="s">
        <v>211</v>
      </c>
      <c r="I3827" s="29" t="n">
        <v>500000</v>
      </c>
      <c r="J3827" s="29" t="n">
        <v>375000</v>
      </c>
      <c r="K3827" s="28" t="n">
        <v>10.75</v>
      </c>
      <c r="L3827" s="28" t="n">
        <v>120</v>
      </c>
      <c r="M3827" s="28" t="n">
        <v>5</v>
      </c>
    </row>
    <row r="3828" customFormat="false" ht="15" hidden="false" customHeight="false" outlineLevel="0" collapsed="false">
      <c r="A3828" s="27" t="n">
        <v>45575</v>
      </c>
      <c r="B3828" s="28" t="n">
        <v>2025</v>
      </c>
      <c r="C3828" s="28" t="s">
        <v>169</v>
      </c>
      <c r="D3828" s="28" t="s">
        <v>42</v>
      </c>
      <c r="E3828" s="28" t="s">
        <v>753</v>
      </c>
      <c r="F3828" s="28" t="s">
        <v>142</v>
      </c>
      <c r="G3828" s="28" t="s">
        <v>152</v>
      </c>
      <c r="H3828" s="28" t="s">
        <v>1060</v>
      </c>
      <c r="I3828" s="29" t="n">
        <v>410000</v>
      </c>
      <c r="J3828" s="29" t="n">
        <v>307500</v>
      </c>
      <c r="K3828" s="28" t="n">
        <v>11</v>
      </c>
      <c r="L3828" s="28" t="n">
        <v>120</v>
      </c>
      <c r="M3828" s="28" t="n">
        <v>6</v>
      </c>
    </row>
    <row r="3829" customFormat="false" ht="15" hidden="false" customHeight="false" outlineLevel="0" collapsed="false">
      <c r="A3829" s="27" t="n">
        <v>45575</v>
      </c>
      <c r="B3829" s="28" t="n">
        <v>2025</v>
      </c>
      <c r="C3829" s="28" t="s">
        <v>203</v>
      </c>
      <c r="D3829" s="28" t="s">
        <v>48</v>
      </c>
      <c r="E3829" s="28" t="s">
        <v>765</v>
      </c>
      <c r="F3829" s="28" t="s">
        <v>142</v>
      </c>
      <c r="G3829" s="28" t="s">
        <v>148</v>
      </c>
      <c r="H3829" s="28" t="s">
        <v>208</v>
      </c>
      <c r="I3829" s="29" t="n">
        <v>500000</v>
      </c>
      <c r="J3829" s="29" t="n">
        <v>375000</v>
      </c>
      <c r="K3829" s="28" t="n">
        <v>10.75</v>
      </c>
      <c r="L3829" s="28" t="n">
        <v>120</v>
      </c>
      <c r="M3829" s="28" t="n">
        <v>2</v>
      </c>
    </row>
    <row r="3830" customFormat="false" ht="15" hidden="false" customHeight="false" outlineLevel="0" collapsed="false">
      <c r="A3830" s="27" t="n">
        <v>45575</v>
      </c>
      <c r="B3830" s="28" t="n">
        <v>2025</v>
      </c>
      <c r="C3830" s="28" t="s">
        <v>169</v>
      </c>
      <c r="D3830" s="28" t="s">
        <v>51</v>
      </c>
      <c r="E3830" s="28" t="s">
        <v>779</v>
      </c>
      <c r="F3830" s="28" t="s">
        <v>142</v>
      </c>
      <c r="G3830" s="28" t="s">
        <v>143</v>
      </c>
      <c r="H3830" s="28" t="s">
        <v>372</v>
      </c>
      <c r="I3830" s="29" t="n">
        <v>300000</v>
      </c>
      <c r="J3830" s="29" t="n">
        <v>225000</v>
      </c>
      <c r="K3830" s="28" t="n">
        <v>11</v>
      </c>
      <c r="L3830" s="28" t="n">
        <v>84</v>
      </c>
      <c r="M3830" s="28" t="n">
        <v>15</v>
      </c>
    </row>
    <row r="3831" customFormat="false" ht="15" hidden="false" customHeight="false" outlineLevel="0" collapsed="false">
      <c r="A3831" s="27" t="n">
        <v>45575</v>
      </c>
      <c r="B3831" s="28" t="n">
        <v>2025</v>
      </c>
      <c r="C3831" s="28" t="s">
        <v>169</v>
      </c>
      <c r="D3831" s="28" t="s">
        <v>45</v>
      </c>
      <c r="E3831" s="28" t="s">
        <v>356</v>
      </c>
      <c r="F3831" s="28" t="s">
        <v>142</v>
      </c>
      <c r="G3831" s="28" t="s">
        <v>441</v>
      </c>
      <c r="H3831" s="28" t="s">
        <v>372</v>
      </c>
      <c r="I3831" s="29" t="n">
        <v>150000</v>
      </c>
      <c r="J3831" s="29" t="n">
        <v>127500</v>
      </c>
      <c r="K3831" s="28" t="n">
        <v>10.75</v>
      </c>
      <c r="L3831" s="28" t="n">
        <v>120</v>
      </c>
      <c r="M3831" s="28" t="n">
        <v>4</v>
      </c>
    </row>
    <row r="3832" customFormat="false" ht="15" hidden="false" customHeight="false" outlineLevel="0" collapsed="false">
      <c r="A3832" s="27" t="n">
        <v>45575</v>
      </c>
      <c r="B3832" s="28" t="n">
        <v>2025</v>
      </c>
      <c r="C3832" s="28" t="s">
        <v>423</v>
      </c>
      <c r="D3832" s="28" t="s">
        <v>45</v>
      </c>
      <c r="E3832" s="28" t="s">
        <v>293</v>
      </c>
      <c r="F3832" s="28" t="s">
        <v>142</v>
      </c>
      <c r="G3832" s="28" t="s">
        <v>148</v>
      </c>
      <c r="H3832" s="28" t="s">
        <v>771</v>
      </c>
      <c r="I3832" s="29" t="n">
        <v>100000</v>
      </c>
      <c r="J3832" s="29" t="n">
        <v>85000</v>
      </c>
      <c r="K3832" s="28" t="n">
        <v>10.75</v>
      </c>
      <c r="L3832" s="28" t="n">
        <v>120</v>
      </c>
      <c r="M3832" s="28" t="n">
        <v>4</v>
      </c>
    </row>
    <row r="3833" customFormat="false" ht="15" hidden="false" customHeight="false" outlineLevel="0" collapsed="false">
      <c r="A3833" s="27" t="n">
        <v>45575</v>
      </c>
      <c r="B3833" s="28" t="n">
        <v>2025</v>
      </c>
      <c r="C3833" s="28" t="s">
        <v>384</v>
      </c>
      <c r="D3833" s="28" t="s">
        <v>42</v>
      </c>
      <c r="E3833" s="28" t="s">
        <v>717</v>
      </c>
      <c r="F3833" s="28" t="s">
        <v>142</v>
      </c>
      <c r="G3833" s="28" t="s">
        <v>143</v>
      </c>
      <c r="H3833" s="28" t="s">
        <v>159</v>
      </c>
      <c r="I3833" s="29" t="n">
        <v>260000</v>
      </c>
      <c r="J3833" s="29" t="n">
        <v>195000</v>
      </c>
      <c r="K3833" s="28" t="n">
        <v>9.5</v>
      </c>
      <c r="L3833" s="28" t="n">
        <v>126</v>
      </c>
      <c r="M3833" s="28" t="n">
        <v>48</v>
      </c>
    </row>
    <row r="3834" customFormat="false" ht="15" hidden="false" customHeight="false" outlineLevel="0" collapsed="false">
      <c r="A3834" s="27" t="n">
        <v>45576</v>
      </c>
      <c r="B3834" s="28" t="n">
        <v>2025</v>
      </c>
      <c r="C3834" s="28" t="s">
        <v>196</v>
      </c>
      <c r="D3834" s="28" t="s">
        <v>53</v>
      </c>
      <c r="E3834" s="28" t="s">
        <v>928</v>
      </c>
      <c r="F3834" s="28" t="s">
        <v>142</v>
      </c>
      <c r="G3834" s="28" t="s">
        <v>148</v>
      </c>
      <c r="H3834" s="28" t="s">
        <v>171</v>
      </c>
      <c r="I3834" s="29" t="n">
        <v>150000</v>
      </c>
      <c r="J3834" s="29" t="n">
        <v>127500</v>
      </c>
      <c r="K3834" s="28" t="n">
        <v>12.75</v>
      </c>
      <c r="L3834" s="28" t="n">
        <v>117</v>
      </c>
      <c r="M3834" s="28" t="n">
        <v>6</v>
      </c>
    </row>
    <row r="3835" customFormat="false" ht="15" hidden="false" customHeight="false" outlineLevel="0" collapsed="false">
      <c r="A3835" s="27" t="n">
        <v>45576</v>
      </c>
      <c r="B3835" s="28" t="n">
        <v>2025</v>
      </c>
      <c r="C3835" s="28" t="s">
        <v>243</v>
      </c>
      <c r="D3835" s="28" t="s">
        <v>46</v>
      </c>
      <c r="E3835" s="28" t="s">
        <v>904</v>
      </c>
      <c r="F3835" s="28" t="s">
        <v>142</v>
      </c>
      <c r="G3835" s="28" t="s">
        <v>143</v>
      </c>
      <c r="H3835" s="28" t="s">
        <v>291</v>
      </c>
      <c r="I3835" s="29" t="n">
        <v>225000</v>
      </c>
      <c r="J3835" s="29" t="n">
        <v>168750</v>
      </c>
      <c r="K3835" s="28" t="n">
        <v>10.75</v>
      </c>
      <c r="L3835" s="28" t="n">
        <v>120</v>
      </c>
      <c r="M3835" s="28" t="n">
        <v>5</v>
      </c>
    </row>
    <row r="3836" customFormat="false" ht="15" hidden="false" customHeight="false" outlineLevel="0" collapsed="false">
      <c r="A3836" s="27" t="n">
        <v>45576</v>
      </c>
      <c r="B3836" s="28" t="n">
        <v>2025</v>
      </c>
      <c r="C3836" s="28" t="s">
        <v>353</v>
      </c>
      <c r="D3836" s="28" t="s">
        <v>44</v>
      </c>
      <c r="E3836" s="28" t="s">
        <v>759</v>
      </c>
      <c r="F3836" s="28" t="s">
        <v>142</v>
      </c>
      <c r="G3836" s="28" t="s">
        <v>148</v>
      </c>
      <c r="H3836" s="28" t="s">
        <v>159</v>
      </c>
      <c r="I3836" s="29" t="n">
        <v>40000</v>
      </c>
      <c r="J3836" s="29" t="n">
        <v>34000</v>
      </c>
      <c r="K3836" s="28" t="n">
        <v>10.99</v>
      </c>
      <c r="L3836" s="28" t="n">
        <v>60</v>
      </c>
      <c r="M3836" s="28" t="n">
        <v>9</v>
      </c>
    </row>
    <row r="3837" customFormat="false" ht="15" hidden="false" customHeight="false" outlineLevel="0" collapsed="false">
      <c r="A3837" s="27" t="n">
        <v>45577</v>
      </c>
      <c r="B3837" s="28" t="n">
        <v>2025</v>
      </c>
      <c r="C3837" s="28" t="s">
        <v>145</v>
      </c>
      <c r="D3837" s="28" t="s">
        <v>53</v>
      </c>
      <c r="E3837" s="28" t="s">
        <v>718</v>
      </c>
      <c r="F3837" s="28" t="s">
        <v>142</v>
      </c>
      <c r="G3837" s="28" t="s">
        <v>143</v>
      </c>
      <c r="H3837" s="28" t="s">
        <v>287</v>
      </c>
      <c r="I3837" s="29" t="n">
        <v>150000</v>
      </c>
      <c r="J3837" s="29" t="n">
        <v>127500</v>
      </c>
      <c r="K3837" s="28" t="n">
        <v>10.75</v>
      </c>
      <c r="L3837" s="28" t="n">
        <v>120</v>
      </c>
      <c r="M3837" s="28" t="n">
        <v>3</v>
      </c>
    </row>
    <row r="3838" customFormat="false" ht="15" hidden="false" customHeight="false" outlineLevel="0" collapsed="false">
      <c r="A3838" s="27" t="n">
        <v>45579</v>
      </c>
      <c r="B3838" s="28" t="n">
        <v>2025</v>
      </c>
      <c r="C3838" s="28" t="s">
        <v>353</v>
      </c>
      <c r="D3838" s="28" t="s">
        <v>43</v>
      </c>
      <c r="E3838" s="28" t="s">
        <v>858</v>
      </c>
      <c r="F3838" s="28" t="s">
        <v>142</v>
      </c>
      <c r="G3838" s="28" t="s">
        <v>143</v>
      </c>
      <c r="H3838" s="28" t="s">
        <v>211</v>
      </c>
      <c r="I3838" s="29" t="n">
        <v>295000</v>
      </c>
      <c r="J3838" s="29" t="n">
        <v>221250</v>
      </c>
      <c r="K3838" s="28" t="n">
        <v>10.5</v>
      </c>
      <c r="L3838" s="28" t="n">
        <v>120</v>
      </c>
      <c r="M3838" s="28" t="n">
        <v>12</v>
      </c>
    </row>
    <row r="3839" customFormat="false" ht="15" hidden="false" customHeight="false" outlineLevel="0" collapsed="false">
      <c r="A3839" s="27" t="n">
        <v>45579</v>
      </c>
      <c r="B3839" s="28" t="n">
        <v>2025</v>
      </c>
      <c r="C3839" s="28" t="s">
        <v>353</v>
      </c>
      <c r="D3839" s="28" t="s">
        <v>43</v>
      </c>
      <c r="E3839" s="28" t="s">
        <v>858</v>
      </c>
      <c r="F3839" s="28" t="s">
        <v>147</v>
      </c>
      <c r="G3839" s="28" t="s">
        <v>143</v>
      </c>
      <c r="H3839" s="28" t="s">
        <v>211</v>
      </c>
      <c r="I3839" s="29" t="n">
        <v>50000</v>
      </c>
      <c r="J3839" s="29" t="n">
        <v>25000</v>
      </c>
      <c r="K3839" s="28" t="n">
        <v>10.5</v>
      </c>
      <c r="L3839" s="28" t="n">
        <v>120</v>
      </c>
      <c r="M3839" s="28" t="n">
        <v>12</v>
      </c>
    </row>
    <row r="3840" customFormat="false" ht="15" hidden="false" customHeight="false" outlineLevel="0" collapsed="false">
      <c r="A3840" s="27" t="n">
        <v>45579</v>
      </c>
      <c r="B3840" s="28" t="n">
        <v>2025</v>
      </c>
      <c r="C3840" s="28" t="s">
        <v>252</v>
      </c>
      <c r="D3840" s="28" t="s">
        <v>45</v>
      </c>
      <c r="E3840" s="28" t="s">
        <v>356</v>
      </c>
      <c r="F3840" s="28" t="s">
        <v>142</v>
      </c>
      <c r="G3840" s="28" t="s">
        <v>148</v>
      </c>
      <c r="H3840" s="28" t="s">
        <v>171</v>
      </c>
      <c r="I3840" s="29" t="n">
        <v>150000</v>
      </c>
      <c r="J3840" s="29" t="n">
        <v>127500</v>
      </c>
      <c r="K3840" s="28" t="n">
        <v>12.75</v>
      </c>
      <c r="L3840" s="28" t="n">
        <v>120</v>
      </c>
      <c r="M3840" s="28" t="n">
        <v>1</v>
      </c>
    </row>
    <row r="3841" customFormat="false" ht="15" hidden="false" customHeight="false" outlineLevel="0" collapsed="false">
      <c r="A3841" s="27" t="n">
        <v>45579</v>
      </c>
      <c r="B3841" s="28" t="n">
        <v>2025</v>
      </c>
      <c r="C3841" s="28" t="s">
        <v>169</v>
      </c>
      <c r="D3841" s="28" t="s">
        <v>51</v>
      </c>
      <c r="E3841" s="28" t="s">
        <v>800</v>
      </c>
      <c r="F3841" s="28" t="s">
        <v>147</v>
      </c>
      <c r="G3841" s="28" t="s">
        <v>143</v>
      </c>
      <c r="H3841" s="28" t="s">
        <v>211</v>
      </c>
      <c r="I3841" s="29" t="n">
        <v>30000</v>
      </c>
      <c r="J3841" s="29" t="n">
        <v>15000</v>
      </c>
      <c r="K3841" s="28" t="n">
        <v>10.75</v>
      </c>
      <c r="L3841" s="28" t="n">
        <v>120</v>
      </c>
      <c r="M3841" s="28" t="n">
        <v>2</v>
      </c>
    </row>
    <row r="3842" customFormat="false" ht="15" hidden="false" customHeight="false" outlineLevel="0" collapsed="false">
      <c r="A3842" s="27" t="n">
        <v>45579</v>
      </c>
      <c r="B3842" s="28" t="n">
        <v>2025</v>
      </c>
      <c r="C3842" s="28" t="s">
        <v>169</v>
      </c>
      <c r="D3842" s="28" t="s">
        <v>51</v>
      </c>
      <c r="E3842" s="28" t="s">
        <v>800</v>
      </c>
      <c r="F3842" s="28" t="s">
        <v>142</v>
      </c>
      <c r="G3842" s="28" t="s">
        <v>143</v>
      </c>
      <c r="H3842" s="28" t="s">
        <v>211</v>
      </c>
      <c r="I3842" s="29" t="n">
        <v>267200</v>
      </c>
      <c r="J3842" s="29" t="n">
        <v>200400</v>
      </c>
      <c r="K3842" s="28" t="n">
        <v>10.75</v>
      </c>
      <c r="L3842" s="28" t="n">
        <v>120</v>
      </c>
      <c r="M3842" s="28" t="n">
        <v>2</v>
      </c>
    </row>
    <row r="3843" customFormat="false" ht="15" hidden="false" customHeight="false" outlineLevel="0" collapsed="false">
      <c r="A3843" s="27" t="n">
        <v>45579</v>
      </c>
      <c r="B3843" s="28" t="n">
        <v>2025</v>
      </c>
      <c r="C3843" s="28" t="s">
        <v>172</v>
      </c>
      <c r="D3843" s="28" t="s">
        <v>43</v>
      </c>
      <c r="E3843" s="28" t="s">
        <v>685</v>
      </c>
      <c r="F3843" s="28" t="s">
        <v>147</v>
      </c>
      <c r="G3843" s="28" t="s">
        <v>148</v>
      </c>
      <c r="H3843" s="28" t="s">
        <v>205</v>
      </c>
      <c r="I3843" s="29" t="n">
        <v>100000</v>
      </c>
      <c r="J3843" s="29" t="n">
        <v>50000</v>
      </c>
      <c r="K3843" s="28" t="n">
        <v>11</v>
      </c>
      <c r="L3843" s="28" t="n">
        <v>120</v>
      </c>
      <c r="M3843" s="28" t="n">
        <v>5</v>
      </c>
    </row>
    <row r="3844" customFormat="false" ht="15" hidden="false" customHeight="false" outlineLevel="0" collapsed="false">
      <c r="A3844" s="27" t="n">
        <v>45579</v>
      </c>
      <c r="B3844" s="28" t="n">
        <v>2025</v>
      </c>
      <c r="C3844" s="28" t="s">
        <v>384</v>
      </c>
      <c r="D3844" s="28" t="s">
        <v>52</v>
      </c>
      <c r="E3844" s="28" t="s">
        <v>894</v>
      </c>
      <c r="F3844" s="28" t="s">
        <v>142</v>
      </c>
      <c r="G3844" s="28" t="s">
        <v>441</v>
      </c>
      <c r="H3844" s="28" t="s">
        <v>771</v>
      </c>
      <c r="I3844" s="29" t="n">
        <v>50000</v>
      </c>
      <c r="J3844" s="29" t="n">
        <v>42500</v>
      </c>
      <c r="K3844" s="28" t="n">
        <v>10.75</v>
      </c>
      <c r="L3844" s="28" t="n">
        <v>120</v>
      </c>
      <c r="M3844" s="28" t="n">
        <v>1</v>
      </c>
    </row>
    <row r="3845" customFormat="false" ht="15" hidden="false" customHeight="false" outlineLevel="0" collapsed="false">
      <c r="A3845" s="27" t="n">
        <v>45580</v>
      </c>
      <c r="B3845" s="28" t="n">
        <v>2025</v>
      </c>
      <c r="C3845" s="28" t="s">
        <v>160</v>
      </c>
      <c r="D3845" s="28" t="s">
        <v>50</v>
      </c>
      <c r="E3845" s="28" t="s">
        <v>174</v>
      </c>
      <c r="F3845" s="28" t="s">
        <v>147</v>
      </c>
      <c r="G3845" s="28" t="s">
        <v>148</v>
      </c>
      <c r="H3845" s="28" t="s">
        <v>159</v>
      </c>
      <c r="I3845" s="29" t="n">
        <v>500000</v>
      </c>
      <c r="J3845" s="29" t="n">
        <v>250000</v>
      </c>
      <c r="K3845" s="28" t="n">
        <v>9.75</v>
      </c>
      <c r="L3845" s="28" t="n">
        <v>120</v>
      </c>
      <c r="M3845" s="28" t="n">
        <v>0</v>
      </c>
    </row>
    <row r="3846" customFormat="false" ht="15" hidden="false" customHeight="false" outlineLevel="0" collapsed="false">
      <c r="A3846" s="27" t="n">
        <v>45581</v>
      </c>
      <c r="B3846" s="28" t="n">
        <v>2025</v>
      </c>
      <c r="C3846" s="28" t="s">
        <v>154</v>
      </c>
      <c r="D3846" s="28" t="s">
        <v>44</v>
      </c>
      <c r="E3846" s="28" t="s">
        <v>783</v>
      </c>
      <c r="F3846" s="28" t="s">
        <v>142</v>
      </c>
      <c r="G3846" s="28" t="s">
        <v>148</v>
      </c>
      <c r="H3846" s="28" t="s">
        <v>275</v>
      </c>
      <c r="I3846" s="29" t="n">
        <v>18000</v>
      </c>
      <c r="J3846" s="29" t="n">
        <v>15300</v>
      </c>
      <c r="K3846" s="28" t="n">
        <v>14.5</v>
      </c>
      <c r="L3846" s="28" t="n">
        <v>120</v>
      </c>
      <c r="M3846" s="28" t="n">
        <v>2</v>
      </c>
    </row>
    <row r="3847" customFormat="false" ht="15" hidden="false" customHeight="false" outlineLevel="0" collapsed="false">
      <c r="A3847" s="27" t="n">
        <v>45581</v>
      </c>
      <c r="B3847" s="28" t="n">
        <v>2025</v>
      </c>
      <c r="C3847" s="28" t="s">
        <v>560</v>
      </c>
      <c r="D3847" s="28" t="s">
        <v>45</v>
      </c>
      <c r="E3847" s="28" t="s">
        <v>835</v>
      </c>
      <c r="F3847" s="28" t="s">
        <v>142</v>
      </c>
      <c r="G3847" s="28" t="s">
        <v>143</v>
      </c>
      <c r="H3847" s="28" t="s">
        <v>211</v>
      </c>
      <c r="I3847" s="29" t="n">
        <v>195000</v>
      </c>
      <c r="J3847" s="29" t="n">
        <v>146250</v>
      </c>
      <c r="K3847" s="28" t="n">
        <v>10.75</v>
      </c>
      <c r="L3847" s="28" t="n">
        <v>120</v>
      </c>
      <c r="M3847" s="28" t="n">
        <v>5</v>
      </c>
    </row>
    <row r="3848" customFormat="false" ht="15" hidden="false" customHeight="false" outlineLevel="0" collapsed="false">
      <c r="A3848" s="27" t="n">
        <v>45581</v>
      </c>
      <c r="B3848" s="28" t="n">
        <v>2025</v>
      </c>
      <c r="C3848" s="28" t="s">
        <v>560</v>
      </c>
      <c r="D3848" s="28" t="s">
        <v>45</v>
      </c>
      <c r="E3848" s="28" t="s">
        <v>835</v>
      </c>
      <c r="F3848" s="28" t="s">
        <v>147</v>
      </c>
      <c r="G3848" s="28" t="s">
        <v>143</v>
      </c>
      <c r="H3848" s="28" t="s">
        <v>211</v>
      </c>
      <c r="I3848" s="29" t="n">
        <v>20000</v>
      </c>
      <c r="J3848" s="29" t="n">
        <v>10000</v>
      </c>
      <c r="K3848" s="28" t="n">
        <v>10.75</v>
      </c>
      <c r="L3848" s="28" t="n">
        <v>120</v>
      </c>
      <c r="M3848" s="28" t="n">
        <v>5</v>
      </c>
    </row>
    <row r="3849" customFormat="false" ht="15" hidden="false" customHeight="false" outlineLevel="0" collapsed="false">
      <c r="A3849" s="27" t="n">
        <v>45582</v>
      </c>
      <c r="B3849" s="28" t="n">
        <v>2025</v>
      </c>
      <c r="C3849" s="28" t="s">
        <v>272</v>
      </c>
      <c r="D3849" s="28" t="s">
        <v>51</v>
      </c>
      <c r="E3849" s="28" t="s">
        <v>779</v>
      </c>
      <c r="F3849" s="28" t="s">
        <v>142</v>
      </c>
      <c r="G3849" s="28" t="s">
        <v>148</v>
      </c>
      <c r="H3849" s="28" t="s">
        <v>771</v>
      </c>
      <c r="I3849" s="29" t="n">
        <v>74600</v>
      </c>
      <c r="J3849" s="29" t="n">
        <v>63410</v>
      </c>
      <c r="K3849" s="28" t="n">
        <v>10.75</v>
      </c>
      <c r="L3849" s="28" t="n">
        <v>120</v>
      </c>
      <c r="M3849" s="28" t="n">
        <v>1</v>
      </c>
    </row>
    <row r="3850" customFormat="false" ht="15" hidden="false" customHeight="false" outlineLevel="0" collapsed="false">
      <c r="A3850" s="27" t="n">
        <v>45583</v>
      </c>
      <c r="B3850" s="28" t="n">
        <v>2025</v>
      </c>
      <c r="C3850" s="28" t="s">
        <v>196</v>
      </c>
      <c r="D3850" s="28" t="s">
        <v>53</v>
      </c>
      <c r="E3850" s="28" t="s">
        <v>1102</v>
      </c>
      <c r="F3850" s="28" t="s">
        <v>142</v>
      </c>
      <c r="G3850" s="28" t="s">
        <v>156</v>
      </c>
      <c r="H3850" s="28" t="s">
        <v>275</v>
      </c>
      <c r="I3850" s="29" t="n">
        <v>50000</v>
      </c>
      <c r="J3850" s="29" t="n">
        <v>42500</v>
      </c>
      <c r="K3850" s="28" t="n">
        <v>14.5</v>
      </c>
      <c r="L3850" s="28" t="n">
        <v>120</v>
      </c>
      <c r="M3850" s="28" t="n">
        <v>2</v>
      </c>
    </row>
    <row r="3851" customFormat="false" ht="15" hidden="false" customHeight="false" outlineLevel="0" collapsed="false">
      <c r="A3851" s="27" t="n">
        <v>45583</v>
      </c>
      <c r="B3851" s="28" t="n">
        <v>2025</v>
      </c>
      <c r="C3851" s="28" t="s">
        <v>344</v>
      </c>
      <c r="D3851" s="28" t="s">
        <v>50</v>
      </c>
      <c r="E3851" s="28" t="s">
        <v>754</v>
      </c>
      <c r="F3851" s="28" t="s">
        <v>142</v>
      </c>
      <c r="G3851" s="28" t="s">
        <v>148</v>
      </c>
      <c r="H3851" s="28" t="s">
        <v>771</v>
      </c>
      <c r="I3851" s="29" t="n">
        <v>30000</v>
      </c>
      <c r="J3851" s="29" t="n">
        <v>25500</v>
      </c>
      <c r="K3851" s="28" t="n">
        <v>10.75</v>
      </c>
      <c r="L3851" s="28" t="n">
        <v>120</v>
      </c>
      <c r="M3851" s="28" t="n">
        <v>2</v>
      </c>
    </row>
    <row r="3852" customFormat="false" ht="15" hidden="false" customHeight="false" outlineLevel="0" collapsed="false">
      <c r="A3852" s="27" t="n">
        <v>45583</v>
      </c>
      <c r="B3852" s="28" t="n">
        <v>2025</v>
      </c>
      <c r="C3852" s="28" t="s">
        <v>172</v>
      </c>
      <c r="D3852" s="28" t="s">
        <v>43</v>
      </c>
      <c r="E3852" s="28" t="s">
        <v>916</v>
      </c>
      <c r="F3852" s="28" t="s">
        <v>147</v>
      </c>
      <c r="G3852" s="28" t="s">
        <v>441</v>
      </c>
      <c r="H3852" s="28" t="s">
        <v>428</v>
      </c>
      <c r="I3852" s="29" t="n">
        <v>70000</v>
      </c>
      <c r="J3852" s="29" t="n">
        <v>35000</v>
      </c>
      <c r="K3852" s="28" t="n">
        <v>14.5</v>
      </c>
      <c r="L3852" s="28" t="n">
        <v>120</v>
      </c>
      <c r="M3852" s="28" t="n">
        <v>1</v>
      </c>
    </row>
    <row r="3853" customFormat="false" ht="15" hidden="false" customHeight="false" outlineLevel="0" collapsed="false">
      <c r="A3853" s="27" t="n">
        <v>45584</v>
      </c>
      <c r="B3853" s="28" t="n">
        <v>2025</v>
      </c>
      <c r="C3853" s="28" t="s">
        <v>198</v>
      </c>
      <c r="D3853" s="28" t="s">
        <v>48</v>
      </c>
      <c r="E3853" s="28" t="s">
        <v>210</v>
      </c>
      <c r="F3853" s="28" t="s">
        <v>147</v>
      </c>
      <c r="G3853" s="28" t="s">
        <v>148</v>
      </c>
      <c r="H3853" s="28" t="s">
        <v>229</v>
      </c>
      <c r="I3853" s="29" t="n">
        <v>250000</v>
      </c>
      <c r="J3853" s="29" t="n">
        <v>125000</v>
      </c>
      <c r="K3853" s="28" t="n">
        <v>10.75</v>
      </c>
      <c r="L3853" s="28" t="n">
        <v>120</v>
      </c>
      <c r="M3853" s="28" t="n">
        <v>6</v>
      </c>
    </row>
    <row r="3854" customFormat="false" ht="15" hidden="false" customHeight="false" outlineLevel="0" collapsed="false">
      <c r="A3854" s="27" t="n">
        <v>45584</v>
      </c>
      <c r="B3854" s="28" t="n">
        <v>2025</v>
      </c>
      <c r="C3854" s="28" t="s">
        <v>140</v>
      </c>
      <c r="D3854" s="28" t="s">
        <v>48</v>
      </c>
      <c r="E3854" s="28" t="s">
        <v>767</v>
      </c>
      <c r="F3854" s="28" t="s">
        <v>147</v>
      </c>
      <c r="G3854" s="28" t="s">
        <v>441</v>
      </c>
      <c r="H3854" s="28" t="s">
        <v>168</v>
      </c>
      <c r="I3854" s="29" t="n">
        <v>15000</v>
      </c>
      <c r="J3854" s="29" t="n">
        <v>7500</v>
      </c>
      <c r="K3854" s="28" t="n">
        <v>13.5</v>
      </c>
      <c r="L3854" s="28" t="n">
        <v>120</v>
      </c>
      <c r="M3854" s="28" t="n">
        <v>0</v>
      </c>
    </row>
    <row r="3855" customFormat="false" ht="15" hidden="false" customHeight="false" outlineLevel="0" collapsed="false">
      <c r="A3855" s="27" t="n">
        <v>45586</v>
      </c>
      <c r="B3855" s="28" t="n">
        <v>2025</v>
      </c>
      <c r="C3855" s="28" t="s">
        <v>312</v>
      </c>
      <c r="D3855" s="28" t="s">
        <v>44</v>
      </c>
      <c r="E3855" s="28" t="s">
        <v>730</v>
      </c>
      <c r="F3855" s="28" t="s">
        <v>142</v>
      </c>
      <c r="G3855" s="28" t="s">
        <v>152</v>
      </c>
      <c r="H3855" s="28" t="s">
        <v>314</v>
      </c>
      <c r="I3855" s="29" t="n">
        <v>692000</v>
      </c>
      <c r="J3855" s="29" t="n">
        <v>519000</v>
      </c>
      <c r="K3855" s="28" t="n">
        <v>10</v>
      </c>
      <c r="L3855" s="28" t="n">
        <v>120</v>
      </c>
      <c r="M3855" s="28" t="n">
        <v>22</v>
      </c>
    </row>
    <row r="3856" customFormat="false" ht="15" hidden="false" customHeight="false" outlineLevel="0" collapsed="false">
      <c r="A3856" s="27" t="n">
        <v>45587</v>
      </c>
      <c r="B3856" s="28" t="n">
        <v>2025</v>
      </c>
      <c r="C3856" s="28" t="s">
        <v>484</v>
      </c>
      <c r="D3856" s="28" t="s">
        <v>47</v>
      </c>
      <c r="E3856" s="28" t="s">
        <v>1103</v>
      </c>
      <c r="F3856" s="28" t="s">
        <v>142</v>
      </c>
      <c r="G3856" s="28" t="s">
        <v>148</v>
      </c>
      <c r="H3856" s="28" t="s">
        <v>208</v>
      </c>
      <c r="I3856" s="29" t="n">
        <v>100000</v>
      </c>
      <c r="J3856" s="29" t="n">
        <v>85000</v>
      </c>
      <c r="K3856" s="28" t="n">
        <v>10.75</v>
      </c>
      <c r="L3856" s="28" t="n">
        <v>120</v>
      </c>
      <c r="M3856" s="28" t="n">
        <v>0</v>
      </c>
    </row>
    <row r="3857" customFormat="false" ht="15" hidden="false" customHeight="false" outlineLevel="0" collapsed="false">
      <c r="A3857" s="27" t="n">
        <v>45587</v>
      </c>
      <c r="B3857" s="28" t="n">
        <v>2025</v>
      </c>
      <c r="C3857" s="28" t="s">
        <v>172</v>
      </c>
      <c r="D3857" s="28" t="s">
        <v>48</v>
      </c>
      <c r="E3857" s="28" t="s">
        <v>765</v>
      </c>
      <c r="F3857" s="28" t="s">
        <v>147</v>
      </c>
      <c r="G3857" s="28" t="s">
        <v>148</v>
      </c>
      <c r="H3857" s="28" t="s">
        <v>205</v>
      </c>
      <c r="I3857" s="29" t="n">
        <v>150000</v>
      </c>
      <c r="J3857" s="29" t="n">
        <v>75000</v>
      </c>
      <c r="K3857" s="28" t="n">
        <v>11</v>
      </c>
      <c r="L3857" s="28" t="n">
        <v>120</v>
      </c>
      <c r="M3857" s="28" t="n">
        <v>3</v>
      </c>
    </row>
    <row r="3858" customFormat="false" ht="15" hidden="false" customHeight="false" outlineLevel="0" collapsed="false">
      <c r="A3858" s="27" t="n">
        <v>45587</v>
      </c>
      <c r="B3858" s="28" t="n">
        <v>2025</v>
      </c>
      <c r="C3858" s="28" t="s">
        <v>213</v>
      </c>
      <c r="D3858" s="28" t="s">
        <v>54</v>
      </c>
      <c r="E3858" s="28" t="s">
        <v>791</v>
      </c>
      <c r="F3858" s="28" t="s">
        <v>142</v>
      </c>
      <c r="G3858" s="28" t="s">
        <v>143</v>
      </c>
      <c r="H3858" s="28" t="s">
        <v>374</v>
      </c>
      <c r="I3858" s="29" t="n">
        <v>365000</v>
      </c>
      <c r="J3858" s="29" t="n">
        <v>273750</v>
      </c>
      <c r="K3858" s="28" t="n">
        <v>10.5</v>
      </c>
      <c r="L3858" s="28" t="n">
        <v>120</v>
      </c>
      <c r="M3858" s="28" t="n">
        <v>3</v>
      </c>
    </row>
    <row r="3859" customFormat="false" ht="15" hidden="false" customHeight="false" outlineLevel="0" collapsed="false">
      <c r="A3859" s="27" t="n">
        <v>45587</v>
      </c>
      <c r="B3859" s="28" t="n">
        <v>2025</v>
      </c>
      <c r="C3859" s="28" t="s">
        <v>169</v>
      </c>
      <c r="D3859" s="28" t="s">
        <v>46</v>
      </c>
      <c r="E3859" s="28" t="s">
        <v>746</v>
      </c>
      <c r="F3859" s="28" t="s">
        <v>142</v>
      </c>
      <c r="G3859" s="28" t="s">
        <v>148</v>
      </c>
      <c r="H3859" s="28" t="s">
        <v>275</v>
      </c>
      <c r="I3859" s="29" t="n">
        <v>43000</v>
      </c>
      <c r="J3859" s="29" t="n">
        <v>36550</v>
      </c>
      <c r="K3859" s="28" t="n">
        <v>14.5</v>
      </c>
      <c r="L3859" s="28" t="n">
        <v>120</v>
      </c>
      <c r="M3859" s="28" t="n">
        <v>5</v>
      </c>
    </row>
    <row r="3860" customFormat="false" ht="15" hidden="false" customHeight="false" outlineLevel="0" collapsed="false">
      <c r="A3860" s="27" t="n">
        <v>45587</v>
      </c>
      <c r="B3860" s="28" t="n">
        <v>2025</v>
      </c>
      <c r="C3860" s="28" t="s">
        <v>154</v>
      </c>
      <c r="D3860" s="28" t="s">
        <v>48</v>
      </c>
      <c r="E3860" s="28" t="s">
        <v>277</v>
      </c>
      <c r="F3860" s="28" t="s">
        <v>147</v>
      </c>
      <c r="G3860" s="28" t="s">
        <v>148</v>
      </c>
      <c r="H3860" s="28" t="s">
        <v>799</v>
      </c>
      <c r="I3860" s="29" t="n">
        <v>150000</v>
      </c>
      <c r="J3860" s="29" t="n">
        <v>75000</v>
      </c>
      <c r="K3860" s="28" t="n">
        <v>10.5</v>
      </c>
      <c r="L3860" s="28" t="n">
        <v>120</v>
      </c>
      <c r="M3860" s="28" t="n">
        <v>13</v>
      </c>
    </row>
    <row r="3861" customFormat="false" ht="15" hidden="false" customHeight="false" outlineLevel="0" collapsed="false">
      <c r="A3861" s="27" t="n">
        <v>45587</v>
      </c>
      <c r="B3861" s="28" t="n">
        <v>2025</v>
      </c>
      <c r="C3861" s="28" t="s">
        <v>169</v>
      </c>
      <c r="D3861" s="28" t="s">
        <v>51</v>
      </c>
      <c r="E3861" s="28" t="s">
        <v>1104</v>
      </c>
      <c r="F3861" s="28" t="s">
        <v>142</v>
      </c>
      <c r="G3861" s="28" t="s">
        <v>143</v>
      </c>
      <c r="H3861" s="28" t="s">
        <v>168</v>
      </c>
      <c r="I3861" s="29" t="n">
        <v>671700</v>
      </c>
      <c r="J3861" s="29" t="n">
        <v>503775</v>
      </c>
      <c r="K3861" s="28" t="n">
        <v>7.92</v>
      </c>
      <c r="L3861" s="28" t="n">
        <v>126</v>
      </c>
      <c r="M3861" s="28" t="n">
        <v>6</v>
      </c>
    </row>
    <row r="3862" customFormat="false" ht="15" hidden="false" customHeight="false" outlineLevel="0" collapsed="false">
      <c r="A3862" s="27" t="n">
        <v>45587</v>
      </c>
      <c r="B3862" s="28" t="n">
        <v>2025</v>
      </c>
      <c r="C3862" s="28" t="s">
        <v>206</v>
      </c>
      <c r="D3862" s="28" t="s">
        <v>43</v>
      </c>
      <c r="E3862" s="28" t="s">
        <v>1105</v>
      </c>
      <c r="F3862" s="28" t="s">
        <v>147</v>
      </c>
      <c r="G3862" s="28" t="s">
        <v>441</v>
      </c>
      <c r="H3862" s="28" t="s">
        <v>205</v>
      </c>
      <c r="I3862" s="29" t="n">
        <v>25000</v>
      </c>
      <c r="J3862" s="29" t="n">
        <v>12500</v>
      </c>
      <c r="K3862" s="28" t="n">
        <v>11</v>
      </c>
      <c r="L3862" s="28" t="n">
        <v>120</v>
      </c>
      <c r="M3862" s="28" t="n">
        <v>2</v>
      </c>
    </row>
    <row r="3863" customFormat="false" ht="15" hidden="false" customHeight="false" outlineLevel="0" collapsed="false">
      <c r="A3863" s="27" t="n">
        <v>45588</v>
      </c>
      <c r="B3863" s="28" t="n">
        <v>2025</v>
      </c>
      <c r="C3863" s="28" t="s">
        <v>303</v>
      </c>
      <c r="D3863" s="28" t="s">
        <v>44</v>
      </c>
      <c r="E3863" s="28" t="s">
        <v>783</v>
      </c>
      <c r="F3863" s="28" t="s">
        <v>142</v>
      </c>
      <c r="G3863" s="28" t="s">
        <v>148</v>
      </c>
      <c r="H3863" s="28" t="s">
        <v>159</v>
      </c>
      <c r="I3863" s="29" t="n">
        <v>30000</v>
      </c>
      <c r="J3863" s="29" t="n">
        <v>25500</v>
      </c>
      <c r="K3863" s="28" t="n">
        <v>11.74</v>
      </c>
      <c r="L3863" s="28" t="n">
        <v>60</v>
      </c>
      <c r="M3863" s="28" t="n">
        <v>2</v>
      </c>
    </row>
    <row r="3864" customFormat="false" ht="15" hidden="false" customHeight="false" outlineLevel="0" collapsed="false">
      <c r="A3864" s="27" t="n">
        <v>45588</v>
      </c>
      <c r="B3864" s="28" t="n">
        <v>2025</v>
      </c>
      <c r="C3864" s="28" t="s">
        <v>169</v>
      </c>
      <c r="D3864" s="28" t="s">
        <v>48</v>
      </c>
      <c r="E3864" s="28" t="s">
        <v>736</v>
      </c>
      <c r="F3864" s="28" t="s">
        <v>147</v>
      </c>
      <c r="G3864" s="28" t="s">
        <v>148</v>
      </c>
      <c r="H3864" s="28" t="s">
        <v>428</v>
      </c>
      <c r="I3864" s="29" t="n">
        <v>440000</v>
      </c>
      <c r="J3864" s="29" t="n">
        <v>220000</v>
      </c>
      <c r="K3864" s="28" t="n">
        <v>9.5</v>
      </c>
      <c r="L3864" s="28" t="n">
        <v>120</v>
      </c>
      <c r="M3864" s="28" t="n">
        <v>5</v>
      </c>
    </row>
    <row r="3865" customFormat="false" ht="15" hidden="false" customHeight="false" outlineLevel="0" collapsed="false">
      <c r="A3865" s="27" t="n">
        <v>45588</v>
      </c>
      <c r="B3865" s="28" t="n">
        <v>2025</v>
      </c>
      <c r="C3865" s="28" t="s">
        <v>172</v>
      </c>
      <c r="D3865" s="28" t="s">
        <v>47</v>
      </c>
      <c r="E3865" s="28" t="s">
        <v>1106</v>
      </c>
      <c r="F3865" s="28" t="s">
        <v>194</v>
      </c>
      <c r="G3865" s="28" t="s">
        <v>152</v>
      </c>
      <c r="H3865" s="28" t="s">
        <v>1031</v>
      </c>
      <c r="I3865" s="29" t="n">
        <v>230000</v>
      </c>
      <c r="J3865" s="29" t="n">
        <v>172500</v>
      </c>
      <c r="K3865" s="28" t="n">
        <v>10.25</v>
      </c>
      <c r="L3865" s="28" t="n">
        <v>120</v>
      </c>
      <c r="M3865" s="28" t="n">
        <v>3</v>
      </c>
    </row>
    <row r="3866" customFormat="false" ht="15" hidden="false" customHeight="false" outlineLevel="0" collapsed="false">
      <c r="A3866" s="27" t="n">
        <v>45588</v>
      </c>
      <c r="B3866" s="28" t="n">
        <v>2025</v>
      </c>
      <c r="C3866" s="28" t="s">
        <v>166</v>
      </c>
      <c r="D3866" s="28" t="s">
        <v>44</v>
      </c>
      <c r="E3866" s="28" t="s">
        <v>863</v>
      </c>
      <c r="F3866" s="28" t="s">
        <v>142</v>
      </c>
      <c r="G3866" s="28" t="s">
        <v>143</v>
      </c>
      <c r="H3866" s="28" t="s">
        <v>372</v>
      </c>
      <c r="I3866" s="29" t="n">
        <v>148500</v>
      </c>
      <c r="J3866" s="29" t="n">
        <v>126225</v>
      </c>
      <c r="K3866" s="28" t="n">
        <v>11</v>
      </c>
      <c r="L3866" s="28" t="n">
        <v>120</v>
      </c>
      <c r="M3866" s="28" t="n">
        <v>4</v>
      </c>
    </row>
    <row r="3867" customFormat="false" ht="15" hidden="false" customHeight="false" outlineLevel="0" collapsed="false">
      <c r="A3867" s="27" t="n">
        <v>45589</v>
      </c>
      <c r="B3867" s="28" t="n">
        <v>2025</v>
      </c>
      <c r="C3867" s="28" t="s">
        <v>160</v>
      </c>
      <c r="D3867" s="28" t="s">
        <v>46</v>
      </c>
      <c r="E3867" s="28" t="s">
        <v>719</v>
      </c>
      <c r="F3867" s="28" t="s">
        <v>194</v>
      </c>
      <c r="G3867" s="28" t="s">
        <v>148</v>
      </c>
      <c r="H3867" s="28" t="s">
        <v>799</v>
      </c>
      <c r="I3867" s="29" t="n">
        <v>960000</v>
      </c>
      <c r="J3867" s="29" t="n">
        <v>720000</v>
      </c>
      <c r="K3867" s="28" t="n">
        <v>11.25</v>
      </c>
      <c r="L3867" s="28" t="n">
        <v>120</v>
      </c>
      <c r="M3867" s="28" t="n">
        <v>147</v>
      </c>
    </row>
    <row r="3868" customFormat="false" ht="15" hidden="false" customHeight="false" outlineLevel="0" collapsed="false">
      <c r="A3868" s="27" t="n">
        <v>45589</v>
      </c>
      <c r="B3868" s="28" t="n">
        <v>2025</v>
      </c>
      <c r="C3868" s="28" t="s">
        <v>201</v>
      </c>
      <c r="D3868" s="28" t="s">
        <v>50</v>
      </c>
      <c r="E3868" s="28" t="s">
        <v>1082</v>
      </c>
      <c r="F3868" s="28" t="s">
        <v>142</v>
      </c>
      <c r="G3868" s="28" t="s">
        <v>143</v>
      </c>
      <c r="H3868" s="28" t="s">
        <v>211</v>
      </c>
      <c r="I3868" s="29" t="n">
        <v>936000</v>
      </c>
      <c r="J3868" s="29" t="n">
        <v>702000</v>
      </c>
      <c r="K3868" s="28" t="n">
        <v>10.5</v>
      </c>
      <c r="L3868" s="28" t="n">
        <v>132</v>
      </c>
      <c r="M3868" s="28" t="n">
        <v>8</v>
      </c>
    </row>
    <row r="3869" customFormat="false" ht="15" hidden="false" customHeight="false" outlineLevel="0" collapsed="false">
      <c r="A3869" s="27" t="n">
        <v>45589</v>
      </c>
      <c r="B3869" s="28" t="n">
        <v>2025</v>
      </c>
      <c r="C3869" s="28" t="s">
        <v>201</v>
      </c>
      <c r="D3869" s="28" t="s">
        <v>50</v>
      </c>
      <c r="E3869" s="28" t="s">
        <v>1082</v>
      </c>
      <c r="F3869" s="28" t="s">
        <v>147</v>
      </c>
      <c r="G3869" s="28" t="s">
        <v>143</v>
      </c>
      <c r="H3869" s="28" t="s">
        <v>211</v>
      </c>
      <c r="I3869" s="29" t="n">
        <v>50000</v>
      </c>
      <c r="J3869" s="29" t="n">
        <v>25000</v>
      </c>
      <c r="K3869" s="28" t="n">
        <v>10.5</v>
      </c>
      <c r="L3869" s="28" t="n">
        <v>120</v>
      </c>
      <c r="M3869" s="28" t="n">
        <v>8</v>
      </c>
    </row>
    <row r="3870" customFormat="false" ht="15" hidden="false" customHeight="false" outlineLevel="0" collapsed="false">
      <c r="A3870" s="27" t="n">
        <v>45590</v>
      </c>
      <c r="B3870" s="28" t="n">
        <v>2025</v>
      </c>
      <c r="C3870" s="28" t="s">
        <v>198</v>
      </c>
      <c r="D3870" s="28" t="s">
        <v>42</v>
      </c>
      <c r="E3870" s="28" t="s">
        <v>717</v>
      </c>
      <c r="F3870" s="28" t="s">
        <v>147</v>
      </c>
      <c r="G3870" s="28" t="s">
        <v>148</v>
      </c>
      <c r="H3870" s="28" t="s">
        <v>159</v>
      </c>
      <c r="I3870" s="29" t="n">
        <v>200000</v>
      </c>
      <c r="J3870" s="29" t="n">
        <v>100000</v>
      </c>
      <c r="K3870" s="28" t="n">
        <v>10.5</v>
      </c>
      <c r="L3870" s="28" t="n">
        <v>84</v>
      </c>
      <c r="M3870" s="28" t="n">
        <v>1</v>
      </c>
    </row>
    <row r="3871" customFormat="false" ht="15" hidden="false" customHeight="false" outlineLevel="0" collapsed="false">
      <c r="A3871" s="27" t="n">
        <v>45590</v>
      </c>
      <c r="B3871" s="28" t="n">
        <v>2025</v>
      </c>
      <c r="C3871" s="28" t="s">
        <v>198</v>
      </c>
      <c r="D3871" s="28" t="s">
        <v>42</v>
      </c>
      <c r="E3871" s="28" t="s">
        <v>717</v>
      </c>
      <c r="F3871" s="28" t="s">
        <v>147</v>
      </c>
      <c r="G3871" s="28" t="s">
        <v>148</v>
      </c>
      <c r="H3871" s="28" t="s">
        <v>159</v>
      </c>
      <c r="I3871" s="29" t="n">
        <v>50000</v>
      </c>
      <c r="J3871" s="29" t="n">
        <v>25000</v>
      </c>
      <c r="K3871" s="28" t="n">
        <v>14.5</v>
      </c>
      <c r="L3871" s="28" t="n">
        <v>120</v>
      </c>
      <c r="M3871" s="28" t="n">
        <v>1</v>
      </c>
    </row>
    <row r="3872" customFormat="false" ht="15" hidden="false" customHeight="false" outlineLevel="0" collapsed="false">
      <c r="A3872" s="27" t="n">
        <v>45590</v>
      </c>
      <c r="B3872" s="28" t="n">
        <v>2025</v>
      </c>
      <c r="C3872" s="28" t="s">
        <v>198</v>
      </c>
      <c r="D3872" s="28" t="s">
        <v>42</v>
      </c>
      <c r="E3872" s="28" t="s">
        <v>753</v>
      </c>
      <c r="F3872" s="28" t="s">
        <v>142</v>
      </c>
      <c r="G3872" s="28" t="s">
        <v>148</v>
      </c>
      <c r="H3872" s="28" t="s">
        <v>168</v>
      </c>
      <c r="I3872" s="29" t="n">
        <v>648000</v>
      </c>
      <c r="J3872" s="29" t="n">
        <v>486000</v>
      </c>
      <c r="K3872" s="28" t="n">
        <v>7.65</v>
      </c>
      <c r="L3872" s="28" t="n">
        <v>300</v>
      </c>
      <c r="M3872" s="28" t="n">
        <v>10</v>
      </c>
    </row>
    <row r="3873" customFormat="false" ht="15" hidden="false" customHeight="false" outlineLevel="0" collapsed="false">
      <c r="A3873" s="27" t="n">
        <v>45590</v>
      </c>
      <c r="B3873" s="28" t="n">
        <v>2025</v>
      </c>
      <c r="C3873" s="28" t="s">
        <v>169</v>
      </c>
      <c r="D3873" s="28" t="s">
        <v>53</v>
      </c>
      <c r="E3873" s="28" t="s">
        <v>383</v>
      </c>
      <c r="F3873" s="28" t="s">
        <v>142</v>
      </c>
      <c r="G3873" s="28" t="s">
        <v>148</v>
      </c>
      <c r="H3873" s="28" t="s">
        <v>275</v>
      </c>
      <c r="I3873" s="29" t="n">
        <v>50000</v>
      </c>
      <c r="J3873" s="29" t="n">
        <v>42500</v>
      </c>
      <c r="K3873" s="28" t="n">
        <v>14.5</v>
      </c>
      <c r="L3873" s="28" t="n">
        <v>120</v>
      </c>
      <c r="M3873" s="28" t="n">
        <v>7</v>
      </c>
    </row>
    <row r="3874" customFormat="false" ht="15" hidden="false" customHeight="false" outlineLevel="0" collapsed="false">
      <c r="A3874" s="27" t="n">
        <v>45593</v>
      </c>
      <c r="B3874" s="28" t="n">
        <v>2025</v>
      </c>
      <c r="C3874" s="28" t="s">
        <v>172</v>
      </c>
      <c r="D3874" s="28" t="s">
        <v>44</v>
      </c>
      <c r="E3874" s="28" t="s">
        <v>863</v>
      </c>
      <c r="F3874" s="28" t="s">
        <v>147</v>
      </c>
      <c r="G3874" s="28" t="s">
        <v>148</v>
      </c>
      <c r="H3874" s="28" t="s">
        <v>159</v>
      </c>
      <c r="I3874" s="29" t="n">
        <v>15000</v>
      </c>
      <c r="J3874" s="29" t="n">
        <v>7500</v>
      </c>
      <c r="K3874" s="28" t="n">
        <v>14.5</v>
      </c>
      <c r="L3874" s="28" t="n">
        <v>120</v>
      </c>
      <c r="M3874" s="28" t="n">
        <v>0</v>
      </c>
    </row>
    <row r="3875" customFormat="false" ht="15" hidden="false" customHeight="false" outlineLevel="0" collapsed="false">
      <c r="A3875" s="27" t="n">
        <v>45593</v>
      </c>
      <c r="B3875" s="28" t="n">
        <v>2025</v>
      </c>
      <c r="C3875" s="28" t="s">
        <v>172</v>
      </c>
      <c r="D3875" s="28" t="s">
        <v>57</v>
      </c>
      <c r="E3875" s="28" t="s">
        <v>985</v>
      </c>
      <c r="F3875" s="28" t="s">
        <v>142</v>
      </c>
      <c r="G3875" s="28" t="s">
        <v>148</v>
      </c>
      <c r="H3875" s="28" t="s">
        <v>191</v>
      </c>
      <c r="I3875" s="29" t="n">
        <v>441000</v>
      </c>
      <c r="J3875" s="29" t="n">
        <v>330750</v>
      </c>
      <c r="K3875" s="28" t="n">
        <v>7.92</v>
      </c>
      <c r="L3875" s="28" t="n">
        <v>300</v>
      </c>
      <c r="M3875" s="28" t="n">
        <v>0</v>
      </c>
    </row>
    <row r="3876" customFormat="false" ht="15" hidden="false" customHeight="false" outlineLevel="0" collapsed="false">
      <c r="A3876" s="27" t="n">
        <v>45593</v>
      </c>
      <c r="B3876" s="28" t="n">
        <v>2025</v>
      </c>
      <c r="C3876" s="28" t="s">
        <v>172</v>
      </c>
      <c r="D3876" s="28" t="s">
        <v>50</v>
      </c>
      <c r="E3876" s="28" t="s">
        <v>724</v>
      </c>
      <c r="F3876" s="28" t="s">
        <v>142</v>
      </c>
      <c r="G3876" s="28" t="s">
        <v>148</v>
      </c>
      <c r="H3876" s="28" t="s">
        <v>953</v>
      </c>
      <c r="I3876" s="29" t="n">
        <v>167000</v>
      </c>
      <c r="J3876" s="29" t="n">
        <v>141950</v>
      </c>
      <c r="K3876" s="28" t="n">
        <v>11</v>
      </c>
      <c r="L3876" s="28" t="n">
        <v>120</v>
      </c>
      <c r="M3876" s="28" t="n">
        <v>18</v>
      </c>
    </row>
    <row r="3877" customFormat="false" ht="15" hidden="false" customHeight="false" outlineLevel="0" collapsed="false">
      <c r="A3877" s="27" t="n">
        <v>45593</v>
      </c>
      <c r="B3877" s="28" t="n">
        <v>2025</v>
      </c>
      <c r="C3877" s="28" t="s">
        <v>172</v>
      </c>
      <c r="D3877" s="28" t="s">
        <v>48</v>
      </c>
      <c r="E3877" s="28" t="s">
        <v>210</v>
      </c>
      <c r="F3877" s="28" t="s">
        <v>142</v>
      </c>
      <c r="G3877" s="28" t="s">
        <v>148</v>
      </c>
      <c r="H3877" s="28" t="s">
        <v>579</v>
      </c>
      <c r="I3877" s="29" t="n">
        <v>150000</v>
      </c>
      <c r="J3877" s="29" t="n">
        <v>127500</v>
      </c>
      <c r="K3877" s="28" t="n">
        <v>11</v>
      </c>
      <c r="L3877" s="28" t="n">
        <v>120</v>
      </c>
      <c r="M3877" s="28" t="n">
        <v>8</v>
      </c>
    </row>
    <row r="3878" customFormat="false" ht="15" hidden="false" customHeight="false" outlineLevel="0" collapsed="false">
      <c r="A3878" s="27" t="n">
        <v>45594</v>
      </c>
      <c r="B3878" s="28" t="n">
        <v>2025</v>
      </c>
      <c r="C3878" s="28" t="s">
        <v>160</v>
      </c>
      <c r="D3878" s="28" t="s">
        <v>43</v>
      </c>
      <c r="E3878" s="28" t="s">
        <v>916</v>
      </c>
      <c r="F3878" s="28" t="s">
        <v>147</v>
      </c>
      <c r="G3878" s="28" t="s">
        <v>148</v>
      </c>
      <c r="H3878" s="28" t="s">
        <v>428</v>
      </c>
      <c r="I3878" s="29" t="n">
        <v>300000</v>
      </c>
      <c r="J3878" s="29" t="n">
        <v>150000</v>
      </c>
      <c r="K3878" s="28" t="n">
        <v>9.5</v>
      </c>
      <c r="L3878" s="28" t="n">
        <v>119</v>
      </c>
      <c r="M3878" s="28" t="n">
        <v>2</v>
      </c>
    </row>
    <row r="3879" customFormat="false" ht="15" hidden="false" customHeight="false" outlineLevel="0" collapsed="false">
      <c r="A3879" s="27" t="n">
        <v>45594</v>
      </c>
      <c r="B3879" s="28" t="n">
        <v>2025</v>
      </c>
      <c r="C3879" s="28" t="s">
        <v>384</v>
      </c>
      <c r="D3879" s="28" t="s">
        <v>42</v>
      </c>
      <c r="E3879" s="28" t="s">
        <v>717</v>
      </c>
      <c r="F3879" s="28" t="s">
        <v>142</v>
      </c>
      <c r="G3879" s="28" t="s">
        <v>148</v>
      </c>
      <c r="H3879" s="28" t="s">
        <v>275</v>
      </c>
      <c r="I3879" s="29" t="n">
        <v>1000000</v>
      </c>
      <c r="J3879" s="29" t="n">
        <v>750000</v>
      </c>
      <c r="K3879" s="28" t="n">
        <v>10.75</v>
      </c>
      <c r="L3879" s="28" t="n">
        <v>120</v>
      </c>
      <c r="M3879" s="28" t="n">
        <v>42</v>
      </c>
    </row>
    <row r="3880" customFormat="false" ht="15" hidden="false" customHeight="false" outlineLevel="0" collapsed="false">
      <c r="A3880" s="27" t="n">
        <v>45594</v>
      </c>
      <c r="B3880" s="28" t="n">
        <v>2025</v>
      </c>
      <c r="C3880" s="28" t="s">
        <v>318</v>
      </c>
      <c r="D3880" s="28" t="s">
        <v>43</v>
      </c>
      <c r="E3880" s="28" t="s">
        <v>837</v>
      </c>
      <c r="F3880" s="28" t="s">
        <v>142</v>
      </c>
      <c r="G3880" s="28" t="s">
        <v>143</v>
      </c>
      <c r="H3880" s="28" t="s">
        <v>287</v>
      </c>
      <c r="I3880" s="29" t="n">
        <v>150000</v>
      </c>
      <c r="J3880" s="29" t="n">
        <v>127500</v>
      </c>
      <c r="K3880" s="28" t="n">
        <v>10.75</v>
      </c>
      <c r="L3880" s="28" t="n">
        <v>120</v>
      </c>
      <c r="M3880" s="28" t="n">
        <v>1</v>
      </c>
    </row>
    <row r="3881" customFormat="false" ht="15" hidden="false" customHeight="false" outlineLevel="0" collapsed="false">
      <c r="A3881" s="27" t="n">
        <v>45594</v>
      </c>
      <c r="B3881" s="28" t="n">
        <v>2025</v>
      </c>
      <c r="C3881" s="28" t="s">
        <v>206</v>
      </c>
      <c r="D3881" s="28" t="s">
        <v>51</v>
      </c>
      <c r="E3881" s="28" t="s">
        <v>779</v>
      </c>
      <c r="F3881" s="28" t="s">
        <v>142</v>
      </c>
      <c r="G3881" s="28" t="s">
        <v>148</v>
      </c>
      <c r="H3881" s="28" t="s">
        <v>168</v>
      </c>
      <c r="I3881" s="29" t="n">
        <v>236900</v>
      </c>
      <c r="J3881" s="29" t="n">
        <v>177675</v>
      </c>
      <c r="K3881" s="28" t="n">
        <v>8.95</v>
      </c>
      <c r="L3881" s="28" t="n">
        <v>84</v>
      </c>
      <c r="M3881" s="28" t="n">
        <v>4</v>
      </c>
    </row>
    <row r="3882" customFormat="false" ht="15" hidden="false" customHeight="false" outlineLevel="0" collapsed="false">
      <c r="A3882" s="27" t="n">
        <v>45595</v>
      </c>
      <c r="B3882" s="28" t="n">
        <v>2025</v>
      </c>
      <c r="C3882" s="28" t="s">
        <v>145</v>
      </c>
      <c r="D3882" s="28" t="s">
        <v>42</v>
      </c>
      <c r="E3882" s="28" t="s">
        <v>717</v>
      </c>
      <c r="F3882" s="28" t="s">
        <v>147</v>
      </c>
      <c r="G3882" s="28" t="s">
        <v>441</v>
      </c>
      <c r="H3882" s="28" t="s">
        <v>168</v>
      </c>
      <c r="I3882" s="29" t="n">
        <v>45000</v>
      </c>
      <c r="J3882" s="29" t="n">
        <v>22500</v>
      </c>
      <c r="K3882" s="28" t="n">
        <v>12.5</v>
      </c>
      <c r="L3882" s="28" t="n">
        <v>120</v>
      </c>
      <c r="M3882" s="28" t="n">
        <v>12</v>
      </c>
    </row>
    <row r="3883" customFormat="false" ht="15" hidden="false" customHeight="false" outlineLevel="0" collapsed="false">
      <c r="A3883" s="27" t="n">
        <v>45595</v>
      </c>
      <c r="B3883" s="28" t="n">
        <v>2025</v>
      </c>
      <c r="C3883" s="28" t="s">
        <v>172</v>
      </c>
      <c r="D3883" s="28" t="s">
        <v>42</v>
      </c>
      <c r="E3883" s="28" t="s">
        <v>705</v>
      </c>
      <c r="F3883" s="28" t="s">
        <v>142</v>
      </c>
      <c r="G3883" s="28" t="s">
        <v>441</v>
      </c>
      <c r="H3883" s="28" t="s">
        <v>771</v>
      </c>
      <c r="I3883" s="29" t="n">
        <v>60000</v>
      </c>
      <c r="J3883" s="29" t="n">
        <v>51000</v>
      </c>
      <c r="K3883" s="28" t="n">
        <v>10.75</v>
      </c>
      <c r="L3883" s="28" t="n">
        <v>120</v>
      </c>
      <c r="M3883" s="28" t="n">
        <v>1</v>
      </c>
    </row>
    <row r="3884" customFormat="false" ht="15" hidden="false" customHeight="false" outlineLevel="0" collapsed="false">
      <c r="A3884" s="27" t="n">
        <v>45595</v>
      </c>
      <c r="B3884" s="28" t="n">
        <v>2025</v>
      </c>
      <c r="C3884" s="28" t="s">
        <v>243</v>
      </c>
      <c r="D3884" s="28" t="s">
        <v>48</v>
      </c>
      <c r="E3884" s="28" t="s">
        <v>277</v>
      </c>
      <c r="F3884" s="28" t="s">
        <v>147</v>
      </c>
      <c r="G3884" s="28" t="s">
        <v>148</v>
      </c>
      <c r="H3884" s="28" t="s">
        <v>162</v>
      </c>
      <c r="I3884" s="29" t="n">
        <v>300000</v>
      </c>
      <c r="J3884" s="29" t="n">
        <v>150000</v>
      </c>
      <c r="K3884" s="28" t="n">
        <v>11</v>
      </c>
      <c r="L3884" s="28" t="n">
        <v>120</v>
      </c>
      <c r="M3884" s="28" t="n">
        <v>8</v>
      </c>
    </row>
    <row r="3885" customFormat="false" ht="15" hidden="false" customHeight="false" outlineLevel="0" collapsed="false">
      <c r="A3885" s="27" t="n">
        <v>45595</v>
      </c>
      <c r="B3885" s="28" t="n">
        <v>2025</v>
      </c>
      <c r="C3885" s="28" t="s">
        <v>344</v>
      </c>
      <c r="D3885" s="28" t="s">
        <v>44</v>
      </c>
      <c r="E3885" s="28" t="s">
        <v>167</v>
      </c>
      <c r="F3885" s="28" t="s">
        <v>142</v>
      </c>
      <c r="G3885" s="28" t="s">
        <v>441</v>
      </c>
      <c r="H3885" s="28" t="s">
        <v>275</v>
      </c>
      <c r="I3885" s="29" t="n">
        <v>340700</v>
      </c>
      <c r="J3885" s="29" t="n">
        <v>255525</v>
      </c>
      <c r="K3885" s="28" t="n">
        <v>10.75</v>
      </c>
      <c r="L3885" s="28" t="n">
        <v>300</v>
      </c>
      <c r="M3885" s="28" t="n">
        <v>3</v>
      </c>
    </row>
    <row r="3886" customFormat="false" ht="15" hidden="false" customHeight="false" outlineLevel="0" collapsed="false">
      <c r="A3886" s="27" t="n">
        <v>45595</v>
      </c>
      <c r="B3886" s="28" t="n">
        <v>2025</v>
      </c>
      <c r="C3886" s="28" t="s">
        <v>263</v>
      </c>
      <c r="D3886" s="28" t="s">
        <v>47</v>
      </c>
      <c r="E3886" s="28" t="s">
        <v>1107</v>
      </c>
      <c r="F3886" s="28" t="s">
        <v>142</v>
      </c>
      <c r="G3886" s="28" t="s">
        <v>441</v>
      </c>
      <c r="H3886" s="28" t="s">
        <v>953</v>
      </c>
      <c r="I3886" s="29" t="n">
        <v>175000</v>
      </c>
      <c r="J3886" s="29" t="n">
        <v>148750</v>
      </c>
      <c r="K3886" s="28" t="n">
        <v>11</v>
      </c>
      <c r="L3886" s="28" t="n">
        <v>120</v>
      </c>
      <c r="M3886" s="28" t="n">
        <v>12</v>
      </c>
    </row>
    <row r="3887" customFormat="false" ht="15" hidden="false" customHeight="false" outlineLevel="0" collapsed="false">
      <c r="A3887" s="27" t="n">
        <v>45595</v>
      </c>
      <c r="B3887" s="28" t="n">
        <v>2025</v>
      </c>
      <c r="C3887" s="28" t="s">
        <v>344</v>
      </c>
      <c r="D3887" s="28" t="s">
        <v>56</v>
      </c>
      <c r="E3887" s="28" t="s">
        <v>1095</v>
      </c>
      <c r="F3887" s="28" t="s">
        <v>142</v>
      </c>
      <c r="G3887" s="28" t="s">
        <v>148</v>
      </c>
      <c r="H3887" s="28" t="s">
        <v>171</v>
      </c>
      <c r="I3887" s="29" t="n">
        <v>93000</v>
      </c>
      <c r="J3887" s="29" t="n">
        <v>79050</v>
      </c>
      <c r="K3887" s="28" t="n">
        <v>12.75</v>
      </c>
      <c r="L3887" s="28" t="n">
        <v>120</v>
      </c>
      <c r="M3887" s="28" t="n">
        <v>0</v>
      </c>
    </row>
    <row r="3888" customFormat="false" ht="15" hidden="false" customHeight="false" outlineLevel="0" collapsed="false">
      <c r="A3888" s="27" t="n">
        <v>45595</v>
      </c>
      <c r="B3888" s="28" t="n">
        <v>2025</v>
      </c>
      <c r="C3888" s="28" t="s">
        <v>603</v>
      </c>
      <c r="D3888" s="28" t="s">
        <v>45</v>
      </c>
      <c r="E3888" s="28" t="s">
        <v>713</v>
      </c>
      <c r="F3888" s="28" t="s">
        <v>142</v>
      </c>
      <c r="G3888" s="28" t="s">
        <v>148</v>
      </c>
      <c r="H3888" s="28" t="s">
        <v>771</v>
      </c>
      <c r="I3888" s="29" t="n">
        <v>200300</v>
      </c>
      <c r="J3888" s="29" t="n">
        <v>170255</v>
      </c>
      <c r="K3888" s="28" t="n">
        <v>10.75</v>
      </c>
      <c r="L3888" s="28" t="n">
        <v>120</v>
      </c>
      <c r="M3888" s="28" t="n">
        <v>1</v>
      </c>
    </row>
    <row r="3889" customFormat="false" ht="15" hidden="false" customHeight="false" outlineLevel="0" collapsed="false">
      <c r="A3889" s="27" t="n">
        <v>45596</v>
      </c>
      <c r="B3889" s="28" t="n">
        <v>2025</v>
      </c>
      <c r="C3889" s="28" t="s">
        <v>201</v>
      </c>
      <c r="D3889" s="28" t="s">
        <v>45</v>
      </c>
      <c r="E3889" s="28" t="s">
        <v>1048</v>
      </c>
      <c r="F3889" s="28" t="s">
        <v>142</v>
      </c>
      <c r="G3889" s="28" t="s">
        <v>143</v>
      </c>
      <c r="H3889" s="28" t="s">
        <v>287</v>
      </c>
      <c r="I3889" s="29" t="n">
        <v>150000</v>
      </c>
      <c r="J3889" s="29" t="n">
        <v>127500</v>
      </c>
      <c r="K3889" s="28" t="n">
        <v>10.75</v>
      </c>
      <c r="L3889" s="28" t="n">
        <v>120</v>
      </c>
      <c r="M3889" s="28" t="n">
        <v>4</v>
      </c>
    </row>
    <row r="3890" customFormat="false" ht="15" hidden="false" customHeight="false" outlineLevel="0" collapsed="false">
      <c r="A3890" s="27" t="n">
        <v>45596</v>
      </c>
      <c r="B3890" s="28" t="n">
        <v>2025</v>
      </c>
      <c r="C3890" s="28" t="s">
        <v>140</v>
      </c>
      <c r="D3890" s="28" t="s">
        <v>51</v>
      </c>
      <c r="E3890" s="28" t="s">
        <v>800</v>
      </c>
      <c r="F3890" s="28" t="s">
        <v>142</v>
      </c>
      <c r="G3890" s="28" t="s">
        <v>143</v>
      </c>
      <c r="H3890" s="28" t="s">
        <v>211</v>
      </c>
      <c r="I3890" s="29" t="n">
        <v>1286700</v>
      </c>
      <c r="J3890" s="29" t="n">
        <v>965025</v>
      </c>
      <c r="K3890" s="28" t="n">
        <v>10.5</v>
      </c>
      <c r="L3890" s="28" t="n">
        <v>120</v>
      </c>
      <c r="M3890" s="28" t="n">
        <v>4</v>
      </c>
    </row>
    <row r="3891" customFormat="false" ht="15" hidden="false" customHeight="false" outlineLevel="0" collapsed="false">
      <c r="A3891" s="27" t="n">
        <v>45596</v>
      </c>
      <c r="B3891" s="28" t="n">
        <v>2025</v>
      </c>
      <c r="C3891" s="28" t="s">
        <v>206</v>
      </c>
      <c r="D3891" s="28" t="s">
        <v>50</v>
      </c>
      <c r="E3891" s="28" t="s">
        <v>877</v>
      </c>
      <c r="F3891" s="28" t="s">
        <v>142</v>
      </c>
      <c r="G3891" s="28" t="s">
        <v>148</v>
      </c>
      <c r="H3891" s="28" t="s">
        <v>1006</v>
      </c>
      <c r="I3891" s="29" t="n">
        <v>475000</v>
      </c>
      <c r="J3891" s="29" t="n">
        <v>356250</v>
      </c>
      <c r="K3891" s="28" t="n">
        <v>10.75</v>
      </c>
      <c r="L3891" s="28" t="n">
        <v>120</v>
      </c>
      <c r="M3891" s="28" t="n">
        <v>1</v>
      </c>
    </row>
    <row r="3892" customFormat="false" ht="15" hidden="false" customHeight="false" outlineLevel="0" collapsed="false">
      <c r="A3892" s="27" t="n">
        <v>45596</v>
      </c>
      <c r="B3892" s="28" t="n">
        <v>2025</v>
      </c>
      <c r="C3892" s="28" t="s">
        <v>160</v>
      </c>
      <c r="D3892" s="28" t="s">
        <v>48</v>
      </c>
      <c r="E3892" s="28" t="s">
        <v>840</v>
      </c>
      <c r="F3892" s="28" t="s">
        <v>142</v>
      </c>
      <c r="G3892" s="28" t="s">
        <v>148</v>
      </c>
      <c r="H3892" s="28" t="s">
        <v>275</v>
      </c>
      <c r="I3892" s="29" t="n">
        <v>15000</v>
      </c>
      <c r="J3892" s="29" t="n">
        <v>12750</v>
      </c>
      <c r="K3892" s="28" t="n">
        <v>14.5</v>
      </c>
      <c r="L3892" s="28" t="n">
        <v>120</v>
      </c>
      <c r="M3892" s="28" t="n">
        <v>2</v>
      </c>
    </row>
    <row r="3893" customFormat="false" ht="15" hidden="false" customHeight="false" outlineLevel="0" collapsed="false">
      <c r="A3893" s="27" t="n">
        <v>45596</v>
      </c>
      <c r="B3893" s="28" t="n">
        <v>2025</v>
      </c>
      <c r="C3893" s="28" t="s">
        <v>172</v>
      </c>
      <c r="D3893" s="28" t="s">
        <v>45</v>
      </c>
      <c r="E3893" s="28" t="s">
        <v>222</v>
      </c>
      <c r="F3893" s="28" t="s">
        <v>142</v>
      </c>
      <c r="G3893" s="28" t="s">
        <v>148</v>
      </c>
      <c r="H3893" s="28" t="s">
        <v>269</v>
      </c>
      <c r="I3893" s="29" t="n">
        <v>691000</v>
      </c>
      <c r="J3893" s="29" t="n">
        <v>518250</v>
      </c>
      <c r="K3893" s="28" t="n">
        <v>10</v>
      </c>
      <c r="L3893" s="28" t="n">
        <v>300</v>
      </c>
      <c r="M3893" s="28" t="n">
        <v>10</v>
      </c>
    </row>
    <row r="3894" customFormat="false" ht="15" hidden="false" customHeight="false" outlineLevel="0" collapsed="false">
      <c r="A3894" s="27" t="n">
        <v>45596</v>
      </c>
      <c r="B3894" s="28" t="n">
        <v>2025</v>
      </c>
      <c r="C3894" s="28" t="s">
        <v>172</v>
      </c>
      <c r="D3894" s="28" t="s">
        <v>48</v>
      </c>
      <c r="E3894" s="28" t="s">
        <v>210</v>
      </c>
      <c r="F3894" s="28" t="s">
        <v>142</v>
      </c>
      <c r="G3894" s="28" t="s">
        <v>148</v>
      </c>
      <c r="H3894" s="28" t="s">
        <v>1108</v>
      </c>
      <c r="I3894" s="29" t="n">
        <v>500000</v>
      </c>
      <c r="J3894" s="29" t="n">
        <v>375000</v>
      </c>
      <c r="K3894" s="28" t="n">
        <v>11</v>
      </c>
      <c r="L3894" s="28" t="n">
        <v>120</v>
      </c>
      <c r="M3894" s="28" t="n">
        <v>4</v>
      </c>
    </row>
    <row r="3895" customFormat="false" ht="15" hidden="false" customHeight="false" outlineLevel="0" collapsed="false">
      <c r="A3895" s="27" t="n">
        <v>45596</v>
      </c>
      <c r="B3895" s="28" t="n">
        <v>2025</v>
      </c>
      <c r="C3895" s="28" t="s">
        <v>140</v>
      </c>
      <c r="D3895" s="28" t="s">
        <v>51</v>
      </c>
      <c r="E3895" s="28" t="s">
        <v>800</v>
      </c>
      <c r="F3895" s="28" t="s">
        <v>147</v>
      </c>
      <c r="G3895" s="28" t="s">
        <v>143</v>
      </c>
      <c r="H3895" s="28" t="s">
        <v>211</v>
      </c>
      <c r="I3895" s="29" t="n">
        <v>50000</v>
      </c>
      <c r="J3895" s="29" t="n">
        <v>25000</v>
      </c>
      <c r="K3895" s="28" t="n">
        <v>10.5</v>
      </c>
      <c r="L3895" s="28" t="n">
        <v>120</v>
      </c>
      <c r="M3895" s="28" t="n">
        <v>4</v>
      </c>
    </row>
    <row r="3896" customFormat="false" ht="15" hidden="false" customHeight="false" outlineLevel="0" collapsed="false">
      <c r="A3896" s="27" t="n">
        <v>45596</v>
      </c>
      <c r="B3896" s="28" t="n">
        <v>2025</v>
      </c>
      <c r="C3896" s="28" t="s">
        <v>169</v>
      </c>
      <c r="D3896" s="28" t="s">
        <v>48</v>
      </c>
      <c r="E3896" s="28" t="s">
        <v>767</v>
      </c>
      <c r="F3896" s="28" t="s">
        <v>147</v>
      </c>
      <c r="G3896" s="28" t="s">
        <v>441</v>
      </c>
      <c r="H3896" s="28" t="s">
        <v>168</v>
      </c>
      <c r="I3896" s="29" t="n">
        <v>30000</v>
      </c>
      <c r="J3896" s="29" t="n">
        <v>15000</v>
      </c>
      <c r="K3896" s="28" t="n">
        <v>14</v>
      </c>
      <c r="L3896" s="28" t="n">
        <v>120</v>
      </c>
      <c r="M3896" s="28" t="n">
        <v>0</v>
      </c>
    </row>
    <row r="3897" customFormat="false" ht="15" hidden="false" customHeight="false" outlineLevel="0" collapsed="false">
      <c r="A3897" s="27" t="n">
        <v>45597</v>
      </c>
      <c r="B3897" s="28" t="n">
        <v>2025</v>
      </c>
      <c r="C3897" s="28" t="s">
        <v>172</v>
      </c>
      <c r="D3897" s="28" t="s">
        <v>45</v>
      </c>
      <c r="E3897" s="28" t="s">
        <v>708</v>
      </c>
      <c r="F3897" s="28" t="s">
        <v>142</v>
      </c>
      <c r="G3897" s="28" t="s">
        <v>148</v>
      </c>
      <c r="H3897" s="28" t="s">
        <v>771</v>
      </c>
      <c r="I3897" s="29" t="n">
        <v>50000</v>
      </c>
      <c r="J3897" s="29" t="n">
        <v>42500</v>
      </c>
      <c r="K3897" s="28" t="n">
        <v>10.75</v>
      </c>
      <c r="L3897" s="28" t="n">
        <v>120</v>
      </c>
      <c r="M3897" s="28" t="n">
        <v>2</v>
      </c>
    </row>
    <row r="3898" customFormat="false" ht="15" hidden="false" customHeight="false" outlineLevel="0" collapsed="false">
      <c r="A3898" s="27" t="n">
        <v>45597</v>
      </c>
      <c r="B3898" s="28" t="n">
        <v>2025</v>
      </c>
      <c r="C3898" s="28" t="s">
        <v>243</v>
      </c>
      <c r="D3898" s="28" t="s">
        <v>42</v>
      </c>
      <c r="E3898" s="28" t="s">
        <v>717</v>
      </c>
      <c r="F3898" s="28" t="s">
        <v>142</v>
      </c>
      <c r="G3898" s="28" t="s">
        <v>152</v>
      </c>
      <c r="H3898" s="28" t="s">
        <v>950</v>
      </c>
      <c r="I3898" s="29" t="n">
        <v>796000</v>
      </c>
      <c r="J3898" s="29" t="n">
        <v>597000</v>
      </c>
      <c r="K3898" s="28" t="n">
        <v>10.75</v>
      </c>
      <c r="L3898" s="28" t="n">
        <v>120</v>
      </c>
      <c r="M3898" s="28" t="n">
        <v>12</v>
      </c>
    </row>
    <row r="3899" customFormat="false" ht="15" hidden="false" customHeight="false" outlineLevel="0" collapsed="false">
      <c r="A3899" s="27" t="n">
        <v>45597</v>
      </c>
      <c r="B3899" s="28" t="n">
        <v>2025</v>
      </c>
      <c r="C3899" s="28" t="s">
        <v>163</v>
      </c>
      <c r="D3899" s="28" t="s">
        <v>52</v>
      </c>
      <c r="E3899" s="28" t="s">
        <v>1040</v>
      </c>
      <c r="F3899" s="28" t="s">
        <v>147</v>
      </c>
      <c r="G3899" s="28" t="s">
        <v>441</v>
      </c>
      <c r="H3899" s="28" t="s">
        <v>168</v>
      </c>
      <c r="I3899" s="29" t="n">
        <v>15000</v>
      </c>
      <c r="J3899" s="29" t="n">
        <v>7500</v>
      </c>
      <c r="K3899" s="28" t="n">
        <v>13.5</v>
      </c>
      <c r="L3899" s="28" t="n">
        <v>120</v>
      </c>
      <c r="M3899" s="28" t="n">
        <v>4</v>
      </c>
    </row>
    <row r="3900" customFormat="false" ht="15" hidden="false" customHeight="false" outlineLevel="0" collapsed="false">
      <c r="A3900" s="27" t="n">
        <v>45598</v>
      </c>
      <c r="B3900" s="28" t="n">
        <v>2025</v>
      </c>
      <c r="C3900" s="28" t="s">
        <v>198</v>
      </c>
      <c r="D3900" s="28" t="s">
        <v>57</v>
      </c>
      <c r="E3900" s="28" t="s">
        <v>1109</v>
      </c>
      <c r="F3900" s="28" t="s">
        <v>142</v>
      </c>
      <c r="G3900" s="28" t="s">
        <v>148</v>
      </c>
      <c r="H3900" s="28" t="s">
        <v>275</v>
      </c>
      <c r="I3900" s="29" t="n">
        <v>50000</v>
      </c>
      <c r="J3900" s="29" t="n">
        <v>42500</v>
      </c>
      <c r="K3900" s="28" t="n">
        <v>14.5</v>
      </c>
      <c r="L3900" s="28" t="n">
        <v>120</v>
      </c>
      <c r="M3900" s="28" t="n">
        <v>0</v>
      </c>
    </row>
    <row r="3901" customFormat="false" ht="15" hidden="false" customHeight="false" outlineLevel="0" collapsed="false">
      <c r="A3901" s="27" t="n">
        <v>45599</v>
      </c>
      <c r="B3901" s="28" t="n">
        <v>2025</v>
      </c>
      <c r="C3901" s="28" t="s">
        <v>198</v>
      </c>
      <c r="D3901" s="28" t="s">
        <v>44</v>
      </c>
      <c r="E3901" s="28" t="s">
        <v>759</v>
      </c>
      <c r="F3901" s="28" t="s">
        <v>142</v>
      </c>
      <c r="G3901" s="28" t="s">
        <v>143</v>
      </c>
      <c r="H3901" s="28" t="s">
        <v>953</v>
      </c>
      <c r="I3901" s="29" t="n">
        <v>55000</v>
      </c>
      <c r="J3901" s="29" t="n">
        <v>46750</v>
      </c>
      <c r="K3901" s="28" t="n">
        <v>11</v>
      </c>
      <c r="L3901" s="28" t="n">
        <v>120</v>
      </c>
      <c r="M3901" s="28" t="n">
        <v>5</v>
      </c>
    </row>
    <row r="3902" customFormat="false" ht="15" hidden="false" customHeight="false" outlineLevel="0" collapsed="false">
      <c r="A3902" s="27" t="n">
        <v>45600</v>
      </c>
      <c r="B3902" s="28" t="n">
        <v>2025</v>
      </c>
      <c r="C3902" s="28" t="s">
        <v>169</v>
      </c>
      <c r="D3902" s="28" t="s">
        <v>49</v>
      </c>
      <c r="E3902" s="28" t="s">
        <v>1110</v>
      </c>
      <c r="F3902" s="28" t="s">
        <v>142</v>
      </c>
      <c r="G3902" s="28" t="s">
        <v>441</v>
      </c>
      <c r="H3902" s="28" t="s">
        <v>149</v>
      </c>
      <c r="I3902" s="29" t="n">
        <v>595000</v>
      </c>
      <c r="J3902" s="29" t="n">
        <v>446250</v>
      </c>
      <c r="K3902" s="28" t="n">
        <v>9</v>
      </c>
      <c r="L3902" s="28" t="n">
        <v>300</v>
      </c>
      <c r="M3902" s="28" t="n">
        <v>2</v>
      </c>
    </row>
    <row r="3903" customFormat="false" ht="15" hidden="false" customHeight="false" outlineLevel="0" collapsed="false">
      <c r="A3903" s="27" t="n">
        <v>45600</v>
      </c>
      <c r="B3903" s="28" t="n">
        <v>2025</v>
      </c>
      <c r="C3903" s="28" t="s">
        <v>172</v>
      </c>
      <c r="D3903" s="28" t="s">
        <v>48</v>
      </c>
      <c r="E3903" s="28" t="s">
        <v>277</v>
      </c>
      <c r="F3903" s="28" t="s">
        <v>147</v>
      </c>
      <c r="G3903" s="28" t="s">
        <v>143</v>
      </c>
      <c r="H3903" s="28" t="s">
        <v>291</v>
      </c>
      <c r="I3903" s="29" t="n">
        <v>350000</v>
      </c>
      <c r="J3903" s="29" t="n">
        <v>175000</v>
      </c>
      <c r="K3903" s="28" t="n">
        <v>10.75</v>
      </c>
      <c r="L3903" s="28" t="n">
        <v>120</v>
      </c>
      <c r="M3903" s="28" t="n">
        <v>2</v>
      </c>
    </row>
    <row r="3904" customFormat="false" ht="15" hidden="false" customHeight="false" outlineLevel="0" collapsed="false">
      <c r="A3904" s="27" t="n">
        <v>45600</v>
      </c>
      <c r="B3904" s="28" t="n">
        <v>2025</v>
      </c>
      <c r="C3904" s="28" t="s">
        <v>312</v>
      </c>
      <c r="D3904" s="28" t="s">
        <v>53</v>
      </c>
      <c r="E3904" s="28" t="s">
        <v>968</v>
      </c>
      <c r="F3904" s="28" t="s">
        <v>142</v>
      </c>
      <c r="G3904" s="28" t="s">
        <v>152</v>
      </c>
      <c r="H3904" s="28" t="s">
        <v>281</v>
      </c>
      <c r="I3904" s="29" t="n">
        <v>425000</v>
      </c>
      <c r="J3904" s="29" t="n">
        <v>318750</v>
      </c>
      <c r="K3904" s="28" t="n">
        <v>10.75</v>
      </c>
      <c r="L3904" s="28" t="n">
        <v>123</v>
      </c>
      <c r="M3904" s="28" t="n">
        <v>4</v>
      </c>
    </row>
    <row r="3905" customFormat="false" ht="15" hidden="false" customHeight="false" outlineLevel="0" collapsed="false">
      <c r="A3905" s="27" t="n">
        <v>45600</v>
      </c>
      <c r="B3905" s="28" t="n">
        <v>2025</v>
      </c>
      <c r="C3905" s="28" t="s">
        <v>201</v>
      </c>
      <c r="D3905" s="28" t="s">
        <v>50</v>
      </c>
      <c r="E3905" s="28" t="s">
        <v>193</v>
      </c>
      <c r="F3905" s="28" t="s">
        <v>142</v>
      </c>
      <c r="G3905" s="28" t="s">
        <v>148</v>
      </c>
      <c r="H3905" s="28" t="s">
        <v>937</v>
      </c>
      <c r="I3905" s="29" t="n">
        <v>275700</v>
      </c>
      <c r="J3905" s="29" t="n">
        <v>206775</v>
      </c>
      <c r="K3905" s="28" t="n">
        <v>12.5</v>
      </c>
      <c r="L3905" s="28" t="n">
        <v>120</v>
      </c>
      <c r="M3905" s="28" t="n">
        <v>8</v>
      </c>
    </row>
    <row r="3906" customFormat="false" ht="15" hidden="false" customHeight="false" outlineLevel="0" collapsed="false">
      <c r="A3906" s="27" t="n">
        <v>45601</v>
      </c>
      <c r="B3906" s="28" t="n">
        <v>2025</v>
      </c>
      <c r="C3906" s="28" t="s">
        <v>232</v>
      </c>
      <c r="D3906" s="28" t="s">
        <v>45</v>
      </c>
      <c r="E3906" s="28" t="s">
        <v>708</v>
      </c>
      <c r="F3906" s="28" t="s">
        <v>142</v>
      </c>
      <c r="G3906" s="28" t="s">
        <v>152</v>
      </c>
      <c r="H3906" s="28" t="s">
        <v>211</v>
      </c>
      <c r="I3906" s="29" t="n">
        <v>2648000</v>
      </c>
      <c r="J3906" s="29" t="n">
        <v>1986000</v>
      </c>
      <c r="K3906" s="28" t="n">
        <v>7.9</v>
      </c>
      <c r="L3906" s="28" t="n">
        <v>192</v>
      </c>
      <c r="M3906" s="28" t="n">
        <v>25</v>
      </c>
    </row>
    <row r="3907" customFormat="false" ht="15" hidden="false" customHeight="false" outlineLevel="0" collapsed="false">
      <c r="A3907" s="27" t="n">
        <v>45601</v>
      </c>
      <c r="B3907" s="28" t="n">
        <v>2025</v>
      </c>
      <c r="C3907" s="28" t="s">
        <v>232</v>
      </c>
      <c r="D3907" s="28" t="s">
        <v>45</v>
      </c>
      <c r="E3907" s="28" t="s">
        <v>708</v>
      </c>
      <c r="F3907" s="28" t="s">
        <v>147</v>
      </c>
      <c r="G3907" s="28" t="s">
        <v>152</v>
      </c>
      <c r="H3907" s="28" t="s">
        <v>211</v>
      </c>
      <c r="I3907" s="29" t="n">
        <v>150000</v>
      </c>
      <c r="J3907" s="29" t="n">
        <v>75000</v>
      </c>
      <c r="K3907" s="28" t="n">
        <v>9.75</v>
      </c>
      <c r="L3907" s="28" t="n">
        <v>120</v>
      </c>
      <c r="M3907" s="28" t="n">
        <v>25</v>
      </c>
    </row>
    <row r="3908" customFormat="false" ht="15" hidden="false" customHeight="false" outlineLevel="0" collapsed="false">
      <c r="A3908" s="27" t="n">
        <v>45601</v>
      </c>
      <c r="B3908" s="28" t="n">
        <v>2025</v>
      </c>
      <c r="C3908" s="28" t="s">
        <v>272</v>
      </c>
      <c r="D3908" s="28" t="s">
        <v>51</v>
      </c>
      <c r="E3908" s="28" t="s">
        <v>800</v>
      </c>
      <c r="F3908" s="28" t="s">
        <v>142</v>
      </c>
      <c r="G3908" s="28" t="s">
        <v>143</v>
      </c>
      <c r="H3908" s="28" t="s">
        <v>374</v>
      </c>
      <c r="I3908" s="29" t="n">
        <v>2340000</v>
      </c>
      <c r="J3908" s="29" t="n">
        <v>1755000</v>
      </c>
      <c r="K3908" s="28" t="n">
        <v>9.5</v>
      </c>
      <c r="L3908" s="28" t="n">
        <v>128</v>
      </c>
      <c r="M3908" s="28" t="n">
        <v>18</v>
      </c>
    </row>
    <row r="3909" customFormat="false" ht="15" hidden="false" customHeight="false" outlineLevel="0" collapsed="false">
      <c r="A3909" s="27" t="n">
        <v>45602</v>
      </c>
      <c r="B3909" s="28" t="n">
        <v>2025</v>
      </c>
      <c r="C3909" s="28" t="s">
        <v>272</v>
      </c>
      <c r="D3909" s="28" t="s">
        <v>51</v>
      </c>
      <c r="E3909" s="28" t="s">
        <v>800</v>
      </c>
      <c r="F3909" s="28" t="s">
        <v>147</v>
      </c>
      <c r="G3909" s="28" t="s">
        <v>143</v>
      </c>
      <c r="H3909" s="28" t="s">
        <v>374</v>
      </c>
      <c r="I3909" s="29" t="n">
        <v>150000</v>
      </c>
      <c r="J3909" s="29" t="n">
        <v>75000</v>
      </c>
      <c r="K3909" s="28" t="n">
        <v>9.5</v>
      </c>
      <c r="L3909" s="28" t="n">
        <v>120</v>
      </c>
      <c r="M3909" s="28" t="n">
        <v>18</v>
      </c>
    </row>
    <row r="3910" customFormat="false" ht="15" hidden="false" customHeight="false" outlineLevel="0" collapsed="false">
      <c r="A3910" s="27" t="n">
        <v>45602</v>
      </c>
      <c r="B3910" s="28" t="n">
        <v>2025</v>
      </c>
      <c r="C3910" s="28" t="s">
        <v>172</v>
      </c>
      <c r="D3910" s="28" t="s">
        <v>48</v>
      </c>
      <c r="E3910" s="28" t="s">
        <v>736</v>
      </c>
      <c r="F3910" s="28" t="s">
        <v>147</v>
      </c>
      <c r="G3910" s="28" t="s">
        <v>148</v>
      </c>
      <c r="H3910" s="28" t="s">
        <v>162</v>
      </c>
      <c r="I3910" s="29" t="n">
        <v>500000</v>
      </c>
      <c r="J3910" s="29" t="n">
        <v>250000</v>
      </c>
      <c r="K3910" s="28" t="n">
        <v>11</v>
      </c>
      <c r="L3910" s="28" t="n">
        <v>120</v>
      </c>
      <c r="M3910" s="28" t="n">
        <v>15</v>
      </c>
    </row>
    <row r="3911" customFormat="false" ht="15" hidden="false" customHeight="false" outlineLevel="0" collapsed="false">
      <c r="A3911" s="27" t="n">
        <v>45602</v>
      </c>
      <c r="B3911" s="28" t="n">
        <v>2025</v>
      </c>
      <c r="C3911" s="28" t="s">
        <v>160</v>
      </c>
      <c r="D3911" s="28" t="s">
        <v>52</v>
      </c>
      <c r="E3911" s="28" t="s">
        <v>715</v>
      </c>
      <c r="F3911" s="28" t="s">
        <v>142</v>
      </c>
      <c r="G3911" s="28" t="s">
        <v>148</v>
      </c>
      <c r="H3911" s="28" t="s">
        <v>937</v>
      </c>
      <c r="I3911" s="29" t="n">
        <v>50000</v>
      </c>
      <c r="J3911" s="29" t="n">
        <v>42500</v>
      </c>
      <c r="K3911" s="28" t="n">
        <v>12.5</v>
      </c>
      <c r="L3911" s="28" t="n">
        <v>120</v>
      </c>
      <c r="M3911" s="28" t="n">
        <v>4</v>
      </c>
    </row>
    <row r="3912" customFormat="false" ht="15" hidden="false" customHeight="false" outlineLevel="0" collapsed="false">
      <c r="A3912" s="27" t="n">
        <v>45602</v>
      </c>
      <c r="B3912" s="28" t="n">
        <v>2025</v>
      </c>
      <c r="C3912" s="28" t="s">
        <v>203</v>
      </c>
      <c r="D3912" s="28" t="s">
        <v>46</v>
      </c>
      <c r="E3912" s="28" t="s">
        <v>741</v>
      </c>
      <c r="F3912" s="28" t="s">
        <v>142</v>
      </c>
      <c r="G3912" s="28" t="s">
        <v>148</v>
      </c>
      <c r="H3912" s="28" t="s">
        <v>404</v>
      </c>
      <c r="I3912" s="29" t="n">
        <v>1423000</v>
      </c>
      <c r="J3912" s="29" t="n">
        <v>1067250</v>
      </c>
      <c r="K3912" s="28" t="n">
        <v>9.25</v>
      </c>
      <c r="L3912" s="28" t="n">
        <v>120</v>
      </c>
      <c r="M3912" s="28" t="n">
        <v>172</v>
      </c>
    </row>
    <row r="3913" customFormat="false" ht="15" hidden="false" customHeight="false" outlineLevel="0" collapsed="false">
      <c r="A3913" s="27" t="n">
        <v>45602</v>
      </c>
      <c r="B3913" s="28" t="n">
        <v>2025</v>
      </c>
      <c r="C3913" s="28" t="s">
        <v>172</v>
      </c>
      <c r="D3913" s="28" t="s">
        <v>48</v>
      </c>
      <c r="E3913" s="28" t="s">
        <v>304</v>
      </c>
      <c r="F3913" s="28" t="s">
        <v>147</v>
      </c>
      <c r="G3913" s="28" t="s">
        <v>148</v>
      </c>
      <c r="H3913" s="28" t="s">
        <v>453</v>
      </c>
      <c r="I3913" s="29" t="n">
        <v>100000</v>
      </c>
      <c r="J3913" s="29" t="n">
        <v>50000</v>
      </c>
      <c r="K3913" s="28" t="n">
        <v>10</v>
      </c>
      <c r="L3913" s="28" t="n">
        <v>72</v>
      </c>
      <c r="M3913" s="28" t="n">
        <v>4</v>
      </c>
    </row>
    <row r="3914" customFormat="false" ht="15" hidden="false" customHeight="false" outlineLevel="0" collapsed="false">
      <c r="A3914" s="27" t="n">
        <v>45602</v>
      </c>
      <c r="B3914" s="28" t="n">
        <v>2025</v>
      </c>
      <c r="C3914" s="28" t="s">
        <v>213</v>
      </c>
      <c r="D3914" s="28" t="s">
        <v>50</v>
      </c>
      <c r="E3914" s="28" t="s">
        <v>1018</v>
      </c>
      <c r="F3914" s="28" t="s">
        <v>142</v>
      </c>
      <c r="G3914" s="28" t="s">
        <v>148</v>
      </c>
      <c r="H3914" s="28" t="s">
        <v>171</v>
      </c>
      <c r="I3914" s="29" t="n">
        <v>150000</v>
      </c>
      <c r="J3914" s="29" t="n">
        <v>127500</v>
      </c>
      <c r="K3914" s="28" t="n">
        <v>12.25</v>
      </c>
      <c r="L3914" s="28" t="n">
        <v>115</v>
      </c>
      <c r="M3914" s="28" t="n">
        <v>8</v>
      </c>
    </row>
    <row r="3915" customFormat="false" ht="15" hidden="false" customHeight="false" outlineLevel="0" collapsed="false">
      <c r="A3915" s="27" t="n">
        <v>45603</v>
      </c>
      <c r="B3915" s="28" t="n">
        <v>2025</v>
      </c>
      <c r="C3915" s="28" t="s">
        <v>201</v>
      </c>
      <c r="D3915" s="28" t="s">
        <v>50</v>
      </c>
      <c r="E3915" s="28" t="s">
        <v>193</v>
      </c>
      <c r="F3915" s="28" t="s">
        <v>147</v>
      </c>
      <c r="G3915" s="28" t="s">
        <v>441</v>
      </c>
      <c r="H3915" s="28" t="s">
        <v>168</v>
      </c>
      <c r="I3915" s="29" t="n">
        <v>15000</v>
      </c>
      <c r="J3915" s="29" t="n">
        <v>7500</v>
      </c>
      <c r="K3915" s="28" t="n">
        <v>13.5</v>
      </c>
      <c r="L3915" s="28" t="n">
        <v>120</v>
      </c>
      <c r="M3915" s="28" t="n">
        <v>2</v>
      </c>
    </row>
    <row r="3916" customFormat="false" ht="15" hidden="false" customHeight="false" outlineLevel="0" collapsed="false">
      <c r="A3916" s="27" t="n">
        <v>45603</v>
      </c>
      <c r="B3916" s="28" t="n">
        <v>2025</v>
      </c>
      <c r="C3916" s="28" t="s">
        <v>172</v>
      </c>
      <c r="D3916" s="28" t="s">
        <v>46</v>
      </c>
      <c r="E3916" s="28" t="s">
        <v>727</v>
      </c>
      <c r="F3916" s="28" t="s">
        <v>142</v>
      </c>
      <c r="G3916" s="28" t="s">
        <v>148</v>
      </c>
      <c r="H3916" s="28" t="s">
        <v>159</v>
      </c>
      <c r="I3916" s="29" t="n">
        <v>177000</v>
      </c>
      <c r="J3916" s="29" t="n">
        <v>132750</v>
      </c>
      <c r="K3916" s="28" t="n">
        <v>10.75</v>
      </c>
      <c r="L3916" s="28" t="n">
        <v>84</v>
      </c>
      <c r="M3916" s="28" t="n">
        <v>15</v>
      </c>
    </row>
    <row r="3917" customFormat="false" ht="15" hidden="false" customHeight="false" outlineLevel="0" collapsed="false">
      <c r="A3917" s="27" t="n">
        <v>45603</v>
      </c>
      <c r="B3917" s="28" t="n">
        <v>2025</v>
      </c>
      <c r="C3917" s="28" t="s">
        <v>344</v>
      </c>
      <c r="D3917" s="28" t="s">
        <v>47</v>
      </c>
      <c r="E3917" s="28" t="s">
        <v>1041</v>
      </c>
      <c r="F3917" s="28" t="s">
        <v>194</v>
      </c>
      <c r="G3917" s="28" t="s">
        <v>148</v>
      </c>
      <c r="H3917" s="28" t="s">
        <v>1031</v>
      </c>
      <c r="I3917" s="29" t="n">
        <v>72000</v>
      </c>
      <c r="J3917" s="29" t="n">
        <v>54000</v>
      </c>
      <c r="K3917" s="28" t="n">
        <v>8.5</v>
      </c>
      <c r="L3917" s="28" t="n">
        <v>120</v>
      </c>
      <c r="M3917" s="28" t="n">
        <v>36</v>
      </c>
    </row>
    <row r="3918" customFormat="false" ht="15" hidden="false" customHeight="false" outlineLevel="0" collapsed="false">
      <c r="A3918" s="27" t="n">
        <v>45603</v>
      </c>
      <c r="B3918" s="28" t="n">
        <v>2025</v>
      </c>
      <c r="C3918" s="28" t="s">
        <v>344</v>
      </c>
      <c r="D3918" s="28" t="s">
        <v>47</v>
      </c>
      <c r="E3918" s="28" t="s">
        <v>1041</v>
      </c>
      <c r="F3918" s="28" t="s">
        <v>194</v>
      </c>
      <c r="G3918" s="28" t="s">
        <v>148</v>
      </c>
      <c r="H3918" s="28" t="s">
        <v>1031</v>
      </c>
      <c r="I3918" s="29" t="n">
        <v>198100</v>
      </c>
      <c r="J3918" s="29" t="n">
        <v>148575</v>
      </c>
      <c r="K3918" s="28" t="n">
        <v>8.5</v>
      </c>
      <c r="L3918" s="28" t="n">
        <v>120</v>
      </c>
      <c r="M3918" s="28" t="n">
        <v>36</v>
      </c>
    </row>
    <row r="3919" customFormat="false" ht="15" hidden="false" customHeight="false" outlineLevel="0" collapsed="false">
      <c r="A3919" s="27" t="n">
        <v>45604</v>
      </c>
      <c r="B3919" s="28" t="n">
        <v>2025</v>
      </c>
      <c r="C3919" s="28" t="s">
        <v>172</v>
      </c>
      <c r="D3919" s="28" t="s">
        <v>46</v>
      </c>
      <c r="E3919" s="28" t="s">
        <v>702</v>
      </c>
      <c r="F3919" s="28" t="s">
        <v>142</v>
      </c>
      <c r="G3919" s="28" t="s">
        <v>148</v>
      </c>
      <c r="H3919" s="28" t="s">
        <v>144</v>
      </c>
      <c r="I3919" s="29" t="n">
        <v>77500</v>
      </c>
      <c r="J3919" s="29" t="n">
        <v>65875</v>
      </c>
      <c r="K3919" s="28" t="n">
        <v>10.49</v>
      </c>
      <c r="L3919" s="28" t="n">
        <v>120</v>
      </c>
      <c r="M3919" s="28" t="n">
        <v>20</v>
      </c>
    </row>
    <row r="3920" customFormat="false" ht="15" hidden="false" customHeight="false" outlineLevel="0" collapsed="false">
      <c r="A3920" s="27" t="n">
        <v>45604</v>
      </c>
      <c r="B3920" s="28" t="n">
        <v>2025</v>
      </c>
      <c r="C3920" s="28" t="s">
        <v>198</v>
      </c>
      <c r="D3920" s="28" t="s">
        <v>48</v>
      </c>
      <c r="E3920" s="28" t="s">
        <v>712</v>
      </c>
      <c r="F3920" s="28" t="s">
        <v>142</v>
      </c>
      <c r="G3920" s="28" t="s">
        <v>148</v>
      </c>
      <c r="H3920" s="28" t="s">
        <v>771</v>
      </c>
      <c r="I3920" s="29" t="n">
        <v>250000</v>
      </c>
      <c r="J3920" s="29" t="n">
        <v>187500</v>
      </c>
      <c r="K3920" s="28" t="n">
        <v>10.75</v>
      </c>
      <c r="L3920" s="28" t="n">
        <v>120</v>
      </c>
      <c r="M3920" s="28" t="n">
        <v>1</v>
      </c>
    </row>
    <row r="3921" customFormat="false" ht="15" hidden="false" customHeight="false" outlineLevel="0" collapsed="false">
      <c r="A3921" s="27" t="n">
        <v>45604</v>
      </c>
      <c r="B3921" s="28" t="n">
        <v>2025</v>
      </c>
      <c r="C3921" s="28" t="s">
        <v>166</v>
      </c>
      <c r="D3921" s="28" t="s">
        <v>44</v>
      </c>
      <c r="E3921" s="28" t="s">
        <v>167</v>
      </c>
      <c r="F3921" s="28" t="s">
        <v>142</v>
      </c>
      <c r="G3921" s="28" t="s">
        <v>148</v>
      </c>
      <c r="H3921" s="28" t="s">
        <v>771</v>
      </c>
      <c r="I3921" s="29" t="n">
        <v>250000</v>
      </c>
      <c r="J3921" s="29" t="n">
        <v>187500</v>
      </c>
      <c r="K3921" s="28" t="n">
        <v>10.75</v>
      </c>
      <c r="L3921" s="28" t="n">
        <v>120</v>
      </c>
      <c r="M3921" s="28" t="n">
        <v>1</v>
      </c>
    </row>
    <row r="3922" customFormat="false" ht="15" hidden="false" customHeight="false" outlineLevel="0" collapsed="false">
      <c r="A3922" s="27" t="n">
        <v>45604</v>
      </c>
      <c r="B3922" s="28" t="n">
        <v>2025</v>
      </c>
      <c r="C3922" s="28" t="s">
        <v>196</v>
      </c>
      <c r="D3922" s="28" t="s">
        <v>48</v>
      </c>
      <c r="E3922" s="28" t="s">
        <v>704</v>
      </c>
      <c r="F3922" s="28" t="s">
        <v>142</v>
      </c>
      <c r="G3922" s="28" t="s">
        <v>441</v>
      </c>
      <c r="H3922" s="28" t="s">
        <v>577</v>
      </c>
      <c r="I3922" s="29" t="n">
        <v>865000</v>
      </c>
      <c r="J3922" s="29" t="n">
        <v>648750</v>
      </c>
      <c r="K3922" s="28" t="n">
        <v>10</v>
      </c>
      <c r="L3922" s="28" t="n">
        <v>120</v>
      </c>
      <c r="M3922" s="28" t="n">
        <v>13</v>
      </c>
    </row>
    <row r="3923" customFormat="false" ht="15" hidden="false" customHeight="false" outlineLevel="0" collapsed="false">
      <c r="A3923" s="27" t="n">
        <v>45608</v>
      </c>
      <c r="B3923" s="28" t="n">
        <v>2025</v>
      </c>
      <c r="C3923" s="28" t="s">
        <v>201</v>
      </c>
      <c r="D3923" s="28" t="s">
        <v>44</v>
      </c>
      <c r="E3923" s="28" t="s">
        <v>167</v>
      </c>
      <c r="F3923" s="28" t="s">
        <v>147</v>
      </c>
      <c r="G3923" s="28" t="s">
        <v>143</v>
      </c>
      <c r="H3923" s="28" t="s">
        <v>211</v>
      </c>
      <c r="I3923" s="29" t="n">
        <v>25000</v>
      </c>
      <c r="J3923" s="29" t="n">
        <v>12500</v>
      </c>
      <c r="K3923" s="28" t="n">
        <v>10.75</v>
      </c>
      <c r="L3923" s="28" t="n">
        <v>120</v>
      </c>
      <c r="M3923" s="28" t="n">
        <v>17</v>
      </c>
    </row>
    <row r="3924" customFormat="false" ht="15" hidden="false" customHeight="false" outlineLevel="0" collapsed="false">
      <c r="A3924" s="27" t="n">
        <v>45608</v>
      </c>
      <c r="B3924" s="28" t="n">
        <v>2025</v>
      </c>
      <c r="C3924" s="28" t="s">
        <v>172</v>
      </c>
      <c r="D3924" s="28" t="s">
        <v>45</v>
      </c>
      <c r="E3924" s="28" t="s">
        <v>874</v>
      </c>
      <c r="F3924" s="28" t="s">
        <v>142</v>
      </c>
      <c r="G3924" s="28" t="s">
        <v>148</v>
      </c>
      <c r="H3924" s="28" t="s">
        <v>771</v>
      </c>
      <c r="I3924" s="29" t="n">
        <v>250000</v>
      </c>
      <c r="J3924" s="29" t="n">
        <v>212500</v>
      </c>
      <c r="K3924" s="28" t="n">
        <v>10.75</v>
      </c>
      <c r="L3924" s="28" t="n">
        <v>120</v>
      </c>
      <c r="M3924" s="28" t="n">
        <v>7</v>
      </c>
    </row>
    <row r="3925" customFormat="false" ht="15" hidden="false" customHeight="false" outlineLevel="0" collapsed="false">
      <c r="A3925" s="27" t="n">
        <v>45608</v>
      </c>
      <c r="B3925" s="28" t="n">
        <v>2025</v>
      </c>
      <c r="C3925" s="28" t="s">
        <v>243</v>
      </c>
      <c r="D3925" s="28" t="s">
        <v>48</v>
      </c>
      <c r="E3925" s="28" t="s">
        <v>704</v>
      </c>
      <c r="F3925" s="28" t="s">
        <v>142</v>
      </c>
      <c r="G3925" s="28" t="s">
        <v>152</v>
      </c>
      <c r="H3925" s="28" t="s">
        <v>144</v>
      </c>
      <c r="I3925" s="29" t="n">
        <v>445000</v>
      </c>
      <c r="J3925" s="29" t="n">
        <v>333750</v>
      </c>
      <c r="K3925" s="28" t="n">
        <v>10.49</v>
      </c>
      <c r="L3925" s="28" t="n">
        <v>120</v>
      </c>
      <c r="M3925" s="28" t="n">
        <v>1</v>
      </c>
    </row>
    <row r="3926" customFormat="false" ht="15" hidden="false" customHeight="false" outlineLevel="0" collapsed="false">
      <c r="A3926" s="27" t="n">
        <v>45608</v>
      </c>
      <c r="B3926" s="28" t="n">
        <v>2025</v>
      </c>
      <c r="C3926" s="28" t="s">
        <v>169</v>
      </c>
      <c r="D3926" s="28" t="s">
        <v>50</v>
      </c>
      <c r="E3926" s="28" t="s">
        <v>724</v>
      </c>
      <c r="F3926" s="28" t="s">
        <v>142</v>
      </c>
      <c r="G3926" s="28" t="s">
        <v>143</v>
      </c>
      <c r="H3926" s="28" t="s">
        <v>211</v>
      </c>
      <c r="I3926" s="29" t="n">
        <v>289000</v>
      </c>
      <c r="J3926" s="29" t="n">
        <v>216750</v>
      </c>
      <c r="K3926" s="28" t="n">
        <v>10.75</v>
      </c>
      <c r="L3926" s="28" t="n">
        <v>120</v>
      </c>
      <c r="M3926" s="28" t="n">
        <v>4</v>
      </c>
    </row>
    <row r="3927" customFormat="false" ht="15" hidden="false" customHeight="false" outlineLevel="0" collapsed="false">
      <c r="A3927" s="27" t="n">
        <v>45608</v>
      </c>
      <c r="B3927" s="28" t="n">
        <v>2025</v>
      </c>
      <c r="C3927" s="28" t="s">
        <v>201</v>
      </c>
      <c r="D3927" s="28" t="s">
        <v>44</v>
      </c>
      <c r="E3927" s="28" t="s">
        <v>167</v>
      </c>
      <c r="F3927" s="28" t="s">
        <v>142</v>
      </c>
      <c r="G3927" s="28" t="s">
        <v>143</v>
      </c>
      <c r="H3927" s="28" t="s">
        <v>211</v>
      </c>
      <c r="I3927" s="29" t="n">
        <v>279500</v>
      </c>
      <c r="J3927" s="29" t="n">
        <v>209625</v>
      </c>
      <c r="K3927" s="28" t="n">
        <v>10.75</v>
      </c>
      <c r="L3927" s="28" t="n">
        <v>120</v>
      </c>
      <c r="M3927" s="28" t="n">
        <v>17</v>
      </c>
    </row>
    <row r="3928" customFormat="false" ht="15" hidden="false" customHeight="false" outlineLevel="0" collapsed="false">
      <c r="A3928" s="27" t="n">
        <v>45608</v>
      </c>
      <c r="B3928" s="28" t="n">
        <v>2025</v>
      </c>
      <c r="C3928" s="28" t="s">
        <v>243</v>
      </c>
      <c r="D3928" s="28" t="s">
        <v>44</v>
      </c>
      <c r="E3928" s="28" t="s">
        <v>783</v>
      </c>
      <c r="F3928" s="28" t="s">
        <v>142</v>
      </c>
      <c r="G3928" s="28" t="s">
        <v>148</v>
      </c>
      <c r="H3928" s="28" t="s">
        <v>372</v>
      </c>
      <c r="I3928" s="29" t="n">
        <v>100000</v>
      </c>
      <c r="J3928" s="29" t="n">
        <v>85000</v>
      </c>
      <c r="K3928" s="28" t="n">
        <v>10.75</v>
      </c>
      <c r="L3928" s="28" t="n">
        <v>120</v>
      </c>
      <c r="M3928" s="28" t="n">
        <v>8</v>
      </c>
    </row>
    <row r="3929" customFormat="false" ht="15" hidden="false" customHeight="false" outlineLevel="0" collapsed="false">
      <c r="A3929" s="27" t="n">
        <v>45608</v>
      </c>
      <c r="B3929" s="28" t="n">
        <v>2025</v>
      </c>
      <c r="C3929" s="28" t="s">
        <v>160</v>
      </c>
      <c r="D3929" s="28" t="s">
        <v>45</v>
      </c>
      <c r="E3929" s="28" t="s">
        <v>835</v>
      </c>
      <c r="F3929" s="28" t="s">
        <v>147</v>
      </c>
      <c r="G3929" s="28" t="s">
        <v>441</v>
      </c>
      <c r="H3929" s="28" t="s">
        <v>159</v>
      </c>
      <c r="I3929" s="29" t="n">
        <v>25000</v>
      </c>
      <c r="J3929" s="29" t="n">
        <v>12500</v>
      </c>
      <c r="K3929" s="28" t="n">
        <v>13</v>
      </c>
      <c r="L3929" s="28" t="n">
        <v>87</v>
      </c>
      <c r="M3929" s="28" t="n">
        <v>3</v>
      </c>
    </row>
    <row r="3930" customFormat="false" ht="15" hidden="false" customHeight="false" outlineLevel="0" collapsed="false">
      <c r="A3930" s="27" t="n">
        <v>45608</v>
      </c>
      <c r="B3930" s="28" t="n">
        <v>2025</v>
      </c>
      <c r="C3930" s="28" t="s">
        <v>169</v>
      </c>
      <c r="D3930" s="28" t="s">
        <v>50</v>
      </c>
      <c r="E3930" s="28" t="s">
        <v>724</v>
      </c>
      <c r="F3930" s="28" t="s">
        <v>147</v>
      </c>
      <c r="G3930" s="28" t="s">
        <v>143</v>
      </c>
      <c r="H3930" s="28" t="s">
        <v>211</v>
      </c>
      <c r="I3930" s="29" t="n">
        <v>25000</v>
      </c>
      <c r="J3930" s="29" t="n">
        <v>12500</v>
      </c>
      <c r="K3930" s="28" t="n">
        <v>10.75</v>
      </c>
      <c r="L3930" s="28" t="n">
        <v>120</v>
      </c>
      <c r="M3930" s="28" t="n">
        <v>4</v>
      </c>
    </row>
    <row r="3931" customFormat="false" ht="15" hidden="false" customHeight="false" outlineLevel="0" collapsed="false">
      <c r="A3931" s="27" t="n">
        <v>45608</v>
      </c>
      <c r="B3931" s="28" t="n">
        <v>2025</v>
      </c>
      <c r="C3931" s="28" t="s">
        <v>172</v>
      </c>
      <c r="D3931" s="28" t="s">
        <v>42</v>
      </c>
      <c r="E3931" s="28" t="s">
        <v>753</v>
      </c>
      <c r="F3931" s="28" t="s">
        <v>142</v>
      </c>
      <c r="G3931" s="28" t="s">
        <v>441</v>
      </c>
      <c r="H3931" s="28" t="s">
        <v>438</v>
      </c>
      <c r="I3931" s="29" t="n">
        <v>1250000</v>
      </c>
      <c r="J3931" s="29" t="n">
        <v>937500</v>
      </c>
      <c r="K3931" s="28" t="n">
        <v>10.5</v>
      </c>
      <c r="L3931" s="28" t="n">
        <v>120</v>
      </c>
      <c r="M3931" s="28" t="n">
        <v>11</v>
      </c>
    </row>
    <row r="3932" customFormat="false" ht="15" hidden="false" customHeight="false" outlineLevel="0" collapsed="false">
      <c r="A3932" s="27" t="n">
        <v>45609</v>
      </c>
      <c r="B3932" s="28" t="n">
        <v>2025</v>
      </c>
      <c r="C3932" s="28" t="s">
        <v>163</v>
      </c>
      <c r="D3932" s="28" t="s">
        <v>44</v>
      </c>
      <c r="E3932" s="28" t="s">
        <v>920</v>
      </c>
      <c r="F3932" s="28" t="s">
        <v>142</v>
      </c>
      <c r="G3932" s="28" t="s">
        <v>148</v>
      </c>
      <c r="H3932" s="28" t="s">
        <v>165</v>
      </c>
      <c r="I3932" s="29" t="n">
        <v>1435000</v>
      </c>
      <c r="J3932" s="29" t="n">
        <v>1076250</v>
      </c>
      <c r="K3932" s="28" t="n">
        <v>7.5</v>
      </c>
      <c r="L3932" s="28" t="n">
        <v>300</v>
      </c>
      <c r="M3932" s="28" t="n">
        <v>37</v>
      </c>
    </row>
    <row r="3933" customFormat="false" ht="15" hidden="false" customHeight="false" outlineLevel="0" collapsed="false">
      <c r="A3933" s="27" t="n">
        <v>45609</v>
      </c>
      <c r="B3933" s="28" t="n">
        <v>2025</v>
      </c>
      <c r="C3933" s="28" t="s">
        <v>198</v>
      </c>
      <c r="D3933" s="28" t="s">
        <v>42</v>
      </c>
      <c r="E3933" s="28" t="s">
        <v>753</v>
      </c>
      <c r="F3933" s="28" t="s">
        <v>142</v>
      </c>
      <c r="G3933" s="28" t="s">
        <v>148</v>
      </c>
      <c r="H3933" s="28" t="s">
        <v>144</v>
      </c>
      <c r="I3933" s="29" t="n">
        <v>215000</v>
      </c>
      <c r="J3933" s="29" t="n">
        <v>161250</v>
      </c>
      <c r="K3933" s="28" t="n">
        <v>11.49</v>
      </c>
      <c r="L3933" s="28" t="n">
        <v>120</v>
      </c>
      <c r="M3933" s="28" t="n">
        <v>6</v>
      </c>
    </row>
    <row r="3934" customFormat="false" ht="15" hidden="false" customHeight="false" outlineLevel="0" collapsed="false">
      <c r="A3934" s="27" t="n">
        <v>45609</v>
      </c>
      <c r="B3934" s="28" t="n">
        <v>2025</v>
      </c>
      <c r="C3934" s="28" t="s">
        <v>172</v>
      </c>
      <c r="D3934" s="28" t="s">
        <v>44</v>
      </c>
      <c r="E3934" s="28" t="s">
        <v>755</v>
      </c>
      <c r="F3934" s="28" t="s">
        <v>142</v>
      </c>
      <c r="G3934" s="28" t="s">
        <v>148</v>
      </c>
      <c r="H3934" s="28" t="s">
        <v>605</v>
      </c>
      <c r="I3934" s="29" t="n">
        <v>746500</v>
      </c>
      <c r="J3934" s="29" t="n">
        <v>559875</v>
      </c>
      <c r="K3934" s="28" t="n">
        <v>11</v>
      </c>
      <c r="L3934" s="28" t="n">
        <v>126</v>
      </c>
      <c r="M3934" s="28" t="n">
        <v>6</v>
      </c>
    </row>
    <row r="3935" customFormat="false" ht="15" hidden="false" customHeight="false" outlineLevel="0" collapsed="false">
      <c r="A3935" s="27" t="n">
        <v>45609</v>
      </c>
      <c r="B3935" s="28" t="n">
        <v>2025</v>
      </c>
      <c r="C3935" s="28" t="s">
        <v>198</v>
      </c>
      <c r="D3935" s="28" t="s">
        <v>44</v>
      </c>
      <c r="E3935" s="28" t="s">
        <v>751</v>
      </c>
      <c r="F3935" s="28" t="s">
        <v>142</v>
      </c>
      <c r="G3935" s="28" t="s">
        <v>441</v>
      </c>
      <c r="H3935" s="28" t="s">
        <v>469</v>
      </c>
      <c r="I3935" s="29" t="n">
        <v>441000</v>
      </c>
      <c r="J3935" s="29" t="n">
        <v>330750</v>
      </c>
      <c r="K3935" s="28" t="n">
        <v>7.5</v>
      </c>
      <c r="L3935" s="28" t="n">
        <v>300</v>
      </c>
      <c r="M3935" s="28" t="n">
        <v>13</v>
      </c>
    </row>
    <row r="3936" customFormat="false" ht="15" hidden="false" customHeight="false" outlineLevel="0" collapsed="false">
      <c r="A3936" s="27" t="n">
        <v>45610</v>
      </c>
      <c r="B3936" s="28" t="n">
        <v>2025</v>
      </c>
      <c r="C3936" s="28" t="s">
        <v>203</v>
      </c>
      <c r="D3936" s="28" t="s">
        <v>56</v>
      </c>
      <c r="E3936" s="28" t="s">
        <v>772</v>
      </c>
      <c r="F3936" s="28" t="s">
        <v>142</v>
      </c>
      <c r="G3936" s="28" t="s">
        <v>148</v>
      </c>
      <c r="H3936" s="28" t="s">
        <v>159</v>
      </c>
      <c r="I3936" s="29" t="n">
        <v>50000</v>
      </c>
      <c r="J3936" s="29" t="n">
        <v>42500</v>
      </c>
      <c r="K3936" s="28" t="n">
        <v>11.74</v>
      </c>
      <c r="L3936" s="28" t="n">
        <v>60</v>
      </c>
      <c r="M3936" s="28" t="n">
        <v>2</v>
      </c>
    </row>
    <row r="3937" customFormat="false" ht="15" hidden="false" customHeight="false" outlineLevel="0" collapsed="false">
      <c r="A3937" s="27" t="n">
        <v>45610</v>
      </c>
      <c r="B3937" s="28" t="n">
        <v>2025</v>
      </c>
      <c r="C3937" s="28" t="s">
        <v>252</v>
      </c>
      <c r="D3937" s="28" t="s">
        <v>44</v>
      </c>
      <c r="E3937" s="28" t="s">
        <v>759</v>
      </c>
      <c r="F3937" s="28" t="s">
        <v>142</v>
      </c>
      <c r="G3937" s="28" t="s">
        <v>143</v>
      </c>
      <c r="H3937" s="28" t="s">
        <v>605</v>
      </c>
      <c r="I3937" s="29" t="n">
        <v>290000</v>
      </c>
      <c r="J3937" s="29" t="n">
        <v>217500</v>
      </c>
      <c r="K3937" s="28" t="n">
        <v>11</v>
      </c>
      <c r="L3937" s="28" t="n">
        <v>123</v>
      </c>
      <c r="M3937" s="28" t="n">
        <v>6</v>
      </c>
    </row>
    <row r="3938" customFormat="false" ht="15" hidden="false" customHeight="false" outlineLevel="0" collapsed="false">
      <c r="A3938" s="27" t="n">
        <v>45610</v>
      </c>
      <c r="B3938" s="28" t="n">
        <v>2025</v>
      </c>
      <c r="C3938" s="28" t="s">
        <v>196</v>
      </c>
      <c r="D3938" s="28" t="s">
        <v>48</v>
      </c>
      <c r="E3938" s="28" t="s">
        <v>704</v>
      </c>
      <c r="F3938" s="28" t="s">
        <v>147</v>
      </c>
      <c r="G3938" s="28" t="s">
        <v>441</v>
      </c>
      <c r="H3938" s="28" t="s">
        <v>577</v>
      </c>
      <c r="I3938" s="29" t="n">
        <v>50000</v>
      </c>
      <c r="J3938" s="29" t="n">
        <v>25000</v>
      </c>
      <c r="K3938" s="28" t="n">
        <v>10.5</v>
      </c>
      <c r="L3938" s="28" t="n">
        <v>120</v>
      </c>
      <c r="M3938" s="28" t="n">
        <v>13</v>
      </c>
    </row>
    <row r="3939" customFormat="false" ht="15" hidden="false" customHeight="false" outlineLevel="0" collapsed="false">
      <c r="A3939" s="27" t="n">
        <v>45610</v>
      </c>
      <c r="B3939" s="28" t="n">
        <v>2025</v>
      </c>
      <c r="C3939" s="28" t="s">
        <v>203</v>
      </c>
      <c r="D3939" s="28" t="s">
        <v>42</v>
      </c>
      <c r="E3939" s="28" t="s">
        <v>705</v>
      </c>
      <c r="F3939" s="28" t="s">
        <v>142</v>
      </c>
      <c r="G3939" s="28" t="s">
        <v>148</v>
      </c>
      <c r="H3939" s="28" t="s">
        <v>326</v>
      </c>
      <c r="I3939" s="29" t="n">
        <v>5000000</v>
      </c>
      <c r="J3939" s="29" t="n">
        <v>3750000</v>
      </c>
      <c r="K3939" s="28" t="n">
        <v>9.5</v>
      </c>
      <c r="L3939" s="28" t="n">
        <v>300</v>
      </c>
      <c r="M3939" s="28" t="n">
        <v>20</v>
      </c>
    </row>
    <row r="3940" customFormat="false" ht="15" hidden="false" customHeight="false" outlineLevel="0" collapsed="false">
      <c r="A3940" s="27" t="n">
        <v>45610</v>
      </c>
      <c r="B3940" s="28" t="n">
        <v>2025</v>
      </c>
      <c r="C3940" s="28" t="s">
        <v>172</v>
      </c>
      <c r="D3940" s="28" t="s">
        <v>42</v>
      </c>
      <c r="E3940" s="28" t="s">
        <v>176</v>
      </c>
      <c r="F3940" s="28" t="s">
        <v>142</v>
      </c>
      <c r="G3940" s="28" t="s">
        <v>148</v>
      </c>
      <c r="H3940" s="28" t="s">
        <v>275</v>
      </c>
      <c r="I3940" s="29" t="n">
        <v>50000</v>
      </c>
      <c r="J3940" s="29" t="n">
        <v>42500</v>
      </c>
      <c r="K3940" s="28" t="n">
        <v>14.5</v>
      </c>
      <c r="L3940" s="28" t="n">
        <v>120</v>
      </c>
      <c r="M3940" s="28" t="n">
        <v>4</v>
      </c>
    </row>
    <row r="3941" customFormat="false" ht="15" hidden="false" customHeight="false" outlineLevel="0" collapsed="false">
      <c r="A3941" s="27" t="n">
        <v>45610</v>
      </c>
      <c r="B3941" s="28" t="n">
        <v>2025</v>
      </c>
      <c r="C3941" s="28" t="s">
        <v>169</v>
      </c>
      <c r="D3941" s="28" t="s">
        <v>43</v>
      </c>
      <c r="E3941" s="28" t="s">
        <v>967</v>
      </c>
      <c r="F3941" s="28" t="s">
        <v>142</v>
      </c>
      <c r="G3941" s="28" t="s">
        <v>148</v>
      </c>
      <c r="H3941" s="28" t="s">
        <v>771</v>
      </c>
      <c r="I3941" s="29" t="n">
        <v>50000</v>
      </c>
      <c r="J3941" s="29" t="n">
        <v>42500</v>
      </c>
      <c r="K3941" s="28" t="n">
        <v>10.75</v>
      </c>
      <c r="L3941" s="28" t="n">
        <v>120</v>
      </c>
      <c r="M3941" s="28" t="n">
        <v>1</v>
      </c>
    </row>
    <row r="3942" customFormat="false" ht="15" hidden="false" customHeight="false" outlineLevel="0" collapsed="false">
      <c r="A3942" s="27" t="n">
        <v>45610</v>
      </c>
      <c r="B3942" s="28" t="n">
        <v>2025</v>
      </c>
      <c r="C3942" s="28" t="s">
        <v>384</v>
      </c>
      <c r="D3942" s="28" t="s">
        <v>44</v>
      </c>
      <c r="E3942" s="28" t="s">
        <v>755</v>
      </c>
      <c r="F3942" s="28" t="s">
        <v>147</v>
      </c>
      <c r="G3942" s="28" t="s">
        <v>143</v>
      </c>
      <c r="H3942" s="28" t="s">
        <v>162</v>
      </c>
      <c r="I3942" s="29" t="n">
        <v>387000</v>
      </c>
      <c r="J3942" s="29" t="n">
        <v>193500</v>
      </c>
      <c r="K3942" s="28" t="n">
        <v>5.95</v>
      </c>
      <c r="L3942" s="28" t="n">
        <v>300</v>
      </c>
      <c r="M3942" s="28" t="n">
        <v>2</v>
      </c>
    </row>
    <row r="3943" customFormat="false" ht="15" hidden="false" customHeight="false" outlineLevel="0" collapsed="false">
      <c r="A3943" s="27" t="n">
        <v>45610</v>
      </c>
      <c r="B3943" s="28" t="n">
        <v>2025</v>
      </c>
      <c r="C3943" s="28" t="s">
        <v>172</v>
      </c>
      <c r="D3943" s="28" t="s">
        <v>43</v>
      </c>
      <c r="E3943" s="28" t="s">
        <v>972</v>
      </c>
      <c r="F3943" s="28" t="s">
        <v>147</v>
      </c>
      <c r="G3943" s="28" t="s">
        <v>148</v>
      </c>
      <c r="H3943" s="28" t="s">
        <v>191</v>
      </c>
      <c r="I3943" s="29" t="n">
        <v>20000</v>
      </c>
      <c r="J3943" s="29" t="n">
        <v>10000</v>
      </c>
      <c r="K3943" s="28" t="n">
        <v>13.4</v>
      </c>
      <c r="L3943" s="28" t="n">
        <v>120</v>
      </c>
      <c r="M3943" s="28" t="n">
        <v>2</v>
      </c>
    </row>
    <row r="3944" customFormat="false" ht="15" hidden="false" customHeight="false" outlineLevel="0" collapsed="false">
      <c r="A3944" s="27" t="n">
        <v>45610</v>
      </c>
      <c r="B3944" s="28" t="n">
        <v>2025</v>
      </c>
      <c r="C3944" s="28" t="s">
        <v>368</v>
      </c>
      <c r="D3944" s="28" t="s">
        <v>43</v>
      </c>
      <c r="E3944" s="28" t="s">
        <v>886</v>
      </c>
      <c r="F3944" s="28" t="s">
        <v>142</v>
      </c>
      <c r="G3944" s="28" t="s">
        <v>148</v>
      </c>
      <c r="H3944" s="28" t="s">
        <v>1111</v>
      </c>
      <c r="I3944" s="29" t="n">
        <v>868000</v>
      </c>
      <c r="J3944" s="29" t="n">
        <v>651000</v>
      </c>
      <c r="K3944" s="28" t="n">
        <v>10</v>
      </c>
      <c r="L3944" s="28" t="n">
        <v>300</v>
      </c>
      <c r="M3944" s="28" t="n">
        <v>4</v>
      </c>
    </row>
    <row r="3945" customFormat="false" ht="15" hidden="false" customHeight="false" outlineLevel="0" collapsed="false">
      <c r="A3945" s="27" t="n">
        <v>45610</v>
      </c>
      <c r="B3945" s="28" t="n">
        <v>2025</v>
      </c>
      <c r="C3945" s="28" t="s">
        <v>203</v>
      </c>
      <c r="D3945" s="28" t="s">
        <v>43</v>
      </c>
      <c r="E3945" s="28" t="s">
        <v>893</v>
      </c>
      <c r="F3945" s="28" t="s">
        <v>142</v>
      </c>
      <c r="G3945" s="28" t="s">
        <v>152</v>
      </c>
      <c r="H3945" s="28" t="s">
        <v>486</v>
      </c>
      <c r="I3945" s="29" t="n">
        <v>2240000</v>
      </c>
      <c r="J3945" s="29" t="n">
        <v>1680000</v>
      </c>
      <c r="K3945" s="28" t="n">
        <v>9.75</v>
      </c>
      <c r="L3945" s="28" t="n">
        <v>120</v>
      </c>
      <c r="M3945" s="28" t="n">
        <v>17</v>
      </c>
    </row>
    <row r="3946" customFormat="false" ht="15" hidden="false" customHeight="false" outlineLevel="0" collapsed="false">
      <c r="A3946" s="27" t="n">
        <v>45610</v>
      </c>
      <c r="B3946" s="28" t="n">
        <v>2025</v>
      </c>
      <c r="C3946" s="28" t="s">
        <v>203</v>
      </c>
      <c r="D3946" s="28" t="s">
        <v>46</v>
      </c>
      <c r="E3946" s="28" t="s">
        <v>813</v>
      </c>
      <c r="F3946" s="28" t="s">
        <v>142</v>
      </c>
      <c r="G3946" s="28" t="s">
        <v>148</v>
      </c>
      <c r="H3946" s="28" t="s">
        <v>404</v>
      </c>
      <c r="I3946" s="29" t="n">
        <v>872000</v>
      </c>
      <c r="J3946" s="29" t="n">
        <v>654000</v>
      </c>
      <c r="K3946" s="28" t="n">
        <v>9.25</v>
      </c>
      <c r="L3946" s="28" t="n">
        <v>300</v>
      </c>
      <c r="M3946" s="28" t="n">
        <v>7</v>
      </c>
    </row>
    <row r="3947" customFormat="false" ht="15" hidden="false" customHeight="false" outlineLevel="0" collapsed="false">
      <c r="A3947" s="27" t="n">
        <v>45611</v>
      </c>
      <c r="B3947" s="28" t="n">
        <v>2025</v>
      </c>
      <c r="C3947" s="28" t="s">
        <v>166</v>
      </c>
      <c r="D3947" s="28" t="s">
        <v>50</v>
      </c>
      <c r="E3947" s="28" t="s">
        <v>193</v>
      </c>
      <c r="F3947" s="28" t="s">
        <v>142</v>
      </c>
      <c r="G3947" s="28" t="s">
        <v>148</v>
      </c>
      <c r="H3947" s="28" t="s">
        <v>693</v>
      </c>
      <c r="I3947" s="29" t="n">
        <v>65000</v>
      </c>
      <c r="J3947" s="29" t="n">
        <v>55250</v>
      </c>
      <c r="K3947" s="28" t="n">
        <v>11</v>
      </c>
      <c r="L3947" s="28" t="n">
        <v>120</v>
      </c>
      <c r="M3947" s="28" t="n">
        <v>1</v>
      </c>
    </row>
    <row r="3948" customFormat="false" ht="15" hidden="false" customHeight="false" outlineLevel="0" collapsed="false">
      <c r="A3948" s="27" t="n">
        <v>45611</v>
      </c>
      <c r="B3948" s="28" t="n">
        <v>2025</v>
      </c>
      <c r="C3948" s="28" t="s">
        <v>169</v>
      </c>
      <c r="D3948" s="28" t="s">
        <v>52</v>
      </c>
      <c r="E3948" s="28" t="s">
        <v>720</v>
      </c>
      <c r="F3948" s="28" t="s">
        <v>147</v>
      </c>
      <c r="G3948" s="28" t="s">
        <v>441</v>
      </c>
      <c r="H3948" s="28" t="s">
        <v>168</v>
      </c>
      <c r="I3948" s="29" t="n">
        <v>20000</v>
      </c>
      <c r="J3948" s="29" t="n">
        <v>10000</v>
      </c>
      <c r="K3948" s="28" t="n">
        <v>14.25</v>
      </c>
      <c r="L3948" s="28" t="n">
        <v>120</v>
      </c>
      <c r="M3948" s="28" t="n">
        <v>0</v>
      </c>
    </row>
    <row r="3949" customFormat="false" ht="15" hidden="false" customHeight="false" outlineLevel="0" collapsed="false">
      <c r="A3949" s="27" t="n">
        <v>45611</v>
      </c>
      <c r="B3949" s="28" t="n">
        <v>2025</v>
      </c>
      <c r="C3949" s="28" t="s">
        <v>172</v>
      </c>
      <c r="D3949" s="28" t="s">
        <v>48</v>
      </c>
      <c r="E3949" s="28" t="s">
        <v>815</v>
      </c>
      <c r="F3949" s="28" t="s">
        <v>142</v>
      </c>
      <c r="G3949" s="28" t="s">
        <v>148</v>
      </c>
      <c r="H3949" s="28" t="s">
        <v>953</v>
      </c>
      <c r="I3949" s="29" t="n">
        <v>350000</v>
      </c>
      <c r="J3949" s="29" t="n">
        <v>262500</v>
      </c>
      <c r="K3949" s="28" t="n">
        <v>11</v>
      </c>
      <c r="L3949" s="28" t="n">
        <v>120</v>
      </c>
      <c r="M3949" s="28" t="n">
        <v>4</v>
      </c>
    </row>
    <row r="3950" customFormat="false" ht="15" hidden="false" customHeight="false" outlineLevel="0" collapsed="false">
      <c r="A3950" s="27" t="n">
        <v>45611</v>
      </c>
      <c r="B3950" s="28" t="n">
        <v>2025</v>
      </c>
      <c r="C3950" s="28" t="s">
        <v>172</v>
      </c>
      <c r="D3950" s="28" t="s">
        <v>46</v>
      </c>
      <c r="E3950" s="28" t="s">
        <v>727</v>
      </c>
      <c r="F3950" s="28" t="s">
        <v>142</v>
      </c>
      <c r="G3950" s="28" t="s">
        <v>441</v>
      </c>
      <c r="H3950" s="28" t="s">
        <v>953</v>
      </c>
      <c r="I3950" s="29" t="n">
        <v>325000</v>
      </c>
      <c r="J3950" s="29" t="n">
        <v>243750</v>
      </c>
      <c r="K3950" s="28" t="n">
        <v>11</v>
      </c>
      <c r="L3950" s="28" t="n">
        <v>128</v>
      </c>
      <c r="M3950" s="28" t="n">
        <v>32</v>
      </c>
    </row>
    <row r="3951" customFormat="false" ht="15" hidden="false" customHeight="false" outlineLevel="0" collapsed="false">
      <c r="A3951" s="27" t="n">
        <v>45614</v>
      </c>
      <c r="B3951" s="28" t="n">
        <v>2025</v>
      </c>
      <c r="C3951" s="28" t="s">
        <v>169</v>
      </c>
      <c r="D3951" s="28" t="s">
        <v>44</v>
      </c>
      <c r="E3951" s="28" t="s">
        <v>730</v>
      </c>
      <c r="F3951" s="28" t="s">
        <v>142</v>
      </c>
      <c r="G3951" s="28" t="s">
        <v>441</v>
      </c>
      <c r="H3951" s="28" t="s">
        <v>211</v>
      </c>
      <c r="I3951" s="29" t="n">
        <v>634300</v>
      </c>
      <c r="J3951" s="29" t="n">
        <v>475725</v>
      </c>
      <c r="K3951" s="28" t="n">
        <v>10.5</v>
      </c>
      <c r="L3951" s="28" t="n">
        <v>120</v>
      </c>
      <c r="M3951" s="28" t="n">
        <v>21</v>
      </c>
    </row>
    <row r="3952" customFormat="false" ht="15" hidden="false" customHeight="false" outlineLevel="0" collapsed="false">
      <c r="A3952" s="27" t="n">
        <v>45614</v>
      </c>
      <c r="B3952" s="28" t="n">
        <v>2025</v>
      </c>
      <c r="C3952" s="28" t="s">
        <v>198</v>
      </c>
      <c r="D3952" s="28" t="s">
        <v>43</v>
      </c>
      <c r="E3952" s="28" t="s">
        <v>846</v>
      </c>
      <c r="F3952" s="28" t="s">
        <v>147</v>
      </c>
      <c r="G3952" s="28" t="s">
        <v>441</v>
      </c>
      <c r="H3952" s="28" t="s">
        <v>516</v>
      </c>
      <c r="I3952" s="29" t="n">
        <v>120000</v>
      </c>
      <c r="J3952" s="29" t="n">
        <v>60000</v>
      </c>
      <c r="K3952" s="28" t="n">
        <v>10</v>
      </c>
      <c r="L3952" s="28" t="n">
        <v>120</v>
      </c>
      <c r="M3952" s="28" t="n">
        <v>6</v>
      </c>
    </row>
    <row r="3953" customFormat="false" ht="15" hidden="false" customHeight="false" outlineLevel="0" collapsed="false">
      <c r="A3953" s="27" t="n">
        <v>45614</v>
      </c>
      <c r="B3953" s="28" t="n">
        <v>2025</v>
      </c>
      <c r="C3953" s="28" t="s">
        <v>172</v>
      </c>
      <c r="D3953" s="28" t="s">
        <v>44</v>
      </c>
      <c r="E3953" s="28" t="s">
        <v>755</v>
      </c>
      <c r="F3953" s="28" t="s">
        <v>142</v>
      </c>
      <c r="G3953" s="28" t="s">
        <v>148</v>
      </c>
      <c r="H3953" s="28" t="s">
        <v>470</v>
      </c>
      <c r="I3953" s="29" t="n">
        <v>150000</v>
      </c>
      <c r="J3953" s="29" t="n">
        <v>127500</v>
      </c>
      <c r="K3953" s="28" t="n">
        <v>9.5</v>
      </c>
      <c r="L3953" s="28" t="n">
        <v>120</v>
      </c>
      <c r="M3953" s="28" t="n">
        <v>7</v>
      </c>
    </row>
    <row r="3954" customFormat="false" ht="15" hidden="false" customHeight="false" outlineLevel="0" collapsed="false">
      <c r="A3954" s="27" t="n">
        <v>45614</v>
      </c>
      <c r="B3954" s="28" t="n">
        <v>2025</v>
      </c>
      <c r="C3954" s="28" t="s">
        <v>515</v>
      </c>
      <c r="D3954" s="28" t="s">
        <v>45</v>
      </c>
      <c r="E3954" s="28" t="s">
        <v>745</v>
      </c>
      <c r="F3954" s="28" t="s">
        <v>142</v>
      </c>
      <c r="G3954" s="28" t="s">
        <v>148</v>
      </c>
      <c r="H3954" s="28" t="s">
        <v>771</v>
      </c>
      <c r="I3954" s="29" t="n">
        <v>225000</v>
      </c>
      <c r="J3954" s="29" t="n">
        <v>168750</v>
      </c>
      <c r="K3954" s="28" t="n">
        <v>10.75</v>
      </c>
      <c r="L3954" s="28" t="n">
        <v>120</v>
      </c>
      <c r="M3954" s="28" t="n">
        <v>1</v>
      </c>
    </row>
    <row r="3955" customFormat="false" ht="15" hidden="false" customHeight="false" outlineLevel="0" collapsed="false">
      <c r="A3955" s="27" t="n">
        <v>45615</v>
      </c>
      <c r="B3955" s="28" t="n">
        <v>2025</v>
      </c>
      <c r="C3955" s="28" t="s">
        <v>172</v>
      </c>
      <c r="D3955" s="28" t="s">
        <v>44</v>
      </c>
      <c r="E3955" s="28" t="s">
        <v>783</v>
      </c>
      <c r="F3955" s="28" t="s">
        <v>194</v>
      </c>
      <c r="G3955" s="28" t="s">
        <v>143</v>
      </c>
      <c r="H3955" s="28" t="s">
        <v>413</v>
      </c>
      <c r="I3955" s="29" t="n">
        <v>1477000</v>
      </c>
      <c r="J3955" s="29" t="n">
        <v>1107750</v>
      </c>
      <c r="K3955" s="28" t="n">
        <v>9.25</v>
      </c>
      <c r="L3955" s="28" t="n">
        <v>300</v>
      </c>
      <c r="M3955" s="28" t="n">
        <v>4</v>
      </c>
    </row>
    <row r="3956" customFormat="false" ht="15" hidden="false" customHeight="false" outlineLevel="0" collapsed="false">
      <c r="A3956" s="27" t="n">
        <v>45615</v>
      </c>
      <c r="B3956" s="28" t="n">
        <v>2025</v>
      </c>
      <c r="C3956" s="28" t="s">
        <v>172</v>
      </c>
      <c r="D3956" s="28" t="s">
        <v>44</v>
      </c>
      <c r="E3956" s="28" t="s">
        <v>759</v>
      </c>
      <c r="F3956" s="28" t="s">
        <v>142</v>
      </c>
      <c r="G3956" s="28" t="s">
        <v>148</v>
      </c>
      <c r="H3956" s="28" t="s">
        <v>171</v>
      </c>
      <c r="I3956" s="29" t="n">
        <v>150000</v>
      </c>
      <c r="J3956" s="29" t="n">
        <v>127500</v>
      </c>
      <c r="K3956" s="28" t="n">
        <v>12.75</v>
      </c>
      <c r="L3956" s="28" t="n">
        <v>120</v>
      </c>
      <c r="M3956" s="28" t="n">
        <v>1</v>
      </c>
    </row>
    <row r="3957" customFormat="false" ht="15" hidden="false" customHeight="false" outlineLevel="0" collapsed="false">
      <c r="A3957" s="27" t="n">
        <v>45615</v>
      </c>
      <c r="B3957" s="28" t="n">
        <v>2025</v>
      </c>
      <c r="C3957" s="28" t="s">
        <v>353</v>
      </c>
      <c r="D3957" s="28" t="s">
        <v>45</v>
      </c>
      <c r="E3957" s="28" t="s">
        <v>480</v>
      </c>
      <c r="F3957" s="28" t="s">
        <v>147</v>
      </c>
      <c r="G3957" s="28" t="s">
        <v>148</v>
      </c>
      <c r="H3957" s="28" t="s">
        <v>354</v>
      </c>
      <c r="I3957" s="29" t="n">
        <v>196700</v>
      </c>
      <c r="J3957" s="29" t="n">
        <v>98350</v>
      </c>
      <c r="K3957" s="28" t="n">
        <v>6.75</v>
      </c>
      <c r="L3957" s="28" t="n">
        <v>120</v>
      </c>
      <c r="M3957" s="28" t="n">
        <v>1</v>
      </c>
    </row>
    <row r="3958" customFormat="false" ht="15" hidden="false" customHeight="false" outlineLevel="0" collapsed="false">
      <c r="A3958" s="27" t="n">
        <v>45616</v>
      </c>
      <c r="B3958" s="28" t="n">
        <v>2025</v>
      </c>
      <c r="C3958" s="28" t="s">
        <v>175</v>
      </c>
      <c r="D3958" s="28" t="s">
        <v>48</v>
      </c>
      <c r="E3958" s="28" t="s">
        <v>840</v>
      </c>
      <c r="F3958" s="28" t="s">
        <v>142</v>
      </c>
      <c r="G3958" s="28" t="s">
        <v>148</v>
      </c>
      <c r="H3958" s="28" t="s">
        <v>275</v>
      </c>
      <c r="I3958" s="29" t="n">
        <v>200000</v>
      </c>
      <c r="J3958" s="29" t="n">
        <v>150000</v>
      </c>
      <c r="K3958" s="28" t="n">
        <v>10.75</v>
      </c>
      <c r="L3958" s="28" t="n">
        <v>120</v>
      </c>
      <c r="M3958" s="28" t="n">
        <v>0</v>
      </c>
    </row>
    <row r="3959" customFormat="false" ht="15" hidden="false" customHeight="false" outlineLevel="0" collapsed="false">
      <c r="A3959" s="27" t="n">
        <v>45616</v>
      </c>
      <c r="B3959" s="28" t="n">
        <v>2025</v>
      </c>
      <c r="C3959" s="28" t="s">
        <v>163</v>
      </c>
      <c r="D3959" s="28" t="s">
        <v>51</v>
      </c>
      <c r="E3959" s="28" t="s">
        <v>779</v>
      </c>
      <c r="F3959" s="28" t="s">
        <v>147</v>
      </c>
      <c r="G3959" s="28" t="s">
        <v>143</v>
      </c>
      <c r="H3959" s="28" t="s">
        <v>211</v>
      </c>
      <c r="I3959" s="29" t="n">
        <v>40000</v>
      </c>
      <c r="J3959" s="29" t="n">
        <v>20000</v>
      </c>
      <c r="K3959" s="28" t="n">
        <v>10.75</v>
      </c>
      <c r="L3959" s="28" t="n">
        <v>120</v>
      </c>
      <c r="M3959" s="28" t="n">
        <v>5</v>
      </c>
    </row>
    <row r="3960" customFormat="false" ht="15" hidden="false" customHeight="false" outlineLevel="0" collapsed="false">
      <c r="A3960" s="27" t="n">
        <v>45616</v>
      </c>
      <c r="B3960" s="28" t="n">
        <v>2025</v>
      </c>
      <c r="C3960" s="28" t="s">
        <v>160</v>
      </c>
      <c r="D3960" s="28" t="s">
        <v>43</v>
      </c>
      <c r="E3960" s="28" t="s">
        <v>1045</v>
      </c>
      <c r="F3960" s="28" t="s">
        <v>142</v>
      </c>
      <c r="G3960" s="28" t="s">
        <v>148</v>
      </c>
      <c r="H3960" s="28" t="s">
        <v>469</v>
      </c>
      <c r="I3960" s="29" t="n">
        <v>175000</v>
      </c>
      <c r="J3960" s="29" t="n">
        <v>131250</v>
      </c>
      <c r="K3960" s="28" t="n">
        <v>8.5</v>
      </c>
      <c r="L3960" s="28" t="n">
        <v>120</v>
      </c>
      <c r="M3960" s="28" t="n">
        <v>33</v>
      </c>
    </row>
    <row r="3961" customFormat="false" ht="15" hidden="false" customHeight="false" outlineLevel="0" collapsed="false">
      <c r="A3961" s="27" t="n">
        <v>45616</v>
      </c>
      <c r="B3961" s="28" t="n">
        <v>2025</v>
      </c>
      <c r="C3961" s="28" t="s">
        <v>198</v>
      </c>
      <c r="D3961" s="28" t="s">
        <v>49</v>
      </c>
      <c r="E3961" s="28" t="s">
        <v>1112</v>
      </c>
      <c r="F3961" s="28" t="s">
        <v>142</v>
      </c>
      <c r="G3961" s="28" t="s">
        <v>441</v>
      </c>
      <c r="H3961" s="28" t="s">
        <v>469</v>
      </c>
      <c r="I3961" s="29" t="n">
        <v>270000</v>
      </c>
      <c r="J3961" s="29" t="n">
        <v>202500</v>
      </c>
      <c r="K3961" s="28" t="n">
        <v>6.75</v>
      </c>
      <c r="L3961" s="28" t="n">
        <v>300</v>
      </c>
      <c r="M3961" s="28" t="n">
        <v>0</v>
      </c>
    </row>
    <row r="3962" customFormat="false" ht="15" hidden="false" customHeight="false" outlineLevel="0" collapsed="false">
      <c r="A3962" s="27" t="n">
        <v>45616</v>
      </c>
      <c r="B3962" s="28" t="n">
        <v>2025</v>
      </c>
      <c r="C3962" s="28" t="s">
        <v>423</v>
      </c>
      <c r="D3962" s="28" t="s">
        <v>46</v>
      </c>
      <c r="E3962" s="28" t="s">
        <v>719</v>
      </c>
      <c r="F3962" s="28" t="s">
        <v>142</v>
      </c>
      <c r="G3962" s="28" t="s">
        <v>148</v>
      </c>
      <c r="H3962" s="28" t="s">
        <v>579</v>
      </c>
      <c r="I3962" s="29" t="n">
        <v>200000</v>
      </c>
      <c r="J3962" s="29" t="n">
        <v>150000</v>
      </c>
      <c r="K3962" s="28" t="n">
        <v>10.75</v>
      </c>
      <c r="L3962" s="28" t="n">
        <v>120</v>
      </c>
      <c r="M3962" s="28" t="n">
        <v>2</v>
      </c>
    </row>
    <row r="3963" customFormat="false" ht="15" hidden="false" customHeight="false" outlineLevel="0" collapsed="false">
      <c r="A3963" s="27" t="n">
        <v>45616</v>
      </c>
      <c r="B3963" s="28" t="n">
        <v>2025</v>
      </c>
      <c r="C3963" s="28" t="s">
        <v>140</v>
      </c>
      <c r="D3963" s="28" t="s">
        <v>45</v>
      </c>
      <c r="E3963" s="28" t="s">
        <v>872</v>
      </c>
      <c r="F3963" s="28" t="s">
        <v>142</v>
      </c>
      <c r="G3963" s="28" t="s">
        <v>148</v>
      </c>
      <c r="H3963" s="28" t="s">
        <v>269</v>
      </c>
      <c r="I3963" s="29" t="n">
        <v>150000</v>
      </c>
      <c r="J3963" s="29" t="n">
        <v>127500</v>
      </c>
      <c r="K3963" s="28" t="n">
        <v>10.75</v>
      </c>
      <c r="L3963" s="28" t="n">
        <v>120</v>
      </c>
      <c r="M3963" s="28" t="n">
        <v>5</v>
      </c>
    </row>
    <row r="3964" customFormat="false" ht="15" hidden="false" customHeight="false" outlineLevel="0" collapsed="false">
      <c r="A3964" s="27" t="n">
        <v>45616</v>
      </c>
      <c r="B3964" s="28" t="n">
        <v>2025</v>
      </c>
      <c r="C3964" s="28" t="s">
        <v>169</v>
      </c>
      <c r="D3964" s="28" t="s">
        <v>48</v>
      </c>
      <c r="E3964" s="28" t="s">
        <v>840</v>
      </c>
      <c r="F3964" s="28" t="s">
        <v>142</v>
      </c>
      <c r="G3964" s="28" t="s">
        <v>148</v>
      </c>
      <c r="H3964" s="28" t="s">
        <v>275</v>
      </c>
      <c r="I3964" s="29" t="n">
        <v>50000</v>
      </c>
      <c r="J3964" s="29" t="n">
        <v>42500</v>
      </c>
      <c r="K3964" s="28" t="n">
        <v>14.5</v>
      </c>
      <c r="L3964" s="28" t="n">
        <v>120</v>
      </c>
      <c r="M3964" s="28" t="n">
        <v>0</v>
      </c>
    </row>
    <row r="3965" customFormat="false" ht="15" hidden="false" customHeight="false" outlineLevel="0" collapsed="false">
      <c r="A3965" s="27" t="n">
        <v>45616</v>
      </c>
      <c r="B3965" s="28" t="n">
        <v>2025</v>
      </c>
      <c r="C3965" s="28" t="s">
        <v>163</v>
      </c>
      <c r="D3965" s="28" t="s">
        <v>51</v>
      </c>
      <c r="E3965" s="28" t="s">
        <v>779</v>
      </c>
      <c r="F3965" s="28" t="s">
        <v>142</v>
      </c>
      <c r="G3965" s="28" t="s">
        <v>143</v>
      </c>
      <c r="H3965" s="28" t="s">
        <v>211</v>
      </c>
      <c r="I3965" s="29" t="n">
        <v>490000</v>
      </c>
      <c r="J3965" s="29" t="n">
        <v>367500</v>
      </c>
      <c r="K3965" s="28" t="n">
        <v>10.75</v>
      </c>
      <c r="L3965" s="28" t="n">
        <v>120</v>
      </c>
      <c r="M3965" s="28" t="n">
        <v>5</v>
      </c>
    </row>
    <row r="3966" customFormat="false" ht="15" hidden="false" customHeight="false" outlineLevel="0" collapsed="false">
      <c r="A3966" s="27" t="n">
        <v>45616</v>
      </c>
      <c r="B3966" s="28" t="n">
        <v>2025</v>
      </c>
      <c r="C3966" s="28" t="s">
        <v>169</v>
      </c>
      <c r="D3966" s="28" t="s">
        <v>42</v>
      </c>
      <c r="E3966" s="28" t="s">
        <v>753</v>
      </c>
      <c r="F3966" s="28" t="s">
        <v>142</v>
      </c>
      <c r="G3966" s="28" t="s">
        <v>148</v>
      </c>
      <c r="H3966" s="28" t="s">
        <v>275</v>
      </c>
      <c r="I3966" s="29" t="n">
        <v>50000</v>
      </c>
      <c r="J3966" s="29" t="n">
        <v>42500</v>
      </c>
      <c r="K3966" s="28" t="n">
        <v>14.5</v>
      </c>
      <c r="L3966" s="28" t="n">
        <v>120</v>
      </c>
      <c r="M3966" s="28" t="n">
        <v>0</v>
      </c>
    </row>
    <row r="3967" customFormat="false" ht="15" hidden="false" customHeight="false" outlineLevel="0" collapsed="false">
      <c r="A3967" s="27" t="n">
        <v>45618</v>
      </c>
      <c r="B3967" s="28" t="n">
        <v>2025</v>
      </c>
      <c r="C3967" s="28" t="s">
        <v>196</v>
      </c>
      <c r="D3967" s="28" t="s">
        <v>46</v>
      </c>
      <c r="E3967" s="28" t="s">
        <v>806</v>
      </c>
      <c r="F3967" s="28" t="s">
        <v>142</v>
      </c>
      <c r="G3967" s="28" t="s">
        <v>148</v>
      </c>
      <c r="H3967" s="28" t="s">
        <v>592</v>
      </c>
      <c r="I3967" s="29" t="n">
        <v>850000</v>
      </c>
      <c r="J3967" s="29" t="n">
        <v>637500</v>
      </c>
      <c r="K3967" s="28" t="n">
        <v>10</v>
      </c>
      <c r="L3967" s="28" t="n">
        <v>120</v>
      </c>
      <c r="M3967" s="28" t="n">
        <v>14</v>
      </c>
    </row>
    <row r="3968" customFormat="false" ht="15" hidden="false" customHeight="false" outlineLevel="0" collapsed="false">
      <c r="A3968" s="27" t="n">
        <v>45618</v>
      </c>
      <c r="B3968" s="28" t="n">
        <v>2025</v>
      </c>
      <c r="C3968" s="28" t="s">
        <v>145</v>
      </c>
      <c r="D3968" s="28" t="s">
        <v>50</v>
      </c>
      <c r="E3968" s="28" t="s">
        <v>193</v>
      </c>
      <c r="F3968" s="28" t="s">
        <v>147</v>
      </c>
      <c r="G3968" s="28" t="s">
        <v>148</v>
      </c>
      <c r="H3968" s="28" t="s">
        <v>159</v>
      </c>
      <c r="I3968" s="29" t="n">
        <v>100000</v>
      </c>
      <c r="J3968" s="29" t="n">
        <v>50000</v>
      </c>
      <c r="K3968" s="28" t="n">
        <v>12.5</v>
      </c>
      <c r="L3968" s="28" t="n">
        <v>120</v>
      </c>
      <c r="M3968" s="28" t="n">
        <v>0</v>
      </c>
    </row>
    <row r="3969" customFormat="false" ht="15" hidden="false" customHeight="false" outlineLevel="0" collapsed="false">
      <c r="A3969" s="27" t="n">
        <v>45618</v>
      </c>
      <c r="B3969" s="28" t="n">
        <v>2025</v>
      </c>
      <c r="C3969" s="28" t="s">
        <v>169</v>
      </c>
      <c r="D3969" s="28" t="s">
        <v>48</v>
      </c>
      <c r="E3969" s="28" t="s">
        <v>797</v>
      </c>
      <c r="F3969" s="28" t="s">
        <v>142</v>
      </c>
      <c r="G3969" s="28" t="s">
        <v>148</v>
      </c>
      <c r="H3969" s="28" t="s">
        <v>165</v>
      </c>
      <c r="I3969" s="29" t="n">
        <v>612500</v>
      </c>
      <c r="J3969" s="29" t="n">
        <v>459375</v>
      </c>
      <c r="K3969" s="28" t="n">
        <v>9.5</v>
      </c>
      <c r="L3969" s="28" t="n">
        <v>84</v>
      </c>
      <c r="M3969" s="28" t="n">
        <v>12</v>
      </c>
    </row>
    <row r="3970" customFormat="false" ht="15" hidden="false" customHeight="false" outlineLevel="0" collapsed="false">
      <c r="A3970" s="27" t="n">
        <v>45618</v>
      </c>
      <c r="B3970" s="28" t="n">
        <v>2025</v>
      </c>
      <c r="C3970" s="28" t="s">
        <v>203</v>
      </c>
      <c r="D3970" s="28" t="s">
        <v>47</v>
      </c>
      <c r="E3970" s="28" t="s">
        <v>1113</v>
      </c>
      <c r="F3970" s="28" t="s">
        <v>142</v>
      </c>
      <c r="G3970" s="28" t="s">
        <v>148</v>
      </c>
      <c r="H3970" s="28" t="s">
        <v>168</v>
      </c>
      <c r="I3970" s="29" t="n">
        <v>1196700</v>
      </c>
      <c r="J3970" s="29" t="n">
        <v>897525</v>
      </c>
      <c r="K3970" s="28" t="n">
        <v>7.55</v>
      </c>
      <c r="L3970" s="28" t="n">
        <v>84</v>
      </c>
      <c r="M3970" s="28" t="n">
        <v>24</v>
      </c>
    </row>
    <row r="3971" customFormat="false" ht="15" hidden="false" customHeight="false" outlineLevel="0" collapsed="false">
      <c r="A3971" s="27" t="n">
        <v>45618</v>
      </c>
      <c r="B3971" s="28" t="n">
        <v>2025</v>
      </c>
      <c r="C3971" s="28" t="s">
        <v>172</v>
      </c>
      <c r="D3971" s="28" t="s">
        <v>42</v>
      </c>
      <c r="E3971" s="28" t="s">
        <v>753</v>
      </c>
      <c r="F3971" s="28" t="s">
        <v>142</v>
      </c>
      <c r="G3971" s="28" t="s">
        <v>148</v>
      </c>
      <c r="H3971" s="28" t="s">
        <v>269</v>
      </c>
      <c r="I3971" s="29" t="n">
        <v>150000</v>
      </c>
      <c r="J3971" s="29" t="n">
        <v>127500</v>
      </c>
      <c r="K3971" s="28" t="n">
        <v>10.75</v>
      </c>
      <c r="L3971" s="28" t="n">
        <v>120</v>
      </c>
      <c r="M3971" s="28" t="n">
        <v>38</v>
      </c>
    </row>
    <row r="3972" customFormat="false" ht="15" hidden="false" customHeight="false" outlineLevel="0" collapsed="false">
      <c r="A3972" s="27" t="n">
        <v>45619</v>
      </c>
      <c r="B3972" s="28" t="n">
        <v>2025</v>
      </c>
      <c r="C3972" s="28" t="s">
        <v>203</v>
      </c>
      <c r="D3972" s="28" t="s">
        <v>44</v>
      </c>
      <c r="E3972" s="28" t="s">
        <v>167</v>
      </c>
      <c r="F3972" s="28" t="s">
        <v>142</v>
      </c>
      <c r="G3972" s="28" t="s">
        <v>152</v>
      </c>
      <c r="H3972" s="28" t="s">
        <v>587</v>
      </c>
      <c r="I3972" s="29" t="n">
        <v>529000</v>
      </c>
      <c r="J3972" s="29" t="n">
        <v>396750</v>
      </c>
      <c r="K3972" s="28" t="n">
        <v>10.5</v>
      </c>
      <c r="L3972" s="28" t="n">
        <v>120</v>
      </c>
      <c r="M3972" s="28" t="n">
        <v>70</v>
      </c>
    </row>
    <row r="3973" customFormat="false" ht="15" hidden="false" customHeight="false" outlineLevel="0" collapsed="false">
      <c r="A3973" s="27" t="n">
        <v>45619</v>
      </c>
      <c r="B3973" s="28" t="n">
        <v>2025</v>
      </c>
      <c r="C3973" s="28" t="s">
        <v>286</v>
      </c>
      <c r="D3973" s="28" t="s">
        <v>48</v>
      </c>
      <c r="E3973" s="28" t="s">
        <v>1054</v>
      </c>
      <c r="F3973" s="28" t="s">
        <v>142</v>
      </c>
      <c r="G3973" s="28" t="s">
        <v>152</v>
      </c>
      <c r="H3973" s="28" t="s">
        <v>1060</v>
      </c>
      <c r="I3973" s="29" t="n">
        <v>945000</v>
      </c>
      <c r="J3973" s="29" t="n">
        <v>708750</v>
      </c>
      <c r="K3973" s="28" t="n">
        <v>10.75</v>
      </c>
      <c r="L3973" s="28" t="n">
        <v>120</v>
      </c>
      <c r="M3973" s="28" t="n">
        <v>7</v>
      </c>
    </row>
    <row r="3974" customFormat="false" ht="15" hidden="false" customHeight="false" outlineLevel="0" collapsed="false">
      <c r="A3974" s="27" t="n">
        <v>45621</v>
      </c>
      <c r="B3974" s="28" t="n">
        <v>2025</v>
      </c>
      <c r="C3974" s="28" t="s">
        <v>603</v>
      </c>
      <c r="D3974" s="28" t="s">
        <v>56</v>
      </c>
      <c r="E3974" s="28" t="s">
        <v>772</v>
      </c>
      <c r="F3974" s="28" t="s">
        <v>142</v>
      </c>
      <c r="G3974" s="28" t="s">
        <v>148</v>
      </c>
      <c r="H3974" s="28" t="s">
        <v>275</v>
      </c>
      <c r="I3974" s="29" t="n">
        <v>17500</v>
      </c>
      <c r="J3974" s="29" t="n">
        <v>14875</v>
      </c>
      <c r="K3974" s="28" t="n">
        <v>14.5</v>
      </c>
      <c r="L3974" s="28" t="n">
        <v>120</v>
      </c>
      <c r="M3974" s="28" t="n">
        <v>6</v>
      </c>
    </row>
    <row r="3975" customFormat="false" ht="15" hidden="false" customHeight="false" outlineLevel="0" collapsed="false">
      <c r="A3975" s="27" t="n">
        <v>45621</v>
      </c>
      <c r="B3975" s="28" t="n">
        <v>2025</v>
      </c>
      <c r="C3975" s="28" t="s">
        <v>169</v>
      </c>
      <c r="D3975" s="28" t="s">
        <v>48</v>
      </c>
      <c r="E3975" s="28" t="s">
        <v>270</v>
      </c>
      <c r="F3975" s="28" t="s">
        <v>142</v>
      </c>
      <c r="G3975" s="28" t="s">
        <v>152</v>
      </c>
      <c r="H3975" s="28" t="s">
        <v>681</v>
      </c>
      <c r="I3975" s="29" t="n">
        <v>685000</v>
      </c>
      <c r="J3975" s="29" t="n">
        <v>513750</v>
      </c>
      <c r="K3975" s="28" t="n">
        <v>10.5</v>
      </c>
      <c r="L3975" s="28" t="n">
        <v>120</v>
      </c>
      <c r="M3975" s="28" t="n">
        <v>1</v>
      </c>
    </row>
    <row r="3976" customFormat="false" ht="15" hidden="false" customHeight="false" outlineLevel="0" collapsed="false">
      <c r="A3976" s="27" t="n">
        <v>45621</v>
      </c>
      <c r="B3976" s="28" t="n">
        <v>2025</v>
      </c>
      <c r="C3976" s="28" t="s">
        <v>140</v>
      </c>
      <c r="D3976" s="28" t="s">
        <v>47</v>
      </c>
      <c r="E3976" s="28" t="s">
        <v>977</v>
      </c>
      <c r="F3976" s="28" t="s">
        <v>142</v>
      </c>
      <c r="G3976" s="28" t="s">
        <v>148</v>
      </c>
      <c r="H3976" s="28" t="s">
        <v>171</v>
      </c>
      <c r="I3976" s="29" t="n">
        <v>104000</v>
      </c>
      <c r="J3976" s="29" t="n">
        <v>88400</v>
      </c>
      <c r="K3976" s="28" t="n">
        <v>12.75</v>
      </c>
      <c r="L3976" s="28" t="n">
        <v>120</v>
      </c>
      <c r="M3976" s="28" t="n">
        <v>0</v>
      </c>
    </row>
    <row r="3977" customFormat="false" ht="15" hidden="false" customHeight="false" outlineLevel="0" collapsed="false">
      <c r="A3977" s="27" t="n">
        <v>45621</v>
      </c>
      <c r="B3977" s="28" t="n">
        <v>2025</v>
      </c>
      <c r="C3977" s="28" t="s">
        <v>160</v>
      </c>
      <c r="D3977" s="28" t="s">
        <v>45</v>
      </c>
      <c r="E3977" s="28" t="s">
        <v>708</v>
      </c>
      <c r="F3977" s="28" t="s">
        <v>147</v>
      </c>
      <c r="G3977" s="28" t="s">
        <v>148</v>
      </c>
      <c r="H3977" s="28" t="s">
        <v>428</v>
      </c>
      <c r="I3977" s="29" t="n">
        <v>150000</v>
      </c>
      <c r="J3977" s="29" t="n">
        <v>75000</v>
      </c>
      <c r="K3977" s="28" t="n">
        <v>11</v>
      </c>
      <c r="L3977" s="28" t="n">
        <v>120</v>
      </c>
      <c r="M3977" s="28" t="n">
        <v>1</v>
      </c>
    </row>
    <row r="3978" customFormat="false" ht="15" hidden="false" customHeight="false" outlineLevel="0" collapsed="false">
      <c r="A3978" s="27" t="n">
        <v>45622</v>
      </c>
      <c r="B3978" s="28" t="n">
        <v>2025</v>
      </c>
      <c r="C3978" s="28" t="s">
        <v>1071</v>
      </c>
      <c r="D3978" s="28" t="s">
        <v>45</v>
      </c>
      <c r="E3978" s="28" t="s">
        <v>824</v>
      </c>
      <c r="F3978" s="28" t="s">
        <v>142</v>
      </c>
      <c r="G3978" s="28" t="s">
        <v>441</v>
      </c>
      <c r="H3978" s="28" t="s">
        <v>287</v>
      </c>
      <c r="I3978" s="29" t="n">
        <v>275000</v>
      </c>
      <c r="J3978" s="29" t="n">
        <v>206250</v>
      </c>
      <c r="K3978" s="28" t="n">
        <v>10.75</v>
      </c>
      <c r="L3978" s="28" t="n">
        <v>120</v>
      </c>
      <c r="M3978" s="28" t="n">
        <v>3</v>
      </c>
    </row>
    <row r="3979" customFormat="false" ht="15" hidden="false" customHeight="false" outlineLevel="0" collapsed="false">
      <c r="A3979" s="27" t="n">
        <v>45622</v>
      </c>
      <c r="B3979" s="28" t="n">
        <v>2025</v>
      </c>
      <c r="C3979" s="28" t="s">
        <v>318</v>
      </c>
      <c r="D3979" s="28" t="s">
        <v>43</v>
      </c>
      <c r="E3979" s="28" t="s">
        <v>886</v>
      </c>
      <c r="F3979" s="28" t="s">
        <v>142</v>
      </c>
      <c r="G3979" s="28" t="s">
        <v>148</v>
      </c>
      <c r="H3979" s="28" t="s">
        <v>275</v>
      </c>
      <c r="I3979" s="29" t="n">
        <v>500000</v>
      </c>
      <c r="J3979" s="29" t="n">
        <v>375000</v>
      </c>
      <c r="K3979" s="28" t="n">
        <v>10.75</v>
      </c>
      <c r="L3979" s="28" t="n">
        <v>120</v>
      </c>
      <c r="M3979" s="28" t="n">
        <v>9</v>
      </c>
    </row>
    <row r="3980" customFormat="false" ht="15" hidden="false" customHeight="false" outlineLevel="0" collapsed="false">
      <c r="A3980" s="27" t="n">
        <v>45622</v>
      </c>
      <c r="B3980" s="28" t="n">
        <v>2025</v>
      </c>
      <c r="C3980" s="28" t="s">
        <v>163</v>
      </c>
      <c r="D3980" s="28" t="s">
        <v>42</v>
      </c>
      <c r="E3980" s="28" t="s">
        <v>717</v>
      </c>
      <c r="F3980" s="28" t="s">
        <v>142</v>
      </c>
      <c r="G3980" s="28" t="s">
        <v>148</v>
      </c>
      <c r="H3980" s="28" t="s">
        <v>211</v>
      </c>
      <c r="I3980" s="29" t="n">
        <v>300000</v>
      </c>
      <c r="J3980" s="29" t="n">
        <v>225000</v>
      </c>
      <c r="K3980" s="28" t="n">
        <v>10.75</v>
      </c>
      <c r="L3980" s="28" t="n">
        <v>120</v>
      </c>
      <c r="M3980" s="28" t="n">
        <v>1</v>
      </c>
    </row>
    <row r="3981" customFormat="false" ht="15" hidden="false" customHeight="false" outlineLevel="0" collapsed="false">
      <c r="A3981" s="27" t="n">
        <v>45623</v>
      </c>
      <c r="B3981" s="28" t="n">
        <v>2025</v>
      </c>
      <c r="C3981" s="28" t="s">
        <v>140</v>
      </c>
      <c r="D3981" s="28" t="s">
        <v>48</v>
      </c>
      <c r="E3981" s="28" t="s">
        <v>765</v>
      </c>
      <c r="F3981" s="28" t="s">
        <v>142</v>
      </c>
      <c r="G3981" s="28" t="s">
        <v>156</v>
      </c>
      <c r="H3981" s="28" t="s">
        <v>275</v>
      </c>
      <c r="I3981" s="29" t="n">
        <v>50000</v>
      </c>
      <c r="J3981" s="29" t="n">
        <v>42500</v>
      </c>
      <c r="K3981" s="28" t="n">
        <v>14.5</v>
      </c>
      <c r="L3981" s="28" t="n">
        <v>120</v>
      </c>
      <c r="M3981" s="28" t="n">
        <v>3</v>
      </c>
    </row>
    <row r="3982" customFormat="false" ht="15" hidden="false" customHeight="false" outlineLevel="0" collapsed="false">
      <c r="A3982" s="27" t="n">
        <v>45623</v>
      </c>
      <c r="B3982" s="28" t="n">
        <v>2025</v>
      </c>
      <c r="C3982" s="28" t="s">
        <v>203</v>
      </c>
      <c r="D3982" s="28" t="s">
        <v>44</v>
      </c>
      <c r="E3982" s="28" t="s">
        <v>863</v>
      </c>
      <c r="F3982" s="28" t="s">
        <v>142</v>
      </c>
      <c r="G3982" s="28" t="s">
        <v>148</v>
      </c>
      <c r="H3982" s="28" t="s">
        <v>771</v>
      </c>
      <c r="I3982" s="29" t="n">
        <v>107000</v>
      </c>
      <c r="J3982" s="29" t="n">
        <v>90950</v>
      </c>
      <c r="K3982" s="28" t="n">
        <v>10.75</v>
      </c>
      <c r="L3982" s="28" t="n">
        <v>120</v>
      </c>
      <c r="M3982" s="28" t="n">
        <v>15</v>
      </c>
    </row>
    <row r="3983" customFormat="false" ht="15" hidden="false" customHeight="false" outlineLevel="0" collapsed="false">
      <c r="A3983" s="27" t="n">
        <v>45623</v>
      </c>
      <c r="B3983" s="28" t="n">
        <v>2025</v>
      </c>
      <c r="C3983" s="28" t="s">
        <v>252</v>
      </c>
      <c r="D3983" s="28" t="s">
        <v>45</v>
      </c>
      <c r="E3983" s="28" t="s">
        <v>824</v>
      </c>
      <c r="F3983" s="28" t="s">
        <v>147</v>
      </c>
      <c r="G3983" s="28" t="s">
        <v>148</v>
      </c>
      <c r="H3983" s="28" t="s">
        <v>205</v>
      </c>
      <c r="I3983" s="29" t="n">
        <v>125000</v>
      </c>
      <c r="J3983" s="29" t="n">
        <v>62500</v>
      </c>
      <c r="K3983" s="28" t="n">
        <v>11</v>
      </c>
      <c r="L3983" s="28" t="n">
        <v>120</v>
      </c>
      <c r="M3983" s="28" t="n">
        <v>0</v>
      </c>
    </row>
    <row r="3984" customFormat="false" ht="15" hidden="false" customHeight="false" outlineLevel="0" collapsed="false">
      <c r="A3984" s="27" t="n">
        <v>45625</v>
      </c>
      <c r="B3984" s="28" t="n">
        <v>2025</v>
      </c>
      <c r="C3984" s="28" t="s">
        <v>203</v>
      </c>
      <c r="D3984" s="28" t="s">
        <v>43</v>
      </c>
      <c r="E3984" s="28" t="s">
        <v>886</v>
      </c>
      <c r="F3984" s="28" t="s">
        <v>142</v>
      </c>
      <c r="G3984" s="28" t="s">
        <v>148</v>
      </c>
      <c r="H3984" s="28" t="s">
        <v>275</v>
      </c>
      <c r="I3984" s="29" t="n">
        <v>200000</v>
      </c>
      <c r="J3984" s="29" t="n">
        <v>150000</v>
      </c>
      <c r="K3984" s="28" t="n">
        <v>14</v>
      </c>
      <c r="L3984" s="28" t="n">
        <v>120</v>
      </c>
      <c r="M3984" s="28" t="n">
        <v>0</v>
      </c>
    </row>
    <row r="3985" customFormat="false" ht="15" hidden="false" customHeight="false" outlineLevel="0" collapsed="false">
      <c r="A3985" s="27" t="n">
        <v>45625</v>
      </c>
      <c r="B3985" s="28" t="n">
        <v>2025</v>
      </c>
      <c r="C3985" s="28" t="s">
        <v>163</v>
      </c>
      <c r="D3985" s="28" t="s">
        <v>51</v>
      </c>
      <c r="E3985" s="28" t="s">
        <v>779</v>
      </c>
      <c r="F3985" s="28" t="s">
        <v>142</v>
      </c>
      <c r="G3985" s="28" t="s">
        <v>148</v>
      </c>
      <c r="H3985" s="28" t="s">
        <v>171</v>
      </c>
      <c r="I3985" s="29" t="n">
        <v>150000</v>
      </c>
      <c r="J3985" s="29" t="n">
        <v>127500</v>
      </c>
      <c r="K3985" s="28" t="n">
        <v>12.75</v>
      </c>
      <c r="L3985" s="28" t="n">
        <v>120</v>
      </c>
      <c r="M3985" s="28" t="n">
        <v>0</v>
      </c>
    </row>
    <row r="3986" customFormat="false" ht="15" hidden="false" customHeight="false" outlineLevel="0" collapsed="false">
      <c r="A3986" s="27" t="n">
        <v>45628</v>
      </c>
      <c r="B3986" s="28" t="n">
        <v>2025</v>
      </c>
      <c r="C3986" s="28" t="s">
        <v>140</v>
      </c>
      <c r="D3986" s="28" t="s">
        <v>46</v>
      </c>
      <c r="E3986" s="28" t="s">
        <v>930</v>
      </c>
      <c r="F3986" s="28" t="s">
        <v>142</v>
      </c>
      <c r="G3986" s="28" t="s">
        <v>152</v>
      </c>
      <c r="H3986" s="28" t="s">
        <v>227</v>
      </c>
      <c r="I3986" s="29" t="n">
        <v>1155000</v>
      </c>
      <c r="J3986" s="29" t="n">
        <v>866250</v>
      </c>
      <c r="K3986" s="28" t="n">
        <v>10.25</v>
      </c>
      <c r="L3986" s="28" t="n">
        <v>120</v>
      </c>
      <c r="M3986" s="28" t="n">
        <v>0</v>
      </c>
    </row>
    <row r="3987" customFormat="false" ht="15" hidden="false" customHeight="false" outlineLevel="0" collapsed="false">
      <c r="A3987" s="27" t="n">
        <v>45628</v>
      </c>
      <c r="B3987" s="28" t="n">
        <v>2025</v>
      </c>
      <c r="C3987" s="28" t="s">
        <v>145</v>
      </c>
      <c r="D3987" s="28" t="s">
        <v>52</v>
      </c>
      <c r="E3987" s="28" t="s">
        <v>761</v>
      </c>
      <c r="F3987" s="28" t="s">
        <v>142</v>
      </c>
      <c r="G3987" s="28" t="s">
        <v>148</v>
      </c>
      <c r="H3987" s="28" t="s">
        <v>227</v>
      </c>
      <c r="I3987" s="29" t="n">
        <v>120000</v>
      </c>
      <c r="J3987" s="29" t="n">
        <v>102000</v>
      </c>
      <c r="K3987" s="28" t="n">
        <v>10.25</v>
      </c>
      <c r="L3987" s="28" t="n">
        <v>120</v>
      </c>
      <c r="M3987" s="28" t="n">
        <v>0</v>
      </c>
    </row>
    <row r="3988" customFormat="false" ht="15" hidden="false" customHeight="false" outlineLevel="0" collapsed="false">
      <c r="A3988" s="27" t="n">
        <v>45628</v>
      </c>
      <c r="B3988" s="28" t="n">
        <v>2025</v>
      </c>
      <c r="C3988" s="28" t="s">
        <v>172</v>
      </c>
      <c r="D3988" s="28" t="s">
        <v>46</v>
      </c>
      <c r="E3988" s="28" t="s">
        <v>926</v>
      </c>
      <c r="F3988" s="28" t="s">
        <v>142</v>
      </c>
      <c r="G3988" s="28" t="s">
        <v>148</v>
      </c>
      <c r="H3988" s="28" t="s">
        <v>937</v>
      </c>
      <c r="I3988" s="29" t="n">
        <v>150000</v>
      </c>
      <c r="J3988" s="29" t="n">
        <v>127500</v>
      </c>
      <c r="K3988" s="28" t="n">
        <v>12.25</v>
      </c>
      <c r="L3988" s="28" t="n">
        <v>120</v>
      </c>
      <c r="M3988" s="28" t="n">
        <v>3</v>
      </c>
    </row>
    <row r="3989" customFormat="false" ht="15" hidden="false" customHeight="false" outlineLevel="0" collapsed="false">
      <c r="A3989" s="27" t="n">
        <v>45628</v>
      </c>
      <c r="B3989" s="28" t="n">
        <v>2025</v>
      </c>
      <c r="C3989" s="28" t="s">
        <v>500</v>
      </c>
      <c r="D3989" s="28" t="s">
        <v>44</v>
      </c>
      <c r="E3989" s="28" t="s">
        <v>167</v>
      </c>
      <c r="F3989" s="28" t="s">
        <v>142</v>
      </c>
      <c r="G3989" s="28" t="s">
        <v>148</v>
      </c>
      <c r="H3989" s="28" t="s">
        <v>937</v>
      </c>
      <c r="I3989" s="29" t="n">
        <v>150000</v>
      </c>
      <c r="J3989" s="29" t="n">
        <v>127500</v>
      </c>
      <c r="K3989" s="28" t="n">
        <v>13.25</v>
      </c>
      <c r="L3989" s="28" t="n">
        <v>120</v>
      </c>
      <c r="M3989" s="28" t="n">
        <v>55</v>
      </c>
    </row>
    <row r="3990" customFormat="false" ht="15" hidden="false" customHeight="false" outlineLevel="0" collapsed="false">
      <c r="A3990" s="27" t="n">
        <v>45628</v>
      </c>
      <c r="B3990" s="28" t="n">
        <v>2025</v>
      </c>
      <c r="C3990" s="28" t="s">
        <v>235</v>
      </c>
      <c r="D3990" s="28" t="s">
        <v>48</v>
      </c>
      <c r="E3990" s="28" t="s">
        <v>815</v>
      </c>
      <c r="F3990" s="28" t="s">
        <v>194</v>
      </c>
      <c r="G3990" s="28" t="s">
        <v>148</v>
      </c>
      <c r="H3990" s="28" t="s">
        <v>693</v>
      </c>
      <c r="I3990" s="29" t="n">
        <v>40000</v>
      </c>
      <c r="J3990" s="29" t="n">
        <v>34000</v>
      </c>
      <c r="K3990" s="28" t="n">
        <v>11</v>
      </c>
      <c r="L3990" s="28" t="n">
        <v>120</v>
      </c>
      <c r="M3990" s="28" t="n">
        <v>1</v>
      </c>
    </row>
    <row r="3991" customFormat="false" ht="15" hidden="false" customHeight="false" outlineLevel="0" collapsed="false">
      <c r="A3991" s="27" t="n">
        <v>45629</v>
      </c>
      <c r="B3991" s="28" t="n">
        <v>2025</v>
      </c>
      <c r="C3991" s="28" t="s">
        <v>272</v>
      </c>
      <c r="D3991" s="28" t="s">
        <v>52</v>
      </c>
      <c r="E3991" s="28" t="s">
        <v>832</v>
      </c>
      <c r="F3991" s="28" t="s">
        <v>147</v>
      </c>
      <c r="G3991" s="28" t="s">
        <v>148</v>
      </c>
      <c r="H3991" s="28" t="s">
        <v>391</v>
      </c>
      <c r="I3991" s="29" t="n">
        <v>28400</v>
      </c>
      <c r="J3991" s="29" t="n">
        <v>14200</v>
      </c>
      <c r="K3991" s="28" t="n">
        <v>7.35</v>
      </c>
      <c r="L3991" s="28" t="n">
        <v>60</v>
      </c>
      <c r="M3991" s="28" t="n">
        <v>0</v>
      </c>
    </row>
    <row r="3992" customFormat="false" ht="15" hidden="false" customHeight="false" outlineLevel="0" collapsed="false">
      <c r="A3992" s="27" t="n">
        <v>45629</v>
      </c>
      <c r="B3992" s="28" t="n">
        <v>2025</v>
      </c>
      <c r="C3992" s="28" t="s">
        <v>272</v>
      </c>
      <c r="D3992" s="28" t="s">
        <v>52</v>
      </c>
      <c r="E3992" s="28" t="s">
        <v>832</v>
      </c>
      <c r="F3992" s="28" t="s">
        <v>147</v>
      </c>
      <c r="G3992" s="28" t="s">
        <v>148</v>
      </c>
      <c r="H3992" s="28" t="s">
        <v>391</v>
      </c>
      <c r="I3992" s="29" t="n">
        <v>48800</v>
      </c>
      <c r="J3992" s="29" t="n">
        <v>24400</v>
      </c>
      <c r="K3992" s="28" t="n">
        <v>7.35</v>
      </c>
      <c r="L3992" s="28" t="n">
        <v>72</v>
      </c>
      <c r="M3992" s="28" t="n">
        <v>0</v>
      </c>
    </row>
    <row r="3993" customFormat="false" ht="15" hidden="false" customHeight="false" outlineLevel="0" collapsed="false">
      <c r="A3993" s="27" t="n">
        <v>45629</v>
      </c>
      <c r="B3993" s="28" t="n">
        <v>2025</v>
      </c>
      <c r="C3993" s="28" t="s">
        <v>272</v>
      </c>
      <c r="D3993" s="28" t="s">
        <v>52</v>
      </c>
      <c r="E3993" s="28" t="s">
        <v>832</v>
      </c>
      <c r="F3993" s="28" t="s">
        <v>147</v>
      </c>
      <c r="G3993" s="28" t="s">
        <v>148</v>
      </c>
      <c r="H3993" s="28" t="s">
        <v>391</v>
      </c>
      <c r="I3993" s="29" t="n">
        <v>28300</v>
      </c>
      <c r="J3993" s="29" t="n">
        <v>14150</v>
      </c>
      <c r="K3993" s="28" t="n">
        <v>7.35</v>
      </c>
      <c r="L3993" s="28" t="n">
        <v>60</v>
      </c>
      <c r="M3993" s="28" t="n">
        <v>0</v>
      </c>
    </row>
    <row r="3994" customFormat="false" ht="15" hidden="false" customHeight="false" outlineLevel="0" collapsed="false">
      <c r="A3994" s="27" t="n">
        <v>45629</v>
      </c>
      <c r="B3994" s="28" t="n">
        <v>2025</v>
      </c>
      <c r="C3994" s="28" t="s">
        <v>172</v>
      </c>
      <c r="D3994" s="28" t="s">
        <v>50</v>
      </c>
      <c r="E3994" s="28" t="s">
        <v>724</v>
      </c>
      <c r="F3994" s="28" t="s">
        <v>142</v>
      </c>
      <c r="G3994" s="28" t="s">
        <v>148</v>
      </c>
      <c r="H3994" s="28" t="s">
        <v>937</v>
      </c>
      <c r="I3994" s="29" t="n">
        <v>150000</v>
      </c>
      <c r="J3994" s="29" t="n">
        <v>127500</v>
      </c>
      <c r="K3994" s="28" t="n">
        <v>12.25</v>
      </c>
      <c r="L3994" s="28" t="n">
        <v>120</v>
      </c>
      <c r="M3994" s="28" t="n">
        <v>5</v>
      </c>
    </row>
    <row r="3995" customFormat="false" ht="15" hidden="false" customHeight="false" outlineLevel="0" collapsed="false">
      <c r="A3995" s="27" t="n">
        <v>45629</v>
      </c>
      <c r="B3995" s="28" t="n">
        <v>2025</v>
      </c>
      <c r="C3995" s="28" t="s">
        <v>316</v>
      </c>
      <c r="D3995" s="28" t="s">
        <v>42</v>
      </c>
      <c r="E3995" s="28" t="s">
        <v>717</v>
      </c>
      <c r="F3995" s="28" t="s">
        <v>142</v>
      </c>
      <c r="G3995" s="28" t="s">
        <v>143</v>
      </c>
      <c r="H3995" s="28" t="s">
        <v>144</v>
      </c>
      <c r="I3995" s="29" t="n">
        <v>500000</v>
      </c>
      <c r="J3995" s="29" t="n">
        <v>375000</v>
      </c>
      <c r="K3995" s="28" t="n">
        <v>10.24</v>
      </c>
      <c r="L3995" s="28" t="n">
        <v>120</v>
      </c>
      <c r="M3995" s="28" t="n">
        <v>21</v>
      </c>
    </row>
    <row r="3996" customFormat="false" ht="15" hidden="false" customHeight="false" outlineLevel="0" collapsed="false">
      <c r="A3996" s="27" t="n">
        <v>45629</v>
      </c>
      <c r="B3996" s="28" t="n">
        <v>2025</v>
      </c>
      <c r="C3996" s="28" t="s">
        <v>163</v>
      </c>
      <c r="D3996" s="28" t="s">
        <v>44</v>
      </c>
      <c r="E3996" s="28" t="s">
        <v>920</v>
      </c>
      <c r="F3996" s="28" t="s">
        <v>147</v>
      </c>
      <c r="G3996" s="28" t="s">
        <v>143</v>
      </c>
      <c r="H3996" s="28" t="s">
        <v>291</v>
      </c>
      <c r="I3996" s="29" t="n">
        <v>150000</v>
      </c>
      <c r="J3996" s="29" t="n">
        <v>75000</v>
      </c>
      <c r="K3996" s="28" t="n">
        <v>10.25</v>
      </c>
      <c r="L3996" s="28" t="n">
        <v>120</v>
      </c>
      <c r="M3996" s="28" t="n">
        <v>9</v>
      </c>
    </row>
    <row r="3997" customFormat="false" ht="15" hidden="false" customHeight="false" outlineLevel="0" collapsed="false">
      <c r="A3997" s="27" t="n">
        <v>45629</v>
      </c>
      <c r="B3997" s="28" t="n">
        <v>2025</v>
      </c>
      <c r="C3997" s="28" t="s">
        <v>272</v>
      </c>
      <c r="D3997" s="28" t="s">
        <v>52</v>
      </c>
      <c r="E3997" s="28" t="s">
        <v>832</v>
      </c>
      <c r="F3997" s="28" t="s">
        <v>147</v>
      </c>
      <c r="G3997" s="28" t="s">
        <v>148</v>
      </c>
      <c r="H3997" s="28" t="s">
        <v>391</v>
      </c>
      <c r="I3997" s="29" t="n">
        <v>48500</v>
      </c>
      <c r="J3997" s="29" t="n">
        <v>24250</v>
      </c>
      <c r="K3997" s="28" t="n">
        <v>7.35</v>
      </c>
      <c r="L3997" s="28" t="n">
        <v>72</v>
      </c>
      <c r="M3997" s="28" t="n">
        <v>0</v>
      </c>
    </row>
    <row r="3998" customFormat="false" ht="15" hidden="false" customHeight="false" outlineLevel="0" collapsed="false">
      <c r="A3998" s="27" t="n">
        <v>45629</v>
      </c>
      <c r="B3998" s="28" t="n">
        <v>2025</v>
      </c>
      <c r="C3998" s="28" t="s">
        <v>160</v>
      </c>
      <c r="D3998" s="28" t="s">
        <v>44</v>
      </c>
      <c r="E3998" s="28" t="s">
        <v>783</v>
      </c>
      <c r="F3998" s="28" t="s">
        <v>147</v>
      </c>
      <c r="G3998" s="28" t="s">
        <v>148</v>
      </c>
      <c r="H3998" s="28" t="s">
        <v>159</v>
      </c>
      <c r="I3998" s="29" t="n">
        <v>15000</v>
      </c>
      <c r="J3998" s="29" t="n">
        <v>7500</v>
      </c>
      <c r="K3998" s="28" t="n">
        <v>14.25</v>
      </c>
      <c r="L3998" s="28" t="n">
        <v>120</v>
      </c>
      <c r="M3998" s="28" t="n">
        <v>5</v>
      </c>
    </row>
    <row r="3999" customFormat="false" ht="15" hidden="false" customHeight="false" outlineLevel="0" collapsed="false">
      <c r="A3999" s="27" t="n">
        <v>45630</v>
      </c>
      <c r="B3999" s="28" t="n">
        <v>2025</v>
      </c>
      <c r="C3999" s="28" t="s">
        <v>169</v>
      </c>
      <c r="D3999" s="28" t="s">
        <v>42</v>
      </c>
      <c r="E3999" s="28" t="s">
        <v>717</v>
      </c>
      <c r="F3999" s="28" t="s">
        <v>142</v>
      </c>
      <c r="G3999" s="28" t="s">
        <v>148</v>
      </c>
      <c r="H3999" s="28" t="s">
        <v>275</v>
      </c>
      <c r="I3999" s="29" t="n">
        <v>170000</v>
      </c>
      <c r="J3999" s="29" t="n">
        <v>127500</v>
      </c>
      <c r="K3999" s="28" t="n">
        <v>10.5</v>
      </c>
      <c r="L3999" s="28" t="n">
        <v>120</v>
      </c>
      <c r="M3999" s="28" t="n">
        <v>5</v>
      </c>
    </row>
    <row r="4000" customFormat="false" ht="15" hidden="false" customHeight="false" outlineLevel="0" collapsed="false">
      <c r="A4000" s="27" t="n">
        <v>45630</v>
      </c>
      <c r="B4000" s="28" t="n">
        <v>2025</v>
      </c>
      <c r="C4000" s="28" t="s">
        <v>303</v>
      </c>
      <c r="D4000" s="28" t="s">
        <v>43</v>
      </c>
      <c r="E4000" s="28" t="s">
        <v>871</v>
      </c>
      <c r="F4000" s="28" t="s">
        <v>142</v>
      </c>
      <c r="G4000" s="28" t="s">
        <v>152</v>
      </c>
      <c r="H4000" s="28" t="s">
        <v>438</v>
      </c>
      <c r="I4000" s="29" t="n">
        <v>468000</v>
      </c>
      <c r="J4000" s="29" t="n">
        <v>351000</v>
      </c>
      <c r="K4000" s="28" t="n">
        <v>10</v>
      </c>
      <c r="L4000" s="28" t="n">
        <v>120</v>
      </c>
      <c r="M4000" s="28" t="n">
        <v>3</v>
      </c>
    </row>
    <row r="4001" customFormat="false" ht="15" hidden="false" customHeight="false" outlineLevel="0" collapsed="false">
      <c r="A4001" s="27" t="n">
        <v>45630</v>
      </c>
      <c r="B4001" s="28" t="n">
        <v>2025</v>
      </c>
      <c r="C4001" s="28" t="s">
        <v>172</v>
      </c>
      <c r="D4001" s="28" t="s">
        <v>42</v>
      </c>
      <c r="E4001" s="28" t="s">
        <v>705</v>
      </c>
      <c r="F4001" s="28" t="s">
        <v>142</v>
      </c>
      <c r="G4001" s="28" t="s">
        <v>152</v>
      </c>
      <c r="H4001" s="28" t="s">
        <v>1114</v>
      </c>
      <c r="I4001" s="29" t="n">
        <v>5000000</v>
      </c>
      <c r="J4001" s="29" t="n">
        <v>3750000</v>
      </c>
      <c r="K4001" s="28" t="n">
        <v>10.5</v>
      </c>
      <c r="L4001" s="28" t="n">
        <v>300</v>
      </c>
      <c r="M4001" s="28" t="n">
        <v>30</v>
      </c>
    </row>
    <row r="4002" customFormat="false" ht="15" hidden="false" customHeight="false" outlineLevel="0" collapsed="false">
      <c r="A4002" s="27" t="n">
        <v>45630</v>
      </c>
      <c r="B4002" s="28" t="n">
        <v>2025</v>
      </c>
      <c r="C4002" s="28" t="s">
        <v>169</v>
      </c>
      <c r="D4002" s="28" t="s">
        <v>57</v>
      </c>
      <c r="E4002" s="28" t="s">
        <v>728</v>
      </c>
      <c r="F4002" s="28" t="s">
        <v>142</v>
      </c>
      <c r="G4002" s="28" t="s">
        <v>441</v>
      </c>
      <c r="H4002" s="28" t="s">
        <v>159</v>
      </c>
      <c r="I4002" s="29" t="n">
        <v>100000</v>
      </c>
      <c r="J4002" s="29" t="n">
        <v>85000</v>
      </c>
      <c r="K4002" s="28" t="n">
        <v>8.99</v>
      </c>
      <c r="L4002" s="28" t="n">
        <v>60</v>
      </c>
      <c r="M4002" s="28" t="n">
        <v>3</v>
      </c>
    </row>
    <row r="4003" customFormat="false" ht="15" hidden="false" customHeight="false" outlineLevel="0" collapsed="false">
      <c r="A4003" s="27" t="n">
        <v>45631</v>
      </c>
      <c r="B4003" s="28" t="n">
        <v>2025</v>
      </c>
      <c r="C4003" s="28" t="s">
        <v>160</v>
      </c>
      <c r="D4003" s="28" t="s">
        <v>48</v>
      </c>
      <c r="E4003" s="28" t="s">
        <v>905</v>
      </c>
      <c r="F4003" s="28" t="s">
        <v>142</v>
      </c>
      <c r="G4003" s="28" t="s">
        <v>148</v>
      </c>
      <c r="H4003" s="28" t="s">
        <v>937</v>
      </c>
      <c r="I4003" s="29" t="n">
        <v>150000</v>
      </c>
      <c r="J4003" s="29" t="n">
        <v>127500</v>
      </c>
      <c r="K4003" s="28" t="n">
        <v>12.25</v>
      </c>
      <c r="L4003" s="28" t="n">
        <v>120</v>
      </c>
      <c r="M4003" s="28" t="n">
        <v>19</v>
      </c>
    </row>
    <row r="4004" customFormat="false" ht="15" hidden="false" customHeight="false" outlineLevel="0" collapsed="false">
      <c r="A4004" s="27" t="n">
        <v>45631</v>
      </c>
      <c r="B4004" s="28" t="n">
        <v>2025</v>
      </c>
      <c r="C4004" s="28" t="s">
        <v>172</v>
      </c>
      <c r="D4004" s="28" t="s">
        <v>42</v>
      </c>
      <c r="E4004" s="28" t="s">
        <v>705</v>
      </c>
      <c r="F4004" s="28" t="s">
        <v>142</v>
      </c>
      <c r="G4004" s="28" t="s">
        <v>152</v>
      </c>
      <c r="H4004" s="28" t="s">
        <v>1114</v>
      </c>
      <c r="I4004" s="29" t="n">
        <v>5000000</v>
      </c>
      <c r="J4004" s="29" t="n">
        <v>3750000</v>
      </c>
      <c r="K4004" s="28" t="n">
        <v>10.5</v>
      </c>
      <c r="L4004" s="28" t="n">
        <v>300</v>
      </c>
      <c r="M4004" s="28" t="n">
        <v>20</v>
      </c>
    </row>
    <row r="4005" customFormat="false" ht="15" hidden="false" customHeight="false" outlineLevel="0" collapsed="false">
      <c r="A4005" s="27" t="n">
        <v>45631</v>
      </c>
      <c r="B4005" s="28" t="n">
        <v>2025</v>
      </c>
      <c r="C4005" s="28" t="s">
        <v>491</v>
      </c>
      <c r="D4005" s="28" t="s">
        <v>42</v>
      </c>
      <c r="E4005" s="28" t="s">
        <v>705</v>
      </c>
      <c r="F4005" s="28" t="s">
        <v>142</v>
      </c>
      <c r="G4005" s="28" t="s">
        <v>152</v>
      </c>
      <c r="H4005" s="28" t="s">
        <v>326</v>
      </c>
      <c r="I4005" s="29" t="n">
        <v>4480000</v>
      </c>
      <c r="J4005" s="29" t="n">
        <v>3360000</v>
      </c>
      <c r="K4005" s="28" t="n">
        <v>8.5</v>
      </c>
      <c r="L4005" s="28" t="n">
        <v>300</v>
      </c>
      <c r="M4005" s="28" t="n">
        <v>13</v>
      </c>
    </row>
    <row r="4006" customFormat="false" ht="15" hidden="false" customHeight="false" outlineLevel="0" collapsed="false">
      <c r="A4006" s="27" t="n">
        <v>45632</v>
      </c>
      <c r="B4006" s="28" t="n">
        <v>2025</v>
      </c>
      <c r="C4006" s="28" t="s">
        <v>166</v>
      </c>
      <c r="D4006" s="28" t="s">
        <v>48</v>
      </c>
      <c r="E4006" s="28" t="s">
        <v>594</v>
      </c>
      <c r="F4006" s="28" t="s">
        <v>147</v>
      </c>
      <c r="G4006" s="28" t="s">
        <v>148</v>
      </c>
      <c r="H4006" s="28" t="s">
        <v>205</v>
      </c>
      <c r="I4006" s="29" t="n">
        <v>70000</v>
      </c>
      <c r="J4006" s="29" t="n">
        <v>35000</v>
      </c>
      <c r="K4006" s="28" t="n">
        <v>10.75</v>
      </c>
      <c r="L4006" s="28" t="n">
        <v>120</v>
      </c>
      <c r="M4006" s="28" t="n">
        <v>2</v>
      </c>
    </row>
    <row r="4007" customFormat="false" ht="15" hidden="false" customHeight="false" outlineLevel="0" collapsed="false">
      <c r="A4007" s="27" t="n">
        <v>45632</v>
      </c>
      <c r="B4007" s="28" t="n">
        <v>2025</v>
      </c>
      <c r="C4007" s="28" t="s">
        <v>172</v>
      </c>
      <c r="D4007" s="28" t="s">
        <v>48</v>
      </c>
      <c r="E4007" s="28" t="s">
        <v>765</v>
      </c>
      <c r="F4007" s="28" t="s">
        <v>142</v>
      </c>
      <c r="G4007" s="28" t="s">
        <v>148</v>
      </c>
      <c r="H4007" s="28" t="s">
        <v>227</v>
      </c>
      <c r="I4007" s="29" t="n">
        <v>230000</v>
      </c>
      <c r="J4007" s="29" t="n">
        <v>172500</v>
      </c>
      <c r="K4007" s="28" t="n">
        <v>10.5</v>
      </c>
      <c r="L4007" s="28" t="n">
        <v>120</v>
      </c>
      <c r="M4007" s="28" t="n">
        <v>20</v>
      </c>
    </row>
    <row r="4008" customFormat="false" ht="15" hidden="false" customHeight="false" outlineLevel="0" collapsed="false">
      <c r="A4008" s="27" t="n">
        <v>45632</v>
      </c>
      <c r="B4008" s="28" t="n">
        <v>2025</v>
      </c>
      <c r="C4008" s="28" t="s">
        <v>163</v>
      </c>
      <c r="D4008" s="28" t="s">
        <v>44</v>
      </c>
      <c r="E4008" s="28" t="s">
        <v>167</v>
      </c>
      <c r="F4008" s="28" t="s">
        <v>142</v>
      </c>
      <c r="G4008" s="28" t="s">
        <v>148</v>
      </c>
      <c r="H4008" s="28" t="s">
        <v>171</v>
      </c>
      <c r="I4008" s="29" t="n">
        <v>150000</v>
      </c>
      <c r="J4008" s="29" t="n">
        <v>127500</v>
      </c>
      <c r="K4008" s="28" t="n">
        <v>12.5</v>
      </c>
      <c r="L4008" s="28" t="n">
        <v>120</v>
      </c>
      <c r="M4008" s="28" t="n">
        <v>0</v>
      </c>
    </row>
    <row r="4009" customFormat="false" ht="15" hidden="false" customHeight="false" outlineLevel="0" collapsed="false">
      <c r="A4009" s="27" t="n">
        <v>45635</v>
      </c>
      <c r="B4009" s="28" t="n">
        <v>2025</v>
      </c>
      <c r="C4009" s="28" t="s">
        <v>216</v>
      </c>
      <c r="D4009" s="28" t="s">
        <v>57</v>
      </c>
      <c r="E4009" s="28" t="s">
        <v>985</v>
      </c>
      <c r="F4009" s="28" t="s">
        <v>142</v>
      </c>
      <c r="G4009" s="28" t="s">
        <v>148</v>
      </c>
      <c r="H4009" s="28" t="s">
        <v>693</v>
      </c>
      <c r="I4009" s="29" t="n">
        <v>30000</v>
      </c>
      <c r="J4009" s="29" t="n">
        <v>25500</v>
      </c>
      <c r="K4009" s="28" t="n">
        <v>10.5</v>
      </c>
      <c r="L4009" s="28" t="n">
        <v>120</v>
      </c>
      <c r="M4009" s="28" t="n">
        <v>0</v>
      </c>
    </row>
    <row r="4010" customFormat="false" ht="15" hidden="false" customHeight="false" outlineLevel="0" collapsed="false">
      <c r="A4010" s="27" t="n">
        <v>45635</v>
      </c>
      <c r="B4010" s="28" t="n">
        <v>2025</v>
      </c>
      <c r="C4010" s="28" t="s">
        <v>357</v>
      </c>
      <c r="D4010" s="28" t="s">
        <v>55</v>
      </c>
      <c r="E4010" s="28" t="s">
        <v>1115</v>
      </c>
      <c r="F4010" s="28" t="s">
        <v>147</v>
      </c>
      <c r="G4010" s="28" t="s">
        <v>441</v>
      </c>
      <c r="H4010" s="28" t="s">
        <v>168</v>
      </c>
      <c r="I4010" s="29" t="n">
        <v>25000</v>
      </c>
      <c r="J4010" s="29" t="n">
        <v>12500</v>
      </c>
      <c r="K4010" s="28" t="n">
        <v>12.25</v>
      </c>
      <c r="L4010" s="28" t="n">
        <v>120</v>
      </c>
      <c r="M4010" s="28" t="n">
        <v>0</v>
      </c>
    </row>
    <row r="4011" customFormat="false" ht="15" hidden="false" customHeight="false" outlineLevel="0" collapsed="false">
      <c r="A4011" s="27" t="n">
        <v>45635</v>
      </c>
      <c r="B4011" s="28" t="n">
        <v>2025</v>
      </c>
      <c r="C4011" s="28" t="s">
        <v>203</v>
      </c>
      <c r="D4011" s="28" t="s">
        <v>45</v>
      </c>
      <c r="E4011" s="28" t="s">
        <v>824</v>
      </c>
      <c r="F4011" s="28" t="s">
        <v>147</v>
      </c>
      <c r="G4011" s="28" t="s">
        <v>148</v>
      </c>
      <c r="H4011" s="28" t="s">
        <v>251</v>
      </c>
      <c r="I4011" s="29" t="n">
        <v>50000</v>
      </c>
      <c r="J4011" s="29" t="n">
        <v>25000</v>
      </c>
      <c r="K4011" s="28" t="n">
        <v>10.5</v>
      </c>
      <c r="L4011" s="28" t="n">
        <v>120</v>
      </c>
      <c r="M4011" s="28" t="n">
        <v>5</v>
      </c>
    </row>
    <row r="4012" customFormat="false" ht="15" hidden="false" customHeight="false" outlineLevel="0" collapsed="false">
      <c r="A4012" s="27" t="n">
        <v>45635</v>
      </c>
      <c r="B4012" s="28" t="n">
        <v>2025</v>
      </c>
      <c r="C4012" s="28" t="s">
        <v>375</v>
      </c>
      <c r="D4012" s="28" t="s">
        <v>47</v>
      </c>
      <c r="E4012" s="28" t="s">
        <v>1113</v>
      </c>
      <c r="F4012" s="28" t="s">
        <v>142</v>
      </c>
      <c r="G4012" s="28" t="s">
        <v>148</v>
      </c>
      <c r="H4012" s="28" t="s">
        <v>275</v>
      </c>
      <c r="I4012" s="29" t="n">
        <v>390000</v>
      </c>
      <c r="J4012" s="29" t="n">
        <v>292500</v>
      </c>
      <c r="K4012" s="28" t="n">
        <v>10.5</v>
      </c>
      <c r="L4012" s="28" t="n">
        <v>121</v>
      </c>
      <c r="M4012" s="28" t="n">
        <v>12</v>
      </c>
    </row>
    <row r="4013" customFormat="false" ht="15" hidden="false" customHeight="false" outlineLevel="0" collapsed="false">
      <c r="A4013" s="27" t="n">
        <v>45635</v>
      </c>
      <c r="B4013" s="28" t="n">
        <v>2025</v>
      </c>
      <c r="C4013" s="28" t="s">
        <v>169</v>
      </c>
      <c r="D4013" s="28" t="s">
        <v>48</v>
      </c>
      <c r="E4013" s="28" t="s">
        <v>736</v>
      </c>
      <c r="F4013" s="28" t="s">
        <v>147</v>
      </c>
      <c r="G4013" s="28" t="s">
        <v>148</v>
      </c>
      <c r="H4013" s="28" t="s">
        <v>205</v>
      </c>
      <c r="I4013" s="29" t="n">
        <v>185000</v>
      </c>
      <c r="J4013" s="29" t="n">
        <v>92500</v>
      </c>
      <c r="K4013" s="28" t="n">
        <v>10.75</v>
      </c>
      <c r="L4013" s="28" t="n">
        <v>120</v>
      </c>
      <c r="M4013" s="28" t="n">
        <v>6</v>
      </c>
    </row>
    <row r="4014" customFormat="false" ht="15" hidden="false" customHeight="false" outlineLevel="0" collapsed="false">
      <c r="A4014" s="27" t="n">
        <v>45635</v>
      </c>
      <c r="B4014" s="28" t="n">
        <v>2025</v>
      </c>
      <c r="C4014" s="28" t="s">
        <v>198</v>
      </c>
      <c r="D4014" s="28" t="s">
        <v>50</v>
      </c>
      <c r="E4014" s="28" t="s">
        <v>724</v>
      </c>
      <c r="F4014" s="28" t="s">
        <v>142</v>
      </c>
      <c r="G4014" s="28" t="s">
        <v>148</v>
      </c>
      <c r="H4014" s="28" t="s">
        <v>275</v>
      </c>
      <c r="I4014" s="29" t="n">
        <v>134500</v>
      </c>
      <c r="J4014" s="29" t="n">
        <v>114325</v>
      </c>
      <c r="K4014" s="28" t="n">
        <v>13.75</v>
      </c>
      <c r="L4014" s="28" t="n">
        <v>120</v>
      </c>
      <c r="M4014" s="28" t="n">
        <v>13</v>
      </c>
    </row>
    <row r="4015" customFormat="false" ht="15" hidden="false" customHeight="false" outlineLevel="0" collapsed="false">
      <c r="A4015" s="27" t="n">
        <v>45635</v>
      </c>
      <c r="B4015" s="28" t="n">
        <v>2025</v>
      </c>
      <c r="C4015" s="28" t="s">
        <v>292</v>
      </c>
      <c r="D4015" s="28" t="s">
        <v>56</v>
      </c>
      <c r="E4015" s="28" t="s">
        <v>207</v>
      </c>
      <c r="F4015" s="28" t="s">
        <v>194</v>
      </c>
      <c r="G4015" s="28" t="s">
        <v>441</v>
      </c>
      <c r="H4015" s="28" t="s">
        <v>351</v>
      </c>
      <c r="I4015" s="29" t="n">
        <v>200000</v>
      </c>
      <c r="J4015" s="29" t="n">
        <v>150000</v>
      </c>
      <c r="K4015" s="28" t="n">
        <v>9.89</v>
      </c>
      <c r="L4015" s="28" t="n">
        <v>96</v>
      </c>
      <c r="M4015" s="28" t="n">
        <v>2</v>
      </c>
    </row>
    <row r="4016" customFormat="false" ht="15" hidden="false" customHeight="false" outlineLevel="0" collapsed="false">
      <c r="A4016" s="27" t="n">
        <v>45635</v>
      </c>
      <c r="B4016" s="28" t="n">
        <v>2025</v>
      </c>
      <c r="C4016" s="28" t="s">
        <v>196</v>
      </c>
      <c r="D4016" s="28" t="s">
        <v>48</v>
      </c>
      <c r="E4016" s="28" t="s">
        <v>765</v>
      </c>
      <c r="F4016" s="28" t="s">
        <v>147</v>
      </c>
      <c r="G4016" s="28" t="s">
        <v>441</v>
      </c>
      <c r="H4016" s="28" t="s">
        <v>205</v>
      </c>
      <c r="I4016" s="29" t="n">
        <v>25000</v>
      </c>
      <c r="J4016" s="29" t="n">
        <v>12500</v>
      </c>
      <c r="K4016" s="28" t="n">
        <v>10.75</v>
      </c>
      <c r="L4016" s="28" t="n">
        <v>120</v>
      </c>
      <c r="M4016" s="28" t="n">
        <v>0</v>
      </c>
    </row>
    <row r="4017" customFormat="false" ht="15" hidden="false" customHeight="false" outlineLevel="0" collapsed="false">
      <c r="A4017" s="27" t="n">
        <v>45635</v>
      </c>
      <c r="B4017" s="28" t="n">
        <v>2025</v>
      </c>
      <c r="C4017" s="28" t="s">
        <v>169</v>
      </c>
      <c r="D4017" s="28" t="s">
        <v>52</v>
      </c>
      <c r="E4017" s="28" t="s">
        <v>720</v>
      </c>
      <c r="F4017" s="28" t="s">
        <v>142</v>
      </c>
      <c r="G4017" s="28" t="s">
        <v>143</v>
      </c>
      <c r="H4017" s="28" t="s">
        <v>227</v>
      </c>
      <c r="I4017" s="29" t="n">
        <v>3340000</v>
      </c>
      <c r="J4017" s="29" t="n">
        <v>2505000</v>
      </c>
      <c r="K4017" s="28" t="n">
        <v>10.25</v>
      </c>
      <c r="L4017" s="28" t="n">
        <v>300</v>
      </c>
      <c r="M4017" s="28" t="n">
        <v>0</v>
      </c>
    </row>
    <row r="4018" customFormat="false" ht="15" hidden="false" customHeight="false" outlineLevel="0" collapsed="false">
      <c r="A4018" s="27" t="n">
        <v>45635</v>
      </c>
      <c r="B4018" s="28" t="n">
        <v>2025</v>
      </c>
      <c r="C4018" s="28" t="s">
        <v>243</v>
      </c>
      <c r="D4018" s="28" t="s">
        <v>57</v>
      </c>
      <c r="E4018" s="28" t="s">
        <v>728</v>
      </c>
      <c r="F4018" s="28" t="s">
        <v>142</v>
      </c>
      <c r="G4018" s="28" t="s">
        <v>148</v>
      </c>
      <c r="H4018" s="28" t="s">
        <v>159</v>
      </c>
      <c r="I4018" s="29" t="n">
        <v>70000</v>
      </c>
      <c r="J4018" s="29" t="n">
        <v>59500</v>
      </c>
      <c r="K4018" s="28" t="n">
        <v>10</v>
      </c>
      <c r="L4018" s="28" t="n">
        <v>60</v>
      </c>
      <c r="M4018" s="28" t="n">
        <v>0</v>
      </c>
    </row>
    <row r="4019" customFormat="false" ht="15" hidden="false" customHeight="false" outlineLevel="0" collapsed="false">
      <c r="A4019" s="27" t="n">
        <v>45635</v>
      </c>
      <c r="B4019" s="28" t="n">
        <v>2025</v>
      </c>
      <c r="C4019" s="28" t="s">
        <v>243</v>
      </c>
      <c r="D4019" s="28" t="s">
        <v>57</v>
      </c>
      <c r="E4019" s="28" t="s">
        <v>728</v>
      </c>
      <c r="F4019" s="28" t="s">
        <v>147</v>
      </c>
      <c r="G4019" s="28" t="s">
        <v>148</v>
      </c>
      <c r="H4019" s="28" t="s">
        <v>159</v>
      </c>
      <c r="I4019" s="29" t="n">
        <v>10000</v>
      </c>
      <c r="J4019" s="29" t="n">
        <v>5000</v>
      </c>
      <c r="K4019" s="28" t="n">
        <v>14.25</v>
      </c>
      <c r="L4019" s="28" t="n">
        <v>120</v>
      </c>
      <c r="M4019" s="28" t="n">
        <v>0</v>
      </c>
    </row>
    <row r="4020" customFormat="false" ht="15" hidden="false" customHeight="false" outlineLevel="0" collapsed="false">
      <c r="A4020" s="27" t="n">
        <v>45636</v>
      </c>
      <c r="B4020" s="28" t="n">
        <v>2025</v>
      </c>
      <c r="C4020" s="28" t="s">
        <v>540</v>
      </c>
      <c r="D4020" s="28" t="s">
        <v>46</v>
      </c>
      <c r="E4020" s="28" t="s">
        <v>926</v>
      </c>
      <c r="F4020" s="28" t="s">
        <v>147</v>
      </c>
      <c r="G4020" s="28" t="s">
        <v>143</v>
      </c>
      <c r="H4020" s="28" t="s">
        <v>291</v>
      </c>
      <c r="I4020" s="29" t="n">
        <v>250000</v>
      </c>
      <c r="J4020" s="29" t="n">
        <v>125000</v>
      </c>
      <c r="K4020" s="28" t="n">
        <v>10.75</v>
      </c>
      <c r="L4020" s="28" t="n">
        <v>120</v>
      </c>
      <c r="M4020" s="28" t="n">
        <v>5</v>
      </c>
    </row>
    <row r="4021" customFormat="false" ht="15" hidden="false" customHeight="false" outlineLevel="0" collapsed="false">
      <c r="A4021" s="27" t="n">
        <v>45636</v>
      </c>
      <c r="B4021" s="28" t="n">
        <v>2025</v>
      </c>
      <c r="C4021" s="28" t="s">
        <v>172</v>
      </c>
      <c r="D4021" s="28" t="s">
        <v>48</v>
      </c>
      <c r="E4021" s="28" t="s">
        <v>210</v>
      </c>
      <c r="F4021" s="28" t="s">
        <v>147</v>
      </c>
      <c r="G4021" s="28" t="s">
        <v>148</v>
      </c>
      <c r="H4021" s="28" t="s">
        <v>278</v>
      </c>
      <c r="I4021" s="29" t="n">
        <v>100000</v>
      </c>
      <c r="J4021" s="29" t="n">
        <v>50000</v>
      </c>
      <c r="K4021" s="28" t="n">
        <v>10.5</v>
      </c>
      <c r="L4021" s="28" t="n">
        <v>120</v>
      </c>
      <c r="M4021" s="28" t="n">
        <v>6</v>
      </c>
    </row>
    <row r="4022" customFormat="false" ht="15" hidden="false" customHeight="false" outlineLevel="0" collapsed="false">
      <c r="A4022" s="27" t="n">
        <v>45636</v>
      </c>
      <c r="B4022" s="28" t="n">
        <v>2025</v>
      </c>
      <c r="C4022" s="28" t="s">
        <v>160</v>
      </c>
      <c r="D4022" s="28" t="s">
        <v>46</v>
      </c>
      <c r="E4022" s="28" t="s">
        <v>813</v>
      </c>
      <c r="F4022" s="28" t="s">
        <v>142</v>
      </c>
      <c r="G4022" s="28" t="s">
        <v>148</v>
      </c>
      <c r="H4022" s="28" t="s">
        <v>208</v>
      </c>
      <c r="I4022" s="29" t="n">
        <v>100000</v>
      </c>
      <c r="J4022" s="29" t="n">
        <v>85000</v>
      </c>
      <c r="K4022" s="28" t="n">
        <v>10.5</v>
      </c>
      <c r="L4022" s="28" t="n">
        <v>120</v>
      </c>
      <c r="M4022" s="28" t="n">
        <v>0</v>
      </c>
    </row>
    <row r="4023" customFormat="false" ht="15" hidden="false" customHeight="false" outlineLevel="0" collapsed="false">
      <c r="A4023" s="27" t="n">
        <v>45636</v>
      </c>
      <c r="B4023" s="28" t="n">
        <v>2025</v>
      </c>
      <c r="C4023" s="28" t="s">
        <v>209</v>
      </c>
      <c r="D4023" s="28" t="s">
        <v>48</v>
      </c>
      <c r="E4023" s="28" t="s">
        <v>797</v>
      </c>
      <c r="F4023" s="28" t="s">
        <v>142</v>
      </c>
      <c r="G4023" s="28" t="s">
        <v>148</v>
      </c>
      <c r="H4023" s="28" t="s">
        <v>275</v>
      </c>
      <c r="I4023" s="29" t="n">
        <v>500000</v>
      </c>
      <c r="J4023" s="29" t="n">
        <v>375000</v>
      </c>
      <c r="K4023" s="28" t="n">
        <v>10.5</v>
      </c>
      <c r="L4023" s="28" t="n">
        <v>120</v>
      </c>
      <c r="M4023" s="28" t="n">
        <v>3</v>
      </c>
    </row>
    <row r="4024" customFormat="false" ht="15" hidden="false" customHeight="false" outlineLevel="0" collapsed="false">
      <c r="A4024" s="27" t="n">
        <v>45636</v>
      </c>
      <c r="B4024" s="28" t="n">
        <v>2025</v>
      </c>
      <c r="C4024" s="28" t="s">
        <v>145</v>
      </c>
      <c r="D4024" s="28" t="s">
        <v>44</v>
      </c>
      <c r="E4024" s="28" t="s">
        <v>730</v>
      </c>
      <c r="F4024" s="28" t="s">
        <v>142</v>
      </c>
      <c r="G4024" s="28" t="s">
        <v>152</v>
      </c>
      <c r="H4024" s="28" t="s">
        <v>144</v>
      </c>
      <c r="I4024" s="29" t="n">
        <v>3300000</v>
      </c>
      <c r="J4024" s="29" t="n">
        <v>2475000</v>
      </c>
      <c r="K4024" s="28" t="n">
        <v>8.25</v>
      </c>
      <c r="L4024" s="28" t="n">
        <v>120</v>
      </c>
      <c r="M4024" s="28" t="n">
        <v>35</v>
      </c>
    </row>
    <row r="4025" customFormat="false" ht="15" hidden="false" customHeight="false" outlineLevel="0" collapsed="false">
      <c r="A4025" s="27" t="n">
        <v>45636</v>
      </c>
      <c r="B4025" s="28" t="n">
        <v>2025</v>
      </c>
      <c r="C4025" s="28" t="s">
        <v>292</v>
      </c>
      <c r="D4025" s="28" t="s">
        <v>42</v>
      </c>
      <c r="E4025" s="28" t="s">
        <v>717</v>
      </c>
      <c r="F4025" s="28" t="s">
        <v>147</v>
      </c>
      <c r="G4025" s="28" t="s">
        <v>143</v>
      </c>
      <c r="H4025" s="28" t="s">
        <v>351</v>
      </c>
      <c r="I4025" s="29" t="n">
        <v>500000</v>
      </c>
      <c r="J4025" s="29" t="n">
        <v>250000</v>
      </c>
      <c r="K4025" s="28" t="n">
        <v>8.25</v>
      </c>
      <c r="L4025" s="28" t="n">
        <v>84</v>
      </c>
      <c r="M4025" s="28" t="n">
        <v>84</v>
      </c>
    </row>
    <row r="4026" customFormat="false" ht="15" hidden="false" customHeight="false" outlineLevel="0" collapsed="false">
      <c r="A4026" s="27" t="n">
        <v>45636</v>
      </c>
      <c r="B4026" s="28" t="n">
        <v>2025</v>
      </c>
      <c r="C4026" s="28" t="s">
        <v>213</v>
      </c>
      <c r="D4026" s="28" t="s">
        <v>43</v>
      </c>
      <c r="E4026" s="28" t="s">
        <v>924</v>
      </c>
      <c r="F4026" s="28" t="s">
        <v>142</v>
      </c>
      <c r="G4026" s="28" t="s">
        <v>148</v>
      </c>
      <c r="H4026" s="28" t="s">
        <v>771</v>
      </c>
      <c r="I4026" s="29" t="n">
        <v>300000</v>
      </c>
      <c r="J4026" s="29" t="n">
        <v>225000</v>
      </c>
      <c r="K4026" s="28" t="n">
        <v>10.75</v>
      </c>
      <c r="L4026" s="28" t="n">
        <v>120</v>
      </c>
      <c r="M4026" s="28" t="n">
        <v>4</v>
      </c>
    </row>
    <row r="4027" customFormat="false" ht="15" hidden="false" customHeight="false" outlineLevel="0" collapsed="false">
      <c r="A4027" s="27" t="n">
        <v>45636</v>
      </c>
      <c r="B4027" s="28" t="n">
        <v>2025</v>
      </c>
      <c r="C4027" s="28" t="s">
        <v>357</v>
      </c>
      <c r="D4027" s="28" t="s">
        <v>44</v>
      </c>
      <c r="E4027" s="28" t="s">
        <v>755</v>
      </c>
      <c r="F4027" s="28" t="s">
        <v>142</v>
      </c>
      <c r="G4027" s="28" t="s">
        <v>143</v>
      </c>
      <c r="H4027" s="28" t="s">
        <v>162</v>
      </c>
      <c r="I4027" s="29" t="n">
        <v>594000</v>
      </c>
      <c r="J4027" s="29" t="n">
        <v>445500</v>
      </c>
      <c r="K4027" s="28" t="n">
        <v>5.75</v>
      </c>
      <c r="L4027" s="28" t="n">
        <v>300</v>
      </c>
      <c r="M4027" s="28" t="n">
        <v>4</v>
      </c>
    </row>
    <row r="4028" customFormat="false" ht="15" hidden="false" customHeight="false" outlineLevel="0" collapsed="false">
      <c r="A4028" s="27" t="n">
        <v>45636</v>
      </c>
      <c r="B4028" s="28" t="n">
        <v>2025</v>
      </c>
      <c r="C4028" s="28" t="s">
        <v>375</v>
      </c>
      <c r="D4028" s="28" t="s">
        <v>47</v>
      </c>
      <c r="E4028" s="28" t="s">
        <v>901</v>
      </c>
      <c r="F4028" s="28" t="s">
        <v>142</v>
      </c>
      <c r="G4028" s="28" t="s">
        <v>148</v>
      </c>
      <c r="H4028" s="28" t="s">
        <v>144</v>
      </c>
      <c r="I4028" s="29" t="n">
        <v>480000</v>
      </c>
      <c r="J4028" s="29" t="n">
        <v>360000</v>
      </c>
      <c r="K4028" s="28" t="n">
        <v>10.75</v>
      </c>
      <c r="L4028" s="28" t="n">
        <v>120</v>
      </c>
      <c r="M4028" s="28" t="n">
        <v>1</v>
      </c>
    </row>
    <row r="4029" customFormat="false" ht="15" hidden="false" customHeight="false" outlineLevel="0" collapsed="false">
      <c r="A4029" s="27" t="n">
        <v>45636</v>
      </c>
      <c r="B4029" s="28" t="n">
        <v>2025</v>
      </c>
      <c r="C4029" s="28" t="s">
        <v>172</v>
      </c>
      <c r="D4029" s="28" t="s">
        <v>46</v>
      </c>
      <c r="E4029" s="28" t="s">
        <v>782</v>
      </c>
      <c r="F4029" s="28" t="s">
        <v>142</v>
      </c>
      <c r="G4029" s="28" t="s">
        <v>152</v>
      </c>
      <c r="H4029" s="28" t="s">
        <v>144</v>
      </c>
      <c r="I4029" s="29" t="n">
        <v>700000</v>
      </c>
      <c r="J4029" s="29" t="n">
        <v>525000</v>
      </c>
      <c r="K4029" s="28" t="n">
        <v>9.5</v>
      </c>
      <c r="L4029" s="28" t="n">
        <v>120</v>
      </c>
      <c r="M4029" s="28" t="n">
        <v>36</v>
      </c>
    </row>
    <row r="4030" customFormat="false" ht="15" hidden="false" customHeight="false" outlineLevel="0" collapsed="false">
      <c r="A4030" s="27" t="n">
        <v>45636</v>
      </c>
      <c r="B4030" s="28" t="n">
        <v>2025</v>
      </c>
      <c r="C4030" s="28" t="s">
        <v>316</v>
      </c>
      <c r="D4030" s="28" t="s">
        <v>43</v>
      </c>
      <c r="E4030" s="28" t="s">
        <v>933</v>
      </c>
      <c r="F4030" s="28" t="s">
        <v>142</v>
      </c>
      <c r="G4030" s="28" t="s">
        <v>148</v>
      </c>
      <c r="H4030" s="28" t="s">
        <v>404</v>
      </c>
      <c r="I4030" s="29" t="n">
        <v>952000</v>
      </c>
      <c r="J4030" s="29" t="n">
        <v>714000</v>
      </c>
      <c r="K4030" s="28" t="n">
        <v>8.25</v>
      </c>
      <c r="L4030" s="28" t="n">
        <v>312</v>
      </c>
      <c r="M4030" s="28" t="n">
        <v>6</v>
      </c>
    </row>
    <row r="4031" customFormat="false" ht="15" hidden="false" customHeight="false" outlineLevel="0" collapsed="false">
      <c r="A4031" s="27" t="n">
        <v>45637</v>
      </c>
      <c r="B4031" s="28" t="n">
        <v>2025</v>
      </c>
      <c r="C4031" s="28" t="s">
        <v>560</v>
      </c>
      <c r="D4031" s="28" t="s">
        <v>43</v>
      </c>
      <c r="E4031" s="28" t="s">
        <v>858</v>
      </c>
      <c r="F4031" s="28" t="s">
        <v>194</v>
      </c>
      <c r="G4031" s="28" t="s">
        <v>441</v>
      </c>
      <c r="H4031" s="28" t="s">
        <v>227</v>
      </c>
      <c r="I4031" s="29" t="n">
        <v>230000</v>
      </c>
      <c r="J4031" s="29" t="n">
        <v>172500</v>
      </c>
      <c r="K4031" s="28" t="n">
        <v>10.5</v>
      </c>
      <c r="L4031" s="28" t="n">
        <v>120</v>
      </c>
      <c r="M4031" s="28" t="n">
        <v>7</v>
      </c>
    </row>
    <row r="4032" customFormat="false" ht="15" hidden="false" customHeight="false" outlineLevel="0" collapsed="false">
      <c r="A4032" s="27" t="n">
        <v>45637</v>
      </c>
      <c r="B4032" s="28" t="n">
        <v>2025</v>
      </c>
      <c r="C4032" s="28" t="s">
        <v>160</v>
      </c>
      <c r="D4032" s="28" t="s">
        <v>44</v>
      </c>
      <c r="E4032" s="28" t="s">
        <v>167</v>
      </c>
      <c r="F4032" s="28" t="s">
        <v>142</v>
      </c>
      <c r="G4032" s="28" t="s">
        <v>152</v>
      </c>
      <c r="H4032" s="28" t="s">
        <v>208</v>
      </c>
      <c r="I4032" s="29" t="n">
        <v>1837000</v>
      </c>
      <c r="J4032" s="29" t="n">
        <v>1377750</v>
      </c>
      <c r="K4032" s="28" t="n">
        <v>10.25</v>
      </c>
      <c r="L4032" s="28" t="n">
        <v>119</v>
      </c>
      <c r="M4032" s="28" t="n">
        <v>81</v>
      </c>
    </row>
    <row r="4033" customFormat="false" ht="15" hidden="false" customHeight="false" outlineLevel="0" collapsed="false">
      <c r="A4033" s="27" t="n">
        <v>45637</v>
      </c>
      <c r="B4033" s="28" t="n">
        <v>2025</v>
      </c>
      <c r="C4033" s="28" t="s">
        <v>230</v>
      </c>
      <c r="D4033" s="28" t="s">
        <v>44</v>
      </c>
      <c r="E4033" s="28" t="s">
        <v>730</v>
      </c>
      <c r="F4033" s="28" t="s">
        <v>142</v>
      </c>
      <c r="G4033" s="28" t="s">
        <v>441</v>
      </c>
      <c r="H4033" s="28" t="s">
        <v>325</v>
      </c>
      <c r="I4033" s="29" t="n">
        <v>531000</v>
      </c>
      <c r="J4033" s="29" t="n">
        <v>398250</v>
      </c>
      <c r="K4033" s="28" t="n">
        <v>8.75</v>
      </c>
      <c r="L4033" s="28" t="n">
        <v>300</v>
      </c>
      <c r="M4033" s="28" t="n">
        <v>6</v>
      </c>
    </row>
    <row r="4034" customFormat="false" ht="15" hidden="false" customHeight="false" outlineLevel="0" collapsed="false">
      <c r="A4034" s="27" t="n">
        <v>45637</v>
      </c>
      <c r="B4034" s="28" t="n">
        <v>2025</v>
      </c>
      <c r="C4034" s="28" t="s">
        <v>203</v>
      </c>
      <c r="D4034" s="28" t="s">
        <v>42</v>
      </c>
      <c r="E4034" s="28" t="s">
        <v>176</v>
      </c>
      <c r="F4034" s="28" t="s">
        <v>142</v>
      </c>
      <c r="G4034" s="28" t="s">
        <v>148</v>
      </c>
      <c r="H4034" s="28" t="s">
        <v>937</v>
      </c>
      <c r="I4034" s="29" t="n">
        <v>224000</v>
      </c>
      <c r="J4034" s="29" t="n">
        <v>168000</v>
      </c>
      <c r="K4034" s="28" t="n">
        <v>12.25</v>
      </c>
      <c r="L4034" s="28" t="n">
        <v>120</v>
      </c>
      <c r="M4034" s="28" t="n">
        <v>17</v>
      </c>
    </row>
    <row r="4035" customFormat="false" ht="15" hidden="false" customHeight="false" outlineLevel="0" collapsed="false">
      <c r="A4035" s="27" t="n">
        <v>45637</v>
      </c>
      <c r="B4035" s="28" t="n">
        <v>2025</v>
      </c>
      <c r="C4035" s="28" t="s">
        <v>166</v>
      </c>
      <c r="D4035" s="28" t="s">
        <v>46</v>
      </c>
      <c r="E4035" s="28" t="s">
        <v>813</v>
      </c>
      <c r="F4035" s="28" t="s">
        <v>142</v>
      </c>
      <c r="G4035" s="28" t="s">
        <v>148</v>
      </c>
      <c r="H4035" s="28" t="s">
        <v>457</v>
      </c>
      <c r="I4035" s="29" t="n">
        <v>1330500</v>
      </c>
      <c r="J4035" s="29" t="n">
        <v>997875</v>
      </c>
      <c r="K4035" s="28" t="n">
        <v>9.75</v>
      </c>
      <c r="L4035" s="28" t="n">
        <v>300</v>
      </c>
      <c r="M4035" s="28" t="n">
        <v>7</v>
      </c>
    </row>
    <row r="4036" customFormat="false" ht="15" hidden="false" customHeight="false" outlineLevel="0" collapsed="false">
      <c r="A4036" s="27" t="n">
        <v>45638</v>
      </c>
      <c r="B4036" s="28" t="n">
        <v>2025</v>
      </c>
      <c r="C4036" s="28" t="s">
        <v>163</v>
      </c>
      <c r="D4036" s="28" t="s">
        <v>54</v>
      </c>
      <c r="E4036" s="28" t="s">
        <v>833</v>
      </c>
      <c r="F4036" s="28" t="s">
        <v>142</v>
      </c>
      <c r="G4036" s="28" t="s">
        <v>148</v>
      </c>
      <c r="H4036" s="28" t="s">
        <v>211</v>
      </c>
      <c r="I4036" s="29" t="n">
        <v>200000</v>
      </c>
      <c r="J4036" s="29" t="n">
        <v>150000</v>
      </c>
      <c r="K4036" s="28" t="n">
        <v>10.5</v>
      </c>
      <c r="L4036" s="28" t="n">
        <v>120</v>
      </c>
      <c r="M4036" s="28" t="n">
        <v>1</v>
      </c>
    </row>
    <row r="4037" customFormat="false" ht="15" hidden="false" customHeight="false" outlineLevel="0" collapsed="false">
      <c r="A4037" s="27" t="n">
        <v>45638</v>
      </c>
      <c r="B4037" s="28" t="n">
        <v>2025</v>
      </c>
      <c r="C4037" s="28" t="s">
        <v>160</v>
      </c>
      <c r="D4037" s="28" t="s">
        <v>46</v>
      </c>
      <c r="E4037" s="28" t="s">
        <v>746</v>
      </c>
      <c r="F4037" s="28" t="s">
        <v>142</v>
      </c>
      <c r="G4037" s="28" t="s">
        <v>152</v>
      </c>
      <c r="H4037" s="28" t="s">
        <v>579</v>
      </c>
      <c r="I4037" s="29" t="n">
        <v>982600</v>
      </c>
      <c r="J4037" s="29" t="n">
        <v>736950</v>
      </c>
      <c r="K4037" s="28" t="n">
        <v>10.75</v>
      </c>
      <c r="L4037" s="28" t="n">
        <v>120</v>
      </c>
      <c r="M4037" s="28" t="n">
        <v>38</v>
      </c>
    </row>
    <row r="4038" customFormat="false" ht="15" hidden="false" customHeight="false" outlineLevel="0" collapsed="false">
      <c r="A4038" s="27" t="n">
        <v>45639</v>
      </c>
      <c r="B4038" s="28" t="n">
        <v>2025</v>
      </c>
      <c r="C4038" s="28" t="s">
        <v>257</v>
      </c>
      <c r="D4038" s="28" t="s">
        <v>46</v>
      </c>
      <c r="E4038" s="28" t="s">
        <v>820</v>
      </c>
      <c r="F4038" s="28" t="s">
        <v>142</v>
      </c>
      <c r="G4038" s="28" t="s">
        <v>441</v>
      </c>
      <c r="H4038" s="28" t="s">
        <v>144</v>
      </c>
      <c r="I4038" s="29" t="n">
        <v>500000</v>
      </c>
      <c r="J4038" s="29" t="n">
        <v>375000</v>
      </c>
      <c r="K4038" s="28" t="n">
        <v>8.75</v>
      </c>
      <c r="L4038" s="28" t="n">
        <v>120</v>
      </c>
      <c r="M4038" s="28" t="n">
        <v>19</v>
      </c>
    </row>
    <row r="4039" customFormat="false" ht="15" hidden="false" customHeight="false" outlineLevel="0" collapsed="false">
      <c r="A4039" s="27" t="n">
        <v>45639</v>
      </c>
      <c r="B4039" s="28" t="n">
        <v>2025</v>
      </c>
      <c r="C4039" s="28" t="s">
        <v>257</v>
      </c>
      <c r="D4039" s="28" t="s">
        <v>46</v>
      </c>
      <c r="E4039" s="28" t="s">
        <v>820</v>
      </c>
      <c r="F4039" s="28" t="s">
        <v>142</v>
      </c>
      <c r="G4039" s="28" t="s">
        <v>441</v>
      </c>
      <c r="H4039" s="28" t="s">
        <v>144</v>
      </c>
      <c r="I4039" s="29" t="n">
        <v>500000</v>
      </c>
      <c r="J4039" s="29" t="n">
        <v>375000</v>
      </c>
      <c r="K4039" s="28" t="n">
        <v>8.75</v>
      </c>
      <c r="L4039" s="28" t="n">
        <v>120</v>
      </c>
      <c r="M4039" s="28" t="n">
        <v>19</v>
      </c>
    </row>
    <row r="4040" customFormat="false" ht="15" hidden="false" customHeight="false" outlineLevel="0" collapsed="false">
      <c r="A4040" s="27" t="n">
        <v>45639</v>
      </c>
      <c r="B4040" s="28" t="n">
        <v>2025</v>
      </c>
      <c r="C4040" s="28" t="s">
        <v>166</v>
      </c>
      <c r="D4040" s="28" t="s">
        <v>44</v>
      </c>
      <c r="E4040" s="28" t="s">
        <v>755</v>
      </c>
      <c r="F4040" s="28" t="s">
        <v>142</v>
      </c>
      <c r="G4040" s="28" t="s">
        <v>143</v>
      </c>
      <c r="H4040" s="28" t="s">
        <v>191</v>
      </c>
      <c r="I4040" s="29" t="n">
        <v>1592000</v>
      </c>
      <c r="J4040" s="29" t="n">
        <v>1194000</v>
      </c>
      <c r="K4040" s="28" t="n">
        <v>5.99</v>
      </c>
      <c r="L4040" s="28" t="n">
        <v>300</v>
      </c>
      <c r="M4040" s="28" t="n">
        <v>4</v>
      </c>
    </row>
    <row r="4041" customFormat="false" ht="15" hidden="false" customHeight="false" outlineLevel="0" collapsed="false">
      <c r="A4041" s="27" t="n">
        <v>45642</v>
      </c>
      <c r="B4041" s="28" t="n">
        <v>2025</v>
      </c>
      <c r="C4041" s="28" t="s">
        <v>303</v>
      </c>
      <c r="D4041" s="28" t="s">
        <v>42</v>
      </c>
      <c r="E4041" s="28" t="s">
        <v>753</v>
      </c>
      <c r="F4041" s="28" t="s">
        <v>142</v>
      </c>
      <c r="G4041" s="28" t="s">
        <v>143</v>
      </c>
      <c r="H4041" s="28" t="s">
        <v>248</v>
      </c>
      <c r="I4041" s="29" t="n">
        <v>832000</v>
      </c>
      <c r="J4041" s="29" t="n">
        <v>624000</v>
      </c>
      <c r="K4041" s="28" t="n">
        <v>9.75</v>
      </c>
      <c r="L4041" s="28" t="n">
        <v>120</v>
      </c>
      <c r="M4041" s="28" t="n">
        <v>20</v>
      </c>
    </row>
    <row r="4042" customFormat="false" ht="15" hidden="false" customHeight="false" outlineLevel="0" collapsed="false">
      <c r="A4042" s="27" t="n">
        <v>45642</v>
      </c>
      <c r="B4042" s="28" t="n">
        <v>2025</v>
      </c>
      <c r="C4042" s="28" t="s">
        <v>344</v>
      </c>
      <c r="D4042" s="28" t="s">
        <v>48</v>
      </c>
      <c r="E4042" s="28" t="s">
        <v>709</v>
      </c>
      <c r="F4042" s="28" t="s">
        <v>142</v>
      </c>
      <c r="G4042" s="28" t="s">
        <v>441</v>
      </c>
      <c r="H4042" s="28" t="s">
        <v>771</v>
      </c>
      <c r="I4042" s="29" t="n">
        <v>250000</v>
      </c>
      <c r="J4042" s="29" t="n">
        <v>187500</v>
      </c>
      <c r="K4042" s="28" t="n">
        <v>10.75</v>
      </c>
      <c r="L4042" s="28" t="n">
        <v>120</v>
      </c>
      <c r="M4042" s="28" t="n">
        <v>13</v>
      </c>
    </row>
    <row r="4043" customFormat="false" ht="15" hidden="false" customHeight="false" outlineLevel="0" collapsed="false">
      <c r="A4043" s="27" t="n">
        <v>45642</v>
      </c>
      <c r="B4043" s="28" t="n">
        <v>2025</v>
      </c>
      <c r="C4043" s="28" t="s">
        <v>375</v>
      </c>
      <c r="D4043" s="28" t="s">
        <v>42</v>
      </c>
      <c r="E4043" s="28" t="s">
        <v>717</v>
      </c>
      <c r="F4043" s="28" t="s">
        <v>147</v>
      </c>
      <c r="G4043" s="28" t="s">
        <v>143</v>
      </c>
      <c r="H4043" s="28" t="s">
        <v>469</v>
      </c>
      <c r="I4043" s="29" t="n">
        <v>20000</v>
      </c>
      <c r="J4043" s="29" t="n">
        <v>10000</v>
      </c>
      <c r="K4043" s="28" t="n">
        <v>10</v>
      </c>
      <c r="L4043" s="28" t="n">
        <v>120</v>
      </c>
      <c r="M4043" s="28" t="n">
        <v>4</v>
      </c>
    </row>
    <row r="4044" customFormat="false" ht="15" hidden="false" customHeight="false" outlineLevel="0" collapsed="false">
      <c r="A4044" s="27" t="n">
        <v>45642</v>
      </c>
      <c r="B4044" s="28" t="n">
        <v>2025</v>
      </c>
      <c r="C4044" s="28" t="s">
        <v>312</v>
      </c>
      <c r="D4044" s="28" t="s">
        <v>50</v>
      </c>
      <c r="E4044" s="28" t="s">
        <v>193</v>
      </c>
      <c r="F4044" s="28" t="s">
        <v>147</v>
      </c>
      <c r="G4044" s="28" t="s">
        <v>441</v>
      </c>
      <c r="H4044" s="28" t="s">
        <v>168</v>
      </c>
      <c r="I4044" s="29" t="n">
        <v>8000</v>
      </c>
      <c r="J4044" s="29" t="n">
        <v>4000</v>
      </c>
      <c r="K4044" s="28" t="n">
        <v>12.25</v>
      </c>
      <c r="L4044" s="28" t="n">
        <v>120</v>
      </c>
      <c r="M4044" s="28" t="n">
        <v>0</v>
      </c>
    </row>
    <row r="4045" customFormat="false" ht="15" hidden="false" customHeight="false" outlineLevel="0" collapsed="false">
      <c r="A4045" s="27" t="n">
        <v>45642</v>
      </c>
      <c r="B4045" s="28" t="n">
        <v>2025</v>
      </c>
      <c r="C4045" s="28" t="s">
        <v>169</v>
      </c>
      <c r="D4045" s="28" t="s">
        <v>48</v>
      </c>
      <c r="E4045" s="28" t="s">
        <v>210</v>
      </c>
      <c r="F4045" s="28" t="s">
        <v>142</v>
      </c>
      <c r="G4045" s="28" t="s">
        <v>148</v>
      </c>
      <c r="H4045" s="28" t="s">
        <v>771</v>
      </c>
      <c r="I4045" s="29" t="n">
        <v>150000</v>
      </c>
      <c r="J4045" s="29" t="n">
        <v>127500</v>
      </c>
      <c r="K4045" s="28" t="n">
        <v>10.75</v>
      </c>
      <c r="L4045" s="28" t="n">
        <v>120</v>
      </c>
      <c r="M4045" s="28" t="n">
        <v>8</v>
      </c>
    </row>
    <row r="4046" customFormat="false" ht="15" hidden="false" customHeight="false" outlineLevel="0" collapsed="false">
      <c r="A4046" s="27" t="n">
        <v>45642</v>
      </c>
      <c r="B4046" s="28" t="n">
        <v>2025</v>
      </c>
      <c r="C4046" s="28" t="s">
        <v>375</v>
      </c>
      <c r="D4046" s="28" t="s">
        <v>42</v>
      </c>
      <c r="E4046" s="28" t="s">
        <v>717</v>
      </c>
      <c r="F4046" s="28" t="s">
        <v>142</v>
      </c>
      <c r="G4046" s="28" t="s">
        <v>143</v>
      </c>
      <c r="H4046" s="28" t="s">
        <v>469</v>
      </c>
      <c r="I4046" s="29" t="n">
        <v>73900</v>
      </c>
      <c r="J4046" s="29" t="n">
        <v>62815</v>
      </c>
      <c r="K4046" s="28" t="n">
        <v>6.99</v>
      </c>
      <c r="L4046" s="28" t="n">
        <v>60</v>
      </c>
      <c r="M4046" s="28" t="n">
        <v>4</v>
      </c>
    </row>
    <row r="4047" customFormat="false" ht="15" hidden="false" customHeight="false" outlineLevel="0" collapsed="false">
      <c r="A4047" s="27" t="n">
        <v>45643</v>
      </c>
      <c r="B4047" s="28" t="n">
        <v>2025</v>
      </c>
      <c r="C4047" s="28" t="s">
        <v>349</v>
      </c>
      <c r="D4047" s="28" t="s">
        <v>44</v>
      </c>
      <c r="E4047" s="28" t="s">
        <v>897</v>
      </c>
      <c r="F4047" s="28" t="s">
        <v>142</v>
      </c>
      <c r="G4047" s="28" t="s">
        <v>148</v>
      </c>
      <c r="H4047" s="28" t="s">
        <v>211</v>
      </c>
      <c r="I4047" s="29" t="n">
        <v>350000</v>
      </c>
      <c r="J4047" s="29" t="n">
        <v>262500</v>
      </c>
      <c r="K4047" s="28" t="n">
        <v>10.5</v>
      </c>
      <c r="L4047" s="28" t="n">
        <v>120</v>
      </c>
      <c r="M4047" s="28" t="n">
        <v>2</v>
      </c>
    </row>
    <row r="4048" customFormat="false" ht="15" hidden="false" customHeight="false" outlineLevel="0" collapsed="false">
      <c r="A4048" s="27" t="n">
        <v>45643</v>
      </c>
      <c r="B4048" s="28" t="n">
        <v>2025</v>
      </c>
      <c r="C4048" s="28" t="s">
        <v>169</v>
      </c>
      <c r="D4048" s="28" t="s">
        <v>47</v>
      </c>
      <c r="E4048" s="28" t="s">
        <v>849</v>
      </c>
      <c r="F4048" s="28" t="s">
        <v>142</v>
      </c>
      <c r="G4048" s="28" t="s">
        <v>152</v>
      </c>
      <c r="H4048" s="28" t="s">
        <v>457</v>
      </c>
      <c r="I4048" s="29" t="n">
        <v>1890000</v>
      </c>
      <c r="J4048" s="29" t="n">
        <v>1417500</v>
      </c>
      <c r="K4048" s="28" t="n">
        <v>10.25</v>
      </c>
      <c r="L4048" s="28" t="n">
        <v>120</v>
      </c>
      <c r="M4048" s="28" t="n">
        <v>12</v>
      </c>
    </row>
    <row r="4049" customFormat="false" ht="15" hidden="false" customHeight="false" outlineLevel="0" collapsed="false">
      <c r="A4049" s="27" t="n">
        <v>45644</v>
      </c>
      <c r="B4049" s="28" t="n">
        <v>2025</v>
      </c>
      <c r="C4049" s="28" t="s">
        <v>252</v>
      </c>
      <c r="D4049" s="28" t="s">
        <v>45</v>
      </c>
      <c r="E4049" s="28" t="s">
        <v>824</v>
      </c>
      <c r="F4049" s="28" t="s">
        <v>142</v>
      </c>
      <c r="G4049" s="28" t="s">
        <v>148</v>
      </c>
      <c r="H4049" s="28" t="s">
        <v>953</v>
      </c>
      <c r="I4049" s="29" t="n">
        <v>150000</v>
      </c>
      <c r="J4049" s="29" t="n">
        <v>127500</v>
      </c>
      <c r="K4049" s="28" t="n">
        <v>10.75</v>
      </c>
      <c r="L4049" s="28" t="n">
        <v>120</v>
      </c>
      <c r="M4049" s="28" t="n">
        <v>18</v>
      </c>
    </row>
    <row r="4050" customFormat="false" ht="15" hidden="false" customHeight="false" outlineLevel="0" collapsed="false">
      <c r="A4050" s="27" t="n">
        <v>45644</v>
      </c>
      <c r="B4050" s="28" t="n">
        <v>2025</v>
      </c>
      <c r="C4050" s="28" t="s">
        <v>163</v>
      </c>
      <c r="D4050" s="28" t="s">
        <v>45</v>
      </c>
      <c r="E4050" s="28" t="s">
        <v>874</v>
      </c>
      <c r="F4050" s="28" t="s">
        <v>142</v>
      </c>
      <c r="G4050" s="28" t="s">
        <v>148</v>
      </c>
      <c r="H4050" s="28" t="s">
        <v>937</v>
      </c>
      <c r="I4050" s="29" t="n">
        <v>202700</v>
      </c>
      <c r="J4050" s="29" t="n">
        <v>152025</v>
      </c>
      <c r="K4050" s="28" t="n">
        <v>13.25</v>
      </c>
      <c r="L4050" s="28" t="n">
        <v>120</v>
      </c>
      <c r="M4050" s="28" t="n">
        <v>19</v>
      </c>
    </row>
    <row r="4051" customFormat="false" ht="15" hidden="false" customHeight="false" outlineLevel="0" collapsed="false">
      <c r="A4051" s="27" t="n">
        <v>45644</v>
      </c>
      <c r="B4051" s="28" t="n">
        <v>2025</v>
      </c>
      <c r="C4051" s="28" t="s">
        <v>169</v>
      </c>
      <c r="D4051" s="28" t="s">
        <v>50</v>
      </c>
      <c r="E4051" s="28" t="s">
        <v>877</v>
      </c>
      <c r="F4051" s="28" t="s">
        <v>147</v>
      </c>
      <c r="G4051" s="28" t="s">
        <v>441</v>
      </c>
      <c r="H4051" s="28" t="s">
        <v>191</v>
      </c>
      <c r="I4051" s="29" t="n">
        <v>20000</v>
      </c>
      <c r="J4051" s="29" t="n">
        <v>10000</v>
      </c>
      <c r="K4051" s="28" t="n">
        <v>13.15</v>
      </c>
      <c r="L4051" s="28" t="n">
        <v>120</v>
      </c>
      <c r="M4051" s="28" t="n">
        <v>20</v>
      </c>
    </row>
    <row r="4052" customFormat="false" ht="15" hidden="false" customHeight="false" outlineLevel="0" collapsed="false">
      <c r="A4052" s="27" t="n">
        <v>45644</v>
      </c>
      <c r="B4052" s="28" t="n">
        <v>2025</v>
      </c>
      <c r="C4052" s="28" t="s">
        <v>312</v>
      </c>
      <c r="D4052" s="28" t="s">
        <v>44</v>
      </c>
      <c r="E4052" s="28" t="s">
        <v>759</v>
      </c>
      <c r="F4052" s="28" t="s">
        <v>142</v>
      </c>
      <c r="G4052" s="28" t="s">
        <v>143</v>
      </c>
      <c r="H4052" s="28" t="s">
        <v>1116</v>
      </c>
      <c r="I4052" s="29" t="n">
        <v>571000</v>
      </c>
      <c r="J4052" s="29" t="n">
        <v>428250</v>
      </c>
      <c r="K4052" s="28" t="n">
        <v>10.5</v>
      </c>
      <c r="L4052" s="28" t="n">
        <v>300</v>
      </c>
      <c r="M4052" s="28" t="n">
        <v>5</v>
      </c>
    </row>
    <row r="4053" customFormat="false" ht="15" hidden="false" customHeight="false" outlineLevel="0" collapsed="false">
      <c r="A4053" s="27" t="n">
        <v>45644</v>
      </c>
      <c r="B4053" s="28" t="n">
        <v>2025</v>
      </c>
      <c r="C4053" s="28" t="s">
        <v>154</v>
      </c>
      <c r="D4053" s="28" t="s">
        <v>44</v>
      </c>
      <c r="E4053" s="28" t="s">
        <v>730</v>
      </c>
      <c r="F4053" s="28" t="s">
        <v>142</v>
      </c>
      <c r="G4053" s="28" t="s">
        <v>143</v>
      </c>
      <c r="H4053" s="28" t="s">
        <v>416</v>
      </c>
      <c r="I4053" s="29" t="n">
        <v>575000</v>
      </c>
      <c r="J4053" s="29" t="n">
        <v>431250</v>
      </c>
      <c r="K4053" s="28" t="n">
        <v>10.5</v>
      </c>
      <c r="L4053" s="28" t="n">
        <v>120</v>
      </c>
      <c r="M4053" s="28" t="n">
        <v>29</v>
      </c>
    </row>
    <row r="4054" customFormat="false" ht="15" hidden="false" customHeight="false" outlineLevel="0" collapsed="false">
      <c r="A4054" s="27" t="n">
        <v>45644</v>
      </c>
      <c r="B4054" s="28" t="n">
        <v>2025</v>
      </c>
      <c r="C4054" s="28" t="s">
        <v>150</v>
      </c>
      <c r="D4054" s="28" t="s">
        <v>45</v>
      </c>
      <c r="E4054" s="28" t="s">
        <v>906</v>
      </c>
      <c r="F4054" s="28" t="s">
        <v>142</v>
      </c>
      <c r="G4054" s="28" t="s">
        <v>143</v>
      </c>
      <c r="H4054" s="28" t="s">
        <v>1117</v>
      </c>
      <c r="I4054" s="29" t="n">
        <v>400000</v>
      </c>
      <c r="J4054" s="29" t="n">
        <v>300000</v>
      </c>
      <c r="K4054" s="28" t="n">
        <v>10.5</v>
      </c>
      <c r="L4054" s="28" t="n">
        <v>120</v>
      </c>
      <c r="M4054" s="28" t="n">
        <v>2</v>
      </c>
    </row>
    <row r="4055" customFormat="false" ht="15" hidden="false" customHeight="false" outlineLevel="0" collapsed="false">
      <c r="A4055" s="27" t="n">
        <v>45644</v>
      </c>
      <c r="B4055" s="28" t="n">
        <v>2025</v>
      </c>
      <c r="C4055" s="28" t="s">
        <v>160</v>
      </c>
      <c r="D4055" s="28" t="s">
        <v>47</v>
      </c>
      <c r="E4055" s="28" t="s">
        <v>1107</v>
      </c>
      <c r="F4055" s="28" t="s">
        <v>142</v>
      </c>
      <c r="G4055" s="28" t="s">
        <v>148</v>
      </c>
      <c r="H4055" s="28" t="s">
        <v>953</v>
      </c>
      <c r="I4055" s="29" t="n">
        <v>125000</v>
      </c>
      <c r="J4055" s="29" t="n">
        <v>106250</v>
      </c>
      <c r="K4055" s="28" t="n">
        <v>10.75</v>
      </c>
      <c r="L4055" s="28" t="n">
        <v>120</v>
      </c>
      <c r="M4055" s="28" t="n">
        <v>6</v>
      </c>
    </row>
    <row r="4056" customFormat="false" ht="15" hidden="false" customHeight="false" outlineLevel="0" collapsed="false">
      <c r="A4056" s="27" t="n">
        <v>45644</v>
      </c>
      <c r="B4056" s="28" t="n">
        <v>2025</v>
      </c>
      <c r="C4056" s="28" t="s">
        <v>328</v>
      </c>
      <c r="D4056" s="28" t="s">
        <v>46</v>
      </c>
      <c r="E4056" s="28" t="s">
        <v>741</v>
      </c>
      <c r="F4056" s="28" t="s">
        <v>194</v>
      </c>
      <c r="G4056" s="28" t="s">
        <v>152</v>
      </c>
      <c r="H4056" s="28" t="s">
        <v>1031</v>
      </c>
      <c r="I4056" s="29" t="n">
        <v>340000</v>
      </c>
      <c r="J4056" s="29" t="n">
        <v>255000</v>
      </c>
      <c r="K4056" s="28" t="n">
        <v>9</v>
      </c>
      <c r="L4056" s="28" t="n">
        <v>300</v>
      </c>
      <c r="M4056" s="28" t="n">
        <v>3</v>
      </c>
    </row>
    <row r="4057" customFormat="false" ht="15" hidden="false" customHeight="false" outlineLevel="0" collapsed="false">
      <c r="A4057" s="27" t="n">
        <v>45645</v>
      </c>
      <c r="B4057" s="28" t="n">
        <v>2025</v>
      </c>
      <c r="C4057" s="28" t="s">
        <v>272</v>
      </c>
      <c r="D4057" s="28" t="s">
        <v>50</v>
      </c>
      <c r="E4057" s="28" t="s">
        <v>389</v>
      </c>
      <c r="F4057" s="28" t="s">
        <v>142</v>
      </c>
      <c r="G4057" s="28" t="s">
        <v>143</v>
      </c>
      <c r="H4057" s="28" t="s">
        <v>211</v>
      </c>
      <c r="I4057" s="29" t="n">
        <v>182500</v>
      </c>
      <c r="J4057" s="29" t="n">
        <v>136875</v>
      </c>
      <c r="K4057" s="28" t="n">
        <v>10.5</v>
      </c>
      <c r="L4057" s="28" t="n">
        <v>120</v>
      </c>
      <c r="M4057" s="28" t="n">
        <v>8</v>
      </c>
    </row>
    <row r="4058" customFormat="false" ht="15" hidden="false" customHeight="false" outlineLevel="0" collapsed="false">
      <c r="A4058" s="27" t="n">
        <v>45645</v>
      </c>
      <c r="B4058" s="28" t="n">
        <v>2025</v>
      </c>
      <c r="C4058" s="28" t="s">
        <v>272</v>
      </c>
      <c r="D4058" s="28" t="s">
        <v>50</v>
      </c>
      <c r="E4058" s="28" t="s">
        <v>389</v>
      </c>
      <c r="F4058" s="28" t="s">
        <v>147</v>
      </c>
      <c r="G4058" s="28" t="s">
        <v>143</v>
      </c>
      <c r="H4058" s="28" t="s">
        <v>211</v>
      </c>
      <c r="I4058" s="29" t="n">
        <v>30000</v>
      </c>
      <c r="J4058" s="29" t="n">
        <v>15000</v>
      </c>
      <c r="K4058" s="28" t="n">
        <v>10.5</v>
      </c>
      <c r="L4058" s="28" t="n">
        <v>120</v>
      </c>
      <c r="M4058" s="28" t="n">
        <v>8</v>
      </c>
    </row>
    <row r="4059" customFormat="false" ht="15" hidden="false" customHeight="false" outlineLevel="0" collapsed="false">
      <c r="A4059" s="27" t="n">
        <v>45645</v>
      </c>
      <c r="B4059" s="28" t="n">
        <v>2025</v>
      </c>
      <c r="C4059" s="28" t="s">
        <v>723</v>
      </c>
      <c r="D4059" s="28" t="s">
        <v>43</v>
      </c>
      <c r="E4059" s="28" t="s">
        <v>996</v>
      </c>
      <c r="F4059" s="28" t="s">
        <v>142</v>
      </c>
      <c r="G4059" s="28" t="s">
        <v>441</v>
      </c>
      <c r="H4059" s="28" t="s">
        <v>388</v>
      </c>
      <c r="I4059" s="29" t="n">
        <v>1317000</v>
      </c>
      <c r="J4059" s="29" t="n">
        <v>987750</v>
      </c>
      <c r="K4059" s="28" t="n">
        <v>10.25</v>
      </c>
      <c r="L4059" s="28" t="n">
        <v>132</v>
      </c>
      <c r="M4059" s="28" t="n">
        <v>16</v>
      </c>
    </row>
    <row r="4060" customFormat="false" ht="15" hidden="false" customHeight="false" outlineLevel="0" collapsed="false">
      <c r="A4060" s="27" t="n">
        <v>45645</v>
      </c>
      <c r="B4060" s="28" t="n">
        <v>2025</v>
      </c>
      <c r="C4060" s="28" t="s">
        <v>160</v>
      </c>
      <c r="D4060" s="28" t="s">
        <v>43</v>
      </c>
      <c r="E4060" s="28" t="s">
        <v>841</v>
      </c>
      <c r="F4060" s="28" t="s">
        <v>142</v>
      </c>
      <c r="G4060" s="28" t="s">
        <v>148</v>
      </c>
      <c r="H4060" s="28" t="s">
        <v>208</v>
      </c>
      <c r="I4060" s="29" t="n">
        <v>220000</v>
      </c>
      <c r="J4060" s="29" t="n">
        <v>165000</v>
      </c>
      <c r="K4060" s="28" t="n">
        <v>10.5</v>
      </c>
      <c r="L4060" s="28" t="n">
        <v>120</v>
      </c>
      <c r="M4060" s="28" t="n">
        <v>1</v>
      </c>
    </row>
    <row r="4061" customFormat="false" ht="15" hidden="false" customHeight="false" outlineLevel="0" collapsed="false">
      <c r="A4061" s="27" t="n">
        <v>45645</v>
      </c>
      <c r="B4061" s="28" t="n">
        <v>2025</v>
      </c>
      <c r="C4061" s="28" t="s">
        <v>603</v>
      </c>
      <c r="D4061" s="28" t="s">
        <v>51</v>
      </c>
      <c r="E4061" s="28" t="s">
        <v>779</v>
      </c>
      <c r="F4061" s="28" t="s">
        <v>142</v>
      </c>
      <c r="G4061" s="28" t="s">
        <v>441</v>
      </c>
      <c r="H4061" s="28" t="s">
        <v>633</v>
      </c>
      <c r="I4061" s="29" t="n">
        <v>320000</v>
      </c>
      <c r="J4061" s="29" t="n">
        <v>240000</v>
      </c>
      <c r="K4061" s="28" t="n">
        <v>10.5</v>
      </c>
      <c r="L4061" s="28" t="n">
        <v>127</v>
      </c>
      <c r="M4061" s="28" t="n">
        <v>5</v>
      </c>
    </row>
    <row r="4062" customFormat="false" ht="15" hidden="false" customHeight="false" outlineLevel="0" collapsed="false">
      <c r="A4062" s="27" t="n">
        <v>45646</v>
      </c>
      <c r="B4062" s="28" t="n">
        <v>2025</v>
      </c>
      <c r="C4062" s="28" t="s">
        <v>196</v>
      </c>
      <c r="D4062" s="28" t="s">
        <v>48</v>
      </c>
      <c r="E4062" s="28" t="s">
        <v>362</v>
      </c>
      <c r="F4062" s="28" t="s">
        <v>147</v>
      </c>
      <c r="G4062" s="28" t="s">
        <v>152</v>
      </c>
      <c r="H4062" s="28" t="s">
        <v>159</v>
      </c>
      <c r="I4062" s="29" t="n">
        <v>300000</v>
      </c>
      <c r="J4062" s="29" t="n">
        <v>150000</v>
      </c>
      <c r="K4062" s="28" t="n">
        <v>9.75</v>
      </c>
      <c r="L4062" s="28" t="n">
        <v>120</v>
      </c>
      <c r="M4062" s="28" t="n">
        <v>12</v>
      </c>
    </row>
    <row r="4063" customFormat="false" ht="15" hidden="false" customHeight="false" outlineLevel="0" collapsed="false">
      <c r="A4063" s="27" t="n">
        <v>45646</v>
      </c>
      <c r="B4063" s="28" t="n">
        <v>2025</v>
      </c>
      <c r="C4063" s="28" t="s">
        <v>303</v>
      </c>
      <c r="D4063" s="28" t="s">
        <v>52</v>
      </c>
      <c r="E4063" s="28" t="s">
        <v>599</v>
      </c>
      <c r="F4063" s="28" t="s">
        <v>142</v>
      </c>
      <c r="G4063" s="28" t="s">
        <v>152</v>
      </c>
      <c r="H4063" s="28" t="s">
        <v>326</v>
      </c>
      <c r="I4063" s="29" t="n">
        <v>3378700</v>
      </c>
      <c r="J4063" s="29" t="n">
        <v>2534025</v>
      </c>
      <c r="K4063" s="28" t="n">
        <v>9.75</v>
      </c>
      <c r="L4063" s="28" t="n">
        <v>120</v>
      </c>
      <c r="M4063" s="28" t="n">
        <v>18</v>
      </c>
    </row>
    <row r="4064" customFormat="false" ht="15" hidden="false" customHeight="false" outlineLevel="0" collapsed="false">
      <c r="A4064" s="27" t="n">
        <v>45646</v>
      </c>
      <c r="B4064" s="28" t="n">
        <v>2025</v>
      </c>
      <c r="C4064" s="28" t="s">
        <v>163</v>
      </c>
      <c r="D4064" s="28" t="s">
        <v>51</v>
      </c>
      <c r="E4064" s="28" t="s">
        <v>800</v>
      </c>
      <c r="F4064" s="28" t="s">
        <v>142</v>
      </c>
      <c r="G4064" s="28" t="s">
        <v>152</v>
      </c>
      <c r="H4064" s="28" t="s">
        <v>278</v>
      </c>
      <c r="I4064" s="29" t="n">
        <v>3790000</v>
      </c>
      <c r="J4064" s="29" t="n">
        <v>2842500</v>
      </c>
      <c r="K4064" s="28" t="n">
        <v>10.25</v>
      </c>
      <c r="L4064" s="28" t="n">
        <v>120</v>
      </c>
      <c r="M4064" s="28" t="n">
        <v>6</v>
      </c>
    </row>
    <row r="4065" customFormat="false" ht="15" hidden="false" customHeight="false" outlineLevel="0" collapsed="false">
      <c r="A4065" s="27" t="n">
        <v>45646</v>
      </c>
      <c r="B4065" s="28" t="n">
        <v>2025</v>
      </c>
      <c r="C4065" s="28" t="s">
        <v>163</v>
      </c>
      <c r="D4065" s="28" t="s">
        <v>51</v>
      </c>
      <c r="E4065" s="28" t="s">
        <v>800</v>
      </c>
      <c r="F4065" s="28" t="s">
        <v>147</v>
      </c>
      <c r="G4065" s="28" t="s">
        <v>152</v>
      </c>
      <c r="H4065" s="28" t="s">
        <v>278</v>
      </c>
      <c r="I4065" s="29" t="n">
        <v>400000</v>
      </c>
      <c r="J4065" s="29" t="n">
        <v>200000</v>
      </c>
      <c r="K4065" s="28" t="n">
        <v>10</v>
      </c>
      <c r="L4065" s="28" t="n">
        <v>120</v>
      </c>
      <c r="M4065" s="28" t="n">
        <v>6</v>
      </c>
    </row>
    <row r="4066" customFormat="false" ht="15" hidden="false" customHeight="false" outlineLevel="0" collapsed="false">
      <c r="A4066" s="27" t="n">
        <v>45646</v>
      </c>
      <c r="B4066" s="28" t="n">
        <v>2025</v>
      </c>
      <c r="C4066" s="28" t="s">
        <v>166</v>
      </c>
      <c r="D4066" s="28" t="s">
        <v>47</v>
      </c>
      <c r="E4066" s="28" t="s">
        <v>760</v>
      </c>
      <c r="F4066" s="28" t="s">
        <v>194</v>
      </c>
      <c r="G4066" s="28" t="s">
        <v>152</v>
      </c>
      <c r="H4066" s="28" t="s">
        <v>693</v>
      </c>
      <c r="I4066" s="29" t="n">
        <v>230000</v>
      </c>
      <c r="J4066" s="29" t="n">
        <v>172500</v>
      </c>
      <c r="K4066" s="28" t="n">
        <v>11</v>
      </c>
      <c r="L4066" s="28" t="n">
        <v>120</v>
      </c>
      <c r="M4066" s="28" t="n">
        <v>5</v>
      </c>
    </row>
    <row r="4067" customFormat="false" ht="15" hidden="false" customHeight="false" outlineLevel="0" collapsed="false">
      <c r="A4067" s="27" t="n">
        <v>45646</v>
      </c>
      <c r="B4067" s="28" t="n">
        <v>2025</v>
      </c>
      <c r="C4067" s="28" t="s">
        <v>172</v>
      </c>
      <c r="D4067" s="28" t="s">
        <v>42</v>
      </c>
      <c r="E4067" s="28" t="s">
        <v>753</v>
      </c>
      <c r="F4067" s="28" t="s">
        <v>142</v>
      </c>
      <c r="G4067" s="28" t="s">
        <v>152</v>
      </c>
      <c r="H4067" s="28" t="s">
        <v>211</v>
      </c>
      <c r="I4067" s="29" t="n">
        <v>350000</v>
      </c>
      <c r="J4067" s="29" t="n">
        <v>262500</v>
      </c>
      <c r="K4067" s="28" t="n">
        <v>10.25</v>
      </c>
      <c r="L4067" s="28" t="n">
        <v>120</v>
      </c>
      <c r="M4067" s="28" t="n">
        <v>14</v>
      </c>
    </row>
    <row r="4068" customFormat="false" ht="15" hidden="false" customHeight="false" outlineLevel="0" collapsed="false">
      <c r="A4068" s="27" t="n">
        <v>45646</v>
      </c>
      <c r="B4068" s="28" t="n">
        <v>2025</v>
      </c>
      <c r="C4068" s="28" t="s">
        <v>163</v>
      </c>
      <c r="D4068" s="28" t="s">
        <v>44</v>
      </c>
      <c r="E4068" s="28" t="s">
        <v>167</v>
      </c>
      <c r="F4068" s="28" t="s">
        <v>142</v>
      </c>
      <c r="G4068" s="28" t="s">
        <v>143</v>
      </c>
      <c r="H4068" s="28" t="s">
        <v>1002</v>
      </c>
      <c r="I4068" s="29" t="n">
        <v>200000</v>
      </c>
      <c r="J4068" s="29" t="n">
        <v>150000</v>
      </c>
      <c r="K4068" s="28" t="n">
        <v>11</v>
      </c>
      <c r="L4068" s="28" t="n">
        <v>120</v>
      </c>
      <c r="M4068" s="28" t="n">
        <v>11</v>
      </c>
    </row>
    <row r="4069" customFormat="false" ht="15" hidden="false" customHeight="false" outlineLevel="0" collapsed="false">
      <c r="A4069" s="27" t="n">
        <v>45646</v>
      </c>
      <c r="B4069" s="28" t="n">
        <v>2025</v>
      </c>
      <c r="C4069" s="28" t="s">
        <v>203</v>
      </c>
      <c r="D4069" s="28" t="s">
        <v>42</v>
      </c>
      <c r="E4069" s="28" t="s">
        <v>753</v>
      </c>
      <c r="F4069" s="28" t="s">
        <v>142</v>
      </c>
      <c r="G4069" s="28" t="s">
        <v>143</v>
      </c>
      <c r="H4069" s="28" t="s">
        <v>211</v>
      </c>
      <c r="I4069" s="29" t="n">
        <v>497500</v>
      </c>
      <c r="J4069" s="29" t="n">
        <v>373125</v>
      </c>
      <c r="K4069" s="28" t="n">
        <v>10</v>
      </c>
      <c r="L4069" s="28" t="n">
        <v>129</v>
      </c>
      <c r="M4069" s="28" t="n">
        <v>2</v>
      </c>
    </row>
    <row r="4070" customFormat="false" ht="15" hidden="false" customHeight="false" outlineLevel="0" collapsed="false">
      <c r="A4070" s="27" t="n">
        <v>45646</v>
      </c>
      <c r="B4070" s="28" t="n">
        <v>2025</v>
      </c>
      <c r="C4070" s="28" t="s">
        <v>169</v>
      </c>
      <c r="D4070" s="28" t="s">
        <v>42</v>
      </c>
      <c r="E4070" s="28" t="s">
        <v>828</v>
      </c>
      <c r="F4070" s="28" t="s">
        <v>142</v>
      </c>
      <c r="G4070" s="28" t="s">
        <v>441</v>
      </c>
      <c r="H4070" s="28" t="s">
        <v>771</v>
      </c>
      <c r="I4070" s="29" t="n">
        <v>10000</v>
      </c>
      <c r="J4070" s="29" t="n">
        <v>8500</v>
      </c>
      <c r="K4070" s="28" t="n">
        <v>10.75</v>
      </c>
      <c r="L4070" s="28" t="n">
        <v>120</v>
      </c>
      <c r="M4070" s="28" t="n">
        <v>3</v>
      </c>
    </row>
    <row r="4071" customFormat="false" ht="15" hidden="false" customHeight="false" outlineLevel="0" collapsed="false">
      <c r="A4071" s="27" t="n">
        <v>45646</v>
      </c>
      <c r="B4071" s="28" t="n">
        <v>2025</v>
      </c>
      <c r="C4071" s="28" t="s">
        <v>169</v>
      </c>
      <c r="D4071" s="28" t="s">
        <v>50</v>
      </c>
      <c r="E4071" s="28" t="s">
        <v>877</v>
      </c>
      <c r="F4071" s="28" t="s">
        <v>147</v>
      </c>
      <c r="G4071" s="28" t="s">
        <v>148</v>
      </c>
      <c r="H4071" s="28" t="s">
        <v>205</v>
      </c>
      <c r="I4071" s="29" t="n">
        <v>250000</v>
      </c>
      <c r="J4071" s="29" t="n">
        <v>125000</v>
      </c>
      <c r="K4071" s="28" t="n">
        <v>10.75</v>
      </c>
      <c r="L4071" s="28" t="n">
        <v>120</v>
      </c>
      <c r="M4071" s="28" t="n">
        <v>11</v>
      </c>
    </row>
    <row r="4072" customFormat="false" ht="15" hidden="false" customHeight="false" outlineLevel="0" collapsed="false">
      <c r="A4072" s="27" t="n">
        <v>45649</v>
      </c>
      <c r="B4072" s="28" t="n">
        <v>2025</v>
      </c>
      <c r="C4072" s="28" t="s">
        <v>154</v>
      </c>
      <c r="D4072" s="28" t="s">
        <v>46</v>
      </c>
      <c r="E4072" s="28" t="s">
        <v>780</v>
      </c>
      <c r="F4072" s="28" t="s">
        <v>142</v>
      </c>
      <c r="G4072" s="28" t="s">
        <v>152</v>
      </c>
      <c r="H4072" s="28" t="s">
        <v>501</v>
      </c>
      <c r="I4072" s="29" t="n">
        <v>772000</v>
      </c>
      <c r="J4072" s="29" t="n">
        <v>579000</v>
      </c>
      <c r="K4072" s="28" t="n">
        <v>10.5</v>
      </c>
      <c r="L4072" s="28" t="n">
        <v>120</v>
      </c>
      <c r="M4072" s="28" t="n">
        <v>6</v>
      </c>
    </row>
    <row r="4073" customFormat="false" ht="15" hidden="false" customHeight="false" outlineLevel="0" collapsed="false">
      <c r="A4073" s="27" t="n">
        <v>45649</v>
      </c>
      <c r="B4073" s="28" t="n">
        <v>2025</v>
      </c>
      <c r="C4073" s="28" t="s">
        <v>209</v>
      </c>
      <c r="D4073" s="28" t="s">
        <v>47</v>
      </c>
      <c r="E4073" s="28" t="s">
        <v>966</v>
      </c>
      <c r="F4073" s="28" t="s">
        <v>283</v>
      </c>
      <c r="G4073" s="28" t="s">
        <v>148</v>
      </c>
      <c r="H4073" s="28" t="s">
        <v>799</v>
      </c>
      <c r="I4073" s="29" t="n">
        <v>500000</v>
      </c>
      <c r="J4073" s="29" t="n">
        <v>450000</v>
      </c>
      <c r="K4073" s="28" t="n">
        <v>10.25</v>
      </c>
      <c r="L4073" s="28" t="n">
        <v>120</v>
      </c>
      <c r="M4073" s="28" t="n">
        <v>40</v>
      </c>
    </row>
    <row r="4074" customFormat="false" ht="15" hidden="false" customHeight="false" outlineLevel="0" collapsed="false">
      <c r="A4074" s="27" t="n">
        <v>45649</v>
      </c>
      <c r="B4074" s="28" t="n">
        <v>2025</v>
      </c>
      <c r="C4074" s="28" t="s">
        <v>163</v>
      </c>
      <c r="D4074" s="28" t="s">
        <v>42</v>
      </c>
      <c r="E4074" s="28" t="s">
        <v>784</v>
      </c>
      <c r="F4074" s="28" t="s">
        <v>142</v>
      </c>
      <c r="G4074" s="28" t="s">
        <v>143</v>
      </c>
      <c r="H4074" s="28" t="s">
        <v>483</v>
      </c>
      <c r="I4074" s="29" t="n">
        <v>1328000</v>
      </c>
      <c r="J4074" s="29" t="n">
        <v>996000</v>
      </c>
      <c r="K4074" s="28" t="n">
        <v>10.25</v>
      </c>
      <c r="L4074" s="28" t="n">
        <v>126</v>
      </c>
      <c r="M4074" s="28" t="n">
        <v>12</v>
      </c>
    </row>
    <row r="4075" customFormat="false" ht="15" hidden="false" customHeight="false" outlineLevel="0" collapsed="false">
      <c r="A4075" s="27" t="n">
        <v>45649</v>
      </c>
      <c r="B4075" s="28" t="n">
        <v>2025</v>
      </c>
      <c r="C4075" s="28" t="s">
        <v>172</v>
      </c>
      <c r="D4075" s="28" t="s">
        <v>43</v>
      </c>
      <c r="E4075" s="28" t="s">
        <v>942</v>
      </c>
      <c r="F4075" s="28" t="s">
        <v>147</v>
      </c>
      <c r="G4075" s="28" t="s">
        <v>441</v>
      </c>
      <c r="H4075" s="28" t="s">
        <v>205</v>
      </c>
      <c r="I4075" s="29" t="n">
        <v>50000</v>
      </c>
      <c r="J4075" s="29" t="n">
        <v>25000</v>
      </c>
      <c r="K4075" s="28" t="n">
        <v>10</v>
      </c>
      <c r="L4075" s="28" t="n">
        <v>120</v>
      </c>
      <c r="M4075" s="28" t="n">
        <v>11</v>
      </c>
    </row>
    <row r="4076" customFormat="false" ht="15" hidden="false" customHeight="false" outlineLevel="0" collapsed="false">
      <c r="A4076" s="27" t="n">
        <v>45649</v>
      </c>
      <c r="B4076" s="28" t="n">
        <v>2025</v>
      </c>
      <c r="C4076" s="28" t="s">
        <v>203</v>
      </c>
      <c r="D4076" s="28" t="s">
        <v>44</v>
      </c>
      <c r="E4076" s="28" t="s">
        <v>730</v>
      </c>
      <c r="F4076" s="28" t="s">
        <v>142</v>
      </c>
      <c r="G4076" s="28" t="s">
        <v>148</v>
      </c>
      <c r="H4076" s="28" t="s">
        <v>275</v>
      </c>
      <c r="I4076" s="29" t="n">
        <v>500000</v>
      </c>
      <c r="J4076" s="29" t="n">
        <v>375000</v>
      </c>
      <c r="K4076" s="28" t="n">
        <v>10.5</v>
      </c>
      <c r="L4076" s="28" t="n">
        <v>120</v>
      </c>
      <c r="M4076" s="28" t="n">
        <v>10</v>
      </c>
    </row>
    <row r="4077" customFormat="false" ht="15" hidden="false" customHeight="false" outlineLevel="0" collapsed="false">
      <c r="A4077" s="27" t="n">
        <v>45649</v>
      </c>
      <c r="B4077" s="28" t="n">
        <v>2025</v>
      </c>
      <c r="C4077" s="28" t="s">
        <v>169</v>
      </c>
      <c r="D4077" s="28" t="s">
        <v>42</v>
      </c>
      <c r="E4077" s="28" t="s">
        <v>717</v>
      </c>
      <c r="F4077" s="28" t="s">
        <v>142</v>
      </c>
      <c r="G4077" s="28" t="s">
        <v>143</v>
      </c>
      <c r="H4077" s="28" t="s">
        <v>278</v>
      </c>
      <c r="I4077" s="29" t="n">
        <v>750000</v>
      </c>
      <c r="J4077" s="29" t="n">
        <v>562500</v>
      </c>
      <c r="K4077" s="28" t="n">
        <v>9.25</v>
      </c>
      <c r="L4077" s="28" t="n">
        <v>120</v>
      </c>
      <c r="M4077" s="28" t="n">
        <v>69</v>
      </c>
    </row>
    <row r="4078" customFormat="false" ht="15" hidden="false" customHeight="false" outlineLevel="0" collapsed="false">
      <c r="A4078" s="27" t="n">
        <v>45649</v>
      </c>
      <c r="B4078" s="28" t="n">
        <v>2025</v>
      </c>
      <c r="C4078" s="28" t="s">
        <v>160</v>
      </c>
      <c r="D4078" s="28" t="s">
        <v>44</v>
      </c>
      <c r="E4078" s="28" t="s">
        <v>167</v>
      </c>
      <c r="F4078" s="28" t="s">
        <v>147</v>
      </c>
      <c r="G4078" s="28" t="s">
        <v>143</v>
      </c>
      <c r="H4078" s="28" t="s">
        <v>211</v>
      </c>
      <c r="I4078" s="29" t="n">
        <v>75000</v>
      </c>
      <c r="J4078" s="29" t="n">
        <v>37500</v>
      </c>
      <c r="K4078" s="28" t="n">
        <v>10.5</v>
      </c>
      <c r="L4078" s="28" t="n">
        <v>120</v>
      </c>
      <c r="M4078" s="28" t="n">
        <v>12</v>
      </c>
    </row>
    <row r="4079" customFormat="false" ht="15" hidden="false" customHeight="false" outlineLevel="0" collapsed="false">
      <c r="A4079" s="27" t="n">
        <v>45649</v>
      </c>
      <c r="B4079" s="28" t="n">
        <v>2025</v>
      </c>
      <c r="C4079" s="28" t="s">
        <v>175</v>
      </c>
      <c r="D4079" s="28" t="s">
        <v>43</v>
      </c>
      <c r="E4079" s="28" t="s">
        <v>841</v>
      </c>
      <c r="F4079" s="28" t="s">
        <v>142</v>
      </c>
      <c r="G4079" s="28" t="s">
        <v>148</v>
      </c>
      <c r="H4079" s="28" t="s">
        <v>417</v>
      </c>
      <c r="I4079" s="29" t="n">
        <v>913900</v>
      </c>
      <c r="J4079" s="29" t="n">
        <v>685425</v>
      </c>
      <c r="K4079" s="28" t="n">
        <v>10.5</v>
      </c>
      <c r="L4079" s="28" t="n">
        <v>84</v>
      </c>
      <c r="M4079" s="28" t="n">
        <v>12</v>
      </c>
    </row>
    <row r="4080" customFormat="false" ht="15" hidden="false" customHeight="false" outlineLevel="0" collapsed="false">
      <c r="A4080" s="27" t="n">
        <v>45649</v>
      </c>
      <c r="B4080" s="28" t="n">
        <v>2025</v>
      </c>
      <c r="C4080" s="28" t="s">
        <v>160</v>
      </c>
      <c r="D4080" s="28" t="s">
        <v>44</v>
      </c>
      <c r="E4080" s="28" t="s">
        <v>167</v>
      </c>
      <c r="F4080" s="28" t="s">
        <v>142</v>
      </c>
      <c r="G4080" s="28" t="s">
        <v>143</v>
      </c>
      <c r="H4080" s="28" t="s">
        <v>211</v>
      </c>
      <c r="I4080" s="29" t="n">
        <v>200000</v>
      </c>
      <c r="J4080" s="29" t="n">
        <v>150000</v>
      </c>
      <c r="K4080" s="28" t="n">
        <v>10.5</v>
      </c>
      <c r="L4080" s="28" t="n">
        <v>120</v>
      </c>
      <c r="M4080" s="28" t="n">
        <v>12</v>
      </c>
    </row>
    <row r="4081" customFormat="false" ht="15" hidden="false" customHeight="false" outlineLevel="0" collapsed="false">
      <c r="A4081" s="27" t="n">
        <v>45649</v>
      </c>
      <c r="B4081" s="28" t="n">
        <v>2025</v>
      </c>
      <c r="C4081" s="28" t="s">
        <v>316</v>
      </c>
      <c r="D4081" s="28" t="s">
        <v>44</v>
      </c>
      <c r="E4081" s="28" t="s">
        <v>729</v>
      </c>
      <c r="F4081" s="28" t="s">
        <v>194</v>
      </c>
      <c r="G4081" s="28" t="s">
        <v>143</v>
      </c>
      <c r="H4081" s="28" t="s">
        <v>1031</v>
      </c>
      <c r="I4081" s="29" t="n">
        <v>150000</v>
      </c>
      <c r="J4081" s="29" t="n">
        <v>127500</v>
      </c>
      <c r="K4081" s="28" t="n">
        <v>9.75</v>
      </c>
      <c r="L4081" s="28" t="n">
        <v>120</v>
      </c>
      <c r="M4081" s="28" t="n">
        <v>4</v>
      </c>
    </row>
    <row r="4082" customFormat="false" ht="15" hidden="false" customHeight="false" outlineLevel="0" collapsed="false">
      <c r="A4082" s="27" t="n">
        <v>45649</v>
      </c>
      <c r="B4082" s="28" t="n">
        <v>2025</v>
      </c>
      <c r="C4082" s="28" t="s">
        <v>238</v>
      </c>
      <c r="D4082" s="28" t="s">
        <v>43</v>
      </c>
      <c r="E4082" s="28" t="s">
        <v>1118</v>
      </c>
      <c r="F4082" s="28" t="s">
        <v>142</v>
      </c>
      <c r="G4082" s="28" t="s">
        <v>148</v>
      </c>
      <c r="H4082" s="28" t="s">
        <v>275</v>
      </c>
      <c r="I4082" s="29" t="n">
        <v>129000</v>
      </c>
      <c r="J4082" s="29" t="n">
        <v>109650</v>
      </c>
      <c r="K4082" s="28" t="n">
        <v>10.25</v>
      </c>
      <c r="L4082" s="28" t="n">
        <v>120</v>
      </c>
      <c r="M4082" s="28" t="n">
        <v>5</v>
      </c>
    </row>
    <row r="4083" customFormat="false" ht="15" hidden="false" customHeight="false" outlineLevel="0" collapsed="false">
      <c r="A4083" s="27" t="n">
        <v>45649</v>
      </c>
      <c r="B4083" s="28" t="n">
        <v>2025</v>
      </c>
      <c r="C4083" s="28" t="s">
        <v>169</v>
      </c>
      <c r="D4083" s="28" t="s">
        <v>48</v>
      </c>
      <c r="E4083" s="28" t="s">
        <v>815</v>
      </c>
      <c r="F4083" s="28" t="s">
        <v>194</v>
      </c>
      <c r="G4083" s="28" t="s">
        <v>148</v>
      </c>
      <c r="H4083" s="28" t="s">
        <v>570</v>
      </c>
      <c r="I4083" s="29" t="n">
        <v>100000</v>
      </c>
      <c r="J4083" s="29" t="n">
        <v>85000</v>
      </c>
      <c r="K4083" s="28" t="n">
        <v>11.75</v>
      </c>
      <c r="L4083" s="28" t="n">
        <v>120</v>
      </c>
      <c r="M4083" s="28" t="n">
        <v>10</v>
      </c>
    </row>
    <row r="4084" customFormat="false" ht="15" hidden="false" customHeight="false" outlineLevel="0" collapsed="false">
      <c r="A4084" s="27" t="n">
        <v>45649</v>
      </c>
      <c r="B4084" s="28" t="n">
        <v>2025</v>
      </c>
      <c r="C4084" s="28" t="s">
        <v>172</v>
      </c>
      <c r="D4084" s="28" t="s">
        <v>43</v>
      </c>
      <c r="E4084" s="28" t="s">
        <v>942</v>
      </c>
      <c r="F4084" s="28" t="s">
        <v>147</v>
      </c>
      <c r="G4084" s="28" t="s">
        <v>441</v>
      </c>
      <c r="H4084" s="28" t="s">
        <v>205</v>
      </c>
      <c r="I4084" s="29" t="n">
        <v>220000</v>
      </c>
      <c r="J4084" s="29" t="n">
        <v>110000</v>
      </c>
      <c r="K4084" s="28" t="n">
        <v>7.574</v>
      </c>
      <c r="L4084" s="28" t="n">
        <v>60</v>
      </c>
      <c r="M4084" s="28" t="n">
        <v>11</v>
      </c>
    </row>
    <row r="4085" customFormat="false" ht="15" hidden="false" customHeight="false" outlineLevel="0" collapsed="false">
      <c r="A4085" s="27" t="n">
        <v>45649</v>
      </c>
      <c r="B4085" s="28" t="n">
        <v>2025</v>
      </c>
      <c r="C4085" s="28" t="s">
        <v>172</v>
      </c>
      <c r="D4085" s="28" t="s">
        <v>48</v>
      </c>
      <c r="E4085" s="28" t="s">
        <v>304</v>
      </c>
      <c r="F4085" s="28" t="s">
        <v>142</v>
      </c>
      <c r="G4085" s="28" t="s">
        <v>148</v>
      </c>
      <c r="H4085" s="28" t="s">
        <v>171</v>
      </c>
      <c r="I4085" s="29" t="n">
        <v>135000</v>
      </c>
      <c r="J4085" s="29" t="n">
        <v>114750</v>
      </c>
      <c r="K4085" s="28" t="n">
        <v>12.5</v>
      </c>
      <c r="L4085" s="28" t="n">
        <v>120</v>
      </c>
      <c r="M4085" s="28" t="n">
        <v>0</v>
      </c>
    </row>
    <row r="4086" customFormat="false" ht="15" hidden="false" customHeight="false" outlineLevel="0" collapsed="false">
      <c r="A4086" s="27" t="n">
        <v>45652</v>
      </c>
      <c r="B4086" s="28" t="n">
        <v>2025</v>
      </c>
      <c r="C4086" s="28" t="s">
        <v>166</v>
      </c>
      <c r="D4086" s="28" t="s">
        <v>42</v>
      </c>
      <c r="E4086" s="28" t="s">
        <v>753</v>
      </c>
      <c r="F4086" s="28" t="s">
        <v>142</v>
      </c>
      <c r="G4086" s="28" t="s">
        <v>143</v>
      </c>
      <c r="H4086" s="28" t="s">
        <v>211</v>
      </c>
      <c r="I4086" s="29" t="n">
        <v>1000000</v>
      </c>
      <c r="J4086" s="29" t="n">
        <v>750000</v>
      </c>
      <c r="K4086" s="28" t="n">
        <v>10.5</v>
      </c>
      <c r="L4086" s="28" t="n">
        <v>129</v>
      </c>
      <c r="M4086" s="28" t="n">
        <v>36</v>
      </c>
    </row>
    <row r="4087" customFormat="false" ht="15" hidden="false" customHeight="false" outlineLevel="0" collapsed="false">
      <c r="A4087" s="27" t="n">
        <v>45653</v>
      </c>
      <c r="B4087" s="28" t="n">
        <v>2025</v>
      </c>
      <c r="C4087" s="28" t="s">
        <v>166</v>
      </c>
      <c r="D4087" s="28" t="s">
        <v>43</v>
      </c>
      <c r="E4087" s="28" t="s">
        <v>816</v>
      </c>
      <c r="F4087" s="28" t="s">
        <v>147</v>
      </c>
      <c r="G4087" s="28" t="s">
        <v>441</v>
      </c>
      <c r="H4087" s="28" t="s">
        <v>159</v>
      </c>
      <c r="I4087" s="29" t="n">
        <v>25000</v>
      </c>
      <c r="J4087" s="29" t="n">
        <v>12500</v>
      </c>
      <c r="K4087" s="28" t="n">
        <v>8.75</v>
      </c>
      <c r="L4087" s="28" t="n">
        <v>120</v>
      </c>
      <c r="M4087" s="28" t="n">
        <v>6</v>
      </c>
    </row>
    <row r="4088" customFormat="false" ht="15" hidden="false" customHeight="false" outlineLevel="0" collapsed="false">
      <c r="A4088" s="27" t="n">
        <v>45653</v>
      </c>
      <c r="B4088" s="28" t="n">
        <v>2025</v>
      </c>
      <c r="C4088" s="28" t="s">
        <v>166</v>
      </c>
      <c r="D4088" s="28" t="s">
        <v>43</v>
      </c>
      <c r="E4088" s="28" t="s">
        <v>816</v>
      </c>
      <c r="F4088" s="28" t="s">
        <v>142</v>
      </c>
      <c r="G4088" s="28" t="s">
        <v>441</v>
      </c>
      <c r="H4088" s="28" t="s">
        <v>159</v>
      </c>
      <c r="I4088" s="29" t="n">
        <v>250000</v>
      </c>
      <c r="J4088" s="29" t="n">
        <v>187500</v>
      </c>
      <c r="K4088" s="28" t="n">
        <v>8.75</v>
      </c>
      <c r="L4088" s="28" t="n">
        <v>120</v>
      </c>
      <c r="M4088" s="28" t="n">
        <v>6</v>
      </c>
    </row>
    <row r="4089" customFormat="false" ht="15" hidden="false" customHeight="false" outlineLevel="0" collapsed="false">
      <c r="A4089" s="27" t="n">
        <v>45656</v>
      </c>
      <c r="B4089" s="28" t="n">
        <v>2025</v>
      </c>
      <c r="C4089" s="28" t="s">
        <v>169</v>
      </c>
      <c r="D4089" s="28" t="s">
        <v>48</v>
      </c>
      <c r="E4089" s="28" t="s">
        <v>765</v>
      </c>
      <c r="F4089" s="28" t="s">
        <v>142</v>
      </c>
      <c r="G4089" s="28" t="s">
        <v>148</v>
      </c>
      <c r="H4089" s="28" t="s">
        <v>159</v>
      </c>
      <c r="I4089" s="29" t="n">
        <v>632300</v>
      </c>
      <c r="J4089" s="29" t="n">
        <v>474225</v>
      </c>
      <c r="K4089" s="28" t="n">
        <v>9.75</v>
      </c>
      <c r="L4089" s="28" t="n">
        <v>120</v>
      </c>
      <c r="M4089" s="28" t="n">
        <v>65</v>
      </c>
    </row>
    <row r="4090" customFormat="false" ht="15" hidden="false" customHeight="false" outlineLevel="0" collapsed="false">
      <c r="A4090" s="27" t="n">
        <v>45659</v>
      </c>
      <c r="B4090" s="28" t="n">
        <v>2025</v>
      </c>
      <c r="C4090" s="28" t="s">
        <v>166</v>
      </c>
      <c r="D4090" s="28" t="s">
        <v>45</v>
      </c>
      <c r="E4090" s="28" t="s">
        <v>1119</v>
      </c>
      <c r="F4090" s="28" t="s">
        <v>142</v>
      </c>
      <c r="G4090" s="28" t="s">
        <v>148</v>
      </c>
      <c r="H4090" s="28" t="s">
        <v>592</v>
      </c>
      <c r="I4090" s="29" t="n">
        <v>450000</v>
      </c>
      <c r="J4090" s="29" t="n">
        <v>337500</v>
      </c>
      <c r="K4090" s="28" t="n">
        <v>8.75</v>
      </c>
      <c r="L4090" s="28" t="n">
        <v>300</v>
      </c>
      <c r="M4090" s="28" t="n">
        <v>12</v>
      </c>
    </row>
    <row r="4091" customFormat="false" ht="15" hidden="false" customHeight="false" outlineLevel="0" collapsed="false">
      <c r="A4091" s="27" t="n">
        <v>45659</v>
      </c>
      <c r="B4091" s="28" t="n">
        <v>2025</v>
      </c>
      <c r="C4091" s="28" t="s">
        <v>172</v>
      </c>
      <c r="D4091" s="28" t="s">
        <v>48</v>
      </c>
      <c r="E4091" s="28" t="s">
        <v>210</v>
      </c>
      <c r="F4091" s="28" t="s">
        <v>142</v>
      </c>
      <c r="G4091" s="28" t="s">
        <v>148</v>
      </c>
      <c r="H4091" s="28" t="s">
        <v>278</v>
      </c>
      <c r="I4091" s="29" t="n">
        <v>1467000</v>
      </c>
      <c r="J4091" s="29" t="n">
        <v>1100250</v>
      </c>
      <c r="K4091" s="28" t="n">
        <v>9.75</v>
      </c>
      <c r="L4091" s="28" t="n">
        <v>120</v>
      </c>
      <c r="M4091" s="28" t="n">
        <v>6</v>
      </c>
    </row>
    <row r="4092" customFormat="false" ht="15" hidden="false" customHeight="false" outlineLevel="0" collapsed="false">
      <c r="A4092" s="27" t="n">
        <v>45659</v>
      </c>
      <c r="B4092" s="28" t="n">
        <v>2025</v>
      </c>
      <c r="C4092" s="28" t="s">
        <v>203</v>
      </c>
      <c r="D4092" s="28" t="s">
        <v>42</v>
      </c>
      <c r="E4092" s="28" t="s">
        <v>753</v>
      </c>
      <c r="F4092" s="28" t="s">
        <v>147</v>
      </c>
      <c r="G4092" s="28" t="s">
        <v>143</v>
      </c>
      <c r="H4092" s="28" t="s">
        <v>211</v>
      </c>
      <c r="I4092" s="29" t="n">
        <v>50000</v>
      </c>
      <c r="J4092" s="29" t="n">
        <v>25000</v>
      </c>
      <c r="K4092" s="28" t="n">
        <v>10</v>
      </c>
      <c r="L4092" s="28" t="n">
        <v>120</v>
      </c>
      <c r="M4092" s="28" t="n">
        <v>2</v>
      </c>
    </row>
    <row r="4093" customFormat="false" ht="15" hidden="false" customHeight="false" outlineLevel="0" collapsed="false">
      <c r="A4093" s="27" t="n">
        <v>45659</v>
      </c>
      <c r="B4093" s="28" t="n">
        <v>2025</v>
      </c>
      <c r="C4093" s="28" t="s">
        <v>310</v>
      </c>
      <c r="D4093" s="28" t="s">
        <v>46</v>
      </c>
      <c r="E4093" s="28" t="s">
        <v>813</v>
      </c>
      <c r="F4093" s="28" t="s">
        <v>142</v>
      </c>
      <c r="G4093" s="28" t="s">
        <v>148</v>
      </c>
      <c r="H4093" s="28" t="s">
        <v>469</v>
      </c>
      <c r="I4093" s="29" t="n">
        <v>1683100</v>
      </c>
      <c r="J4093" s="29" t="n">
        <v>1262325</v>
      </c>
      <c r="K4093" s="28" t="n">
        <v>6.05</v>
      </c>
      <c r="L4093" s="28" t="n">
        <v>300</v>
      </c>
      <c r="M4093" s="28" t="n">
        <v>0</v>
      </c>
    </row>
    <row r="4094" customFormat="false" ht="15" hidden="false" customHeight="false" outlineLevel="0" collapsed="false">
      <c r="A4094" s="27" t="n">
        <v>45659</v>
      </c>
      <c r="B4094" s="28" t="n">
        <v>2025</v>
      </c>
      <c r="C4094" s="28" t="s">
        <v>324</v>
      </c>
      <c r="D4094" s="28" t="s">
        <v>45</v>
      </c>
      <c r="E4094" s="28" t="s">
        <v>745</v>
      </c>
      <c r="F4094" s="28" t="s">
        <v>147</v>
      </c>
      <c r="G4094" s="28" t="s">
        <v>441</v>
      </c>
      <c r="H4094" s="28" t="s">
        <v>469</v>
      </c>
      <c r="I4094" s="29" t="n">
        <v>30500</v>
      </c>
      <c r="J4094" s="29" t="n">
        <v>15250</v>
      </c>
      <c r="K4094" s="28" t="n">
        <v>6.1</v>
      </c>
      <c r="L4094" s="28" t="n">
        <v>60</v>
      </c>
      <c r="M4094" s="28" t="n">
        <v>0</v>
      </c>
    </row>
    <row r="4095" customFormat="false" ht="15" hidden="false" customHeight="false" outlineLevel="0" collapsed="false">
      <c r="A4095" s="27" t="n">
        <v>45663</v>
      </c>
      <c r="B4095" s="28" t="n">
        <v>2025</v>
      </c>
      <c r="C4095" s="28" t="s">
        <v>230</v>
      </c>
      <c r="D4095" s="28" t="s">
        <v>48</v>
      </c>
      <c r="E4095" s="28" t="s">
        <v>884</v>
      </c>
      <c r="F4095" s="28" t="s">
        <v>142</v>
      </c>
      <c r="G4095" s="28" t="s">
        <v>152</v>
      </c>
      <c r="H4095" s="28" t="s">
        <v>162</v>
      </c>
      <c r="I4095" s="29" t="n">
        <v>945000</v>
      </c>
      <c r="J4095" s="29" t="n">
        <v>708750</v>
      </c>
      <c r="K4095" s="28" t="n">
        <v>6.94</v>
      </c>
      <c r="L4095" s="28" t="n">
        <v>120</v>
      </c>
      <c r="M4095" s="28" t="n">
        <v>14</v>
      </c>
    </row>
    <row r="4096" customFormat="false" ht="15" hidden="false" customHeight="false" outlineLevel="0" collapsed="false">
      <c r="A4096" s="27" t="n">
        <v>45663</v>
      </c>
      <c r="B4096" s="28" t="n">
        <v>2025</v>
      </c>
      <c r="C4096" s="28" t="s">
        <v>169</v>
      </c>
      <c r="D4096" s="28" t="s">
        <v>46</v>
      </c>
      <c r="E4096" s="28" t="s">
        <v>719</v>
      </c>
      <c r="F4096" s="28" t="s">
        <v>142</v>
      </c>
      <c r="G4096" s="28" t="s">
        <v>148</v>
      </c>
      <c r="H4096" s="28" t="s">
        <v>208</v>
      </c>
      <c r="I4096" s="29" t="n">
        <v>390000</v>
      </c>
      <c r="J4096" s="29" t="n">
        <v>292500</v>
      </c>
      <c r="K4096" s="28" t="n">
        <v>10.25</v>
      </c>
      <c r="L4096" s="28" t="n">
        <v>120</v>
      </c>
      <c r="M4096" s="28" t="n">
        <v>0</v>
      </c>
    </row>
    <row r="4097" customFormat="false" ht="15" hidden="false" customHeight="false" outlineLevel="0" collapsed="false">
      <c r="A4097" s="27" t="n">
        <v>45663</v>
      </c>
      <c r="B4097" s="28" t="n">
        <v>2025</v>
      </c>
      <c r="C4097" s="28" t="s">
        <v>508</v>
      </c>
      <c r="D4097" s="28" t="s">
        <v>42</v>
      </c>
      <c r="E4097" s="28" t="s">
        <v>717</v>
      </c>
      <c r="F4097" s="28" t="s">
        <v>142</v>
      </c>
      <c r="G4097" s="28" t="s">
        <v>148</v>
      </c>
      <c r="H4097" s="28" t="s">
        <v>165</v>
      </c>
      <c r="I4097" s="29" t="n">
        <v>823800</v>
      </c>
      <c r="J4097" s="29" t="n">
        <v>617850</v>
      </c>
      <c r="K4097" s="28" t="n">
        <v>9.5</v>
      </c>
      <c r="L4097" s="28" t="n">
        <v>120</v>
      </c>
      <c r="M4097" s="28" t="n">
        <v>22</v>
      </c>
    </row>
    <row r="4098" customFormat="false" ht="15" hidden="false" customHeight="false" outlineLevel="0" collapsed="false">
      <c r="A4098" s="27" t="n">
        <v>45664</v>
      </c>
      <c r="B4098" s="28" t="n">
        <v>2025</v>
      </c>
      <c r="C4098" s="28" t="s">
        <v>209</v>
      </c>
      <c r="D4098" s="28" t="s">
        <v>45</v>
      </c>
      <c r="E4098" s="28" t="s">
        <v>824</v>
      </c>
      <c r="F4098" s="28" t="s">
        <v>142</v>
      </c>
      <c r="G4098" s="28" t="s">
        <v>152</v>
      </c>
      <c r="H4098" s="28" t="s">
        <v>144</v>
      </c>
      <c r="I4098" s="29" t="n">
        <v>355000</v>
      </c>
      <c r="J4098" s="29" t="n">
        <v>266250</v>
      </c>
      <c r="K4098" s="28" t="n">
        <v>10.5</v>
      </c>
      <c r="L4098" s="28" t="n">
        <v>120</v>
      </c>
      <c r="M4098" s="28" t="n">
        <v>16</v>
      </c>
    </row>
    <row r="4099" customFormat="false" ht="15" hidden="false" customHeight="false" outlineLevel="0" collapsed="false">
      <c r="A4099" s="27" t="n">
        <v>45664</v>
      </c>
      <c r="B4099" s="28" t="n">
        <v>2025</v>
      </c>
      <c r="C4099" s="28" t="s">
        <v>172</v>
      </c>
      <c r="D4099" s="28" t="s">
        <v>44</v>
      </c>
      <c r="E4099" s="28" t="s">
        <v>167</v>
      </c>
      <c r="F4099" s="28" t="s">
        <v>142</v>
      </c>
      <c r="G4099" s="28" t="s">
        <v>441</v>
      </c>
      <c r="H4099" s="28" t="s">
        <v>1002</v>
      </c>
      <c r="I4099" s="29" t="n">
        <v>144000</v>
      </c>
      <c r="J4099" s="29" t="n">
        <v>122400</v>
      </c>
      <c r="K4099" s="28" t="n">
        <v>10.5</v>
      </c>
      <c r="L4099" s="28" t="n">
        <v>120</v>
      </c>
      <c r="M4099" s="28" t="n">
        <v>9</v>
      </c>
    </row>
    <row r="4100" customFormat="false" ht="15" hidden="false" customHeight="false" outlineLevel="0" collapsed="false">
      <c r="A4100" s="27" t="n">
        <v>45664</v>
      </c>
      <c r="B4100" s="28" t="n">
        <v>2025</v>
      </c>
      <c r="C4100" s="28" t="s">
        <v>518</v>
      </c>
      <c r="D4100" s="28" t="s">
        <v>43</v>
      </c>
      <c r="E4100" s="28" t="s">
        <v>886</v>
      </c>
      <c r="F4100" s="28" t="s">
        <v>142</v>
      </c>
      <c r="G4100" s="28" t="s">
        <v>148</v>
      </c>
      <c r="H4100" s="28" t="s">
        <v>275</v>
      </c>
      <c r="I4100" s="29" t="n">
        <v>200000</v>
      </c>
      <c r="J4100" s="29" t="n">
        <v>150000</v>
      </c>
      <c r="K4100" s="28" t="n">
        <v>13.75</v>
      </c>
      <c r="L4100" s="28" t="n">
        <v>120</v>
      </c>
      <c r="M4100" s="28" t="n">
        <v>4</v>
      </c>
    </row>
    <row r="4101" customFormat="false" ht="15" hidden="false" customHeight="false" outlineLevel="0" collapsed="false">
      <c r="A4101" s="27" t="n">
        <v>45664</v>
      </c>
      <c r="B4101" s="28" t="n">
        <v>2025</v>
      </c>
      <c r="C4101" s="28" t="s">
        <v>140</v>
      </c>
      <c r="D4101" s="28" t="s">
        <v>50</v>
      </c>
      <c r="E4101" s="28" t="s">
        <v>724</v>
      </c>
      <c r="F4101" s="28" t="s">
        <v>142</v>
      </c>
      <c r="G4101" s="28" t="s">
        <v>441</v>
      </c>
      <c r="H4101" s="28" t="s">
        <v>291</v>
      </c>
      <c r="I4101" s="29" t="n">
        <v>608000</v>
      </c>
      <c r="J4101" s="29" t="n">
        <v>456000</v>
      </c>
      <c r="K4101" s="28" t="n">
        <v>9.75</v>
      </c>
      <c r="L4101" s="28" t="n">
        <v>120</v>
      </c>
      <c r="M4101" s="28" t="n">
        <v>25</v>
      </c>
    </row>
    <row r="4102" customFormat="false" ht="15" hidden="false" customHeight="false" outlineLevel="0" collapsed="false">
      <c r="A4102" s="27" t="n">
        <v>45665</v>
      </c>
      <c r="B4102" s="28" t="n">
        <v>2025</v>
      </c>
      <c r="C4102" s="28" t="s">
        <v>540</v>
      </c>
      <c r="D4102" s="28" t="s">
        <v>45</v>
      </c>
      <c r="E4102" s="28" t="s">
        <v>864</v>
      </c>
      <c r="F4102" s="28" t="s">
        <v>142</v>
      </c>
      <c r="G4102" s="28" t="s">
        <v>143</v>
      </c>
      <c r="H4102" s="28" t="s">
        <v>621</v>
      </c>
      <c r="I4102" s="29" t="n">
        <v>129800</v>
      </c>
      <c r="J4102" s="29" t="n">
        <v>110330</v>
      </c>
      <c r="K4102" s="28" t="n">
        <v>9.75</v>
      </c>
      <c r="L4102" s="28" t="n">
        <v>120</v>
      </c>
      <c r="M4102" s="28" t="n">
        <v>6</v>
      </c>
    </row>
    <row r="4103" customFormat="false" ht="15" hidden="false" customHeight="false" outlineLevel="0" collapsed="false">
      <c r="A4103" s="27" t="n">
        <v>45665</v>
      </c>
      <c r="B4103" s="28" t="n">
        <v>2025</v>
      </c>
      <c r="C4103" s="28" t="s">
        <v>201</v>
      </c>
      <c r="D4103" s="28" t="s">
        <v>45</v>
      </c>
      <c r="E4103" s="28" t="s">
        <v>713</v>
      </c>
      <c r="F4103" s="28" t="s">
        <v>147</v>
      </c>
      <c r="G4103" s="28" t="s">
        <v>441</v>
      </c>
      <c r="H4103" s="28" t="s">
        <v>168</v>
      </c>
      <c r="I4103" s="29" t="n">
        <v>12000</v>
      </c>
      <c r="J4103" s="29" t="n">
        <v>6000</v>
      </c>
      <c r="K4103" s="28" t="n">
        <v>12</v>
      </c>
      <c r="L4103" s="28" t="n">
        <v>120</v>
      </c>
      <c r="M4103" s="28" t="n">
        <v>0</v>
      </c>
    </row>
    <row r="4104" customFormat="false" ht="15" hidden="false" customHeight="false" outlineLevel="0" collapsed="false">
      <c r="A4104" s="27" t="n">
        <v>45665</v>
      </c>
      <c r="B4104" s="28" t="n">
        <v>2025</v>
      </c>
      <c r="C4104" s="28" t="s">
        <v>206</v>
      </c>
      <c r="D4104" s="28" t="s">
        <v>42</v>
      </c>
      <c r="E4104" s="28" t="s">
        <v>753</v>
      </c>
      <c r="F4104" s="28" t="s">
        <v>142</v>
      </c>
      <c r="G4104" s="28" t="s">
        <v>143</v>
      </c>
      <c r="H4104" s="28" t="s">
        <v>494</v>
      </c>
      <c r="I4104" s="29" t="n">
        <v>536200</v>
      </c>
      <c r="J4104" s="29" t="n">
        <v>402150</v>
      </c>
      <c r="K4104" s="28" t="n">
        <v>10</v>
      </c>
      <c r="L4104" s="28" t="n">
        <v>125</v>
      </c>
      <c r="M4104" s="28" t="n">
        <v>14</v>
      </c>
    </row>
    <row r="4105" customFormat="false" ht="15" hidden="false" customHeight="false" outlineLevel="0" collapsed="false">
      <c r="A4105" s="27" t="n">
        <v>45665</v>
      </c>
      <c r="B4105" s="28" t="n">
        <v>2025</v>
      </c>
      <c r="C4105" s="28" t="s">
        <v>198</v>
      </c>
      <c r="D4105" s="28" t="s">
        <v>42</v>
      </c>
      <c r="E4105" s="28" t="s">
        <v>717</v>
      </c>
      <c r="F4105" s="28" t="s">
        <v>147</v>
      </c>
      <c r="G4105" s="28" t="s">
        <v>148</v>
      </c>
      <c r="H4105" s="28" t="s">
        <v>953</v>
      </c>
      <c r="I4105" s="29" t="n">
        <v>50000</v>
      </c>
      <c r="J4105" s="29" t="n">
        <v>25000</v>
      </c>
      <c r="K4105" s="28" t="n">
        <v>14</v>
      </c>
      <c r="L4105" s="28" t="n">
        <v>120</v>
      </c>
      <c r="M4105" s="28" t="n">
        <v>8</v>
      </c>
    </row>
    <row r="4106" customFormat="false" ht="15" hidden="false" customHeight="false" outlineLevel="0" collapsed="false">
      <c r="A4106" s="27" t="n">
        <v>45665</v>
      </c>
      <c r="B4106" s="28" t="n">
        <v>2025</v>
      </c>
      <c r="C4106" s="28" t="s">
        <v>169</v>
      </c>
      <c r="D4106" s="28" t="s">
        <v>44</v>
      </c>
      <c r="E4106" s="28" t="s">
        <v>759</v>
      </c>
      <c r="F4106" s="28" t="s">
        <v>142</v>
      </c>
      <c r="G4106" s="28" t="s">
        <v>143</v>
      </c>
      <c r="H4106" s="28" t="s">
        <v>372</v>
      </c>
      <c r="I4106" s="29" t="n">
        <v>422800</v>
      </c>
      <c r="J4106" s="29" t="n">
        <v>317100</v>
      </c>
      <c r="K4106" s="28" t="n">
        <v>10</v>
      </c>
      <c r="L4106" s="28" t="n">
        <v>120</v>
      </c>
      <c r="M4106" s="28" t="n">
        <v>6</v>
      </c>
    </row>
    <row r="4107" customFormat="false" ht="15" hidden="false" customHeight="false" outlineLevel="0" collapsed="false">
      <c r="A4107" s="27" t="n">
        <v>45667</v>
      </c>
      <c r="B4107" s="28" t="n">
        <v>2025</v>
      </c>
      <c r="C4107" s="28" t="s">
        <v>172</v>
      </c>
      <c r="D4107" s="28" t="s">
        <v>47</v>
      </c>
      <c r="E4107" s="28" t="s">
        <v>817</v>
      </c>
      <c r="F4107" s="28" t="s">
        <v>142</v>
      </c>
      <c r="G4107" s="28" t="s">
        <v>441</v>
      </c>
      <c r="H4107" s="28" t="s">
        <v>592</v>
      </c>
      <c r="I4107" s="29" t="n">
        <v>480000</v>
      </c>
      <c r="J4107" s="29" t="n">
        <v>360000</v>
      </c>
      <c r="K4107" s="28" t="n">
        <v>8.5</v>
      </c>
      <c r="L4107" s="28" t="n">
        <v>300</v>
      </c>
      <c r="M4107" s="28" t="n">
        <v>5</v>
      </c>
    </row>
    <row r="4108" customFormat="false" ht="15" hidden="false" customHeight="false" outlineLevel="0" collapsed="false">
      <c r="A4108" s="27" t="n">
        <v>45667</v>
      </c>
      <c r="B4108" s="28" t="n">
        <v>2025</v>
      </c>
      <c r="C4108" s="28" t="s">
        <v>172</v>
      </c>
      <c r="D4108" s="28" t="s">
        <v>46</v>
      </c>
      <c r="E4108" s="28" t="s">
        <v>813</v>
      </c>
      <c r="F4108" s="28" t="s">
        <v>142</v>
      </c>
      <c r="G4108" s="28" t="s">
        <v>148</v>
      </c>
      <c r="H4108" s="28" t="s">
        <v>171</v>
      </c>
      <c r="I4108" s="29" t="n">
        <v>150000</v>
      </c>
      <c r="J4108" s="29" t="n">
        <v>127500</v>
      </c>
      <c r="K4108" s="28" t="n">
        <v>12.25</v>
      </c>
      <c r="L4108" s="28" t="n">
        <v>120</v>
      </c>
      <c r="M4108" s="28" t="n">
        <v>0</v>
      </c>
    </row>
    <row r="4109" customFormat="false" ht="15" hidden="false" customHeight="false" outlineLevel="0" collapsed="false">
      <c r="A4109" s="27" t="n">
        <v>45667</v>
      </c>
      <c r="B4109" s="28" t="n">
        <v>2025</v>
      </c>
      <c r="C4109" s="28" t="s">
        <v>201</v>
      </c>
      <c r="D4109" s="28" t="s">
        <v>56</v>
      </c>
      <c r="E4109" s="28" t="s">
        <v>1120</v>
      </c>
      <c r="F4109" s="28" t="s">
        <v>142</v>
      </c>
      <c r="G4109" s="28" t="s">
        <v>148</v>
      </c>
      <c r="H4109" s="28" t="s">
        <v>771</v>
      </c>
      <c r="I4109" s="29" t="n">
        <v>50000</v>
      </c>
      <c r="J4109" s="29" t="n">
        <v>42500</v>
      </c>
      <c r="K4109" s="28" t="n">
        <v>10.25</v>
      </c>
      <c r="L4109" s="28" t="n">
        <v>120</v>
      </c>
      <c r="M4109" s="28" t="n">
        <v>6</v>
      </c>
    </row>
    <row r="4110" customFormat="false" ht="15" hidden="false" customHeight="false" outlineLevel="0" collapsed="false">
      <c r="A4110" s="27" t="n">
        <v>45667</v>
      </c>
      <c r="B4110" s="28" t="n">
        <v>2025</v>
      </c>
      <c r="C4110" s="28" t="s">
        <v>140</v>
      </c>
      <c r="D4110" s="28" t="s">
        <v>56</v>
      </c>
      <c r="E4110" s="28" t="s">
        <v>772</v>
      </c>
      <c r="F4110" s="28" t="s">
        <v>142</v>
      </c>
      <c r="G4110" s="28" t="s">
        <v>143</v>
      </c>
      <c r="H4110" s="28" t="s">
        <v>144</v>
      </c>
      <c r="I4110" s="29" t="n">
        <v>2650000</v>
      </c>
      <c r="J4110" s="29" t="n">
        <v>1987500</v>
      </c>
      <c r="K4110" s="28" t="n">
        <v>8.4</v>
      </c>
      <c r="L4110" s="28" t="n">
        <v>129</v>
      </c>
      <c r="M4110" s="28" t="n">
        <v>4</v>
      </c>
    </row>
    <row r="4111" customFormat="false" ht="15" hidden="false" customHeight="false" outlineLevel="0" collapsed="false">
      <c r="A4111" s="27" t="n">
        <v>45667</v>
      </c>
      <c r="B4111" s="28" t="n">
        <v>2025</v>
      </c>
      <c r="C4111" s="28" t="s">
        <v>312</v>
      </c>
      <c r="D4111" s="28" t="s">
        <v>43</v>
      </c>
      <c r="E4111" s="28" t="s">
        <v>1000</v>
      </c>
      <c r="F4111" s="28" t="s">
        <v>194</v>
      </c>
      <c r="G4111" s="28" t="s">
        <v>148</v>
      </c>
      <c r="H4111" s="28" t="s">
        <v>1121</v>
      </c>
      <c r="I4111" s="29" t="n">
        <v>102200</v>
      </c>
      <c r="J4111" s="29" t="n">
        <v>86870</v>
      </c>
      <c r="K4111" s="28" t="n">
        <v>10.25</v>
      </c>
      <c r="L4111" s="28" t="n">
        <v>48</v>
      </c>
      <c r="M4111" s="28" t="n">
        <v>5</v>
      </c>
    </row>
    <row r="4112" customFormat="false" ht="15" hidden="false" customHeight="false" outlineLevel="0" collapsed="false">
      <c r="A4112" s="27" t="n">
        <v>45667</v>
      </c>
      <c r="B4112" s="28" t="n">
        <v>2025</v>
      </c>
      <c r="C4112" s="28" t="s">
        <v>175</v>
      </c>
      <c r="D4112" s="28" t="s">
        <v>42</v>
      </c>
      <c r="E4112" s="28" t="s">
        <v>753</v>
      </c>
      <c r="F4112" s="28" t="s">
        <v>142</v>
      </c>
      <c r="G4112" s="28" t="s">
        <v>143</v>
      </c>
      <c r="H4112" s="28" t="s">
        <v>1063</v>
      </c>
      <c r="I4112" s="29" t="n">
        <v>659000</v>
      </c>
      <c r="J4112" s="29" t="n">
        <v>494250</v>
      </c>
      <c r="K4112" s="28" t="n">
        <v>9.75</v>
      </c>
      <c r="L4112" s="28" t="n">
        <v>124</v>
      </c>
      <c r="M4112" s="28" t="n">
        <v>3</v>
      </c>
    </row>
    <row r="4113" customFormat="false" ht="15" hidden="false" customHeight="false" outlineLevel="0" collapsed="false">
      <c r="A4113" s="27" t="n">
        <v>45667</v>
      </c>
      <c r="B4113" s="28" t="n">
        <v>2025</v>
      </c>
      <c r="C4113" s="28" t="s">
        <v>522</v>
      </c>
      <c r="D4113" s="28" t="s">
        <v>46</v>
      </c>
      <c r="E4113" s="28" t="s">
        <v>719</v>
      </c>
      <c r="F4113" s="28" t="s">
        <v>142</v>
      </c>
      <c r="G4113" s="28" t="s">
        <v>148</v>
      </c>
      <c r="H4113" s="28" t="s">
        <v>275</v>
      </c>
      <c r="I4113" s="29" t="n">
        <v>239000</v>
      </c>
      <c r="J4113" s="29" t="n">
        <v>179250</v>
      </c>
      <c r="K4113" s="28" t="n">
        <v>10.25</v>
      </c>
      <c r="L4113" s="28" t="n">
        <v>120</v>
      </c>
      <c r="M4113" s="28" t="n">
        <v>24</v>
      </c>
    </row>
    <row r="4114" customFormat="false" ht="15" hidden="false" customHeight="false" outlineLevel="0" collapsed="false">
      <c r="A4114" s="27" t="n">
        <v>45667</v>
      </c>
      <c r="B4114" s="28" t="n">
        <v>2025</v>
      </c>
      <c r="C4114" s="28" t="s">
        <v>169</v>
      </c>
      <c r="D4114" s="28" t="s">
        <v>44</v>
      </c>
      <c r="E4114" s="28" t="s">
        <v>167</v>
      </c>
      <c r="F4114" s="28" t="s">
        <v>142</v>
      </c>
      <c r="G4114" s="28" t="s">
        <v>148</v>
      </c>
      <c r="H4114" s="28" t="s">
        <v>953</v>
      </c>
      <c r="I4114" s="29" t="n">
        <v>1000000</v>
      </c>
      <c r="J4114" s="29" t="n">
        <v>750000</v>
      </c>
      <c r="K4114" s="28" t="n">
        <v>10.5</v>
      </c>
      <c r="L4114" s="28" t="n">
        <v>120</v>
      </c>
      <c r="M4114" s="28" t="n">
        <v>150</v>
      </c>
    </row>
    <row r="4115" customFormat="false" ht="15" hidden="false" customHeight="false" outlineLevel="0" collapsed="false">
      <c r="A4115" s="27" t="n">
        <v>45667</v>
      </c>
      <c r="B4115" s="28" t="n">
        <v>2025</v>
      </c>
      <c r="C4115" s="28" t="s">
        <v>243</v>
      </c>
      <c r="D4115" s="28" t="s">
        <v>47</v>
      </c>
      <c r="E4115" s="28" t="s">
        <v>898</v>
      </c>
      <c r="F4115" s="28" t="s">
        <v>142</v>
      </c>
      <c r="G4115" s="28" t="s">
        <v>143</v>
      </c>
      <c r="H4115" s="28" t="s">
        <v>287</v>
      </c>
      <c r="I4115" s="29" t="n">
        <v>150000</v>
      </c>
      <c r="J4115" s="29" t="n">
        <v>127500</v>
      </c>
      <c r="K4115" s="28" t="n">
        <v>10.25</v>
      </c>
      <c r="L4115" s="28" t="n">
        <v>120</v>
      </c>
      <c r="M4115" s="28" t="n">
        <v>3</v>
      </c>
    </row>
    <row r="4116" customFormat="false" ht="15" hidden="false" customHeight="false" outlineLevel="0" collapsed="false">
      <c r="A4116" s="27" t="n">
        <v>45667</v>
      </c>
      <c r="B4116" s="28" t="n">
        <v>2025</v>
      </c>
      <c r="C4116" s="28" t="s">
        <v>169</v>
      </c>
      <c r="D4116" s="28" t="s">
        <v>48</v>
      </c>
      <c r="E4116" s="28" t="s">
        <v>594</v>
      </c>
      <c r="F4116" s="28" t="s">
        <v>142</v>
      </c>
      <c r="G4116" s="28" t="s">
        <v>148</v>
      </c>
      <c r="H4116" s="28" t="s">
        <v>171</v>
      </c>
      <c r="I4116" s="29" t="n">
        <v>150000</v>
      </c>
      <c r="J4116" s="29" t="n">
        <v>127500</v>
      </c>
      <c r="K4116" s="28" t="n">
        <v>12.5</v>
      </c>
      <c r="L4116" s="28" t="n">
        <v>120</v>
      </c>
      <c r="M4116" s="28" t="n">
        <v>5</v>
      </c>
    </row>
    <row r="4117" customFormat="false" ht="15" hidden="false" customHeight="false" outlineLevel="0" collapsed="false">
      <c r="A4117" s="27" t="n">
        <v>45667</v>
      </c>
      <c r="B4117" s="28" t="n">
        <v>2025</v>
      </c>
      <c r="C4117" s="28" t="s">
        <v>257</v>
      </c>
      <c r="D4117" s="28" t="s">
        <v>44</v>
      </c>
      <c r="E4117" s="28" t="s">
        <v>729</v>
      </c>
      <c r="F4117" s="28" t="s">
        <v>147</v>
      </c>
      <c r="G4117" s="28" t="s">
        <v>148</v>
      </c>
      <c r="H4117" s="28" t="s">
        <v>396</v>
      </c>
      <c r="I4117" s="29" t="n">
        <v>50000</v>
      </c>
      <c r="J4117" s="29" t="n">
        <v>25000</v>
      </c>
      <c r="K4117" s="28" t="n">
        <v>8</v>
      </c>
      <c r="L4117" s="28" t="n">
        <v>23</v>
      </c>
      <c r="M4117" s="28" t="n">
        <v>10</v>
      </c>
    </row>
    <row r="4118" customFormat="false" ht="15" hidden="false" customHeight="false" outlineLevel="0" collapsed="false">
      <c r="A4118" s="27" t="n">
        <v>45667</v>
      </c>
      <c r="B4118" s="28" t="n">
        <v>2025</v>
      </c>
      <c r="C4118" s="28" t="s">
        <v>172</v>
      </c>
      <c r="D4118" s="28" t="s">
        <v>48</v>
      </c>
      <c r="E4118" s="28" t="s">
        <v>228</v>
      </c>
      <c r="F4118" s="28" t="s">
        <v>147</v>
      </c>
      <c r="G4118" s="28" t="s">
        <v>441</v>
      </c>
      <c r="H4118" s="28" t="s">
        <v>205</v>
      </c>
      <c r="I4118" s="29" t="n">
        <v>25000</v>
      </c>
      <c r="J4118" s="29" t="n">
        <v>12500</v>
      </c>
      <c r="K4118" s="28" t="n">
        <v>10.5</v>
      </c>
      <c r="L4118" s="28" t="n">
        <v>120</v>
      </c>
      <c r="M4118" s="28" t="n">
        <v>2</v>
      </c>
    </row>
    <row r="4119" customFormat="false" ht="15" hidden="false" customHeight="false" outlineLevel="0" collapsed="false">
      <c r="A4119" s="27" t="n">
        <v>45667</v>
      </c>
      <c r="B4119" s="28" t="n">
        <v>2025</v>
      </c>
      <c r="C4119" s="28" t="s">
        <v>488</v>
      </c>
      <c r="D4119" s="28" t="s">
        <v>53</v>
      </c>
      <c r="E4119" s="28" t="s">
        <v>718</v>
      </c>
      <c r="F4119" s="28" t="s">
        <v>142</v>
      </c>
      <c r="G4119" s="28" t="s">
        <v>148</v>
      </c>
      <c r="H4119" s="28" t="s">
        <v>144</v>
      </c>
      <c r="I4119" s="29" t="n">
        <v>500000</v>
      </c>
      <c r="J4119" s="29" t="n">
        <v>375000</v>
      </c>
      <c r="K4119" s="28" t="n">
        <v>9.99</v>
      </c>
      <c r="L4119" s="28" t="n">
        <v>120</v>
      </c>
      <c r="M4119" s="28" t="n">
        <v>1</v>
      </c>
    </row>
    <row r="4120" customFormat="false" ht="15" hidden="false" customHeight="false" outlineLevel="0" collapsed="false">
      <c r="A4120" s="27" t="n">
        <v>45667</v>
      </c>
      <c r="B4120" s="28" t="n">
        <v>2025</v>
      </c>
      <c r="C4120" s="28" t="s">
        <v>140</v>
      </c>
      <c r="D4120" s="28" t="s">
        <v>48</v>
      </c>
      <c r="E4120" s="28" t="s">
        <v>736</v>
      </c>
      <c r="F4120" s="28" t="s">
        <v>142</v>
      </c>
      <c r="G4120" s="28" t="s">
        <v>148</v>
      </c>
      <c r="H4120" s="28" t="s">
        <v>953</v>
      </c>
      <c r="I4120" s="29" t="n">
        <v>500000</v>
      </c>
      <c r="J4120" s="29" t="n">
        <v>425000</v>
      </c>
      <c r="K4120" s="28" t="n">
        <v>10.5</v>
      </c>
      <c r="L4120" s="28" t="n">
        <v>120</v>
      </c>
      <c r="M4120" s="28" t="n">
        <v>10</v>
      </c>
    </row>
    <row r="4121" customFormat="false" ht="15" hidden="false" customHeight="false" outlineLevel="0" collapsed="false">
      <c r="A4121" s="27" t="n">
        <v>45667</v>
      </c>
      <c r="B4121" s="28" t="n">
        <v>2025</v>
      </c>
      <c r="C4121" s="28" t="s">
        <v>560</v>
      </c>
      <c r="D4121" s="28" t="s">
        <v>45</v>
      </c>
      <c r="E4121" s="28" t="s">
        <v>708</v>
      </c>
      <c r="F4121" s="28" t="s">
        <v>142</v>
      </c>
      <c r="G4121" s="28" t="s">
        <v>148</v>
      </c>
      <c r="H4121" s="28" t="s">
        <v>275</v>
      </c>
      <c r="I4121" s="29" t="n">
        <v>150000</v>
      </c>
      <c r="J4121" s="29" t="n">
        <v>127500</v>
      </c>
      <c r="K4121" s="28" t="n">
        <v>13.5</v>
      </c>
      <c r="L4121" s="28" t="n">
        <v>120</v>
      </c>
      <c r="M4121" s="28" t="n">
        <v>12</v>
      </c>
    </row>
    <row r="4122" customFormat="false" ht="15" hidden="false" customHeight="false" outlineLevel="0" collapsed="false">
      <c r="A4122" s="27" t="n">
        <v>45667</v>
      </c>
      <c r="B4122" s="28" t="n">
        <v>2025</v>
      </c>
      <c r="C4122" s="28" t="s">
        <v>201</v>
      </c>
      <c r="D4122" s="28" t="s">
        <v>46</v>
      </c>
      <c r="E4122" s="28" t="s">
        <v>1028</v>
      </c>
      <c r="F4122" s="28" t="s">
        <v>147</v>
      </c>
      <c r="G4122" s="28" t="s">
        <v>148</v>
      </c>
      <c r="H4122" s="28" t="s">
        <v>159</v>
      </c>
      <c r="I4122" s="29" t="n">
        <v>15000</v>
      </c>
      <c r="J4122" s="29" t="n">
        <v>7500</v>
      </c>
      <c r="K4122" s="28" t="n">
        <v>14</v>
      </c>
      <c r="L4122" s="28" t="n">
        <v>120</v>
      </c>
      <c r="M4122" s="28" t="n">
        <v>3</v>
      </c>
    </row>
    <row r="4123" customFormat="false" ht="15" hidden="false" customHeight="false" outlineLevel="0" collapsed="false">
      <c r="A4123" s="27" t="n">
        <v>45670</v>
      </c>
      <c r="B4123" s="28" t="n">
        <v>2025</v>
      </c>
      <c r="C4123" s="28" t="s">
        <v>353</v>
      </c>
      <c r="D4123" s="28" t="s">
        <v>44</v>
      </c>
      <c r="E4123" s="28" t="s">
        <v>751</v>
      </c>
      <c r="F4123" s="28" t="s">
        <v>142</v>
      </c>
      <c r="G4123" s="28" t="s">
        <v>143</v>
      </c>
      <c r="H4123" s="28" t="s">
        <v>159</v>
      </c>
      <c r="I4123" s="29" t="n">
        <v>99000</v>
      </c>
      <c r="J4123" s="29" t="n">
        <v>84150</v>
      </c>
      <c r="K4123" s="28" t="n">
        <v>9.75</v>
      </c>
      <c r="L4123" s="28" t="n">
        <v>60</v>
      </c>
      <c r="M4123" s="28" t="n">
        <v>4</v>
      </c>
    </row>
    <row r="4124" customFormat="false" ht="15" hidden="false" customHeight="false" outlineLevel="0" collapsed="false">
      <c r="A4124" s="27" t="n">
        <v>45670</v>
      </c>
      <c r="B4124" s="28" t="n">
        <v>2025</v>
      </c>
      <c r="C4124" s="28" t="s">
        <v>206</v>
      </c>
      <c r="D4124" s="28" t="s">
        <v>44</v>
      </c>
      <c r="E4124" s="28" t="s">
        <v>897</v>
      </c>
      <c r="F4124" s="28" t="s">
        <v>147</v>
      </c>
      <c r="G4124" s="28" t="s">
        <v>148</v>
      </c>
      <c r="H4124" s="28" t="s">
        <v>953</v>
      </c>
      <c r="I4124" s="29" t="n">
        <v>100000</v>
      </c>
      <c r="J4124" s="29" t="n">
        <v>50000</v>
      </c>
      <c r="K4124" s="28" t="n">
        <v>13.5</v>
      </c>
      <c r="L4124" s="28" t="n">
        <v>120</v>
      </c>
      <c r="M4124" s="28" t="n">
        <v>22</v>
      </c>
    </row>
    <row r="4125" customFormat="false" ht="15" hidden="false" customHeight="false" outlineLevel="0" collapsed="false">
      <c r="A4125" s="27" t="n">
        <v>45670</v>
      </c>
      <c r="B4125" s="28" t="n">
        <v>2025</v>
      </c>
      <c r="C4125" s="28" t="s">
        <v>235</v>
      </c>
      <c r="D4125" s="28" t="s">
        <v>44</v>
      </c>
      <c r="E4125" s="28" t="s">
        <v>167</v>
      </c>
      <c r="F4125" s="28" t="s">
        <v>142</v>
      </c>
      <c r="G4125" s="28" t="s">
        <v>148</v>
      </c>
      <c r="H4125" s="28" t="s">
        <v>771</v>
      </c>
      <c r="I4125" s="29" t="n">
        <v>250000</v>
      </c>
      <c r="J4125" s="29" t="n">
        <v>212500</v>
      </c>
      <c r="K4125" s="28" t="n">
        <v>10.25</v>
      </c>
      <c r="L4125" s="28" t="n">
        <v>120</v>
      </c>
      <c r="M4125" s="28" t="n">
        <v>3</v>
      </c>
    </row>
    <row r="4126" customFormat="false" ht="15" hidden="false" customHeight="false" outlineLevel="0" collapsed="false">
      <c r="A4126" s="27" t="n">
        <v>45670</v>
      </c>
      <c r="B4126" s="28" t="n">
        <v>2025</v>
      </c>
      <c r="C4126" s="28" t="s">
        <v>206</v>
      </c>
      <c r="D4126" s="28" t="s">
        <v>44</v>
      </c>
      <c r="E4126" s="28" t="s">
        <v>759</v>
      </c>
      <c r="F4126" s="28" t="s">
        <v>142</v>
      </c>
      <c r="G4126" s="28" t="s">
        <v>148</v>
      </c>
      <c r="H4126" s="28" t="s">
        <v>953</v>
      </c>
      <c r="I4126" s="29" t="n">
        <v>250000</v>
      </c>
      <c r="J4126" s="29" t="n">
        <v>187500</v>
      </c>
      <c r="K4126" s="28" t="n">
        <v>10.5</v>
      </c>
      <c r="L4126" s="28" t="n">
        <v>120</v>
      </c>
      <c r="M4126" s="28" t="n">
        <v>22</v>
      </c>
    </row>
    <row r="4127" customFormat="false" ht="15" hidden="false" customHeight="false" outlineLevel="0" collapsed="false">
      <c r="A4127" s="27" t="n">
        <v>45671</v>
      </c>
      <c r="B4127" s="28" t="n">
        <v>2025</v>
      </c>
      <c r="C4127" s="28" t="s">
        <v>163</v>
      </c>
      <c r="D4127" s="28" t="s">
        <v>44</v>
      </c>
      <c r="E4127" s="28" t="s">
        <v>759</v>
      </c>
      <c r="F4127" s="28" t="s">
        <v>142</v>
      </c>
      <c r="G4127" s="28" t="s">
        <v>143</v>
      </c>
      <c r="H4127" s="28" t="s">
        <v>291</v>
      </c>
      <c r="I4127" s="29" t="n">
        <v>261000</v>
      </c>
      <c r="J4127" s="29" t="n">
        <v>195750</v>
      </c>
      <c r="K4127" s="28" t="n">
        <v>9</v>
      </c>
      <c r="L4127" s="28" t="n">
        <v>126</v>
      </c>
      <c r="M4127" s="28" t="n">
        <v>6</v>
      </c>
    </row>
    <row r="4128" customFormat="false" ht="15" hidden="false" customHeight="false" outlineLevel="0" collapsed="false">
      <c r="A4128" s="27" t="n">
        <v>45671</v>
      </c>
      <c r="B4128" s="28" t="n">
        <v>2025</v>
      </c>
      <c r="C4128" s="28" t="s">
        <v>145</v>
      </c>
      <c r="D4128" s="28" t="s">
        <v>48</v>
      </c>
      <c r="E4128" s="28" t="s">
        <v>712</v>
      </c>
      <c r="F4128" s="28" t="s">
        <v>142</v>
      </c>
      <c r="G4128" s="28" t="s">
        <v>148</v>
      </c>
      <c r="H4128" s="28" t="s">
        <v>159</v>
      </c>
      <c r="I4128" s="29" t="n">
        <v>140000</v>
      </c>
      <c r="J4128" s="29" t="n">
        <v>119000</v>
      </c>
      <c r="K4128" s="28" t="n">
        <v>9.75</v>
      </c>
      <c r="L4128" s="28" t="n">
        <v>66</v>
      </c>
      <c r="M4128" s="28" t="n">
        <v>3</v>
      </c>
    </row>
    <row r="4129" customFormat="false" ht="15" hidden="false" customHeight="false" outlineLevel="0" collapsed="false">
      <c r="A4129" s="27" t="n">
        <v>45671</v>
      </c>
      <c r="B4129" s="28" t="n">
        <v>2025</v>
      </c>
      <c r="C4129" s="28" t="s">
        <v>172</v>
      </c>
      <c r="D4129" s="28" t="s">
        <v>46</v>
      </c>
      <c r="E4129" s="28" t="s">
        <v>702</v>
      </c>
      <c r="F4129" s="28" t="s">
        <v>142</v>
      </c>
      <c r="G4129" s="28" t="s">
        <v>152</v>
      </c>
      <c r="H4129" s="28" t="s">
        <v>159</v>
      </c>
      <c r="I4129" s="29" t="n">
        <v>297000</v>
      </c>
      <c r="J4129" s="29" t="n">
        <v>222750</v>
      </c>
      <c r="K4129" s="28" t="n">
        <v>10.25</v>
      </c>
      <c r="L4129" s="28" t="n">
        <v>120</v>
      </c>
      <c r="M4129" s="28" t="n">
        <v>6</v>
      </c>
    </row>
    <row r="4130" customFormat="false" ht="15" hidden="false" customHeight="false" outlineLevel="0" collapsed="false">
      <c r="A4130" s="27" t="n">
        <v>45671</v>
      </c>
      <c r="B4130" s="28" t="n">
        <v>2025</v>
      </c>
      <c r="C4130" s="28" t="s">
        <v>163</v>
      </c>
      <c r="D4130" s="28" t="s">
        <v>48</v>
      </c>
      <c r="E4130" s="28" t="s">
        <v>712</v>
      </c>
      <c r="F4130" s="28" t="s">
        <v>142</v>
      </c>
      <c r="G4130" s="28" t="s">
        <v>148</v>
      </c>
      <c r="H4130" s="28" t="s">
        <v>771</v>
      </c>
      <c r="I4130" s="29" t="n">
        <v>44000</v>
      </c>
      <c r="J4130" s="29" t="n">
        <v>37400</v>
      </c>
      <c r="K4130" s="28" t="n">
        <v>10.5</v>
      </c>
      <c r="L4130" s="28" t="n">
        <v>120</v>
      </c>
      <c r="M4130" s="28" t="n">
        <v>1</v>
      </c>
    </row>
    <row r="4131" customFormat="false" ht="15" hidden="false" customHeight="false" outlineLevel="0" collapsed="false">
      <c r="A4131" s="27" t="n">
        <v>45671</v>
      </c>
      <c r="B4131" s="28" t="n">
        <v>2025</v>
      </c>
      <c r="C4131" s="28" t="s">
        <v>172</v>
      </c>
      <c r="D4131" s="28" t="s">
        <v>45</v>
      </c>
      <c r="E4131" s="28" t="s">
        <v>713</v>
      </c>
      <c r="F4131" s="28" t="s">
        <v>142</v>
      </c>
      <c r="G4131" s="28" t="s">
        <v>148</v>
      </c>
      <c r="H4131" s="28" t="s">
        <v>592</v>
      </c>
      <c r="I4131" s="29" t="n">
        <v>382000</v>
      </c>
      <c r="J4131" s="29" t="n">
        <v>286500</v>
      </c>
      <c r="K4131" s="28" t="n">
        <v>9.5</v>
      </c>
      <c r="L4131" s="28" t="n">
        <v>120</v>
      </c>
      <c r="M4131" s="28" t="n">
        <v>5</v>
      </c>
    </row>
    <row r="4132" customFormat="false" ht="15" hidden="false" customHeight="false" outlineLevel="0" collapsed="false">
      <c r="A4132" s="27" t="n">
        <v>45671</v>
      </c>
      <c r="B4132" s="28" t="n">
        <v>2025</v>
      </c>
      <c r="C4132" s="28" t="s">
        <v>163</v>
      </c>
      <c r="D4132" s="28" t="s">
        <v>44</v>
      </c>
      <c r="E4132" s="28" t="s">
        <v>759</v>
      </c>
      <c r="F4132" s="28" t="s">
        <v>147</v>
      </c>
      <c r="G4132" s="28" t="s">
        <v>143</v>
      </c>
      <c r="H4132" s="28" t="s">
        <v>291</v>
      </c>
      <c r="I4132" s="29" t="n">
        <v>50000</v>
      </c>
      <c r="J4132" s="29" t="n">
        <v>25000</v>
      </c>
      <c r="K4132" s="28" t="n">
        <v>9</v>
      </c>
      <c r="L4132" s="28" t="n">
        <v>120</v>
      </c>
      <c r="M4132" s="28" t="n">
        <v>6</v>
      </c>
    </row>
    <row r="4133" customFormat="false" ht="15" hidden="false" customHeight="false" outlineLevel="0" collapsed="false">
      <c r="A4133" s="27" t="n">
        <v>45671</v>
      </c>
      <c r="B4133" s="28" t="n">
        <v>2025</v>
      </c>
      <c r="C4133" s="28" t="s">
        <v>172</v>
      </c>
      <c r="D4133" s="28" t="s">
        <v>46</v>
      </c>
      <c r="E4133" s="28" t="s">
        <v>702</v>
      </c>
      <c r="F4133" s="28" t="s">
        <v>147</v>
      </c>
      <c r="G4133" s="28" t="s">
        <v>152</v>
      </c>
      <c r="H4133" s="28" t="s">
        <v>159</v>
      </c>
      <c r="I4133" s="29" t="n">
        <v>25000</v>
      </c>
      <c r="J4133" s="29" t="n">
        <v>12500</v>
      </c>
      <c r="K4133" s="28" t="n">
        <v>10</v>
      </c>
      <c r="L4133" s="28" t="n">
        <v>120</v>
      </c>
      <c r="M4133" s="28" t="n">
        <v>6</v>
      </c>
    </row>
    <row r="4134" customFormat="false" ht="15" hidden="false" customHeight="false" outlineLevel="0" collapsed="false">
      <c r="A4134" s="27" t="n">
        <v>45671</v>
      </c>
      <c r="B4134" s="28" t="n">
        <v>2025</v>
      </c>
      <c r="C4134" s="28" t="s">
        <v>423</v>
      </c>
      <c r="D4134" s="28" t="s">
        <v>53</v>
      </c>
      <c r="E4134" s="28" t="s">
        <v>703</v>
      </c>
      <c r="F4134" s="28" t="s">
        <v>142</v>
      </c>
      <c r="G4134" s="28" t="s">
        <v>143</v>
      </c>
      <c r="H4134" s="28" t="s">
        <v>413</v>
      </c>
      <c r="I4134" s="29" t="n">
        <v>486000</v>
      </c>
      <c r="J4134" s="29" t="n">
        <v>364500</v>
      </c>
      <c r="K4134" s="28" t="n">
        <v>8</v>
      </c>
      <c r="L4134" s="28" t="n">
        <v>120</v>
      </c>
      <c r="M4134" s="28" t="n">
        <v>4</v>
      </c>
    </row>
    <row r="4135" customFormat="false" ht="15" hidden="false" customHeight="false" outlineLevel="0" collapsed="false">
      <c r="A4135" s="27" t="n">
        <v>45672</v>
      </c>
      <c r="B4135" s="28" t="n">
        <v>2025</v>
      </c>
      <c r="C4135" s="28" t="s">
        <v>560</v>
      </c>
      <c r="D4135" s="28" t="s">
        <v>45</v>
      </c>
      <c r="E4135" s="28" t="s">
        <v>293</v>
      </c>
      <c r="F4135" s="28" t="s">
        <v>142</v>
      </c>
      <c r="G4135" s="28" t="s">
        <v>148</v>
      </c>
      <c r="H4135" s="28" t="s">
        <v>275</v>
      </c>
      <c r="I4135" s="29" t="n">
        <v>50000</v>
      </c>
      <c r="J4135" s="29" t="n">
        <v>42500</v>
      </c>
      <c r="K4135" s="28" t="n">
        <v>14</v>
      </c>
      <c r="L4135" s="28" t="n">
        <v>120</v>
      </c>
      <c r="M4135" s="28" t="n">
        <v>7</v>
      </c>
    </row>
    <row r="4136" customFormat="false" ht="15" hidden="false" customHeight="false" outlineLevel="0" collapsed="false">
      <c r="A4136" s="27" t="n">
        <v>45672</v>
      </c>
      <c r="B4136" s="28" t="n">
        <v>2025</v>
      </c>
      <c r="C4136" s="28" t="s">
        <v>172</v>
      </c>
      <c r="D4136" s="28" t="s">
        <v>46</v>
      </c>
      <c r="E4136" s="28" t="s">
        <v>926</v>
      </c>
      <c r="F4136" s="28" t="s">
        <v>147</v>
      </c>
      <c r="G4136" s="28" t="s">
        <v>148</v>
      </c>
      <c r="H4136" s="28" t="s">
        <v>168</v>
      </c>
      <c r="I4136" s="29" t="n">
        <v>150000</v>
      </c>
      <c r="J4136" s="29" t="n">
        <v>75000</v>
      </c>
      <c r="K4136" s="28" t="n">
        <v>9.9</v>
      </c>
      <c r="L4136" s="28" t="n">
        <v>120</v>
      </c>
      <c r="M4136" s="28" t="n">
        <v>7</v>
      </c>
    </row>
    <row r="4137" customFormat="false" ht="15" hidden="false" customHeight="false" outlineLevel="0" collapsed="false">
      <c r="A4137" s="27" t="n">
        <v>45672</v>
      </c>
      <c r="B4137" s="28" t="n">
        <v>2025</v>
      </c>
      <c r="C4137" s="28" t="s">
        <v>515</v>
      </c>
      <c r="D4137" s="28" t="s">
        <v>45</v>
      </c>
      <c r="E4137" s="28" t="s">
        <v>708</v>
      </c>
      <c r="F4137" s="28" t="s">
        <v>147</v>
      </c>
      <c r="G4137" s="28" t="s">
        <v>441</v>
      </c>
      <c r="H4137" s="28" t="s">
        <v>168</v>
      </c>
      <c r="I4137" s="29" t="n">
        <v>15000</v>
      </c>
      <c r="J4137" s="29" t="n">
        <v>7500</v>
      </c>
      <c r="K4137" s="28" t="n">
        <v>12</v>
      </c>
      <c r="L4137" s="28" t="n">
        <v>120</v>
      </c>
      <c r="M4137" s="28" t="n">
        <v>0</v>
      </c>
    </row>
    <row r="4138" customFormat="false" ht="15" hidden="false" customHeight="false" outlineLevel="0" collapsed="false">
      <c r="A4138" s="27" t="n">
        <v>45672</v>
      </c>
      <c r="B4138" s="28" t="n">
        <v>2025</v>
      </c>
      <c r="C4138" s="28" t="s">
        <v>249</v>
      </c>
      <c r="D4138" s="28" t="s">
        <v>49</v>
      </c>
      <c r="E4138" s="28" t="s">
        <v>710</v>
      </c>
      <c r="F4138" s="28" t="s">
        <v>147</v>
      </c>
      <c r="G4138" s="28" t="s">
        <v>148</v>
      </c>
      <c r="H4138" s="28" t="s">
        <v>953</v>
      </c>
      <c r="I4138" s="29" t="n">
        <v>250000</v>
      </c>
      <c r="J4138" s="29" t="n">
        <v>125000</v>
      </c>
      <c r="K4138" s="28" t="n">
        <v>14</v>
      </c>
      <c r="L4138" s="28" t="n">
        <v>120</v>
      </c>
      <c r="M4138" s="28" t="n">
        <v>7</v>
      </c>
    </row>
    <row r="4139" customFormat="false" ht="15" hidden="false" customHeight="false" outlineLevel="0" collapsed="false">
      <c r="A4139" s="27" t="n">
        <v>45672</v>
      </c>
      <c r="B4139" s="28" t="n">
        <v>2025</v>
      </c>
      <c r="C4139" s="28" t="s">
        <v>163</v>
      </c>
      <c r="D4139" s="28" t="s">
        <v>51</v>
      </c>
      <c r="E4139" s="28" t="s">
        <v>800</v>
      </c>
      <c r="F4139" s="28" t="s">
        <v>142</v>
      </c>
      <c r="G4139" s="28" t="s">
        <v>148</v>
      </c>
      <c r="H4139" s="28" t="s">
        <v>771</v>
      </c>
      <c r="I4139" s="29" t="n">
        <v>481600</v>
      </c>
      <c r="J4139" s="29" t="n">
        <v>361200</v>
      </c>
      <c r="K4139" s="28" t="n">
        <v>10.25</v>
      </c>
      <c r="L4139" s="28" t="n">
        <v>120</v>
      </c>
      <c r="M4139" s="28" t="n">
        <v>5</v>
      </c>
    </row>
    <row r="4140" customFormat="false" ht="15" hidden="false" customHeight="false" outlineLevel="0" collapsed="false">
      <c r="A4140" s="27" t="n">
        <v>45673</v>
      </c>
      <c r="B4140" s="28" t="n">
        <v>2025</v>
      </c>
      <c r="C4140" s="28" t="s">
        <v>172</v>
      </c>
      <c r="D4140" s="28" t="s">
        <v>45</v>
      </c>
      <c r="E4140" s="28" t="s">
        <v>480</v>
      </c>
      <c r="F4140" s="28" t="s">
        <v>147</v>
      </c>
      <c r="G4140" s="28" t="s">
        <v>441</v>
      </c>
      <c r="H4140" s="28" t="s">
        <v>159</v>
      </c>
      <c r="I4140" s="29" t="n">
        <v>50000</v>
      </c>
      <c r="J4140" s="29" t="n">
        <v>25000</v>
      </c>
      <c r="K4140" s="28" t="n">
        <v>9.75</v>
      </c>
      <c r="L4140" s="28" t="n">
        <v>120</v>
      </c>
      <c r="M4140" s="28" t="n">
        <v>5</v>
      </c>
    </row>
    <row r="4141" customFormat="false" ht="15" hidden="false" customHeight="false" outlineLevel="0" collapsed="false">
      <c r="A4141" s="27" t="n">
        <v>45673</v>
      </c>
      <c r="B4141" s="28" t="n">
        <v>2025</v>
      </c>
      <c r="C4141" s="28" t="s">
        <v>169</v>
      </c>
      <c r="D4141" s="28" t="s">
        <v>44</v>
      </c>
      <c r="E4141" s="28" t="s">
        <v>1051</v>
      </c>
      <c r="F4141" s="28" t="s">
        <v>142</v>
      </c>
      <c r="G4141" s="28" t="s">
        <v>441</v>
      </c>
      <c r="H4141" s="28" t="s">
        <v>388</v>
      </c>
      <c r="I4141" s="29" t="n">
        <v>1603000</v>
      </c>
      <c r="J4141" s="29" t="n">
        <v>1202250</v>
      </c>
      <c r="K4141" s="28" t="n">
        <v>10.25</v>
      </c>
      <c r="L4141" s="28" t="n">
        <v>120</v>
      </c>
      <c r="M4141" s="28" t="n">
        <v>0</v>
      </c>
    </row>
    <row r="4142" customFormat="false" ht="15" hidden="false" customHeight="false" outlineLevel="0" collapsed="false">
      <c r="A4142" s="27" t="n">
        <v>45673</v>
      </c>
      <c r="B4142" s="28" t="n">
        <v>2025</v>
      </c>
      <c r="C4142" s="28" t="s">
        <v>201</v>
      </c>
      <c r="D4142" s="28" t="s">
        <v>46</v>
      </c>
      <c r="E4142" s="28" t="s">
        <v>780</v>
      </c>
      <c r="F4142" s="28" t="s">
        <v>142</v>
      </c>
      <c r="G4142" s="28" t="s">
        <v>143</v>
      </c>
      <c r="H4142" s="28" t="s">
        <v>382</v>
      </c>
      <c r="I4142" s="29" t="n">
        <v>352900</v>
      </c>
      <c r="J4142" s="29" t="n">
        <v>264675</v>
      </c>
      <c r="K4142" s="28" t="n">
        <v>10.25</v>
      </c>
      <c r="L4142" s="28" t="n">
        <v>124</v>
      </c>
      <c r="M4142" s="28" t="n">
        <v>8</v>
      </c>
    </row>
    <row r="4143" customFormat="false" ht="15" hidden="false" customHeight="false" outlineLevel="0" collapsed="false">
      <c r="A4143" s="27" t="n">
        <v>45674</v>
      </c>
      <c r="B4143" s="28" t="n">
        <v>2025</v>
      </c>
      <c r="C4143" s="28" t="s">
        <v>166</v>
      </c>
      <c r="D4143" s="28" t="s">
        <v>49</v>
      </c>
      <c r="E4143" s="28" t="s">
        <v>902</v>
      </c>
      <c r="F4143" s="28" t="s">
        <v>142</v>
      </c>
      <c r="G4143" s="28" t="s">
        <v>441</v>
      </c>
      <c r="H4143" s="28" t="s">
        <v>179</v>
      </c>
      <c r="I4143" s="29" t="n">
        <v>222000</v>
      </c>
      <c r="J4143" s="29" t="n">
        <v>166500</v>
      </c>
      <c r="K4143" s="28" t="n">
        <v>10.25</v>
      </c>
      <c r="L4143" s="28" t="n">
        <v>126</v>
      </c>
      <c r="M4143" s="28" t="n">
        <v>6</v>
      </c>
    </row>
    <row r="4144" customFormat="false" ht="15" hidden="false" customHeight="false" outlineLevel="0" collapsed="false">
      <c r="A4144" s="27" t="n">
        <v>45674</v>
      </c>
      <c r="B4144" s="28" t="n">
        <v>2025</v>
      </c>
      <c r="C4144" s="28" t="s">
        <v>163</v>
      </c>
      <c r="D4144" s="28" t="s">
        <v>44</v>
      </c>
      <c r="E4144" s="28" t="s">
        <v>730</v>
      </c>
      <c r="F4144" s="28" t="s">
        <v>142</v>
      </c>
      <c r="G4144" s="28" t="s">
        <v>143</v>
      </c>
      <c r="H4144" s="28" t="s">
        <v>463</v>
      </c>
      <c r="I4144" s="29" t="n">
        <v>4892000</v>
      </c>
      <c r="J4144" s="29" t="n">
        <v>3669000</v>
      </c>
      <c r="K4144" s="28" t="n">
        <v>9</v>
      </c>
      <c r="L4144" s="28" t="n">
        <v>310</v>
      </c>
      <c r="M4144" s="28" t="n">
        <v>32</v>
      </c>
    </row>
    <row r="4145" customFormat="false" ht="15" hidden="false" customHeight="false" outlineLevel="0" collapsed="false">
      <c r="A4145" s="27" t="n">
        <v>45674</v>
      </c>
      <c r="B4145" s="28" t="n">
        <v>2025</v>
      </c>
      <c r="C4145" s="28" t="s">
        <v>243</v>
      </c>
      <c r="D4145" s="28" t="s">
        <v>49</v>
      </c>
      <c r="E4145" s="28" t="s">
        <v>932</v>
      </c>
      <c r="F4145" s="28" t="s">
        <v>142</v>
      </c>
      <c r="G4145" s="28" t="s">
        <v>148</v>
      </c>
      <c r="H4145" s="28" t="s">
        <v>269</v>
      </c>
      <c r="I4145" s="29" t="n">
        <v>150000</v>
      </c>
      <c r="J4145" s="29" t="n">
        <v>127500</v>
      </c>
      <c r="K4145" s="28" t="n">
        <v>10.25</v>
      </c>
      <c r="L4145" s="28" t="n">
        <v>119</v>
      </c>
      <c r="M4145" s="28" t="n">
        <v>1</v>
      </c>
    </row>
    <row r="4146" customFormat="false" ht="15" hidden="false" customHeight="false" outlineLevel="0" collapsed="false">
      <c r="A4146" s="27" t="n">
        <v>45674</v>
      </c>
      <c r="B4146" s="28" t="n">
        <v>2025</v>
      </c>
      <c r="C4146" s="28" t="s">
        <v>216</v>
      </c>
      <c r="D4146" s="28" t="s">
        <v>45</v>
      </c>
      <c r="E4146" s="28" t="s">
        <v>708</v>
      </c>
      <c r="F4146" s="28" t="s">
        <v>142</v>
      </c>
      <c r="G4146" s="28" t="s">
        <v>143</v>
      </c>
      <c r="H4146" s="28" t="s">
        <v>693</v>
      </c>
      <c r="I4146" s="29" t="n">
        <v>40000</v>
      </c>
      <c r="J4146" s="29" t="n">
        <v>34000</v>
      </c>
      <c r="K4146" s="28" t="n">
        <v>10.5</v>
      </c>
      <c r="L4146" s="28" t="n">
        <v>120</v>
      </c>
      <c r="M4146" s="28" t="n">
        <v>2</v>
      </c>
    </row>
    <row r="4147" customFormat="false" ht="15" hidden="false" customHeight="false" outlineLevel="0" collapsed="false">
      <c r="A4147" s="27" t="n">
        <v>45674</v>
      </c>
      <c r="B4147" s="28" t="n">
        <v>2025</v>
      </c>
      <c r="C4147" s="28" t="s">
        <v>140</v>
      </c>
      <c r="D4147" s="28" t="s">
        <v>44</v>
      </c>
      <c r="E4147" s="28" t="s">
        <v>730</v>
      </c>
      <c r="F4147" s="28" t="s">
        <v>142</v>
      </c>
      <c r="G4147" s="28" t="s">
        <v>143</v>
      </c>
      <c r="H4147" s="28" t="s">
        <v>162</v>
      </c>
      <c r="I4147" s="29" t="n">
        <v>975000</v>
      </c>
      <c r="J4147" s="29" t="n">
        <v>731250</v>
      </c>
      <c r="K4147" s="28" t="n">
        <v>7.35</v>
      </c>
      <c r="L4147" s="28" t="n">
        <v>132</v>
      </c>
      <c r="M4147" s="28" t="n">
        <v>32</v>
      </c>
    </row>
    <row r="4148" customFormat="false" ht="15" hidden="false" customHeight="false" outlineLevel="0" collapsed="false">
      <c r="A4148" s="27" t="n">
        <v>45678</v>
      </c>
      <c r="B4148" s="28" t="n">
        <v>2025</v>
      </c>
      <c r="C4148" s="28" t="s">
        <v>145</v>
      </c>
      <c r="D4148" s="28" t="s">
        <v>45</v>
      </c>
      <c r="E4148" s="28" t="s">
        <v>874</v>
      </c>
      <c r="F4148" s="28" t="s">
        <v>142</v>
      </c>
      <c r="G4148" s="28" t="s">
        <v>148</v>
      </c>
      <c r="H4148" s="28" t="s">
        <v>771</v>
      </c>
      <c r="I4148" s="29" t="n">
        <v>150000</v>
      </c>
      <c r="J4148" s="29" t="n">
        <v>127500</v>
      </c>
      <c r="K4148" s="28" t="n">
        <v>10.25</v>
      </c>
      <c r="L4148" s="28" t="n">
        <v>120</v>
      </c>
      <c r="M4148" s="28" t="n">
        <v>1</v>
      </c>
    </row>
    <row r="4149" customFormat="false" ht="15" hidden="false" customHeight="false" outlineLevel="0" collapsed="false">
      <c r="A4149" s="27" t="n">
        <v>45678</v>
      </c>
      <c r="B4149" s="28" t="n">
        <v>2025</v>
      </c>
      <c r="C4149" s="28" t="s">
        <v>169</v>
      </c>
      <c r="D4149" s="28" t="s">
        <v>51</v>
      </c>
      <c r="E4149" s="28" t="s">
        <v>800</v>
      </c>
      <c r="F4149" s="28" t="s">
        <v>194</v>
      </c>
      <c r="G4149" s="28" t="s">
        <v>143</v>
      </c>
      <c r="H4149" s="28" t="s">
        <v>271</v>
      </c>
      <c r="I4149" s="29" t="n">
        <v>2500000</v>
      </c>
      <c r="J4149" s="29" t="n">
        <v>1875000</v>
      </c>
      <c r="K4149" s="28" t="n">
        <v>10.75</v>
      </c>
      <c r="L4149" s="28" t="n">
        <v>120</v>
      </c>
      <c r="M4149" s="28" t="n">
        <v>36</v>
      </c>
    </row>
    <row r="4150" customFormat="false" ht="15" hidden="false" customHeight="false" outlineLevel="0" collapsed="false">
      <c r="A4150" s="27" t="n">
        <v>45678</v>
      </c>
      <c r="B4150" s="28" t="n">
        <v>2025</v>
      </c>
      <c r="C4150" s="28" t="s">
        <v>500</v>
      </c>
      <c r="D4150" s="28" t="s">
        <v>52</v>
      </c>
      <c r="E4150" s="28" t="s">
        <v>720</v>
      </c>
      <c r="F4150" s="28" t="s">
        <v>142</v>
      </c>
      <c r="G4150" s="28" t="s">
        <v>148</v>
      </c>
      <c r="H4150" s="28" t="s">
        <v>771</v>
      </c>
      <c r="I4150" s="29" t="n">
        <v>200000</v>
      </c>
      <c r="J4150" s="29" t="n">
        <v>170000</v>
      </c>
      <c r="K4150" s="28" t="n">
        <v>10.25</v>
      </c>
      <c r="L4150" s="28" t="n">
        <v>120</v>
      </c>
      <c r="M4150" s="28" t="n">
        <v>20</v>
      </c>
    </row>
    <row r="4151" customFormat="false" ht="15" hidden="false" customHeight="false" outlineLevel="0" collapsed="false">
      <c r="A4151" s="27" t="n">
        <v>45678</v>
      </c>
      <c r="B4151" s="28" t="n">
        <v>2025</v>
      </c>
      <c r="C4151" s="28" t="s">
        <v>235</v>
      </c>
      <c r="D4151" s="28" t="s">
        <v>44</v>
      </c>
      <c r="E4151" s="28" t="s">
        <v>730</v>
      </c>
      <c r="F4151" s="28" t="s">
        <v>147</v>
      </c>
      <c r="G4151" s="28" t="s">
        <v>441</v>
      </c>
      <c r="H4151" s="28" t="s">
        <v>168</v>
      </c>
      <c r="I4151" s="29" t="n">
        <v>15000</v>
      </c>
      <c r="J4151" s="29" t="n">
        <v>7500</v>
      </c>
      <c r="K4151" s="28" t="n">
        <v>14</v>
      </c>
      <c r="L4151" s="28" t="n">
        <v>120</v>
      </c>
      <c r="M4151" s="28" t="n">
        <v>0</v>
      </c>
    </row>
    <row r="4152" customFormat="false" ht="15" hidden="false" customHeight="false" outlineLevel="0" collapsed="false">
      <c r="A4152" s="27" t="n">
        <v>45678</v>
      </c>
      <c r="B4152" s="28" t="n">
        <v>2025</v>
      </c>
      <c r="C4152" s="28" t="s">
        <v>357</v>
      </c>
      <c r="D4152" s="28" t="s">
        <v>45</v>
      </c>
      <c r="E4152" s="28" t="s">
        <v>293</v>
      </c>
      <c r="F4152" s="28" t="s">
        <v>142</v>
      </c>
      <c r="G4152" s="28" t="s">
        <v>148</v>
      </c>
      <c r="H4152" s="28" t="s">
        <v>953</v>
      </c>
      <c r="I4152" s="29" t="n">
        <v>400000</v>
      </c>
      <c r="J4152" s="29" t="n">
        <v>300000</v>
      </c>
      <c r="K4152" s="28" t="n">
        <v>10.5</v>
      </c>
      <c r="L4152" s="28" t="n">
        <v>120</v>
      </c>
      <c r="M4152" s="28" t="n">
        <v>10</v>
      </c>
    </row>
    <row r="4153" customFormat="false" ht="15" hidden="false" customHeight="false" outlineLevel="0" collapsed="false">
      <c r="A4153" s="27" t="n">
        <v>45678</v>
      </c>
      <c r="B4153" s="28" t="n">
        <v>2025</v>
      </c>
      <c r="C4153" s="28" t="s">
        <v>140</v>
      </c>
      <c r="D4153" s="28" t="s">
        <v>44</v>
      </c>
      <c r="E4153" s="28" t="s">
        <v>755</v>
      </c>
      <c r="F4153" s="28" t="s">
        <v>194</v>
      </c>
      <c r="G4153" s="28" t="s">
        <v>148</v>
      </c>
      <c r="H4153" s="28" t="s">
        <v>382</v>
      </c>
      <c r="I4153" s="29" t="n">
        <v>911800</v>
      </c>
      <c r="J4153" s="29" t="n">
        <v>683850</v>
      </c>
      <c r="K4153" s="28" t="n">
        <v>10</v>
      </c>
      <c r="L4153" s="28" t="n">
        <v>126</v>
      </c>
      <c r="M4153" s="28" t="n">
        <v>24</v>
      </c>
    </row>
    <row r="4154" customFormat="false" ht="15" hidden="false" customHeight="false" outlineLevel="0" collapsed="false">
      <c r="A4154" s="27" t="n">
        <v>45679</v>
      </c>
      <c r="B4154" s="28" t="n">
        <v>2025</v>
      </c>
      <c r="C4154" s="28" t="s">
        <v>979</v>
      </c>
      <c r="D4154" s="28" t="s">
        <v>53</v>
      </c>
      <c r="E4154" s="28" t="s">
        <v>703</v>
      </c>
      <c r="F4154" s="28" t="s">
        <v>142</v>
      </c>
      <c r="G4154" s="28" t="s">
        <v>152</v>
      </c>
      <c r="H4154" s="28" t="s">
        <v>413</v>
      </c>
      <c r="I4154" s="29" t="n">
        <v>4050000</v>
      </c>
      <c r="J4154" s="29" t="n">
        <v>3037500</v>
      </c>
      <c r="K4154" s="28" t="n">
        <v>8.25</v>
      </c>
      <c r="L4154" s="28" t="n">
        <v>300</v>
      </c>
      <c r="M4154" s="28" t="n">
        <v>1</v>
      </c>
    </row>
    <row r="4155" customFormat="false" ht="15" hidden="false" customHeight="false" outlineLevel="0" collapsed="false">
      <c r="A4155" s="27" t="n">
        <v>45679</v>
      </c>
      <c r="B4155" s="28" t="n">
        <v>2025</v>
      </c>
      <c r="C4155" s="28" t="s">
        <v>175</v>
      </c>
      <c r="D4155" s="28" t="s">
        <v>44</v>
      </c>
      <c r="E4155" s="28" t="s">
        <v>783</v>
      </c>
      <c r="F4155" s="28" t="s">
        <v>142</v>
      </c>
      <c r="G4155" s="28" t="s">
        <v>148</v>
      </c>
      <c r="H4155" s="28" t="s">
        <v>171</v>
      </c>
      <c r="I4155" s="29" t="n">
        <v>88000</v>
      </c>
      <c r="J4155" s="29" t="n">
        <v>74800</v>
      </c>
      <c r="K4155" s="28" t="n">
        <v>12.25</v>
      </c>
      <c r="L4155" s="28" t="n">
        <v>120</v>
      </c>
      <c r="M4155" s="28" t="n">
        <v>0</v>
      </c>
    </row>
    <row r="4156" customFormat="false" ht="15" hidden="false" customHeight="false" outlineLevel="0" collapsed="false">
      <c r="A4156" s="27" t="n">
        <v>45679</v>
      </c>
      <c r="B4156" s="28" t="n">
        <v>2025</v>
      </c>
      <c r="C4156" s="28" t="s">
        <v>160</v>
      </c>
      <c r="D4156" s="28" t="s">
        <v>43</v>
      </c>
      <c r="E4156" s="28" t="s">
        <v>732</v>
      </c>
      <c r="F4156" s="28" t="s">
        <v>147</v>
      </c>
      <c r="G4156" s="28" t="s">
        <v>143</v>
      </c>
      <c r="H4156" s="28" t="s">
        <v>159</v>
      </c>
      <c r="I4156" s="29" t="n">
        <v>25000</v>
      </c>
      <c r="J4156" s="29" t="n">
        <v>12500</v>
      </c>
      <c r="K4156" s="28" t="n">
        <v>14</v>
      </c>
      <c r="L4156" s="28" t="n">
        <v>120</v>
      </c>
      <c r="M4156" s="28" t="n">
        <v>0</v>
      </c>
    </row>
    <row r="4157" customFormat="false" ht="15" hidden="false" customHeight="false" outlineLevel="0" collapsed="false">
      <c r="A4157" s="27" t="n">
        <v>45679</v>
      </c>
      <c r="B4157" s="28" t="n">
        <v>2025</v>
      </c>
      <c r="C4157" s="28" t="s">
        <v>160</v>
      </c>
      <c r="D4157" s="28" t="s">
        <v>43</v>
      </c>
      <c r="E4157" s="28" t="s">
        <v>732</v>
      </c>
      <c r="F4157" s="28" t="s">
        <v>142</v>
      </c>
      <c r="G4157" s="28" t="s">
        <v>143</v>
      </c>
      <c r="H4157" s="28" t="s">
        <v>159</v>
      </c>
      <c r="I4157" s="29" t="n">
        <v>48000</v>
      </c>
      <c r="J4157" s="29" t="n">
        <v>40800</v>
      </c>
      <c r="K4157" s="28" t="n">
        <v>10.49</v>
      </c>
      <c r="L4157" s="28" t="n">
        <v>60</v>
      </c>
      <c r="M4157" s="28" t="n">
        <v>0</v>
      </c>
    </row>
    <row r="4158" customFormat="false" ht="15" hidden="false" customHeight="false" outlineLevel="0" collapsed="false">
      <c r="A4158" s="27" t="n">
        <v>45679</v>
      </c>
      <c r="B4158" s="28" t="n">
        <v>2025</v>
      </c>
      <c r="C4158" s="28" t="s">
        <v>568</v>
      </c>
      <c r="D4158" s="28" t="s">
        <v>52</v>
      </c>
      <c r="E4158" s="28" t="s">
        <v>720</v>
      </c>
      <c r="F4158" s="28" t="s">
        <v>194</v>
      </c>
      <c r="G4158" s="28" t="s">
        <v>148</v>
      </c>
      <c r="H4158" s="28" t="s">
        <v>266</v>
      </c>
      <c r="I4158" s="29" t="n">
        <v>76700</v>
      </c>
      <c r="J4158" s="29" t="n">
        <v>65195</v>
      </c>
      <c r="K4158" s="28" t="n">
        <v>8</v>
      </c>
      <c r="L4158" s="28" t="n">
        <v>60</v>
      </c>
      <c r="M4158" s="28" t="n">
        <v>3</v>
      </c>
    </row>
    <row r="4159" customFormat="false" ht="15" hidden="false" customHeight="false" outlineLevel="0" collapsed="false">
      <c r="A4159" s="27" t="n">
        <v>45679</v>
      </c>
      <c r="B4159" s="28" t="n">
        <v>2025</v>
      </c>
      <c r="C4159" s="28" t="s">
        <v>216</v>
      </c>
      <c r="D4159" s="28" t="s">
        <v>48</v>
      </c>
      <c r="E4159" s="28" t="s">
        <v>736</v>
      </c>
      <c r="F4159" s="28" t="s">
        <v>142</v>
      </c>
      <c r="G4159" s="28" t="s">
        <v>441</v>
      </c>
      <c r="H4159" s="28" t="s">
        <v>372</v>
      </c>
      <c r="I4159" s="29" t="n">
        <v>175000</v>
      </c>
      <c r="J4159" s="29" t="n">
        <v>131250</v>
      </c>
      <c r="K4159" s="28" t="n">
        <v>10.5</v>
      </c>
      <c r="L4159" s="28" t="n">
        <v>120</v>
      </c>
      <c r="M4159" s="28" t="n">
        <v>5</v>
      </c>
    </row>
    <row r="4160" customFormat="false" ht="15" hidden="false" customHeight="false" outlineLevel="0" collapsed="false">
      <c r="A4160" s="27" t="n">
        <v>45680</v>
      </c>
      <c r="B4160" s="28" t="n">
        <v>2025</v>
      </c>
      <c r="C4160" s="28" t="s">
        <v>172</v>
      </c>
      <c r="D4160" s="28" t="s">
        <v>42</v>
      </c>
      <c r="E4160" s="28" t="s">
        <v>753</v>
      </c>
      <c r="F4160" s="28" t="s">
        <v>142</v>
      </c>
      <c r="G4160" s="28" t="s">
        <v>152</v>
      </c>
      <c r="H4160" s="28" t="s">
        <v>149</v>
      </c>
      <c r="I4160" s="29" t="n">
        <v>1347000</v>
      </c>
      <c r="J4160" s="29" t="n">
        <v>1010250</v>
      </c>
      <c r="K4160" s="28" t="n">
        <v>8.75</v>
      </c>
      <c r="L4160" s="28" t="n">
        <v>300</v>
      </c>
      <c r="M4160" s="28" t="n">
        <v>9</v>
      </c>
    </row>
    <row r="4161" customFormat="false" ht="15" hidden="false" customHeight="false" outlineLevel="0" collapsed="false">
      <c r="A4161" s="27" t="n">
        <v>45680</v>
      </c>
      <c r="B4161" s="28" t="n">
        <v>2025</v>
      </c>
      <c r="C4161" s="28" t="s">
        <v>172</v>
      </c>
      <c r="D4161" s="28" t="s">
        <v>44</v>
      </c>
      <c r="E4161" s="28" t="s">
        <v>167</v>
      </c>
      <c r="F4161" s="28" t="s">
        <v>142</v>
      </c>
      <c r="G4161" s="28" t="s">
        <v>148</v>
      </c>
      <c r="H4161" s="28" t="s">
        <v>771</v>
      </c>
      <c r="I4161" s="29" t="n">
        <v>250000</v>
      </c>
      <c r="J4161" s="29" t="n">
        <v>187500</v>
      </c>
      <c r="K4161" s="28" t="n">
        <v>10.25</v>
      </c>
      <c r="L4161" s="28" t="n">
        <v>120</v>
      </c>
      <c r="M4161" s="28" t="n">
        <v>100</v>
      </c>
    </row>
    <row r="4162" customFormat="false" ht="15" hidden="false" customHeight="false" outlineLevel="0" collapsed="false">
      <c r="A4162" s="27" t="n">
        <v>45680</v>
      </c>
      <c r="B4162" s="28" t="n">
        <v>2025</v>
      </c>
      <c r="C4162" s="28" t="s">
        <v>172</v>
      </c>
      <c r="D4162" s="28" t="s">
        <v>46</v>
      </c>
      <c r="E4162" s="28" t="s">
        <v>904</v>
      </c>
      <c r="F4162" s="28" t="s">
        <v>142</v>
      </c>
      <c r="G4162" s="28" t="s">
        <v>148</v>
      </c>
      <c r="H4162" s="28" t="s">
        <v>953</v>
      </c>
      <c r="I4162" s="29" t="n">
        <v>100000</v>
      </c>
      <c r="J4162" s="29" t="n">
        <v>85000</v>
      </c>
      <c r="K4162" s="28" t="n">
        <v>10.5</v>
      </c>
      <c r="L4162" s="28" t="n">
        <v>120</v>
      </c>
      <c r="M4162" s="28" t="n">
        <v>5</v>
      </c>
    </row>
    <row r="4163" customFormat="false" ht="15" hidden="false" customHeight="false" outlineLevel="0" collapsed="false">
      <c r="A4163" s="27" t="n">
        <v>45680</v>
      </c>
      <c r="B4163" s="28" t="n">
        <v>2025</v>
      </c>
      <c r="C4163" s="28" t="s">
        <v>175</v>
      </c>
      <c r="D4163" s="28" t="s">
        <v>46</v>
      </c>
      <c r="E4163" s="28" t="s">
        <v>770</v>
      </c>
      <c r="F4163" s="28" t="s">
        <v>142</v>
      </c>
      <c r="G4163" s="28" t="s">
        <v>143</v>
      </c>
      <c r="H4163" s="28" t="s">
        <v>291</v>
      </c>
      <c r="I4163" s="29" t="n">
        <v>477000</v>
      </c>
      <c r="J4163" s="29" t="n">
        <v>357750</v>
      </c>
      <c r="K4163" s="28" t="n">
        <v>10</v>
      </c>
      <c r="L4163" s="28" t="n">
        <v>126</v>
      </c>
      <c r="M4163" s="28" t="n">
        <v>37</v>
      </c>
    </row>
    <row r="4164" customFormat="false" ht="15" hidden="false" customHeight="false" outlineLevel="0" collapsed="false">
      <c r="A4164" s="27" t="n">
        <v>45680</v>
      </c>
      <c r="B4164" s="28" t="n">
        <v>2025</v>
      </c>
      <c r="C4164" s="28" t="s">
        <v>549</v>
      </c>
      <c r="D4164" s="28" t="s">
        <v>53</v>
      </c>
      <c r="E4164" s="28" t="s">
        <v>1122</v>
      </c>
      <c r="F4164" s="28" t="s">
        <v>142</v>
      </c>
      <c r="G4164" s="28" t="s">
        <v>148</v>
      </c>
      <c r="H4164" s="28" t="s">
        <v>953</v>
      </c>
      <c r="I4164" s="29" t="n">
        <v>300000</v>
      </c>
      <c r="J4164" s="29" t="n">
        <v>225000</v>
      </c>
      <c r="K4164" s="28" t="n">
        <v>10.5</v>
      </c>
      <c r="L4164" s="28" t="n">
        <v>120</v>
      </c>
      <c r="M4164" s="28" t="n">
        <v>4</v>
      </c>
    </row>
    <row r="4165" customFormat="false" ht="15" hidden="false" customHeight="false" outlineLevel="0" collapsed="false">
      <c r="A4165" s="27" t="n">
        <v>45680</v>
      </c>
      <c r="B4165" s="28" t="n">
        <v>2025</v>
      </c>
      <c r="C4165" s="28" t="s">
        <v>160</v>
      </c>
      <c r="D4165" s="28" t="s">
        <v>43</v>
      </c>
      <c r="E4165" s="28" t="s">
        <v>1005</v>
      </c>
      <c r="F4165" s="28" t="s">
        <v>142</v>
      </c>
      <c r="G4165" s="28" t="s">
        <v>148</v>
      </c>
      <c r="H4165" s="28" t="s">
        <v>937</v>
      </c>
      <c r="I4165" s="29" t="n">
        <v>150000</v>
      </c>
      <c r="J4165" s="29" t="n">
        <v>127500</v>
      </c>
      <c r="K4165" s="28" t="n">
        <v>12</v>
      </c>
      <c r="L4165" s="28" t="n">
        <v>120</v>
      </c>
      <c r="M4165" s="28" t="n">
        <v>10</v>
      </c>
    </row>
    <row r="4166" customFormat="false" ht="15" hidden="false" customHeight="false" outlineLevel="0" collapsed="false">
      <c r="A4166" s="27" t="n">
        <v>45681</v>
      </c>
      <c r="B4166" s="28" t="n">
        <v>2025</v>
      </c>
      <c r="C4166" s="28" t="s">
        <v>318</v>
      </c>
      <c r="D4166" s="28" t="s">
        <v>45</v>
      </c>
      <c r="E4166" s="28" t="s">
        <v>713</v>
      </c>
      <c r="F4166" s="28" t="s">
        <v>147</v>
      </c>
      <c r="G4166" s="28" t="s">
        <v>148</v>
      </c>
      <c r="H4166" s="28" t="s">
        <v>351</v>
      </c>
      <c r="I4166" s="29" t="n">
        <v>350000</v>
      </c>
      <c r="J4166" s="29" t="n">
        <v>175000</v>
      </c>
      <c r="K4166" s="28" t="n">
        <v>8.5</v>
      </c>
      <c r="L4166" s="28" t="n">
        <v>120</v>
      </c>
      <c r="M4166" s="28" t="n">
        <v>8</v>
      </c>
    </row>
    <row r="4167" customFormat="false" ht="15" hidden="false" customHeight="false" outlineLevel="0" collapsed="false">
      <c r="A4167" s="27" t="n">
        <v>45681</v>
      </c>
      <c r="B4167" s="28" t="n">
        <v>2025</v>
      </c>
      <c r="C4167" s="28" t="s">
        <v>175</v>
      </c>
      <c r="D4167" s="28" t="s">
        <v>46</v>
      </c>
      <c r="E4167" s="28" t="s">
        <v>770</v>
      </c>
      <c r="F4167" s="28" t="s">
        <v>147</v>
      </c>
      <c r="G4167" s="28" t="s">
        <v>441</v>
      </c>
      <c r="H4167" s="28" t="s">
        <v>291</v>
      </c>
      <c r="I4167" s="29" t="n">
        <v>75000</v>
      </c>
      <c r="J4167" s="29" t="n">
        <v>37500</v>
      </c>
      <c r="K4167" s="28" t="n">
        <v>10</v>
      </c>
      <c r="L4167" s="28" t="n">
        <v>120</v>
      </c>
      <c r="M4167" s="28" t="n">
        <v>37</v>
      </c>
    </row>
    <row r="4168" customFormat="false" ht="15" hidden="false" customHeight="false" outlineLevel="0" collapsed="false">
      <c r="A4168" s="27" t="n">
        <v>45684</v>
      </c>
      <c r="B4168" s="28" t="n">
        <v>2025</v>
      </c>
      <c r="C4168" s="28" t="s">
        <v>203</v>
      </c>
      <c r="D4168" s="28" t="s">
        <v>42</v>
      </c>
      <c r="E4168" s="28" t="s">
        <v>717</v>
      </c>
      <c r="F4168" s="28" t="s">
        <v>142</v>
      </c>
      <c r="G4168" s="28" t="s">
        <v>143</v>
      </c>
      <c r="H4168" s="28" t="s">
        <v>438</v>
      </c>
      <c r="I4168" s="29" t="n">
        <v>1200000</v>
      </c>
      <c r="J4168" s="29" t="n">
        <v>900000</v>
      </c>
      <c r="K4168" s="28" t="n">
        <v>9.5</v>
      </c>
      <c r="L4168" s="28" t="n">
        <v>300</v>
      </c>
      <c r="M4168" s="28" t="n">
        <v>11</v>
      </c>
    </row>
    <row r="4169" customFormat="false" ht="15" hidden="false" customHeight="false" outlineLevel="0" collapsed="false">
      <c r="A4169" s="27" t="n">
        <v>45684</v>
      </c>
      <c r="B4169" s="28" t="n">
        <v>2025</v>
      </c>
      <c r="C4169" s="28" t="s">
        <v>172</v>
      </c>
      <c r="D4169" s="28" t="s">
        <v>48</v>
      </c>
      <c r="E4169" s="28" t="s">
        <v>210</v>
      </c>
      <c r="F4169" s="28" t="s">
        <v>142</v>
      </c>
      <c r="G4169" s="28" t="s">
        <v>148</v>
      </c>
      <c r="H4169" s="28" t="s">
        <v>171</v>
      </c>
      <c r="I4169" s="29" t="n">
        <v>150000</v>
      </c>
      <c r="J4169" s="29" t="n">
        <v>127500</v>
      </c>
      <c r="K4169" s="28" t="n">
        <v>12.25</v>
      </c>
      <c r="L4169" s="28" t="n">
        <v>120</v>
      </c>
      <c r="M4169" s="28" t="n">
        <v>0</v>
      </c>
    </row>
    <row r="4170" customFormat="false" ht="15" hidden="false" customHeight="false" outlineLevel="0" collapsed="false">
      <c r="A4170" s="27" t="n">
        <v>45684</v>
      </c>
      <c r="B4170" s="28" t="n">
        <v>2025</v>
      </c>
      <c r="C4170" s="28" t="s">
        <v>163</v>
      </c>
      <c r="D4170" s="28" t="s">
        <v>48</v>
      </c>
      <c r="E4170" s="28" t="s">
        <v>704</v>
      </c>
      <c r="F4170" s="28" t="s">
        <v>142</v>
      </c>
      <c r="G4170" s="28" t="s">
        <v>148</v>
      </c>
      <c r="H4170" s="28" t="s">
        <v>287</v>
      </c>
      <c r="I4170" s="29" t="n">
        <v>1453000</v>
      </c>
      <c r="J4170" s="29" t="n">
        <v>1089750</v>
      </c>
      <c r="K4170" s="28" t="n">
        <v>9.5</v>
      </c>
      <c r="L4170" s="28" t="n">
        <v>120</v>
      </c>
      <c r="M4170" s="28" t="n">
        <v>7</v>
      </c>
    </row>
    <row r="4171" customFormat="false" ht="15" hidden="false" customHeight="false" outlineLevel="0" collapsed="false">
      <c r="A4171" s="27" t="n">
        <v>45684</v>
      </c>
      <c r="B4171" s="28" t="n">
        <v>2025</v>
      </c>
      <c r="C4171" s="28" t="s">
        <v>172</v>
      </c>
      <c r="D4171" s="28" t="s">
        <v>47</v>
      </c>
      <c r="E4171" s="28" t="s">
        <v>1066</v>
      </c>
      <c r="F4171" s="28" t="s">
        <v>142</v>
      </c>
      <c r="G4171" s="28" t="s">
        <v>148</v>
      </c>
      <c r="H4171" s="28" t="s">
        <v>937</v>
      </c>
      <c r="I4171" s="29" t="n">
        <v>182700</v>
      </c>
      <c r="J4171" s="29" t="n">
        <v>137025</v>
      </c>
      <c r="K4171" s="28" t="n">
        <v>12.5</v>
      </c>
      <c r="L4171" s="28" t="n">
        <v>120</v>
      </c>
      <c r="M4171" s="28" t="n">
        <v>3</v>
      </c>
    </row>
    <row r="4172" customFormat="false" ht="15" hidden="false" customHeight="false" outlineLevel="0" collapsed="false">
      <c r="A4172" s="27" t="n">
        <v>45684</v>
      </c>
      <c r="B4172" s="28" t="n">
        <v>2025</v>
      </c>
      <c r="C4172" s="28" t="s">
        <v>172</v>
      </c>
      <c r="D4172" s="28" t="s">
        <v>46</v>
      </c>
      <c r="E4172" s="28" t="s">
        <v>806</v>
      </c>
      <c r="F4172" s="28" t="s">
        <v>147</v>
      </c>
      <c r="G4172" s="28" t="s">
        <v>148</v>
      </c>
      <c r="H4172" s="28" t="s">
        <v>205</v>
      </c>
      <c r="I4172" s="29" t="n">
        <v>230000</v>
      </c>
      <c r="J4172" s="29" t="n">
        <v>115000</v>
      </c>
      <c r="K4172" s="28" t="n">
        <v>10.5</v>
      </c>
      <c r="L4172" s="28" t="n">
        <v>120</v>
      </c>
      <c r="M4172" s="28" t="n">
        <v>4</v>
      </c>
    </row>
    <row r="4173" customFormat="false" ht="15" hidden="false" customHeight="false" outlineLevel="0" collapsed="false">
      <c r="A4173" s="27" t="n">
        <v>45684</v>
      </c>
      <c r="B4173" s="28" t="n">
        <v>2025</v>
      </c>
      <c r="C4173" s="28" t="s">
        <v>140</v>
      </c>
      <c r="D4173" s="28" t="s">
        <v>43</v>
      </c>
      <c r="E4173" s="28" t="s">
        <v>841</v>
      </c>
      <c r="F4173" s="28" t="s">
        <v>147</v>
      </c>
      <c r="G4173" s="28" t="s">
        <v>441</v>
      </c>
      <c r="H4173" s="28" t="s">
        <v>168</v>
      </c>
      <c r="I4173" s="29" t="n">
        <v>15000</v>
      </c>
      <c r="J4173" s="29" t="n">
        <v>7500</v>
      </c>
      <c r="K4173" s="28" t="n">
        <v>13</v>
      </c>
      <c r="L4173" s="28" t="n">
        <v>120</v>
      </c>
      <c r="M4173" s="28" t="n">
        <v>0</v>
      </c>
    </row>
    <row r="4174" customFormat="false" ht="15" hidden="false" customHeight="false" outlineLevel="0" collapsed="false">
      <c r="A4174" s="27" t="n">
        <v>45684</v>
      </c>
      <c r="B4174" s="28" t="n">
        <v>2025</v>
      </c>
      <c r="C4174" s="28" t="s">
        <v>230</v>
      </c>
      <c r="D4174" s="28" t="s">
        <v>45</v>
      </c>
      <c r="E4174" s="28" t="s">
        <v>222</v>
      </c>
      <c r="F4174" s="28" t="s">
        <v>142</v>
      </c>
      <c r="G4174" s="28" t="s">
        <v>148</v>
      </c>
      <c r="H4174" s="28" t="s">
        <v>144</v>
      </c>
      <c r="I4174" s="29" t="n">
        <v>475000</v>
      </c>
      <c r="J4174" s="29" t="n">
        <v>356250</v>
      </c>
      <c r="K4174" s="28" t="n">
        <v>10.5</v>
      </c>
      <c r="L4174" s="28" t="n">
        <v>120</v>
      </c>
      <c r="M4174" s="28" t="n">
        <v>8</v>
      </c>
    </row>
    <row r="4175" customFormat="false" ht="15" hidden="false" customHeight="false" outlineLevel="0" collapsed="false">
      <c r="A4175" s="27" t="n">
        <v>45684</v>
      </c>
      <c r="B4175" s="28" t="n">
        <v>2025</v>
      </c>
      <c r="C4175" s="28" t="s">
        <v>216</v>
      </c>
      <c r="D4175" s="28" t="s">
        <v>48</v>
      </c>
      <c r="E4175" s="28" t="s">
        <v>844</v>
      </c>
      <c r="F4175" s="28" t="s">
        <v>142</v>
      </c>
      <c r="G4175" s="28" t="s">
        <v>148</v>
      </c>
      <c r="H4175" s="28" t="s">
        <v>275</v>
      </c>
      <c r="I4175" s="29" t="n">
        <v>15000</v>
      </c>
      <c r="J4175" s="29" t="n">
        <v>12750</v>
      </c>
      <c r="K4175" s="28" t="n">
        <v>14</v>
      </c>
      <c r="L4175" s="28" t="n">
        <v>120</v>
      </c>
      <c r="M4175" s="28" t="n">
        <v>2</v>
      </c>
    </row>
    <row r="4176" customFormat="false" ht="15" hidden="false" customHeight="false" outlineLevel="0" collapsed="false">
      <c r="A4176" s="27" t="n">
        <v>45685</v>
      </c>
      <c r="B4176" s="28" t="n">
        <v>2025</v>
      </c>
      <c r="C4176" s="28" t="s">
        <v>316</v>
      </c>
      <c r="D4176" s="28" t="s">
        <v>42</v>
      </c>
      <c r="E4176" s="28" t="s">
        <v>753</v>
      </c>
      <c r="F4176" s="28" t="s">
        <v>194</v>
      </c>
      <c r="G4176" s="28" t="s">
        <v>143</v>
      </c>
      <c r="H4176" s="28" t="s">
        <v>306</v>
      </c>
      <c r="I4176" s="29" t="n">
        <v>36500</v>
      </c>
      <c r="J4176" s="29" t="n">
        <v>31025</v>
      </c>
      <c r="K4176" s="28" t="n">
        <v>8</v>
      </c>
      <c r="L4176" s="28" t="n">
        <v>36</v>
      </c>
      <c r="M4176" s="28" t="n">
        <v>4</v>
      </c>
    </row>
    <row r="4177" customFormat="false" ht="15" hidden="false" customHeight="false" outlineLevel="0" collapsed="false">
      <c r="A4177" s="27" t="n">
        <v>45685</v>
      </c>
      <c r="B4177" s="28" t="n">
        <v>2025</v>
      </c>
      <c r="C4177" s="28" t="s">
        <v>603</v>
      </c>
      <c r="D4177" s="28" t="s">
        <v>44</v>
      </c>
      <c r="E4177" s="28" t="s">
        <v>729</v>
      </c>
      <c r="F4177" s="28" t="s">
        <v>142</v>
      </c>
      <c r="G4177" s="28" t="s">
        <v>148</v>
      </c>
      <c r="H4177" s="28" t="s">
        <v>171</v>
      </c>
      <c r="I4177" s="29" t="n">
        <v>150000</v>
      </c>
      <c r="J4177" s="29" t="n">
        <v>127500</v>
      </c>
      <c r="K4177" s="28" t="n">
        <v>12.25</v>
      </c>
      <c r="L4177" s="28" t="n">
        <v>120</v>
      </c>
      <c r="M4177" s="28" t="n">
        <v>3</v>
      </c>
    </row>
    <row r="4178" customFormat="false" ht="15" hidden="false" customHeight="false" outlineLevel="0" collapsed="false">
      <c r="A4178" s="27" t="n">
        <v>45685</v>
      </c>
      <c r="B4178" s="28" t="n">
        <v>2025</v>
      </c>
      <c r="C4178" s="28" t="s">
        <v>169</v>
      </c>
      <c r="D4178" s="28" t="s">
        <v>42</v>
      </c>
      <c r="E4178" s="28" t="s">
        <v>753</v>
      </c>
      <c r="F4178" s="28" t="s">
        <v>142</v>
      </c>
      <c r="G4178" s="28" t="s">
        <v>143</v>
      </c>
      <c r="H4178" s="28" t="s">
        <v>605</v>
      </c>
      <c r="I4178" s="29" t="n">
        <v>1689000</v>
      </c>
      <c r="J4178" s="29" t="n">
        <v>1266750</v>
      </c>
      <c r="K4178" s="28" t="n">
        <v>9.5</v>
      </c>
      <c r="L4178" s="28" t="n">
        <v>128</v>
      </c>
      <c r="M4178" s="28" t="n">
        <v>37</v>
      </c>
    </row>
    <row r="4179" customFormat="false" ht="15" hidden="false" customHeight="false" outlineLevel="0" collapsed="false">
      <c r="A4179" s="27" t="n">
        <v>45685</v>
      </c>
      <c r="B4179" s="28" t="n">
        <v>2025</v>
      </c>
      <c r="C4179" s="28" t="s">
        <v>203</v>
      </c>
      <c r="D4179" s="28" t="s">
        <v>45</v>
      </c>
      <c r="E4179" s="28" t="s">
        <v>222</v>
      </c>
      <c r="F4179" s="28" t="s">
        <v>142</v>
      </c>
      <c r="G4179" s="28" t="s">
        <v>152</v>
      </c>
      <c r="H4179" s="28" t="s">
        <v>404</v>
      </c>
      <c r="I4179" s="29" t="n">
        <v>1800000</v>
      </c>
      <c r="J4179" s="29" t="n">
        <v>1350000</v>
      </c>
      <c r="K4179" s="28" t="n">
        <v>8.5</v>
      </c>
      <c r="L4179" s="28" t="n">
        <v>120</v>
      </c>
      <c r="M4179" s="28" t="n">
        <v>20</v>
      </c>
    </row>
    <row r="4180" customFormat="false" ht="15" hidden="false" customHeight="false" outlineLevel="0" collapsed="false">
      <c r="A4180" s="27" t="n">
        <v>45685</v>
      </c>
      <c r="B4180" s="28" t="n">
        <v>2025</v>
      </c>
      <c r="C4180" s="28" t="s">
        <v>163</v>
      </c>
      <c r="D4180" s="28" t="s">
        <v>50</v>
      </c>
      <c r="E4180" s="28" t="s">
        <v>785</v>
      </c>
      <c r="F4180" s="28" t="s">
        <v>147</v>
      </c>
      <c r="G4180" s="28" t="s">
        <v>148</v>
      </c>
      <c r="H4180" s="28" t="s">
        <v>404</v>
      </c>
      <c r="I4180" s="29" t="n">
        <v>500000</v>
      </c>
      <c r="J4180" s="29" t="n">
        <v>250000</v>
      </c>
      <c r="K4180" s="28" t="n">
        <v>10.25</v>
      </c>
      <c r="L4180" s="28" t="n">
        <v>120</v>
      </c>
      <c r="M4180" s="28" t="n">
        <v>5</v>
      </c>
    </row>
    <row r="4181" customFormat="false" ht="15" hidden="false" customHeight="false" outlineLevel="0" collapsed="false">
      <c r="A4181" s="27" t="n">
        <v>45685</v>
      </c>
      <c r="B4181" s="28" t="n">
        <v>2025</v>
      </c>
      <c r="C4181" s="28" t="s">
        <v>145</v>
      </c>
      <c r="D4181" s="28" t="s">
        <v>50</v>
      </c>
      <c r="E4181" s="28" t="s">
        <v>193</v>
      </c>
      <c r="F4181" s="28" t="s">
        <v>142</v>
      </c>
      <c r="G4181" s="28" t="s">
        <v>152</v>
      </c>
      <c r="H4181" s="28" t="s">
        <v>153</v>
      </c>
      <c r="I4181" s="29" t="n">
        <v>311200</v>
      </c>
      <c r="J4181" s="29" t="n">
        <v>233400</v>
      </c>
      <c r="K4181" s="28" t="n">
        <v>9.5</v>
      </c>
      <c r="L4181" s="28" t="n">
        <v>120</v>
      </c>
      <c r="M4181" s="28" t="n">
        <v>12</v>
      </c>
    </row>
    <row r="4182" customFormat="false" ht="15" hidden="false" customHeight="false" outlineLevel="0" collapsed="false">
      <c r="A4182" s="27" t="n">
        <v>45685</v>
      </c>
      <c r="B4182" s="28" t="n">
        <v>2025</v>
      </c>
      <c r="C4182" s="28" t="s">
        <v>140</v>
      </c>
      <c r="D4182" s="28" t="s">
        <v>47</v>
      </c>
      <c r="E4182" s="28" t="s">
        <v>1123</v>
      </c>
      <c r="F4182" s="28" t="s">
        <v>142</v>
      </c>
      <c r="G4182" s="28" t="s">
        <v>148</v>
      </c>
      <c r="H4182" s="28" t="s">
        <v>771</v>
      </c>
      <c r="I4182" s="29" t="n">
        <v>100000</v>
      </c>
      <c r="J4182" s="29" t="n">
        <v>85000</v>
      </c>
      <c r="K4182" s="28" t="n">
        <v>10.25</v>
      </c>
      <c r="L4182" s="28" t="n">
        <v>120</v>
      </c>
      <c r="M4182" s="28" t="n">
        <v>6</v>
      </c>
    </row>
    <row r="4183" customFormat="false" ht="15" hidden="false" customHeight="false" outlineLevel="0" collapsed="false">
      <c r="A4183" s="27" t="n">
        <v>45685</v>
      </c>
      <c r="B4183" s="28" t="n">
        <v>2025</v>
      </c>
      <c r="C4183" s="28" t="s">
        <v>169</v>
      </c>
      <c r="D4183" s="28" t="s">
        <v>42</v>
      </c>
      <c r="E4183" s="28" t="s">
        <v>753</v>
      </c>
      <c r="F4183" s="28" t="s">
        <v>142</v>
      </c>
      <c r="G4183" s="28" t="s">
        <v>143</v>
      </c>
      <c r="H4183" s="28" t="s">
        <v>605</v>
      </c>
      <c r="I4183" s="29" t="n">
        <v>1655900</v>
      </c>
      <c r="J4183" s="29" t="n">
        <v>1241925</v>
      </c>
      <c r="K4183" s="28" t="n">
        <v>9.5</v>
      </c>
      <c r="L4183" s="28" t="n">
        <v>126</v>
      </c>
      <c r="M4183" s="28" t="n">
        <v>37</v>
      </c>
    </row>
    <row r="4184" customFormat="false" ht="15" hidden="false" customHeight="false" outlineLevel="0" collapsed="false">
      <c r="A4184" s="27" t="n">
        <v>45686</v>
      </c>
      <c r="B4184" s="28" t="n">
        <v>2025</v>
      </c>
      <c r="C4184" s="28" t="s">
        <v>201</v>
      </c>
      <c r="D4184" s="28" t="s">
        <v>50</v>
      </c>
      <c r="E4184" s="28" t="s">
        <v>193</v>
      </c>
      <c r="F4184" s="28" t="s">
        <v>142</v>
      </c>
      <c r="G4184" s="28" t="s">
        <v>148</v>
      </c>
      <c r="H4184" s="28" t="s">
        <v>275</v>
      </c>
      <c r="I4184" s="29" t="n">
        <v>50000</v>
      </c>
      <c r="J4184" s="29" t="n">
        <v>42500</v>
      </c>
      <c r="K4184" s="28" t="n">
        <v>14</v>
      </c>
      <c r="L4184" s="28" t="n">
        <v>120</v>
      </c>
      <c r="M4184" s="28" t="n">
        <v>5</v>
      </c>
    </row>
    <row r="4185" customFormat="false" ht="15" hidden="false" customHeight="false" outlineLevel="0" collapsed="false">
      <c r="A4185" s="27" t="n">
        <v>45686</v>
      </c>
      <c r="B4185" s="28" t="n">
        <v>2025</v>
      </c>
      <c r="C4185" s="28" t="s">
        <v>203</v>
      </c>
      <c r="D4185" s="28" t="s">
        <v>45</v>
      </c>
      <c r="E4185" s="28" t="s">
        <v>872</v>
      </c>
      <c r="F4185" s="28" t="s">
        <v>142</v>
      </c>
      <c r="G4185" s="28" t="s">
        <v>148</v>
      </c>
      <c r="H4185" s="28" t="s">
        <v>275</v>
      </c>
      <c r="I4185" s="29" t="n">
        <v>50000</v>
      </c>
      <c r="J4185" s="29" t="n">
        <v>42500</v>
      </c>
      <c r="K4185" s="28" t="n">
        <v>14</v>
      </c>
      <c r="L4185" s="28" t="n">
        <v>120</v>
      </c>
      <c r="M4185" s="28" t="n">
        <v>0</v>
      </c>
    </row>
    <row r="4186" customFormat="false" ht="15" hidden="false" customHeight="false" outlineLevel="0" collapsed="false">
      <c r="A4186" s="27" t="n">
        <v>45686</v>
      </c>
      <c r="B4186" s="28" t="n">
        <v>2025</v>
      </c>
      <c r="C4186" s="28" t="s">
        <v>257</v>
      </c>
      <c r="D4186" s="28" t="s">
        <v>50</v>
      </c>
      <c r="E4186" s="28" t="s">
        <v>836</v>
      </c>
      <c r="F4186" s="28" t="s">
        <v>142</v>
      </c>
      <c r="G4186" s="28" t="s">
        <v>143</v>
      </c>
      <c r="H4186" s="28" t="s">
        <v>287</v>
      </c>
      <c r="I4186" s="29" t="n">
        <v>150000</v>
      </c>
      <c r="J4186" s="29" t="n">
        <v>127500</v>
      </c>
      <c r="K4186" s="28" t="n">
        <v>10.25</v>
      </c>
      <c r="L4186" s="28" t="n">
        <v>120</v>
      </c>
      <c r="M4186" s="28" t="n">
        <v>4</v>
      </c>
    </row>
    <row r="4187" customFormat="false" ht="15" hidden="false" customHeight="false" outlineLevel="0" collapsed="false">
      <c r="A4187" s="27" t="n">
        <v>45686</v>
      </c>
      <c r="B4187" s="28" t="n">
        <v>2025</v>
      </c>
      <c r="C4187" s="28" t="s">
        <v>196</v>
      </c>
      <c r="D4187" s="28" t="s">
        <v>46</v>
      </c>
      <c r="E4187" s="28" t="s">
        <v>813</v>
      </c>
      <c r="F4187" s="28" t="s">
        <v>147</v>
      </c>
      <c r="G4187" s="28" t="s">
        <v>148</v>
      </c>
      <c r="H4187" s="28" t="s">
        <v>159</v>
      </c>
      <c r="I4187" s="29" t="n">
        <v>150000</v>
      </c>
      <c r="J4187" s="29" t="n">
        <v>75000</v>
      </c>
      <c r="K4187" s="28" t="n">
        <v>9.75</v>
      </c>
      <c r="L4187" s="28" t="n">
        <v>120</v>
      </c>
      <c r="M4187" s="28" t="n">
        <v>12</v>
      </c>
    </row>
    <row r="4188" customFormat="false" ht="15" hidden="false" customHeight="false" outlineLevel="0" collapsed="false">
      <c r="A4188" s="27" t="n">
        <v>45686</v>
      </c>
      <c r="B4188" s="28" t="n">
        <v>2025</v>
      </c>
      <c r="C4188" s="28" t="s">
        <v>172</v>
      </c>
      <c r="D4188" s="28" t="s">
        <v>44</v>
      </c>
      <c r="E4188" s="28" t="s">
        <v>730</v>
      </c>
      <c r="F4188" s="28" t="s">
        <v>142</v>
      </c>
      <c r="G4188" s="28" t="s">
        <v>143</v>
      </c>
      <c r="H4188" s="28" t="s">
        <v>168</v>
      </c>
      <c r="I4188" s="29" t="n">
        <v>513000</v>
      </c>
      <c r="J4188" s="29" t="n">
        <v>384750</v>
      </c>
      <c r="K4188" s="28" t="n">
        <v>6.74</v>
      </c>
      <c r="L4188" s="28" t="n">
        <v>120</v>
      </c>
      <c r="M4188" s="28" t="n">
        <v>15</v>
      </c>
    </row>
    <row r="4189" customFormat="false" ht="15" hidden="false" customHeight="false" outlineLevel="0" collapsed="false">
      <c r="A4189" s="27" t="n">
        <v>45686</v>
      </c>
      <c r="B4189" s="28" t="n">
        <v>2025</v>
      </c>
      <c r="C4189" s="28" t="s">
        <v>172</v>
      </c>
      <c r="D4189" s="28" t="s">
        <v>56</v>
      </c>
      <c r="E4189" s="28" t="s">
        <v>772</v>
      </c>
      <c r="F4189" s="28" t="s">
        <v>142</v>
      </c>
      <c r="G4189" s="28" t="s">
        <v>143</v>
      </c>
      <c r="H4189" s="28" t="s">
        <v>168</v>
      </c>
      <c r="I4189" s="29" t="n">
        <v>159000</v>
      </c>
      <c r="J4189" s="29" t="n">
        <v>119250</v>
      </c>
      <c r="K4189" s="28" t="n">
        <v>6.74</v>
      </c>
      <c r="L4189" s="28" t="n">
        <v>120</v>
      </c>
      <c r="M4189" s="28" t="n">
        <v>5</v>
      </c>
    </row>
    <row r="4190" customFormat="false" ht="15" hidden="false" customHeight="false" outlineLevel="0" collapsed="false">
      <c r="A4190" s="27" t="n">
        <v>45686</v>
      </c>
      <c r="B4190" s="28" t="n">
        <v>2025</v>
      </c>
      <c r="C4190" s="28" t="s">
        <v>140</v>
      </c>
      <c r="D4190" s="28" t="s">
        <v>42</v>
      </c>
      <c r="E4190" s="28" t="s">
        <v>784</v>
      </c>
      <c r="F4190" s="28" t="s">
        <v>142</v>
      </c>
      <c r="G4190" s="28" t="s">
        <v>143</v>
      </c>
      <c r="H4190" s="28" t="s">
        <v>1117</v>
      </c>
      <c r="I4190" s="29" t="n">
        <v>560000</v>
      </c>
      <c r="J4190" s="29" t="n">
        <v>420000</v>
      </c>
      <c r="K4190" s="28" t="n">
        <v>10.25</v>
      </c>
      <c r="L4190" s="28" t="n">
        <v>123</v>
      </c>
      <c r="M4190" s="28" t="n">
        <v>40</v>
      </c>
    </row>
    <row r="4191" customFormat="false" ht="15" hidden="false" customHeight="false" outlineLevel="0" collapsed="false">
      <c r="A4191" s="27" t="n">
        <v>45686</v>
      </c>
      <c r="B4191" s="28" t="n">
        <v>2025</v>
      </c>
      <c r="C4191" s="28" t="s">
        <v>166</v>
      </c>
      <c r="D4191" s="28" t="s">
        <v>43</v>
      </c>
      <c r="E4191" s="28" t="s">
        <v>732</v>
      </c>
      <c r="F4191" s="28" t="s">
        <v>142</v>
      </c>
      <c r="G4191" s="28" t="s">
        <v>148</v>
      </c>
      <c r="H4191" s="28" t="s">
        <v>275</v>
      </c>
      <c r="I4191" s="29" t="n">
        <v>50000</v>
      </c>
      <c r="J4191" s="29" t="n">
        <v>42500</v>
      </c>
      <c r="K4191" s="28" t="n">
        <v>14</v>
      </c>
      <c r="L4191" s="28" t="n">
        <v>120</v>
      </c>
      <c r="M4191" s="28" t="n">
        <v>2</v>
      </c>
    </row>
    <row r="4192" customFormat="false" ht="15" hidden="false" customHeight="false" outlineLevel="0" collapsed="false">
      <c r="A4192" s="27" t="n">
        <v>45687</v>
      </c>
      <c r="B4192" s="28" t="n">
        <v>2025</v>
      </c>
      <c r="C4192" s="28" t="s">
        <v>272</v>
      </c>
      <c r="D4192" s="28" t="s">
        <v>43</v>
      </c>
      <c r="E4192" s="28" t="s">
        <v>757</v>
      </c>
      <c r="F4192" s="28" t="s">
        <v>142</v>
      </c>
      <c r="G4192" s="28" t="s">
        <v>148</v>
      </c>
      <c r="H4192" s="28" t="s">
        <v>275</v>
      </c>
      <c r="I4192" s="29" t="n">
        <v>22000</v>
      </c>
      <c r="J4192" s="29" t="n">
        <v>18700</v>
      </c>
      <c r="K4192" s="28" t="n">
        <v>14</v>
      </c>
      <c r="L4192" s="28" t="n">
        <v>120</v>
      </c>
      <c r="M4192" s="28" t="n">
        <v>1</v>
      </c>
    </row>
    <row r="4193" customFormat="false" ht="15" hidden="false" customHeight="false" outlineLevel="0" collapsed="false">
      <c r="A4193" s="27" t="n">
        <v>45688</v>
      </c>
      <c r="B4193" s="28" t="n">
        <v>2025</v>
      </c>
      <c r="C4193" s="28" t="s">
        <v>172</v>
      </c>
      <c r="D4193" s="28" t="s">
        <v>49</v>
      </c>
      <c r="E4193" s="28" t="s">
        <v>1124</v>
      </c>
      <c r="F4193" s="28" t="s">
        <v>142</v>
      </c>
      <c r="G4193" s="28" t="s">
        <v>148</v>
      </c>
      <c r="H4193" s="28" t="s">
        <v>211</v>
      </c>
      <c r="I4193" s="29" t="n">
        <v>500000</v>
      </c>
      <c r="J4193" s="29" t="n">
        <v>375000</v>
      </c>
      <c r="K4193" s="28" t="n">
        <v>10.25</v>
      </c>
      <c r="L4193" s="28" t="n">
        <v>120</v>
      </c>
      <c r="M4193" s="28" t="n">
        <v>6</v>
      </c>
    </row>
    <row r="4194" customFormat="false" ht="15" hidden="false" customHeight="false" outlineLevel="0" collapsed="false">
      <c r="A4194" s="27" t="n">
        <v>45688</v>
      </c>
      <c r="B4194" s="28" t="n">
        <v>2025</v>
      </c>
      <c r="C4194" s="28" t="s">
        <v>353</v>
      </c>
      <c r="D4194" s="28" t="s">
        <v>44</v>
      </c>
      <c r="E4194" s="28" t="s">
        <v>729</v>
      </c>
      <c r="F4194" s="28" t="s">
        <v>142</v>
      </c>
      <c r="G4194" s="28" t="s">
        <v>148</v>
      </c>
      <c r="H4194" s="28" t="s">
        <v>171</v>
      </c>
      <c r="I4194" s="29" t="n">
        <v>140000</v>
      </c>
      <c r="J4194" s="29" t="n">
        <v>119000</v>
      </c>
      <c r="K4194" s="28" t="n">
        <v>12.25</v>
      </c>
      <c r="L4194" s="28" t="n">
        <v>120</v>
      </c>
      <c r="M4194" s="28" t="n">
        <v>2</v>
      </c>
    </row>
    <row r="4195" customFormat="false" ht="15" hidden="false" customHeight="false" outlineLevel="0" collapsed="false">
      <c r="A4195" s="27" t="n">
        <v>45688</v>
      </c>
      <c r="B4195" s="28" t="n">
        <v>2025</v>
      </c>
      <c r="C4195" s="28" t="s">
        <v>172</v>
      </c>
      <c r="D4195" s="28" t="s">
        <v>46</v>
      </c>
      <c r="E4195" s="28" t="s">
        <v>770</v>
      </c>
      <c r="F4195" s="28" t="s">
        <v>142</v>
      </c>
      <c r="G4195" s="28" t="s">
        <v>143</v>
      </c>
      <c r="H4195" s="28" t="s">
        <v>159</v>
      </c>
      <c r="I4195" s="29" t="n">
        <v>709200</v>
      </c>
      <c r="J4195" s="29" t="n">
        <v>531900</v>
      </c>
      <c r="K4195" s="28" t="n">
        <v>9</v>
      </c>
      <c r="L4195" s="28" t="n">
        <v>120</v>
      </c>
      <c r="M4195" s="28" t="n">
        <v>8</v>
      </c>
    </row>
    <row r="4196" customFormat="false" ht="15" hidden="false" customHeight="false" outlineLevel="0" collapsed="false">
      <c r="A4196" s="27" t="n">
        <v>45688</v>
      </c>
      <c r="B4196" s="28" t="n">
        <v>2025</v>
      </c>
      <c r="C4196" s="28" t="s">
        <v>243</v>
      </c>
      <c r="D4196" s="28" t="s">
        <v>48</v>
      </c>
      <c r="E4196" s="28" t="s">
        <v>736</v>
      </c>
      <c r="F4196" s="28" t="s">
        <v>142</v>
      </c>
      <c r="G4196" s="28" t="s">
        <v>148</v>
      </c>
      <c r="H4196" s="28" t="s">
        <v>953</v>
      </c>
      <c r="I4196" s="29" t="n">
        <v>588000</v>
      </c>
      <c r="J4196" s="29" t="n">
        <v>441000</v>
      </c>
      <c r="K4196" s="28" t="n">
        <v>10.5</v>
      </c>
      <c r="L4196" s="28" t="n">
        <v>120</v>
      </c>
      <c r="M4196" s="28" t="n">
        <v>2</v>
      </c>
    </row>
    <row r="4197" customFormat="false" ht="15" hidden="false" customHeight="false" outlineLevel="0" collapsed="false">
      <c r="A4197" s="27" t="n">
        <v>45688</v>
      </c>
      <c r="B4197" s="28" t="n">
        <v>2025</v>
      </c>
      <c r="C4197" s="28" t="s">
        <v>172</v>
      </c>
      <c r="D4197" s="28" t="s">
        <v>42</v>
      </c>
      <c r="E4197" s="28" t="s">
        <v>753</v>
      </c>
      <c r="F4197" s="28" t="s">
        <v>142</v>
      </c>
      <c r="G4197" s="28" t="s">
        <v>441</v>
      </c>
      <c r="H4197" s="28" t="s">
        <v>494</v>
      </c>
      <c r="I4197" s="29" t="n">
        <v>800000</v>
      </c>
      <c r="J4197" s="29" t="n">
        <v>600000</v>
      </c>
      <c r="K4197" s="28" t="n">
        <v>8.75</v>
      </c>
      <c r="L4197" s="28" t="n">
        <v>126</v>
      </c>
      <c r="M4197" s="28" t="n">
        <v>0</v>
      </c>
    </row>
    <row r="4198" customFormat="false" ht="15" hidden="false" customHeight="false" outlineLevel="0" collapsed="false">
      <c r="A4198" s="27" t="n">
        <v>45688</v>
      </c>
      <c r="B4198" s="28" t="n">
        <v>2025</v>
      </c>
      <c r="C4198" s="28" t="s">
        <v>169</v>
      </c>
      <c r="D4198" s="28" t="s">
        <v>56</v>
      </c>
      <c r="E4198" s="28" t="s">
        <v>772</v>
      </c>
      <c r="F4198" s="28" t="s">
        <v>142</v>
      </c>
      <c r="G4198" s="28" t="s">
        <v>143</v>
      </c>
      <c r="H4198" s="28" t="s">
        <v>159</v>
      </c>
      <c r="I4198" s="29" t="n">
        <v>150000</v>
      </c>
      <c r="J4198" s="29" t="n">
        <v>127500</v>
      </c>
      <c r="K4198" s="28" t="n">
        <v>8.9</v>
      </c>
      <c r="L4198" s="28" t="n">
        <v>84</v>
      </c>
      <c r="M4198" s="28" t="n">
        <v>7</v>
      </c>
    </row>
    <row r="4199" customFormat="false" ht="15" hidden="false" customHeight="false" outlineLevel="0" collapsed="false">
      <c r="A4199" s="27" t="n">
        <v>45688</v>
      </c>
      <c r="B4199" s="28" t="n">
        <v>2025</v>
      </c>
      <c r="C4199" s="28" t="s">
        <v>640</v>
      </c>
      <c r="D4199" s="28" t="s">
        <v>45</v>
      </c>
      <c r="E4199" s="28" t="s">
        <v>976</v>
      </c>
      <c r="F4199" s="28" t="s">
        <v>142</v>
      </c>
      <c r="G4199" s="28" t="s">
        <v>148</v>
      </c>
      <c r="H4199" s="28" t="s">
        <v>937</v>
      </c>
      <c r="I4199" s="29" t="n">
        <v>150000</v>
      </c>
      <c r="J4199" s="29" t="n">
        <v>127500</v>
      </c>
      <c r="K4199" s="28" t="n">
        <v>12.5</v>
      </c>
      <c r="L4199" s="28" t="n">
        <v>120</v>
      </c>
      <c r="M4199" s="28" t="n">
        <v>1</v>
      </c>
    </row>
    <row r="4200" customFormat="false" ht="15" hidden="false" customHeight="false" outlineLevel="0" collapsed="false">
      <c r="A4200" s="27" t="n">
        <v>45688</v>
      </c>
      <c r="B4200" s="28" t="n">
        <v>2025</v>
      </c>
      <c r="C4200" s="28" t="s">
        <v>172</v>
      </c>
      <c r="D4200" s="28" t="s">
        <v>46</v>
      </c>
      <c r="E4200" s="28" t="s">
        <v>770</v>
      </c>
      <c r="F4200" s="28" t="s">
        <v>147</v>
      </c>
      <c r="G4200" s="28" t="s">
        <v>143</v>
      </c>
      <c r="H4200" s="28" t="s">
        <v>159</v>
      </c>
      <c r="I4200" s="29" t="n">
        <v>20000</v>
      </c>
      <c r="J4200" s="29" t="n">
        <v>10000</v>
      </c>
      <c r="K4200" s="28" t="n">
        <v>10.5</v>
      </c>
      <c r="L4200" s="28" t="n">
        <v>120</v>
      </c>
      <c r="M4200" s="28" t="n">
        <v>8</v>
      </c>
    </row>
    <row r="4201" customFormat="false" ht="15" hidden="false" customHeight="false" outlineLevel="0" collapsed="false">
      <c r="A4201" s="27" t="n">
        <v>45688</v>
      </c>
      <c r="B4201" s="28" t="n">
        <v>2025</v>
      </c>
      <c r="C4201" s="28" t="s">
        <v>172</v>
      </c>
      <c r="D4201" s="28" t="s">
        <v>45</v>
      </c>
      <c r="E4201" s="28" t="s">
        <v>824</v>
      </c>
      <c r="F4201" s="28" t="s">
        <v>142</v>
      </c>
      <c r="G4201" s="28" t="s">
        <v>148</v>
      </c>
      <c r="H4201" s="28" t="s">
        <v>605</v>
      </c>
      <c r="I4201" s="29" t="n">
        <v>150000</v>
      </c>
      <c r="J4201" s="29" t="n">
        <v>127500</v>
      </c>
      <c r="K4201" s="28" t="n">
        <v>10.5</v>
      </c>
      <c r="L4201" s="28" t="n">
        <v>120</v>
      </c>
      <c r="M4201" s="28" t="n">
        <v>3</v>
      </c>
    </row>
    <row r="4202" customFormat="false" ht="15" hidden="false" customHeight="false" outlineLevel="0" collapsed="false">
      <c r="A4202" s="27" t="n">
        <v>45688</v>
      </c>
      <c r="B4202" s="28" t="n">
        <v>2025</v>
      </c>
      <c r="C4202" s="28" t="s">
        <v>145</v>
      </c>
      <c r="D4202" s="28" t="s">
        <v>46</v>
      </c>
      <c r="E4202" s="28" t="s">
        <v>727</v>
      </c>
      <c r="F4202" s="28" t="s">
        <v>147</v>
      </c>
      <c r="G4202" s="28" t="s">
        <v>148</v>
      </c>
      <c r="H4202" s="28" t="s">
        <v>159</v>
      </c>
      <c r="I4202" s="29" t="n">
        <v>60000</v>
      </c>
      <c r="J4202" s="29" t="n">
        <v>30000</v>
      </c>
      <c r="K4202" s="28" t="n">
        <v>12</v>
      </c>
      <c r="L4202" s="28" t="n">
        <v>120</v>
      </c>
      <c r="M4202" s="28" t="n">
        <v>9</v>
      </c>
    </row>
    <row r="4203" customFormat="false" ht="15" hidden="false" customHeight="false" outlineLevel="0" collapsed="false">
      <c r="A4203" s="27" t="n">
        <v>45688</v>
      </c>
      <c r="B4203" s="28" t="n">
        <v>2025</v>
      </c>
      <c r="C4203" s="28" t="s">
        <v>379</v>
      </c>
      <c r="D4203" s="28" t="s">
        <v>47</v>
      </c>
      <c r="E4203" s="28" t="s">
        <v>1125</v>
      </c>
      <c r="F4203" s="28" t="s">
        <v>142</v>
      </c>
      <c r="G4203" s="28" t="s">
        <v>152</v>
      </c>
      <c r="H4203" s="28" t="s">
        <v>275</v>
      </c>
      <c r="I4203" s="29" t="n">
        <v>962500</v>
      </c>
      <c r="J4203" s="29" t="n">
        <v>721875</v>
      </c>
      <c r="K4203" s="28" t="n">
        <v>10</v>
      </c>
      <c r="L4203" s="28" t="n">
        <v>120</v>
      </c>
      <c r="M4203" s="28" t="n">
        <v>14</v>
      </c>
    </row>
    <row r="4204" customFormat="false" ht="15" hidden="false" customHeight="false" outlineLevel="0" collapsed="false">
      <c r="A4204" s="27" t="n">
        <v>45690</v>
      </c>
      <c r="B4204" s="28" t="n">
        <v>2025</v>
      </c>
      <c r="C4204" s="28" t="s">
        <v>1126</v>
      </c>
      <c r="D4204" s="28" t="s">
        <v>48</v>
      </c>
      <c r="E4204" s="28" t="s">
        <v>844</v>
      </c>
      <c r="F4204" s="28" t="s">
        <v>142</v>
      </c>
      <c r="G4204" s="28" t="s">
        <v>143</v>
      </c>
      <c r="H4204" s="28" t="s">
        <v>159</v>
      </c>
      <c r="I4204" s="29" t="n">
        <v>8000</v>
      </c>
      <c r="J4204" s="29" t="n">
        <v>6800</v>
      </c>
      <c r="K4204" s="28" t="n">
        <v>11.74</v>
      </c>
      <c r="L4204" s="28" t="n">
        <v>60</v>
      </c>
      <c r="M4204" s="28" t="n">
        <v>1</v>
      </c>
    </row>
    <row r="4205" customFormat="false" ht="15" hidden="false" customHeight="false" outlineLevel="0" collapsed="false">
      <c r="A4205" s="27" t="n">
        <v>45690</v>
      </c>
      <c r="B4205" s="28" t="n">
        <v>2025</v>
      </c>
      <c r="C4205" s="28" t="s">
        <v>154</v>
      </c>
      <c r="D4205" s="28" t="s">
        <v>44</v>
      </c>
      <c r="E4205" s="28" t="s">
        <v>759</v>
      </c>
      <c r="F4205" s="28" t="s">
        <v>147</v>
      </c>
      <c r="G4205" s="28" t="s">
        <v>143</v>
      </c>
      <c r="H4205" s="28" t="s">
        <v>211</v>
      </c>
      <c r="I4205" s="29" t="n">
        <v>30000</v>
      </c>
      <c r="J4205" s="29" t="n">
        <v>15000</v>
      </c>
      <c r="K4205" s="28" t="n">
        <v>9.75</v>
      </c>
      <c r="L4205" s="28" t="n">
        <v>120</v>
      </c>
      <c r="M4205" s="28" t="n">
        <v>10</v>
      </c>
    </row>
    <row r="4206" customFormat="false" ht="15" hidden="false" customHeight="false" outlineLevel="0" collapsed="false">
      <c r="A4206" s="27" t="n">
        <v>45690</v>
      </c>
      <c r="B4206" s="28" t="n">
        <v>2025</v>
      </c>
      <c r="C4206" s="28" t="s">
        <v>160</v>
      </c>
      <c r="D4206" s="28" t="s">
        <v>48</v>
      </c>
      <c r="E4206" s="28" t="s">
        <v>210</v>
      </c>
      <c r="F4206" s="28" t="s">
        <v>142</v>
      </c>
      <c r="G4206" s="28" t="s">
        <v>152</v>
      </c>
      <c r="H4206" s="28" t="s">
        <v>1060</v>
      </c>
      <c r="I4206" s="29" t="n">
        <v>1850000</v>
      </c>
      <c r="J4206" s="29" t="n">
        <v>1387500</v>
      </c>
      <c r="K4206" s="28" t="n">
        <v>10</v>
      </c>
      <c r="L4206" s="28" t="n">
        <v>120</v>
      </c>
      <c r="M4206" s="28" t="n">
        <v>15</v>
      </c>
    </row>
    <row r="4207" customFormat="false" ht="15" hidden="false" customHeight="false" outlineLevel="0" collapsed="false">
      <c r="A4207" s="27" t="n">
        <v>45690</v>
      </c>
      <c r="B4207" s="28" t="n">
        <v>2025</v>
      </c>
      <c r="C4207" s="28" t="s">
        <v>154</v>
      </c>
      <c r="D4207" s="28" t="s">
        <v>44</v>
      </c>
      <c r="E4207" s="28" t="s">
        <v>759</v>
      </c>
      <c r="F4207" s="28" t="s">
        <v>142</v>
      </c>
      <c r="G4207" s="28" t="s">
        <v>143</v>
      </c>
      <c r="H4207" s="28" t="s">
        <v>211</v>
      </c>
      <c r="I4207" s="29" t="n">
        <v>266000</v>
      </c>
      <c r="J4207" s="29" t="n">
        <v>199500</v>
      </c>
      <c r="K4207" s="28" t="n">
        <v>9.75</v>
      </c>
      <c r="L4207" s="28" t="n">
        <v>120</v>
      </c>
      <c r="M4207" s="28" t="n">
        <v>10</v>
      </c>
    </row>
    <row r="4208" customFormat="false" ht="15" hidden="false" customHeight="false" outlineLevel="0" collapsed="false">
      <c r="A4208" s="27" t="n">
        <v>45691</v>
      </c>
      <c r="B4208" s="28" t="n">
        <v>2025</v>
      </c>
      <c r="C4208" s="28" t="s">
        <v>230</v>
      </c>
      <c r="D4208" s="28" t="s">
        <v>51</v>
      </c>
      <c r="E4208" s="28" t="s">
        <v>779</v>
      </c>
      <c r="F4208" s="28" t="s">
        <v>142</v>
      </c>
      <c r="G4208" s="28" t="s">
        <v>143</v>
      </c>
      <c r="H4208" s="28" t="s">
        <v>621</v>
      </c>
      <c r="I4208" s="29" t="n">
        <v>685000</v>
      </c>
      <c r="J4208" s="29" t="n">
        <v>513750</v>
      </c>
      <c r="K4208" s="28" t="n">
        <v>9.75</v>
      </c>
      <c r="L4208" s="28" t="n">
        <v>132</v>
      </c>
      <c r="M4208" s="28" t="n">
        <v>8</v>
      </c>
    </row>
    <row r="4209" customFormat="false" ht="15" hidden="false" customHeight="false" outlineLevel="0" collapsed="false">
      <c r="A4209" s="27" t="n">
        <v>45691</v>
      </c>
      <c r="B4209" s="28" t="n">
        <v>2025</v>
      </c>
      <c r="C4209" s="28" t="s">
        <v>1126</v>
      </c>
      <c r="D4209" s="28" t="s">
        <v>48</v>
      </c>
      <c r="E4209" s="28" t="s">
        <v>844</v>
      </c>
      <c r="F4209" s="28" t="s">
        <v>147</v>
      </c>
      <c r="G4209" s="28" t="s">
        <v>143</v>
      </c>
      <c r="H4209" s="28" t="s">
        <v>159</v>
      </c>
      <c r="I4209" s="29" t="n">
        <v>5000</v>
      </c>
      <c r="J4209" s="29" t="n">
        <v>2500</v>
      </c>
      <c r="K4209" s="28" t="n">
        <v>14</v>
      </c>
      <c r="L4209" s="28" t="n">
        <v>120</v>
      </c>
      <c r="M4209" s="28" t="n">
        <v>1</v>
      </c>
    </row>
    <row r="4210" customFormat="false" ht="15" hidden="false" customHeight="false" outlineLevel="0" collapsed="false">
      <c r="A4210" s="27" t="n">
        <v>45691</v>
      </c>
      <c r="B4210" s="28" t="n">
        <v>2025</v>
      </c>
      <c r="C4210" s="28" t="s">
        <v>172</v>
      </c>
      <c r="D4210" s="28" t="s">
        <v>42</v>
      </c>
      <c r="E4210" s="28" t="s">
        <v>705</v>
      </c>
      <c r="F4210" s="28" t="s">
        <v>142</v>
      </c>
      <c r="G4210" s="28" t="s">
        <v>148</v>
      </c>
      <c r="H4210" s="28" t="s">
        <v>771</v>
      </c>
      <c r="I4210" s="29" t="n">
        <v>150000</v>
      </c>
      <c r="J4210" s="29" t="n">
        <v>127500</v>
      </c>
      <c r="K4210" s="28" t="n">
        <v>10.25</v>
      </c>
      <c r="L4210" s="28" t="n">
        <v>120</v>
      </c>
      <c r="M4210" s="28" t="n">
        <v>1</v>
      </c>
    </row>
    <row r="4211" customFormat="false" ht="15" hidden="false" customHeight="false" outlineLevel="0" collapsed="false">
      <c r="A4211" s="27" t="n">
        <v>45692</v>
      </c>
      <c r="B4211" s="28" t="n">
        <v>2025</v>
      </c>
      <c r="C4211" s="28" t="s">
        <v>140</v>
      </c>
      <c r="D4211" s="28" t="s">
        <v>43</v>
      </c>
      <c r="E4211" s="28" t="s">
        <v>749</v>
      </c>
      <c r="F4211" s="28" t="s">
        <v>142</v>
      </c>
      <c r="G4211" s="28" t="s">
        <v>148</v>
      </c>
      <c r="H4211" s="28" t="s">
        <v>227</v>
      </c>
      <c r="I4211" s="29" t="n">
        <v>500000</v>
      </c>
      <c r="J4211" s="29" t="n">
        <v>375000</v>
      </c>
      <c r="K4211" s="28" t="n">
        <v>10.25</v>
      </c>
      <c r="L4211" s="28" t="n">
        <v>123</v>
      </c>
      <c r="M4211" s="28" t="n">
        <v>30</v>
      </c>
    </row>
    <row r="4212" customFormat="false" ht="15" hidden="false" customHeight="false" outlineLevel="0" collapsed="false">
      <c r="A4212" s="27" t="n">
        <v>45692</v>
      </c>
      <c r="B4212" s="28" t="n">
        <v>2025</v>
      </c>
      <c r="C4212" s="28" t="s">
        <v>172</v>
      </c>
      <c r="D4212" s="28" t="s">
        <v>48</v>
      </c>
      <c r="E4212" s="28" t="s">
        <v>765</v>
      </c>
      <c r="F4212" s="28" t="s">
        <v>147</v>
      </c>
      <c r="G4212" s="28" t="s">
        <v>148</v>
      </c>
      <c r="H4212" s="28" t="s">
        <v>162</v>
      </c>
      <c r="I4212" s="29" t="n">
        <v>500000</v>
      </c>
      <c r="J4212" s="29" t="n">
        <v>250000</v>
      </c>
      <c r="K4212" s="28" t="n">
        <v>10.5</v>
      </c>
      <c r="L4212" s="28" t="n">
        <v>120</v>
      </c>
      <c r="M4212" s="28" t="n">
        <v>10</v>
      </c>
    </row>
    <row r="4213" customFormat="false" ht="15" hidden="false" customHeight="false" outlineLevel="0" collapsed="false">
      <c r="A4213" s="27" t="n">
        <v>45692</v>
      </c>
      <c r="B4213" s="28" t="n">
        <v>2025</v>
      </c>
      <c r="C4213" s="28" t="s">
        <v>140</v>
      </c>
      <c r="D4213" s="28" t="s">
        <v>44</v>
      </c>
      <c r="E4213" s="28" t="s">
        <v>982</v>
      </c>
      <c r="F4213" s="28" t="s">
        <v>142</v>
      </c>
      <c r="G4213" s="28" t="s">
        <v>148</v>
      </c>
      <c r="H4213" s="28" t="s">
        <v>269</v>
      </c>
      <c r="I4213" s="29" t="n">
        <v>150000</v>
      </c>
      <c r="J4213" s="29" t="n">
        <v>127500</v>
      </c>
      <c r="K4213" s="28" t="n">
        <v>10.25</v>
      </c>
      <c r="L4213" s="28" t="n">
        <v>120</v>
      </c>
      <c r="M4213" s="28" t="n">
        <v>38</v>
      </c>
    </row>
    <row r="4214" customFormat="false" ht="15" hidden="false" customHeight="false" outlineLevel="0" collapsed="false">
      <c r="A4214" s="27" t="n">
        <v>45692</v>
      </c>
      <c r="B4214" s="28" t="n">
        <v>2025</v>
      </c>
      <c r="C4214" s="28" t="s">
        <v>608</v>
      </c>
      <c r="D4214" s="28" t="s">
        <v>48</v>
      </c>
      <c r="E4214" s="28" t="s">
        <v>815</v>
      </c>
      <c r="F4214" s="28" t="s">
        <v>142</v>
      </c>
      <c r="G4214" s="28" t="s">
        <v>148</v>
      </c>
      <c r="H4214" s="28" t="s">
        <v>771</v>
      </c>
      <c r="I4214" s="29" t="n">
        <v>250000</v>
      </c>
      <c r="J4214" s="29" t="n">
        <v>212500</v>
      </c>
      <c r="K4214" s="28" t="n">
        <v>10.25</v>
      </c>
      <c r="L4214" s="28" t="n">
        <v>120</v>
      </c>
      <c r="M4214" s="28" t="n">
        <v>4</v>
      </c>
    </row>
    <row r="4215" customFormat="false" ht="15" hidden="false" customHeight="false" outlineLevel="0" collapsed="false">
      <c r="A4215" s="27" t="n">
        <v>45693</v>
      </c>
      <c r="B4215" s="28" t="n">
        <v>2025</v>
      </c>
      <c r="C4215" s="28" t="s">
        <v>344</v>
      </c>
      <c r="D4215" s="28" t="s">
        <v>51</v>
      </c>
      <c r="E4215" s="28" t="s">
        <v>801</v>
      </c>
      <c r="F4215" s="28" t="s">
        <v>142</v>
      </c>
      <c r="G4215" s="28" t="s">
        <v>148</v>
      </c>
      <c r="H4215" s="28" t="s">
        <v>171</v>
      </c>
      <c r="I4215" s="29" t="n">
        <v>69300</v>
      </c>
      <c r="J4215" s="29" t="n">
        <v>58905</v>
      </c>
      <c r="K4215" s="28" t="n">
        <v>12.25</v>
      </c>
      <c r="L4215" s="28" t="n">
        <v>120</v>
      </c>
      <c r="M4215" s="28" t="n">
        <v>0</v>
      </c>
    </row>
    <row r="4216" customFormat="false" ht="15" hidden="false" customHeight="false" outlineLevel="0" collapsed="false">
      <c r="A4216" s="27" t="n">
        <v>45693</v>
      </c>
      <c r="B4216" s="28" t="n">
        <v>2025</v>
      </c>
      <c r="C4216" s="28" t="s">
        <v>172</v>
      </c>
      <c r="D4216" s="28" t="s">
        <v>46</v>
      </c>
      <c r="E4216" s="28" t="s">
        <v>746</v>
      </c>
      <c r="F4216" s="28" t="s">
        <v>147</v>
      </c>
      <c r="G4216" s="28" t="s">
        <v>441</v>
      </c>
      <c r="H4216" s="28" t="s">
        <v>168</v>
      </c>
      <c r="I4216" s="29" t="n">
        <v>10000</v>
      </c>
      <c r="J4216" s="29" t="n">
        <v>5000</v>
      </c>
      <c r="K4216" s="28" t="n">
        <v>12.5</v>
      </c>
      <c r="L4216" s="28" t="n">
        <v>120</v>
      </c>
      <c r="M4216" s="28" t="n">
        <v>3</v>
      </c>
    </row>
    <row r="4217" customFormat="false" ht="15" hidden="false" customHeight="false" outlineLevel="0" collapsed="false">
      <c r="A4217" s="27" t="n">
        <v>45693</v>
      </c>
      <c r="B4217" s="28" t="n">
        <v>2025</v>
      </c>
      <c r="C4217" s="28" t="s">
        <v>169</v>
      </c>
      <c r="D4217" s="28" t="s">
        <v>50</v>
      </c>
      <c r="E4217" s="28" t="s">
        <v>754</v>
      </c>
      <c r="F4217" s="28" t="s">
        <v>142</v>
      </c>
      <c r="G4217" s="28" t="s">
        <v>441</v>
      </c>
      <c r="H4217" s="28" t="s">
        <v>159</v>
      </c>
      <c r="I4217" s="29" t="n">
        <v>100000</v>
      </c>
      <c r="J4217" s="29" t="n">
        <v>85000</v>
      </c>
      <c r="K4217" s="28" t="n">
        <v>8.99</v>
      </c>
      <c r="L4217" s="28" t="n">
        <v>60</v>
      </c>
      <c r="M4217" s="28" t="n">
        <v>2</v>
      </c>
    </row>
    <row r="4218" customFormat="false" ht="15" hidden="false" customHeight="false" outlineLevel="0" collapsed="false">
      <c r="A4218" s="27" t="n">
        <v>45693</v>
      </c>
      <c r="B4218" s="28" t="n">
        <v>2025</v>
      </c>
      <c r="C4218" s="28" t="s">
        <v>500</v>
      </c>
      <c r="D4218" s="28" t="s">
        <v>52</v>
      </c>
      <c r="E4218" s="28" t="s">
        <v>720</v>
      </c>
      <c r="F4218" s="28" t="s">
        <v>142</v>
      </c>
      <c r="G4218" s="28" t="s">
        <v>148</v>
      </c>
      <c r="H4218" s="28" t="s">
        <v>771</v>
      </c>
      <c r="I4218" s="29" t="n">
        <v>250000</v>
      </c>
      <c r="J4218" s="29" t="n">
        <v>212500</v>
      </c>
      <c r="K4218" s="28" t="n">
        <v>10.25</v>
      </c>
      <c r="L4218" s="28" t="n">
        <v>120</v>
      </c>
      <c r="M4218" s="28" t="n">
        <v>4</v>
      </c>
    </row>
    <row r="4219" customFormat="false" ht="15" hidden="false" customHeight="false" outlineLevel="0" collapsed="false">
      <c r="A4219" s="27" t="n">
        <v>45693</v>
      </c>
      <c r="B4219" s="28" t="n">
        <v>2025</v>
      </c>
      <c r="C4219" s="28" t="s">
        <v>166</v>
      </c>
      <c r="D4219" s="28" t="s">
        <v>54</v>
      </c>
      <c r="E4219" s="28" t="s">
        <v>833</v>
      </c>
      <c r="F4219" s="28" t="s">
        <v>142</v>
      </c>
      <c r="G4219" s="28" t="s">
        <v>152</v>
      </c>
      <c r="H4219" s="28" t="s">
        <v>144</v>
      </c>
      <c r="I4219" s="29" t="n">
        <v>205000</v>
      </c>
      <c r="J4219" s="29" t="n">
        <v>153750</v>
      </c>
      <c r="K4219" s="28" t="n">
        <v>9.99</v>
      </c>
      <c r="L4219" s="28" t="n">
        <v>120</v>
      </c>
      <c r="M4219" s="28" t="n">
        <v>3</v>
      </c>
    </row>
    <row r="4220" customFormat="false" ht="15" hidden="false" customHeight="false" outlineLevel="0" collapsed="false">
      <c r="A4220" s="27" t="n">
        <v>45694</v>
      </c>
      <c r="B4220" s="28" t="n">
        <v>2025</v>
      </c>
      <c r="C4220" s="28" t="s">
        <v>528</v>
      </c>
      <c r="D4220" s="28" t="s">
        <v>46</v>
      </c>
      <c r="E4220" s="28" t="s">
        <v>727</v>
      </c>
      <c r="F4220" s="28" t="s">
        <v>142</v>
      </c>
      <c r="G4220" s="28" t="s">
        <v>148</v>
      </c>
      <c r="H4220" s="28" t="s">
        <v>275</v>
      </c>
      <c r="I4220" s="29" t="n">
        <v>18000</v>
      </c>
      <c r="J4220" s="29" t="n">
        <v>15300</v>
      </c>
      <c r="K4220" s="28" t="n">
        <v>14</v>
      </c>
      <c r="L4220" s="28" t="n">
        <v>120</v>
      </c>
      <c r="M4220" s="28" t="n">
        <v>4</v>
      </c>
    </row>
    <row r="4221" customFormat="false" ht="15" hidden="false" customHeight="false" outlineLevel="0" collapsed="false">
      <c r="A4221" s="27" t="n">
        <v>45694</v>
      </c>
      <c r="B4221" s="28" t="n">
        <v>2025</v>
      </c>
      <c r="C4221" s="28" t="s">
        <v>160</v>
      </c>
      <c r="D4221" s="28" t="s">
        <v>48</v>
      </c>
      <c r="E4221" s="28" t="s">
        <v>210</v>
      </c>
      <c r="F4221" s="28" t="s">
        <v>147</v>
      </c>
      <c r="G4221" s="28" t="s">
        <v>148</v>
      </c>
      <c r="H4221" s="28" t="s">
        <v>227</v>
      </c>
      <c r="I4221" s="29" t="n">
        <v>100000</v>
      </c>
      <c r="J4221" s="29" t="n">
        <v>50000</v>
      </c>
      <c r="K4221" s="28" t="n">
        <v>10</v>
      </c>
      <c r="L4221" s="28" t="n">
        <v>120</v>
      </c>
      <c r="M4221" s="28" t="n">
        <v>2</v>
      </c>
    </row>
    <row r="4222" customFormat="false" ht="15" hidden="false" customHeight="false" outlineLevel="0" collapsed="false">
      <c r="A4222" s="27" t="n">
        <v>45694</v>
      </c>
      <c r="B4222" s="28" t="n">
        <v>2025</v>
      </c>
      <c r="C4222" s="28" t="s">
        <v>163</v>
      </c>
      <c r="D4222" s="28" t="s">
        <v>48</v>
      </c>
      <c r="E4222" s="28" t="s">
        <v>704</v>
      </c>
      <c r="F4222" s="28" t="s">
        <v>142</v>
      </c>
      <c r="G4222" s="28" t="s">
        <v>441</v>
      </c>
      <c r="H4222" s="28" t="s">
        <v>275</v>
      </c>
      <c r="I4222" s="29" t="n">
        <v>910200</v>
      </c>
      <c r="J4222" s="29" t="n">
        <v>682650</v>
      </c>
      <c r="K4222" s="28" t="n">
        <v>9.75</v>
      </c>
      <c r="L4222" s="28" t="n">
        <v>120</v>
      </c>
      <c r="M4222" s="28" t="n">
        <v>7</v>
      </c>
    </row>
    <row r="4223" customFormat="false" ht="15" hidden="false" customHeight="false" outlineLevel="0" collapsed="false">
      <c r="A4223" s="27" t="n">
        <v>45694</v>
      </c>
      <c r="B4223" s="28" t="n">
        <v>2025</v>
      </c>
      <c r="C4223" s="28" t="s">
        <v>169</v>
      </c>
      <c r="D4223" s="28" t="s">
        <v>43</v>
      </c>
      <c r="E4223" s="28" t="s">
        <v>893</v>
      </c>
      <c r="F4223" s="28" t="s">
        <v>142</v>
      </c>
      <c r="G4223" s="28" t="s">
        <v>441</v>
      </c>
      <c r="H4223" s="28" t="s">
        <v>149</v>
      </c>
      <c r="I4223" s="29" t="n">
        <v>1083000</v>
      </c>
      <c r="J4223" s="29" t="n">
        <v>812250</v>
      </c>
      <c r="K4223" s="28" t="n">
        <v>8.5</v>
      </c>
      <c r="L4223" s="28" t="n">
        <v>300</v>
      </c>
      <c r="M4223" s="28" t="n">
        <v>5</v>
      </c>
    </row>
    <row r="4224" customFormat="false" ht="15" hidden="false" customHeight="false" outlineLevel="0" collapsed="false">
      <c r="A4224" s="27" t="n">
        <v>45694</v>
      </c>
      <c r="B4224" s="28" t="n">
        <v>2025</v>
      </c>
      <c r="C4224" s="28" t="s">
        <v>460</v>
      </c>
      <c r="D4224" s="28" t="s">
        <v>49</v>
      </c>
      <c r="E4224" s="28" t="s">
        <v>804</v>
      </c>
      <c r="F4224" s="28" t="s">
        <v>142</v>
      </c>
      <c r="G4224" s="28" t="s">
        <v>148</v>
      </c>
      <c r="H4224" s="28" t="s">
        <v>937</v>
      </c>
      <c r="I4224" s="29" t="n">
        <v>100000</v>
      </c>
      <c r="J4224" s="29" t="n">
        <v>85000</v>
      </c>
      <c r="K4224" s="28" t="n">
        <v>12.5</v>
      </c>
      <c r="L4224" s="28" t="n">
        <v>120</v>
      </c>
      <c r="M4224" s="28" t="n">
        <v>3</v>
      </c>
    </row>
    <row r="4225" customFormat="false" ht="15" hidden="false" customHeight="false" outlineLevel="0" collapsed="false">
      <c r="A4225" s="27" t="n">
        <v>45694</v>
      </c>
      <c r="B4225" s="28" t="n">
        <v>2025</v>
      </c>
      <c r="C4225" s="28" t="s">
        <v>173</v>
      </c>
      <c r="D4225" s="28" t="s">
        <v>48</v>
      </c>
      <c r="E4225" s="28" t="s">
        <v>844</v>
      </c>
      <c r="F4225" s="28" t="s">
        <v>142</v>
      </c>
      <c r="G4225" s="28" t="s">
        <v>148</v>
      </c>
      <c r="H4225" s="28" t="s">
        <v>937</v>
      </c>
      <c r="I4225" s="29" t="n">
        <v>67200</v>
      </c>
      <c r="J4225" s="29" t="n">
        <v>57120</v>
      </c>
      <c r="K4225" s="28" t="n">
        <v>12.5</v>
      </c>
      <c r="L4225" s="28" t="n">
        <v>120</v>
      </c>
      <c r="M4225" s="28" t="n">
        <v>3</v>
      </c>
    </row>
    <row r="4226" customFormat="false" ht="15" hidden="false" customHeight="false" outlineLevel="0" collapsed="false">
      <c r="A4226" s="27" t="n">
        <v>45696</v>
      </c>
      <c r="B4226" s="28" t="n">
        <v>2025</v>
      </c>
      <c r="C4226" s="28" t="s">
        <v>169</v>
      </c>
      <c r="D4226" s="28" t="s">
        <v>50</v>
      </c>
      <c r="E4226" s="28" t="s">
        <v>951</v>
      </c>
      <c r="F4226" s="28" t="s">
        <v>142</v>
      </c>
      <c r="G4226" s="28" t="s">
        <v>143</v>
      </c>
      <c r="H4226" s="28" t="s">
        <v>168</v>
      </c>
      <c r="I4226" s="29" t="n">
        <v>235500</v>
      </c>
      <c r="J4226" s="29" t="n">
        <v>176625</v>
      </c>
      <c r="K4226" s="28" t="n">
        <v>8.67</v>
      </c>
      <c r="L4226" s="28" t="n">
        <v>120</v>
      </c>
      <c r="M4226" s="28" t="n">
        <v>2</v>
      </c>
    </row>
    <row r="4227" customFormat="false" ht="15" hidden="false" customHeight="false" outlineLevel="0" collapsed="false">
      <c r="A4227" s="27" t="n">
        <v>45698</v>
      </c>
      <c r="B4227" s="28" t="n">
        <v>2025</v>
      </c>
      <c r="C4227" s="28" t="s">
        <v>166</v>
      </c>
      <c r="D4227" s="28" t="s">
        <v>45</v>
      </c>
      <c r="E4227" s="28" t="s">
        <v>222</v>
      </c>
      <c r="F4227" s="28" t="s">
        <v>147</v>
      </c>
      <c r="G4227" s="28" t="s">
        <v>148</v>
      </c>
      <c r="H4227" s="28" t="s">
        <v>159</v>
      </c>
      <c r="I4227" s="29" t="n">
        <v>50000</v>
      </c>
      <c r="J4227" s="29" t="n">
        <v>25000</v>
      </c>
      <c r="K4227" s="28" t="n">
        <v>14</v>
      </c>
      <c r="L4227" s="28" t="n">
        <v>82</v>
      </c>
      <c r="M4227" s="28" t="n">
        <v>30</v>
      </c>
    </row>
    <row r="4228" customFormat="false" ht="15" hidden="false" customHeight="false" outlineLevel="0" collapsed="false">
      <c r="A4228" s="27" t="n">
        <v>45698</v>
      </c>
      <c r="B4228" s="28" t="n">
        <v>2025</v>
      </c>
      <c r="C4228" s="28" t="s">
        <v>328</v>
      </c>
      <c r="D4228" s="28" t="s">
        <v>54</v>
      </c>
      <c r="E4228" s="28" t="s">
        <v>1127</v>
      </c>
      <c r="F4228" s="28" t="s">
        <v>147</v>
      </c>
      <c r="G4228" s="28" t="s">
        <v>148</v>
      </c>
      <c r="H4228" s="28" t="s">
        <v>735</v>
      </c>
      <c r="I4228" s="29" t="n">
        <v>225300</v>
      </c>
      <c r="J4228" s="29" t="n">
        <v>112650</v>
      </c>
      <c r="K4228" s="28" t="n">
        <v>10.5</v>
      </c>
      <c r="L4228" s="28" t="n">
        <v>120</v>
      </c>
      <c r="M4228" s="28" t="n">
        <v>2</v>
      </c>
    </row>
    <row r="4229" customFormat="false" ht="15" hidden="false" customHeight="false" outlineLevel="0" collapsed="false">
      <c r="A4229" s="27" t="n">
        <v>45698</v>
      </c>
      <c r="B4229" s="28" t="n">
        <v>2025</v>
      </c>
      <c r="C4229" s="28" t="s">
        <v>196</v>
      </c>
      <c r="D4229" s="28" t="s">
        <v>46</v>
      </c>
      <c r="E4229" s="28" t="s">
        <v>780</v>
      </c>
      <c r="F4229" s="28" t="s">
        <v>142</v>
      </c>
      <c r="G4229" s="28" t="s">
        <v>148</v>
      </c>
      <c r="H4229" s="28" t="s">
        <v>937</v>
      </c>
      <c r="I4229" s="29" t="n">
        <v>51700</v>
      </c>
      <c r="J4229" s="29" t="n">
        <v>43945</v>
      </c>
      <c r="K4229" s="28" t="n">
        <v>12</v>
      </c>
      <c r="L4229" s="28" t="n">
        <v>120</v>
      </c>
      <c r="M4229" s="28" t="n">
        <v>7</v>
      </c>
    </row>
    <row r="4230" customFormat="false" ht="15" hidden="false" customHeight="false" outlineLevel="0" collapsed="false">
      <c r="A4230" s="27" t="n">
        <v>45699</v>
      </c>
      <c r="B4230" s="28" t="n">
        <v>2025</v>
      </c>
      <c r="C4230" s="28" t="s">
        <v>213</v>
      </c>
      <c r="D4230" s="28" t="s">
        <v>45</v>
      </c>
      <c r="E4230" s="28" t="s">
        <v>480</v>
      </c>
      <c r="F4230" s="28" t="s">
        <v>147</v>
      </c>
      <c r="G4230" s="28" t="s">
        <v>148</v>
      </c>
      <c r="H4230" s="28" t="s">
        <v>469</v>
      </c>
      <c r="I4230" s="29" t="n">
        <v>200000</v>
      </c>
      <c r="J4230" s="29" t="n">
        <v>100000</v>
      </c>
      <c r="K4230" s="28" t="n">
        <v>8.5</v>
      </c>
      <c r="L4230" s="28" t="n">
        <v>120</v>
      </c>
      <c r="M4230" s="28" t="n">
        <v>0</v>
      </c>
    </row>
    <row r="4231" customFormat="false" ht="15" hidden="false" customHeight="false" outlineLevel="0" collapsed="false">
      <c r="A4231" s="27" t="n">
        <v>45699</v>
      </c>
      <c r="B4231" s="28" t="n">
        <v>2025</v>
      </c>
      <c r="C4231" s="28" t="s">
        <v>213</v>
      </c>
      <c r="D4231" s="28" t="s">
        <v>45</v>
      </c>
      <c r="E4231" s="28" t="s">
        <v>480</v>
      </c>
      <c r="F4231" s="28" t="s">
        <v>142</v>
      </c>
      <c r="G4231" s="28" t="s">
        <v>148</v>
      </c>
      <c r="H4231" s="28" t="s">
        <v>469</v>
      </c>
      <c r="I4231" s="29" t="n">
        <v>300500</v>
      </c>
      <c r="J4231" s="29" t="n">
        <v>225375</v>
      </c>
      <c r="K4231" s="28" t="n">
        <v>7.8</v>
      </c>
      <c r="L4231" s="28" t="n">
        <v>120</v>
      </c>
      <c r="M4231" s="28" t="n">
        <v>0</v>
      </c>
    </row>
    <row r="4232" customFormat="false" ht="15" hidden="false" customHeight="false" outlineLevel="0" collapsed="false">
      <c r="A4232" s="27" t="n">
        <v>45699</v>
      </c>
      <c r="B4232" s="28" t="n">
        <v>2025</v>
      </c>
      <c r="C4232" s="28" t="s">
        <v>172</v>
      </c>
      <c r="D4232" s="28" t="s">
        <v>44</v>
      </c>
      <c r="E4232" s="28" t="s">
        <v>729</v>
      </c>
      <c r="F4232" s="28" t="s">
        <v>142</v>
      </c>
      <c r="G4232" s="28" t="s">
        <v>148</v>
      </c>
      <c r="H4232" s="28" t="s">
        <v>275</v>
      </c>
      <c r="I4232" s="29" t="n">
        <v>106500</v>
      </c>
      <c r="J4232" s="29" t="n">
        <v>90525</v>
      </c>
      <c r="K4232" s="28" t="n">
        <v>13.5</v>
      </c>
      <c r="L4232" s="28" t="n">
        <v>120</v>
      </c>
      <c r="M4232" s="28" t="n">
        <v>0</v>
      </c>
    </row>
    <row r="4233" customFormat="false" ht="15" hidden="false" customHeight="false" outlineLevel="0" collapsed="false">
      <c r="A4233" s="27" t="n">
        <v>45699</v>
      </c>
      <c r="B4233" s="28" t="n">
        <v>2025</v>
      </c>
      <c r="C4233" s="28" t="s">
        <v>979</v>
      </c>
      <c r="D4233" s="28" t="s">
        <v>44</v>
      </c>
      <c r="E4233" s="28" t="s">
        <v>783</v>
      </c>
      <c r="F4233" s="28" t="s">
        <v>147</v>
      </c>
      <c r="G4233" s="28" t="s">
        <v>441</v>
      </c>
      <c r="H4233" s="28" t="s">
        <v>168</v>
      </c>
      <c r="I4233" s="29" t="n">
        <v>15000</v>
      </c>
      <c r="J4233" s="29" t="n">
        <v>7500</v>
      </c>
      <c r="K4233" s="28" t="n">
        <v>12</v>
      </c>
      <c r="L4233" s="28" t="n">
        <v>120</v>
      </c>
      <c r="M4233" s="28" t="n">
        <v>1</v>
      </c>
    </row>
    <row r="4234" customFormat="false" ht="15" hidden="false" customHeight="false" outlineLevel="0" collapsed="false">
      <c r="A4234" s="27" t="n">
        <v>45699</v>
      </c>
      <c r="B4234" s="28" t="n">
        <v>2025</v>
      </c>
      <c r="C4234" s="28" t="s">
        <v>418</v>
      </c>
      <c r="D4234" s="28" t="s">
        <v>46</v>
      </c>
      <c r="E4234" s="28" t="s">
        <v>813</v>
      </c>
      <c r="F4234" s="28" t="s">
        <v>142</v>
      </c>
      <c r="G4234" s="28" t="s">
        <v>441</v>
      </c>
      <c r="H4234" s="28" t="s">
        <v>1128</v>
      </c>
      <c r="I4234" s="29" t="n">
        <v>254700</v>
      </c>
      <c r="J4234" s="29" t="n">
        <v>191025</v>
      </c>
      <c r="K4234" s="28" t="n">
        <v>10</v>
      </c>
      <c r="L4234" s="28" t="n">
        <v>120</v>
      </c>
      <c r="M4234" s="28" t="n">
        <v>5</v>
      </c>
    </row>
    <row r="4235" customFormat="false" ht="15" hidden="false" customHeight="false" outlineLevel="0" collapsed="false">
      <c r="A4235" s="27" t="n">
        <v>45699</v>
      </c>
      <c r="B4235" s="28" t="n">
        <v>2025</v>
      </c>
      <c r="C4235" s="28" t="s">
        <v>140</v>
      </c>
      <c r="D4235" s="28" t="s">
        <v>50</v>
      </c>
      <c r="E4235" s="28" t="s">
        <v>193</v>
      </c>
      <c r="F4235" s="28" t="s">
        <v>142</v>
      </c>
      <c r="G4235" s="28" t="s">
        <v>148</v>
      </c>
      <c r="H4235" s="28" t="s">
        <v>953</v>
      </c>
      <c r="I4235" s="29" t="n">
        <v>250000</v>
      </c>
      <c r="J4235" s="29" t="n">
        <v>187500</v>
      </c>
      <c r="K4235" s="28" t="n">
        <v>10.5</v>
      </c>
      <c r="L4235" s="28" t="n">
        <v>120</v>
      </c>
      <c r="M4235" s="28" t="n">
        <v>50</v>
      </c>
    </row>
    <row r="4236" customFormat="false" ht="15" hidden="false" customHeight="false" outlineLevel="0" collapsed="false">
      <c r="A4236" s="27" t="n">
        <v>45699</v>
      </c>
      <c r="B4236" s="28" t="n">
        <v>2025</v>
      </c>
      <c r="C4236" s="28" t="s">
        <v>318</v>
      </c>
      <c r="D4236" s="28" t="s">
        <v>45</v>
      </c>
      <c r="E4236" s="28" t="s">
        <v>708</v>
      </c>
      <c r="F4236" s="28" t="s">
        <v>142</v>
      </c>
      <c r="G4236" s="28" t="s">
        <v>148</v>
      </c>
      <c r="H4236" s="28" t="s">
        <v>937</v>
      </c>
      <c r="I4236" s="29" t="n">
        <v>150000</v>
      </c>
      <c r="J4236" s="29" t="n">
        <v>127500</v>
      </c>
      <c r="K4236" s="28" t="n">
        <v>12.5</v>
      </c>
      <c r="L4236" s="28" t="n">
        <v>120</v>
      </c>
      <c r="M4236" s="28" t="n">
        <v>15</v>
      </c>
    </row>
    <row r="4237" customFormat="false" ht="15" hidden="false" customHeight="false" outlineLevel="0" collapsed="false">
      <c r="A4237" s="27" t="n">
        <v>45699</v>
      </c>
      <c r="B4237" s="28" t="n">
        <v>2025</v>
      </c>
      <c r="C4237" s="28" t="s">
        <v>172</v>
      </c>
      <c r="D4237" s="28" t="s">
        <v>42</v>
      </c>
      <c r="E4237" s="28" t="s">
        <v>717</v>
      </c>
      <c r="F4237" s="28" t="s">
        <v>142</v>
      </c>
      <c r="G4237" s="28" t="s">
        <v>152</v>
      </c>
      <c r="H4237" s="28" t="s">
        <v>149</v>
      </c>
      <c r="I4237" s="29" t="n">
        <v>105000</v>
      </c>
      <c r="J4237" s="29" t="n">
        <v>89250</v>
      </c>
      <c r="K4237" s="28" t="n">
        <v>9.5</v>
      </c>
      <c r="L4237" s="28" t="n">
        <v>120</v>
      </c>
      <c r="M4237" s="28" t="n">
        <v>4</v>
      </c>
    </row>
    <row r="4238" customFormat="false" ht="15" hidden="false" customHeight="false" outlineLevel="0" collapsed="false">
      <c r="A4238" s="27" t="n">
        <v>45699</v>
      </c>
      <c r="B4238" s="28" t="n">
        <v>2025</v>
      </c>
      <c r="C4238" s="28" t="s">
        <v>172</v>
      </c>
      <c r="D4238" s="28" t="s">
        <v>45</v>
      </c>
      <c r="E4238" s="28" t="s">
        <v>824</v>
      </c>
      <c r="F4238" s="28" t="s">
        <v>142</v>
      </c>
      <c r="G4238" s="28" t="s">
        <v>441</v>
      </c>
      <c r="H4238" s="28" t="s">
        <v>359</v>
      </c>
      <c r="I4238" s="29" t="n">
        <v>752900</v>
      </c>
      <c r="J4238" s="29" t="n">
        <v>564675</v>
      </c>
      <c r="K4238" s="28" t="n">
        <v>9.75</v>
      </c>
      <c r="L4238" s="28" t="n">
        <v>120</v>
      </c>
      <c r="M4238" s="28" t="n">
        <v>14</v>
      </c>
    </row>
    <row r="4239" customFormat="false" ht="15" hidden="false" customHeight="false" outlineLevel="0" collapsed="false">
      <c r="A4239" s="27" t="n">
        <v>45699</v>
      </c>
      <c r="B4239" s="28" t="n">
        <v>2025</v>
      </c>
      <c r="C4239" s="28" t="s">
        <v>140</v>
      </c>
      <c r="D4239" s="28" t="s">
        <v>52</v>
      </c>
      <c r="E4239" s="28" t="s">
        <v>1004</v>
      </c>
      <c r="F4239" s="28" t="s">
        <v>142</v>
      </c>
      <c r="G4239" s="28" t="s">
        <v>148</v>
      </c>
      <c r="H4239" s="28" t="s">
        <v>937</v>
      </c>
      <c r="I4239" s="29" t="n">
        <v>150000</v>
      </c>
      <c r="J4239" s="29" t="n">
        <v>127500</v>
      </c>
      <c r="K4239" s="28" t="n">
        <v>12.5</v>
      </c>
      <c r="L4239" s="28" t="n">
        <v>120</v>
      </c>
      <c r="M4239" s="28" t="n">
        <v>2</v>
      </c>
    </row>
    <row r="4240" customFormat="false" ht="15" hidden="false" customHeight="false" outlineLevel="0" collapsed="false">
      <c r="A4240" s="27" t="n">
        <v>45699</v>
      </c>
      <c r="B4240" s="28" t="n">
        <v>2025</v>
      </c>
      <c r="C4240" s="28" t="s">
        <v>163</v>
      </c>
      <c r="D4240" s="28" t="s">
        <v>42</v>
      </c>
      <c r="E4240" s="28" t="s">
        <v>784</v>
      </c>
      <c r="F4240" s="28" t="s">
        <v>142</v>
      </c>
      <c r="G4240" s="28" t="s">
        <v>143</v>
      </c>
      <c r="H4240" s="28" t="s">
        <v>278</v>
      </c>
      <c r="I4240" s="29" t="n">
        <v>718500</v>
      </c>
      <c r="J4240" s="29" t="n">
        <v>538875</v>
      </c>
      <c r="K4240" s="28" t="n">
        <v>10.25</v>
      </c>
      <c r="L4240" s="28" t="n">
        <v>126</v>
      </c>
      <c r="M4240" s="28" t="n">
        <v>17</v>
      </c>
    </row>
    <row r="4241" customFormat="false" ht="15" hidden="false" customHeight="false" outlineLevel="0" collapsed="false">
      <c r="A4241" s="27" t="n">
        <v>45699</v>
      </c>
      <c r="B4241" s="28" t="n">
        <v>2025</v>
      </c>
      <c r="C4241" s="28" t="s">
        <v>203</v>
      </c>
      <c r="D4241" s="28" t="s">
        <v>42</v>
      </c>
      <c r="E4241" s="28" t="s">
        <v>717</v>
      </c>
      <c r="F4241" s="28" t="s">
        <v>142</v>
      </c>
      <c r="G4241" s="28" t="s">
        <v>152</v>
      </c>
      <c r="H4241" s="28" t="s">
        <v>1055</v>
      </c>
      <c r="I4241" s="29" t="n">
        <v>283500</v>
      </c>
      <c r="J4241" s="29" t="n">
        <v>212625</v>
      </c>
      <c r="K4241" s="28" t="n">
        <v>10.25</v>
      </c>
      <c r="L4241" s="28" t="n">
        <v>120</v>
      </c>
      <c r="M4241" s="28" t="n">
        <v>26</v>
      </c>
    </row>
    <row r="4242" customFormat="false" ht="15" hidden="false" customHeight="false" outlineLevel="0" collapsed="false">
      <c r="A4242" s="27" t="n">
        <v>45699</v>
      </c>
      <c r="B4242" s="28" t="n">
        <v>2025</v>
      </c>
      <c r="C4242" s="28" t="s">
        <v>303</v>
      </c>
      <c r="D4242" s="28" t="s">
        <v>48</v>
      </c>
      <c r="E4242" s="28" t="s">
        <v>736</v>
      </c>
      <c r="F4242" s="28" t="s">
        <v>142</v>
      </c>
      <c r="G4242" s="28" t="s">
        <v>143</v>
      </c>
      <c r="H4242" s="28" t="s">
        <v>953</v>
      </c>
      <c r="I4242" s="29" t="n">
        <v>75000</v>
      </c>
      <c r="J4242" s="29" t="n">
        <v>63750</v>
      </c>
      <c r="K4242" s="28" t="n">
        <v>10.5</v>
      </c>
      <c r="L4242" s="28" t="n">
        <v>120</v>
      </c>
      <c r="M4242" s="28" t="n">
        <v>1</v>
      </c>
    </row>
    <row r="4243" customFormat="false" ht="15" hidden="false" customHeight="false" outlineLevel="0" collapsed="false">
      <c r="A4243" s="27" t="n">
        <v>45700</v>
      </c>
      <c r="B4243" s="28" t="n">
        <v>2025</v>
      </c>
      <c r="C4243" s="28" t="s">
        <v>145</v>
      </c>
      <c r="D4243" s="28" t="s">
        <v>46</v>
      </c>
      <c r="E4243" s="28" t="s">
        <v>813</v>
      </c>
      <c r="F4243" s="28" t="s">
        <v>147</v>
      </c>
      <c r="G4243" s="28" t="s">
        <v>148</v>
      </c>
      <c r="H4243" s="28" t="s">
        <v>159</v>
      </c>
      <c r="I4243" s="29" t="n">
        <v>115000</v>
      </c>
      <c r="J4243" s="29" t="n">
        <v>57500</v>
      </c>
      <c r="K4243" s="28" t="n">
        <v>12</v>
      </c>
      <c r="L4243" s="28" t="n">
        <v>120</v>
      </c>
      <c r="M4243" s="28" t="n">
        <v>1</v>
      </c>
    </row>
    <row r="4244" customFormat="false" ht="15" hidden="false" customHeight="false" outlineLevel="0" collapsed="false">
      <c r="A4244" s="27" t="n">
        <v>45700</v>
      </c>
      <c r="B4244" s="28" t="n">
        <v>2025</v>
      </c>
      <c r="C4244" s="28" t="s">
        <v>163</v>
      </c>
      <c r="D4244" s="28" t="s">
        <v>43</v>
      </c>
      <c r="E4244" s="28" t="s">
        <v>841</v>
      </c>
      <c r="F4244" s="28" t="s">
        <v>142</v>
      </c>
      <c r="G4244" s="28" t="s">
        <v>148</v>
      </c>
      <c r="H4244" s="28" t="s">
        <v>275</v>
      </c>
      <c r="I4244" s="29" t="n">
        <v>50000</v>
      </c>
      <c r="J4244" s="29" t="n">
        <v>42500</v>
      </c>
      <c r="K4244" s="28" t="n">
        <v>14</v>
      </c>
      <c r="L4244" s="28" t="n">
        <v>120</v>
      </c>
      <c r="M4244" s="28" t="n">
        <v>4</v>
      </c>
    </row>
    <row r="4245" customFormat="false" ht="15" hidden="false" customHeight="false" outlineLevel="0" collapsed="false">
      <c r="A4245" s="27" t="n">
        <v>45700</v>
      </c>
      <c r="B4245" s="28" t="n">
        <v>2025</v>
      </c>
      <c r="C4245" s="28" t="s">
        <v>160</v>
      </c>
      <c r="D4245" s="28" t="s">
        <v>44</v>
      </c>
      <c r="E4245" s="28" t="s">
        <v>783</v>
      </c>
      <c r="F4245" s="28" t="s">
        <v>147</v>
      </c>
      <c r="G4245" s="28" t="s">
        <v>148</v>
      </c>
      <c r="H4245" s="28" t="s">
        <v>469</v>
      </c>
      <c r="I4245" s="29" t="n">
        <v>50000</v>
      </c>
      <c r="J4245" s="29" t="n">
        <v>25000</v>
      </c>
      <c r="K4245" s="28" t="n">
        <v>10.25</v>
      </c>
      <c r="L4245" s="28" t="n">
        <v>84</v>
      </c>
      <c r="M4245" s="28" t="n">
        <v>0</v>
      </c>
    </row>
    <row r="4246" customFormat="false" ht="15" hidden="false" customHeight="false" outlineLevel="0" collapsed="false">
      <c r="A4246" s="27" t="n">
        <v>45700</v>
      </c>
      <c r="B4246" s="28" t="n">
        <v>2025</v>
      </c>
      <c r="C4246" s="28" t="s">
        <v>169</v>
      </c>
      <c r="D4246" s="28" t="s">
        <v>46</v>
      </c>
      <c r="E4246" s="28" t="s">
        <v>719</v>
      </c>
      <c r="F4246" s="28" t="s">
        <v>147</v>
      </c>
      <c r="G4246" s="28" t="s">
        <v>441</v>
      </c>
      <c r="H4246" s="28" t="s">
        <v>168</v>
      </c>
      <c r="I4246" s="29" t="n">
        <v>15000</v>
      </c>
      <c r="J4246" s="29" t="n">
        <v>7500</v>
      </c>
      <c r="K4246" s="28" t="n">
        <v>12.5</v>
      </c>
      <c r="L4246" s="28" t="n">
        <v>120</v>
      </c>
      <c r="M4246" s="28" t="n">
        <v>0</v>
      </c>
    </row>
    <row r="4247" customFormat="false" ht="15" hidden="false" customHeight="false" outlineLevel="0" collapsed="false">
      <c r="A4247" s="27" t="n">
        <v>45700</v>
      </c>
      <c r="B4247" s="28" t="n">
        <v>2025</v>
      </c>
      <c r="C4247" s="28" t="s">
        <v>166</v>
      </c>
      <c r="D4247" s="28" t="s">
        <v>47</v>
      </c>
      <c r="E4247" s="28" t="s">
        <v>707</v>
      </c>
      <c r="F4247" s="28" t="s">
        <v>142</v>
      </c>
      <c r="G4247" s="28" t="s">
        <v>148</v>
      </c>
      <c r="H4247" s="28" t="s">
        <v>275</v>
      </c>
      <c r="I4247" s="29" t="n">
        <v>50000</v>
      </c>
      <c r="J4247" s="29" t="n">
        <v>42500</v>
      </c>
      <c r="K4247" s="28" t="n">
        <v>14</v>
      </c>
      <c r="L4247" s="28" t="n">
        <v>120</v>
      </c>
      <c r="M4247" s="28" t="n">
        <v>2</v>
      </c>
    </row>
    <row r="4248" customFormat="false" ht="15" hidden="false" customHeight="false" outlineLevel="0" collapsed="false">
      <c r="A4248" s="27" t="n">
        <v>45700</v>
      </c>
      <c r="B4248" s="28" t="n">
        <v>2025</v>
      </c>
      <c r="C4248" s="28" t="s">
        <v>160</v>
      </c>
      <c r="D4248" s="28" t="s">
        <v>44</v>
      </c>
      <c r="E4248" s="28" t="s">
        <v>783</v>
      </c>
      <c r="F4248" s="28" t="s">
        <v>142</v>
      </c>
      <c r="G4248" s="28" t="s">
        <v>148</v>
      </c>
      <c r="H4248" s="28" t="s">
        <v>469</v>
      </c>
      <c r="I4248" s="29" t="n">
        <v>278800</v>
      </c>
      <c r="J4248" s="29" t="n">
        <v>209100</v>
      </c>
      <c r="K4248" s="28" t="n">
        <v>6.75</v>
      </c>
      <c r="L4248" s="28" t="n">
        <v>300</v>
      </c>
      <c r="M4248" s="28" t="n">
        <v>12</v>
      </c>
    </row>
    <row r="4249" customFormat="false" ht="15" hidden="false" customHeight="false" outlineLevel="0" collapsed="false">
      <c r="A4249" s="27" t="n">
        <v>45700</v>
      </c>
      <c r="B4249" s="28" t="n">
        <v>2025</v>
      </c>
      <c r="C4249" s="28" t="s">
        <v>206</v>
      </c>
      <c r="D4249" s="28" t="s">
        <v>48</v>
      </c>
      <c r="E4249" s="28" t="s">
        <v>876</v>
      </c>
      <c r="F4249" s="28" t="s">
        <v>142</v>
      </c>
      <c r="G4249" s="28" t="s">
        <v>152</v>
      </c>
      <c r="H4249" s="28" t="s">
        <v>275</v>
      </c>
      <c r="I4249" s="29" t="n">
        <v>3846300</v>
      </c>
      <c r="J4249" s="29" t="n">
        <v>2884725</v>
      </c>
      <c r="K4249" s="28" t="n">
        <v>10.25</v>
      </c>
      <c r="L4249" s="28" t="n">
        <v>120</v>
      </c>
      <c r="M4249" s="28" t="n">
        <v>2</v>
      </c>
    </row>
    <row r="4250" customFormat="false" ht="15" hidden="false" customHeight="false" outlineLevel="0" collapsed="false">
      <c r="A4250" s="27" t="n">
        <v>45700</v>
      </c>
      <c r="B4250" s="28" t="n">
        <v>2025</v>
      </c>
      <c r="C4250" s="28" t="s">
        <v>312</v>
      </c>
      <c r="D4250" s="28" t="s">
        <v>44</v>
      </c>
      <c r="E4250" s="28" t="s">
        <v>730</v>
      </c>
      <c r="F4250" s="28" t="s">
        <v>142</v>
      </c>
      <c r="G4250" s="28" t="s">
        <v>148</v>
      </c>
      <c r="H4250" s="28" t="s">
        <v>275</v>
      </c>
      <c r="I4250" s="29" t="n">
        <v>339000</v>
      </c>
      <c r="J4250" s="29" t="n">
        <v>254250</v>
      </c>
      <c r="K4250" s="28" t="n">
        <v>10.25</v>
      </c>
      <c r="L4250" s="28" t="n">
        <v>120</v>
      </c>
      <c r="M4250" s="28" t="n">
        <v>8</v>
      </c>
    </row>
    <row r="4251" customFormat="false" ht="15" hidden="false" customHeight="false" outlineLevel="0" collapsed="false">
      <c r="A4251" s="27" t="n">
        <v>45700</v>
      </c>
      <c r="B4251" s="28" t="n">
        <v>2025</v>
      </c>
      <c r="C4251" s="28" t="s">
        <v>166</v>
      </c>
      <c r="D4251" s="28" t="s">
        <v>45</v>
      </c>
      <c r="E4251" s="28" t="s">
        <v>835</v>
      </c>
      <c r="F4251" s="28" t="s">
        <v>142</v>
      </c>
      <c r="G4251" s="28" t="s">
        <v>143</v>
      </c>
      <c r="H4251" s="28" t="s">
        <v>144</v>
      </c>
      <c r="I4251" s="29" t="n">
        <v>365000</v>
      </c>
      <c r="J4251" s="29" t="n">
        <v>273750</v>
      </c>
      <c r="K4251" s="28" t="n">
        <v>10.5</v>
      </c>
      <c r="L4251" s="28" t="n">
        <v>120</v>
      </c>
      <c r="M4251" s="28" t="n">
        <v>1</v>
      </c>
    </row>
    <row r="4252" customFormat="false" ht="15" hidden="false" customHeight="false" outlineLevel="0" collapsed="false">
      <c r="A4252" s="27" t="n">
        <v>45700</v>
      </c>
      <c r="B4252" s="28" t="n">
        <v>2025</v>
      </c>
      <c r="C4252" s="28" t="s">
        <v>560</v>
      </c>
      <c r="D4252" s="28" t="s">
        <v>44</v>
      </c>
      <c r="E4252" s="28" t="s">
        <v>730</v>
      </c>
      <c r="F4252" s="28" t="s">
        <v>142</v>
      </c>
      <c r="G4252" s="28" t="s">
        <v>143</v>
      </c>
      <c r="H4252" s="28" t="s">
        <v>144</v>
      </c>
      <c r="I4252" s="29" t="n">
        <v>400000</v>
      </c>
      <c r="J4252" s="29" t="n">
        <v>300000</v>
      </c>
      <c r="K4252" s="28" t="n">
        <v>7.25</v>
      </c>
      <c r="L4252" s="28" t="n">
        <v>120</v>
      </c>
      <c r="M4252" s="28" t="n">
        <v>28</v>
      </c>
    </row>
    <row r="4253" customFormat="false" ht="15" hidden="false" customHeight="false" outlineLevel="0" collapsed="false">
      <c r="A4253" s="27" t="n">
        <v>45701</v>
      </c>
      <c r="B4253" s="28" t="n">
        <v>2025</v>
      </c>
      <c r="C4253" s="28" t="s">
        <v>166</v>
      </c>
      <c r="D4253" s="28" t="s">
        <v>42</v>
      </c>
      <c r="E4253" s="28" t="s">
        <v>717</v>
      </c>
      <c r="F4253" s="28" t="s">
        <v>142</v>
      </c>
      <c r="G4253" s="28" t="s">
        <v>148</v>
      </c>
      <c r="H4253" s="28" t="s">
        <v>227</v>
      </c>
      <c r="I4253" s="29" t="n">
        <v>500000</v>
      </c>
      <c r="J4253" s="29" t="n">
        <v>375000</v>
      </c>
      <c r="K4253" s="28" t="n">
        <v>10</v>
      </c>
      <c r="L4253" s="28" t="n">
        <v>123</v>
      </c>
      <c r="M4253" s="28" t="n">
        <v>40</v>
      </c>
    </row>
    <row r="4254" customFormat="false" ht="15" hidden="false" customHeight="false" outlineLevel="0" collapsed="false">
      <c r="A4254" s="27" t="n">
        <v>45702</v>
      </c>
      <c r="B4254" s="28" t="n">
        <v>2025</v>
      </c>
      <c r="C4254" s="28" t="s">
        <v>243</v>
      </c>
      <c r="D4254" s="28" t="s">
        <v>51</v>
      </c>
      <c r="E4254" s="28" t="s">
        <v>779</v>
      </c>
      <c r="F4254" s="28" t="s">
        <v>142</v>
      </c>
      <c r="G4254" s="28" t="s">
        <v>441</v>
      </c>
      <c r="H4254" s="28" t="s">
        <v>494</v>
      </c>
      <c r="I4254" s="29" t="n">
        <v>675000</v>
      </c>
      <c r="J4254" s="29" t="n">
        <v>506250</v>
      </c>
      <c r="K4254" s="28" t="n">
        <v>9</v>
      </c>
      <c r="L4254" s="28" t="n">
        <v>120</v>
      </c>
      <c r="M4254" s="28" t="n">
        <v>15</v>
      </c>
    </row>
    <row r="4255" customFormat="false" ht="15" hidden="false" customHeight="false" outlineLevel="0" collapsed="false">
      <c r="A4255" s="27" t="n">
        <v>45702</v>
      </c>
      <c r="B4255" s="28" t="n">
        <v>2025</v>
      </c>
      <c r="C4255" s="28" t="s">
        <v>608</v>
      </c>
      <c r="D4255" s="28" t="s">
        <v>45</v>
      </c>
      <c r="E4255" s="28" t="s">
        <v>708</v>
      </c>
      <c r="F4255" s="28" t="s">
        <v>142</v>
      </c>
      <c r="G4255" s="28" t="s">
        <v>148</v>
      </c>
      <c r="H4255" s="28" t="s">
        <v>937</v>
      </c>
      <c r="I4255" s="29" t="n">
        <v>200000</v>
      </c>
      <c r="J4255" s="29" t="n">
        <v>150000</v>
      </c>
      <c r="K4255" s="28" t="n">
        <v>12</v>
      </c>
      <c r="L4255" s="28" t="n">
        <v>115</v>
      </c>
      <c r="M4255" s="28" t="n">
        <v>5</v>
      </c>
    </row>
    <row r="4256" customFormat="false" ht="15" hidden="false" customHeight="false" outlineLevel="0" collapsed="false">
      <c r="A4256" s="27" t="n">
        <v>45702</v>
      </c>
      <c r="B4256" s="28" t="n">
        <v>2025</v>
      </c>
      <c r="C4256" s="28" t="s">
        <v>169</v>
      </c>
      <c r="D4256" s="28" t="s">
        <v>52</v>
      </c>
      <c r="E4256" s="28" t="s">
        <v>894</v>
      </c>
      <c r="F4256" s="28" t="s">
        <v>147</v>
      </c>
      <c r="G4256" s="28" t="s">
        <v>148</v>
      </c>
      <c r="H4256" s="28" t="s">
        <v>205</v>
      </c>
      <c r="I4256" s="29" t="n">
        <v>250000</v>
      </c>
      <c r="J4256" s="29" t="n">
        <v>125000</v>
      </c>
      <c r="K4256" s="28" t="n">
        <v>10.5</v>
      </c>
      <c r="L4256" s="28" t="n">
        <v>120</v>
      </c>
      <c r="M4256" s="28" t="n">
        <v>6</v>
      </c>
    </row>
    <row r="4257" customFormat="false" ht="15" hidden="false" customHeight="false" outlineLevel="0" collapsed="false">
      <c r="A4257" s="27" t="n">
        <v>45705</v>
      </c>
      <c r="B4257" s="28" t="n">
        <v>2025</v>
      </c>
      <c r="C4257" s="28" t="s">
        <v>252</v>
      </c>
      <c r="D4257" s="28" t="s">
        <v>46</v>
      </c>
      <c r="E4257" s="28" t="s">
        <v>741</v>
      </c>
      <c r="F4257" s="28" t="s">
        <v>142</v>
      </c>
      <c r="G4257" s="28" t="s">
        <v>148</v>
      </c>
      <c r="H4257" s="28" t="s">
        <v>275</v>
      </c>
      <c r="I4257" s="29" t="n">
        <v>50000</v>
      </c>
      <c r="J4257" s="29" t="n">
        <v>42500</v>
      </c>
      <c r="K4257" s="28" t="n">
        <v>14</v>
      </c>
      <c r="L4257" s="28" t="n">
        <v>120</v>
      </c>
      <c r="M4257" s="28" t="n">
        <v>2</v>
      </c>
    </row>
    <row r="4258" customFormat="false" ht="15" hidden="false" customHeight="false" outlineLevel="0" collapsed="false">
      <c r="A4258" s="27" t="n">
        <v>45705</v>
      </c>
      <c r="B4258" s="28" t="n">
        <v>2025</v>
      </c>
      <c r="C4258" s="28" t="s">
        <v>243</v>
      </c>
      <c r="D4258" s="28" t="s">
        <v>50</v>
      </c>
      <c r="E4258" s="28" t="s">
        <v>984</v>
      </c>
      <c r="F4258" s="28" t="s">
        <v>142</v>
      </c>
      <c r="G4258" s="28" t="s">
        <v>148</v>
      </c>
      <c r="H4258" s="28" t="s">
        <v>771</v>
      </c>
      <c r="I4258" s="29" t="n">
        <v>42000</v>
      </c>
      <c r="J4258" s="29" t="n">
        <v>35700</v>
      </c>
      <c r="K4258" s="28" t="n">
        <v>10.25</v>
      </c>
      <c r="L4258" s="28" t="n">
        <v>120</v>
      </c>
      <c r="M4258" s="28" t="n">
        <v>1</v>
      </c>
    </row>
    <row r="4259" customFormat="false" ht="15" hidden="false" customHeight="false" outlineLevel="0" collapsed="false">
      <c r="A4259" s="27" t="n">
        <v>45706</v>
      </c>
      <c r="B4259" s="28" t="n">
        <v>2025</v>
      </c>
      <c r="C4259" s="28" t="s">
        <v>172</v>
      </c>
      <c r="D4259" s="28" t="s">
        <v>44</v>
      </c>
      <c r="E4259" s="28" t="s">
        <v>755</v>
      </c>
      <c r="F4259" s="28" t="s">
        <v>147</v>
      </c>
      <c r="G4259" s="28" t="s">
        <v>148</v>
      </c>
      <c r="H4259" s="28" t="s">
        <v>428</v>
      </c>
      <c r="I4259" s="29" t="n">
        <v>40000</v>
      </c>
      <c r="J4259" s="29" t="n">
        <v>20000</v>
      </c>
      <c r="K4259" s="28" t="n">
        <v>14</v>
      </c>
      <c r="L4259" s="28" t="n">
        <v>84</v>
      </c>
      <c r="M4259" s="28" t="n">
        <v>3</v>
      </c>
    </row>
    <row r="4260" customFormat="false" ht="15" hidden="false" customHeight="false" outlineLevel="0" collapsed="false">
      <c r="A4260" s="27" t="n">
        <v>45707</v>
      </c>
      <c r="B4260" s="28" t="n">
        <v>2025</v>
      </c>
      <c r="C4260" s="28" t="s">
        <v>172</v>
      </c>
      <c r="D4260" s="28" t="s">
        <v>48</v>
      </c>
      <c r="E4260" s="28" t="s">
        <v>362</v>
      </c>
      <c r="F4260" s="28" t="s">
        <v>142</v>
      </c>
      <c r="G4260" s="28" t="s">
        <v>148</v>
      </c>
      <c r="H4260" s="28" t="s">
        <v>275</v>
      </c>
      <c r="I4260" s="29" t="n">
        <v>172000</v>
      </c>
      <c r="J4260" s="29" t="n">
        <v>129000</v>
      </c>
      <c r="K4260" s="28" t="n">
        <v>13.5</v>
      </c>
      <c r="L4260" s="28" t="n">
        <v>120</v>
      </c>
      <c r="M4260" s="28" t="n">
        <v>12</v>
      </c>
    </row>
    <row r="4261" customFormat="false" ht="15" hidden="false" customHeight="false" outlineLevel="0" collapsed="false">
      <c r="A4261" s="27" t="n">
        <v>45707</v>
      </c>
      <c r="B4261" s="28" t="n">
        <v>2025</v>
      </c>
      <c r="C4261" s="28" t="s">
        <v>272</v>
      </c>
      <c r="D4261" s="28" t="s">
        <v>47</v>
      </c>
      <c r="E4261" s="28" t="s">
        <v>917</v>
      </c>
      <c r="F4261" s="28" t="s">
        <v>142</v>
      </c>
      <c r="G4261" s="28" t="s">
        <v>441</v>
      </c>
      <c r="H4261" s="28" t="s">
        <v>771</v>
      </c>
      <c r="I4261" s="29" t="n">
        <v>150000</v>
      </c>
      <c r="J4261" s="29" t="n">
        <v>127500</v>
      </c>
      <c r="K4261" s="28" t="n">
        <v>10.25</v>
      </c>
      <c r="L4261" s="28" t="n">
        <v>120</v>
      </c>
      <c r="M4261" s="28" t="n">
        <v>4</v>
      </c>
    </row>
    <row r="4262" customFormat="false" ht="15" hidden="false" customHeight="false" outlineLevel="0" collapsed="false">
      <c r="A4262" s="27" t="n">
        <v>45707</v>
      </c>
      <c r="B4262" s="28" t="n">
        <v>2025</v>
      </c>
      <c r="C4262" s="28" t="s">
        <v>172</v>
      </c>
      <c r="D4262" s="28" t="s">
        <v>48</v>
      </c>
      <c r="E4262" s="28" t="s">
        <v>342</v>
      </c>
      <c r="F4262" s="28" t="s">
        <v>147</v>
      </c>
      <c r="G4262" s="28" t="s">
        <v>148</v>
      </c>
      <c r="H4262" s="28" t="s">
        <v>205</v>
      </c>
      <c r="I4262" s="29" t="n">
        <v>100000</v>
      </c>
      <c r="J4262" s="29" t="n">
        <v>50000</v>
      </c>
      <c r="K4262" s="28" t="n">
        <v>10.5</v>
      </c>
      <c r="L4262" s="28" t="n">
        <v>120</v>
      </c>
      <c r="M4262" s="28" t="n">
        <v>18</v>
      </c>
    </row>
    <row r="4263" customFormat="false" ht="15" hidden="false" customHeight="false" outlineLevel="0" collapsed="false">
      <c r="A4263" s="27" t="n">
        <v>45707</v>
      </c>
      <c r="B4263" s="28" t="n">
        <v>2025</v>
      </c>
      <c r="C4263" s="28" t="s">
        <v>169</v>
      </c>
      <c r="D4263" s="28" t="s">
        <v>48</v>
      </c>
      <c r="E4263" s="28" t="s">
        <v>765</v>
      </c>
      <c r="F4263" s="28" t="s">
        <v>283</v>
      </c>
      <c r="G4263" s="28" t="s">
        <v>148</v>
      </c>
      <c r="H4263" s="28" t="s">
        <v>1075</v>
      </c>
      <c r="I4263" s="29" t="n">
        <v>2263700</v>
      </c>
      <c r="J4263" s="29" t="n">
        <v>2037330</v>
      </c>
      <c r="K4263" s="28" t="n">
        <v>10.25</v>
      </c>
      <c r="L4263" s="28" t="n">
        <v>120</v>
      </c>
      <c r="M4263" s="28" t="n">
        <v>40</v>
      </c>
    </row>
    <row r="4264" customFormat="false" ht="15" hidden="false" customHeight="false" outlineLevel="0" collapsed="false">
      <c r="A4264" s="27" t="n">
        <v>45707</v>
      </c>
      <c r="B4264" s="28" t="n">
        <v>2025</v>
      </c>
      <c r="C4264" s="28" t="s">
        <v>140</v>
      </c>
      <c r="D4264" s="28" t="s">
        <v>52</v>
      </c>
      <c r="E4264" s="28" t="s">
        <v>832</v>
      </c>
      <c r="F4264" s="28" t="s">
        <v>142</v>
      </c>
      <c r="G4264" s="28" t="s">
        <v>148</v>
      </c>
      <c r="H4264" s="28" t="s">
        <v>269</v>
      </c>
      <c r="I4264" s="29" t="n">
        <v>82000</v>
      </c>
      <c r="J4264" s="29" t="n">
        <v>69700</v>
      </c>
      <c r="K4264" s="28" t="n">
        <v>10.25</v>
      </c>
      <c r="L4264" s="28" t="n">
        <v>120</v>
      </c>
      <c r="M4264" s="28" t="n">
        <v>1</v>
      </c>
    </row>
    <row r="4265" customFormat="false" ht="15" hidden="false" customHeight="false" outlineLevel="0" collapsed="false">
      <c r="A4265" s="27" t="n">
        <v>45707</v>
      </c>
      <c r="B4265" s="28" t="n">
        <v>2025</v>
      </c>
      <c r="C4265" s="28" t="s">
        <v>324</v>
      </c>
      <c r="D4265" s="28" t="s">
        <v>44</v>
      </c>
      <c r="E4265" s="28" t="s">
        <v>863</v>
      </c>
      <c r="F4265" s="28" t="s">
        <v>142</v>
      </c>
      <c r="G4265" s="28" t="s">
        <v>143</v>
      </c>
      <c r="H4265" s="28" t="s">
        <v>287</v>
      </c>
      <c r="I4265" s="29" t="n">
        <v>180000</v>
      </c>
      <c r="J4265" s="29" t="n">
        <v>135000</v>
      </c>
      <c r="K4265" s="28" t="n">
        <v>10.25</v>
      </c>
      <c r="L4265" s="28" t="n">
        <v>126</v>
      </c>
      <c r="M4265" s="28" t="n">
        <v>2</v>
      </c>
    </row>
    <row r="4266" customFormat="false" ht="15" hidden="false" customHeight="false" outlineLevel="0" collapsed="false">
      <c r="A4266" s="27" t="n">
        <v>45707</v>
      </c>
      <c r="B4266" s="28" t="n">
        <v>2025</v>
      </c>
      <c r="C4266" s="28" t="s">
        <v>263</v>
      </c>
      <c r="D4266" s="28" t="s">
        <v>47</v>
      </c>
      <c r="E4266" s="28" t="s">
        <v>760</v>
      </c>
      <c r="F4266" s="28" t="s">
        <v>142</v>
      </c>
      <c r="G4266" s="28" t="s">
        <v>143</v>
      </c>
      <c r="H4266" s="28" t="s">
        <v>372</v>
      </c>
      <c r="I4266" s="29" t="n">
        <v>684000</v>
      </c>
      <c r="J4266" s="29" t="n">
        <v>513000</v>
      </c>
      <c r="K4266" s="28" t="n">
        <v>9.25</v>
      </c>
      <c r="L4266" s="28" t="n">
        <v>124</v>
      </c>
      <c r="M4266" s="28" t="n">
        <v>18</v>
      </c>
    </row>
    <row r="4267" customFormat="false" ht="15" hidden="false" customHeight="false" outlineLevel="0" collapsed="false">
      <c r="A4267" s="27" t="n">
        <v>45707</v>
      </c>
      <c r="B4267" s="28" t="n">
        <v>2025</v>
      </c>
      <c r="C4267" s="28" t="s">
        <v>328</v>
      </c>
      <c r="D4267" s="28" t="s">
        <v>43</v>
      </c>
      <c r="E4267" s="28" t="s">
        <v>811</v>
      </c>
      <c r="F4267" s="28" t="s">
        <v>142</v>
      </c>
      <c r="G4267" s="28" t="s">
        <v>148</v>
      </c>
      <c r="H4267" s="28" t="s">
        <v>953</v>
      </c>
      <c r="I4267" s="29" t="n">
        <v>200000</v>
      </c>
      <c r="J4267" s="29" t="n">
        <v>170000</v>
      </c>
      <c r="K4267" s="28" t="n">
        <v>10</v>
      </c>
      <c r="L4267" s="28" t="n">
        <v>120</v>
      </c>
      <c r="M4267" s="28" t="n">
        <v>8</v>
      </c>
    </row>
    <row r="4268" customFormat="false" ht="15" hidden="false" customHeight="false" outlineLevel="0" collapsed="false">
      <c r="A4268" s="27" t="n">
        <v>45708</v>
      </c>
      <c r="B4268" s="28" t="n">
        <v>2025</v>
      </c>
      <c r="C4268" s="28" t="s">
        <v>172</v>
      </c>
      <c r="D4268" s="28" t="s">
        <v>45</v>
      </c>
      <c r="E4268" s="28" t="s">
        <v>708</v>
      </c>
      <c r="F4268" s="28" t="s">
        <v>147</v>
      </c>
      <c r="G4268" s="28" t="s">
        <v>148</v>
      </c>
      <c r="H4268" s="28" t="s">
        <v>205</v>
      </c>
      <c r="I4268" s="29" t="n">
        <v>30000</v>
      </c>
      <c r="J4268" s="29" t="n">
        <v>15000</v>
      </c>
      <c r="K4268" s="28" t="n">
        <v>10.5</v>
      </c>
      <c r="L4268" s="28" t="n">
        <v>120</v>
      </c>
      <c r="M4268" s="28" t="n">
        <v>0</v>
      </c>
    </row>
    <row r="4269" customFormat="false" ht="15" hidden="false" customHeight="false" outlineLevel="0" collapsed="false">
      <c r="A4269" s="27" t="n">
        <v>45708</v>
      </c>
      <c r="B4269" s="28" t="n">
        <v>2025</v>
      </c>
      <c r="C4269" s="28" t="s">
        <v>198</v>
      </c>
      <c r="D4269" s="28" t="s">
        <v>56</v>
      </c>
      <c r="E4269" s="28" t="s">
        <v>207</v>
      </c>
      <c r="F4269" s="28" t="s">
        <v>147</v>
      </c>
      <c r="G4269" s="28" t="s">
        <v>441</v>
      </c>
      <c r="H4269" s="28" t="s">
        <v>667</v>
      </c>
      <c r="I4269" s="29" t="n">
        <v>50000</v>
      </c>
      <c r="J4269" s="29" t="n">
        <v>25000</v>
      </c>
      <c r="K4269" s="28" t="n">
        <v>11.99</v>
      </c>
      <c r="L4269" s="28" t="n">
        <v>120</v>
      </c>
      <c r="M4269" s="28" t="n">
        <v>6</v>
      </c>
    </row>
    <row r="4270" customFormat="false" ht="15" hidden="false" customHeight="false" outlineLevel="0" collapsed="false">
      <c r="A4270" s="27" t="n">
        <v>45708</v>
      </c>
      <c r="B4270" s="28" t="n">
        <v>2025</v>
      </c>
      <c r="C4270" s="28" t="s">
        <v>172</v>
      </c>
      <c r="D4270" s="28" t="s">
        <v>48</v>
      </c>
      <c r="E4270" s="28" t="s">
        <v>362</v>
      </c>
      <c r="F4270" s="28" t="s">
        <v>142</v>
      </c>
      <c r="G4270" s="28" t="s">
        <v>148</v>
      </c>
      <c r="H4270" s="28" t="s">
        <v>275</v>
      </c>
      <c r="I4270" s="29" t="n">
        <v>200000</v>
      </c>
      <c r="J4270" s="29" t="n">
        <v>150000</v>
      </c>
      <c r="K4270" s="28" t="n">
        <v>13.5</v>
      </c>
      <c r="L4270" s="28" t="n">
        <v>120</v>
      </c>
      <c r="M4270" s="28" t="n">
        <v>10</v>
      </c>
    </row>
    <row r="4271" customFormat="false" ht="15" hidden="false" customHeight="false" outlineLevel="0" collapsed="false">
      <c r="A4271" s="27" t="n">
        <v>45708</v>
      </c>
      <c r="B4271" s="28" t="n">
        <v>2025</v>
      </c>
      <c r="C4271" s="28" t="s">
        <v>175</v>
      </c>
      <c r="D4271" s="28" t="s">
        <v>49</v>
      </c>
      <c r="E4271" s="28" t="s">
        <v>994</v>
      </c>
      <c r="F4271" s="28" t="s">
        <v>142</v>
      </c>
      <c r="G4271" s="28" t="s">
        <v>441</v>
      </c>
      <c r="H4271" s="28" t="s">
        <v>771</v>
      </c>
      <c r="I4271" s="29" t="n">
        <v>129500</v>
      </c>
      <c r="J4271" s="29" t="n">
        <v>110075</v>
      </c>
      <c r="K4271" s="28" t="n">
        <v>10.25</v>
      </c>
      <c r="L4271" s="28" t="n">
        <v>120</v>
      </c>
      <c r="M4271" s="28" t="n">
        <v>3</v>
      </c>
    </row>
    <row r="4272" customFormat="false" ht="15" hidden="false" customHeight="false" outlineLevel="0" collapsed="false">
      <c r="A4272" s="27" t="n">
        <v>45708</v>
      </c>
      <c r="B4272" s="28" t="n">
        <v>2025</v>
      </c>
      <c r="C4272" s="28" t="s">
        <v>203</v>
      </c>
      <c r="D4272" s="28" t="s">
        <v>47</v>
      </c>
      <c r="E4272" s="28" t="s">
        <v>760</v>
      </c>
      <c r="F4272" s="28" t="s">
        <v>142</v>
      </c>
      <c r="G4272" s="28" t="s">
        <v>143</v>
      </c>
      <c r="H4272" s="28" t="s">
        <v>372</v>
      </c>
      <c r="I4272" s="29" t="n">
        <v>684000</v>
      </c>
      <c r="J4272" s="29" t="n">
        <v>513000</v>
      </c>
      <c r="K4272" s="28" t="n">
        <v>9.25</v>
      </c>
      <c r="L4272" s="28" t="n">
        <v>123</v>
      </c>
      <c r="M4272" s="28" t="n">
        <v>18</v>
      </c>
    </row>
    <row r="4273" customFormat="false" ht="15" hidden="false" customHeight="false" outlineLevel="0" collapsed="false">
      <c r="A4273" s="27" t="n">
        <v>45708</v>
      </c>
      <c r="B4273" s="28" t="n">
        <v>2025</v>
      </c>
      <c r="C4273" s="28" t="s">
        <v>198</v>
      </c>
      <c r="D4273" s="28" t="s">
        <v>50</v>
      </c>
      <c r="E4273" s="28" t="s">
        <v>1129</v>
      </c>
      <c r="F4273" s="28" t="s">
        <v>142</v>
      </c>
      <c r="G4273" s="28" t="s">
        <v>148</v>
      </c>
      <c r="H4273" s="28" t="s">
        <v>275</v>
      </c>
      <c r="I4273" s="29" t="n">
        <v>1165000</v>
      </c>
      <c r="J4273" s="29" t="n">
        <v>873750</v>
      </c>
      <c r="K4273" s="28" t="n">
        <v>9.5</v>
      </c>
      <c r="L4273" s="28" t="n">
        <v>120</v>
      </c>
      <c r="M4273" s="28" t="n">
        <v>5</v>
      </c>
    </row>
    <row r="4274" customFormat="false" ht="15" hidden="false" customHeight="false" outlineLevel="0" collapsed="false">
      <c r="A4274" s="27" t="n">
        <v>45709</v>
      </c>
      <c r="B4274" s="28" t="n">
        <v>2025</v>
      </c>
      <c r="C4274" s="28" t="s">
        <v>213</v>
      </c>
      <c r="D4274" s="28" t="s">
        <v>42</v>
      </c>
      <c r="E4274" s="28" t="s">
        <v>784</v>
      </c>
      <c r="F4274" s="28" t="s">
        <v>142</v>
      </c>
      <c r="G4274" s="28" t="s">
        <v>143</v>
      </c>
      <c r="H4274" s="28" t="s">
        <v>388</v>
      </c>
      <c r="I4274" s="29" t="n">
        <v>525000</v>
      </c>
      <c r="J4274" s="29" t="n">
        <v>393750</v>
      </c>
      <c r="K4274" s="28" t="n">
        <v>10.25</v>
      </c>
      <c r="L4274" s="28" t="n">
        <v>129</v>
      </c>
      <c r="M4274" s="28" t="n">
        <v>10</v>
      </c>
    </row>
    <row r="4275" customFormat="false" ht="15" hidden="false" customHeight="false" outlineLevel="0" collapsed="false">
      <c r="A4275" s="27" t="n">
        <v>45709</v>
      </c>
      <c r="B4275" s="28" t="n">
        <v>2025</v>
      </c>
      <c r="C4275" s="28" t="s">
        <v>303</v>
      </c>
      <c r="D4275" s="28" t="s">
        <v>46</v>
      </c>
      <c r="E4275" s="28" t="s">
        <v>813</v>
      </c>
      <c r="F4275" s="28" t="s">
        <v>142</v>
      </c>
      <c r="G4275" s="28" t="s">
        <v>148</v>
      </c>
      <c r="H4275" s="28" t="s">
        <v>171</v>
      </c>
      <c r="I4275" s="29" t="n">
        <v>150000</v>
      </c>
      <c r="J4275" s="29" t="n">
        <v>127500</v>
      </c>
      <c r="K4275" s="28" t="n">
        <v>12.25</v>
      </c>
      <c r="L4275" s="28" t="n">
        <v>120</v>
      </c>
      <c r="M4275" s="28" t="n">
        <v>0</v>
      </c>
    </row>
    <row r="4276" customFormat="false" ht="15" hidden="false" customHeight="false" outlineLevel="0" collapsed="false">
      <c r="A4276" s="27" t="n">
        <v>45709</v>
      </c>
      <c r="B4276" s="28" t="n">
        <v>2025</v>
      </c>
      <c r="C4276" s="28" t="s">
        <v>409</v>
      </c>
      <c r="D4276" s="28" t="s">
        <v>55</v>
      </c>
      <c r="E4276" s="28" t="s">
        <v>821</v>
      </c>
      <c r="F4276" s="28" t="s">
        <v>147</v>
      </c>
      <c r="G4276" s="28" t="s">
        <v>143</v>
      </c>
      <c r="H4276" s="28" t="s">
        <v>799</v>
      </c>
      <c r="I4276" s="29" t="n">
        <v>250000</v>
      </c>
      <c r="J4276" s="29" t="n">
        <v>125000</v>
      </c>
      <c r="K4276" s="28" t="n">
        <v>9.25</v>
      </c>
      <c r="L4276" s="28" t="n">
        <v>120</v>
      </c>
      <c r="M4276" s="28" t="n">
        <v>8</v>
      </c>
    </row>
    <row r="4277" customFormat="false" ht="15" hidden="false" customHeight="false" outlineLevel="0" collapsed="false">
      <c r="A4277" s="27" t="n">
        <v>45709</v>
      </c>
      <c r="B4277" s="28" t="n">
        <v>2025</v>
      </c>
      <c r="C4277" s="28" t="s">
        <v>196</v>
      </c>
      <c r="D4277" s="28" t="s">
        <v>50</v>
      </c>
      <c r="E4277" s="28" t="s">
        <v>990</v>
      </c>
      <c r="F4277" s="28" t="s">
        <v>142</v>
      </c>
      <c r="G4277" s="28" t="s">
        <v>148</v>
      </c>
      <c r="H4277" s="28" t="s">
        <v>771</v>
      </c>
      <c r="I4277" s="29" t="n">
        <v>500000</v>
      </c>
      <c r="J4277" s="29" t="n">
        <v>375000</v>
      </c>
      <c r="K4277" s="28" t="n">
        <v>10.25</v>
      </c>
      <c r="L4277" s="28" t="n">
        <v>120</v>
      </c>
      <c r="M4277" s="28" t="n">
        <v>10</v>
      </c>
    </row>
    <row r="4278" customFormat="false" ht="15" hidden="false" customHeight="false" outlineLevel="0" collapsed="false">
      <c r="A4278" s="27" t="n">
        <v>45712</v>
      </c>
      <c r="B4278" s="28" t="n">
        <v>2025</v>
      </c>
      <c r="C4278" s="28" t="s">
        <v>145</v>
      </c>
      <c r="D4278" s="28" t="s">
        <v>42</v>
      </c>
      <c r="E4278" s="28" t="s">
        <v>717</v>
      </c>
      <c r="F4278" s="28" t="s">
        <v>142</v>
      </c>
      <c r="G4278" s="28" t="s">
        <v>441</v>
      </c>
      <c r="H4278" s="28" t="s">
        <v>159</v>
      </c>
      <c r="I4278" s="29" t="n">
        <v>200000</v>
      </c>
      <c r="J4278" s="29" t="n">
        <v>150000</v>
      </c>
      <c r="K4278" s="28" t="n">
        <v>9.75</v>
      </c>
      <c r="L4278" s="28" t="n">
        <v>60</v>
      </c>
      <c r="M4278" s="28" t="n">
        <v>100</v>
      </c>
    </row>
    <row r="4279" customFormat="false" ht="15" hidden="false" customHeight="false" outlineLevel="0" collapsed="false">
      <c r="A4279" s="27" t="n">
        <v>45712</v>
      </c>
      <c r="B4279" s="28" t="n">
        <v>2025</v>
      </c>
      <c r="C4279" s="28" t="s">
        <v>328</v>
      </c>
      <c r="D4279" s="28" t="s">
        <v>45</v>
      </c>
      <c r="E4279" s="28" t="s">
        <v>222</v>
      </c>
      <c r="F4279" s="28" t="s">
        <v>142</v>
      </c>
      <c r="G4279" s="28" t="s">
        <v>148</v>
      </c>
      <c r="H4279" s="28" t="s">
        <v>771</v>
      </c>
      <c r="I4279" s="29" t="n">
        <v>65100</v>
      </c>
      <c r="J4279" s="29" t="n">
        <v>55335</v>
      </c>
      <c r="K4279" s="28" t="n">
        <v>10.25</v>
      </c>
      <c r="L4279" s="28" t="n">
        <v>120</v>
      </c>
      <c r="M4279" s="28" t="n">
        <v>1</v>
      </c>
    </row>
    <row r="4280" customFormat="false" ht="15" hidden="false" customHeight="false" outlineLevel="0" collapsed="false">
      <c r="A4280" s="27" t="n">
        <v>45712</v>
      </c>
      <c r="B4280" s="28" t="n">
        <v>2025</v>
      </c>
      <c r="C4280" s="28" t="s">
        <v>145</v>
      </c>
      <c r="D4280" s="28" t="s">
        <v>42</v>
      </c>
      <c r="E4280" s="28" t="s">
        <v>717</v>
      </c>
      <c r="F4280" s="28" t="s">
        <v>147</v>
      </c>
      <c r="G4280" s="28" t="s">
        <v>441</v>
      </c>
      <c r="H4280" s="28" t="s">
        <v>159</v>
      </c>
      <c r="I4280" s="29" t="n">
        <v>25000</v>
      </c>
      <c r="J4280" s="29" t="n">
        <v>12500</v>
      </c>
      <c r="K4280" s="28" t="n">
        <v>9.75</v>
      </c>
      <c r="L4280" s="28" t="n">
        <v>120</v>
      </c>
      <c r="M4280" s="28" t="n">
        <v>100</v>
      </c>
    </row>
    <row r="4281" customFormat="false" ht="15" hidden="false" customHeight="false" outlineLevel="0" collapsed="false">
      <c r="A4281" s="27" t="n">
        <v>45712</v>
      </c>
      <c r="B4281" s="28" t="n">
        <v>2025</v>
      </c>
      <c r="C4281" s="28" t="s">
        <v>203</v>
      </c>
      <c r="D4281" s="28" t="s">
        <v>43</v>
      </c>
      <c r="E4281" s="28" t="s">
        <v>757</v>
      </c>
      <c r="F4281" s="28" t="s">
        <v>147</v>
      </c>
      <c r="G4281" s="28" t="s">
        <v>441</v>
      </c>
      <c r="H4281" s="28" t="s">
        <v>168</v>
      </c>
      <c r="I4281" s="29" t="n">
        <v>5000</v>
      </c>
      <c r="J4281" s="29" t="n">
        <v>2500</v>
      </c>
      <c r="K4281" s="28" t="n">
        <v>14</v>
      </c>
      <c r="L4281" s="28" t="n">
        <v>120</v>
      </c>
      <c r="M4281" s="28" t="n">
        <v>1</v>
      </c>
    </row>
    <row r="4282" customFormat="false" ht="15" hidden="false" customHeight="false" outlineLevel="0" collapsed="false">
      <c r="A4282" s="27" t="n">
        <v>45713</v>
      </c>
      <c r="B4282" s="28" t="n">
        <v>2025</v>
      </c>
      <c r="C4282" s="28" t="s">
        <v>169</v>
      </c>
      <c r="D4282" s="28" t="s">
        <v>44</v>
      </c>
      <c r="E4282" s="28" t="s">
        <v>920</v>
      </c>
      <c r="F4282" s="28" t="s">
        <v>142</v>
      </c>
      <c r="G4282" s="28" t="s">
        <v>143</v>
      </c>
      <c r="H4282" s="28" t="s">
        <v>144</v>
      </c>
      <c r="I4282" s="29" t="n">
        <v>250000</v>
      </c>
      <c r="J4282" s="29" t="n">
        <v>187500</v>
      </c>
      <c r="K4282" s="28" t="n">
        <v>11.99</v>
      </c>
      <c r="L4282" s="28" t="n">
        <v>120</v>
      </c>
      <c r="M4282" s="28" t="n">
        <v>7</v>
      </c>
    </row>
    <row r="4283" customFormat="false" ht="15" hidden="false" customHeight="false" outlineLevel="0" collapsed="false">
      <c r="A4283" s="27" t="n">
        <v>45713</v>
      </c>
      <c r="B4283" s="28" t="n">
        <v>2025</v>
      </c>
      <c r="C4283" s="28" t="s">
        <v>235</v>
      </c>
      <c r="D4283" s="28" t="s">
        <v>44</v>
      </c>
      <c r="E4283" s="28" t="s">
        <v>167</v>
      </c>
      <c r="F4283" s="28" t="s">
        <v>142</v>
      </c>
      <c r="G4283" s="28" t="s">
        <v>148</v>
      </c>
      <c r="H4283" s="28" t="s">
        <v>314</v>
      </c>
      <c r="I4283" s="29" t="n">
        <v>1990000</v>
      </c>
      <c r="J4283" s="29" t="n">
        <v>1492500</v>
      </c>
      <c r="K4283" s="28" t="n">
        <v>9</v>
      </c>
      <c r="L4283" s="28" t="n">
        <v>312</v>
      </c>
      <c r="M4283" s="28" t="n">
        <v>280</v>
      </c>
    </row>
    <row r="4284" customFormat="false" ht="15" hidden="false" customHeight="false" outlineLevel="0" collapsed="false">
      <c r="A4284" s="27" t="n">
        <v>45713</v>
      </c>
      <c r="B4284" s="28" t="n">
        <v>2025</v>
      </c>
      <c r="C4284" s="28" t="s">
        <v>172</v>
      </c>
      <c r="D4284" s="28" t="s">
        <v>48</v>
      </c>
      <c r="E4284" s="28" t="s">
        <v>765</v>
      </c>
      <c r="F4284" s="28" t="s">
        <v>142</v>
      </c>
      <c r="G4284" s="28" t="s">
        <v>148</v>
      </c>
      <c r="H4284" s="28" t="s">
        <v>171</v>
      </c>
      <c r="I4284" s="29" t="n">
        <v>72700</v>
      </c>
      <c r="J4284" s="29" t="n">
        <v>61795</v>
      </c>
      <c r="K4284" s="28" t="n">
        <v>12.25</v>
      </c>
      <c r="L4284" s="28" t="n">
        <v>120</v>
      </c>
      <c r="M4284" s="28" t="n">
        <v>5</v>
      </c>
    </row>
    <row r="4285" customFormat="false" ht="15" hidden="false" customHeight="false" outlineLevel="0" collapsed="false">
      <c r="A4285" s="27" t="n">
        <v>45713</v>
      </c>
      <c r="B4285" s="28" t="n">
        <v>2025</v>
      </c>
      <c r="C4285" s="28" t="s">
        <v>163</v>
      </c>
      <c r="D4285" s="28" t="s">
        <v>56</v>
      </c>
      <c r="E4285" s="28" t="s">
        <v>1095</v>
      </c>
      <c r="F4285" s="28" t="s">
        <v>142</v>
      </c>
      <c r="G4285" s="28" t="s">
        <v>152</v>
      </c>
      <c r="H4285" s="28" t="s">
        <v>417</v>
      </c>
      <c r="I4285" s="29" t="n">
        <v>203900</v>
      </c>
      <c r="J4285" s="29" t="n">
        <v>152925</v>
      </c>
      <c r="K4285" s="28" t="n">
        <v>10.5</v>
      </c>
      <c r="L4285" s="28" t="n">
        <v>120</v>
      </c>
      <c r="M4285" s="28" t="n">
        <v>4</v>
      </c>
    </row>
    <row r="4286" customFormat="false" ht="15" hidden="false" customHeight="false" outlineLevel="0" collapsed="false">
      <c r="A4286" s="27" t="n">
        <v>45713</v>
      </c>
      <c r="B4286" s="28" t="n">
        <v>2025</v>
      </c>
      <c r="C4286" s="28" t="s">
        <v>163</v>
      </c>
      <c r="D4286" s="28" t="s">
        <v>44</v>
      </c>
      <c r="E4286" s="28" t="s">
        <v>730</v>
      </c>
      <c r="F4286" s="28" t="s">
        <v>142</v>
      </c>
      <c r="G4286" s="28" t="s">
        <v>143</v>
      </c>
      <c r="H4286" s="28" t="s">
        <v>619</v>
      </c>
      <c r="I4286" s="29" t="n">
        <v>1000000</v>
      </c>
      <c r="J4286" s="29" t="n">
        <v>750000</v>
      </c>
      <c r="K4286" s="28" t="n">
        <v>10.25</v>
      </c>
      <c r="L4286" s="28" t="n">
        <v>300</v>
      </c>
      <c r="M4286" s="28" t="n">
        <v>30</v>
      </c>
    </row>
    <row r="4287" customFormat="false" ht="15" hidden="false" customHeight="false" outlineLevel="0" collapsed="false">
      <c r="A4287" s="27" t="n">
        <v>45714</v>
      </c>
      <c r="B4287" s="28" t="n">
        <v>2025</v>
      </c>
      <c r="C4287" s="28" t="s">
        <v>169</v>
      </c>
      <c r="D4287" s="28" t="s">
        <v>48</v>
      </c>
      <c r="E4287" s="28" t="s">
        <v>362</v>
      </c>
      <c r="F4287" s="28" t="s">
        <v>147</v>
      </c>
      <c r="G4287" s="28" t="s">
        <v>148</v>
      </c>
      <c r="H4287" s="28" t="s">
        <v>205</v>
      </c>
      <c r="I4287" s="29" t="n">
        <v>95000</v>
      </c>
      <c r="J4287" s="29" t="n">
        <v>47500</v>
      </c>
      <c r="K4287" s="28" t="n">
        <v>10.5</v>
      </c>
      <c r="L4287" s="28" t="n">
        <v>120</v>
      </c>
      <c r="M4287" s="28" t="n">
        <v>4</v>
      </c>
    </row>
    <row r="4288" customFormat="false" ht="15" hidden="false" customHeight="false" outlineLevel="0" collapsed="false">
      <c r="A4288" s="27" t="n">
        <v>45714</v>
      </c>
      <c r="B4288" s="28" t="n">
        <v>2025</v>
      </c>
      <c r="C4288" s="28" t="s">
        <v>196</v>
      </c>
      <c r="D4288" s="28" t="s">
        <v>48</v>
      </c>
      <c r="E4288" s="28" t="s">
        <v>704</v>
      </c>
      <c r="F4288" s="28" t="s">
        <v>147</v>
      </c>
      <c r="G4288" s="28" t="s">
        <v>148</v>
      </c>
      <c r="H4288" s="28" t="s">
        <v>428</v>
      </c>
      <c r="I4288" s="29" t="n">
        <v>300000</v>
      </c>
      <c r="J4288" s="29" t="n">
        <v>150000</v>
      </c>
      <c r="K4288" s="28" t="n">
        <v>10.4</v>
      </c>
      <c r="L4288" s="28" t="n">
        <v>120</v>
      </c>
      <c r="M4288" s="28" t="n">
        <v>32</v>
      </c>
    </row>
    <row r="4289" customFormat="false" ht="15" hidden="false" customHeight="false" outlineLevel="0" collapsed="false">
      <c r="A4289" s="27" t="n">
        <v>45714</v>
      </c>
      <c r="B4289" s="28" t="n">
        <v>2025</v>
      </c>
      <c r="C4289" s="28" t="s">
        <v>145</v>
      </c>
      <c r="D4289" s="28" t="s">
        <v>48</v>
      </c>
      <c r="E4289" s="28" t="s">
        <v>767</v>
      </c>
      <c r="F4289" s="28" t="s">
        <v>142</v>
      </c>
      <c r="G4289" s="28" t="s">
        <v>148</v>
      </c>
      <c r="H4289" s="28" t="s">
        <v>771</v>
      </c>
      <c r="I4289" s="29" t="n">
        <v>321400</v>
      </c>
      <c r="J4289" s="29" t="n">
        <v>241050</v>
      </c>
      <c r="K4289" s="28" t="n">
        <v>10.25</v>
      </c>
      <c r="L4289" s="28" t="n">
        <v>120</v>
      </c>
      <c r="M4289" s="28" t="n">
        <v>1</v>
      </c>
    </row>
    <row r="4290" customFormat="false" ht="15" hidden="false" customHeight="false" outlineLevel="0" collapsed="false">
      <c r="A4290" s="27" t="n">
        <v>45714</v>
      </c>
      <c r="B4290" s="28" t="n">
        <v>2025</v>
      </c>
      <c r="C4290" s="28" t="s">
        <v>1130</v>
      </c>
      <c r="D4290" s="28" t="s">
        <v>42</v>
      </c>
      <c r="E4290" s="28" t="s">
        <v>705</v>
      </c>
      <c r="F4290" s="28" t="s">
        <v>194</v>
      </c>
      <c r="G4290" s="28" t="s">
        <v>148</v>
      </c>
      <c r="H4290" s="28" t="s">
        <v>1131</v>
      </c>
      <c r="I4290" s="29" t="n">
        <v>1382000</v>
      </c>
      <c r="J4290" s="29" t="n">
        <v>1036500</v>
      </c>
      <c r="K4290" s="28" t="n">
        <v>9.5</v>
      </c>
      <c r="L4290" s="28" t="n">
        <v>300</v>
      </c>
      <c r="M4290" s="28" t="n">
        <v>22</v>
      </c>
    </row>
    <row r="4291" customFormat="false" ht="15" hidden="false" customHeight="false" outlineLevel="0" collapsed="false">
      <c r="A4291" s="27" t="n">
        <v>45715</v>
      </c>
      <c r="B4291" s="28" t="n">
        <v>2025</v>
      </c>
      <c r="C4291" s="28" t="s">
        <v>272</v>
      </c>
      <c r="D4291" s="28" t="s">
        <v>48</v>
      </c>
      <c r="E4291" s="28" t="s">
        <v>840</v>
      </c>
      <c r="F4291" s="28" t="s">
        <v>142</v>
      </c>
      <c r="G4291" s="28" t="s">
        <v>148</v>
      </c>
      <c r="H4291" s="28" t="s">
        <v>269</v>
      </c>
      <c r="I4291" s="29" t="n">
        <v>75000</v>
      </c>
      <c r="J4291" s="29" t="n">
        <v>63750</v>
      </c>
      <c r="K4291" s="28" t="n">
        <v>10.25</v>
      </c>
      <c r="L4291" s="28" t="n">
        <v>120</v>
      </c>
      <c r="M4291" s="28" t="n">
        <v>2</v>
      </c>
    </row>
    <row r="4292" customFormat="false" ht="15" hidden="false" customHeight="false" outlineLevel="0" collapsed="false">
      <c r="A4292" s="27" t="n">
        <v>45715</v>
      </c>
      <c r="B4292" s="28" t="n">
        <v>2025</v>
      </c>
      <c r="C4292" s="28" t="s">
        <v>206</v>
      </c>
      <c r="D4292" s="28" t="s">
        <v>43</v>
      </c>
      <c r="E4292" s="28" t="s">
        <v>826</v>
      </c>
      <c r="F4292" s="28" t="s">
        <v>142</v>
      </c>
      <c r="G4292" s="28" t="s">
        <v>148</v>
      </c>
      <c r="H4292" s="28" t="s">
        <v>771</v>
      </c>
      <c r="I4292" s="29" t="n">
        <v>50000</v>
      </c>
      <c r="J4292" s="29" t="n">
        <v>42500</v>
      </c>
      <c r="K4292" s="28" t="n">
        <v>10.25</v>
      </c>
      <c r="L4292" s="28" t="n">
        <v>120</v>
      </c>
      <c r="M4292" s="28" t="n">
        <v>4</v>
      </c>
    </row>
    <row r="4293" customFormat="false" ht="15" hidden="false" customHeight="false" outlineLevel="0" collapsed="false">
      <c r="A4293" s="27" t="n">
        <v>45715</v>
      </c>
      <c r="B4293" s="28" t="n">
        <v>2025</v>
      </c>
      <c r="C4293" s="28" t="s">
        <v>527</v>
      </c>
      <c r="D4293" s="28" t="s">
        <v>42</v>
      </c>
      <c r="E4293" s="28" t="s">
        <v>705</v>
      </c>
      <c r="F4293" s="28" t="s">
        <v>142</v>
      </c>
      <c r="G4293" s="28" t="s">
        <v>148</v>
      </c>
      <c r="H4293" s="28" t="s">
        <v>326</v>
      </c>
      <c r="I4293" s="29" t="n">
        <v>1675000</v>
      </c>
      <c r="J4293" s="29" t="n">
        <v>1256250</v>
      </c>
      <c r="K4293" s="28" t="n">
        <v>8.5</v>
      </c>
      <c r="L4293" s="28" t="n">
        <v>300</v>
      </c>
      <c r="M4293" s="28" t="n">
        <v>20</v>
      </c>
    </row>
    <row r="4294" customFormat="false" ht="15" hidden="false" customHeight="false" outlineLevel="0" collapsed="false">
      <c r="A4294" s="27" t="n">
        <v>45715</v>
      </c>
      <c r="B4294" s="28" t="n">
        <v>2025</v>
      </c>
      <c r="C4294" s="28" t="s">
        <v>265</v>
      </c>
      <c r="D4294" s="28" t="s">
        <v>52</v>
      </c>
      <c r="E4294" s="28" t="s">
        <v>604</v>
      </c>
      <c r="F4294" s="28" t="s">
        <v>147</v>
      </c>
      <c r="G4294" s="28" t="s">
        <v>441</v>
      </c>
      <c r="H4294" s="28" t="s">
        <v>266</v>
      </c>
      <c r="I4294" s="29" t="n">
        <v>50000</v>
      </c>
      <c r="J4294" s="29" t="n">
        <v>25000</v>
      </c>
      <c r="K4294" s="28" t="n">
        <v>7.5</v>
      </c>
      <c r="L4294" s="28" t="n">
        <v>120</v>
      </c>
      <c r="M4294" s="28" t="n">
        <v>13</v>
      </c>
    </row>
    <row r="4295" customFormat="false" ht="15" hidden="false" customHeight="false" outlineLevel="0" collapsed="false">
      <c r="A4295" s="27" t="n">
        <v>45716</v>
      </c>
      <c r="B4295" s="28" t="n">
        <v>2025</v>
      </c>
      <c r="C4295" s="28" t="s">
        <v>172</v>
      </c>
      <c r="D4295" s="28" t="s">
        <v>42</v>
      </c>
      <c r="E4295" s="28" t="s">
        <v>717</v>
      </c>
      <c r="F4295" s="28" t="s">
        <v>142</v>
      </c>
      <c r="G4295" s="28" t="s">
        <v>143</v>
      </c>
      <c r="H4295" s="28" t="s">
        <v>211</v>
      </c>
      <c r="I4295" s="29" t="n">
        <v>401000</v>
      </c>
      <c r="J4295" s="29" t="n">
        <v>300750</v>
      </c>
      <c r="K4295" s="28" t="n">
        <v>10.25</v>
      </c>
      <c r="L4295" s="28" t="n">
        <v>120</v>
      </c>
      <c r="M4295" s="28" t="n">
        <v>7</v>
      </c>
    </row>
    <row r="4296" customFormat="false" ht="15" hidden="false" customHeight="false" outlineLevel="0" collapsed="false">
      <c r="A4296" s="27" t="n">
        <v>45716</v>
      </c>
      <c r="B4296" s="28" t="n">
        <v>2025</v>
      </c>
      <c r="C4296" s="28" t="s">
        <v>166</v>
      </c>
      <c r="D4296" s="28" t="s">
        <v>42</v>
      </c>
      <c r="E4296" s="28" t="s">
        <v>717</v>
      </c>
      <c r="F4296" s="28" t="s">
        <v>142</v>
      </c>
      <c r="G4296" s="28" t="s">
        <v>143</v>
      </c>
      <c r="H4296" s="28" t="s">
        <v>799</v>
      </c>
      <c r="I4296" s="29" t="n">
        <v>1950000</v>
      </c>
      <c r="J4296" s="29" t="n">
        <v>1462500</v>
      </c>
      <c r="K4296" s="28" t="n">
        <v>9</v>
      </c>
      <c r="L4296" s="28" t="n">
        <v>300</v>
      </c>
      <c r="M4296" s="28" t="n">
        <v>10</v>
      </c>
    </row>
    <row r="4297" customFormat="false" ht="15" hidden="false" customHeight="false" outlineLevel="0" collapsed="false">
      <c r="A4297" s="27" t="n">
        <v>45716</v>
      </c>
      <c r="B4297" s="28" t="n">
        <v>2025</v>
      </c>
      <c r="C4297" s="28" t="s">
        <v>172</v>
      </c>
      <c r="D4297" s="28" t="s">
        <v>42</v>
      </c>
      <c r="E4297" s="28" t="s">
        <v>717</v>
      </c>
      <c r="F4297" s="28" t="s">
        <v>147</v>
      </c>
      <c r="G4297" s="28" t="s">
        <v>143</v>
      </c>
      <c r="H4297" s="28" t="s">
        <v>211</v>
      </c>
      <c r="I4297" s="29" t="n">
        <v>50000</v>
      </c>
      <c r="J4297" s="29" t="n">
        <v>25000</v>
      </c>
      <c r="K4297" s="28" t="n">
        <v>10.25</v>
      </c>
      <c r="L4297" s="28" t="n">
        <v>120</v>
      </c>
      <c r="M4297" s="28" t="n">
        <v>7</v>
      </c>
    </row>
    <row r="4298" customFormat="false" ht="15" hidden="false" customHeight="false" outlineLevel="0" collapsed="false">
      <c r="A4298" s="27" t="n">
        <v>45716</v>
      </c>
      <c r="B4298" s="28" t="n">
        <v>2025</v>
      </c>
      <c r="C4298" s="28" t="s">
        <v>328</v>
      </c>
      <c r="D4298" s="28" t="s">
        <v>53</v>
      </c>
      <c r="E4298" s="28" t="s">
        <v>734</v>
      </c>
      <c r="F4298" s="28" t="s">
        <v>142</v>
      </c>
      <c r="G4298" s="28" t="s">
        <v>441</v>
      </c>
      <c r="H4298" s="28" t="s">
        <v>1031</v>
      </c>
      <c r="I4298" s="29" t="n">
        <v>945000</v>
      </c>
      <c r="J4298" s="29" t="n">
        <v>708750</v>
      </c>
      <c r="K4298" s="28" t="n">
        <v>9</v>
      </c>
      <c r="L4298" s="28" t="n">
        <v>120</v>
      </c>
      <c r="M4298" s="28" t="n">
        <v>9</v>
      </c>
    </row>
    <row r="4299" customFormat="false" ht="15" hidden="false" customHeight="false" outlineLevel="0" collapsed="false">
      <c r="A4299" s="27" t="n">
        <v>45716</v>
      </c>
      <c r="B4299" s="28" t="n">
        <v>2025</v>
      </c>
      <c r="C4299" s="28" t="s">
        <v>172</v>
      </c>
      <c r="D4299" s="28" t="s">
        <v>45</v>
      </c>
      <c r="E4299" s="28" t="s">
        <v>222</v>
      </c>
      <c r="F4299" s="28" t="s">
        <v>142</v>
      </c>
      <c r="G4299" s="28" t="s">
        <v>148</v>
      </c>
      <c r="H4299" s="28" t="s">
        <v>269</v>
      </c>
      <c r="I4299" s="29" t="n">
        <v>100000</v>
      </c>
      <c r="J4299" s="29" t="n">
        <v>85000</v>
      </c>
      <c r="K4299" s="28" t="n">
        <v>10.25</v>
      </c>
      <c r="L4299" s="28" t="n">
        <v>120</v>
      </c>
      <c r="M4299" s="28" t="n">
        <v>2</v>
      </c>
    </row>
    <row r="4300" customFormat="false" ht="15" hidden="false" customHeight="false" outlineLevel="0" collapsed="false">
      <c r="A4300" s="27" t="n">
        <v>45719</v>
      </c>
      <c r="B4300" s="28" t="n">
        <v>2025</v>
      </c>
      <c r="C4300" s="28" t="s">
        <v>201</v>
      </c>
      <c r="D4300" s="28" t="s">
        <v>48</v>
      </c>
      <c r="E4300" s="28" t="s">
        <v>544</v>
      </c>
      <c r="F4300" s="28" t="s">
        <v>142</v>
      </c>
      <c r="G4300" s="28" t="s">
        <v>148</v>
      </c>
      <c r="H4300" s="28" t="s">
        <v>275</v>
      </c>
      <c r="I4300" s="29" t="n">
        <v>500000</v>
      </c>
      <c r="J4300" s="29" t="n">
        <v>375000</v>
      </c>
      <c r="K4300" s="28" t="n">
        <v>10.25</v>
      </c>
      <c r="L4300" s="28" t="n">
        <v>120</v>
      </c>
      <c r="M4300" s="28" t="n">
        <v>0</v>
      </c>
    </row>
    <row r="4301" customFormat="false" ht="15" hidden="false" customHeight="false" outlineLevel="0" collapsed="false">
      <c r="A4301" s="27" t="n">
        <v>45719</v>
      </c>
      <c r="B4301" s="28" t="n">
        <v>2025</v>
      </c>
      <c r="C4301" s="28" t="s">
        <v>145</v>
      </c>
      <c r="D4301" s="28" t="s">
        <v>46</v>
      </c>
      <c r="E4301" s="28" t="s">
        <v>746</v>
      </c>
      <c r="F4301" s="28" t="s">
        <v>147</v>
      </c>
      <c r="G4301" s="28" t="s">
        <v>441</v>
      </c>
      <c r="H4301" s="28" t="s">
        <v>205</v>
      </c>
      <c r="I4301" s="29" t="n">
        <v>50000</v>
      </c>
      <c r="J4301" s="29" t="n">
        <v>25000</v>
      </c>
      <c r="K4301" s="28" t="n">
        <v>10.5</v>
      </c>
      <c r="L4301" s="28" t="n">
        <v>120</v>
      </c>
      <c r="M4301" s="28" t="n">
        <v>1</v>
      </c>
    </row>
    <row r="4302" customFormat="false" ht="15" hidden="false" customHeight="false" outlineLevel="0" collapsed="false">
      <c r="A4302" s="27" t="n">
        <v>45719</v>
      </c>
      <c r="B4302" s="28" t="n">
        <v>2025</v>
      </c>
      <c r="C4302" s="28" t="s">
        <v>163</v>
      </c>
      <c r="D4302" s="28" t="s">
        <v>50</v>
      </c>
      <c r="E4302" s="28" t="s">
        <v>812</v>
      </c>
      <c r="F4302" s="28" t="s">
        <v>142</v>
      </c>
      <c r="G4302" s="28" t="s">
        <v>441</v>
      </c>
      <c r="H4302" s="28" t="s">
        <v>275</v>
      </c>
      <c r="I4302" s="29" t="n">
        <v>600000</v>
      </c>
      <c r="J4302" s="29" t="n">
        <v>450000</v>
      </c>
      <c r="K4302" s="28" t="n">
        <v>10.25</v>
      </c>
      <c r="L4302" s="28" t="n">
        <v>120</v>
      </c>
      <c r="M4302" s="28" t="n">
        <v>2</v>
      </c>
    </row>
    <row r="4303" customFormat="false" ht="15" hidden="false" customHeight="false" outlineLevel="0" collapsed="false">
      <c r="A4303" s="27" t="n">
        <v>45719</v>
      </c>
      <c r="B4303" s="28" t="n">
        <v>2025</v>
      </c>
      <c r="C4303" s="28" t="s">
        <v>504</v>
      </c>
      <c r="D4303" s="28" t="s">
        <v>43</v>
      </c>
      <c r="E4303" s="28" t="s">
        <v>757</v>
      </c>
      <c r="F4303" s="28" t="s">
        <v>142</v>
      </c>
      <c r="G4303" s="28" t="s">
        <v>148</v>
      </c>
      <c r="H4303" s="28" t="s">
        <v>771</v>
      </c>
      <c r="I4303" s="29" t="n">
        <v>350000</v>
      </c>
      <c r="J4303" s="29" t="n">
        <v>262500</v>
      </c>
      <c r="K4303" s="28" t="n">
        <v>10.25</v>
      </c>
      <c r="L4303" s="28" t="n">
        <v>120</v>
      </c>
      <c r="M4303" s="28" t="n">
        <v>3</v>
      </c>
    </row>
    <row r="4304" customFormat="false" ht="15" hidden="false" customHeight="false" outlineLevel="0" collapsed="false">
      <c r="A4304" s="27" t="n">
        <v>45719</v>
      </c>
      <c r="B4304" s="28" t="n">
        <v>2025</v>
      </c>
      <c r="C4304" s="28" t="s">
        <v>172</v>
      </c>
      <c r="D4304" s="28" t="s">
        <v>48</v>
      </c>
      <c r="E4304" s="28" t="s">
        <v>765</v>
      </c>
      <c r="F4304" s="28" t="s">
        <v>142</v>
      </c>
      <c r="G4304" s="28" t="s">
        <v>148</v>
      </c>
      <c r="H4304" s="28" t="s">
        <v>456</v>
      </c>
      <c r="I4304" s="29" t="n">
        <v>150000</v>
      </c>
      <c r="J4304" s="29" t="n">
        <v>127500</v>
      </c>
      <c r="K4304" s="28" t="n">
        <v>10.5</v>
      </c>
      <c r="L4304" s="28" t="n">
        <v>120</v>
      </c>
      <c r="M4304" s="28" t="n">
        <v>20</v>
      </c>
    </row>
    <row r="4305" customFormat="false" ht="15" hidden="false" customHeight="false" outlineLevel="0" collapsed="false">
      <c r="A4305" s="27" t="n">
        <v>45719</v>
      </c>
      <c r="B4305" s="28" t="n">
        <v>2025</v>
      </c>
      <c r="C4305" s="28" t="s">
        <v>160</v>
      </c>
      <c r="D4305" s="28" t="s">
        <v>42</v>
      </c>
      <c r="E4305" s="28" t="s">
        <v>176</v>
      </c>
      <c r="F4305" s="28" t="s">
        <v>147</v>
      </c>
      <c r="G4305" s="28" t="s">
        <v>148</v>
      </c>
      <c r="H4305" s="28" t="s">
        <v>205</v>
      </c>
      <c r="I4305" s="29" t="n">
        <v>20000</v>
      </c>
      <c r="J4305" s="29" t="n">
        <v>10000</v>
      </c>
      <c r="K4305" s="28" t="n">
        <v>10.5</v>
      </c>
      <c r="L4305" s="28" t="n">
        <v>120</v>
      </c>
      <c r="M4305" s="28" t="n">
        <v>0</v>
      </c>
    </row>
    <row r="4306" customFormat="false" ht="15" hidden="false" customHeight="false" outlineLevel="0" collapsed="false">
      <c r="A4306" s="27" t="n">
        <v>45719</v>
      </c>
      <c r="B4306" s="28" t="n">
        <v>2025</v>
      </c>
      <c r="C4306" s="28" t="s">
        <v>172</v>
      </c>
      <c r="D4306" s="28" t="s">
        <v>44</v>
      </c>
      <c r="E4306" s="28" t="s">
        <v>729</v>
      </c>
      <c r="F4306" s="28" t="s">
        <v>142</v>
      </c>
      <c r="G4306" s="28" t="s">
        <v>148</v>
      </c>
      <c r="H4306" s="28" t="s">
        <v>149</v>
      </c>
      <c r="I4306" s="29" t="n">
        <v>310000</v>
      </c>
      <c r="J4306" s="29" t="n">
        <v>232500</v>
      </c>
      <c r="K4306" s="28" t="n">
        <v>9.25</v>
      </c>
      <c r="L4306" s="28" t="n">
        <v>300</v>
      </c>
      <c r="M4306" s="28" t="n">
        <v>3</v>
      </c>
    </row>
    <row r="4307" customFormat="false" ht="15" hidden="false" customHeight="false" outlineLevel="0" collapsed="false">
      <c r="A4307" s="27" t="n">
        <v>45719</v>
      </c>
      <c r="B4307" s="28" t="n">
        <v>2025</v>
      </c>
      <c r="C4307" s="28" t="s">
        <v>163</v>
      </c>
      <c r="D4307" s="28" t="s">
        <v>47</v>
      </c>
      <c r="E4307" s="28" t="s">
        <v>1132</v>
      </c>
      <c r="F4307" s="28" t="s">
        <v>142</v>
      </c>
      <c r="G4307" s="28" t="s">
        <v>148</v>
      </c>
      <c r="H4307" s="28" t="s">
        <v>937</v>
      </c>
      <c r="I4307" s="29" t="n">
        <v>51700</v>
      </c>
      <c r="J4307" s="29" t="n">
        <v>43945</v>
      </c>
      <c r="K4307" s="28" t="n">
        <v>12.5</v>
      </c>
      <c r="L4307" s="28" t="n">
        <v>120</v>
      </c>
      <c r="M4307" s="28" t="n">
        <v>5</v>
      </c>
    </row>
    <row r="4308" customFormat="false" ht="15" hidden="false" customHeight="false" outlineLevel="0" collapsed="false">
      <c r="A4308" s="27" t="n">
        <v>45719</v>
      </c>
      <c r="B4308" s="28" t="n">
        <v>2025</v>
      </c>
      <c r="C4308" s="28" t="s">
        <v>549</v>
      </c>
      <c r="D4308" s="28" t="s">
        <v>45</v>
      </c>
      <c r="E4308" s="28" t="s">
        <v>336</v>
      </c>
      <c r="F4308" s="28" t="s">
        <v>142</v>
      </c>
      <c r="G4308" s="28" t="s">
        <v>148</v>
      </c>
      <c r="H4308" s="28" t="s">
        <v>771</v>
      </c>
      <c r="I4308" s="29" t="n">
        <v>85000</v>
      </c>
      <c r="J4308" s="29" t="n">
        <v>72250</v>
      </c>
      <c r="K4308" s="28" t="n">
        <v>10.25</v>
      </c>
      <c r="L4308" s="28" t="n">
        <v>120</v>
      </c>
      <c r="M4308" s="28" t="n">
        <v>1</v>
      </c>
    </row>
    <row r="4309" customFormat="false" ht="15" hidden="false" customHeight="false" outlineLevel="0" collapsed="false">
      <c r="A4309" s="27" t="n">
        <v>45719</v>
      </c>
      <c r="B4309" s="28" t="n">
        <v>2025</v>
      </c>
      <c r="C4309" s="28" t="s">
        <v>316</v>
      </c>
      <c r="D4309" s="28" t="s">
        <v>46</v>
      </c>
      <c r="E4309" s="28" t="s">
        <v>782</v>
      </c>
      <c r="F4309" s="28" t="s">
        <v>147</v>
      </c>
      <c r="G4309" s="28" t="s">
        <v>148</v>
      </c>
      <c r="H4309" s="28" t="s">
        <v>396</v>
      </c>
      <c r="I4309" s="29" t="n">
        <v>22000</v>
      </c>
      <c r="J4309" s="29" t="n">
        <v>11000</v>
      </c>
      <c r="K4309" s="28" t="n">
        <v>8.5</v>
      </c>
      <c r="L4309" s="28" t="n">
        <v>48</v>
      </c>
      <c r="M4309" s="28" t="n">
        <v>0</v>
      </c>
    </row>
    <row r="4310" customFormat="false" ht="15" hidden="false" customHeight="false" outlineLevel="0" collapsed="false">
      <c r="A4310" s="27" t="n">
        <v>45719</v>
      </c>
      <c r="B4310" s="28" t="n">
        <v>2025</v>
      </c>
      <c r="C4310" s="28" t="s">
        <v>169</v>
      </c>
      <c r="D4310" s="28" t="s">
        <v>48</v>
      </c>
      <c r="E4310" s="28" t="s">
        <v>765</v>
      </c>
      <c r="F4310" s="28" t="s">
        <v>142</v>
      </c>
      <c r="G4310" s="28" t="s">
        <v>148</v>
      </c>
      <c r="H4310" s="28" t="s">
        <v>171</v>
      </c>
      <c r="I4310" s="29" t="n">
        <v>83000</v>
      </c>
      <c r="J4310" s="29" t="n">
        <v>70550</v>
      </c>
      <c r="K4310" s="28" t="n">
        <v>12.25</v>
      </c>
      <c r="L4310" s="28" t="n">
        <v>120</v>
      </c>
      <c r="M4310" s="28" t="n">
        <v>0</v>
      </c>
    </row>
    <row r="4311" customFormat="false" ht="15" hidden="false" customHeight="false" outlineLevel="0" collapsed="false">
      <c r="A4311" s="27" t="n">
        <v>45720</v>
      </c>
      <c r="B4311" s="28" t="n">
        <v>2025</v>
      </c>
      <c r="C4311" s="28" t="s">
        <v>169</v>
      </c>
      <c r="D4311" s="28" t="s">
        <v>42</v>
      </c>
      <c r="E4311" s="28" t="s">
        <v>717</v>
      </c>
      <c r="F4311" s="28" t="s">
        <v>142</v>
      </c>
      <c r="G4311" s="28" t="s">
        <v>143</v>
      </c>
      <c r="H4311" s="28" t="s">
        <v>291</v>
      </c>
      <c r="I4311" s="29" t="n">
        <v>489000</v>
      </c>
      <c r="J4311" s="29" t="n">
        <v>366750</v>
      </c>
      <c r="K4311" s="28" t="n">
        <v>10.25</v>
      </c>
      <c r="L4311" s="28" t="n">
        <v>126</v>
      </c>
      <c r="M4311" s="28" t="n">
        <v>57</v>
      </c>
    </row>
    <row r="4312" customFormat="false" ht="15" hidden="false" customHeight="false" outlineLevel="0" collapsed="false">
      <c r="A4312" s="27" t="n">
        <v>45720</v>
      </c>
      <c r="B4312" s="28" t="n">
        <v>2025</v>
      </c>
      <c r="C4312" s="28" t="s">
        <v>213</v>
      </c>
      <c r="D4312" s="28" t="s">
        <v>52</v>
      </c>
      <c r="E4312" s="28" t="s">
        <v>720</v>
      </c>
      <c r="F4312" s="28" t="s">
        <v>142</v>
      </c>
      <c r="G4312" s="28" t="s">
        <v>148</v>
      </c>
      <c r="H4312" s="28" t="s">
        <v>469</v>
      </c>
      <c r="I4312" s="29" t="n">
        <v>182000</v>
      </c>
      <c r="J4312" s="29" t="n">
        <v>136500</v>
      </c>
      <c r="K4312" s="28" t="n">
        <v>6.5</v>
      </c>
      <c r="L4312" s="28" t="n">
        <v>96</v>
      </c>
      <c r="M4312" s="28" t="n">
        <v>4</v>
      </c>
    </row>
    <row r="4313" customFormat="false" ht="15" hidden="false" customHeight="false" outlineLevel="0" collapsed="false">
      <c r="A4313" s="27" t="n">
        <v>45720</v>
      </c>
      <c r="B4313" s="28" t="n">
        <v>2025</v>
      </c>
      <c r="C4313" s="28" t="s">
        <v>206</v>
      </c>
      <c r="D4313" s="28" t="s">
        <v>52</v>
      </c>
      <c r="E4313" s="28" t="s">
        <v>720</v>
      </c>
      <c r="F4313" s="28" t="s">
        <v>142</v>
      </c>
      <c r="G4313" s="28" t="s">
        <v>148</v>
      </c>
      <c r="H4313" s="28" t="s">
        <v>771</v>
      </c>
      <c r="I4313" s="29" t="n">
        <v>87500</v>
      </c>
      <c r="J4313" s="29" t="n">
        <v>74375</v>
      </c>
      <c r="K4313" s="28" t="n">
        <v>10.25</v>
      </c>
      <c r="L4313" s="28" t="n">
        <v>120</v>
      </c>
      <c r="M4313" s="28" t="n">
        <v>5</v>
      </c>
    </row>
    <row r="4314" customFormat="false" ht="15" hidden="false" customHeight="false" outlineLevel="0" collapsed="false">
      <c r="A4314" s="27" t="n">
        <v>45720</v>
      </c>
      <c r="B4314" s="28" t="n">
        <v>2025</v>
      </c>
      <c r="C4314" s="28" t="s">
        <v>140</v>
      </c>
      <c r="D4314" s="28" t="s">
        <v>50</v>
      </c>
      <c r="E4314" s="28" t="s">
        <v>1069</v>
      </c>
      <c r="F4314" s="28" t="s">
        <v>142</v>
      </c>
      <c r="G4314" s="28" t="s">
        <v>148</v>
      </c>
      <c r="H4314" s="28" t="s">
        <v>953</v>
      </c>
      <c r="I4314" s="29" t="n">
        <v>95000</v>
      </c>
      <c r="J4314" s="29" t="n">
        <v>80750</v>
      </c>
      <c r="K4314" s="28" t="n">
        <v>10</v>
      </c>
      <c r="L4314" s="28" t="n">
        <v>120</v>
      </c>
      <c r="M4314" s="28" t="n">
        <v>28</v>
      </c>
    </row>
    <row r="4315" customFormat="false" ht="15" hidden="false" customHeight="false" outlineLevel="0" collapsed="false">
      <c r="A4315" s="27" t="n">
        <v>45720</v>
      </c>
      <c r="B4315" s="28" t="n">
        <v>2025</v>
      </c>
      <c r="C4315" s="28" t="s">
        <v>421</v>
      </c>
      <c r="D4315" s="28" t="s">
        <v>42</v>
      </c>
      <c r="E4315" s="28" t="s">
        <v>717</v>
      </c>
      <c r="F4315" s="28" t="s">
        <v>142</v>
      </c>
      <c r="G4315" s="28" t="s">
        <v>148</v>
      </c>
      <c r="H4315" s="28" t="s">
        <v>771</v>
      </c>
      <c r="I4315" s="29" t="n">
        <v>80000</v>
      </c>
      <c r="J4315" s="29" t="n">
        <v>68000</v>
      </c>
      <c r="K4315" s="28" t="n">
        <v>10.25</v>
      </c>
      <c r="L4315" s="28" t="n">
        <v>120</v>
      </c>
      <c r="M4315" s="28" t="n">
        <v>12</v>
      </c>
    </row>
    <row r="4316" customFormat="false" ht="15" hidden="false" customHeight="false" outlineLevel="0" collapsed="false">
      <c r="A4316" s="27" t="n">
        <v>45720</v>
      </c>
      <c r="B4316" s="28" t="n">
        <v>2025</v>
      </c>
      <c r="C4316" s="28" t="s">
        <v>145</v>
      </c>
      <c r="D4316" s="28" t="s">
        <v>48</v>
      </c>
      <c r="E4316" s="28" t="s">
        <v>210</v>
      </c>
      <c r="F4316" s="28" t="s">
        <v>142</v>
      </c>
      <c r="G4316" s="28" t="s">
        <v>148</v>
      </c>
      <c r="H4316" s="28" t="s">
        <v>159</v>
      </c>
      <c r="I4316" s="29" t="n">
        <v>860800</v>
      </c>
      <c r="J4316" s="29" t="n">
        <v>645600</v>
      </c>
      <c r="K4316" s="28" t="n">
        <v>9</v>
      </c>
      <c r="L4316" s="28" t="n">
        <v>120</v>
      </c>
      <c r="M4316" s="28" t="n">
        <v>20</v>
      </c>
    </row>
    <row r="4317" customFormat="false" ht="15" hidden="false" customHeight="false" outlineLevel="0" collapsed="false">
      <c r="A4317" s="27" t="n">
        <v>45720</v>
      </c>
      <c r="B4317" s="28" t="n">
        <v>2025</v>
      </c>
      <c r="C4317" s="28" t="s">
        <v>172</v>
      </c>
      <c r="D4317" s="28" t="s">
        <v>52</v>
      </c>
      <c r="E4317" s="28" t="s">
        <v>673</v>
      </c>
      <c r="F4317" s="28" t="s">
        <v>142</v>
      </c>
      <c r="G4317" s="28" t="s">
        <v>152</v>
      </c>
      <c r="H4317" s="28" t="s">
        <v>211</v>
      </c>
      <c r="I4317" s="29" t="n">
        <v>2005000</v>
      </c>
      <c r="J4317" s="29" t="n">
        <v>1503750</v>
      </c>
      <c r="K4317" s="28" t="n">
        <v>9.5</v>
      </c>
      <c r="L4317" s="28" t="n">
        <v>120</v>
      </c>
      <c r="M4317" s="28" t="n">
        <v>32</v>
      </c>
    </row>
    <row r="4318" customFormat="false" ht="15" hidden="false" customHeight="false" outlineLevel="0" collapsed="false">
      <c r="A4318" s="27" t="n">
        <v>45720</v>
      </c>
      <c r="B4318" s="28" t="n">
        <v>2025</v>
      </c>
      <c r="C4318" s="28" t="s">
        <v>243</v>
      </c>
      <c r="D4318" s="28" t="s">
        <v>48</v>
      </c>
      <c r="E4318" s="28" t="s">
        <v>815</v>
      </c>
      <c r="F4318" s="28" t="s">
        <v>147</v>
      </c>
      <c r="G4318" s="28" t="s">
        <v>148</v>
      </c>
      <c r="H4318" s="28" t="s">
        <v>159</v>
      </c>
      <c r="I4318" s="29" t="n">
        <v>30000</v>
      </c>
      <c r="J4318" s="29" t="n">
        <v>15000</v>
      </c>
      <c r="K4318" s="28" t="n">
        <v>9.75</v>
      </c>
      <c r="L4318" s="28" t="n">
        <v>120</v>
      </c>
      <c r="M4318" s="28" t="n">
        <v>0</v>
      </c>
    </row>
    <row r="4319" customFormat="false" ht="15" hidden="false" customHeight="false" outlineLevel="0" collapsed="false">
      <c r="A4319" s="27" t="n">
        <v>45720</v>
      </c>
      <c r="B4319" s="28" t="n">
        <v>2025</v>
      </c>
      <c r="C4319" s="28" t="s">
        <v>145</v>
      </c>
      <c r="D4319" s="28" t="s">
        <v>48</v>
      </c>
      <c r="E4319" s="28" t="s">
        <v>210</v>
      </c>
      <c r="F4319" s="28" t="s">
        <v>147</v>
      </c>
      <c r="G4319" s="28" t="s">
        <v>148</v>
      </c>
      <c r="H4319" s="28" t="s">
        <v>159</v>
      </c>
      <c r="I4319" s="29" t="n">
        <v>500000</v>
      </c>
      <c r="J4319" s="29" t="n">
        <v>250000</v>
      </c>
      <c r="K4319" s="28" t="n">
        <v>9</v>
      </c>
      <c r="L4319" s="28" t="n">
        <v>120</v>
      </c>
      <c r="M4319" s="28" t="n">
        <v>20</v>
      </c>
    </row>
    <row r="4320" customFormat="false" ht="15" hidden="false" customHeight="false" outlineLevel="0" collapsed="false">
      <c r="A4320" s="27" t="n">
        <v>45721</v>
      </c>
      <c r="B4320" s="28" t="n">
        <v>2025</v>
      </c>
      <c r="C4320" s="28" t="s">
        <v>166</v>
      </c>
      <c r="D4320" s="28" t="s">
        <v>49</v>
      </c>
      <c r="E4320" s="28" t="s">
        <v>1133</v>
      </c>
      <c r="F4320" s="28" t="s">
        <v>142</v>
      </c>
      <c r="G4320" s="28" t="s">
        <v>143</v>
      </c>
      <c r="H4320" s="28" t="s">
        <v>1134</v>
      </c>
      <c r="I4320" s="29" t="n">
        <v>285400</v>
      </c>
      <c r="J4320" s="29" t="n">
        <v>214050</v>
      </c>
      <c r="K4320" s="28" t="n">
        <v>10.25</v>
      </c>
      <c r="L4320" s="28" t="n">
        <v>120</v>
      </c>
      <c r="M4320" s="28" t="n">
        <v>2</v>
      </c>
    </row>
    <row r="4321" customFormat="false" ht="15" hidden="false" customHeight="false" outlineLevel="0" collapsed="false">
      <c r="A4321" s="27" t="n">
        <v>45721</v>
      </c>
      <c r="B4321" s="28" t="n">
        <v>2025</v>
      </c>
      <c r="C4321" s="28" t="s">
        <v>353</v>
      </c>
      <c r="D4321" s="28" t="s">
        <v>54</v>
      </c>
      <c r="E4321" s="28" t="s">
        <v>791</v>
      </c>
      <c r="F4321" s="28" t="s">
        <v>142</v>
      </c>
      <c r="G4321" s="28" t="s">
        <v>441</v>
      </c>
      <c r="H4321" s="28" t="s">
        <v>287</v>
      </c>
      <c r="I4321" s="29" t="n">
        <v>2070000</v>
      </c>
      <c r="J4321" s="29" t="n">
        <v>1552500</v>
      </c>
      <c r="K4321" s="28" t="n">
        <v>10</v>
      </c>
      <c r="L4321" s="28" t="n">
        <v>120</v>
      </c>
      <c r="M4321" s="28" t="n">
        <v>7</v>
      </c>
    </row>
    <row r="4322" customFormat="false" ht="15" hidden="false" customHeight="false" outlineLevel="0" collapsed="false">
      <c r="A4322" s="27" t="n">
        <v>45721</v>
      </c>
      <c r="B4322" s="28" t="n">
        <v>2025</v>
      </c>
      <c r="C4322" s="28" t="s">
        <v>213</v>
      </c>
      <c r="D4322" s="28" t="s">
        <v>45</v>
      </c>
      <c r="E4322" s="28" t="s">
        <v>874</v>
      </c>
      <c r="F4322" s="28" t="s">
        <v>142</v>
      </c>
      <c r="G4322" s="28" t="s">
        <v>152</v>
      </c>
      <c r="H4322" s="28" t="s">
        <v>845</v>
      </c>
      <c r="I4322" s="29" t="n">
        <v>5000000</v>
      </c>
      <c r="J4322" s="29" t="n">
        <v>3750000</v>
      </c>
      <c r="K4322" s="28" t="n">
        <v>9.75</v>
      </c>
      <c r="L4322" s="28" t="n">
        <v>120</v>
      </c>
      <c r="M4322" s="28" t="n">
        <v>20</v>
      </c>
    </row>
    <row r="4323" customFormat="false" ht="15" hidden="false" customHeight="false" outlineLevel="0" collapsed="false">
      <c r="A4323" s="27" t="n">
        <v>45721</v>
      </c>
      <c r="B4323" s="28" t="n">
        <v>2025</v>
      </c>
      <c r="C4323" s="28" t="s">
        <v>160</v>
      </c>
      <c r="D4323" s="28" t="s">
        <v>53</v>
      </c>
      <c r="E4323" s="28" t="s">
        <v>1135</v>
      </c>
      <c r="F4323" s="28" t="s">
        <v>142</v>
      </c>
      <c r="G4323" s="28" t="s">
        <v>441</v>
      </c>
      <c r="H4323" s="28" t="s">
        <v>165</v>
      </c>
      <c r="I4323" s="29" t="n">
        <v>1000000</v>
      </c>
      <c r="J4323" s="29" t="n">
        <v>750000</v>
      </c>
      <c r="K4323" s="28" t="n">
        <v>9.5</v>
      </c>
      <c r="L4323" s="28" t="n">
        <v>120</v>
      </c>
      <c r="M4323" s="28" t="n">
        <v>2</v>
      </c>
    </row>
    <row r="4324" customFormat="false" ht="15" hidden="false" customHeight="false" outlineLevel="0" collapsed="false">
      <c r="A4324" s="27" t="n">
        <v>45721</v>
      </c>
      <c r="B4324" s="28" t="n">
        <v>2025</v>
      </c>
      <c r="C4324" s="28" t="s">
        <v>500</v>
      </c>
      <c r="D4324" s="28" t="s">
        <v>44</v>
      </c>
      <c r="E4324" s="28" t="s">
        <v>167</v>
      </c>
      <c r="F4324" s="28" t="s">
        <v>142</v>
      </c>
      <c r="G4324" s="28" t="s">
        <v>148</v>
      </c>
      <c r="H4324" s="28" t="s">
        <v>275</v>
      </c>
      <c r="I4324" s="29" t="n">
        <v>50000</v>
      </c>
      <c r="J4324" s="29" t="n">
        <v>42500</v>
      </c>
      <c r="K4324" s="28" t="n">
        <v>14</v>
      </c>
      <c r="L4324" s="28" t="n">
        <v>120</v>
      </c>
      <c r="M4324" s="28" t="n">
        <v>2</v>
      </c>
    </row>
    <row r="4325" customFormat="false" ht="15" hidden="false" customHeight="false" outlineLevel="0" collapsed="false">
      <c r="A4325" s="27" t="n">
        <v>45721</v>
      </c>
      <c r="B4325" s="28" t="n">
        <v>2025</v>
      </c>
      <c r="C4325" s="28" t="s">
        <v>206</v>
      </c>
      <c r="D4325" s="28" t="s">
        <v>51</v>
      </c>
      <c r="E4325" s="28" t="s">
        <v>800</v>
      </c>
      <c r="F4325" s="28" t="s">
        <v>142</v>
      </c>
      <c r="G4325" s="28" t="s">
        <v>143</v>
      </c>
      <c r="H4325" s="28" t="s">
        <v>211</v>
      </c>
      <c r="I4325" s="29" t="n">
        <v>416000</v>
      </c>
      <c r="J4325" s="29" t="n">
        <v>312000</v>
      </c>
      <c r="K4325" s="28" t="n">
        <v>10.25</v>
      </c>
      <c r="L4325" s="28" t="n">
        <v>129</v>
      </c>
      <c r="M4325" s="28" t="n">
        <v>5</v>
      </c>
    </row>
    <row r="4326" customFormat="false" ht="15" hidden="false" customHeight="false" outlineLevel="0" collapsed="false">
      <c r="A4326" s="27" t="n">
        <v>45721</v>
      </c>
      <c r="B4326" s="28" t="n">
        <v>2025</v>
      </c>
      <c r="C4326" s="28" t="s">
        <v>677</v>
      </c>
      <c r="D4326" s="28" t="s">
        <v>55</v>
      </c>
      <c r="E4326" s="28" t="s">
        <v>1136</v>
      </c>
      <c r="F4326" s="28" t="s">
        <v>142</v>
      </c>
      <c r="G4326" s="28" t="s">
        <v>152</v>
      </c>
      <c r="H4326" s="28" t="s">
        <v>306</v>
      </c>
      <c r="I4326" s="29" t="n">
        <v>958300</v>
      </c>
      <c r="J4326" s="29" t="n">
        <v>718725</v>
      </c>
      <c r="K4326" s="28" t="n">
        <v>10.25</v>
      </c>
      <c r="L4326" s="28" t="n">
        <v>120</v>
      </c>
      <c r="M4326" s="28" t="n">
        <v>0</v>
      </c>
    </row>
    <row r="4327" customFormat="false" ht="15" hidden="false" customHeight="false" outlineLevel="0" collapsed="false">
      <c r="A4327" s="27" t="n">
        <v>45721</v>
      </c>
      <c r="B4327" s="28" t="n">
        <v>2025</v>
      </c>
      <c r="C4327" s="28" t="s">
        <v>310</v>
      </c>
      <c r="D4327" s="28" t="s">
        <v>49</v>
      </c>
      <c r="E4327" s="28" t="s">
        <v>1008</v>
      </c>
      <c r="F4327" s="28" t="s">
        <v>142</v>
      </c>
      <c r="G4327" s="28" t="s">
        <v>441</v>
      </c>
      <c r="H4327" s="28" t="s">
        <v>469</v>
      </c>
      <c r="I4327" s="29" t="n">
        <v>58000</v>
      </c>
      <c r="J4327" s="29" t="n">
        <v>49300</v>
      </c>
      <c r="K4327" s="28" t="n">
        <v>10</v>
      </c>
      <c r="L4327" s="28" t="n">
        <v>120</v>
      </c>
      <c r="M4327" s="28" t="n">
        <v>0</v>
      </c>
    </row>
    <row r="4328" customFormat="false" ht="15" hidden="false" customHeight="false" outlineLevel="0" collapsed="false">
      <c r="A4328" s="27" t="n">
        <v>45721</v>
      </c>
      <c r="B4328" s="28" t="n">
        <v>2025</v>
      </c>
      <c r="C4328" s="28" t="s">
        <v>206</v>
      </c>
      <c r="D4328" s="28" t="s">
        <v>51</v>
      </c>
      <c r="E4328" s="28" t="s">
        <v>800</v>
      </c>
      <c r="F4328" s="28" t="s">
        <v>147</v>
      </c>
      <c r="G4328" s="28" t="s">
        <v>143</v>
      </c>
      <c r="H4328" s="28" t="s">
        <v>211</v>
      </c>
      <c r="I4328" s="29" t="n">
        <v>40000</v>
      </c>
      <c r="J4328" s="29" t="n">
        <v>20000</v>
      </c>
      <c r="K4328" s="28" t="n">
        <v>10.25</v>
      </c>
      <c r="L4328" s="28" t="n">
        <v>120</v>
      </c>
      <c r="M4328" s="28" t="n">
        <v>5</v>
      </c>
    </row>
    <row r="4329" customFormat="false" ht="15" hidden="false" customHeight="false" outlineLevel="0" collapsed="false">
      <c r="A4329" s="27" t="n">
        <v>45722</v>
      </c>
      <c r="B4329" s="28" t="n">
        <v>2025</v>
      </c>
      <c r="C4329" s="28" t="s">
        <v>145</v>
      </c>
      <c r="D4329" s="28" t="s">
        <v>46</v>
      </c>
      <c r="E4329" s="28" t="s">
        <v>727</v>
      </c>
      <c r="F4329" s="28" t="s">
        <v>142</v>
      </c>
      <c r="G4329" s="28" t="s">
        <v>152</v>
      </c>
      <c r="H4329" s="28" t="s">
        <v>159</v>
      </c>
      <c r="I4329" s="29" t="n">
        <v>352500</v>
      </c>
      <c r="J4329" s="29" t="n">
        <v>264375</v>
      </c>
      <c r="K4329" s="28" t="n">
        <v>9.5</v>
      </c>
      <c r="L4329" s="28" t="n">
        <v>120</v>
      </c>
      <c r="M4329" s="28" t="n">
        <v>12</v>
      </c>
    </row>
    <row r="4330" customFormat="false" ht="15" hidden="false" customHeight="false" outlineLevel="0" collapsed="false">
      <c r="A4330" s="27" t="n">
        <v>45722</v>
      </c>
      <c r="B4330" s="28" t="n">
        <v>2025</v>
      </c>
      <c r="C4330" s="28" t="s">
        <v>172</v>
      </c>
      <c r="D4330" s="28" t="s">
        <v>47</v>
      </c>
      <c r="E4330" s="28" t="s">
        <v>817</v>
      </c>
      <c r="F4330" s="28" t="s">
        <v>142</v>
      </c>
      <c r="G4330" s="28" t="s">
        <v>148</v>
      </c>
      <c r="H4330" s="28" t="s">
        <v>168</v>
      </c>
      <c r="I4330" s="29" t="n">
        <v>1509400</v>
      </c>
      <c r="J4330" s="29" t="n">
        <v>1132050</v>
      </c>
      <c r="K4330" s="28" t="n">
        <v>6.95</v>
      </c>
      <c r="L4330" s="28" t="n">
        <v>300</v>
      </c>
      <c r="M4330" s="28" t="n">
        <v>22</v>
      </c>
    </row>
    <row r="4331" customFormat="false" ht="15" hidden="false" customHeight="false" outlineLevel="0" collapsed="false">
      <c r="A4331" s="27" t="n">
        <v>45722</v>
      </c>
      <c r="B4331" s="28" t="n">
        <v>2025</v>
      </c>
      <c r="C4331" s="28" t="s">
        <v>206</v>
      </c>
      <c r="D4331" s="28" t="s">
        <v>44</v>
      </c>
      <c r="E4331" s="28" t="s">
        <v>759</v>
      </c>
      <c r="F4331" s="28" t="s">
        <v>142</v>
      </c>
      <c r="G4331" s="28" t="s">
        <v>148</v>
      </c>
      <c r="H4331" s="28" t="s">
        <v>275</v>
      </c>
      <c r="I4331" s="29" t="n">
        <v>27000</v>
      </c>
      <c r="J4331" s="29" t="n">
        <v>22950</v>
      </c>
      <c r="K4331" s="28" t="n">
        <v>14</v>
      </c>
      <c r="L4331" s="28" t="n">
        <v>120</v>
      </c>
      <c r="M4331" s="28" t="n">
        <v>1</v>
      </c>
    </row>
    <row r="4332" customFormat="false" ht="15" hidden="false" customHeight="false" outlineLevel="0" collapsed="false">
      <c r="A4332" s="27" t="n">
        <v>45722</v>
      </c>
      <c r="B4332" s="28" t="n">
        <v>2025</v>
      </c>
      <c r="C4332" s="28" t="s">
        <v>145</v>
      </c>
      <c r="D4332" s="28" t="s">
        <v>42</v>
      </c>
      <c r="E4332" s="28" t="s">
        <v>753</v>
      </c>
      <c r="F4332" s="28" t="s">
        <v>142</v>
      </c>
      <c r="G4332" s="28" t="s">
        <v>143</v>
      </c>
      <c r="H4332" s="28" t="s">
        <v>211</v>
      </c>
      <c r="I4332" s="29" t="n">
        <v>414000</v>
      </c>
      <c r="J4332" s="29" t="n">
        <v>310500</v>
      </c>
      <c r="K4332" s="28" t="n">
        <v>10.25</v>
      </c>
      <c r="L4332" s="28" t="n">
        <v>120</v>
      </c>
      <c r="M4332" s="28" t="n">
        <v>5</v>
      </c>
    </row>
    <row r="4333" customFormat="false" ht="15" hidden="false" customHeight="false" outlineLevel="0" collapsed="false">
      <c r="A4333" s="27" t="n">
        <v>45722</v>
      </c>
      <c r="B4333" s="28" t="n">
        <v>2025</v>
      </c>
      <c r="C4333" s="28" t="s">
        <v>145</v>
      </c>
      <c r="D4333" s="28" t="s">
        <v>42</v>
      </c>
      <c r="E4333" s="28" t="s">
        <v>753</v>
      </c>
      <c r="F4333" s="28" t="s">
        <v>147</v>
      </c>
      <c r="G4333" s="28" t="s">
        <v>143</v>
      </c>
      <c r="H4333" s="28" t="s">
        <v>211</v>
      </c>
      <c r="I4333" s="29" t="n">
        <v>35000</v>
      </c>
      <c r="J4333" s="29" t="n">
        <v>17500</v>
      </c>
      <c r="K4333" s="28" t="n">
        <v>10.25</v>
      </c>
      <c r="L4333" s="28" t="n">
        <v>120</v>
      </c>
      <c r="M4333" s="28" t="n">
        <v>5</v>
      </c>
    </row>
    <row r="4334" customFormat="false" ht="15" hidden="false" customHeight="false" outlineLevel="0" collapsed="false">
      <c r="A4334" s="27" t="n">
        <v>45722</v>
      </c>
      <c r="B4334" s="28" t="n">
        <v>2025</v>
      </c>
      <c r="C4334" s="28" t="s">
        <v>145</v>
      </c>
      <c r="D4334" s="28" t="s">
        <v>46</v>
      </c>
      <c r="E4334" s="28" t="s">
        <v>727</v>
      </c>
      <c r="F4334" s="28" t="s">
        <v>147</v>
      </c>
      <c r="G4334" s="28" t="s">
        <v>152</v>
      </c>
      <c r="H4334" s="28" t="s">
        <v>159</v>
      </c>
      <c r="I4334" s="29" t="n">
        <v>25000</v>
      </c>
      <c r="J4334" s="29" t="n">
        <v>12500</v>
      </c>
      <c r="K4334" s="28" t="n">
        <v>9.5</v>
      </c>
      <c r="L4334" s="28" t="n">
        <v>120</v>
      </c>
      <c r="M4334" s="28" t="n">
        <v>12</v>
      </c>
    </row>
    <row r="4335" customFormat="false" ht="15" hidden="false" customHeight="false" outlineLevel="0" collapsed="false">
      <c r="A4335" s="27" t="n">
        <v>45722</v>
      </c>
      <c r="B4335" s="28" t="n">
        <v>2025</v>
      </c>
      <c r="C4335" s="28" t="s">
        <v>172</v>
      </c>
      <c r="D4335" s="28" t="s">
        <v>48</v>
      </c>
      <c r="E4335" s="28" t="s">
        <v>736</v>
      </c>
      <c r="F4335" s="28" t="s">
        <v>147</v>
      </c>
      <c r="G4335" s="28" t="s">
        <v>148</v>
      </c>
      <c r="H4335" s="28" t="s">
        <v>187</v>
      </c>
      <c r="I4335" s="29" t="n">
        <v>500000</v>
      </c>
      <c r="J4335" s="29" t="n">
        <v>250000</v>
      </c>
      <c r="K4335" s="28" t="n">
        <v>8.5</v>
      </c>
      <c r="L4335" s="28" t="n">
        <v>120</v>
      </c>
      <c r="M4335" s="28" t="n">
        <v>79</v>
      </c>
    </row>
    <row r="4336" customFormat="false" ht="15" hidden="false" customHeight="false" outlineLevel="0" collapsed="false">
      <c r="A4336" s="27" t="n">
        <v>45723</v>
      </c>
      <c r="B4336" s="28" t="n">
        <v>2025</v>
      </c>
      <c r="C4336" s="28" t="s">
        <v>201</v>
      </c>
      <c r="D4336" s="28" t="s">
        <v>50</v>
      </c>
      <c r="E4336" s="28" t="s">
        <v>724</v>
      </c>
      <c r="F4336" s="28" t="s">
        <v>147</v>
      </c>
      <c r="G4336" s="28" t="s">
        <v>441</v>
      </c>
      <c r="H4336" s="28" t="s">
        <v>205</v>
      </c>
      <c r="I4336" s="29" t="n">
        <v>50000</v>
      </c>
      <c r="J4336" s="29" t="n">
        <v>25000</v>
      </c>
      <c r="K4336" s="28" t="n">
        <v>9.75</v>
      </c>
      <c r="L4336" s="28" t="n">
        <v>120</v>
      </c>
      <c r="M4336" s="28" t="n">
        <v>35</v>
      </c>
    </row>
    <row r="4337" customFormat="false" ht="15" hidden="false" customHeight="false" outlineLevel="0" collapsed="false">
      <c r="A4337" s="27" t="n">
        <v>45723</v>
      </c>
      <c r="B4337" s="28" t="n">
        <v>2025</v>
      </c>
      <c r="C4337" s="28" t="s">
        <v>172</v>
      </c>
      <c r="D4337" s="28" t="s">
        <v>44</v>
      </c>
      <c r="E4337" s="28" t="s">
        <v>920</v>
      </c>
      <c r="F4337" s="28" t="s">
        <v>142</v>
      </c>
      <c r="G4337" s="28" t="s">
        <v>143</v>
      </c>
      <c r="H4337" s="28" t="s">
        <v>287</v>
      </c>
      <c r="I4337" s="29" t="n">
        <v>150000</v>
      </c>
      <c r="J4337" s="29" t="n">
        <v>127500</v>
      </c>
      <c r="K4337" s="28" t="n">
        <v>10.25</v>
      </c>
      <c r="L4337" s="28" t="n">
        <v>120</v>
      </c>
      <c r="M4337" s="28" t="n">
        <v>6</v>
      </c>
    </row>
    <row r="4338" customFormat="false" ht="15" hidden="false" customHeight="false" outlineLevel="0" collapsed="false">
      <c r="A4338" s="27" t="n">
        <v>45723</v>
      </c>
      <c r="B4338" s="28" t="n">
        <v>2025</v>
      </c>
      <c r="C4338" s="28" t="s">
        <v>172</v>
      </c>
      <c r="D4338" s="28" t="s">
        <v>49</v>
      </c>
      <c r="E4338" s="28" t="s">
        <v>1073</v>
      </c>
      <c r="F4338" s="28" t="s">
        <v>142</v>
      </c>
      <c r="G4338" s="28" t="s">
        <v>148</v>
      </c>
      <c r="H4338" s="28" t="s">
        <v>579</v>
      </c>
      <c r="I4338" s="29" t="n">
        <v>110000</v>
      </c>
      <c r="J4338" s="29" t="n">
        <v>93500</v>
      </c>
      <c r="K4338" s="28" t="n">
        <v>11</v>
      </c>
      <c r="L4338" s="28" t="n">
        <v>120</v>
      </c>
      <c r="M4338" s="28" t="n">
        <v>1</v>
      </c>
    </row>
    <row r="4339" customFormat="false" ht="15" hidden="false" customHeight="false" outlineLevel="0" collapsed="false">
      <c r="A4339" s="27" t="n">
        <v>45726</v>
      </c>
      <c r="B4339" s="28" t="n">
        <v>2025</v>
      </c>
      <c r="C4339" s="28" t="s">
        <v>203</v>
      </c>
      <c r="D4339" s="28" t="s">
        <v>44</v>
      </c>
      <c r="E4339" s="28" t="s">
        <v>839</v>
      </c>
      <c r="F4339" s="28" t="s">
        <v>142</v>
      </c>
      <c r="G4339" s="28" t="s">
        <v>152</v>
      </c>
      <c r="H4339" s="28" t="s">
        <v>144</v>
      </c>
      <c r="I4339" s="29" t="n">
        <v>3275000</v>
      </c>
      <c r="J4339" s="29" t="n">
        <v>2456250</v>
      </c>
      <c r="K4339" s="28" t="n">
        <v>8.75</v>
      </c>
      <c r="L4339" s="28" t="n">
        <v>120</v>
      </c>
      <c r="M4339" s="28" t="n">
        <v>57</v>
      </c>
    </row>
    <row r="4340" customFormat="false" ht="15" hidden="false" customHeight="false" outlineLevel="0" collapsed="false">
      <c r="A4340" s="27" t="n">
        <v>45726</v>
      </c>
      <c r="B4340" s="28" t="n">
        <v>2025</v>
      </c>
      <c r="C4340" s="28" t="s">
        <v>235</v>
      </c>
      <c r="D4340" s="28" t="s">
        <v>44</v>
      </c>
      <c r="E4340" s="28" t="s">
        <v>863</v>
      </c>
      <c r="F4340" s="28" t="s">
        <v>142</v>
      </c>
      <c r="G4340" s="28" t="s">
        <v>143</v>
      </c>
      <c r="H4340" s="28" t="s">
        <v>144</v>
      </c>
      <c r="I4340" s="29" t="n">
        <v>155000</v>
      </c>
      <c r="J4340" s="29" t="n">
        <v>116250</v>
      </c>
      <c r="K4340" s="28" t="n">
        <v>10.99</v>
      </c>
      <c r="L4340" s="28" t="n">
        <v>120</v>
      </c>
      <c r="M4340" s="28" t="n">
        <v>4</v>
      </c>
    </row>
    <row r="4341" customFormat="false" ht="15" hidden="false" customHeight="false" outlineLevel="0" collapsed="false">
      <c r="A4341" s="27" t="n">
        <v>45726</v>
      </c>
      <c r="B4341" s="28" t="n">
        <v>2025</v>
      </c>
      <c r="C4341" s="28" t="s">
        <v>203</v>
      </c>
      <c r="D4341" s="28" t="s">
        <v>44</v>
      </c>
      <c r="E4341" s="28" t="s">
        <v>839</v>
      </c>
      <c r="F4341" s="28" t="s">
        <v>147</v>
      </c>
      <c r="G4341" s="28" t="s">
        <v>441</v>
      </c>
      <c r="H4341" s="28" t="s">
        <v>144</v>
      </c>
      <c r="I4341" s="29" t="n">
        <v>275000</v>
      </c>
      <c r="J4341" s="29" t="n">
        <v>137500</v>
      </c>
      <c r="K4341" s="28" t="n">
        <v>10.25</v>
      </c>
      <c r="L4341" s="28" t="n">
        <v>120</v>
      </c>
      <c r="M4341" s="28" t="n">
        <v>57</v>
      </c>
    </row>
    <row r="4342" customFormat="false" ht="15" hidden="false" customHeight="false" outlineLevel="0" collapsed="false">
      <c r="A4342" s="27" t="n">
        <v>45726</v>
      </c>
      <c r="B4342" s="28" t="n">
        <v>2025</v>
      </c>
      <c r="C4342" s="28" t="s">
        <v>201</v>
      </c>
      <c r="D4342" s="28" t="s">
        <v>50</v>
      </c>
      <c r="E4342" s="28" t="s">
        <v>724</v>
      </c>
      <c r="F4342" s="28" t="s">
        <v>142</v>
      </c>
      <c r="G4342" s="28" t="s">
        <v>441</v>
      </c>
      <c r="H4342" s="28" t="s">
        <v>205</v>
      </c>
      <c r="I4342" s="29" t="n">
        <v>659100</v>
      </c>
      <c r="J4342" s="29" t="n">
        <v>494325</v>
      </c>
      <c r="K4342" s="28" t="n">
        <v>7.75</v>
      </c>
      <c r="L4342" s="28" t="n">
        <v>120</v>
      </c>
      <c r="M4342" s="28" t="n">
        <v>35</v>
      </c>
    </row>
    <row r="4343" customFormat="false" ht="15" hidden="false" customHeight="false" outlineLevel="0" collapsed="false">
      <c r="A4343" s="27" t="n">
        <v>45726</v>
      </c>
      <c r="B4343" s="28" t="n">
        <v>2025</v>
      </c>
      <c r="C4343" s="28" t="s">
        <v>206</v>
      </c>
      <c r="D4343" s="28" t="s">
        <v>44</v>
      </c>
      <c r="E4343" s="28" t="s">
        <v>783</v>
      </c>
      <c r="F4343" s="28" t="s">
        <v>142</v>
      </c>
      <c r="G4343" s="28" t="s">
        <v>148</v>
      </c>
      <c r="H4343" s="28" t="s">
        <v>771</v>
      </c>
      <c r="I4343" s="29" t="n">
        <v>200000</v>
      </c>
      <c r="J4343" s="29" t="n">
        <v>150000</v>
      </c>
      <c r="K4343" s="28" t="n">
        <v>10.25</v>
      </c>
      <c r="L4343" s="28" t="n">
        <v>120</v>
      </c>
      <c r="M4343" s="28" t="n">
        <v>13</v>
      </c>
    </row>
    <row r="4344" customFormat="false" ht="15" hidden="false" customHeight="false" outlineLevel="0" collapsed="false">
      <c r="A4344" s="27" t="n">
        <v>45726</v>
      </c>
      <c r="B4344" s="28" t="n">
        <v>2025</v>
      </c>
      <c r="C4344" s="28" t="s">
        <v>163</v>
      </c>
      <c r="D4344" s="28" t="s">
        <v>46</v>
      </c>
      <c r="E4344" s="28" t="s">
        <v>746</v>
      </c>
      <c r="F4344" s="28" t="s">
        <v>142</v>
      </c>
      <c r="G4344" s="28" t="s">
        <v>441</v>
      </c>
      <c r="H4344" s="28" t="s">
        <v>275</v>
      </c>
      <c r="I4344" s="29" t="n">
        <v>710000</v>
      </c>
      <c r="J4344" s="29" t="n">
        <v>532500</v>
      </c>
      <c r="K4344" s="28" t="n">
        <v>10.25</v>
      </c>
      <c r="L4344" s="28" t="n">
        <v>123</v>
      </c>
      <c r="M4344" s="28" t="n">
        <v>2</v>
      </c>
    </row>
    <row r="4345" customFormat="false" ht="15" hidden="false" customHeight="false" outlineLevel="0" collapsed="false">
      <c r="A4345" s="27" t="n">
        <v>45727</v>
      </c>
      <c r="B4345" s="28" t="n">
        <v>2025</v>
      </c>
      <c r="C4345" s="28" t="s">
        <v>160</v>
      </c>
      <c r="D4345" s="28" t="s">
        <v>48</v>
      </c>
      <c r="E4345" s="28" t="s">
        <v>270</v>
      </c>
      <c r="F4345" s="28" t="s">
        <v>142</v>
      </c>
      <c r="G4345" s="28" t="s">
        <v>148</v>
      </c>
      <c r="H4345" s="28" t="s">
        <v>275</v>
      </c>
      <c r="I4345" s="29" t="n">
        <v>35000</v>
      </c>
      <c r="J4345" s="29" t="n">
        <v>29750</v>
      </c>
      <c r="K4345" s="28" t="n">
        <v>14</v>
      </c>
      <c r="L4345" s="28" t="n">
        <v>120</v>
      </c>
      <c r="M4345" s="28" t="n">
        <v>0</v>
      </c>
    </row>
    <row r="4346" customFormat="false" ht="15" hidden="false" customHeight="false" outlineLevel="0" collapsed="false">
      <c r="A4346" s="27" t="n">
        <v>45727</v>
      </c>
      <c r="B4346" s="28" t="n">
        <v>2025</v>
      </c>
      <c r="C4346" s="28" t="s">
        <v>172</v>
      </c>
      <c r="D4346" s="28" t="s">
        <v>46</v>
      </c>
      <c r="E4346" s="28" t="s">
        <v>727</v>
      </c>
      <c r="F4346" s="28" t="s">
        <v>147</v>
      </c>
      <c r="G4346" s="28" t="s">
        <v>143</v>
      </c>
      <c r="H4346" s="28" t="s">
        <v>211</v>
      </c>
      <c r="I4346" s="29" t="n">
        <v>50000</v>
      </c>
      <c r="J4346" s="29" t="n">
        <v>25000</v>
      </c>
      <c r="K4346" s="28" t="n">
        <v>9.5</v>
      </c>
      <c r="L4346" s="28" t="n">
        <v>120</v>
      </c>
      <c r="M4346" s="28" t="n">
        <v>4</v>
      </c>
    </row>
    <row r="4347" customFormat="false" ht="15" hidden="false" customHeight="false" outlineLevel="0" collapsed="false">
      <c r="A4347" s="27" t="n">
        <v>45727</v>
      </c>
      <c r="B4347" s="28" t="n">
        <v>2025</v>
      </c>
      <c r="C4347" s="28" t="s">
        <v>172</v>
      </c>
      <c r="D4347" s="28" t="s">
        <v>46</v>
      </c>
      <c r="E4347" s="28" t="s">
        <v>727</v>
      </c>
      <c r="F4347" s="28" t="s">
        <v>142</v>
      </c>
      <c r="G4347" s="28" t="s">
        <v>143</v>
      </c>
      <c r="H4347" s="28" t="s">
        <v>211</v>
      </c>
      <c r="I4347" s="29" t="n">
        <v>798000</v>
      </c>
      <c r="J4347" s="29" t="n">
        <v>598500</v>
      </c>
      <c r="K4347" s="28" t="n">
        <v>9.5</v>
      </c>
      <c r="L4347" s="28" t="n">
        <v>120</v>
      </c>
      <c r="M4347" s="28" t="n">
        <v>4</v>
      </c>
    </row>
    <row r="4348" customFormat="false" ht="15" hidden="false" customHeight="false" outlineLevel="0" collapsed="false">
      <c r="A4348" s="27" t="n">
        <v>45727</v>
      </c>
      <c r="B4348" s="28" t="n">
        <v>2025</v>
      </c>
      <c r="C4348" s="28" t="s">
        <v>145</v>
      </c>
      <c r="D4348" s="28" t="s">
        <v>42</v>
      </c>
      <c r="E4348" s="28" t="s">
        <v>717</v>
      </c>
      <c r="F4348" s="28" t="s">
        <v>194</v>
      </c>
      <c r="G4348" s="28" t="s">
        <v>152</v>
      </c>
      <c r="H4348" s="28" t="s">
        <v>799</v>
      </c>
      <c r="I4348" s="29" t="n">
        <v>1290000</v>
      </c>
      <c r="J4348" s="29" t="n">
        <v>967500</v>
      </c>
      <c r="K4348" s="28" t="n">
        <v>9.75</v>
      </c>
      <c r="L4348" s="28" t="n">
        <v>120</v>
      </c>
      <c r="M4348" s="28" t="n">
        <v>18</v>
      </c>
    </row>
    <row r="4349" customFormat="false" ht="15" hidden="false" customHeight="false" outlineLevel="0" collapsed="false">
      <c r="A4349" s="27" t="n">
        <v>45727</v>
      </c>
      <c r="B4349" s="28" t="n">
        <v>2025</v>
      </c>
      <c r="C4349" s="28" t="s">
        <v>175</v>
      </c>
      <c r="D4349" s="28" t="s">
        <v>48</v>
      </c>
      <c r="E4349" s="28" t="s">
        <v>362</v>
      </c>
      <c r="F4349" s="28" t="s">
        <v>142</v>
      </c>
      <c r="G4349" s="28" t="s">
        <v>152</v>
      </c>
      <c r="H4349" s="28" t="s">
        <v>1060</v>
      </c>
      <c r="I4349" s="29" t="n">
        <v>2533000</v>
      </c>
      <c r="J4349" s="29" t="n">
        <v>1899750</v>
      </c>
      <c r="K4349" s="28" t="n">
        <v>10.25</v>
      </c>
      <c r="L4349" s="28" t="n">
        <v>120</v>
      </c>
      <c r="M4349" s="28" t="n">
        <v>24</v>
      </c>
    </row>
    <row r="4350" customFormat="false" ht="15" hidden="false" customHeight="false" outlineLevel="0" collapsed="false">
      <c r="A4350" s="27" t="n">
        <v>45727</v>
      </c>
      <c r="B4350" s="28" t="n">
        <v>2025</v>
      </c>
      <c r="C4350" s="28" t="s">
        <v>154</v>
      </c>
      <c r="D4350" s="28" t="s">
        <v>42</v>
      </c>
      <c r="E4350" s="28" t="s">
        <v>717</v>
      </c>
      <c r="F4350" s="28" t="s">
        <v>142</v>
      </c>
      <c r="G4350" s="28" t="s">
        <v>148</v>
      </c>
      <c r="H4350" s="28" t="s">
        <v>275</v>
      </c>
      <c r="I4350" s="29" t="n">
        <v>75000</v>
      </c>
      <c r="J4350" s="29" t="n">
        <v>56250</v>
      </c>
      <c r="K4350" s="28" t="n">
        <v>13.5</v>
      </c>
      <c r="L4350" s="28" t="n">
        <v>120</v>
      </c>
      <c r="M4350" s="28" t="n">
        <v>12</v>
      </c>
    </row>
    <row r="4351" customFormat="false" ht="15" hidden="false" customHeight="false" outlineLevel="0" collapsed="false">
      <c r="A4351" s="27" t="n">
        <v>45727</v>
      </c>
      <c r="B4351" s="28" t="n">
        <v>2025</v>
      </c>
      <c r="C4351" s="28" t="s">
        <v>243</v>
      </c>
      <c r="D4351" s="28" t="s">
        <v>44</v>
      </c>
      <c r="E4351" s="28" t="s">
        <v>730</v>
      </c>
      <c r="F4351" s="28" t="s">
        <v>142</v>
      </c>
      <c r="G4351" s="28" t="s">
        <v>143</v>
      </c>
      <c r="H4351" s="28" t="s">
        <v>494</v>
      </c>
      <c r="I4351" s="29" t="n">
        <v>3490000</v>
      </c>
      <c r="J4351" s="29" t="n">
        <v>2617500</v>
      </c>
      <c r="K4351" s="28" t="n">
        <v>5.74</v>
      </c>
      <c r="L4351" s="28" t="n">
        <v>132</v>
      </c>
      <c r="M4351" s="28" t="n">
        <v>36</v>
      </c>
    </row>
    <row r="4352" customFormat="false" ht="15" hidden="false" customHeight="false" outlineLevel="0" collapsed="false">
      <c r="A4352" s="27" t="n">
        <v>45728</v>
      </c>
      <c r="B4352" s="28" t="n">
        <v>2025</v>
      </c>
      <c r="C4352" s="28" t="s">
        <v>166</v>
      </c>
      <c r="D4352" s="28" t="s">
        <v>48</v>
      </c>
      <c r="E4352" s="28" t="s">
        <v>210</v>
      </c>
      <c r="F4352" s="28" t="s">
        <v>142</v>
      </c>
      <c r="G4352" s="28" t="s">
        <v>148</v>
      </c>
      <c r="H4352" s="28" t="s">
        <v>205</v>
      </c>
      <c r="I4352" s="29" t="n">
        <v>1000000</v>
      </c>
      <c r="J4352" s="29" t="n">
        <v>750000</v>
      </c>
      <c r="K4352" s="28" t="n">
        <v>7.7</v>
      </c>
      <c r="L4352" s="28" t="n">
        <v>120</v>
      </c>
      <c r="M4352" s="28" t="n">
        <v>16</v>
      </c>
    </row>
    <row r="4353" customFormat="false" ht="15" hidden="false" customHeight="false" outlineLevel="0" collapsed="false">
      <c r="A4353" s="27" t="n">
        <v>45728</v>
      </c>
      <c r="B4353" s="28" t="n">
        <v>2025</v>
      </c>
      <c r="C4353" s="28" t="s">
        <v>292</v>
      </c>
      <c r="D4353" s="28" t="s">
        <v>45</v>
      </c>
      <c r="E4353" s="28" t="s">
        <v>222</v>
      </c>
      <c r="F4353" s="28" t="s">
        <v>142</v>
      </c>
      <c r="G4353" s="28" t="s">
        <v>148</v>
      </c>
      <c r="H4353" s="28" t="s">
        <v>221</v>
      </c>
      <c r="I4353" s="29" t="n">
        <v>820000</v>
      </c>
      <c r="J4353" s="29" t="n">
        <v>615000</v>
      </c>
      <c r="K4353" s="28" t="n">
        <v>10.5</v>
      </c>
      <c r="L4353" s="28" t="n">
        <v>120</v>
      </c>
      <c r="M4353" s="28" t="n">
        <v>10</v>
      </c>
    </row>
    <row r="4354" customFormat="false" ht="15" hidden="false" customHeight="false" outlineLevel="0" collapsed="false">
      <c r="A4354" s="27" t="n">
        <v>45728</v>
      </c>
      <c r="B4354" s="28" t="n">
        <v>2025</v>
      </c>
      <c r="C4354" s="28" t="s">
        <v>344</v>
      </c>
      <c r="D4354" s="28" t="s">
        <v>50</v>
      </c>
      <c r="E4354" s="28" t="s">
        <v>193</v>
      </c>
      <c r="F4354" s="28" t="s">
        <v>147</v>
      </c>
      <c r="G4354" s="28" t="s">
        <v>441</v>
      </c>
      <c r="H4354" s="28" t="s">
        <v>159</v>
      </c>
      <c r="I4354" s="29" t="n">
        <v>15000</v>
      </c>
      <c r="J4354" s="29" t="n">
        <v>7500</v>
      </c>
      <c r="K4354" s="28" t="n">
        <v>9.75</v>
      </c>
      <c r="L4354" s="28" t="n">
        <v>60</v>
      </c>
      <c r="M4354" s="28" t="n">
        <v>0</v>
      </c>
    </row>
    <row r="4355" customFormat="false" ht="15" hidden="false" customHeight="false" outlineLevel="0" collapsed="false">
      <c r="A4355" s="27" t="n">
        <v>45728</v>
      </c>
      <c r="B4355" s="28" t="n">
        <v>2025</v>
      </c>
      <c r="C4355" s="28" t="s">
        <v>379</v>
      </c>
      <c r="D4355" s="28" t="s">
        <v>51</v>
      </c>
      <c r="E4355" s="28" t="s">
        <v>547</v>
      </c>
      <c r="F4355" s="28" t="s">
        <v>147</v>
      </c>
      <c r="G4355" s="28" t="s">
        <v>148</v>
      </c>
      <c r="H4355" s="28" t="s">
        <v>396</v>
      </c>
      <c r="I4355" s="29" t="n">
        <v>100000</v>
      </c>
      <c r="J4355" s="29" t="n">
        <v>50000</v>
      </c>
      <c r="K4355" s="28" t="n">
        <v>7.5</v>
      </c>
      <c r="L4355" s="28" t="n">
        <v>15</v>
      </c>
      <c r="M4355" s="28" t="n">
        <v>28</v>
      </c>
    </row>
    <row r="4356" customFormat="false" ht="15" hidden="false" customHeight="false" outlineLevel="0" collapsed="false">
      <c r="A4356" s="27" t="n">
        <v>45728</v>
      </c>
      <c r="B4356" s="28" t="n">
        <v>2025</v>
      </c>
      <c r="C4356" s="28" t="s">
        <v>216</v>
      </c>
      <c r="D4356" s="28" t="s">
        <v>46</v>
      </c>
      <c r="E4356" s="28" t="s">
        <v>1028</v>
      </c>
      <c r="F4356" s="28" t="s">
        <v>142</v>
      </c>
      <c r="G4356" s="28" t="s">
        <v>148</v>
      </c>
      <c r="H4356" s="28" t="s">
        <v>208</v>
      </c>
      <c r="I4356" s="29" t="n">
        <v>519800</v>
      </c>
      <c r="J4356" s="29" t="n">
        <v>389850</v>
      </c>
      <c r="K4356" s="28" t="n">
        <v>10.25</v>
      </c>
      <c r="L4356" s="28" t="n">
        <v>120</v>
      </c>
      <c r="M4356" s="28" t="n">
        <v>10</v>
      </c>
    </row>
    <row r="4357" customFormat="false" ht="15" hidden="false" customHeight="false" outlineLevel="0" collapsed="false">
      <c r="A4357" s="27" t="n">
        <v>45728</v>
      </c>
      <c r="B4357" s="28" t="n">
        <v>2025</v>
      </c>
      <c r="C4357" s="28" t="s">
        <v>150</v>
      </c>
      <c r="D4357" s="28" t="s">
        <v>52</v>
      </c>
      <c r="E4357" s="28" t="s">
        <v>250</v>
      </c>
      <c r="F4357" s="28" t="s">
        <v>142</v>
      </c>
      <c r="G4357" s="28" t="s">
        <v>152</v>
      </c>
      <c r="H4357" s="28" t="s">
        <v>404</v>
      </c>
      <c r="I4357" s="29" t="n">
        <v>4775000</v>
      </c>
      <c r="J4357" s="29" t="n">
        <v>3581250</v>
      </c>
      <c r="K4357" s="28" t="n">
        <v>7.75</v>
      </c>
      <c r="L4357" s="28" t="n">
        <v>300</v>
      </c>
      <c r="M4357" s="28" t="n">
        <v>11</v>
      </c>
    </row>
    <row r="4358" customFormat="false" ht="15" hidden="false" customHeight="false" outlineLevel="0" collapsed="false">
      <c r="A4358" s="27" t="n">
        <v>45729</v>
      </c>
      <c r="B4358" s="28" t="n">
        <v>2025</v>
      </c>
      <c r="C4358" s="28" t="s">
        <v>368</v>
      </c>
      <c r="D4358" s="28" t="s">
        <v>43</v>
      </c>
      <c r="E4358" s="28" t="s">
        <v>871</v>
      </c>
      <c r="F4358" s="28" t="s">
        <v>142</v>
      </c>
      <c r="G4358" s="28" t="s">
        <v>148</v>
      </c>
      <c r="H4358" s="28" t="s">
        <v>149</v>
      </c>
      <c r="I4358" s="29" t="n">
        <v>300000</v>
      </c>
      <c r="J4358" s="29" t="n">
        <v>225000</v>
      </c>
      <c r="K4358" s="28" t="n">
        <v>9.5</v>
      </c>
      <c r="L4358" s="28" t="n">
        <v>120</v>
      </c>
      <c r="M4358" s="28" t="n">
        <v>18</v>
      </c>
    </row>
    <row r="4359" customFormat="false" ht="15" hidden="false" customHeight="false" outlineLevel="0" collapsed="false">
      <c r="A4359" s="27" t="n">
        <v>45729</v>
      </c>
      <c r="B4359" s="28" t="n">
        <v>2025</v>
      </c>
      <c r="C4359" s="28" t="s">
        <v>172</v>
      </c>
      <c r="D4359" s="28" t="s">
        <v>46</v>
      </c>
      <c r="E4359" s="28" t="s">
        <v>1137</v>
      </c>
      <c r="F4359" s="28" t="s">
        <v>142</v>
      </c>
      <c r="G4359" s="28" t="s">
        <v>441</v>
      </c>
      <c r="H4359" s="28" t="s">
        <v>494</v>
      </c>
      <c r="I4359" s="29" t="n">
        <v>466500</v>
      </c>
      <c r="J4359" s="29" t="n">
        <v>349875</v>
      </c>
      <c r="K4359" s="28" t="n">
        <v>9.75</v>
      </c>
      <c r="L4359" s="28" t="n">
        <v>120</v>
      </c>
      <c r="M4359" s="28" t="n">
        <v>6</v>
      </c>
    </row>
    <row r="4360" customFormat="false" ht="15" hidden="false" customHeight="false" outlineLevel="0" collapsed="false">
      <c r="A4360" s="27" t="n">
        <v>45729</v>
      </c>
      <c r="B4360" s="28" t="n">
        <v>2025</v>
      </c>
      <c r="C4360" s="28" t="s">
        <v>213</v>
      </c>
      <c r="D4360" s="28" t="s">
        <v>52</v>
      </c>
      <c r="E4360" s="28" t="s">
        <v>720</v>
      </c>
      <c r="F4360" s="28" t="s">
        <v>147</v>
      </c>
      <c r="G4360" s="28" t="s">
        <v>148</v>
      </c>
      <c r="H4360" s="28" t="s">
        <v>469</v>
      </c>
      <c r="I4360" s="29" t="n">
        <v>141300</v>
      </c>
      <c r="J4360" s="29" t="n">
        <v>70650</v>
      </c>
      <c r="K4360" s="28" t="n">
        <v>6.75</v>
      </c>
      <c r="L4360" s="28" t="n">
        <v>84</v>
      </c>
      <c r="M4360" s="28" t="n">
        <v>0</v>
      </c>
    </row>
    <row r="4361" customFormat="false" ht="15" hidden="false" customHeight="false" outlineLevel="0" collapsed="false">
      <c r="A4361" s="27" t="n">
        <v>45729</v>
      </c>
      <c r="B4361" s="28" t="n">
        <v>2025</v>
      </c>
      <c r="C4361" s="28" t="s">
        <v>172</v>
      </c>
      <c r="D4361" s="28" t="s">
        <v>44</v>
      </c>
      <c r="E4361" s="28" t="s">
        <v>863</v>
      </c>
      <c r="F4361" s="28" t="s">
        <v>142</v>
      </c>
      <c r="G4361" s="28" t="s">
        <v>148</v>
      </c>
      <c r="H4361" s="28" t="s">
        <v>287</v>
      </c>
      <c r="I4361" s="29" t="n">
        <v>458000</v>
      </c>
      <c r="J4361" s="29" t="n">
        <v>343500</v>
      </c>
      <c r="K4361" s="28" t="n">
        <v>9.75</v>
      </c>
      <c r="L4361" s="28" t="n">
        <v>120</v>
      </c>
      <c r="M4361" s="28" t="n">
        <v>1</v>
      </c>
    </row>
    <row r="4362" customFormat="false" ht="15" hidden="false" customHeight="false" outlineLevel="0" collapsed="false">
      <c r="A4362" s="27" t="n">
        <v>45729</v>
      </c>
      <c r="B4362" s="28" t="n">
        <v>2025</v>
      </c>
      <c r="C4362" s="28" t="s">
        <v>232</v>
      </c>
      <c r="D4362" s="28" t="s">
        <v>47</v>
      </c>
      <c r="E4362" s="28" t="s">
        <v>1029</v>
      </c>
      <c r="F4362" s="28" t="s">
        <v>194</v>
      </c>
      <c r="G4362" s="28" t="s">
        <v>148</v>
      </c>
      <c r="H4362" s="28" t="s">
        <v>234</v>
      </c>
      <c r="I4362" s="29" t="n">
        <v>350000</v>
      </c>
      <c r="J4362" s="29" t="n">
        <v>262500</v>
      </c>
      <c r="K4362" s="28" t="n">
        <v>8</v>
      </c>
      <c r="L4362" s="28" t="n">
        <v>120</v>
      </c>
      <c r="M4362" s="28" t="n">
        <v>20</v>
      </c>
    </row>
    <row r="4363" customFormat="false" ht="15" hidden="false" customHeight="false" outlineLevel="0" collapsed="false">
      <c r="A4363" s="27" t="n">
        <v>45729</v>
      </c>
      <c r="B4363" s="28" t="n">
        <v>2025</v>
      </c>
      <c r="C4363" s="28" t="s">
        <v>175</v>
      </c>
      <c r="D4363" s="28" t="s">
        <v>43</v>
      </c>
      <c r="E4363" s="28" t="s">
        <v>757</v>
      </c>
      <c r="F4363" s="28" t="s">
        <v>142</v>
      </c>
      <c r="G4363" s="28" t="s">
        <v>143</v>
      </c>
      <c r="H4363" s="28" t="s">
        <v>382</v>
      </c>
      <c r="I4363" s="29" t="n">
        <v>426200</v>
      </c>
      <c r="J4363" s="29" t="n">
        <v>319650</v>
      </c>
      <c r="K4363" s="28" t="n">
        <v>10.25</v>
      </c>
      <c r="L4363" s="28" t="n">
        <v>120</v>
      </c>
      <c r="M4363" s="28" t="n">
        <v>30</v>
      </c>
    </row>
    <row r="4364" customFormat="false" ht="15" hidden="false" customHeight="false" outlineLevel="0" collapsed="false">
      <c r="A4364" s="27" t="n">
        <v>45729</v>
      </c>
      <c r="B4364" s="28" t="n">
        <v>2025</v>
      </c>
      <c r="C4364" s="28" t="s">
        <v>344</v>
      </c>
      <c r="D4364" s="28" t="s">
        <v>50</v>
      </c>
      <c r="E4364" s="28" t="s">
        <v>193</v>
      </c>
      <c r="F4364" s="28" t="s">
        <v>147</v>
      </c>
      <c r="G4364" s="28" t="s">
        <v>441</v>
      </c>
      <c r="H4364" s="28" t="s">
        <v>159</v>
      </c>
      <c r="I4364" s="29" t="n">
        <v>15000</v>
      </c>
      <c r="J4364" s="29" t="n">
        <v>7500</v>
      </c>
      <c r="K4364" s="28" t="n">
        <v>14</v>
      </c>
      <c r="L4364" s="28" t="n">
        <v>120</v>
      </c>
      <c r="M4364" s="28" t="n">
        <v>0</v>
      </c>
    </row>
    <row r="4365" customFormat="false" ht="15" hidden="false" customHeight="false" outlineLevel="0" collapsed="false">
      <c r="A4365" s="27" t="n">
        <v>45729</v>
      </c>
      <c r="B4365" s="28" t="n">
        <v>2025</v>
      </c>
      <c r="C4365" s="28" t="s">
        <v>172</v>
      </c>
      <c r="D4365" s="28" t="s">
        <v>46</v>
      </c>
      <c r="E4365" s="28" t="s">
        <v>1137</v>
      </c>
      <c r="F4365" s="28" t="s">
        <v>147</v>
      </c>
      <c r="G4365" s="28" t="s">
        <v>441</v>
      </c>
      <c r="H4365" s="28" t="s">
        <v>494</v>
      </c>
      <c r="I4365" s="29" t="n">
        <v>30000</v>
      </c>
      <c r="J4365" s="29" t="n">
        <v>15000</v>
      </c>
      <c r="K4365" s="28" t="n">
        <v>10.25</v>
      </c>
      <c r="L4365" s="28" t="n">
        <v>120</v>
      </c>
      <c r="M4365" s="28" t="n">
        <v>6</v>
      </c>
    </row>
    <row r="4366" customFormat="false" ht="15" hidden="false" customHeight="false" outlineLevel="0" collapsed="false">
      <c r="A4366" s="27" t="n">
        <v>45730</v>
      </c>
      <c r="B4366" s="28" t="n">
        <v>2025</v>
      </c>
      <c r="C4366" s="28" t="s">
        <v>530</v>
      </c>
      <c r="D4366" s="28" t="s">
        <v>49</v>
      </c>
      <c r="E4366" s="28" t="s">
        <v>1138</v>
      </c>
      <c r="F4366" s="28" t="s">
        <v>147</v>
      </c>
      <c r="G4366" s="28" t="s">
        <v>148</v>
      </c>
      <c r="H4366" s="28" t="s">
        <v>469</v>
      </c>
      <c r="I4366" s="29" t="n">
        <v>100000</v>
      </c>
      <c r="J4366" s="29" t="n">
        <v>50000</v>
      </c>
      <c r="K4366" s="28" t="n">
        <v>8.5</v>
      </c>
      <c r="L4366" s="28" t="n">
        <v>120</v>
      </c>
      <c r="M4366" s="28" t="n">
        <v>0</v>
      </c>
    </row>
    <row r="4367" customFormat="false" ht="15" hidden="false" customHeight="false" outlineLevel="0" collapsed="false">
      <c r="A4367" s="27" t="n">
        <v>45730</v>
      </c>
      <c r="B4367" s="28" t="n">
        <v>2025</v>
      </c>
      <c r="C4367" s="28" t="s">
        <v>172</v>
      </c>
      <c r="D4367" s="28" t="s">
        <v>45</v>
      </c>
      <c r="E4367" s="28" t="s">
        <v>222</v>
      </c>
      <c r="F4367" s="28" t="s">
        <v>194</v>
      </c>
      <c r="G4367" s="28" t="s">
        <v>148</v>
      </c>
      <c r="H4367" s="28" t="s">
        <v>1139</v>
      </c>
      <c r="I4367" s="29" t="n">
        <v>1000000</v>
      </c>
      <c r="J4367" s="29" t="n">
        <v>750000</v>
      </c>
      <c r="K4367" s="28" t="n">
        <v>10.5</v>
      </c>
      <c r="L4367" s="28" t="n">
        <v>120</v>
      </c>
      <c r="M4367" s="28" t="n">
        <v>35</v>
      </c>
    </row>
    <row r="4368" customFormat="false" ht="15" hidden="false" customHeight="false" outlineLevel="0" collapsed="false">
      <c r="A4368" s="27" t="n">
        <v>45730</v>
      </c>
      <c r="B4368" s="28" t="n">
        <v>2025</v>
      </c>
      <c r="C4368" s="28" t="s">
        <v>230</v>
      </c>
      <c r="D4368" s="28" t="s">
        <v>44</v>
      </c>
      <c r="E4368" s="28" t="s">
        <v>897</v>
      </c>
      <c r="F4368" s="28" t="s">
        <v>142</v>
      </c>
      <c r="G4368" s="28" t="s">
        <v>143</v>
      </c>
      <c r="H4368" s="28" t="s">
        <v>287</v>
      </c>
      <c r="I4368" s="29" t="n">
        <v>150000</v>
      </c>
      <c r="J4368" s="29" t="n">
        <v>127500</v>
      </c>
      <c r="K4368" s="28" t="n">
        <v>10.25</v>
      </c>
      <c r="L4368" s="28" t="n">
        <v>120</v>
      </c>
      <c r="M4368" s="28" t="n">
        <v>3</v>
      </c>
    </row>
    <row r="4369" customFormat="false" ht="15" hidden="false" customHeight="false" outlineLevel="0" collapsed="false">
      <c r="A4369" s="27" t="n">
        <v>45730</v>
      </c>
      <c r="B4369" s="28" t="n">
        <v>2025</v>
      </c>
      <c r="C4369" s="28" t="s">
        <v>166</v>
      </c>
      <c r="D4369" s="28" t="s">
        <v>44</v>
      </c>
      <c r="E4369" s="28" t="s">
        <v>730</v>
      </c>
      <c r="F4369" s="28" t="s">
        <v>142</v>
      </c>
      <c r="G4369" s="28" t="s">
        <v>143</v>
      </c>
      <c r="H4369" s="28" t="s">
        <v>413</v>
      </c>
      <c r="I4369" s="29" t="n">
        <v>400000</v>
      </c>
      <c r="J4369" s="29" t="n">
        <v>300000</v>
      </c>
      <c r="K4369" s="28" t="n">
        <v>8.5</v>
      </c>
      <c r="L4369" s="28" t="n">
        <v>120</v>
      </c>
      <c r="M4369" s="28" t="n">
        <v>30</v>
      </c>
    </row>
    <row r="4370" customFormat="false" ht="15" hidden="false" customHeight="false" outlineLevel="0" collapsed="false">
      <c r="A4370" s="27" t="n">
        <v>45730</v>
      </c>
      <c r="B4370" s="28" t="n">
        <v>2025</v>
      </c>
      <c r="C4370" s="28" t="s">
        <v>560</v>
      </c>
      <c r="D4370" s="28" t="s">
        <v>43</v>
      </c>
      <c r="E4370" s="28" t="s">
        <v>837</v>
      </c>
      <c r="F4370" s="28" t="s">
        <v>142</v>
      </c>
      <c r="G4370" s="28" t="s">
        <v>143</v>
      </c>
      <c r="H4370" s="28" t="s">
        <v>221</v>
      </c>
      <c r="I4370" s="29" t="n">
        <v>175000</v>
      </c>
      <c r="J4370" s="29" t="n">
        <v>131250</v>
      </c>
      <c r="K4370" s="28" t="n">
        <v>10.25</v>
      </c>
      <c r="L4370" s="28" t="n">
        <v>120</v>
      </c>
      <c r="M4370" s="28" t="n">
        <v>2</v>
      </c>
    </row>
    <row r="4371" customFormat="false" ht="15" hidden="false" customHeight="false" outlineLevel="0" collapsed="false">
      <c r="A4371" s="27" t="n">
        <v>45730</v>
      </c>
      <c r="B4371" s="28" t="n">
        <v>2025</v>
      </c>
      <c r="C4371" s="28" t="s">
        <v>172</v>
      </c>
      <c r="D4371" s="28" t="s">
        <v>43</v>
      </c>
      <c r="E4371" s="28" t="s">
        <v>846</v>
      </c>
      <c r="F4371" s="28" t="s">
        <v>147</v>
      </c>
      <c r="G4371" s="28" t="s">
        <v>152</v>
      </c>
      <c r="H4371" s="28" t="s">
        <v>159</v>
      </c>
      <c r="I4371" s="29" t="n">
        <v>100000</v>
      </c>
      <c r="J4371" s="29" t="n">
        <v>50000</v>
      </c>
      <c r="K4371" s="28" t="n">
        <v>9.5</v>
      </c>
      <c r="L4371" s="28" t="n">
        <v>120</v>
      </c>
      <c r="M4371" s="28" t="n">
        <v>9</v>
      </c>
    </row>
    <row r="4372" customFormat="false" ht="15" hidden="false" customHeight="false" outlineLevel="0" collapsed="false">
      <c r="A4372" s="27" t="n">
        <v>45730</v>
      </c>
      <c r="B4372" s="28" t="n">
        <v>2025</v>
      </c>
      <c r="C4372" s="28" t="s">
        <v>160</v>
      </c>
      <c r="D4372" s="28" t="s">
        <v>44</v>
      </c>
      <c r="E4372" s="28" t="s">
        <v>755</v>
      </c>
      <c r="F4372" s="28" t="s">
        <v>142</v>
      </c>
      <c r="G4372" s="28" t="s">
        <v>143</v>
      </c>
      <c r="H4372" s="28" t="s">
        <v>144</v>
      </c>
      <c r="I4372" s="29" t="n">
        <v>1146000</v>
      </c>
      <c r="J4372" s="29" t="n">
        <v>859500</v>
      </c>
      <c r="K4372" s="28" t="n">
        <v>7.5</v>
      </c>
      <c r="L4372" s="28" t="n">
        <v>300</v>
      </c>
      <c r="M4372" s="28" t="n">
        <v>21</v>
      </c>
    </row>
    <row r="4373" customFormat="false" ht="15" hidden="false" customHeight="false" outlineLevel="0" collapsed="false">
      <c r="A4373" s="27" t="n">
        <v>45730</v>
      </c>
      <c r="B4373" s="28" t="n">
        <v>2025</v>
      </c>
      <c r="C4373" s="28" t="s">
        <v>172</v>
      </c>
      <c r="D4373" s="28" t="s">
        <v>43</v>
      </c>
      <c r="E4373" s="28" t="s">
        <v>846</v>
      </c>
      <c r="F4373" s="28" t="s">
        <v>142</v>
      </c>
      <c r="G4373" s="28" t="s">
        <v>152</v>
      </c>
      <c r="H4373" s="28" t="s">
        <v>159</v>
      </c>
      <c r="I4373" s="29" t="n">
        <v>500000</v>
      </c>
      <c r="J4373" s="29" t="n">
        <v>375000</v>
      </c>
      <c r="K4373" s="28" t="n">
        <v>9.5</v>
      </c>
      <c r="L4373" s="28" t="n">
        <v>120</v>
      </c>
      <c r="M4373" s="28" t="n">
        <v>9</v>
      </c>
    </row>
    <row r="4374" customFormat="false" ht="15" hidden="false" customHeight="false" outlineLevel="0" collapsed="false">
      <c r="A4374" s="27" t="n">
        <v>45734</v>
      </c>
      <c r="B4374" s="28" t="n">
        <v>2025</v>
      </c>
      <c r="C4374" s="28" t="s">
        <v>1140</v>
      </c>
      <c r="D4374" s="28" t="s">
        <v>45</v>
      </c>
      <c r="E4374" s="28" t="s">
        <v>713</v>
      </c>
      <c r="F4374" s="28" t="s">
        <v>142</v>
      </c>
      <c r="G4374" s="28" t="s">
        <v>148</v>
      </c>
      <c r="H4374" s="28" t="s">
        <v>171</v>
      </c>
      <c r="I4374" s="29" t="n">
        <v>105000</v>
      </c>
      <c r="J4374" s="29" t="n">
        <v>89250</v>
      </c>
      <c r="K4374" s="28" t="n">
        <v>12.25</v>
      </c>
      <c r="L4374" s="28" t="n">
        <v>120</v>
      </c>
      <c r="M4374" s="28" t="n">
        <v>0</v>
      </c>
    </row>
    <row r="4375" customFormat="false" ht="15" hidden="false" customHeight="false" outlineLevel="0" collapsed="false">
      <c r="A4375" s="27" t="n">
        <v>45734</v>
      </c>
      <c r="B4375" s="28" t="n">
        <v>2025</v>
      </c>
      <c r="C4375" s="28" t="s">
        <v>198</v>
      </c>
      <c r="D4375" s="28" t="s">
        <v>48</v>
      </c>
      <c r="E4375" s="28" t="s">
        <v>304</v>
      </c>
      <c r="F4375" s="28" t="s">
        <v>147</v>
      </c>
      <c r="G4375" s="28" t="s">
        <v>148</v>
      </c>
      <c r="H4375" s="28" t="s">
        <v>159</v>
      </c>
      <c r="I4375" s="29" t="n">
        <v>40000</v>
      </c>
      <c r="J4375" s="29" t="n">
        <v>20000</v>
      </c>
      <c r="K4375" s="28" t="n">
        <v>11.25</v>
      </c>
      <c r="L4375" s="28" t="n">
        <v>120</v>
      </c>
      <c r="M4375" s="28" t="n">
        <v>4</v>
      </c>
    </row>
    <row r="4376" customFormat="false" ht="15" hidden="false" customHeight="false" outlineLevel="0" collapsed="false">
      <c r="A4376" s="27" t="n">
        <v>45734</v>
      </c>
      <c r="B4376" s="28" t="n">
        <v>2025</v>
      </c>
      <c r="C4376" s="28" t="s">
        <v>183</v>
      </c>
      <c r="D4376" s="28" t="s">
        <v>48</v>
      </c>
      <c r="E4376" s="28" t="s">
        <v>736</v>
      </c>
      <c r="F4376" s="28" t="s">
        <v>142</v>
      </c>
      <c r="G4376" s="28" t="s">
        <v>148</v>
      </c>
      <c r="H4376" s="28" t="s">
        <v>171</v>
      </c>
      <c r="I4376" s="29" t="n">
        <v>150000</v>
      </c>
      <c r="J4376" s="29" t="n">
        <v>127500</v>
      </c>
      <c r="K4376" s="28" t="n">
        <v>12.25</v>
      </c>
      <c r="L4376" s="28" t="n">
        <v>120</v>
      </c>
      <c r="M4376" s="28" t="n">
        <v>11</v>
      </c>
    </row>
    <row r="4377" customFormat="false" ht="15" hidden="false" customHeight="false" outlineLevel="0" collapsed="false">
      <c r="A4377" s="27" t="n">
        <v>45734</v>
      </c>
      <c r="B4377" s="28" t="n">
        <v>2025</v>
      </c>
      <c r="C4377" s="28" t="s">
        <v>198</v>
      </c>
      <c r="D4377" s="28" t="s">
        <v>43</v>
      </c>
      <c r="E4377" s="28" t="s">
        <v>914</v>
      </c>
      <c r="F4377" s="28" t="s">
        <v>142</v>
      </c>
      <c r="G4377" s="28" t="s">
        <v>148</v>
      </c>
      <c r="H4377" s="28" t="s">
        <v>937</v>
      </c>
      <c r="I4377" s="29" t="n">
        <v>300000</v>
      </c>
      <c r="J4377" s="29" t="n">
        <v>225000</v>
      </c>
      <c r="K4377" s="28" t="n">
        <v>12</v>
      </c>
      <c r="L4377" s="28" t="n">
        <v>120</v>
      </c>
      <c r="M4377" s="28" t="n">
        <v>41</v>
      </c>
    </row>
    <row r="4378" customFormat="false" ht="15" hidden="false" customHeight="false" outlineLevel="0" collapsed="false">
      <c r="A4378" s="27" t="n">
        <v>45734</v>
      </c>
      <c r="B4378" s="28" t="n">
        <v>2025</v>
      </c>
      <c r="C4378" s="28" t="s">
        <v>163</v>
      </c>
      <c r="D4378" s="28" t="s">
        <v>51</v>
      </c>
      <c r="E4378" s="28" t="s">
        <v>800</v>
      </c>
      <c r="F4378" s="28" t="s">
        <v>142</v>
      </c>
      <c r="G4378" s="28" t="s">
        <v>143</v>
      </c>
      <c r="H4378" s="28" t="s">
        <v>159</v>
      </c>
      <c r="I4378" s="29" t="n">
        <v>75000</v>
      </c>
      <c r="J4378" s="29" t="n">
        <v>63750</v>
      </c>
      <c r="K4378" s="28" t="n">
        <v>9.75</v>
      </c>
      <c r="L4378" s="28" t="n">
        <v>60</v>
      </c>
      <c r="M4378" s="28" t="n">
        <v>8</v>
      </c>
    </row>
    <row r="4379" customFormat="false" ht="15" hidden="false" customHeight="false" outlineLevel="0" collapsed="false">
      <c r="A4379" s="27" t="n">
        <v>45734</v>
      </c>
      <c r="B4379" s="28" t="n">
        <v>2025</v>
      </c>
      <c r="C4379" s="28" t="s">
        <v>169</v>
      </c>
      <c r="D4379" s="28" t="s">
        <v>48</v>
      </c>
      <c r="E4379" s="28" t="s">
        <v>210</v>
      </c>
      <c r="F4379" s="28" t="s">
        <v>142</v>
      </c>
      <c r="G4379" s="28" t="s">
        <v>148</v>
      </c>
      <c r="H4379" s="28" t="s">
        <v>1006</v>
      </c>
      <c r="I4379" s="29" t="n">
        <v>300000</v>
      </c>
      <c r="J4379" s="29" t="n">
        <v>225000</v>
      </c>
      <c r="K4379" s="28" t="n">
        <v>10.25</v>
      </c>
      <c r="L4379" s="28" t="n">
        <v>120</v>
      </c>
      <c r="M4379" s="28" t="n">
        <v>4</v>
      </c>
    </row>
    <row r="4380" customFormat="false" ht="15" hidden="false" customHeight="false" outlineLevel="0" collapsed="false">
      <c r="A4380" s="27" t="n">
        <v>45734</v>
      </c>
      <c r="B4380" s="28" t="n">
        <v>2025</v>
      </c>
      <c r="C4380" s="28" t="s">
        <v>252</v>
      </c>
      <c r="D4380" s="28" t="s">
        <v>44</v>
      </c>
      <c r="E4380" s="28" t="s">
        <v>863</v>
      </c>
      <c r="F4380" s="28" t="s">
        <v>142</v>
      </c>
      <c r="G4380" s="28" t="s">
        <v>148</v>
      </c>
      <c r="H4380" s="28" t="s">
        <v>171</v>
      </c>
      <c r="I4380" s="29" t="n">
        <v>150000</v>
      </c>
      <c r="J4380" s="29" t="n">
        <v>127500</v>
      </c>
      <c r="K4380" s="28" t="n">
        <v>12.25</v>
      </c>
      <c r="L4380" s="28" t="n">
        <v>120</v>
      </c>
      <c r="M4380" s="28" t="n">
        <v>12</v>
      </c>
    </row>
    <row r="4381" customFormat="false" ht="15" hidden="false" customHeight="false" outlineLevel="0" collapsed="false">
      <c r="A4381" s="27" t="n">
        <v>45734</v>
      </c>
      <c r="B4381" s="28" t="n">
        <v>2025</v>
      </c>
      <c r="C4381" s="28" t="s">
        <v>172</v>
      </c>
      <c r="D4381" s="28" t="s">
        <v>48</v>
      </c>
      <c r="E4381" s="28" t="s">
        <v>362</v>
      </c>
      <c r="F4381" s="28" t="s">
        <v>147</v>
      </c>
      <c r="G4381" s="28" t="s">
        <v>441</v>
      </c>
      <c r="H4381" s="28" t="s">
        <v>159</v>
      </c>
      <c r="I4381" s="29" t="n">
        <v>25000</v>
      </c>
      <c r="J4381" s="29" t="n">
        <v>12500</v>
      </c>
      <c r="K4381" s="28" t="n">
        <v>10</v>
      </c>
      <c r="L4381" s="28" t="n">
        <v>120</v>
      </c>
      <c r="M4381" s="28" t="n">
        <v>3</v>
      </c>
    </row>
    <row r="4382" customFormat="false" ht="15" hidden="false" customHeight="false" outlineLevel="0" collapsed="false">
      <c r="A4382" s="27" t="n">
        <v>45734</v>
      </c>
      <c r="B4382" s="28" t="n">
        <v>2025</v>
      </c>
      <c r="C4382" s="28" t="s">
        <v>243</v>
      </c>
      <c r="D4382" s="28" t="s">
        <v>48</v>
      </c>
      <c r="E4382" s="28" t="s">
        <v>304</v>
      </c>
      <c r="F4382" s="28" t="s">
        <v>147</v>
      </c>
      <c r="G4382" s="28" t="s">
        <v>148</v>
      </c>
      <c r="H4382" s="28" t="s">
        <v>159</v>
      </c>
      <c r="I4382" s="29" t="n">
        <v>30000</v>
      </c>
      <c r="J4382" s="29" t="n">
        <v>15000</v>
      </c>
      <c r="K4382" s="28" t="n">
        <v>10.5</v>
      </c>
      <c r="L4382" s="28" t="n">
        <v>120</v>
      </c>
      <c r="M4382" s="28" t="n">
        <v>0</v>
      </c>
    </row>
    <row r="4383" customFormat="false" ht="15" hidden="false" customHeight="false" outlineLevel="0" collapsed="false">
      <c r="A4383" s="27" t="n">
        <v>45734</v>
      </c>
      <c r="B4383" s="28" t="n">
        <v>2025</v>
      </c>
      <c r="C4383" s="28" t="s">
        <v>140</v>
      </c>
      <c r="D4383" s="28" t="s">
        <v>56</v>
      </c>
      <c r="E4383" s="28" t="s">
        <v>772</v>
      </c>
      <c r="F4383" s="28" t="s">
        <v>142</v>
      </c>
      <c r="G4383" s="28" t="s">
        <v>143</v>
      </c>
      <c r="H4383" s="28" t="s">
        <v>211</v>
      </c>
      <c r="I4383" s="29" t="n">
        <v>556000</v>
      </c>
      <c r="J4383" s="29" t="n">
        <v>417000</v>
      </c>
      <c r="K4383" s="28" t="n">
        <v>10</v>
      </c>
      <c r="L4383" s="28" t="n">
        <v>129</v>
      </c>
      <c r="M4383" s="28" t="n">
        <v>5</v>
      </c>
    </row>
    <row r="4384" customFormat="false" ht="15" hidden="false" customHeight="false" outlineLevel="0" collapsed="false">
      <c r="A4384" s="27" t="n">
        <v>45734</v>
      </c>
      <c r="B4384" s="28" t="n">
        <v>2025</v>
      </c>
      <c r="C4384" s="28" t="s">
        <v>249</v>
      </c>
      <c r="D4384" s="28" t="s">
        <v>42</v>
      </c>
      <c r="E4384" s="28" t="s">
        <v>717</v>
      </c>
      <c r="F4384" s="28" t="s">
        <v>194</v>
      </c>
      <c r="G4384" s="28" t="s">
        <v>143</v>
      </c>
      <c r="H4384" s="28" t="s">
        <v>404</v>
      </c>
      <c r="I4384" s="29" t="n">
        <v>620000</v>
      </c>
      <c r="J4384" s="29" t="n">
        <v>465000</v>
      </c>
      <c r="K4384" s="28" t="n">
        <v>8.4</v>
      </c>
      <c r="L4384" s="28" t="n">
        <v>300</v>
      </c>
      <c r="M4384" s="28" t="n">
        <v>42</v>
      </c>
    </row>
    <row r="4385" customFormat="false" ht="15" hidden="false" customHeight="false" outlineLevel="0" collapsed="false">
      <c r="A4385" s="27" t="n">
        <v>45734</v>
      </c>
      <c r="B4385" s="28" t="n">
        <v>2025</v>
      </c>
      <c r="C4385" s="28" t="s">
        <v>172</v>
      </c>
      <c r="D4385" s="28" t="s">
        <v>43</v>
      </c>
      <c r="E4385" s="28" t="s">
        <v>837</v>
      </c>
      <c r="F4385" s="28" t="s">
        <v>142</v>
      </c>
      <c r="G4385" s="28" t="s">
        <v>143</v>
      </c>
      <c r="H4385" s="28" t="s">
        <v>287</v>
      </c>
      <c r="I4385" s="29" t="n">
        <v>150000</v>
      </c>
      <c r="J4385" s="29" t="n">
        <v>127500</v>
      </c>
      <c r="K4385" s="28" t="n">
        <v>10.25</v>
      </c>
      <c r="L4385" s="28" t="n">
        <v>120</v>
      </c>
      <c r="M4385" s="28" t="n">
        <v>2</v>
      </c>
    </row>
    <row r="4386" customFormat="false" ht="15" hidden="false" customHeight="false" outlineLevel="0" collapsed="false">
      <c r="A4386" s="27" t="n">
        <v>45734</v>
      </c>
      <c r="B4386" s="28" t="n">
        <v>2025</v>
      </c>
      <c r="C4386" s="28" t="s">
        <v>140</v>
      </c>
      <c r="D4386" s="28" t="s">
        <v>56</v>
      </c>
      <c r="E4386" s="28" t="s">
        <v>772</v>
      </c>
      <c r="F4386" s="28" t="s">
        <v>147</v>
      </c>
      <c r="G4386" s="28" t="s">
        <v>143</v>
      </c>
      <c r="H4386" s="28" t="s">
        <v>211</v>
      </c>
      <c r="I4386" s="29" t="n">
        <v>50000</v>
      </c>
      <c r="J4386" s="29" t="n">
        <v>25000</v>
      </c>
      <c r="K4386" s="28" t="n">
        <v>10</v>
      </c>
      <c r="L4386" s="28" t="n">
        <v>120</v>
      </c>
      <c r="M4386" s="28" t="n">
        <v>5</v>
      </c>
    </row>
    <row r="4387" customFormat="false" ht="15" hidden="false" customHeight="false" outlineLevel="0" collapsed="false">
      <c r="A4387" s="27" t="n">
        <v>45734</v>
      </c>
      <c r="B4387" s="28" t="n">
        <v>2025</v>
      </c>
      <c r="C4387" s="28" t="s">
        <v>163</v>
      </c>
      <c r="D4387" s="28" t="s">
        <v>51</v>
      </c>
      <c r="E4387" s="28" t="s">
        <v>779</v>
      </c>
      <c r="F4387" s="28" t="s">
        <v>142</v>
      </c>
      <c r="G4387" s="28" t="s">
        <v>143</v>
      </c>
      <c r="H4387" s="28" t="s">
        <v>382</v>
      </c>
      <c r="I4387" s="29" t="n">
        <v>500000</v>
      </c>
      <c r="J4387" s="29" t="n">
        <v>375000</v>
      </c>
      <c r="K4387" s="28" t="n">
        <v>10.25</v>
      </c>
      <c r="L4387" s="28" t="n">
        <v>124</v>
      </c>
      <c r="M4387" s="28" t="n">
        <v>4</v>
      </c>
    </row>
    <row r="4388" customFormat="false" ht="15" hidden="false" customHeight="false" outlineLevel="0" collapsed="false">
      <c r="A4388" s="27" t="n">
        <v>45734</v>
      </c>
      <c r="B4388" s="28" t="n">
        <v>2025</v>
      </c>
      <c r="C4388" s="28" t="s">
        <v>172</v>
      </c>
      <c r="D4388" s="28" t="s">
        <v>45</v>
      </c>
      <c r="E4388" s="28" t="s">
        <v>708</v>
      </c>
      <c r="F4388" s="28" t="s">
        <v>142</v>
      </c>
      <c r="G4388" s="28" t="s">
        <v>148</v>
      </c>
      <c r="H4388" s="28" t="s">
        <v>771</v>
      </c>
      <c r="I4388" s="29" t="n">
        <v>250000</v>
      </c>
      <c r="J4388" s="29" t="n">
        <v>187500</v>
      </c>
      <c r="K4388" s="28" t="n">
        <v>10.25</v>
      </c>
      <c r="L4388" s="28" t="n">
        <v>120</v>
      </c>
      <c r="M4388" s="28" t="n">
        <v>7</v>
      </c>
    </row>
    <row r="4389" customFormat="false" ht="15" hidden="false" customHeight="false" outlineLevel="0" collapsed="false">
      <c r="A4389" s="27" t="n">
        <v>45734</v>
      </c>
      <c r="B4389" s="28" t="n">
        <v>2025</v>
      </c>
      <c r="C4389" s="28" t="s">
        <v>379</v>
      </c>
      <c r="D4389" s="28" t="s">
        <v>50</v>
      </c>
      <c r="E4389" s="28" t="s">
        <v>1094</v>
      </c>
      <c r="F4389" s="28" t="s">
        <v>194</v>
      </c>
      <c r="G4389" s="28" t="s">
        <v>148</v>
      </c>
      <c r="H4389" s="28" t="s">
        <v>195</v>
      </c>
      <c r="I4389" s="29" t="n">
        <v>100000</v>
      </c>
      <c r="J4389" s="29" t="n">
        <v>85000</v>
      </c>
      <c r="K4389" s="28" t="n">
        <v>9.5</v>
      </c>
      <c r="L4389" s="28" t="n">
        <v>120</v>
      </c>
      <c r="M4389" s="28" t="n">
        <v>7</v>
      </c>
    </row>
    <row r="4390" customFormat="false" ht="15" hidden="false" customHeight="false" outlineLevel="0" collapsed="false">
      <c r="A4390" s="27" t="n">
        <v>45736</v>
      </c>
      <c r="B4390" s="28" t="n">
        <v>2025</v>
      </c>
      <c r="C4390" s="28" t="s">
        <v>216</v>
      </c>
      <c r="D4390" s="28" t="s">
        <v>45</v>
      </c>
      <c r="E4390" s="28" t="s">
        <v>835</v>
      </c>
      <c r="F4390" s="28" t="s">
        <v>142</v>
      </c>
      <c r="G4390" s="28" t="s">
        <v>143</v>
      </c>
      <c r="H4390" s="28" t="s">
        <v>287</v>
      </c>
      <c r="I4390" s="29" t="n">
        <v>150000</v>
      </c>
      <c r="J4390" s="29" t="n">
        <v>127500</v>
      </c>
      <c r="K4390" s="28" t="n">
        <v>10.25</v>
      </c>
      <c r="L4390" s="28" t="n">
        <v>120</v>
      </c>
      <c r="M4390" s="28" t="n">
        <v>4</v>
      </c>
    </row>
    <row r="4391" customFormat="false" ht="15" hidden="false" customHeight="false" outlineLevel="0" collapsed="false">
      <c r="A4391" s="27" t="n">
        <v>45736</v>
      </c>
      <c r="B4391" s="28" t="n">
        <v>2025</v>
      </c>
      <c r="C4391" s="28" t="s">
        <v>172</v>
      </c>
      <c r="D4391" s="28" t="s">
        <v>56</v>
      </c>
      <c r="E4391" s="28" t="s">
        <v>772</v>
      </c>
      <c r="F4391" s="28" t="s">
        <v>142</v>
      </c>
      <c r="G4391" s="28" t="s">
        <v>441</v>
      </c>
      <c r="H4391" s="28" t="s">
        <v>605</v>
      </c>
      <c r="I4391" s="29" t="n">
        <v>69000</v>
      </c>
      <c r="J4391" s="29" t="n">
        <v>58650</v>
      </c>
      <c r="K4391" s="28" t="n">
        <v>10.5</v>
      </c>
      <c r="L4391" s="28" t="n">
        <v>120</v>
      </c>
      <c r="M4391" s="28" t="n">
        <v>5</v>
      </c>
    </row>
    <row r="4392" customFormat="false" ht="15" hidden="false" customHeight="false" outlineLevel="0" collapsed="false">
      <c r="A4392" s="27" t="n">
        <v>45736</v>
      </c>
      <c r="B4392" s="28" t="n">
        <v>2025</v>
      </c>
      <c r="C4392" s="28" t="s">
        <v>172</v>
      </c>
      <c r="D4392" s="28" t="s">
        <v>44</v>
      </c>
      <c r="E4392" s="28" t="s">
        <v>167</v>
      </c>
      <c r="F4392" s="28" t="s">
        <v>142</v>
      </c>
      <c r="G4392" s="28" t="s">
        <v>148</v>
      </c>
      <c r="H4392" s="28" t="s">
        <v>218</v>
      </c>
      <c r="I4392" s="29" t="n">
        <v>2500000</v>
      </c>
      <c r="J4392" s="29" t="n">
        <v>1875000</v>
      </c>
      <c r="K4392" s="28" t="n">
        <v>9</v>
      </c>
      <c r="L4392" s="28" t="n">
        <v>300</v>
      </c>
      <c r="M4392" s="28" t="n">
        <v>243</v>
      </c>
    </row>
    <row r="4393" customFormat="false" ht="15" hidden="false" customHeight="false" outlineLevel="0" collapsed="false">
      <c r="A4393" s="27" t="n">
        <v>45736</v>
      </c>
      <c r="B4393" s="28" t="n">
        <v>2025</v>
      </c>
      <c r="C4393" s="28" t="s">
        <v>163</v>
      </c>
      <c r="D4393" s="28" t="s">
        <v>46</v>
      </c>
      <c r="E4393" s="28" t="s">
        <v>926</v>
      </c>
      <c r="F4393" s="28" t="s">
        <v>142</v>
      </c>
      <c r="G4393" s="28" t="s">
        <v>148</v>
      </c>
      <c r="H4393" s="28" t="s">
        <v>388</v>
      </c>
      <c r="I4393" s="29" t="n">
        <v>1341000</v>
      </c>
      <c r="J4393" s="29" t="n">
        <v>1005750</v>
      </c>
      <c r="K4393" s="28" t="n">
        <v>10.25</v>
      </c>
      <c r="L4393" s="28" t="n">
        <v>120</v>
      </c>
      <c r="M4393" s="28" t="n">
        <v>2</v>
      </c>
    </row>
    <row r="4394" customFormat="false" ht="15" hidden="false" customHeight="false" outlineLevel="0" collapsed="false">
      <c r="A4394" s="27" t="n">
        <v>45736</v>
      </c>
      <c r="B4394" s="28" t="n">
        <v>2025</v>
      </c>
      <c r="C4394" s="28" t="s">
        <v>160</v>
      </c>
      <c r="D4394" s="28" t="s">
        <v>46</v>
      </c>
      <c r="E4394" s="28" t="s">
        <v>770</v>
      </c>
      <c r="F4394" s="28" t="s">
        <v>142</v>
      </c>
      <c r="G4394" s="28" t="s">
        <v>143</v>
      </c>
      <c r="H4394" s="28" t="s">
        <v>211</v>
      </c>
      <c r="I4394" s="29" t="n">
        <v>629800</v>
      </c>
      <c r="J4394" s="29" t="n">
        <v>472350</v>
      </c>
      <c r="K4394" s="28" t="n">
        <v>9.5</v>
      </c>
      <c r="L4394" s="28" t="n">
        <v>120</v>
      </c>
      <c r="M4394" s="28" t="n">
        <v>9</v>
      </c>
    </row>
    <row r="4395" customFormat="false" ht="15" hidden="false" customHeight="false" outlineLevel="0" collapsed="false">
      <c r="A4395" s="27" t="n">
        <v>45736</v>
      </c>
      <c r="B4395" s="28" t="n">
        <v>2025</v>
      </c>
      <c r="C4395" s="28" t="s">
        <v>160</v>
      </c>
      <c r="D4395" s="28" t="s">
        <v>46</v>
      </c>
      <c r="E4395" s="28" t="s">
        <v>770</v>
      </c>
      <c r="F4395" s="28" t="s">
        <v>147</v>
      </c>
      <c r="G4395" s="28" t="s">
        <v>143</v>
      </c>
      <c r="H4395" s="28" t="s">
        <v>211</v>
      </c>
      <c r="I4395" s="29" t="n">
        <v>50000</v>
      </c>
      <c r="J4395" s="29" t="n">
        <v>25000</v>
      </c>
      <c r="K4395" s="28" t="n">
        <v>9.5</v>
      </c>
      <c r="L4395" s="28" t="n">
        <v>120</v>
      </c>
      <c r="M4395" s="28" t="n">
        <v>9</v>
      </c>
    </row>
    <row r="4396" customFormat="false" ht="15" hidden="false" customHeight="false" outlineLevel="0" collapsed="false">
      <c r="A4396" s="27" t="n">
        <v>45736</v>
      </c>
      <c r="B4396" s="28" t="n">
        <v>2025</v>
      </c>
      <c r="C4396" s="28" t="s">
        <v>196</v>
      </c>
      <c r="D4396" s="28" t="s">
        <v>42</v>
      </c>
      <c r="E4396" s="28" t="s">
        <v>717</v>
      </c>
      <c r="F4396" s="28" t="s">
        <v>142</v>
      </c>
      <c r="G4396" s="28" t="s">
        <v>148</v>
      </c>
      <c r="H4396" s="28" t="s">
        <v>1001</v>
      </c>
      <c r="I4396" s="29" t="n">
        <v>500000</v>
      </c>
      <c r="J4396" s="29" t="n">
        <v>375000</v>
      </c>
      <c r="K4396" s="28" t="n">
        <v>10.5</v>
      </c>
      <c r="L4396" s="28" t="n">
        <v>120</v>
      </c>
      <c r="M4396" s="28" t="n">
        <v>14</v>
      </c>
    </row>
    <row r="4397" customFormat="false" ht="15" hidden="false" customHeight="false" outlineLevel="0" collapsed="false">
      <c r="A4397" s="27" t="n">
        <v>45737</v>
      </c>
      <c r="B4397" s="28" t="n">
        <v>2025</v>
      </c>
      <c r="C4397" s="28" t="s">
        <v>145</v>
      </c>
      <c r="D4397" s="28" t="s">
        <v>50</v>
      </c>
      <c r="E4397" s="28" t="s">
        <v>329</v>
      </c>
      <c r="F4397" s="28" t="s">
        <v>142</v>
      </c>
      <c r="G4397" s="28" t="s">
        <v>148</v>
      </c>
      <c r="H4397" s="28" t="s">
        <v>771</v>
      </c>
      <c r="I4397" s="29" t="n">
        <v>24400</v>
      </c>
      <c r="J4397" s="29" t="n">
        <v>20740</v>
      </c>
      <c r="K4397" s="28" t="n">
        <v>10.25</v>
      </c>
      <c r="L4397" s="28" t="n">
        <v>120</v>
      </c>
      <c r="M4397" s="28" t="n">
        <v>1</v>
      </c>
    </row>
    <row r="4398" customFormat="false" ht="15" hidden="false" customHeight="false" outlineLevel="0" collapsed="false">
      <c r="A4398" s="27" t="n">
        <v>45737</v>
      </c>
      <c r="B4398" s="28" t="n">
        <v>2025</v>
      </c>
      <c r="C4398" s="28" t="s">
        <v>166</v>
      </c>
      <c r="D4398" s="28" t="s">
        <v>44</v>
      </c>
      <c r="E4398" s="28" t="s">
        <v>839</v>
      </c>
      <c r="F4398" s="28" t="s">
        <v>142</v>
      </c>
      <c r="G4398" s="28" t="s">
        <v>143</v>
      </c>
      <c r="H4398" s="28" t="s">
        <v>211</v>
      </c>
      <c r="I4398" s="29" t="n">
        <v>462500</v>
      </c>
      <c r="J4398" s="29" t="n">
        <v>346875</v>
      </c>
      <c r="K4398" s="28" t="n">
        <v>9.75</v>
      </c>
      <c r="L4398" s="28" t="n">
        <v>120</v>
      </c>
      <c r="M4398" s="28" t="n">
        <v>7</v>
      </c>
    </row>
    <row r="4399" customFormat="false" ht="15" hidden="false" customHeight="false" outlineLevel="0" collapsed="false">
      <c r="A4399" s="27" t="n">
        <v>45737</v>
      </c>
      <c r="B4399" s="28" t="n">
        <v>2025</v>
      </c>
      <c r="C4399" s="28" t="s">
        <v>172</v>
      </c>
      <c r="D4399" s="28" t="s">
        <v>43</v>
      </c>
      <c r="E4399" s="28" t="s">
        <v>967</v>
      </c>
      <c r="F4399" s="28" t="s">
        <v>142</v>
      </c>
      <c r="G4399" s="28" t="s">
        <v>148</v>
      </c>
      <c r="H4399" s="28" t="s">
        <v>605</v>
      </c>
      <c r="I4399" s="29" t="n">
        <v>323000</v>
      </c>
      <c r="J4399" s="29" t="n">
        <v>242250</v>
      </c>
      <c r="K4399" s="28" t="n">
        <v>10.5</v>
      </c>
      <c r="L4399" s="28" t="n">
        <v>72</v>
      </c>
      <c r="M4399" s="28" t="n">
        <v>8</v>
      </c>
    </row>
    <row r="4400" customFormat="false" ht="15" hidden="false" customHeight="false" outlineLevel="0" collapsed="false">
      <c r="A4400" s="27" t="n">
        <v>45737</v>
      </c>
      <c r="B4400" s="28" t="n">
        <v>2025</v>
      </c>
      <c r="C4400" s="28" t="s">
        <v>169</v>
      </c>
      <c r="D4400" s="28" t="s">
        <v>45</v>
      </c>
      <c r="E4400" s="28" t="s">
        <v>874</v>
      </c>
      <c r="F4400" s="28" t="s">
        <v>142</v>
      </c>
      <c r="G4400" s="28" t="s">
        <v>148</v>
      </c>
      <c r="H4400" s="28" t="s">
        <v>275</v>
      </c>
      <c r="I4400" s="29" t="n">
        <v>400000</v>
      </c>
      <c r="J4400" s="29" t="n">
        <v>300000</v>
      </c>
      <c r="K4400" s="28" t="n">
        <v>10.25</v>
      </c>
      <c r="L4400" s="28" t="n">
        <v>120</v>
      </c>
      <c r="M4400" s="28" t="n">
        <v>1</v>
      </c>
    </row>
    <row r="4401" customFormat="false" ht="15" hidden="false" customHeight="false" outlineLevel="0" collapsed="false">
      <c r="A4401" s="27" t="n">
        <v>45737</v>
      </c>
      <c r="B4401" s="28" t="n">
        <v>2025</v>
      </c>
      <c r="C4401" s="28" t="s">
        <v>166</v>
      </c>
      <c r="D4401" s="28" t="s">
        <v>44</v>
      </c>
      <c r="E4401" s="28" t="s">
        <v>839</v>
      </c>
      <c r="F4401" s="28" t="s">
        <v>147</v>
      </c>
      <c r="G4401" s="28" t="s">
        <v>143</v>
      </c>
      <c r="H4401" s="28" t="s">
        <v>211</v>
      </c>
      <c r="I4401" s="29" t="n">
        <v>100000</v>
      </c>
      <c r="J4401" s="29" t="n">
        <v>50000</v>
      </c>
      <c r="K4401" s="28" t="n">
        <v>9.75</v>
      </c>
      <c r="L4401" s="28" t="n">
        <v>120</v>
      </c>
      <c r="M4401" s="28" t="n">
        <v>7</v>
      </c>
    </row>
    <row r="4402" customFormat="false" ht="15" hidden="false" customHeight="false" outlineLevel="0" collapsed="false">
      <c r="A4402" s="27" t="n">
        <v>45740</v>
      </c>
      <c r="B4402" s="28" t="n">
        <v>2025</v>
      </c>
      <c r="C4402" s="28" t="s">
        <v>169</v>
      </c>
      <c r="D4402" s="28" t="s">
        <v>44</v>
      </c>
      <c r="E4402" s="28" t="s">
        <v>729</v>
      </c>
      <c r="F4402" s="28" t="s">
        <v>142</v>
      </c>
      <c r="G4402" s="28" t="s">
        <v>143</v>
      </c>
      <c r="H4402" s="28" t="s">
        <v>159</v>
      </c>
      <c r="I4402" s="29" t="n">
        <v>248000</v>
      </c>
      <c r="J4402" s="29" t="n">
        <v>186000</v>
      </c>
      <c r="K4402" s="28" t="n">
        <v>9</v>
      </c>
      <c r="L4402" s="28" t="n">
        <v>60</v>
      </c>
      <c r="M4402" s="28" t="n">
        <v>7</v>
      </c>
    </row>
    <row r="4403" customFormat="false" ht="15" hidden="false" customHeight="false" outlineLevel="0" collapsed="false">
      <c r="A4403" s="27" t="n">
        <v>45740</v>
      </c>
      <c r="B4403" s="28" t="n">
        <v>2025</v>
      </c>
      <c r="C4403" s="28" t="s">
        <v>160</v>
      </c>
      <c r="D4403" s="28" t="s">
        <v>43</v>
      </c>
      <c r="E4403" s="28" t="s">
        <v>942</v>
      </c>
      <c r="F4403" s="28" t="s">
        <v>142</v>
      </c>
      <c r="G4403" s="28" t="s">
        <v>441</v>
      </c>
      <c r="H4403" s="28" t="s">
        <v>771</v>
      </c>
      <c r="I4403" s="29" t="n">
        <v>30000</v>
      </c>
      <c r="J4403" s="29" t="n">
        <v>25500</v>
      </c>
      <c r="K4403" s="28" t="n">
        <v>10.25</v>
      </c>
      <c r="L4403" s="28" t="n">
        <v>120</v>
      </c>
      <c r="M4403" s="28" t="n">
        <v>2</v>
      </c>
    </row>
    <row r="4404" customFormat="false" ht="15" hidden="false" customHeight="false" outlineLevel="0" collapsed="false">
      <c r="A4404" s="27" t="n">
        <v>45740</v>
      </c>
      <c r="B4404" s="28" t="n">
        <v>2025</v>
      </c>
      <c r="C4404" s="28" t="s">
        <v>172</v>
      </c>
      <c r="D4404" s="28" t="s">
        <v>42</v>
      </c>
      <c r="E4404" s="28" t="s">
        <v>226</v>
      </c>
      <c r="F4404" s="28" t="s">
        <v>194</v>
      </c>
      <c r="G4404" s="28" t="s">
        <v>152</v>
      </c>
      <c r="H4404" s="28" t="s">
        <v>799</v>
      </c>
      <c r="I4404" s="29" t="n">
        <v>413000</v>
      </c>
      <c r="J4404" s="29" t="n">
        <v>309750</v>
      </c>
      <c r="K4404" s="28" t="n">
        <v>10.25</v>
      </c>
      <c r="L4404" s="28" t="n">
        <v>120</v>
      </c>
      <c r="M4404" s="28" t="n">
        <v>34</v>
      </c>
    </row>
    <row r="4405" customFormat="false" ht="15" hidden="false" customHeight="false" outlineLevel="0" collapsed="false">
      <c r="A4405" s="27" t="n">
        <v>45740</v>
      </c>
      <c r="B4405" s="28" t="n">
        <v>2025</v>
      </c>
      <c r="C4405" s="28" t="s">
        <v>196</v>
      </c>
      <c r="D4405" s="28" t="s">
        <v>42</v>
      </c>
      <c r="E4405" s="28" t="s">
        <v>717</v>
      </c>
      <c r="F4405" s="28" t="s">
        <v>142</v>
      </c>
      <c r="G4405" s="28" t="s">
        <v>441</v>
      </c>
      <c r="H4405" s="28" t="s">
        <v>771</v>
      </c>
      <c r="I4405" s="29" t="n">
        <v>281400</v>
      </c>
      <c r="J4405" s="29" t="n">
        <v>211050</v>
      </c>
      <c r="K4405" s="28" t="n">
        <v>10.25</v>
      </c>
      <c r="L4405" s="28" t="n">
        <v>120</v>
      </c>
      <c r="M4405" s="28" t="n">
        <v>9</v>
      </c>
    </row>
    <row r="4406" customFormat="false" ht="15" hidden="false" customHeight="false" outlineLevel="0" collapsed="false">
      <c r="A4406" s="27" t="n">
        <v>45741</v>
      </c>
      <c r="B4406" s="28" t="n">
        <v>2025</v>
      </c>
      <c r="C4406" s="28" t="s">
        <v>213</v>
      </c>
      <c r="D4406" s="28" t="s">
        <v>52</v>
      </c>
      <c r="E4406" s="28" t="s">
        <v>250</v>
      </c>
      <c r="F4406" s="28" t="s">
        <v>147</v>
      </c>
      <c r="G4406" s="28" t="s">
        <v>148</v>
      </c>
      <c r="H4406" s="28" t="s">
        <v>469</v>
      </c>
      <c r="I4406" s="29" t="n">
        <v>231500</v>
      </c>
      <c r="J4406" s="29" t="n">
        <v>115750</v>
      </c>
      <c r="K4406" s="28" t="n">
        <v>7</v>
      </c>
      <c r="L4406" s="28" t="n">
        <v>96</v>
      </c>
      <c r="M4406" s="28" t="n">
        <v>0</v>
      </c>
    </row>
    <row r="4407" customFormat="false" ht="15" hidden="false" customHeight="false" outlineLevel="0" collapsed="false">
      <c r="A4407" s="27" t="n">
        <v>45741</v>
      </c>
      <c r="B4407" s="28" t="n">
        <v>2025</v>
      </c>
      <c r="C4407" s="28" t="s">
        <v>198</v>
      </c>
      <c r="D4407" s="28" t="s">
        <v>45</v>
      </c>
      <c r="E4407" s="28" t="s">
        <v>222</v>
      </c>
      <c r="F4407" s="28" t="s">
        <v>142</v>
      </c>
      <c r="G4407" s="28" t="s">
        <v>441</v>
      </c>
      <c r="H4407" s="28" t="s">
        <v>299</v>
      </c>
      <c r="I4407" s="29" t="n">
        <v>887900</v>
      </c>
      <c r="J4407" s="29" t="n">
        <v>665925</v>
      </c>
      <c r="K4407" s="28" t="n">
        <v>9</v>
      </c>
      <c r="L4407" s="28" t="n">
        <v>120</v>
      </c>
      <c r="M4407" s="28" t="n">
        <v>15</v>
      </c>
    </row>
    <row r="4408" customFormat="false" ht="15" hidden="false" customHeight="false" outlineLevel="0" collapsed="false">
      <c r="A4408" s="27" t="n">
        <v>45741</v>
      </c>
      <c r="B4408" s="28" t="n">
        <v>2025</v>
      </c>
      <c r="C4408" s="28" t="s">
        <v>738</v>
      </c>
      <c r="D4408" s="28" t="s">
        <v>42</v>
      </c>
      <c r="E4408" s="28" t="s">
        <v>784</v>
      </c>
      <c r="F4408" s="28" t="s">
        <v>142</v>
      </c>
      <c r="G4408" s="28" t="s">
        <v>143</v>
      </c>
      <c r="H4408" s="28" t="s">
        <v>592</v>
      </c>
      <c r="I4408" s="29" t="n">
        <v>150000</v>
      </c>
      <c r="J4408" s="29" t="n">
        <v>127500</v>
      </c>
      <c r="K4408" s="28" t="n">
        <v>9.5</v>
      </c>
      <c r="L4408" s="28" t="n">
        <v>120</v>
      </c>
      <c r="M4408" s="28" t="n">
        <v>4</v>
      </c>
    </row>
    <row r="4409" customFormat="false" ht="15" hidden="false" customHeight="false" outlineLevel="0" collapsed="false">
      <c r="A4409" s="27" t="n">
        <v>45741</v>
      </c>
      <c r="B4409" s="28" t="n">
        <v>2025</v>
      </c>
      <c r="C4409" s="28" t="s">
        <v>175</v>
      </c>
      <c r="D4409" s="28" t="s">
        <v>47</v>
      </c>
      <c r="E4409" s="28" t="s">
        <v>873</v>
      </c>
      <c r="F4409" s="28" t="s">
        <v>147</v>
      </c>
      <c r="G4409" s="28" t="s">
        <v>441</v>
      </c>
      <c r="H4409" s="28" t="s">
        <v>159</v>
      </c>
      <c r="I4409" s="29" t="n">
        <v>200000</v>
      </c>
      <c r="J4409" s="29" t="n">
        <v>100000</v>
      </c>
      <c r="K4409" s="28" t="n">
        <v>10.25</v>
      </c>
      <c r="L4409" s="28" t="n">
        <v>60</v>
      </c>
      <c r="M4409" s="28" t="n">
        <v>10</v>
      </c>
    </row>
    <row r="4410" customFormat="false" ht="15" hidden="false" customHeight="false" outlineLevel="0" collapsed="false">
      <c r="A4410" s="27" t="n">
        <v>45741</v>
      </c>
      <c r="B4410" s="28" t="n">
        <v>2025</v>
      </c>
      <c r="C4410" s="28" t="s">
        <v>172</v>
      </c>
      <c r="D4410" s="28" t="s">
        <v>44</v>
      </c>
      <c r="E4410" s="28" t="s">
        <v>729</v>
      </c>
      <c r="F4410" s="28" t="s">
        <v>142</v>
      </c>
      <c r="G4410" s="28" t="s">
        <v>148</v>
      </c>
      <c r="H4410" s="28" t="s">
        <v>275</v>
      </c>
      <c r="I4410" s="29" t="n">
        <v>200000</v>
      </c>
      <c r="J4410" s="29" t="n">
        <v>150000</v>
      </c>
      <c r="K4410" s="28" t="n">
        <v>13.5</v>
      </c>
      <c r="L4410" s="28" t="n">
        <v>120</v>
      </c>
      <c r="M4410" s="28" t="n">
        <v>22</v>
      </c>
    </row>
    <row r="4411" customFormat="false" ht="15" hidden="false" customHeight="false" outlineLevel="0" collapsed="false">
      <c r="A4411" s="27" t="n">
        <v>45741</v>
      </c>
      <c r="B4411" s="28" t="n">
        <v>2025</v>
      </c>
      <c r="C4411" s="28" t="s">
        <v>500</v>
      </c>
      <c r="D4411" s="28" t="s">
        <v>48</v>
      </c>
      <c r="E4411" s="28" t="s">
        <v>765</v>
      </c>
      <c r="F4411" s="28" t="s">
        <v>142</v>
      </c>
      <c r="G4411" s="28" t="s">
        <v>148</v>
      </c>
      <c r="H4411" s="28" t="s">
        <v>667</v>
      </c>
      <c r="I4411" s="29" t="n">
        <v>1676000</v>
      </c>
      <c r="J4411" s="29" t="n">
        <v>1257000</v>
      </c>
      <c r="K4411" s="28" t="n">
        <v>7.99</v>
      </c>
      <c r="L4411" s="28" t="n">
        <v>118</v>
      </c>
      <c r="M4411" s="28" t="n">
        <v>31</v>
      </c>
    </row>
    <row r="4412" customFormat="false" ht="15" hidden="false" customHeight="false" outlineLevel="0" collapsed="false">
      <c r="A4412" s="27" t="n">
        <v>45741</v>
      </c>
      <c r="B4412" s="28" t="n">
        <v>2025</v>
      </c>
      <c r="C4412" s="28" t="s">
        <v>175</v>
      </c>
      <c r="D4412" s="28" t="s">
        <v>47</v>
      </c>
      <c r="E4412" s="28" t="s">
        <v>873</v>
      </c>
      <c r="F4412" s="28" t="s">
        <v>147</v>
      </c>
      <c r="G4412" s="28" t="s">
        <v>441</v>
      </c>
      <c r="H4412" s="28" t="s">
        <v>159</v>
      </c>
      <c r="I4412" s="29" t="n">
        <v>25000</v>
      </c>
      <c r="J4412" s="29" t="n">
        <v>12500</v>
      </c>
      <c r="K4412" s="28" t="n">
        <v>14</v>
      </c>
      <c r="L4412" s="28" t="n">
        <v>120</v>
      </c>
      <c r="M4412" s="28" t="n">
        <v>10</v>
      </c>
    </row>
    <row r="4413" customFormat="false" ht="15" hidden="false" customHeight="false" outlineLevel="0" collapsed="false">
      <c r="A4413" s="27" t="n">
        <v>45741</v>
      </c>
      <c r="B4413" s="28" t="n">
        <v>2025</v>
      </c>
      <c r="C4413" s="28" t="s">
        <v>213</v>
      </c>
      <c r="D4413" s="28" t="s">
        <v>52</v>
      </c>
      <c r="E4413" s="28" t="s">
        <v>250</v>
      </c>
      <c r="F4413" s="28" t="s">
        <v>147</v>
      </c>
      <c r="G4413" s="28" t="s">
        <v>148</v>
      </c>
      <c r="H4413" s="28" t="s">
        <v>469</v>
      </c>
      <c r="I4413" s="29" t="n">
        <v>196400</v>
      </c>
      <c r="J4413" s="29" t="n">
        <v>98200</v>
      </c>
      <c r="K4413" s="28" t="n">
        <v>6.75</v>
      </c>
      <c r="L4413" s="28" t="n">
        <v>96</v>
      </c>
      <c r="M4413" s="28" t="n">
        <v>1</v>
      </c>
    </row>
    <row r="4414" customFormat="false" ht="15" hidden="false" customHeight="false" outlineLevel="0" collapsed="false">
      <c r="A4414" s="27" t="n">
        <v>45741</v>
      </c>
      <c r="B4414" s="28" t="n">
        <v>2025</v>
      </c>
      <c r="C4414" s="28" t="s">
        <v>243</v>
      </c>
      <c r="D4414" s="28" t="s">
        <v>44</v>
      </c>
      <c r="E4414" s="28" t="s">
        <v>755</v>
      </c>
      <c r="F4414" s="28" t="s">
        <v>147</v>
      </c>
      <c r="G4414" s="28" t="s">
        <v>143</v>
      </c>
      <c r="H4414" s="28" t="s">
        <v>162</v>
      </c>
      <c r="I4414" s="29" t="n">
        <v>454500</v>
      </c>
      <c r="J4414" s="29" t="n">
        <v>227250</v>
      </c>
      <c r="K4414" s="28" t="n">
        <v>6.07</v>
      </c>
      <c r="L4414" s="28" t="n">
        <v>300</v>
      </c>
      <c r="M4414" s="28" t="n">
        <v>2</v>
      </c>
    </row>
    <row r="4415" customFormat="false" ht="15" hidden="false" customHeight="false" outlineLevel="0" collapsed="false">
      <c r="A4415" s="27" t="n">
        <v>45741</v>
      </c>
      <c r="B4415" s="28" t="n">
        <v>2025</v>
      </c>
      <c r="C4415" s="28" t="s">
        <v>203</v>
      </c>
      <c r="D4415" s="28" t="s">
        <v>45</v>
      </c>
      <c r="E4415" s="28" t="s">
        <v>708</v>
      </c>
      <c r="F4415" s="28" t="s">
        <v>142</v>
      </c>
      <c r="G4415" s="28" t="s">
        <v>143</v>
      </c>
      <c r="H4415" s="28" t="s">
        <v>1117</v>
      </c>
      <c r="I4415" s="29" t="n">
        <v>175000</v>
      </c>
      <c r="J4415" s="29" t="n">
        <v>131250</v>
      </c>
      <c r="K4415" s="28" t="n">
        <v>10.25</v>
      </c>
      <c r="L4415" s="28" t="n">
        <v>120</v>
      </c>
      <c r="M4415" s="28" t="n">
        <v>4</v>
      </c>
    </row>
    <row r="4416" customFormat="false" ht="15" hidden="false" customHeight="false" outlineLevel="0" collapsed="false">
      <c r="A4416" s="27" t="n">
        <v>45741</v>
      </c>
      <c r="B4416" s="28" t="n">
        <v>2025</v>
      </c>
      <c r="C4416" s="28" t="s">
        <v>172</v>
      </c>
      <c r="D4416" s="28" t="s">
        <v>42</v>
      </c>
      <c r="E4416" s="28" t="s">
        <v>717</v>
      </c>
      <c r="F4416" s="28" t="s">
        <v>142</v>
      </c>
      <c r="G4416" s="28" t="s">
        <v>152</v>
      </c>
      <c r="H4416" s="28" t="s">
        <v>470</v>
      </c>
      <c r="I4416" s="29" t="n">
        <v>500000</v>
      </c>
      <c r="J4416" s="29" t="n">
        <v>375000</v>
      </c>
      <c r="K4416" s="28" t="n">
        <v>9</v>
      </c>
      <c r="L4416" s="28" t="n">
        <v>120</v>
      </c>
      <c r="M4416" s="28" t="n">
        <v>7</v>
      </c>
    </row>
    <row r="4417" customFormat="false" ht="15" hidden="false" customHeight="false" outlineLevel="0" collapsed="false">
      <c r="A4417" s="27" t="n">
        <v>45741</v>
      </c>
      <c r="B4417" s="28" t="n">
        <v>2025</v>
      </c>
      <c r="C4417" s="28" t="s">
        <v>166</v>
      </c>
      <c r="D4417" s="28" t="s">
        <v>44</v>
      </c>
      <c r="E4417" s="28" t="s">
        <v>783</v>
      </c>
      <c r="F4417" s="28" t="s">
        <v>142</v>
      </c>
      <c r="G4417" s="28" t="s">
        <v>148</v>
      </c>
      <c r="H4417" s="28" t="s">
        <v>269</v>
      </c>
      <c r="I4417" s="29" t="n">
        <v>150000</v>
      </c>
      <c r="J4417" s="29" t="n">
        <v>127500</v>
      </c>
      <c r="K4417" s="28" t="n">
        <v>10.25</v>
      </c>
      <c r="L4417" s="28" t="n">
        <v>120</v>
      </c>
      <c r="M4417" s="28" t="n">
        <v>0</v>
      </c>
    </row>
    <row r="4418" customFormat="false" ht="15" hidden="false" customHeight="false" outlineLevel="0" collapsed="false">
      <c r="A4418" s="27" t="n">
        <v>45741</v>
      </c>
      <c r="B4418" s="28" t="n">
        <v>2025</v>
      </c>
      <c r="C4418" s="28" t="s">
        <v>172</v>
      </c>
      <c r="D4418" s="28" t="s">
        <v>56</v>
      </c>
      <c r="E4418" s="28" t="s">
        <v>1095</v>
      </c>
      <c r="F4418" s="28" t="s">
        <v>142</v>
      </c>
      <c r="G4418" s="28" t="s">
        <v>143</v>
      </c>
      <c r="H4418" s="28" t="s">
        <v>205</v>
      </c>
      <c r="I4418" s="29" t="n">
        <v>550000</v>
      </c>
      <c r="J4418" s="29" t="n">
        <v>412500</v>
      </c>
      <c r="K4418" s="28" t="n">
        <v>8.5</v>
      </c>
      <c r="L4418" s="28" t="n">
        <v>120</v>
      </c>
      <c r="M4418" s="28" t="n">
        <v>10</v>
      </c>
    </row>
    <row r="4419" customFormat="false" ht="15" hidden="false" customHeight="false" outlineLevel="0" collapsed="false">
      <c r="A4419" s="27" t="n">
        <v>45741</v>
      </c>
      <c r="B4419" s="28" t="n">
        <v>2025</v>
      </c>
      <c r="C4419" s="28" t="s">
        <v>163</v>
      </c>
      <c r="D4419" s="28" t="s">
        <v>47</v>
      </c>
      <c r="E4419" s="28" t="s">
        <v>1141</v>
      </c>
      <c r="F4419" s="28" t="s">
        <v>142</v>
      </c>
      <c r="G4419" s="28" t="s">
        <v>148</v>
      </c>
      <c r="H4419" s="28" t="s">
        <v>1002</v>
      </c>
      <c r="I4419" s="29" t="n">
        <v>713500</v>
      </c>
      <c r="J4419" s="29" t="n">
        <v>535125</v>
      </c>
      <c r="K4419" s="28" t="n">
        <v>9.5</v>
      </c>
      <c r="L4419" s="28" t="n">
        <v>300</v>
      </c>
      <c r="M4419" s="28" t="n">
        <v>13</v>
      </c>
    </row>
    <row r="4420" customFormat="false" ht="15" hidden="false" customHeight="false" outlineLevel="0" collapsed="false">
      <c r="A4420" s="27" t="n">
        <v>45741</v>
      </c>
      <c r="B4420" s="28" t="n">
        <v>2025</v>
      </c>
      <c r="C4420" s="28" t="s">
        <v>172</v>
      </c>
      <c r="D4420" s="28" t="s">
        <v>44</v>
      </c>
      <c r="E4420" s="28" t="s">
        <v>167</v>
      </c>
      <c r="F4420" s="28" t="s">
        <v>142</v>
      </c>
      <c r="G4420" s="28" t="s">
        <v>143</v>
      </c>
      <c r="H4420" s="28" t="s">
        <v>1117</v>
      </c>
      <c r="I4420" s="29" t="n">
        <v>176300</v>
      </c>
      <c r="J4420" s="29" t="n">
        <v>132225</v>
      </c>
      <c r="K4420" s="28" t="n">
        <v>10.25</v>
      </c>
      <c r="L4420" s="28" t="n">
        <v>120</v>
      </c>
      <c r="M4420" s="28" t="n">
        <v>9</v>
      </c>
    </row>
    <row r="4421" customFormat="false" ht="15" hidden="false" customHeight="false" outlineLevel="0" collapsed="false">
      <c r="A4421" s="27" t="n">
        <v>45741</v>
      </c>
      <c r="B4421" s="28" t="n">
        <v>2025</v>
      </c>
      <c r="C4421" s="28" t="s">
        <v>172</v>
      </c>
      <c r="D4421" s="28" t="s">
        <v>44</v>
      </c>
      <c r="E4421" s="28" t="s">
        <v>755</v>
      </c>
      <c r="F4421" s="28" t="s">
        <v>142</v>
      </c>
      <c r="G4421" s="28" t="s">
        <v>148</v>
      </c>
      <c r="H4421" s="28" t="s">
        <v>950</v>
      </c>
      <c r="I4421" s="29" t="n">
        <v>610000</v>
      </c>
      <c r="J4421" s="29" t="n">
        <v>457500</v>
      </c>
      <c r="K4421" s="28" t="n">
        <v>10.5</v>
      </c>
      <c r="L4421" s="28" t="n">
        <v>120</v>
      </c>
      <c r="M4421" s="28" t="n">
        <v>11</v>
      </c>
    </row>
    <row r="4422" customFormat="false" ht="15" hidden="false" customHeight="false" outlineLevel="0" collapsed="false">
      <c r="A4422" s="27" t="n">
        <v>45741</v>
      </c>
      <c r="B4422" s="28" t="n">
        <v>2025</v>
      </c>
      <c r="C4422" s="28" t="s">
        <v>172</v>
      </c>
      <c r="D4422" s="28" t="s">
        <v>43</v>
      </c>
      <c r="E4422" s="28" t="s">
        <v>967</v>
      </c>
      <c r="F4422" s="28" t="s">
        <v>142</v>
      </c>
      <c r="G4422" s="28" t="s">
        <v>156</v>
      </c>
      <c r="H4422" s="28" t="s">
        <v>275</v>
      </c>
      <c r="I4422" s="29" t="n">
        <v>102000</v>
      </c>
      <c r="J4422" s="29" t="n">
        <v>86700</v>
      </c>
      <c r="K4422" s="28" t="n">
        <v>10.25</v>
      </c>
      <c r="L4422" s="28" t="n">
        <v>120</v>
      </c>
      <c r="M4422" s="28" t="n">
        <v>4</v>
      </c>
    </row>
    <row r="4423" customFormat="false" ht="15" hidden="false" customHeight="false" outlineLevel="0" collapsed="false">
      <c r="A4423" s="27" t="n">
        <v>45742</v>
      </c>
      <c r="B4423" s="28" t="n">
        <v>2025</v>
      </c>
      <c r="C4423" s="28" t="s">
        <v>166</v>
      </c>
      <c r="D4423" s="28" t="s">
        <v>56</v>
      </c>
      <c r="E4423" s="28" t="s">
        <v>935</v>
      </c>
      <c r="F4423" s="28" t="s">
        <v>142</v>
      </c>
      <c r="G4423" s="28" t="s">
        <v>143</v>
      </c>
      <c r="H4423" s="28" t="s">
        <v>168</v>
      </c>
      <c r="I4423" s="29" t="n">
        <v>636000</v>
      </c>
      <c r="J4423" s="29" t="n">
        <v>477000</v>
      </c>
      <c r="K4423" s="28" t="n">
        <v>8.34</v>
      </c>
      <c r="L4423" s="28" t="n">
        <v>132</v>
      </c>
      <c r="M4423" s="28" t="n">
        <v>5</v>
      </c>
    </row>
    <row r="4424" customFormat="false" ht="15" hidden="false" customHeight="false" outlineLevel="0" collapsed="false">
      <c r="A4424" s="27" t="n">
        <v>45742</v>
      </c>
      <c r="B4424" s="28" t="n">
        <v>2025</v>
      </c>
      <c r="C4424" s="28" t="s">
        <v>203</v>
      </c>
      <c r="D4424" s="28" t="s">
        <v>42</v>
      </c>
      <c r="E4424" s="28" t="s">
        <v>753</v>
      </c>
      <c r="F4424" s="28" t="s">
        <v>142</v>
      </c>
      <c r="G4424" s="28" t="s">
        <v>441</v>
      </c>
      <c r="H4424" s="28" t="s">
        <v>469</v>
      </c>
      <c r="I4424" s="29" t="n">
        <v>63900</v>
      </c>
      <c r="J4424" s="29" t="n">
        <v>54315</v>
      </c>
      <c r="K4424" s="28" t="n">
        <v>8.5</v>
      </c>
      <c r="L4424" s="28" t="n">
        <v>120</v>
      </c>
      <c r="M4424" s="28" t="n">
        <v>3</v>
      </c>
    </row>
    <row r="4425" customFormat="false" ht="15" hidden="false" customHeight="false" outlineLevel="0" collapsed="false">
      <c r="A4425" s="27" t="n">
        <v>45742</v>
      </c>
      <c r="B4425" s="28" t="n">
        <v>2025</v>
      </c>
      <c r="C4425" s="28" t="s">
        <v>169</v>
      </c>
      <c r="D4425" s="28" t="s">
        <v>48</v>
      </c>
      <c r="E4425" s="28" t="s">
        <v>765</v>
      </c>
      <c r="F4425" s="28" t="s">
        <v>147</v>
      </c>
      <c r="G4425" s="28" t="s">
        <v>148</v>
      </c>
      <c r="H4425" s="28" t="s">
        <v>191</v>
      </c>
      <c r="I4425" s="29" t="n">
        <v>200000</v>
      </c>
      <c r="J4425" s="29" t="n">
        <v>100000</v>
      </c>
      <c r="K4425" s="28" t="n">
        <v>9.6</v>
      </c>
      <c r="L4425" s="28" t="n">
        <v>120</v>
      </c>
      <c r="M4425" s="28" t="n">
        <v>0</v>
      </c>
    </row>
    <row r="4426" customFormat="false" ht="15" hidden="false" customHeight="false" outlineLevel="0" collapsed="false">
      <c r="A4426" s="27" t="n">
        <v>45742</v>
      </c>
      <c r="B4426" s="28" t="n">
        <v>2025</v>
      </c>
      <c r="C4426" s="28" t="s">
        <v>344</v>
      </c>
      <c r="D4426" s="28" t="s">
        <v>44</v>
      </c>
      <c r="E4426" s="28" t="s">
        <v>1087</v>
      </c>
      <c r="F4426" s="28" t="s">
        <v>147</v>
      </c>
      <c r="G4426" s="28" t="s">
        <v>148</v>
      </c>
      <c r="H4426" s="28" t="s">
        <v>159</v>
      </c>
      <c r="I4426" s="29" t="n">
        <v>35000</v>
      </c>
      <c r="J4426" s="29" t="n">
        <v>17500</v>
      </c>
      <c r="K4426" s="28" t="n">
        <v>14</v>
      </c>
      <c r="L4426" s="28" t="n">
        <v>120</v>
      </c>
      <c r="M4426" s="28" t="n">
        <v>3</v>
      </c>
    </row>
    <row r="4427" customFormat="false" ht="15" hidden="false" customHeight="false" outlineLevel="0" collapsed="false">
      <c r="A4427" s="27" t="n">
        <v>45742</v>
      </c>
      <c r="B4427" s="28" t="n">
        <v>2025</v>
      </c>
      <c r="C4427" s="28" t="s">
        <v>344</v>
      </c>
      <c r="D4427" s="28" t="s">
        <v>44</v>
      </c>
      <c r="E4427" s="28" t="s">
        <v>1087</v>
      </c>
      <c r="F4427" s="28" t="s">
        <v>142</v>
      </c>
      <c r="G4427" s="28" t="s">
        <v>148</v>
      </c>
      <c r="H4427" s="28" t="s">
        <v>159</v>
      </c>
      <c r="I4427" s="29" t="n">
        <v>40000</v>
      </c>
      <c r="J4427" s="29" t="n">
        <v>34000</v>
      </c>
      <c r="K4427" s="28" t="n">
        <v>11.74</v>
      </c>
      <c r="L4427" s="28" t="n">
        <v>60</v>
      </c>
      <c r="M4427" s="28" t="n">
        <v>3</v>
      </c>
    </row>
    <row r="4428" customFormat="false" ht="15" hidden="false" customHeight="false" outlineLevel="0" collapsed="false">
      <c r="A4428" s="27" t="n">
        <v>45742</v>
      </c>
      <c r="B4428" s="28" t="n">
        <v>2025</v>
      </c>
      <c r="C4428" s="28" t="s">
        <v>172</v>
      </c>
      <c r="D4428" s="28" t="s">
        <v>45</v>
      </c>
      <c r="E4428" s="28" t="s">
        <v>824</v>
      </c>
      <c r="F4428" s="28" t="s">
        <v>142</v>
      </c>
      <c r="G4428" s="28" t="s">
        <v>143</v>
      </c>
      <c r="H4428" s="28" t="s">
        <v>618</v>
      </c>
      <c r="I4428" s="29" t="n">
        <v>150000</v>
      </c>
      <c r="J4428" s="29" t="n">
        <v>127500</v>
      </c>
      <c r="K4428" s="28" t="n">
        <v>10.25</v>
      </c>
      <c r="L4428" s="28" t="n">
        <v>120</v>
      </c>
      <c r="M4428" s="28" t="n">
        <v>7</v>
      </c>
    </row>
    <row r="4429" customFormat="false" ht="15" hidden="false" customHeight="false" outlineLevel="0" collapsed="false">
      <c r="A4429" s="27" t="n">
        <v>45742</v>
      </c>
      <c r="B4429" s="28" t="n">
        <v>2025</v>
      </c>
      <c r="C4429" s="28" t="s">
        <v>515</v>
      </c>
      <c r="D4429" s="28" t="s">
        <v>50</v>
      </c>
      <c r="E4429" s="28" t="s">
        <v>193</v>
      </c>
      <c r="F4429" s="28" t="s">
        <v>142</v>
      </c>
      <c r="G4429" s="28" t="s">
        <v>152</v>
      </c>
      <c r="H4429" s="28" t="s">
        <v>404</v>
      </c>
      <c r="I4429" s="29" t="n">
        <v>724000</v>
      </c>
      <c r="J4429" s="29" t="n">
        <v>543000</v>
      </c>
      <c r="K4429" s="28" t="n">
        <v>9.5</v>
      </c>
      <c r="L4429" s="28" t="n">
        <v>120</v>
      </c>
      <c r="M4429" s="28" t="n">
        <v>20</v>
      </c>
    </row>
    <row r="4430" customFormat="false" ht="15" hidden="false" customHeight="false" outlineLevel="0" collapsed="false">
      <c r="A4430" s="27" t="n">
        <v>45742</v>
      </c>
      <c r="B4430" s="28" t="n">
        <v>2025</v>
      </c>
      <c r="C4430" s="28" t="s">
        <v>172</v>
      </c>
      <c r="D4430" s="28" t="s">
        <v>44</v>
      </c>
      <c r="E4430" s="28" t="s">
        <v>783</v>
      </c>
      <c r="F4430" s="28" t="s">
        <v>194</v>
      </c>
      <c r="G4430" s="28" t="s">
        <v>148</v>
      </c>
      <c r="H4430" s="28" t="s">
        <v>501</v>
      </c>
      <c r="I4430" s="29" t="n">
        <v>750000</v>
      </c>
      <c r="J4430" s="29" t="n">
        <v>562500</v>
      </c>
      <c r="K4430" s="28" t="n">
        <v>10.25</v>
      </c>
      <c r="L4430" s="28" t="n">
        <v>60</v>
      </c>
      <c r="M4430" s="28" t="n">
        <v>1</v>
      </c>
    </row>
    <row r="4431" customFormat="false" ht="15" hidden="false" customHeight="false" outlineLevel="0" collapsed="false">
      <c r="A4431" s="27" t="n">
        <v>45742</v>
      </c>
      <c r="B4431" s="28" t="n">
        <v>2025</v>
      </c>
      <c r="C4431" s="28" t="s">
        <v>213</v>
      </c>
      <c r="D4431" s="28" t="s">
        <v>43</v>
      </c>
      <c r="E4431" s="28" t="s">
        <v>757</v>
      </c>
      <c r="F4431" s="28" t="s">
        <v>147</v>
      </c>
      <c r="G4431" s="28" t="s">
        <v>441</v>
      </c>
      <c r="H4431" s="28" t="s">
        <v>469</v>
      </c>
      <c r="I4431" s="29" t="n">
        <v>20000</v>
      </c>
      <c r="J4431" s="29" t="n">
        <v>10000</v>
      </c>
      <c r="K4431" s="28" t="n">
        <v>9.75</v>
      </c>
      <c r="L4431" s="28" t="n">
        <v>120</v>
      </c>
      <c r="M4431" s="28" t="n">
        <v>0</v>
      </c>
    </row>
    <row r="4432" customFormat="false" ht="15" hidden="false" customHeight="false" outlineLevel="0" collapsed="false">
      <c r="A4432" s="27" t="n">
        <v>45742</v>
      </c>
      <c r="B4432" s="28" t="n">
        <v>2025</v>
      </c>
      <c r="C4432" s="28" t="s">
        <v>160</v>
      </c>
      <c r="D4432" s="28" t="s">
        <v>42</v>
      </c>
      <c r="E4432" s="28" t="s">
        <v>753</v>
      </c>
      <c r="F4432" s="28" t="s">
        <v>142</v>
      </c>
      <c r="G4432" s="28" t="s">
        <v>441</v>
      </c>
      <c r="H4432" s="28" t="s">
        <v>469</v>
      </c>
      <c r="I4432" s="29" t="n">
        <v>494000</v>
      </c>
      <c r="J4432" s="29" t="n">
        <v>370500</v>
      </c>
      <c r="K4432" s="28" t="n">
        <v>7.5</v>
      </c>
      <c r="L4432" s="28" t="n">
        <v>120</v>
      </c>
      <c r="M4432" s="28" t="n">
        <v>10</v>
      </c>
    </row>
    <row r="4433" customFormat="false" ht="15" hidden="false" customHeight="false" outlineLevel="0" collapsed="false">
      <c r="A4433" s="27" t="n">
        <v>45742</v>
      </c>
      <c r="B4433" s="28" t="n">
        <v>2025</v>
      </c>
      <c r="C4433" s="28" t="s">
        <v>140</v>
      </c>
      <c r="D4433" s="28" t="s">
        <v>45</v>
      </c>
      <c r="E4433" s="28" t="s">
        <v>835</v>
      </c>
      <c r="F4433" s="28" t="s">
        <v>142</v>
      </c>
      <c r="G4433" s="28" t="s">
        <v>143</v>
      </c>
      <c r="H4433" s="28" t="s">
        <v>621</v>
      </c>
      <c r="I4433" s="29" t="n">
        <v>204500</v>
      </c>
      <c r="J4433" s="29" t="n">
        <v>153375</v>
      </c>
      <c r="K4433" s="28" t="n">
        <v>10.25</v>
      </c>
      <c r="L4433" s="28" t="n">
        <v>120</v>
      </c>
      <c r="M4433" s="28" t="n">
        <v>2</v>
      </c>
    </row>
    <row r="4434" customFormat="false" ht="15" hidden="false" customHeight="false" outlineLevel="0" collapsed="false">
      <c r="A4434" s="27" t="n">
        <v>45742</v>
      </c>
      <c r="B4434" s="28" t="n">
        <v>2025</v>
      </c>
      <c r="C4434" s="28" t="s">
        <v>243</v>
      </c>
      <c r="D4434" s="28" t="s">
        <v>42</v>
      </c>
      <c r="E4434" s="28" t="s">
        <v>784</v>
      </c>
      <c r="F4434" s="28" t="s">
        <v>142</v>
      </c>
      <c r="G4434" s="28" t="s">
        <v>441</v>
      </c>
      <c r="H4434" s="28" t="s">
        <v>149</v>
      </c>
      <c r="I4434" s="29" t="n">
        <v>242000</v>
      </c>
      <c r="J4434" s="29" t="n">
        <v>181500</v>
      </c>
      <c r="K4434" s="28" t="n">
        <v>9.25</v>
      </c>
      <c r="L4434" s="28" t="n">
        <v>300</v>
      </c>
      <c r="M4434" s="28" t="n">
        <v>4</v>
      </c>
    </row>
    <row r="4435" customFormat="false" ht="15" hidden="false" customHeight="false" outlineLevel="0" collapsed="false">
      <c r="A4435" s="27" t="n">
        <v>45742</v>
      </c>
      <c r="B4435" s="28" t="n">
        <v>2025</v>
      </c>
      <c r="C4435" s="28" t="s">
        <v>169</v>
      </c>
      <c r="D4435" s="28" t="s">
        <v>44</v>
      </c>
      <c r="E4435" s="28" t="s">
        <v>755</v>
      </c>
      <c r="F4435" s="28" t="s">
        <v>142</v>
      </c>
      <c r="G4435" s="28" t="s">
        <v>148</v>
      </c>
      <c r="H4435" s="28" t="s">
        <v>950</v>
      </c>
      <c r="I4435" s="29" t="n">
        <v>1370000</v>
      </c>
      <c r="J4435" s="29" t="n">
        <v>1027500</v>
      </c>
      <c r="K4435" s="28" t="n">
        <v>10.5</v>
      </c>
      <c r="L4435" s="28" t="n">
        <v>120</v>
      </c>
      <c r="M4435" s="28" t="n">
        <v>11</v>
      </c>
    </row>
    <row r="4436" customFormat="false" ht="15" hidden="false" customHeight="false" outlineLevel="0" collapsed="false">
      <c r="A4436" s="27" t="n">
        <v>45743</v>
      </c>
      <c r="B4436" s="28" t="n">
        <v>2025</v>
      </c>
      <c r="C4436" s="28" t="s">
        <v>303</v>
      </c>
      <c r="D4436" s="28" t="s">
        <v>45</v>
      </c>
      <c r="E4436" s="28" t="s">
        <v>222</v>
      </c>
      <c r="F4436" s="28" t="s">
        <v>142</v>
      </c>
      <c r="G4436" s="28" t="s">
        <v>148</v>
      </c>
      <c r="H4436" s="28" t="s">
        <v>211</v>
      </c>
      <c r="I4436" s="29" t="n">
        <v>450000</v>
      </c>
      <c r="J4436" s="29" t="n">
        <v>337500</v>
      </c>
      <c r="K4436" s="28" t="n">
        <v>10.25</v>
      </c>
      <c r="L4436" s="28" t="n">
        <v>120</v>
      </c>
      <c r="M4436" s="28" t="n">
        <v>3</v>
      </c>
    </row>
    <row r="4437" customFormat="false" ht="15" hidden="false" customHeight="false" outlineLevel="0" collapsed="false">
      <c r="A4437" s="27" t="n">
        <v>45743</v>
      </c>
      <c r="B4437" s="28" t="n">
        <v>2025</v>
      </c>
      <c r="C4437" s="28" t="s">
        <v>677</v>
      </c>
      <c r="D4437" s="28" t="s">
        <v>45</v>
      </c>
      <c r="E4437" s="28" t="s">
        <v>480</v>
      </c>
      <c r="F4437" s="28" t="s">
        <v>142</v>
      </c>
      <c r="G4437" s="28" t="s">
        <v>148</v>
      </c>
      <c r="H4437" s="28" t="s">
        <v>275</v>
      </c>
      <c r="I4437" s="29" t="n">
        <v>50000</v>
      </c>
      <c r="J4437" s="29" t="n">
        <v>42500</v>
      </c>
      <c r="K4437" s="28" t="n">
        <v>14</v>
      </c>
      <c r="L4437" s="28" t="n">
        <v>120</v>
      </c>
      <c r="M4437" s="28" t="n">
        <v>2</v>
      </c>
    </row>
    <row r="4438" customFormat="false" ht="15" hidden="false" customHeight="false" outlineLevel="0" collapsed="false">
      <c r="A4438" s="27" t="n">
        <v>45743</v>
      </c>
      <c r="B4438" s="28" t="n">
        <v>2025</v>
      </c>
      <c r="C4438" s="28" t="s">
        <v>169</v>
      </c>
      <c r="D4438" s="28" t="s">
        <v>44</v>
      </c>
      <c r="E4438" s="28" t="s">
        <v>730</v>
      </c>
      <c r="F4438" s="28" t="s">
        <v>142</v>
      </c>
      <c r="G4438" s="28" t="s">
        <v>143</v>
      </c>
      <c r="H4438" s="28" t="s">
        <v>438</v>
      </c>
      <c r="I4438" s="29" t="n">
        <v>316000</v>
      </c>
      <c r="J4438" s="29" t="n">
        <v>237000</v>
      </c>
      <c r="K4438" s="28" t="n">
        <v>10</v>
      </c>
      <c r="L4438" s="28" t="n">
        <v>120</v>
      </c>
      <c r="M4438" s="28" t="n">
        <v>10</v>
      </c>
    </row>
    <row r="4439" customFormat="false" ht="15" hidden="false" customHeight="false" outlineLevel="0" collapsed="false">
      <c r="A4439" s="27" t="n">
        <v>45747</v>
      </c>
      <c r="B4439" s="28" t="n">
        <v>2025</v>
      </c>
      <c r="C4439" s="28" t="s">
        <v>172</v>
      </c>
      <c r="D4439" s="28" t="s">
        <v>43</v>
      </c>
      <c r="E4439" s="28" t="s">
        <v>858</v>
      </c>
      <c r="F4439" s="28" t="s">
        <v>142</v>
      </c>
      <c r="G4439" s="28" t="s">
        <v>148</v>
      </c>
      <c r="H4439" s="28" t="s">
        <v>771</v>
      </c>
      <c r="I4439" s="29" t="n">
        <v>200000</v>
      </c>
      <c r="J4439" s="29" t="n">
        <v>150000</v>
      </c>
      <c r="K4439" s="28" t="n">
        <v>10.25</v>
      </c>
      <c r="L4439" s="28" t="n">
        <v>120</v>
      </c>
      <c r="M4439" s="28" t="n">
        <v>12</v>
      </c>
    </row>
    <row r="4440" customFormat="false" ht="15" hidden="false" customHeight="false" outlineLevel="0" collapsed="false">
      <c r="A4440" s="27" t="n">
        <v>45748</v>
      </c>
      <c r="B4440" s="28" t="n">
        <v>2025</v>
      </c>
      <c r="C4440" s="28" t="s">
        <v>201</v>
      </c>
      <c r="D4440" s="28" t="s">
        <v>42</v>
      </c>
      <c r="E4440" s="28" t="s">
        <v>717</v>
      </c>
      <c r="F4440" s="28" t="s">
        <v>142</v>
      </c>
      <c r="G4440" s="28" t="s">
        <v>148</v>
      </c>
      <c r="H4440" s="28" t="s">
        <v>1060</v>
      </c>
      <c r="I4440" s="29" t="n">
        <v>1200000</v>
      </c>
      <c r="J4440" s="29" t="n">
        <v>900000</v>
      </c>
      <c r="K4440" s="28" t="n">
        <v>9.75</v>
      </c>
      <c r="L4440" s="28" t="n">
        <v>119</v>
      </c>
      <c r="M4440" s="28" t="n">
        <v>19</v>
      </c>
    </row>
    <row r="4441" customFormat="false" ht="15" hidden="false" customHeight="false" outlineLevel="0" collapsed="false">
      <c r="A4441" s="27" t="n">
        <v>45748</v>
      </c>
      <c r="B4441" s="28" t="n">
        <v>2025</v>
      </c>
      <c r="C4441" s="28" t="s">
        <v>175</v>
      </c>
      <c r="D4441" s="28" t="s">
        <v>43</v>
      </c>
      <c r="E4441" s="28" t="s">
        <v>830</v>
      </c>
      <c r="F4441" s="28" t="s">
        <v>142</v>
      </c>
      <c r="G4441" s="28" t="s">
        <v>148</v>
      </c>
      <c r="H4441" s="28" t="s">
        <v>953</v>
      </c>
      <c r="I4441" s="29" t="n">
        <v>1500000</v>
      </c>
      <c r="J4441" s="29" t="n">
        <v>1125000</v>
      </c>
      <c r="K4441" s="28" t="n">
        <v>10.5</v>
      </c>
      <c r="L4441" s="28" t="n">
        <v>120</v>
      </c>
      <c r="M4441" s="28" t="n">
        <v>30</v>
      </c>
    </row>
    <row r="4442" customFormat="false" ht="15" hidden="false" customHeight="false" outlineLevel="0" collapsed="false">
      <c r="A4442" s="27" t="n">
        <v>45748</v>
      </c>
      <c r="B4442" s="28" t="n">
        <v>2025</v>
      </c>
      <c r="C4442" s="28" t="s">
        <v>272</v>
      </c>
      <c r="D4442" s="28" t="s">
        <v>45</v>
      </c>
      <c r="E4442" s="28" t="s">
        <v>708</v>
      </c>
      <c r="F4442" s="28" t="s">
        <v>147</v>
      </c>
      <c r="G4442" s="28" t="s">
        <v>148</v>
      </c>
      <c r="H4442" s="28" t="s">
        <v>667</v>
      </c>
      <c r="I4442" s="29" t="n">
        <v>100000</v>
      </c>
      <c r="J4442" s="29" t="n">
        <v>50000</v>
      </c>
      <c r="K4442" s="28" t="n">
        <v>7.49</v>
      </c>
      <c r="L4442" s="28" t="n">
        <v>60</v>
      </c>
      <c r="M4442" s="28" t="n">
        <v>2</v>
      </c>
    </row>
    <row r="4443" customFormat="false" ht="15" hidden="false" customHeight="false" outlineLevel="0" collapsed="false">
      <c r="A4443" s="27" t="n">
        <v>45748</v>
      </c>
      <c r="B4443" s="28" t="n">
        <v>2025</v>
      </c>
      <c r="C4443" s="28" t="s">
        <v>172</v>
      </c>
      <c r="D4443" s="28" t="s">
        <v>43</v>
      </c>
      <c r="E4443" s="28" t="s">
        <v>787</v>
      </c>
      <c r="F4443" s="28" t="s">
        <v>142</v>
      </c>
      <c r="G4443" s="28" t="s">
        <v>143</v>
      </c>
      <c r="H4443" s="28" t="s">
        <v>287</v>
      </c>
      <c r="I4443" s="29" t="n">
        <v>100000</v>
      </c>
      <c r="J4443" s="29" t="n">
        <v>85000</v>
      </c>
      <c r="K4443" s="28" t="n">
        <v>10.25</v>
      </c>
      <c r="L4443" s="28" t="n">
        <v>120</v>
      </c>
      <c r="M4443" s="28" t="n">
        <v>3</v>
      </c>
    </row>
    <row r="4444" customFormat="false" ht="15" hidden="false" customHeight="false" outlineLevel="0" collapsed="false">
      <c r="A4444" s="27" t="n">
        <v>45748</v>
      </c>
      <c r="B4444" s="28" t="n">
        <v>2025</v>
      </c>
      <c r="C4444" s="28" t="s">
        <v>172</v>
      </c>
      <c r="D4444" s="28" t="s">
        <v>42</v>
      </c>
      <c r="E4444" s="28" t="s">
        <v>753</v>
      </c>
      <c r="F4444" s="28" t="s">
        <v>142</v>
      </c>
      <c r="G4444" s="28" t="s">
        <v>148</v>
      </c>
      <c r="H4444" s="28" t="s">
        <v>269</v>
      </c>
      <c r="I4444" s="29" t="n">
        <v>150000</v>
      </c>
      <c r="J4444" s="29" t="n">
        <v>127500</v>
      </c>
      <c r="K4444" s="28" t="n">
        <v>12.5</v>
      </c>
      <c r="L4444" s="28" t="n">
        <v>120</v>
      </c>
      <c r="M4444" s="28" t="n">
        <v>0</v>
      </c>
    </row>
    <row r="4445" customFormat="false" ht="15" hidden="false" customHeight="false" outlineLevel="0" collapsed="false">
      <c r="A4445" s="27" t="n">
        <v>45749</v>
      </c>
      <c r="B4445" s="28" t="n">
        <v>2025</v>
      </c>
      <c r="C4445" s="28" t="s">
        <v>172</v>
      </c>
      <c r="D4445" s="28" t="s">
        <v>46</v>
      </c>
      <c r="E4445" s="28" t="s">
        <v>770</v>
      </c>
      <c r="F4445" s="28" t="s">
        <v>142</v>
      </c>
      <c r="G4445" s="28" t="s">
        <v>143</v>
      </c>
      <c r="H4445" s="28" t="s">
        <v>211</v>
      </c>
      <c r="I4445" s="29" t="n">
        <v>1135000</v>
      </c>
      <c r="J4445" s="29" t="n">
        <v>851250</v>
      </c>
      <c r="K4445" s="28" t="n">
        <v>9.75</v>
      </c>
      <c r="L4445" s="28" t="n">
        <v>132</v>
      </c>
      <c r="M4445" s="28" t="n">
        <v>10</v>
      </c>
    </row>
    <row r="4446" customFormat="false" ht="15" hidden="false" customHeight="false" outlineLevel="0" collapsed="false">
      <c r="A4446" s="27" t="n">
        <v>45749</v>
      </c>
      <c r="B4446" s="28" t="n">
        <v>2025</v>
      </c>
      <c r="C4446" s="28" t="s">
        <v>172</v>
      </c>
      <c r="D4446" s="28" t="s">
        <v>46</v>
      </c>
      <c r="E4446" s="28" t="s">
        <v>770</v>
      </c>
      <c r="F4446" s="28" t="s">
        <v>147</v>
      </c>
      <c r="G4446" s="28" t="s">
        <v>143</v>
      </c>
      <c r="H4446" s="28" t="s">
        <v>211</v>
      </c>
      <c r="I4446" s="29" t="n">
        <v>50000</v>
      </c>
      <c r="J4446" s="29" t="n">
        <v>25000</v>
      </c>
      <c r="K4446" s="28" t="n">
        <v>9.75</v>
      </c>
      <c r="L4446" s="28" t="n">
        <v>120</v>
      </c>
      <c r="M4446" s="28" t="n">
        <v>10</v>
      </c>
    </row>
    <row r="4447" customFormat="false" ht="15" hidden="false" customHeight="false" outlineLevel="0" collapsed="false">
      <c r="A4447" s="27" t="n">
        <v>45749</v>
      </c>
      <c r="B4447" s="28" t="n">
        <v>2025</v>
      </c>
      <c r="C4447" s="28" t="s">
        <v>172</v>
      </c>
      <c r="D4447" s="28" t="s">
        <v>44</v>
      </c>
      <c r="E4447" s="28" t="s">
        <v>167</v>
      </c>
      <c r="F4447" s="28" t="s">
        <v>142</v>
      </c>
      <c r="G4447" s="28" t="s">
        <v>143</v>
      </c>
      <c r="H4447" s="28" t="s">
        <v>693</v>
      </c>
      <c r="I4447" s="29" t="n">
        <v>150000</v>
      </c>
      <c r="J4447" s="29" t="n">
        <v>127500</v>
      </c>
      <c r="K4447" s="28" t="n">
        <v>11</v>
      </c>
      <c r="L4447" s="28" t="n">
        <v>120</v>
      </c>
      <c r="M4447" s="28" t="n">
        <v>3</v>
      </c>
    </row>
    <row r="4448" customFormat="false" ht="15" hidden="false" customHeight="false" outlineLevel="0" collapsed="false">
      <c r="A4448" s="27" t="n">
        <v>45749</v>
      </c>
      <c r="B4448" s="28" t="n">
        <v>2025</v>
      </c>
      <c r="C4448" s="28" t="s">
        <v>163</v>
      </c>
      <c r="D4448" s="28" t="s">
        <v>50</v>
      </c>
      <c r="E4448" s="28" t="s">
        <v>462</v>
      </c>
      <c r="F4448" s="28" t="s">
        <v>142</v>
      </c>
      <c r="G4448" s="28" t="s">
        <v>148</v>
      </c>
      <c r="H4448" s="28" t="s">
        <v>211</v>
      </c>
      <c r="I4448" s="29" t="n">
        <v>130000</v>
      </c>
      <c r="J4448" s="29" t="n">
        <v>110500</v>
      </c>
      <c r="K4448" s="28" t="n">
        <v>10.25</v>
      </c>
      <c r="L4448" s="28" t="n">
        <v>120</v>
      </c>
      <c r="M4448" s="28" t="n">
        <v>1</v>
      </c>
    </row>
    <row r="4449" customFormat="false" ht="15" hidden="false" customHeight="false" outlineLevel="0" collapsed="false">
      <c r="A4449" s="27" t="n">
        <v>45750</v>
      </c>
      <c r="B4449" s="28" t="n">
        <v>2025</v>
      </c>
      <c r="C4449" s="28" t="s">
        <v>201</v>
      </c>
      <c r="D4449" s="28" t="s">
        <v>46</v>
      </c>
      <c r="E4449" s="28" t="s">
        <v>727</v>
      </c>
      <c r="F4449" s="28" t="s">
        <v>147</v>
      </c>
      <c r="G4449" s="28" t="s">
        <v>143</v>
      </c>
      <c r="H4449" s="28" t="s">
        <v>211</v>
      </c>
      <c r="I4449" s="29" t="n">
        <v>50000</v>
      </c>
      <c r="J4449" s="29" t="n">
        <v>25000</v>
      </c>
      <c r="K4449" s="28" t="n">
        <v>9.75</v>
      </c>
      <c r="L4449" s="28" t="n">
        <v>120</v>
      </c>
      <c r="M4449" s="28" t="n">
        <v>9</v>
      </c>
    </row>
    <row r="4450" customFormat="false" ht="15" hidden="false" customHeight="false" outlineLevel="0" collapsed="false">
      <c r="A4450" s="27" t="n">
        <v>45750</v>
      </c>
      <c r="B4450" s="28" t="n">
        <v>2025</v>
      </c>
      <c r="C4450" s="28" t="s">
        <v>201</v>
      </c>
      <c r="D4450" s="28" t="s">
        <v>46</v>
      </c>
      <c r="E4450" s="28" t="s">
        <v>727</v>
      </c>
      <c r="F4450" s="28" t="s">
        <v>142</v>
      </c>
      <c r="G4450" s="28" t="s">
        <v>143</v>
      </c>
      <c r="H4450" s="28" t="s">
        <v>211</v>
      </c>
      <c r="I4450" s="29" t="n">
        <v>498500</v>
      </c>
      <c r="J4450" s="29" t="n">
        <v>373875</v>
      </c>
      <c r="K4450" s="28" t="n">
        <v>9.75</v>
      </c>
      <c r="L4450" s="28" t="n">
        <v>120</v>
      </c>
      <c r="M4450" s="28" t="n">
        <v>9</v>
      </c>
    </row>
    <row r="4451" customFormat="false" ht="15" hidden="false" customHeight="false" outlineLevel="0" collapsed="false">
      <c r="A4451" s="27" t="n">
        <v>45751</v>
      </c>
      <c r="B4451" s="28" t="n">
        <v>2025</v>
      </c>
      <c r="C4451" s="28" t="s">
        <v>166</v>
      </c>
      <c r="D4451" s="28" t="s">
        <v>48</v>
      </c>
      <c r="E4451" s="28" t="s">
        <v>709</v>
      </c>
      <c r="F4451" s="28" t="s">
        <v>147</v>
      </c>
      <c r="G4451" s="28" t="s">
        <v>441</v>
      </c>
      <c r="H4451" s="28" t="s">
        <v>168</v>
      </c>
      <c r="I4451" s="29" t="n">
        <v>20000</v>
      </c>
      <c r="J4451" s="29" t="n">
        <v>10000</v>
      </c>
      <c r="K4451" s="28" t="n">
        <v>14</v>
      </c>
      <c r="L4451" s="28" t="n">
        <v>120</v>
      </c>
      <c r="M4451" s="28" t="n">
        <v>6</v>
      </c>
    </row>
    <row r="4452" customFormat="false" ht="15" hidden="false" customHeight="false" outlineLevel="0" collapsed="false">
      <c r="A4452" s="27" t="n">
        <v>45751</v>
      </c>
      <c r="B4452" s="28" t="n">
        <v>2025</v>
      </c>
      <c r="C4452" s="28" t="s">
        <v>460</v>
      </c>
      <c r="D4452" s="28" t="s">
        <v>55</v>
      </c>
      <c r="E4452" s="28" t="s">
        <v>1142</v>
      </c>
      <c r="F4452" s="28" t="s">
        <v>142</v>
      </c>
      <c r="G4452" s="28" t="s">
        <v>148</v>
      </c>
      <c r="H4452" s="28" t="s">
        <v>269</v>
      </c>
      <c r="I4452" s="29" t="n">
        <v>150000</v>
      </c>
      <c r="J4452" s="29" t="n">
        <v>127500</v>
      </c>
      <c r="K4452" s="28" t="n">
        <v>10.25</v>
      </c>
      <c r="L4452" s="28" t="n">
        <v>120</v>
      </c>
      <c r="M4452" s="28" t="n">
        <v>0</v>
      </c>
    </row>
    <row r="4453" customFormat="false" ht="15" hidden="false" customHeight="false" outlineLevel="0" collapsed="false">
      <c r="A4453" s="27" t="n">
        <v>45751</v>
      </c>
      <c r="B4453" s="28" t="n">
        <v>2025</v>
      </c>
      <c r="C4453" s="28" t="s">
        <v>344</v>
      </c>
      <c r="D4453" s="28" t="s">
        <v>50</v>
      </c>
      <c r="E4453" s="28" t="s">
        <v>877</v>
      </c>
      <c r="F4453" s="28" t="s">
        <v>142</v>
      </c>
      <c r="G4453" s="28" t="s">
        <v>148</v>
      </c>
      <c r="H4453" s="28" t="s">
        <v>953</v>
      </c>
      <c r="I4453" s="29" t="n">
        <v>950000</v>
      </c>
      <c r="J4453" s="29" t="n">
        <v>712500</v>
      </c>
      <c r="K4453" s="28" t="n">
        <v>10.5</v>
      </c>
      <c r="L4453" s="28" t="n">
        <v>120</v>
      </c>
      <c r="M4453" s="28" t="n">
        <v>150</v>
      </c>
    </row>
    <row r="4454" customFormat="false" ht="15" hidden="false" customHeight="false" outlineLevel="0" collapsed="false">
      <c r="A4454" s="27" t="n">
        <v>45751</v>
      </c>
      <c r="B4454" s="28" t="n">
        <v>2025</v>
      </c>
      <c r="C4454" s="28" t="s">
        <v>723</v>
      </c>
      <c r="D4454" s="28" t="s">
        <v>47</v>
      </c>
      <c r="E4454" s="28" t="s">
        <v>1143</v>
      </c>
      <c r="F4454" s="28" t="s">
        <v>142</v>
      </c>
      <c r="G4454" s="28" t="s">
        <v>148</v>
      </c>
      <c r="H4454" s="28" t="s">
        <v>953</v>
      </c>
      <c r="I4454" s="29" t="n">
        <v>300000</v>
      </c>
      <c r="J4454" s="29" t="n">
        <v>225000</v>
      </c>
      <c r="K4454" s="28" t="n">
        <v>10.5</v>
      </c>
      <c r="L4454" s="28" t="n">
        <v>120</v>
      </c>
      <c r="M4454" s="28" t="n">
        <v>3</v>
      </c>
    </row>
    <row r="4455" customFormat="false" ht="15" hidden="false" customHeight="false" outlineLevel="0" collapsed="false">
      <c r="A4455" s="27" t="n">
        <v>45754</v>
      </c>
      <c r="B4455" s="28" t="n">
        <v>2025</v>
      </c>
      <c r="C4455" s="28" t="s">
        <v>163</v>
      </c>
      <c r="D4455" s="28" t="s">
        <v>51</v>
      </c>
      <c r="E4455" s="28" t="s">
        <v>800</v>
      </c>
      <c r="F4455" s="28" t="s">
        <v>147</v>
      </c>
      <c r="G4455" s="28" t="s">
        <v>143</v>
      </c>
      <c r="H4455" s="28" t="s">
        <v>291</v>
      </c>
      <c r="I4455" s="29" t="n">
        <v>100000</v>
      </c>
      <c r="J4455" s="29" t="n">
        <v>50000</v>
      </c>
      <c r="K4455" s="28" t="n">
        <v>9.75</v>
      </c>
      <c r="L4455" s="28" t="n">
        <v>120</v>
      </c>
      <c r="M4455" s="28" t="n">
        <v>30</v>
      </c>
    </row>
    <row r="4456" customFormat="false" ht="15" hidden="false" customHeight="false" outlineLevel="0" collapsed="false">
      <c r="A4456" s="27" t="n">
        <v>45754</v>
      </c>
      <c r="B4456" s="28" t="n">
        <v>2025</v>
      </c>
      <c r="C4456" s="28" t="s">
        <v>166</v>
      </c>
      <c r="D4456" s="28" t="s">
        <v>42</v>
      </c>
      <c r="E4456" s="28" t="s">
        <v>717</v>
      </c>
      <c r="F4456" s="28" t="s">
        <v>142</v>
      </c>
      <c r="G4456" s="28" t="s">
        <v>152</v>
      </c>
      <c r="H4456" s="28" t="s">
        <v>1060</v>
      </c>
      <c r="I4456" s="29" t="n">
        <v>200000</v>
      </c>
      <c r="J4456" s="29" t="n">
        <v>150000</v>
      </c>
      <c r="K4456" s="28" t="n">
        <v>10.25</v>
      </c>
      <c r="L4456" s="28" t="n">
        <v>120</v>
      </c>
      <c r="M4456" s="28" t="n">
        <v>17</v>
      </c>
    </row>
    <row r="4457" customFormat="false" ht="15" hidden="false" customHeight="false" outlineLevel="0" collapsed="false">
      <c r="A4457" s="27" t="n">
        <v>45754</v>
      </c>
      <c r="B4457" s="28" t="n">
        <v>2025</v>
      </c>
      <c r="C4457" s="28" t="s">
        <v>169</v>
      </c>
      <c r="D4457" s="28" t="s">
        <v>48</v>
      </c>
      <c r="E4457" s="28" t="s">
        <v>767</v>
      </c>
      <c r="F4457" s="28" t="s">
        <v>142</v>
      </c>
      <c r="G4457" s="28" t="s">
        <v>148</v>
      </c>
      <c r="H4457" s="28" t="s">
        <v>771</v>
      </c>
      <c r="I4457" s="29" t="n">
        <v>50000</v>
      </c>
      <c r="J4457" s="29" t="n">
        <v>42500</v>
      </c>
      <c r="K4457" s="28" t="n">
        <v>10.25</v>
      </c>
      <c r="L4457" s="28" t="n">
        <v>120</v>
      </c>
      <c r="M4457" s="28" t="n">
        <v>1</v>
      </c>
    </row>
    <row r="4458" customFormat="false" ht="15" hidden="false" customHeight="false" outlineLevel="0" collapsed="false">
      <c r="A4458" s="27" t="n">
        <v>45754</v>
      </c>
      <c r="B4458" s="28" t="n">
        <v>2025</v>
      </c>
      <c r="C4458" s="28" t="s">
        <v>163</v>
      </c>
      <c r="D4458" s="28" t="s">
        <v>51</v>
      </c>
      <c r="E4458" s="28" t="s">
        <v>800</v>
      </c>
      <c r="F4458" s="28" t="s">
        <v>142</v>
      </c>
      <c r="G4458" s="28" t="s">
        <v>143</v>
      </c>
      <c r="H4458" s="28" t="s">
        <v>291</v>
      </c>
      <c r="I4458" s="29" t="n">
        <v>1522000</v>
      </c>
      <c r="J4458" s="29" t="n">
        <v>1141500</v>
      </c>
      <c r="K4458" s="28" t="n">
        <v>9.75</v>
      </c>
      <c r="L4458" s="28" t="n">
        <v>126</v>
      </c>
      <c r="M4458" s="28" t="n">
        <v>30</v>
      </c>
    </row>
    <row r="4459" customFormat="false" ht="15" hidden="false" customHeight="false" outlineLevel="0" collapsed="false">
      <c r="A4459" s="27" t="n">
        <v>45754</v>
      </c>
      <c r="B4459" s="28" t="n">
        <v>2025</v>
      </c>
      <c r="C4459" s="28" t="s">
        <v>272</v>
      </c>
      <c r="D4459" s="28" t="s">
        <v>44</v>
      </c>
      <c r="E4459" s="28" t="s">
        <v>783</v>
      </c>
      <c r="F4459" s="28" t="s">
        <v>147</v>
      </c>
      <c r="G4459" s="28" t="s">
        <v>148</v>
      </c>
      <c r="H4459" s="28" t="s">
        <v>291</v>
      </c>
      <c r="I4459" s="29" t="n">
        <v>225000</v>
      </c>
      <c r="J4459" s="29" t="n">
        <v>112500</v>
      </c>
      <c r="K4459" s="28" t="n">
        <v>9.5</v>
      </c>
      <c r="L4459" s="28" t="n">
        <v>120</v>
      </c>
      <c r="M4459" s="28" t="n">
        <v>61</v>
      </c>
    </row>
    <row r="4460" customFormat="false" ht="15" hidden="false" customHeight="false" outlineLevel="0" collapsed="false">
      <c r="A4460" s="27" t="n">
        <v>45754</v>
      </c>
      <c r="B4460" s="28" t="n">
        <v>2025</v>
      </c>
      <c r="C4460" s="28" t="s">
        <v>206</v>
      </c>
      <c r="D4460" s="28" t="s">
        <v>45</v>
      </c>
      <c r="E4460" s="28" t="s">
        <v>874</v>
      </c>
      <c r="F4460" s="28" t="s">
        <v>142</v>
      </c>
      <c r="G4460" s="28" t="s">
        <v>148</v>
      </c>
      <c r="H4460" s="28" t="s">
        <v>269</v>
      </c>
      <c r="I4460" s="29" t="n">
        <v>50000</v>
      </c>
      <c r="J4460" s="29" t="n">
        <v>42500</v>
      </c>
      <c r="K4460" s="28" t="n">
        <v>11.25</v>
      </c>
      <c r="L4460" s="28" t="n">
        <v>120</v>
      </c>
      <c r="M4460" s="28" t="n">
        <v>0</v>
      </c>
    </row>
    <row r="4461" customFormat="false" ht="15" hidden="false" customHeight="false" outlineLevel="0" collapsed="false">
      <c r="A4461" s="27" t="n">
        <v>45755</v>
      </c>
      <c r="B4461" s="28" t="n">
        <v>2025</v>
      </c>
      <c r="C4461" s="28" t="s">
        <v>172</v>
      </c>
      <c r="D4461" s="28" t="s">
        <v>45</v>
      </c>
      <c r="E4461" s="28" t="s">
        <v>824</v>
      </c>
      <c r="F4461" s="28" t="s">
        <v>142</v>
      </c>
      <c r="G4461" s="28" t="s">
        <v>441</v>
      </c>
      <c r="H4461" s="28" t="s">
        <v>359</v>
      </c>
      <c r="I4461" s="29" t="n">
        <v>250000</v>
      </c>
      <c r="J4461" s="29" t="n">
        <v>187500</v>
      </c>
      <c r="K4461" s="28" t="n">
        <v>9.75</v>
      </c>
      <c r="L4461" s="28" t="n">
        <v>60</v>
      </c>
      <c r="M4461" s="28" t="n">
        <v>14</v>
      </c>
    </row>
    <row r="4462" customFormat="false" ht="15" hidden="false" customHeight="false" outlineLevel="0" collapsed="false">
      <c r="A4462" s="27" t="n">
        <v>45755</v>
      </c>
      <c r="B4462" s="28" t="n">
        <v>2025</v>
      </c>
      <c r="C4462" s="28" t="s">
        <v>166</v>
      </c>
      <c r="D4462" s="28" t="s">
        <v>44</v>
      </c>
      <c r="E4462" s="28" t="s">
        <v>923</v>
      </c>
      <c r="F4462" s="28" t="s">
        <v>142</v>
      </c>
      <c r="G4462" s="28" t="s">
        <v>148</v>
      </c>
      <c r="H4462" s="28" t="s">
        <v>619</v>
      </c>
      <c r="I4462" s="29" t="n">
        <v>289000</v>
      </c>
      <c r="J4462" s="29" t="n">
        <v>216750</v>
      </c>
      <c r="K4462" s="28" t="n">
        <v>10</v>
      </c>
      <c r="L4462" s="28" t="n">
        <v>300</v>
      </c>
      <c r="M4462" s="28" t="n">
        <v>2</v>
      </c>
    </row>
    <row r="4463" customFormat="false" ht="15" hidden="false" customHeight="false" outlineLevel="0" collapsed="false">
      <c r="A4463" s="27" t="n">
        <v>45755</v>
      </c>
      <c r="B4463" s="28" t="n">
        <v>2025</v>
      </c>
      <c r="C4463" s="28" t="s">
        <v>160</v>
      </c>
      <c r="D4463" s="28" t="s">
        <v>44</v>
      </c>
      <c r="E4463" s="28" t="s">
        <v>1080</v>
      </c>
      <c r="F4463" s="28" t="s">
        <v>142</v>
      </c>
      <c r="G4463" s="28" t="s">
        <v>441</v>
      </c>
      <c r="H4463" s="28" t="s">
        <v>771</v>
      </c>
      <c r="I4463" s="29" t="n">
        <v>30000</v>
      </c>
      <c r="J4463" s="29" t="n">
        <v>25500</v>
      </c>
      <c r="K4463" s="28" t="n">
        <v>10.25</v>
      </c>
      <c r="L4463" s="28" t="n">
        <v>120</v>
      </c>
      <c r="M4463" s="28" t="n">
        <v>1</v>
      </c>
    </row>
    <row r="4464" customFormat="false" ht="15" hidden="false" customHeight="false" outlineLevel="0" collapsed="false">
      <c r="A4464" s="27" t="n">
        <v>45755</v>
      </c>
      <c r="B4464" s="28" t="n">
        <v>2025</v>
      </c>
      <c r="C4464" s="28" t="s">
        <v>384</v>
      </c>
      <c r="D4464" s="28" t="s">
        <v>48</v>
      </c>
      <c r="E4464" s="28" t="s">
        <v>704</v>
      </c>
      <c r="F4464" s="28" t="s">
        <v>142</v>
      </c>
      <c r="G4464" s="28" t="s">
        <v>148</v>
      </c>
      <c r="H4464" s="28" t="s">
        <v>159</v>
      </c>
      <c r="I4464" s="29" t="n">
        <v>80000</v>
      </c>
      <c r="J4464" s="29" t="n">
        <v>68000</v>
      </c>
      <c r="K4464" s="28" t="n">
        <v>9.75</v>
      </c>
      <c r="L4464" s="28" t="n">
        <v>60</v>
      </c>
      <c r="M4464" s="28" t="n">
        <v>10</v>
      </c>
    </row>
    <row r="4465" customFormat="false" ht="15" hidden="false" customHeight="false" outlineLevel="0" collapsed="false">
      <c r="A4465" s="27" t="n">
        <v>45756</v>
      </c>
      <c r="B4465" s="28" t="n">
        <v>2025</v>
      </c>
      <c r="C4465" s="28" t="s">
        <v>145</v>
      </c>
      <c r="D4465" s="28" t="s">
        <v>42</v>
      </c>
      <c r="E4465" s="28" t="s">
        <v>717</v>
      </c>
      <c r="F4465" s="28" t="s">
        <v>142</v>
      </c>
      <c r="G4465" s="28" t="s">
        <v>148</v>
      </c>
      <c r="H4465" s="28" t="s">
        <v>771</v>
      </c>
      <c r="I4465" s="29" t="n">
        <v>100000</v>
      </c>
      <c r="J4465" s="29" t="n">
        <v>85000</v>
      </c>
      <c r="K4465" s="28" t="n">
        <v>10.25</v>
      </c>
      <c r="L4465" s="28" t="n">
        <v>120</v>
      </c>
      <c r="M4465" s="28" t="n">
        <v>40</v>
      </c>
    </row>
    <row r="4466" customFormat="false" ht="15" hidden="false" customHeight="false" outlineLevel="0" collapsed="false">
      <c r="A4466" s="27" t="n">
        <v>45756</v>
      </c>
      <c r="B4466" s="28" t="n">
        <v>2025</v>
      </c>
      <c r="C4466" s="28" t="s">
        <v>172</v>
      </c>
      <c r="D4466" s="28" t="s">
        <v>48</v>
      </c>
      <c r="E4466" s="28" t="s">
        <v>362</v>
      </c>
      <c r="F4466" s="28" t="s">
        <v>142</v>
      </c>
      <c r="G4466" s="28" t="s">
        <v>148</v>
      </c>
      <c r="H4466" s="28" t="s">
        <v>144</v>
      </c>
      <c r="I4466" s="29" t="n">
        <v>105000</v>
      </c>
      <c r="J4466" s="29" t="n">
        <v>89250</v>
      </c>
      <c r="K4466" s="28" t="n">
        <v>10.99</v>
      </c>
      <c r="L4466" s="28" t="n">
        <v>120</v>
      </c>
      <c r="M4466" s="28" t="n">
        <v>6</v>
      </c>
    </row>
    <row r="4467" customFormat="false" ht="15" hidden="false" customHeight="false" outlineLevel="0" collapsed="false">
      <c r="A4467" s="27" t="n">
        <v>45756</v>
      </c>
      <c r="B4467" s="28" t="n">
        <v>2025</v>
      </c>
      <c r="C4467" s="28" t="s">
        <v>206</v>
      </c>
      <c r="D4467" s="28" t="s">
        <v>46</v>
      </c>
      <c r="E4467" s="28" t="s">
        <v>770</v>
      </c>
      <c r="F4467" s="28" t="s">
        <v>142</v>
      </c>
      <c r="G4467" s="28" t="s">
        <v>143</v>
      </c>
      <c r="H4467" s="28" t="s">
        <v>1144</v>
      </c>
      <c r="I4467" s="29" t="n">
        <v>550000</v>
      </c>
      <c r="J4467" s="29" t="n">
        <v>412500</v>
      </c>
      <c r="K4467" s="28" t="n">
        <v>10</v>
      </c>
      <c r="L4467" s="28" t="n">
        <v>126</v>
      </c>
      <c r="M4467" s="28" t="n">
        <v>2</v>
      </c>
    </row>
    <row r="4468" customFormat="false" ht="15" hidden="false" customHeight="false" outlineLevel="0" collapsed="false">
      <c r="A4468" s="27" t="n">
        <v>45756</v>
      </c>
      <c r="B4468" s="28" t="n">
        <v>2025</v>
      </c>
      <c r="C4468" s="28" t="s">
        <v>172</v>
      </c>
      <c r="D4468" s="28" t="s">
        <v>43</v>
      </c>
      <c r="E4468" s="28" t="s">
        <v>825</v>
      </c>
      <c r="F4468" s="28" t="s">
        <v>147</v>
      </c>
      <c r="G4468" s="28" t="s">
        <v>148</v>
      </c>
      <c r="H4468" s="28" t="s">
        <v>159</v>
      </c>
      <c r="I4468" s="29" t="n">
        <v>75000</v>
      </c>
      <c r="J4468" s="29" t="n">
        <v>37500</v>
      </c>
      <c r="K4468" s="28" t="n">
        <v>12</v>
      </c>
      <c r="L4468" s="28" t="n">
        <v>120</v>
      </c>
      <c r="M4468" s="28" t="n">
        <v>1</v>
      </c>
    </row>
    <row r="4469" customFormat="false" ht="15" hidden="false" customHeight="false" outlineLevel="0" collapsed="false">
      <c r="A4469" s="27" t="n">
        <v>45756</v>
      </c>
      <c r="B4469" s="28" t="n">
        <v>2025</v>
      </c>
      <c r="C4469" s="28" t="s">
        <v>160</v>
      </c>
      <c r="D4469" s="28" t="s">
        <v>45</v>
      </c>
      <c r="E4469" s="28" t="s">
        <v>835</v>
      </c>
      <c r="F4469" s="28" t="s">
        <v>147</v>
      </c>
      <c r="G4469" s="28" t="s">
        <v>441</v>
      </c>
      <c r="H4469" s="28" t="s">
        <v>159</v>
      </c>
      <c r="I4469" s="29" t="n">
        <v>75000</v>
      </c>
      <c r="J4469" s="29" t="n">
        <v>37500</v>
      </c>
      <c r="K4469" s="28" t="n">
        <v>12</v>
      </c>
      <c r="L4469" s="28" t="n">
        <v>60</v>
      </c>
      <c r="M4469" s="28" t="n">
        <v>3</v>
      </c>
    </row>
    <row r="4470" customFormat="false" ht="15" hidden="false" customHeight="false" outlineLevel="0" collapsed="false">
      <c r="A4470" s="27" t="n">
        <v>45756</v>
      </c>
      <c r="B4470" s="28" t="n">
        <v>2025</v>
      </c>
      <c r="C4470" s="28" t="s">
        <v>172</v>
      </c>
      <c r="D4470" s="28" t="s">
        <v>43</v>
      </c>
      <c r="E4470" s="28" t="s">
        <v>749</v>
      </c>
      <c r="F4470" s="28" t="s">
        <v>142</v>
      </c>
      <c r="G4470" s="28" t="s">
        <v>148</v>
      </c>
      <c r="H4470" s="28" t="s">
        <v>771</v>
      </c>
      <c r="I4470" s="29" t="n">
        <v>150000</v>
      </c>
      <c r="J4470" s="29" t="n">
        <v>127500</v>
      </c>
      <c r="K4470" s="28" t="n">
        <v>10.25</v>
      </c>
      <c r="L4470" s="28" t="n">
        <v>120</v>
      </c>
      <c r="M4470" s="28" t="n">
        <v>1</v>
      </c>
    </row>
    <row r="4471" customFormat="false" ht="15" hidden="false" customHeight="false" outlineLevel="0" collapsed="false">
      <c r="A4471" s="27" t="n">
        <v>45756</v>
      </c>
      <c r="B4471" s="28" t="n">
        <v>2025</v>
      </c>
      <c r="C4471" s="28" t="s">
        <v>603</v>
      </c>
      <c r="D4471" s="28" t="s">
        <v>45</v>
      </c>
      <c r="E4471" s="28" t="s">
        <v>708</v>
      </c>
      <c r="F4471" s="28" t="s">
        <v>142</v>
      </c>
      <c r="G4471" s="28" t="s">
        <v>148</v>
      </c>
      <c r="H4471" s="28" t="s">
        <v>570</v>
      </c>
      <c r="I4471" s="29" t="n">
        <v>150000</v>
      </c>
      <c r="J4471" s="29" t="n">
        <v>127500</v>
      </c>
      <c r="K4471" s="28" t="n">
        <v>12.5</v>
      </c>
      <c r="L4471" s="28" t="n">
        <v>120</v>
      </c>
      <c r="M4471" s="28" t="n">
        <v>5</v>
      </c>
    </row>
    <row r="4472" customFormat="false" ht="15" hidden="false" customHeight="false" outlineLevel="0" collapsed="false">
      <c r="A4472" s="27" t="n">
        <v>45756</v>
      </c>
      <c r="B4472" s="28" t="n">
        <v>2025</v>
      </c>
      <c r="C4472" s="28" t="s">
        <v>172</v>
      </c>
      <c r="D4472" s="28" t="s">
        <v>53</v>
      </c>
      <c r="E4472" s="28" t="s">
        <v>383</v>
      </c>
      <c r="F4472" s="28" t="s">
        <v>142</v>
      </c>
      <c r="G4472" s="28" t="s">
        <v>148</v>
      </c>
      <c r="H4472" s="28" t="s">
        <v>269</v>
      </c>
      <c r="I4472" s="29" t="n">
        <v>100000</v>
      </c>
      <c r="J4472" s="29" t="n">
        <v>85000</v>
      </c>
      <c r="K4472" s="28" t="n">
        <v>12.5</v>
      </c>
      <c r="L4472" s="28" t="n">
        <v>120</v>
      </c>
      <c r="M4472" s="28" t="n">
        <v>3</v>
      </c>
    </row>
    <row r="4473" customFormat="false" ht="15" hidden="false" customHeight="false" outlineLevel="0" collapsed="false">
      <c r="A4473" s="27" t="n">
        <v>45757</v>
      </c>
      <c r="B4473" s="28" t="n">
        <v>2025</v>
      </c>
      <c r="C4473" s="28" t="s">
        <v>166</v>
      </c>
      <c r="D4473" s="28" t="s">
        <v>50</v>
      </c>
      <c r="E4473" s="28" t="s">
        <v>261</v>
      </c>
      <c r="F4473" s="28" t="s">
        <v>147</v>
      </c>
      <c r="G4473" s="28" t="s">
        <v>148</v>
      </c>
      <c r="H4473" s="28" t="s">
        <v>159</v>
      </c>
      <c r="I4473" s="29" t="n">
        <v>210000</v>
      </c>
      <c r="J4473" s="29" t="n">
        <v>105000</v>
      </c>
      <c r="K4473" s="28" t="n">
        <v>9.75</v>
      </c>
      <c r="L4473" s="28" t="n">
        <v>60</v>
      </c>
      <c r="M4473" s="28" t="n">
        <v>5</v>
      </c>
    </row>
    <row r="4474" customFormat="false" ht="15" hidden="false" customHeight="false" outlineLevel="0" collapsed="false">
      <c r="A4474" s="27" t="n">
        <v>45757</v>
      </c>
      <c r="B4474" s="28" t="n">
        <v>2025</v>
      </c>
      <c r="C4474" s="28" t="s">
        <v>140</v>
      </c>
      <c r="D4474" s="28" t="s">
        <v>42</v>
      </c>
      <c r="E4474" s="28" t="s">
        <v>717</v>
      </c>
      <c r="F4474" s="28" t="s">
        <v>142</v>
      </c>
      <c r="G4474" s="28" t="s">
        <v>148</v>
      </c>
      <c r="H4474" s="28" t="s">
        <v>771</v>
      </c>
      <c r="I4474" s="29" t="n">
        <v>50000</v>
      </c>
      <c r="J4474" s="29" t="n">
        <v>42500</v>
      </c>
      <c r="K4474" s="28" t="n">
        <v>10.25</v>
      </c>
      <c r="L4474" s="28" t="n">
        <v>120</v>
      </c>
      <c r="M4474" s="28" t="n">
        <v>9</v>
      </c>
    </row>
    <row r="4475" customFormat="false" ht="15" hidden="false" customHeight="false" outlineLevel="0" collapsed="false">
      <c r="A4475" s="27" t="n">
        <v>45758</v>
      </c>
      <c r="B4475" s="28" t="n">
        <v>2025</v>
      </c>
      <c r="C4475" s="28" t="s">
        <v>257</v>
      </c>
      <c r="D4475" s="28" t="s">
        <v>42</v>
      </c>
      <c r="E4475" s="28" t="s">
        <v>717</v>
      </c>
      <c r="F4475" s="28" t="s">
        <v>142</v>
      </c>
      <c r="G4475" s="28" t="s">
        <v>143</v>
      </c>
      <c r="H4475" s="28" t="s">
        <v>621</v>
      </c>
      <c r="I4475" s="29" t="n">
        <v>495000</v>
      </c>
      <c r="J4475" s="29" t="n">
        <v>371250</v>
      </c>
      <c r="K4475" s="28" t="n">
        <v>9.75</v>
      </c>
      <c r="L4475" s="28" t="n">
        <v>132</v>
      </c>
      <c r="M4475" s="28" t="n">
        <v>73</v>
      </c>
    </row>
    <row r="4476" customFormat="false" ht="15" hidden="false" customHeight="false" outlineLevel="0" collapsed="false">
      <c r="A4476" s="27" t="n">
        <v>45758</v>
      </c>
      <c r="B4476" s="28" t="n">
        <v>2025</v>
      </c>
      <c r="C4476" s="28" t="s">
        <v>206</v>
      </c>
      <c r="D4476" s="28" t="s">
        <v>44</v>
      </c>
      <c r="E4476" s="28" t="s">
        <v>759</v>
      </c>
      <c r="F4476" s="28" t="s">
        <v>142</v>
      </c>
      <c r="G4476" s="28" t="s">
        <v>148</v>
      </c>
      <c r="H4476" s="28" t="s">
        <v>771</v>
      </c>
      <c r="I4476" s="29" t="n">
        <v>150000</v>
      </c>
      <c r="J4476" s="29" t="n">
        <v>127500</v>
      </c>
      <c r="K4476" s="28" t="n">
        <v>11.25</v>
      </c>
      <c r="L4476" s="28" t="n">
        <v>120</v>
      </c>
      <c r="M4476" s="28" t="n">
        <v>5</v>
      </c>
    </row>
    <row r="4477" customFormat="false" ht="15" hidden="false" customHeight="false" outlineLevel="0" collapsed="false">
      <c r="A4477" s="27" t="n">
        <v>45758</v>
      </c>
      <c r="B4477" s="28" t="n">
        <v>2025</v>
      </c>
      <c r="C4477" s="28" t="s">
        <v>172</v>
      </c>
      <c r="D4477" s="28" t="s">
        <v>48</v>
      </c>
      <c r="E4477" s="28" t="s">
        <v>342</v>
      </c>
      <c r="F4477" s="28" t="s">
        <v>147</v>
      </c>
      <c r="G4477" s="28" t="s">
        <v>148</v>
      </c>
      <c r="H4477" s="28" t="s">
        <v>159</v>
      </c>
      <c r="I4477" s="29" t="n">
        <v>40000</v>
      </c>
      <c r="J4477" s="29" t="n">
        <v>20000</v>
      </c>
      <c r="K4477" s="28" t="n">
        <v>11.25</v>
      </c>
      <c r="L4477" s="28" t="n">
        <v>120</v>
      </c>
      <c r="M4477" s="28" t="n">
        <v>3</v>
      </c>
    </row>
    <row r="4478" customFormat="false" ht="15" hidden="false" customHeight="false" outlineLevel="0" collapsed="false">
      <c r="A4478" s="27" t="n">
        <v>45758</v>
      </c>
      <c r="B4478" s="28" t="n">
        <v>2025</v>
      </c>
      <c r="C4478" s="28" t="s">
        <v>409</v>
      </c>
      <c r="D4478" s="28" t="s">
        <v>45</v>
      </c>
      <c r="E4478" s="28" t="s">
        <v>293</v>
      </c>
      <c r="F4478" s="28" t="s">
        <v>147</v>
      </c>
      <c r="G4478" s="28" t="s">
        <v>152</v>
      </c>
      <c r="H4478" s="28" t="s">
        <v>799</v>
      </c>
      <c r="I4478" s="29" t="n">
        <v>500000</v>
      </c>
      <c r="J4478" s="29" t="n">
        <v>250000</v>
      </c>
      <c r="K4478" s="28" t="n">
        <v>9.5</v>
      </c>
      <c r="L4478" s="28" t="n">
        <v>120</v>
      </c>
      <c r="M4478" s="28" t="n">
        <v>8</v>
      </c>
    </row>
    <row r="4479" customFormat="false" ht="15" hidden="false" customHeight="false" outlineLevel="0" collapsed="false">
      <c r="A4479" s="27" t="n">
        <v>45758</v>
      </c>
      <c r="B4479" s="28" t="n">
        <v>2025</v>
      </c>
      <c r="C4479" s="28" t="s">
        <v>409</v>
      </c>
      <c r="D4479" s="28" t="s">
        <v>45</v>
      </c>
      <c r="E4479" s="28" t="s">
        <v>293</v>
      </c>
      <c r="F4479" s="28" t="s">
        <v>142</v>
      </c>
      <c r="G4479" s="28" t="s">
        <v>152</v>
      </c>
      <c r="H4479" s="28" t="s">
        <v>799</v>
      </c>
      <c r="I4479" s="29" t="n">
        <v>855000</v>
      </c>
      <c r="J4479" s="29" t="n">
        <v>641250</v>
      </c>
      <c r="K4479" s="28" t="n">
        <v>9.5</v>
      </c>
      <c r="L4479" s="28" t="n">
        <v>120</v>
      </c>
      <c r="M4479" s="28" t="n">
        <v>8</v>
      </c>
    </row>
    <row r="4480" customFormat="false" ht="15" hidden="false" customHeight="false" outlineLevel="0" collapsed="false">
      <c r="A4480" s="27" t="n">
        <v>45758</v>
      </c>
      <c r="B4480" s="28" t="n">
        <v>2025</v>
      </c>
      <c r="C4480" s="28" t="s">
        <v>172</v>
      </c>
      <c r="D4480" s="28" t="s">
        <v>48</v>
      </c>
      <c r="E4480" s="28" t="s">
        <v>342</v>
      </c>
      <c r="F4480" s="28" t="s">
        <v>147</v>
      </c>
      <c r="G4480" s="28" t="s">
        <v>148</v>
      </c>
      <c r="H4480" s="28" t="s">
        <v>159</v>
      </c>
      <c r="I4480" s="29" t="n">
        <v>40000</v>
      </c>
      <c r="J4480" s="29" t="n">
        <v>20000</v>
      </c>
      <c r="K4480" s="28" t="n">
        <v>10.49</v>
      </c>
      <c r="L4480" s="28" t="n">
        <v>60</v>
      </c>
      <c r="M4480" s="28" t="n">
        <v>3</v>
      </c>
    </row>
    <row r="4481" customFormat="false" ht="15" hidden="false" customHeight="false" outlineLevel="0" collapsed="false">
      <c r="A4481" s="27" t="n">
        <v>45759</v>
      </c>
      <c r="B4481" s="28" t="n">
        <v>2025</v>
      </c>
      <c r="C4481" s="28" t="s">
        <v>216</v>
      </c>
      <c r="D4481" s="28" t="s">
        <v>48</v>
      </c>
      <c r="E4481" s="28" t="s">
        <v>712</v>
      </c>
      <c r="F4481" s="28" t="s">
        <v>142</v>
      </c>
      <c r="G4481" s="28" t="s">
        <v>441</v>
      </c>
      <c r="H4481" s="28" t="s">
        <v>771</v>
      </c>
      <c r="I4481" s="29" t="n">
        <v>31500</v>
      </c>
      <c r="J4481" s="29" t="n">
        <v>26775</v>
      </c>
      <c r="K4481" s="28" t="n">
        <v>10.25</v>
      </c>
      <c r="L4481" s="28" t="n">
        <v>120</v>
      </c>
      <c r="M4481" s="28" t="n">
        <v>1</v>
      </c>
    </row>
    <row r="4482" customFormat="false" ht="15" hidden="false" customHeight="false" outlineLevel="0" collapsed="false">
      <c r="A4482" s="27" t="n">
        <v>45762</v>
      </c>
      <c r="B4482" s="28" t="n">
        <v>2025</v>
      </c>
      <c r="C4482" s="28" t="s">
        <v>1071</v>
      </c>
      <c r="D4482" s="28" t="s">
        <v>50</v>
      </c>
      <c r="E4482" s="28" t="s">
        <v>193</v>
      </c>
      <c r="F4482" s="28" t="s">
        <v>142</v>
      </c>
      <c r="G4482" s="28" t="s">
        <v>148</v>
      </c>
      <c r="H4482" s="28" t="s">
        <v>171</v>
      </c>
      <c r="I4482" s="29" t="n">
        <v>150000</v>
      </c>
      <c r="J4482" s="29" t="n">
        <v>127500</v>
      </c>
      <c r="K4482" s="28" t="n">
        <v>12.25</v>
      </c>
      <c r="L4482" s="28" t="n">
        <v>120</v>
      </c>
      <c r="M4482" s="28" t="n">
        <v>4</v>
      </c>
    </row>
    <row r="4483" customFormat="false" ht="15" hidden="false" customHeight="false" outlineLevel="0" collapsed="false">
      <c r="A4483" s="27" t="n">
        <v>45762</v>
      </c>
      <c r="B4483" s="28" t="n">
        <v>2025</v>
      </c>
      <c r="C4483" s="28" t="s">
        <v>196</v>
      </c>
      <c r="D4483" s="28" t="s">
        <v>44</v>
      </c>
      <c r="E4483" s="28" t="s">
        <v>863</v>
      </c>
      <c r="F4483" s="28" t="s">
        <v>147</v>
      </c>
      <c r="G4483" s="28" t="s">
        <v>148</v>
      </c>
      <c r="H4483" s="28" t="s">
        <v>205</v>
      </c>
      <c r="I4483" s="29" t="n">
        <v>50000</v>
      </c>
      <c r="J4483" s="29" t="n">
        <v>25000</v>
      </c>
      <c r="K4483" s="28" t="n">
        <v>10.5</v>
      </c>
      <c r="L4483" s="28" t="n">
        <v>120</v>
      </c>
      <c r="M4483" s="28" t="n">
        <v>0</v>
      </c>
    </row>
    <row r="4484" customFormat="false" ht="15" hidden="false" customHeight="false" outlineLevel="0" collapsed="false">
      <c r="A4484" s="27" t="n">
        <v>45762</v>
      </c>
      <c r="B4484" s="28" t="n">
        <v>2025</v>
      </c>
      <c r="C4484" s="28" t="s">
        <v>409</v>
      </c>
      <c r="D4484" s="28" t="s">
        <v>45</v>
      </c>
      <c r="E4484" s="28" t="s">
        <v>222</v>
      </c>
      <c r="F4484" s="28" t="s">
        <v>142</v>
      </c>
      <c r="G4484" s="28" t="s">
        <v>152</v>
      </c>
      <c r="H4484" s="28" t="s">
        <v>799</v>
      </c>
      <c r="I4484" s="29" t="n">
        <v>605000</v>
      </c>
      <c r="J4484" s="29" t="n">
        <v>453750</v>
      </c>
      <c r="K4484" s="28" t="n">
        <v>9</v>
      </c>
      <c r="L4484" s="28" t="n">
        <v>120</v>
      </c>
      <c r="M4484" s="28" t="n">
        <v>9</v>
      </c>
    </row>
    <row r="4485" customFormat="false" ht="15" hidden="false" customHeight="false" outlineLevel="0" collapsed="false">
      <c r="A4485" s="27" t="n">
        <v>45762</v>
      </c>
      <c r="B4485" s="28" t="n">
        <v>2025</v>
      </c>
      <c r="C4485" s="28" t="s">
        <v>163</v>
      </c>
      <c r="D4485" s="28" t="s">
        <v>44</v>
      </c>
      <c r="E4485" s="28" t="s">
        <v>755</v>
      </c>
      <c r="F4485" s="28" t="s">
        <v>142</v>
      </c>
      <c r="G4485" s="28" t="s">
        <v>148</v>
      </c>
      <c r="H4485" s="28" t="s">
        <v>144</v>
      </c>
      <c r="I4485" s="29" t="n">
        <v>4500000</v>
      </c>
      <c r="J4485" s="29" t="n">
        <v>3375000</v>
      </c>
      <c r="K4485" s="28" t="n">
        <v>7.25</v>
      </c>
      <c r="L4485" s="28" t="n">
        <v>312</v>
      </c>
      <c r="M4485" s="28" t="n">
        <v>27</v>
      </c>
    </row>
    <row r="4486" customFormat="false" ht="15" hidden="false" customHeight="false" outlineLevel="0" collapsed="false">
      <c r="A4486" s="27" t="n">
        <v>45762</v>
      </c>
      <c r="B4486" s="28" t="n">
        <v>2025</v>
      </c>
      <c r="C4486" s="28" t="s">
        <v>175</v>
      </c>
      <c r="D4486" s="28" t="s">
        <v>56</v>
      </c>
      <c r="E4486" s="28" t="s">
        <v>722</v>
      </c>
      <c r="F4486" s="28" t="s">
        <v>142</v>
      </c>
      <c r="G4486" s="28" t="s">
        <v>148</v>
      </c>
      <c r="H4486" s="28" t="s">
        <v>937</v>
      </c>
      <c r="I4486" s="29" t="n">
        <v>300000</v>
      </c>
      <c r="J4486" s="29" t="n">
        <v>225000</v>
      </c>
      <c r="K4486" s="28" t="n">
        <v>12</v>
      </c>
      <c r="L4486" s="28" t="n">
        <v>120</v>
      </c>
      <c r="M4486" s="28" t="n">
        <v>25</v>
      </c>
    </row>
    <row r="4487" customFormat="false" ht="15" hidden="false" customHeight="false" outlineLevel="0" collapsed="false">
      <c r="A4487" s="27" t="n">
        <v>45763</v>
      </c>
      <c r="B4487" s="28" t="n">
        <v>2025</v>
      </c>
      <c r="C4487" s="28" t="s">
        <v>172</v>
      </c>
      <c r="D4487" s="28" t="s">
        <v>48</v>
      </c>
      <c r="E4487" s="28" t="s">
        <v>362</v>
      </c>
      <c r="F4487" s="28" t="s">
        <v>147</v>
      </c>
      <c r="G4487" s="28" t="s">
        <v>148</v>
      </c>
      <c r="H4487" s="28" t="s">
        <v>159</v>
      </c>
      <c r="I4487" s="29" t="n">
        <v>500000</v>
      </c>
      <c r="J4487" s="29" t="n">
        <v>250000</v>
      </c>
      <c r="K4487" s="28" t="n">
        <v>9.25</v>
      </c>
      <c r="L4487" s="28" t="n">
        <v>120</v>
      </c>
      <c r="M4487" s="28" t="n">
        <v>68</v>
      </c>
    </row>
    <row r="4488" customFormat="false" ht="15" hidden="false" customHeight="false" outlineLevel="0" collapsed="false">
      <c r="A4488" s="27" t="n">
        <v>45763</v>
      </c>
      <c r="B4488" s="28" t="n">
        <v>2025</v>
      </c>
      <c r="C4488" s="28" t="s">
        <v>172</v>
      </c>
      <c r="D4488" s="28" t="s">
        <v>56</v>
      </c>
      <c r="E4488" s="28" t="s">
        <v>929</v>
      </c>
      <c r="F4488" s="28" t="s">
        <v>147</v>
      </c>
      <c r="G4488" s="28" t="s">
        <v>148</v>
      </c>
      <c r="H4488" s="28" t="s">
        <v>159</v>
      </c>
      <c r="I4488" s="29" t="n">
        <v>250000</v>
      </c>
      <c r="J4488" s="29" t="n">
        <v>125000</v>
      </c>
      <c r="K4488" s="28" t="n">
        <v>11.25</v>
      </c>
      <c r="L4488" s="28" t="n">
        <v>120</v>
      </c>
      <c r="M4488" s="28" t="n">
        <v>12</v>
      </c>
    </row>
    <row r="4489" customFormat="false" ht="15" hidden="false" customHeight="false" outlineLevel="0" collapsed="false">
      <c r="A4489" s="27" t="n">
        <v>45763</v>
      </c>
      <c r="B4489" s="28" t="n">
        <v>2025</v>
      </c>
      <c r="C4489" s="28" t="s">
        <v>408</v>
      </c>
      <c r="D4489" s="28" t="s">
        <v>48</v>
      </c>
      <c r="E4489" s="28" t="s">
        <v>1090</v>
      </c>
      <c r="F4489" s="28" t="s">
        <v>147</v>
      </c>
      <c r="G4489" s="28" t="s">
        <v>148</v>
      </c>
      <c r="H4489" s="28" t="s">
        <v>187</v>
      </c>
      <c r="I4489" s="29" t="n">
        <v>500000</v>
      </c>
      <c r="J4489" s="29" t="n">
        <v>250000</v>
      </c>
      <c r="K4489" s="28" t="n">
        <v>10.5</v>
      </c>
      <c r="L4489" s="28" t="n">
        <v>120</v>
      </c>
      <c r="M4489" s="28" t="n">
        <v>0</v>
      </c>
    </row>
    <row r="4490" customFormat="false" ht="15" hidden="false" customHeight="false" outlineLevel="0" collapsed="false">
      <c r="A4490" s="27" t="n">
        <v>45763</v>
      </c>
      <c r="B4490" s="28" t="n">
        <v>2025</v>
      </c>
      <c r="C4490" s="28" t="s">
        <v>172</v>
      </c>
      <c r="D4490" s="28" t="s">
        <v>48</v>
      </c>
      <c r="E4490" s="28" t="s">
        <v>362</v>
      </c>
      <c r="F4490" s="28" t="s">
        <v>142</v>
      </c>
      <c r="G4490" s="28" t="s">
        <v>148</v>
      </c>
      <c r="H4490" s="28" t="s">
        <v>159</v>
      </c>
      <c r="I4490" s="29" t="n">
        <v>3300000</v>
      </c>
      <c r="J4490" s="29" t="n">
        <v>2475000</v>
      </c>
      <c r="K4490" s="28" t="n">
        <v>9.25</v>
      </c>
      <c r="L4490" s="28" t="n">
        <v>120</v>
      </c>
      <c r="M4490" s="28" t="n">
        <v>68</v>
      </c>
    </row>
    <row r="4491" customFormat="false" ht="15" hidden="false" customHeight="false" outlineLevel="0" collapsed="false">
      <c r="A4491" s="27" t="n">
        <v>45765</v>
      </c>
      <c r="B4491" s="28" t="n">
        <v>2025</v>
      </c>
      <c r="C4491" s="28" t="s">
        <v>252</v>
      </c>
      <c r="D4491" s="28" t="s">
        <v>47</v>
      </c>
      <c r="E4491" s="28" t="s">
        <v>1145</v>
      </c>
      <c r="F4491" s="28" t="s">
        <v>142</v>
      </c>
      <c r="G4491" s="28" t="s">
        <v>148</v>
      </c>
      <c r="H4491" s="28" t="s">
        <v>269</v>
      </c>
      <c r="I4491" s="29" t="n">
        <v>150000</v>
      </c>
      <c r="J4491" s="29" t="n">
        <v>127500</v>
      </c>
      <c r="K4491" s="28" t="n">
        <v>10.25</v>
      </c>
      <c r="L4491" s="28" t="n">
        <v>120</v>
      </c>
      <c r="M4491" s="28" t="n">
        <v>2</v>
      </c>
    </row>
    <row r="4492" customFormat="false" ht="15" hidden="false" customHeight="false" outlineLevel="0" collapsed="false">
      <c r="A4492" s="27" t="n">
        <v>45765</v>
      </c>
      <c r="B4492" s="28" t="n">
        <v>2025</v>
      </c>
      <c r="C4492" s="28" t="s">
        <v>201</v>
      </c>
      <c r="D4492" s="28" t="s">
        <v>44</v>
      </c>
      <c r="E4492" s="28" t="s">
        <v>755</v>
      </c>
      <c r="F4492" s="28" t="s">
        <v>142</v>
      </c>
      <c r="G4492" s="28" t="s">
        <v>143</v>
      </c>
      <c r="H4492" s="28" t="s">
        <v>144</v>
      </c>
      <c r="I4492" s="29" t="n">
        <v>950000</v>
      </c>
      <c r="J4492" s="29" t="n">
        <v>712500</v>
      </c>
      <c r="K4492" s="28" t="n">
        <v>7.95</v>
      </c>
      <c r="L4492" s="28" t="n">
        <v>300</v>
      </c>
      <c r="M4492" s="28" t="n">
        <v>3</v>
      </c>
    </row>
    <row r="4493" customFormat="false" ht="15" hidden="false" customHeight="false" outlineLevel="0" collapsed="false">
      <c r="A4493" s="27" t="n">
        <v>45765</v>
      </c>
      <c r="B4493" s="28" t="n">
        <v>2025</v>
      </c>
      <c r="C4493" s="28" t="s">
        <v>303</v>
      </c>
      <c r="D4493" s="28" t="s">
        <v>50</v>
      </c>
      <c r="E4493" s="28" t="s">
        <v>754</v>
      </c>
      <c r="F4493" s="28" t="s">
        <v>142</v>
      </c>
      <c r="G4493" s="28" t="s">
        <v>441</v>
      </c>
      <c r="H4493" s="28" t="s">
        <v>227</v>
      </c>
      <c r="I4493" s="29" t="n">
        <v>250000</v>
      </c>
      <c r="J4493" s="29" t="n">
        <v>187500</v>
      </c>
      <c r="K4493" s="28" t="n">
        <v>10</v>
      </c>
      <c r="L4493" s="28" t="n">
        <v>120</v>
      </c>
      <c r="M4493" s="28" t="n">
        <v>4</v>
      </c>
    </row>
    <row r="4494" customFormat="false" ht="15" hidden="false" customHeight="false" outlineLevel="0" collapsed="false">
      <c r="A4494" s="27" t="n">
        <v>45765</v>
      </c>
      <c r="B4494" s="28" t="n">
        <v>2025</v>
      </c>
      <c r="C4494" s="28" t="s">
        <v>450</v>
      </c>
      <c r="D4494" s="28" t="s">
        <v>55</v>
      </c>
      <c r="E4494" s="28" t="s">
        <v>769</v>
      </c>
      <c r="F4494" s="28" t="s">
        <v>142</v>
      </c>
      <c r="G4494" s="28" t="s">
        <v>148</v>
      </c>
      <c r="H4494" s="28" t="s">
        <v>456</v>
      </c>
      <c r="I4494" s="29" t="n">
        <v>75000</v>
      </c>
      <c r="J4494" s="29" t="n">
        <v>63750</v>
      </c>
      <c r="K4494" s="28" t="n">
        <v>10.5</v>
      </c>
      <c r="L4494" s="28" t="n">
        <v>120</v>
      </c>
      <c r="M4494" s="28" t="n">
        <v>4</v>
      </c>
    </row>
    <row r="4495" customFormat="false" ht="15" hidden="false" customHeight="false" outlineLevel="0" collapsed="false">
      <c r="A4495" s="27" t="n">
        <v>45768</v>
      </c>
      <c r="B4495" s="28" t="n">
        <v>2025</v>
      </c>
      <c r="C4495" s="28" t="s">
        <v>166</v>
      </c>
      <c r="D4495" s="28" t="s">
        <v>42</v>
      </c>
      <c r="E4495" s="28" t="s">
        <v>717</v>
      </c>
      <c r="F4495" s="28" t="s">
        <v>142</v>
      </c>
      <c r="G4495" s="28" t="s">
        <v>148</v>
      </c>
      <c r="H4495" s="28" t="s">
        <v>275</v>
      </c>
      <c r="I4495" s="29" t="n">
        <v>25000</v>
      </c>
      <c r="J4495" s="29" t="n">
        <v>21250</v>
      </c>
      <c r="K4495" s="28" t="n">
        <v>14</v>
      </c>
      <c r="L4495" s="28" t="n">
        <v>120</v>
      </c>
      <c r="M4495" s="28" t="n">
        <v>5</v>
      </c>
    </row>
    <row r="4496" customFormat="false" ht="15" hidden="false" customHeight="false" outlineLevel="0" collapsed="false">
      <c r="A4496" s="27" t="n">
        <v>45768</v>
      </c>
      <c r="B4496" s="28" t="n">
        <v>2025</v>
      </c>
      <c r="C4496" s="28" t="s">
        <v>166</v>
      </c>
      <c r="D4496" s="28" t="s">
        <v>44</v>
      </c>
      <c r="E4496" s="28" t="s">
        <v>920</v>
      </c>
      <c r="F4496" s="28" t="s">
        <v>142</v>
      </c>
      <c r="G4496" s="28" t="s">
        <v>143</v>
      </c>
      <c r="H4496" s="28" t="s">
        <v>287</v>
      </c>
      <c r="I4496" s="29" t="n">
        <v>100000</v>
      </c>
      <c r="J4496" s="29" t="n">
        <v>85000</v>
      </c>
      <c r="K4496" s="28" t="n">
        <v>10.25</v>
      </c>
      <c r="L4496" s="28" t="n">
        <v>120</v>
      </c>
      <c r="M4496" s="28" t="n">
        <v>2</v>
      </c>
    </row>
    <row r="4497" customFormat="false" ht="15" hidden="false" customHeight="false" outlineLevel="0" collapsed="false">
      <c r="A4497" s="27" t="n">
        <v>45768</v>
      </c>
      <c r="B4497" s="28" t="n">
        <v>2025</v>
      </c>
      <c r="C4497" s="28" t="s">
        <v>172</v>
      </c>
      <c r="D4497" s="28" t="s">
        <v>42</v>
      </c>
      <c r="E4497" s="28" t="s">
        <v>717</v>
      </c>
      <c r="F4497" s="28" t="s">
        <v>142</v>
      </c>
      <c r="G4497" s="28" t="s">
        <v>152</v>
      </c>
      <c r="H4497" s="28" t="s">
        <v>149</v>
      </c>
      <c r="I4497" s="29" t="n">
        <v>690000</v>
      </c>
      <c r="J4497" s="29" t="n">
        <v>517500</v>
      </c>
      <c r="K4497" s="28" t="n">
        <v>9.5</v>
      </c>
      <c r="L4497" s="28" t="n">
        <v>120</v>
      </c>
      <c r="M4497" s="28" t="n">
        <v>13</v>
      </c>
    </row>
    <row r="4498" customFormat="false" ht="15" hidden="false" customHeight="false" outlineLevel="0" collapsed="false">
      <c r="A4498" s="27" t="n">
        <v>45768</v>
      </c>
      <c r="B4498" s="28" t="n">
        <v>2025</v>
      </c>
      <c r="C4498" s="28" t="s">
        <v>169</v>
      </c>
      <c r="D4498" s="28" t="s">
        <v>50</v>
      </c>
      <c r="E4498" s="28" t="s">
        <v>389</v>
      </c>
      <c r="F4498" s="28" t="s">
        <v>142</v>
      </c>
      <c r="G4498" s="28" t="s">
        <v>148</v>
      </c>
      <c r="H4498" s="28" t="s">
        <v>771</v>
      </c>
      <c r="I4498" s="29" t="n">
        <v>250000</v>
      </c>
      <c r="J4498" s="29" t="n">
        <v>187500</v>
      </c>
      <c r="K4498" s="28" t="n">
        <v>13.25</v>
      </c>
      <c r="L4498" s="28" t="n">
        <v>120</v>
      </c>
      <c r="M4498" s="28" t="n">
        <v>10</v>
      </c>
    </row>
    <row r="4499" customFormat="false" ht="15" hidden="false" customHeight="false" outlineLevel="0" collapsed="false">
      <c r="A4499" s="27" t="n">
        <v>45768</v>
      </c>
      <c r="B4499" s="28" t="n">
        <v>2025</v>
      </c>
      <c r="C4499" s="28" t="s">
        <v>324</v>
      </c>
      <c r="D4499" s="28" t="s">
        <v>52</v>
      </c>
      <c r="E4499" s="28" t="s">
        <v>720</v>
      </c>
      <c r="F4499" s="28" t="s">
        <v>147</v>
      </c>
      <c r="G4499" s="28" t="s">
        <v>143</v>
      </c>
      <c r="H4499" s="28" t="s">
        <v>469</v>
      </c>
      <c r="I4499" s="29" t="n">
        <v>91400</v>
      </c>
      <c r="J4499" s="29" t="n">
        <v>45700</v>
      </c>
      <c r="K4499" s="28" t="n">
        <v>7.5</v>
      </c>
      <c r="L4499" s="28" t="n">
        <v>84</v>
      </c>
      <c r="M4499" s="28" t="n">
        <v>2</v>
      </c>
    </row>
    <row r="4500" customFormat="false" ht="15" hidden="false" customHeight="false" outlineLevel="0" collapsed="false">
      <c r="A4500" s="27" t="n">
        <v>45768</v>
      </c>
      <c r="B4500" s="28" t="n">
        <v>2025</v>
      </c>
      <c r="C4500" s="28" t="s">
        <v>353</v>
      </c>
      <c r="D4500" s="28" t="s">
        <v>48</v>
      </c>
      <c r="E4500" s="28" t="s">
        <v>1090</v>
      </c>
      <c r="F4500" s="28" t="s">
        <v>147</v>
      </c>
      <c r="G4500" s="28" t="s">
        <v>148</v>
      </c>
      <c r="H4500" s="28" t="s">
        <v>159</v>
      </c>
      <c r="I4500" s="29" t="n">
        <v>15000</v>
      </c>
      <c r="J4500" s="29" t="n">
        <v>7500</v>
      </c>
      <c r="K4500" s="28" t="n">
        <v>14</v>
      </c>
      <c r="L4500" s="28" t="n">
        <v>120</v>
      </c>
      <c r="M4500" s="28" t="n">
        <v>1</v>
      </c>
    </row>
    <row r="4501" customFormat="false" ht="15" hidden="false" customHeight="false" outlineLevel="0" collapsed="false">
      <c r="A4501" s="27" t="n">
        <v>45769</v>
      </c>
      <c r="B4501" s="28" t="n">
        <v>2025</v>
      </c>
      <c r="C4501" s="28" t="s">
        <v>169</v>
      </c>
      <c r="D4501" s="28" t="s">
        <v>56</v>
      </c>
      <c r="E4501" s="28" t="s">
        <v>772</v>
      </c>
      <c r="F4501" s="28" t="s">
        <v>142</v>
      </c>
      <c r="G4501" s="28" t="s">
        <v>148</v>
      </c>
      <c r="H4501" s="28" t="s">
        <v>1026</v>
      </c>
      <c r="I4501" s="29" t="n">
        <v>750000</v>
      </c>
      <c r="J4501" s="29" t="n">
        <v>562500</v>
      </c>
      <c r="K4501" s="28" t="n">
        <v>10.5</v>
      </c>
      <c r="L4501" s="28" t="n">
        <v>120</v>
      </c>
      <c r="M4501" s="28" t="n">
        <v>35</v>
      </c>
    </row>
    <row r="4502" customFormat="false" ht="15" hidden="false" customHeight="false" outlineLevel="0" collapsed="false">
      <c r="A4502" s="27" t="n">
        <v>45769</v>
      </c>
      <c r="B4502" s="28" t="n">
        <v>2025</v>
      </c>
      <c r="C4502" s="28" t="s">
        <v>172</v>
      </c>
      <c r="D4502" s="28" t="s">
        <v>48</v>
      </c>
      <c r="E4502" s="28" t="s">
        <v>765</v>
      </c>
      <c r="F4502" s="28" t="s">
        <v>142</v>
      </c>
      <c r="G4502" s="28" t="s">
        <v>152</v>
      </c>
      <c r="H4502" s="28" t="s">
        <v>159</v>
      </c>
      <c r="I4502" s="29" t="n">
        <v>1555000</v>
      </c>
      <c r="J4502" s="29" t="n">
        <v>1166250</v>
      </c>
      <c r="K4502" s="28" t="n">
        <v>9.5</v>
      </c>
      <c r="L4502" s="28" t="n">
        <v>120</v>
      </c>
      <c r="M4502" s="28" t="n">
        <v>17</v>
      </c>
    </row>
    <row r="4503" customFormat="false" ht="15" hidden="false" customHeight="false" outlineLevel="0" collapsed="false">
      <c r="A4503" s="27" t="n">
        <v>45769</v>
      </c>
      <c r="B4503" s="28" t="n">
        <v>2025</v>
      </c>
      <c r="C4503" s="28" t="s">
        <v>263</v>
      </c>
      <c r="D4503" s="28" t="s">
        <v>42</v>
      </c>
      <c r="E4503" s="28" t="s">
        <v>753</v>
      </c>
      <c r="F4503" s="28" t="s">
        <v>142</v>
      </c>
      <c r="G4503" s="28" t="s">
        <v>143</v>
      </c>
      <c r="H4503" s="28" t="s">
        <v>144</v>
      </c>
      <c r="I4503" s="29" t="n">
        <v>1575000</v>
      </c>
      <c r="J4503" s="29" t="n">
        <v>1181250</v>
      </c>
      <c r="K4503" s="28" t="n">
        <v>8.75</v>
      </c>
      <c r="L4503" s="28" t="n">
        <v>306</v>
      </c>
      <c r="M4503" s="28" t="n">
        <v>5</v>
      </c>
    </row>
    <row r="4504" customFormat="false" ht="15" hidden="false" customHeight="false" outlineLevel="0" collapsed="false">
      <c r="A4504" s="27" t="n">
        <v>45769</v>
      </c>
      <c r="B4504" s="28" t="n">
        <v>2025</v>
      </c>
      <c r="C4504" s="28" t="s">
        <v>318</v>
      </c>
      <c r="D4504" s="28" t="s">
        <v>43</v>
      </c>
      <c r="E4504" s="28" t="s">
        <v>893</v>
      </c>
      <c r="F4504" s="28" t="s">
        <v>142</v>
      </c>
      <c r="G4504" s="28" t="s">
        <v>152</v>
      </c>
      <c r="H4504" s="28" t="s">
        <v>827</v>
      </c>
      <c r="I4504" s="29" t="n">
        <v>1500000</v>
      </c>
      <c r="J4504" s="29" t="n">
        <v>1125000</v>
      </c>
      <c r="K4504" s="28" t="n">
        <v>9.5</v>
      </c>
      <c r="L4504" s="28" t="n">
        <v>120</v>
      </c>
      <c r="M4504" s="28" t="n">
        <v>8</v>
      </c>
    </row>
    <row r="4505" customFormat="false" ht="15" hidden="false" customHeight="false" outlineLevel="0" collapsed="false">
      <c r="A4505" s="27" t="n">
        <v>45770</v>
      </c>
      <c r="B4505" s="28" t="n">
        <v>2025</v>
      </c>
      <c r="C4505" s="28" t="s">
        <v>169</v>
      </c>
      <c r="D4505" s="28" t="s">
        <v>56</v>
      </c>
      <c r="E4505" s="28" t="s">
        <v>772</v>
      </c>
      <c r="F4505" s="28" t="s">
        <v>147</v>
      </c>
      <c r="G4505" s="28" t="s">
        <v>148</v>
      </c>
      <c r="H4505" s="28" t="s">
        <v>1026</v>
      </c>
      <c r="I4505" s="29" t="n">
        <v>50000</v>
      </c>
      <c r="J4505" s="29" t="n">
        <v>25000</v>
      </c>
      <c r="K4505" s="28" t="n">
        <v>13.5</v>
      </c>
      <c r="L4505" s="28" t="n">
        <v>120</v>
      </c>
      <c r="M4505" s="28" t="n">
        <v>35</v>
      </c>
    </row>
    <row r="4506" customFormat="false" ht="15" hidden="false" customHeight="false" outlineLevel="0" collapsed="false">
      <c r="A4506" s="27" t="n">
        <v>45770</v>
      </c>
      <c r="B4506" s="28" t="n">
        <v>2025</v>
      </c>
      <c r="C4506" s="28" t="s">
        <v>172</v>
      </c>
      <c r="D4506" s="28" t="s">
        <v>45</v>
      </c>
      <c r="E4506" s="28" t="s">
        <v>740</v>
      </c>
      <c r="F4506" s="28" t="s">
        <v>147</v>
      </c>
      <c r="G4506" s="28" t="s">
        <v>143</v>
      </c>
      <c r="H4506" s="28" t="s">
        <v>159</v>
      </c>
      <c r="I4506" s="29" t="n">
        <v>20000</v>
      </c>
      <c r="J4506" s="29" t="n">
        <v>10000</v>
      </c>
      <c r="K4506" s="28" t="n">
        <v>14</v>
      </c>
      <c r="L4506" s="28" t="n">
        <v>120</v>
      </c>
      <c r="M4506" s="28" t="n">
        <v>2</v>
      </c>
    </row>
    <row r="4507" customFormat="false" ht="15" hidden="false" customHeight="false" outlineLevel="0" collapsed="false">
      <c r="A4507" s="27" t="n">
        <v>45770</v>
      </c>
      <c r="B4507" s="28" t="n">
        <v>2025</v>
      </c>
      <c r="C4507" s="28" t="s">
        <v>172</v>
      </c>
      <c r="D4507" s="28" t="s">
        <v>51</v>
      </c>
      <c r="E4507" s="28" t="s">
        <v>779</v>
      </c>
      <c r="F4507" s="28" t="s">
        <v>142</v>
      </c>
      <c r="G4507" s="28" t="s">
        <v>143</v>
      </c>
      <c r="H4507" s="28" t="s">
        <v>211</v>
      </c>
      <c r="I4507" s="29" t="n">
        <v>356000</v>
      </c>
      <c r="J4507" s="29" t="n">
        <v>267000</v>
      </c>
      <c r="K4507" s="28" t="n">
        <v>10</v>
      </c>
      <c r="L4507" s="28" t="n">
        <v>120</v>
      </c>
      <c r="M4507" s="28" t="n">
        <v>6</v>
      </c>
    </row>
    <row r="4508" customFormat="false" ht="15" hidden="false" customHeight="false" outlineLevel="0" collapsed="false">
      <c r="A4508" s="27" t="n">
        <v>45770</v>
      </c>
      <c r="B4508" s="28" t="n">
        <v>2025</v>
      </c>
      <c r="C4508" s="28" t="s">
        <v>332</v>
      </c>
      <c r="D4508" s="28" t="s">
        <v>45</v>
      </c>
      <c r="E4508" s="28" t="s">
        <v>835</v>
      </c>
      <c r="F4508" s="28" t="s">
        <v>142</v>
      </c>
      <c r="G4508" s="28" t="s">
        <v>143</v>
      </c>
      <c r="H4508" s="28" t="s">
        <v>144</v>
      </c>
      <c r="I4508" s="29" t="n">
        <v>300000</v>
      </c>
      <c r="J4508" s="29" t="n">
        <v>225000</v>
      </c>
      <c r="K4508" s="28" t="n">
        <v>10.99</v>
      </c>
      <c r="L4508" s="28" t="n">
        <v>120</v>
      </c>
      <c r="M4508" s="28" t="n">
        <v>1</v>
      </c>
    </row>
    <row r="4509" customFormat="false" ht="15" hidden="false" customHeight="false" outlineLevel="0" collapsed="false">
      <c r="A4509" s="27" t="n">
        <v>45770</v>
      </c>
      <c r="B4509" s="28" t="n">
        <v>2025</v>
      </c>
      <c r="C4509" s="28" t="s">
        <v>344</v>
      </c>
      <c r="D4509" s="28" t="s">
        <v>42</v>
      </c>
      <c r="E4509" s="28" t="s">
        <v>753</v>
      </c>
      <c r="F4509" s="28" t="s">
        <v>142</v>
      </c>
      <c r="G4509" s="28" t="s">
        <v>143</v>
      </c>
      <c r="H4509" s="28" t="s">
        <v>144</v>
      </c>
      <c r="I4509" s="29" t="n">
        <v>1575000</v>
      </c>
      <c r="J4509" s="29" t="n">
        <v>1181250</v>
      </c>
      <c r="K4509" s="28" t="n">
        <v>8.75</v>
      </c>
      <c r="L4509" s="28" t="n">
        <v>306</v>
      </c>
      <c r="M4509" s="28" t="n">
        <v>5</v>
      </c>
    </row>
    <row r="4510" customFormat="false" ht="15" hidden="false" customHeight="false" outlineLevel="0" collapsed="false">
      <c r="A4510" s="27" t="n">
        <v>45770</v>
      </c>
      <c r="B4510" s="28" t="n">
        <v>2025</v>
      </c>
      <c r="C4510" s="28" t="s">
        <v>206</v>
      </c>
      <c r="D4510" s="28" t="s">
        <v>48</v>
      </c>
      <c r="E4510" s="28" t="s">
        <v>304</v>
      </c>
      <c r="F4510" s="28" t="s">
        <v>147</v>
      </c>
      <c r="G4510" s="28" t="s">
        <v>148</v>
      </c>
      <c r="H4510" s="28" t="s">
        <v>159</v>
      </c>
      <c r="I4510" s="29" t="n">
        <v>30000</v>
      </c>
      <c r="J4510" s="29" t="n">
        <v>15000</v>
      </c>
      <c r="K4510" s="28" t="n">
        <v>10.49</v>
      </c>
      <c r="L4510" s="28" t="n">
        <v>60</v>
      </c>
      <c r="M4510" s="28" t="n">
        <v>5</v>
      </c>
    </row>
    <row r="4511" customFormat="false" ht="15" hidden="false" customHeight="false" outlineLevel="0" collapsed="false">
      <c r="A4511" s="27" t="n">
        <v>45770</v>
      </c>
      <c r="B4511" s="28" t="n">
        <v>2025</v>
      </c>
      <c r="C4511" s="28" t="s">
        <v>272</v>
      </c>
      <c r="D4511" s="28" t="s">
        <v>46</v>
      </c>
      <c r="E4511" s="28" t="s">
        <v>727</v>
      </c>
      <c r="F4511" s="28" t="s">
        <v>147</v>
      </c>
      <c r="G4511" s="28" t="s">
        <v>441</v>
      </c>
      <c r="H4511" s="28" t="s">
        <v>168</v>
      </c>
      <c r="I4511" s="29" t="n">
        <v>15000</v>
      </c>
      <c r="J4511" s="29" t="n">
        <v>7500</v>
      </c>
      <c r="K4511" s="28" t="n">
        <v>12</v>
      </c>
      <c r="L4511" s="28" t="n">
        <v>120</v>
      </c>
      <c r="M4511" s="28" t="n">
        <v>0</v>
      </c>
    </row>
    <row r="4512" customFormat="false" ht="15" hidden="false" customHeight="false" outlineLevel="0" collapsed="false">
      <c r="A4512" s="27" t="n">
        <v>45770</v>
      </c>
      <c r="B4512" s="28" t="n">
        <v>2025</v>
      </c>
      <c r="C4512" s="28" t="s">
        <v>206</v>
      </c>
      <c r="D4512" s="28" t="s">
        <v>48</v>
      </c>
      <c r="E4512" s="28" t="s">
        <v>304</v>
      </c>
      <c r="F4512" s="28" t="s">
        <v>147</v>
      </c>
      <c r="G4512" s="28" t="s">
        <v>148</v>
      </c>
      <c r="H4512" s="28" t="s">
        <v>159</v>
      </c>
      <c r="I4512" s="29" t="n">
        <v>40000</v>
      </c>
      <c r="J4512" s="29" t="n">
        <v>20000</v>
      </c>
      <c r="K4512" s="28" t="n">
        <v>11.25</v>
      </c>
      <c r="L4512" s="28" t="n">
        <v>120</v>
      </c>
      <c r="M4512" s="28" t="n">
        <v>5</v>
      </c>
    </row>
    <row r="4513" customFormat="false" ht="15" hidden="false" customHeight="false" outlineLevel="0" collapsed="false">
      <c r="A4513" s="27" t="n">
        <v>45771</v>
      </c>
      <c r="B4513" s="28" t="n">
        <v>2025</v>
      </c>
      <c r="C4513" s="28" t="s">
        <v>232</v>
      </c>
      <c r="D4513" s="28" t="s">
        <v>43</v>
      </c>
      <c r="E4513" s="28" t="s">
        <v>830</v>
      </c>
      <c r="F4513" s="28" t="s">
        <v>142</v>
      </c>
      <c r="G4513" s="28" t="s">
        <v>148</v>
      </c>
      <c r="H4513" s="28" t="s">
        <v>269</v>
      </c>
      <c r="I4513" s="29" t="n">
        <v>150000</v>
      </c>
      <c r="J4513" s="29" t="n">
        <v>127500</v>
      </c>
      <c r="K4513" s="28" t="n">
        <v>12.5</v>
      </c>
      <c r="L4513" s="28" t="n">
        <v>120</v>
      </c>
      <c r="M4513" s="28" t="n">
        <v>1</v>
      </c>
    </row>
    <row r="4514" customFormat="false" ht="15" hidden="false" customHeight="false" outlineLevel="0" collapsed="false">
      <c r="A4514" s="27" t="n">
        <v>45771</v>
      </c>
      <c r="B4514" s="28" t="n">
        <v>2025</v>
      </c>
      <c r="C4514" s="28" t="s">
        <v>166</v>
      </c>
      <c r="D4514" s="28" t="s">
        <v>50</v>
      </c>
      <c r="E4514" s="28" t="s">
        <v>951</v>
      </c>
      <c r="F4514" s="28" t="s">
        <v>142</v>
      </c>
      <c r="G4514" s="28" t="s">
        <v>143</v>
      </c>
      <c r="H4514" s="28" t="s">
        <v>168</v>
      </c>
      <c r="I4514" s="29" t="n">
        <v>237000</v>
      </c>
      <c r="J4514" s="29" t="n">
        <v>177750</v>
      </c>
      <c r="K4514" s="28" t="n">
        <v>8.8</v>
      </c>
      <c r="L4514" s="28" t="n">
        <v>119</v>
      </c>
      <c r="M4514" s="28" t="n">
        <v>2</v>
      </c>
    </row>
    <row r="4515" customFormat="false" ht="15" hidden="false" customHeight="false" outlineLevel="0" collapsed="false">
      <c r="A4515" s="27" t="n">
        <v>45771</v>
      </c>
      <c r="B4515" s="28" t="n">
        <v>2025</v>
      </c>
      <c r="C4515" s="28" t="s">
        <v>166</v>
      </c>
      <c r="D4515" s="28" t="s">
        <v>43</v>
      </c>
      <c r="E4515" s="28" t="s">
        <v>757</v>
      </c>
      <c r="F4515" s="28" t="s">
        <v>147</v>
      </c>
      <c r="G4515" s="28" t="s">
        <v>152</v>
      </c>
      <c r="H4515" s="28" t="s">
        <v>144</v>
      </c>
      <c r="I4515" s="29" t="n">
        <v>150000</v>
      </c>
      <c r="J4515" s="29" t="n">
        <v>75000</v>
      </c>
      <c r="K4515" s="28" t="n">
        <v>10</v>
      </c>
      <c r="L4515" s="28" t="n">
        <v>120</v>
      </c>
      <c r="M4515" s="28" t="n">
        <v>2</v>
      </c>
    </row>
    <row r="4516" customFormat="false" ht="15" hidden="false" customHeight="false" outlineLevel="0" collapsed="false">
      <c r="A4516" s="27" t="n">
        <v>45771</v>
      </c>
      <c r="B4516" s="28" t="n">
        <v>2025</v>
      </c>
      <c r="C4516" s="28" t="s">
        <v>169</v>
      </c>
      <c r="D4516" s="28" t="s">
        <v>48</v>
      </c>
      <c r="E4516" s="28" t="s">
        <v>765</v>
      </c>
      <c r="F4516" s="28" t="s">
        <v>142</v>
      </c>
      <c r="G4516" s="28" t="s">
        <v>152</v>
      </c>
      <c r="H4516" s="28" t="s">
        <v>314</v>
      </c>
      <c r="I4516" s="29" t="n">
        <v>1518000</v>
      </c>
      <c r="J4516" s="29" t="n">
        <v>1138500</v>
      </c>
      <c r="K4516" s="28" t="n">
        <v>9.75</v>
      </c>
      <c r="L4516" s="28" t="n">
        <v>120</v>
      </c>
      <c r="M4516" s="28" t="n">
        <v>47</v>
      </c>
    </row>
    <row r="4517" customFormat="false" ht="15" hidden="false" customHeight="false" outlineLevel="0" collapsed="false">
      <c r="A4517" s="27" t="n">
        <v>45771</v>
      </c>
      <c r="B4517" s="28" t="n">
        <v>2025</v>
      </c>
      <c r="C4517" s="28" t="s">
        <v>166</v>
      </c>
      <c r="D4517" s="28" t="s">
        <v>43</v>
      </c>
      <c r="E4517" s="28" t="s">
        <v>757</v>
      </c>
      <c r="F4517" s="28" t="s">
        <v>142</v>
      </c>
      <c r="G4517" s="28" t="s">
        <v>152</v>
      </c>
      <c r="H4517" s="28" t="s">
        <v>144</v>
      </c>
      <c r="I4517" s="29" t="n">
        <v>491500</v>
      </c>
      <c r="J4517" s="29" t="n">
        <v>368625</v>
      </c>
      <c r="K4517" s="28" t="n">
        <v>9.85</v>
      </c>
      <c r="L4517" s="28" t="n">
        <v>120</v>
      </c>
      <c r="M4517" s="28" t="n">
        <v>2</v>
      </c>
    </row>
    <row r="4518" customFormat="false" ht="15" hidden="false" customHeight="false" outlineLevel="0" collapsed="false">
      <c r="A4518" s="27" t="n">
        <v>45771</v>
      </c>
      <c r="B4518" s="28" t="n">
        <v>2025</v>
      </c>
      <c r="C4518" s="28" t="s">
        <v>890</v>
      </c>
      <c r="D4518" s="28" t="s">
        <v>44</v>
      </c>
      <c r="E4518" s="28" t="s">
        <v>1146</v>
      </c>
      <c r="F4518" s="28" t="s">
        <v>142</v>
      </c>
      <c r="G4518" s="28" t="s">
        <v>148</v>
      </c>
      <c r="H4518" s="28" t="s">
        <v>314</v>
      </c>
      <c r="I4518" s="29" t="n">
        <v>4245000</v>
      </c>
      <c r="J4518" s="29" t="n">
        <v>3183750</v>
      </c>
      <c r="K4518" s="28" t="n">
        <v>9</v>
      </c>
      <c r="L4518" s="28" t="n">
        <v>300</v>
      </c>
      <c r="M4518" s="28" t="n">
        <v>5</v>
      </c>
    </row>
    <row r="4519" customFormat="false" ht="15" hidden="false" customHeight="false" outlineLevel="0" collapsed="false">
      <c r="A4519" s="27" t="n">
        <v>45771</v>
      </c>
      <c r="B4519" s="28" t="n">
        <v>2025</v>
      </c>
      <c r="C4519" s="28" t="s">
        <v>890</v>
      </c>
      <c r="D4519" s="28" t="s">
        <v>44</v>
      </c>
      <c r="E4519" s="28" t="s">
        <v>1146</v>
      </c>
      <c r="F4519" s="28" t="s">
        <v>147</v>
      </c>
      <c r="G4519" s="28" t="s">
        <v>148</v>
      </c>
      <c r="H4519" s="28" t="s">
        <v>314</v>
      </c>
      <c r="I4519" s="29" t="n">
        <v>400000</v>
      </c>
      <c r="J4519" s="29" t="n">
        <v>200000</v>
      </c>
      <c r="K4519" s="28" t="n">
        <v>9</v>
      </c>
      <c r="L4519" s="28" t="n">
        <v>120</v>
      </c>
      <c r="M4519" s="28" t="n">
        <v>5</v>
      </c>
    </row>
    <row r="4520" customFormat="false" ht="15" hidden="false" customHeight="false" outlineLevel="0" collapsed="false">
      <c r="A4520" s="27" t="n">
        <v>45771</v>
      </c>
      <c r="B4520" s="28" t="n">
        <v>2025</v>
      </c>
      <c r="C4520" s="28" t="s">
        <v>379</v>
      </c>
      <c r="D4520" s="28" t="s">
        <v>53</v>
      </c>
      <c r="E4520" s="28" t="s">
        <v>383</v>
      </c>
      <c r="F4520" s="28" t="s">
        <v>194</v>
      </c>
      <c r="G4520" s="28" t="s">
        <v>441</v>
      </c>
      <c r="H4520" s="28" t="s">
        <v>862</v>
      </c>
      <c r="I4520" s="29" t="n">
        <v>396500</v>
      </c>
      <c r="J4520" s="29" t="n">
        <v>297375</v>
      </c>
      <c r="K4520" s="28" t="n">
        <v>9</v>
      </c>
      <c r="L4520" s="28" t="n">
        <v>300</v>
      </c>
      <c r="M4520" s="28" t="n">
        <v>3</v>
      </c>
    </row>
    <row r="4521" customFormat="false" ht="15" hidden="false" customHeight="false" outlineLevel="0" collapsed="false">
      <c r="A4521" s="27" t="n">
        <v>45771</v>
      </c>
      <c r="B4521" s="28" t="n">
        <v>2025</v>
      </c>
      <c r="C4521" s="28" t="s">
        <v>172</v>
      </c>
      <c r="D4521" s="28" t="s">
        <v>42</v>
      </c>
      <c r="E4521" s="28" t="s">
        <v>753</v>
      </c>
      <c r="F4521" s="28" t="s">
        <v>142</v>
      </c>
      <c r="G4521" s="28" t="s">
        <v>143</v>
      </c>
      <c r="H4521" s="28" t="s">
        <v>669</v>
      </c>
      <c r="I4521" s="29" t="n">
        <v>420000</v>
      </c>
      <c r="J4521" s="29" t="n">
        <v>315000</v>
      </c>
      <c r="K4521" s="28" t="n">
        <v>10.5</v>
      </c>
      <c r="L4521" s="28" t="n">
        <v>126</v>
      </c>
      <c r="M4521" s="28" t="n">
        <v>7</v>
      </c>
    </row>
    <row r="4522" customFormat="false" ht="15" hidden="false" customHeight="false" outlineLevel="0" collapsed="false">
      <c r="A4522" s="27" t="n">
        <v>45772</v>
      </c>
      <c r="B4522" s="28" t="n">
        <v>2025</v>
      </c>
      <c r="C4522" s="28" t="s">
        <v>172</v>
      </c>
      <c r="D4522" s="28" t="s">
        <v>45</v>
      </c>
      <c r="E4522" s="28" t="s">
        <v>222</v>
      </c>
      <c r="F4522" s="28" t="s">
        <v>147</v>
      </c>
      <c r="G4522" s="28" t="s">
        <v>152</v>
      </c>
      <c r="H4522" s="28" t="s">
        <v>211</v>
      </c>
      <c r="I4522" s="29" t="n">
        <v>150000</v>
      </c>
      <c r="J4522" s="29" t="n">
        <v>75000</v>
      </c>
      <c r="K4522" s="28" t="n">
        <v>9.75</v>
      </c>
      <c r="L4522" s="28" t="n">
        <v>120</v>
      </c>
      <c r="M4522" s="28" t="n">
        <v>4</v>
      </c>
    </row>
    <row r="4523" customFormat="false" ht="15" hidden="false" customHeight="false" outlineLevel="0" collapsed="false">
      <c r="A4523" s="27" t="n">
        <v>45772</v>
      </c>
      <c r="B4523" s="28" t="n">
        <v>2025</v>
      </c>
      <c r="C4523" s="28" t="s">
        <v>201</v>
      </c>
      <c r="D4523" s="28" t="s">
        <v>49</v>
      </c>
      <c r="E4523" s="28" t="s">
        <v>794</v>
      </c>
      <c r="F4523" s="28" t="s">
        <v>194</v>
      </c>
      <c r="G4523" s="28" t="s">
        <v>148</v>
      </c>
      <c r="H4523" s="28" t="s">
        <v>271</v>
      </c>
      <c r="I4523" s="29" t="n">
        <v>481000</v>
      </c>
      <c r="J4523" s="29" t="n">
        <v>360750</v>
      </c>
      <c r="K4523" s="28" t="n">
        <v>10.25</v>
      </c>
      <c r="L4523" s="28" t="n">
        <v>120</v>
      </c>
      <c r="M4523" s="28" t="n">
        <v>4</v>
      </c>
    </row>
    <row r="4524" customFormat="false" ht="15" hidden="false" customHeight="false" outlineLevel="0" collapsed="false">
      <c r="A4524" s="27" t="n">
        <v>45772</v>
      </c>
      <c r="B4524" s="28" t="n">
        <v>2025</v>
      </c>
      <c r="C4524" s="28" t="s">
        <v>198</v>
      </c>
      <c r="D4524" s="28" t="s">
        <v>46</v>
      </c>
      <c r="E4524" s="28" t="s">
        <v>770</v>
      </c>
      <c r="F4524" s="28" t="s">
        <v>142</v>
      </c>
      <c r="G4524" s="28" t="s">
        <v>148</v>
      </c>
      <c r="H4524" s="28" t="s">
        <v>275</v>
      </c>
      <c r="I4524" s="29" t="n">
        <v>450000</v>
      </c>
      <c r="J4524" s="29" t="n">
        <v>337500</v>
      </c>
      <c r="K4524" s="28" t="n">
        <v>10.25</v>
      </c>
      <c r="L4524" s="28" t="n">
        <v>120</v>
      </c>
      <c r="M4524" s="28" t="n">
        <v>28</v>
      </c>
    </row>
    <row r="4525" customFormat="false" ht="15" hidden="false" customHeight="false" outlineLevel="0" collapsed="false">
      <c r="A4525" s="27" t="n">
        <v>45772</v>
      </c>
      <c r="B4525" s="28" t="n">
        <v>2025</v>
      </c>
      <c r="C4525" s="28" t="s">
        <v>172</v>
      </c>
      <c r="D4525" s="28" t="s">
        <v>54</v>
      </c>
      <c r="E4525" s="28" t="s">
        <v>1147</v>
      </c>
      <c r="F4525" s="28" t="s">
        <v>142</v>
      </c>
      <c r="G4525" s="28" t="s">
        <v>441</v>
      </c>
      <c r="H4525" s="28" t="s">
        <v>953</v>
      </c>
      <c r="I4525" s="29" t="n">
        <v>100000</v>
      </c>
      <c r="J4525" s="29" t="n">
        <v>85000</v>
      </c>
      <c r="K4525" s="28" t="n">
        <v>10.5</v>
      </c>
      <c r="L4525" s="28" t="n">
        <v>120</v>
      </c>
      <c r="M4525" s="28" t="n">
        <v>3</v>
      </c>
    </row>
    <row r="4526" customFormat="false" ht="15" hidden="false" customHeight="false" outlineLevel="0" collapsed="false">
      <c r="A4526" s="27" t="n">
        <v>45772</v>
      </c>
      <c r="B4526" s="28" t="n">
        <v>2025</v>
      </c>
      <c r="C4526" s="28" t="s">
        <v>384</v>
      </c>
      <c r="D4526" s="28" t="s">
        <v>43</v>
      </c>
      <c r="E4526" s="28" t="s">
        <v>757</v>
      </c>
      <c r="F4526" s="28" t="s">
        <v>142</v>
      </c>
      <c r="G4526" s="28" t="s">
        <v>148</v>
      </c>
      <c r="H4526" s="28" t="s">
        <v>771</v>
      </c>
      <c r="I4526" s="29" t="n">
        <v>75000</v>
      </c>
      <c r="J4526" s="29" t="n">
        <v>63750</v>
      </c>
      <c r="K4526" s="28" t="n">
        <v>10.25</v>
      </c>
      <c r="L4526" s="28" t="n">
        <v>120</v>
      </c>
      <c r="M4526" s="28" t="n">
        <v>3</v>
      </c>
    </row>
    <row r="4527" customFormat="false" ht="15" hidden="false" customHeight="false" outlineLevel="0" collapsed="false">
      <c r="A4527" s="27" t="n">
        <v>45772</v>
      </c>
      <c r="B4527" s="28" t="n">
        <v>2025</v>
      </c>
      <c r="C4527" s="28" t="s">
        <v>243</v>
      </c>
      <c r="D4527" s="28" t="s">
        <v>48</v>
      </c>
      <c r="E4527" s="28" t="s">
        <v>304</v>
      </c>
      <c r="F4527" s="28" t="s">
        <v>142</v>
      </c>
      <c r="G4527" s="28" t="s">
        <v>441</v>
      </c>
      <c r="H4527" s="28" t="s">
        <v>404</v>
      </c>
      <c r="I4527" s="29" t="n">
        <v>512000</v>
      </c>
      <c r="J4527" s="29" t="n">
        <v>384000</v>
      </c>
      <c r="K4527" s="28" t="n">
        <v>9.25</v>
      </c>
      <c r="L4527" s="28" t="n">
        <v>300</v>
      </c>
      <c r="M4527" s="28" t="n">
        <v>2</v>
      </c>
    </row>
    <row r="4528" customFormat="false" ht="15" hidden="false" customHeight="false" outlineLevel="0" collapsed="false">
      <c r="A4528" s="27" t="n">
        <v>45772</v>
      </c>
      <c r="B4528" s="28" t="n">
        <v>2025</v>
      </c>
      <c r="C4528" s="28" t="s">
        <v>169</v>
      </c>
      <c r="D4528" s="28" t="s">
        <v>46</v>
      </c>
      <c r="E4528" s="28" t="s">
        <v>813</v>
      </c>
      <c r="F4528" s="28" t="s">
        <v>142</v>
      </c>
      <c r="G4528" s="28" t="s">
        <v>152</v>
      </c>
      <c r="H4528" s="28" t="s">
        <v>372</v>
      </c>
      <c r="I4528" s="29" t="n">
        <v>350000</v>
      </c>
      <c r="J4528" s="29" t="n">
        <v>262500</v>
      </c>
      <c r="K4528" s="28" t="n">
        <v>10.5</v>
      </c>
      <c r="L4528" s="28" t="n">
        <v>120</v>
      </c>
      <c r="M4528" s="28" t="n">
        <v>4</v>
      </c>
    </row>
    <row r="4529" customFormat="false" ht="15" hidden="false" customHeight="false" outlineLevel="0" collapsed="false">
      <c r="A4529" s="27" t="n">
        <v>45772</v>
      </c>
      <c r="B4529" s="28" t="n">
        <v>2025</v>
      </c>
      <c r="C4529" s="28" t="s">
        <v>172</v>
      </c>
      <c r="D4529" s="28" t="s">
        <v>45</v>
      </c>
      <c r="E4529" s="28" t="s">
        <v>222</v>
      </c>
      <c r="F4529" s="28" t="s">
        <v>142</v>
      </c>
      <c r="G4529" s="28" t="s">
        <v>152</v>
      </c>
      <c r="H4529" s="28" t="s">
        <v>211</v>
      </c>
      <c r="I4529" s="29" t="n">
        <v>1272000</v>
      </c>
      <c r="J4529" s="29" t="n">
        <v>954000</v>
      </c>
      <c r="K4529" s="28" t="n">
        <v>9.75</v>
      </c>
      <c r="L4529" s="28" t="n">
        <v>120</v>
      </c>
      <c r="M4529" s="28" t="n">
        <v>4</v>
      </c>
    </row>
    <row r="4530" customFormat="false" ht="15" hidden="false" customHeight="false" outlineLevel="0" collapsed="false">
      <c r="A4530" s="27" t="n">
        <v>45772</v>
      </c>
      <c r="B4530" s="28" t="n">
        <v>2025</v>
      </c>
      <c r="C4530" s="28" t="s">
        <v>560</v>
      </c>
      <c r="D4530" s="28" t="s">
        <v>43</v>
      </c>
      <c r="E4530" s="28" t="s">
        <v>732</v>
      </c>
      <c r="F4530" s="28" t="s">
        <v>142</v>
      </c>
      <c r="G4530" s="28" t="s">
        <v>148</v>
      </c>
      <c r="H4530" s="28" t="s">
        <v>937</v>
      </c>
      <c r="I4530" s="29" t="n">
        <v>277700</v>
      </c>
      <c r="J4530" s="29" t="n">
        <v>208275</v>
      </c>
      <c r="K4530" s="28" t="n">
        <v>12</v>
      </c>
      <c r="L4530" s="28" t="n">
        <v>120</v>
      </c>
      <c r="M4530" s="28" t="n">
        <v>11</v>
      </c>
    </row>
    <row r="4531" customFormat="false" ht="15" hidden="false" customHeight="false" outlineLevel="0" collapsed="false">
      <c r="A4531" s="27" t="n">
        <v>45775</v>
      </c>
      <c r="B4531" s="28" t="n">
        <v>2025</v>
      </c>
      <c r="C4531" s="28" t="s">
        <v>172</v>
      </c>
      <c r="D4531" s="28" t="s">
        <v>48</v>
      </c>
      <c r="E4531" s="28" t="s">
        <v>712</v>
      </c>
      <c r="F4531" s="28" t="s">
        <v>147</v>
      </c>
      <c r="G4531" s="28" t="s">
        <v>148</v>
      </c>
      <c r="H4531" s="28" t="s">
        <v>187</v>
      </c>
      <c r="I4531" s="29" t="n">
        <v>500000</v>
      </c>
      <c r="J4531" s="29" t="n">
        <v>250000</v>
      </c>
      <c r="K4531" s="28" t="n">
        <v>10.5</v>
      </c>
      <c r="L4531" s="28" t="n">
        <v>120</v>
      </c>
      <c r="M4531" s="28" t="n">
        <v>0</v>
      </c>
    </row>
    <row r="4532" customFormat="false" ht="15" hidden="false" customHeight="false" outlineLevel="0" collapsed="false">
      <c r="A4532" s="27" t="n">
        <v>45775</v>
      </c>
      <c r="B4532" s="28" t="n">
        <v>2025</v>
      </c>
      <c r="C4532" s="28" t="s">
        <v>560</v>
      </c>
      <c r="D4532" s="28" t="s">
        <v>50</v>
      </c>
      <c r="E4532" s="28" t="s">
        <v>193</v>
      </c>
      <c r="F4532" s="28" t="s">
        <v>147</v>
      </c>
      <c r="G4532" s="28" t="s">
        <v>148</v>
      </c>
      <c r="H4532" s="28" t="s">
        <v>159</v>
      </c>
      <c r="I4532" s="29" t="n">
        <v>21500</v>
      </c>
      <c r="J4532" s="29" t="n">
        <v>10750</v>
      </c>
      <c r="K4532" s="28" t="n">
        <v>11</v>
      </c>
      <c r="L4532" s="28" t="n">
        <v>48</v>
      </c>
      <c r="M4532" s="28" t="n">
        <v>14</v>
      </c>
    </row>
    <row r="4533" customFormat="false" ht="15" hidden="false" customHeight="false" outlineLevel="0" collapsed="false">
      <c r="A4533" s="27" t="n">
        <v>45775</v>
      </c>
      <c r="B4533" s="28" t="n">
        <v>2025</v>
      </c>
      <c r="C4533" s="28" t="s">
        <v>172</v>
      </c>
      <c r="D4533" s="28" t="s">
        <v>45</v>
      </c>
      <c r="E4533" s="28" t="s">
        <v>824</v>
      </c>
      <c r="F4533" s="28" t="s">
        <v>147</v>
      </c>
      <c r="G4533" s="28" t="s">
        <v>148</v>
      </c>
      <c r="H4533" s="28" t="s">
        <v>667</v>
      </c>
      <c r="I4533" s="29" t="n">
        <v>50000</v>
      </c>
      <c r="J4533" s="29" t="n">
        <v>25000</v>
      </c>
      <c r="K4533" s="28" t="n">
        <v>10.99</v>
      </c>
      <c r="L4533" s="28" t="n">
        <v>48</v>
      </c>
      <c r="M4533" s="28" t="n">
        <v>5</v>
      </c>
    </row>
    <row r="4534" customFormat="false" ht="15" hidden="false" customHeight="false" outlineLevel="0" collapsed="false">
      <c r="A4534" s="27" t="n">
        <v>45775</v>
      </c>
      <c r="B4534" s="28" t="n">
        <v>2025</v>
      </c>
      <c r="C4534" s="28" t="s">
        <v>166</v>
      </c>
      <c r="D4534" s="28" t="s">
        <v>45</v>
      </c>
      <c r="E4534" s="28" t="s">
        <v>835</v>
      </c>
      <c r="F4534" s="28" t="s">
        <v>142</v>
      </c>
      <c r="G4534" s="28" t="s">
        <v>143</v>
      </c>
      <c r="H4534" s="28" t="s">
        <v>144</v>
      </c>
      <c r="I4534" s="29" t="n">
        <v>325000</v>
      </c>
      <c r="J4534" s="29" t="n">
        <v>243750</v>
      </c>
      <c r="K4534" s="28" t="n">
        <v>9.99</v>
      </c>
      <c r="L4534" s="28" t="n">
        <v>120</v>
      </c>
      <c r="M4534" s="28" t="n">
        <v>6</v>
      </c>
    </row>
    <row r="4535" customFormat="false" ht="15" hidden="false" customHeight="false" outlineLevel="0" collapsed="false">
      <c r="A4535" s="27" t="n">
        <v>45776</v>
      </c>
      <c r="B4535" s="28" t="n">
        <v>2025</v>
      </c>
      <c r="C4535" s="28" t="s">
        <v>384</v>
      </c>
      <c r="D4535" s="28" t="s">
        <v>46</v>
      </c>
      <c r="E4535" s="28" t="s">
        <v>746</v>
      </c>
      <c r="F4535" s="28" t="s">
        <v>147</v>
      </c>
      <c r="G4535" s="28" t="s">
        <v>148</v>
      </c>
      <c r="H4535" s="28" t="s">
        <v>159</v>
      </c>
      <c r="I4535" s="29" t="n">
        <v>10000</v>
      </c>
      <c r="J4535" s="29" t="n">
        <v>5000</v>
      </c>
      <c r="K4535" s="28" t="n">
        <v>14</v>
      </c>
      <c r="L4535" s="28" t="n">
        <v>120</v>
      </c>
      <c r="M4535" s="28" t="n">
        <v>2</v>
      </c>
    </row>
    <row r="4536" customFormat="false" ht="15" hidden="false" customHeight="false" outlineLevel="0" collapsed="false">
      <c r="A4536" s="27" t="n">
        <v>45776</v>
      </c>
      <c r="B4536" s="28" t="n">
        <v>2025</v>
      </c>
      <c r="C4536" s="28" t="s">
        <v>172</v>
      </c>
      <c r="D4536" s="28" t="s">
        <v>48</v>
      </c>
      <c r="E4536" s="28" t="s">
        <v>270</v>
      </c>
      <c r="F4536" s="28" t="s">
        <v>142</v>
      </c>
      <c r="G4536" s="28" t="s">
        <v>152</v>
      </c>
      <c r="H4536" s="28" t="s">
        <v>153</v>
      </c>
      <c r="I4536" s="29" t="n">
        <v>1320000</v>
      </c>
      <c r="J4536" s="29" t="n">
        <v>990000</v>
      </c>
      <c r="K4536" s="28" t="n">
        <v>8.5</v>
      </c>
      <c r="L4536" s="28" t="n">
        <v>120</v>
      </c>
      <c r="M4536" s="28" t="n">
        <v>14</v>
      </c>
    </row>
    <row r="4537" customFormat="false" ht="15" hidden="false" customHeight="false" outlineLevel="0" collapsed="false">
      <c r="A4537" s="27" t="n">
        <v>45777</v>
      </c>
      <c r="B4537" s="28" t="n">
        <v>2025</v>
      </c>
      <c r="C4537" s="28" t="s">
        <v>163</v>
      </c>
      <c r="D4537" s="28" t="s">
        <v>46</v>
      </c>
      <c r="E4537" s="28" t="s">
        <v>719</v>
      </c>
      <c r="F4537" s="28" t="s">
        <v>142</v>
      </c>
      <c r="G4537" s="28" t="s">
        <v>441</v>
      </c>
      <c r="H4537" s="28" t="s">
        <v>168</v>
      </c>
      <c r="I4537" s="29" t="n">
        <v>292500</v>
      </c>
      <c r="J4537" s="29" t="n">
        <v>219375</v>
      </c>
      <c r="K4537" s="28" t="n">
        <v>8.62</v>
      </c>
      <c r="L4537" s="28" t="n">
        <v>120</v>
      </c>
      <c r="M4537" s="28" t="n">
        <v>20</v>
      </c>
    </row>
    <row r="4538" customFormat="false" ht="15" hidden="false" customHeight="false" outlineLevel="0" collapsed="false">
      <c r="A4538" s="27" t="n">
        <v>45777</v>
      </c>
      <c r="B4538" s="28" t="n">
        <v>2025</v>
      </c>
      <c r="C4538" s="28" t="s">
        <v>560</v>
      </c>
      <c r="D4538" s="28" t="s">
        <v>42</v>
      </c>
      <c r="E4538" s="28" t="s">
        <v>176</v>
      </c>
      <c r="F4538" s="28" t="s">
        <v>142</v>
      </c>
      <c r="G4538" s="28" t="s">
        <v>441</v>
      </c>
      <c r="H4538" s="28" t="s">
        <v>269</v>
      </c>
      <c r="I4538" s="29" t="n">
        <v>150000</v>
      </c>
      <c r="J4538" s="29" t="n">
        <v>127500</v>
      </c>
      <c r="K4538" s="28" t="n">
        <v>10.25</v>
      </c>
      <c r="L4538" s="28" t="n">
        <v>120</v>
      </c>
      <c r="M4538" s="28" t="n">
        <v>4</v>
      </c>
    </row>
    <row r="4539" customFormat="false" ht="15" hidden="false" customHeight="false" outlineLevel="0" collapsed="false">
      <c r="A4539" s="27" t="n">
        <v>45777</v>
      </c>
      <c r="B4539" s="28" t="n">
        <v>2025</v>
      </c>
      <c r="C4539" s="28" t="s">
        <v>203</v>
      </c>
      <c r="D4539" s="28" t="s">
        <v>46</v>
      </c>
      <c r="E4539" s="28" t="s">
        <v>813</v>
      </c>
      <c r="F4539" s="28" t="s">
        <v>147</v>
      </c>
      <c r="G4539" s="28" t="s">
        <v>441</v>
      </c>
      <c r="H4539" s="28" t="s">
        <v>159</v>
      </c>
      <c r="I4539" s="29" t="n">
        <v>20000</v>
      </c>
      <c r="J4539" s="29" t="n">
        <v>10000</v>
      </c>
      <c r="K4539" s="28" t="n">
        <v>14</v>
      </c>
      <c r="L4539" s="28" t="n">
        <v>120</v>
      </c>
      <c r="M4539" s="28" t="n">
        <v>2</v>
      </c>
    </row>
    <row r="4540" customFormat="false" ht="15" hidden="false" customHeight="false" outlineLevel="0" collapsed="false">
      <c r="A4540" s="27" t="n">
        <v>45777</v>
      </c>
      <c r="B4540" s="28" t="n">
        <v>2025</v>
      </c>
      <c r="C4540" s="28" t="s">
        <v>890</v>
      </c>
      <c r="D4540" s="28" t="s">
        <v>43</v>
      </c>
      <c r="E4540" s="28" t="s">
        <v>1148</v>
      </c>
      <c r="F4540" s="28" t="s">
        <v>142</v>
      </c>
      <c r="G4540" s="28" t="s">
        <v>148</v>
      </c>
      <c r="H4540" s="28" t="s">
        <v>413</v>
      </c>
      <c r="I4540" s="29" t="n">
        <v>410000</v>
      </c>
      <c r="J4540" s="29" t="n">
        <v>307500</v>
      </c>
      <c r="K4540" s="28" t="n">
        <v>8.5</v>
      </c>
      <c r="L4540" s="28" t="n">
        <v>300</v>
      </c>
      <c r="M4540" s="28" t="n">
        <v>2</v>
      </c>
    </row>
    <row r="4541" customFormat="false" ht="15" hidden="false" customHeight="false" outlineLevel="0" collapsed="false">
      <c r="A4541" s="27" t="n">
        <v>45778</v>
      </c>
      <c r="B4541" s="28" t="n">
        <v>2025</v>
      </c>
      <c r="C4541" s="28" t="s">
        <v>203</v>
      </c>
      <c r="D4541" s="28" t="s">
        <v>46</v>
      </c>
      <c r="E4541" s="28" t="s">
        <v>813</v>
      </c>
      <c r="F4541" s="28" t="s">
        <v>147</v>
      </c>
      <c r="G4541" s="28" t="s">
        <v>441</v>
      </c>
      <c r="H4541" s="28" t="s">
        <v>159</v>
      </c>
      <c r="I4541" s="29" t="n">
        <v>100000</v>
      </c>
      <c r="J4541" s="29" t="n">
        <v>50000</v>
      </c>
      <c r="K4541" s="28" t="n">
        <v>11</v>
      </c>
      <c r="L4541" s="28" t="n">
        <v>60</v>
      </c>
      <c r="M4541" s="28" t="n">
        <v>2</v>
      </c>
    </row>
    <row r="4542" customFormat="false" ht="15" hidden="false" customHeight="false" outlineLevel="0" collapsed="false">
      <c r="A4542" s="27" t="n">
        <v>45778</v>
      </c>
      <c r="B4542" s="28" t="n">
        <v>2025</v>
      </c>
      <c r="C4542" s="28" t="s">
        <v>263</v>
      </c>
      <c r="D4542" s="28" t="s">
        <v>45</v>
      </c>
      <c r="E4542" s="28" t="s">
        <v>824</v>
      </c>
      <c r="F4542" s="28" t="s">
        <v>142</v>
      </c>
      <c r="G4542" s="28" t="s">
        <v>148</v>
      </c>
      <c r="H4542" s="28" t="s">
        <v>937</v>
      </c>
      <c r="I4542" s="29" t="n">
        <v>150000</v>
      </c>
      <c r="J4542" s="29" t="n">
        <v>127500</v>
      </c>
      <c r="K4542" s="28" t="n">
        <v>12</v>
      </c>
      <c r="L4542" s="28" t="n">
        <v>120</v>
      </c>
      <c r="M4542" s="28" t="n">
        <v>6</v>
      </c>
    </row>
    <row r="4543" customFormat="false" ht="15" hidden="false" customHeight="false" outlineLevel="0" collapsed="false">
      <c r="A4543" s="27" t="n">
        <v>45778</v>
      </c>
      <c r="B4543" s="28" t="n">
        <v>2025</v>
      </c>
      <c r="C4543" s="28" t="s">
        <v>460</v>
      </c>
      <c r="D4543" s="28" t="s">
        <v>47</v>
      </c>
      <c r="E4543" s="28" t="s">
        <v>776</v>
      </c>
      <c r="F4543" s="28" t="s">
        <v>194</v>
      </c>
      <c r="G4543" s="28" t="s">
        <v>148</v>
      </c>
      <c r="H4543" s="28" t="s">
        <v>619</v>
      </c>
      <c r="I4543" s="29" t="n">
        <v>2251200</v>
      </c>
      <c r="J4543" s="29" t="n">
        <v>1688400</v>
      </c>
      <c r="K4543" s="28" t="n">
        <v>10</v>
      </c>
      <c r="L4543" s="28" t="n">
        <v>300</v>
      </c>
      <c r="M4543" s="28" t="n">
        <v>5</v>
      </c>
    </row>
    <row r="4544" customFormat="false" ht="15" hidden="false" customHeight="false" outlineLevel="0" collapsed="false">
      <c r="A4544" s="27" t="n">
        <v>45778</v>
      </c>
      <c r="B4544" s="28" t="n">
        <v>2025</v>
      </c>
      <c r="C4544" s="28" t="s">
        <v>140</v>
      </c>
      <c r="D4544" s="28" t="s">
        <v>46</v>
      </c>
      <c r="E4544" s="28" t="s">
        <v>746</v>
      </c>
      <c r="F4544" s="28" t="s">
        <v>142</v>
      </c>
      <c r="G4544" s="28" t="s">
        <v>148</v>
      </c>
      <c r="H4544" s="28" t="s">
        <v>171</v>
      </c>
      <c r="I4544" s="29" t="n">
        <v>150000</v>
      </c>
      <c r="J4544" s="29" t="n">
        <v>127500</v>
      </c>
      <c r="K4544" s="28" t="n">
        <v>12.25</v>
      </c>
      <c r="L4544" s="28" t="n">
        <v>120</v>
      </c>
      <c r="M4544" s="28" t="n">
        <v>0</v>
      </c>
    </row>
    <row r="4545" customFormat="false" ht="15" hidden="false" customHeight="false" outlineLevel="0" collapsed="false">
      <c r="A4545" s="27" t="n">
        <v>45778</v>
      </c>
      <c r="B4545" s="28" t="n">
        <v>2025</v>
      </c>
      <c r="C4545" s="28" t="s">
        <v>163</v>
      </c>
      <c r="D4545" s="28" t="s">
        <v>44</v>
      </c>
      <c r="E4545" s="28" t="s">
        <v>863</v>
      </c>
      <c r="F4545" s="28" t="s">
        <v>142</v>
      </c>
      <c r="G4545" s="28" t="s">
        <v>148</v>
      </c>
      <c r="H4545" s="28" t="s">
        <v>269</v>
      </c>
      <c r="I4545" s="29" t="n">
        <v>150000</v>
      </c>
      <c r="J4545" s="29" t="n">
        <v>127500</v>
      </c>
      <c r="K4545" s="28" t="n">
        <v>10.25</v>
      </c>
      <c r="L4545" s="28" t="n">
        <v>120</v>
      </c>
      <c r="M4545" s="28" t="n">
        <v>1</v>
      </c>
    </row>
    <row r="4546" customFormat="false" ht="15" hidden="false" customHeight="false" outlineLevel="0" collapsed="false">
      <c r="A4546" s="27" t="n">
        <v>45779</v>
      </c>
      <c r="B4546" s="28" t="n">
        <v>2025</v>
      </c>
      <c r="C4546" s="28" t="s">
        <v>310</v>
      </c>
      <c r="D4546" s="28" t="s">
        <v>57</v>
      </c>
      <c r="E4546" s="28" t="s">
        <v>1149</v>
      </c>
      <c r="F4546" s="28" t="s">
        <v>142</v>
      </c>
      <c r="G4546" s="28" t="s">
        <v>441</v>
      </c>
      <c r="H4546" s="28" t="s">
        <v>469</v>
      </c>
      <c r="I4546" s="29" t="n">
        <v>517500</v>
      </c>
      <c r="J4546" s="29" t="n">
        <v>388125</v>
      </c>
      <c r="K4546" s="28" t="n">
        <v>8.5</v>
      </c>
      <c r="L4546" s="28" t="n">
        <v>299</v>
      </c>
      <c r="M4546" s="28" t="n">
        <v>0</v>
      </c>
    </row>
    <row r="4547" customFormat="false" ht="15" hidden="false" customHeight="false" outlineLevel="0" collapsed="false">
      <c r="A4547" s="27" t="n">
        <v>45779</v>
      </c>
      <c r="B4547" s="28" t="n">
        <v>2025</v>
      </c>
      <c r="C4547" s="28" t="s">
        <v>166</v>
      </c>
      <c r="D4547" s="28" t="s">
        <v>48</v>
      </c>
      <c r="E4547" s="28" t="s">
        <v>815</v>
      </c>
      <c r="F4547" s="28" t="s">
        <v>147</v>
      </c>
      <c r="G4547" s="28" t="s">
        <v>148</v>
      </c>
      <c r="H4547" s="28" t="s">
        <v>159</v>
      </c>
      <c r="I4547" s="29" t="n">
        <v>150000</v>
      </c>
      <c r="J4547" s="29" t="n">
        <v>75000</v>
      </c>
      <c r="K4547" s="28" t="n">
        <v>10</v>
      </c>
      <c r="L4547" s="28" t="n">
        <v>120</v>
      </c>
      <c r="M4547" s="28" t="n">
        <v>11</v>
      </c>
    </row>
    <row r="4548" customFormat="false" ht="15" hidden="false" customHeight="false" outlineLevel="0" collapsed="false">
      <c r="A4548" s="27" t="n">
        <v>45782</v>
      </c>
      <c r="B4548" s="28" t="n">
        <v>2025</v>
      </c>
      <c r="C4548" s="28" t="s">
        <v>196</v>
      </c>
      <c r="D4548" s="28" t="s">
        <v>53</v>
      </c>
      <c r="E4548" s="28" t="s">
        <v>928</v>
      </c>
      <c r="F4548" s="28" t="s">
        <v>142</v>
      </c>
      <c r="G4548" s="28" t="s">
        <v>148</v>
      </c>
      <c r="H4548" s="28" t="s">
        <v>171</v>
      </c>
      <c r="I4548" s="29" t="n">
        <v>150000</v>
      </c>
      <c r="J4548" s="29" t="n">
        <v>127500</v>
      </c>
      <c r="K4548" s="28" t="n">
        <v>12.25</v>
      </c>
      <c r="L4548" s="28" t="n">
        <v>120</v>
      </c>
      <c r="M4548" s="28" t="n">
        <v>8</v>
      </c>
    </row>
    <row r="4549" customFormat="false" ht="15" hidden="false" customHeight="false" outlineLevel="0" collapsed="false">
      <c r="A4549" s="27" t="n">
        <v>45782</v>
      </c>
      <c r="B4549" s="28" t="n">
        <v>2025</v>
      </c>
      <c r="C4549" s="28" t="s">
        <v>163</v>
      </c>
      <c r="D4549" s="28" t="s">
        <v>45</v>
      </c>
      <c r="E4549" s="28" t="s">
        <v>480</v>
      </c>
      <c r="F4549" s="28" t="s">
        <v>142</v>
      </c>
      <c r="G4549" s="28" t="s">
        <v>143</v>
      </c>
      <c r="H4549" s="28" t="s">
        <v>382</v>
      </c>
      <c r="I4549" s="29" t="n">
        <v>298000</v>
      </c>
      <c r="J4549" s="29" t="n">
        <v>223500</v>
      </c>
      <c r="K4549" s="28" t="n">
        <v>10.25</v>
      </c>
      <c r="L4549" s="28" t="n">
        <v>122</v>
      </c>
      <c r="M4549" s="28" t="n">
        <v>6</v>
      </c>
    </row>
    <row r="4550" customFormat="false" ht="15" hidden="false" customHeight="false" outlineLevel="0" collapsed="false">
      <c r="A4550" s="27" t="n">
        <v>45782</v>
      </c>
      <c r="B4550" s="28" t="n">
        <v>2025</v>
      </c>
      <c r="C4550" s="28" t="s">
        <v>230</v>
      </c>
      <c r="D4550" s="28" t="s">
        <v>49</v>
      </c>
      <c r="E4550" s="28" t="s">
        <v>809</v>
      </c>
      <c r="F4550" s="28" t="s">
        <v>142</v>
      </c>
      <c r="G4550" s="28" t="s">
        <v>148</v>
      </c>
      <c r="H4550" s="28" t="s">
        <v>619</v>
      </c>
      <c r="I4550" s="29" t="n">
        <v>692000</v>
      </c>
      <c r="J4550" s="29" t="n">
        <v>519000</v>
      </c>
      <c r="K4550" s="28" t="n">
        <v>10.5</v>
      </c>
      <c r="L4550" s="28" t="n">
        <v>300</v>
      </c>
      <c r="M4550" s="28" t="n">
        <v>7</v>
      </c>
    </row>
    <row r="4551" customFormat="false" ht="15" hidden="false" customHeight="false" outlineLevel="0" collapsed="false">
      <c r="A4551" s="27" t="n">
        <v>45782</v>
      </c>
      <c r="B4551" s="28" t="n">
        <v>2025</v>
      </c>
      <c r="C4551" s="28" t="s">
        <v>252</v>
      </c>
      <c r="D4551" s="28" t="s">
        <v>46</v>
      </c>
      <c r="E4551" s="28" t="s">
        <v>719</v>
      </c>
      <c r="F4551" s="28" t="s">
        <v>142</v>
      </c>
      <c r="G4551" s="28" t="s">
        <v>148</v>
      </c>
      <c r="H4551" s="28" t="s">
        <v>269</v>
      </c>
      <c r="I4551" s="29" t="n">
        <v>60000</v>
      </c>
      <c r="J4551" s="29" t="n">
        <v>51000</v>
      </c>
      <c r="K4551" s="28" t="n">
        <v>10.25</v>
      </c>
      <c r="L4551" s="28" t="n">
        <v>120</v>
      </c>
      <c r="M4551" s="28" t="n">
        <v>3</v>
      </c>
    </row>
    <row r="4552" customFormat="false" ht="15" hidden="false" customHeight="false" outlineLevel="0" collapsed="false">
      <c r="A4552" s="27" t="n">
        <v>45783</v>
      </c>
      <c r="B4552" s="28" t="n">
        <v>2025</v>
      </c>
      <c r="C4552" s="28" t="s">
        <v>169</v>
      </c>
      <c r="D4552" s="28" t="s">
        <v>56</v>
      </c>
      <c r="E4552" s="28" t="s">
        <v>772</v>
      </c>
      <c r="F4552" s="28" t="s">
        <v>147</v>
      </c>
      <c r="G4552" s="28" t="s">
        <v>148</v>
      </c>
      <c r="H4552" s="28" t="s">
        <v>159</v>
      </c>
      <c r="I4552" s="29" t="n">
        <v>25000</v>
      </c>
      <c r="J4552" s="29" t="n">
        <v>12500</v>
      </c>
      <c r="K4552" s="28" t="n">
        <v>14</v>
      </c>
      <c r="L4552" s="28" t="n">
        <v>120</v>
      </c>
      <c r="M4552" s="28" t="n">
        <v>3</v>
      </c>
    </row>
    <row r="4553" customFormat="false" ht="15" hidden="false" customHeight="false" outlineLevel="0" collapsed="false">
      <c r="A4553" s="27" t="n">
        <v>45783</v>
      </c>
      <c r="B4553" s="28" t="n">
        <v>2025</v>
      </c>
      <c r="C4553" s="28" t="s">
        <v>172</v>
      </c>
      <c r="D4553" s="28" t="s">
        <v>45</v>
      </c>
      <c r="E4553" s="28" t="s">
        <v>708</v>
      </c>
      <c r="F4553" s="28" t="s">
        <v>142</v>
      </c>
      <c r="G4553" s="28" t="s">
        <v>148</v>
      </c>
      <c r="H4553" s="28" t="s">
        <v>171</v>
      </c>
      <c r="I4553" s="29" t="n">
        <v>150000</v>
      </c>
      <c r="J4553" s="29" t="n">
        <v>127500</v>
      </c>
      <c r="K4553" s="28" t="n">
        <v>12.25</v>
      </c>
      <c r="L4553" s="28" t="n">
        <v>120</v>
      </c>
      <c r="M4553" s="28" t="n">
        <v>16</v>
      </c>
    </row>
    <row r="4554" customFormat="false" ht="15" hidden="false" customHeight="false" outlineLevel="0" collapsed="false">
      <c r="A4554" s="27" t="n">
        <v>45783</v>
      </c>
      <c r="B4554" s="28" t="n">
        <v>2025</v>
      </c>
      <c r="C4554" s="28" t="s">
        <v>145</v>
      </c>
      <c r="D4554" s="28" t="s">
        <v>50</v>
      </c>
      <c r="E4554" s="28" t="s">
        <v>754</v>
      </c>
      <c r="F4554" s="28" t="s">
        <v>142</v>
      </c>
      <c r="G4554" s="28" t="s">
        <v>152</v>
      </c>
      <c r="H4554" s="28" t="s">
        <v>159</v>
      </c>
      <c r="I4554" s="29" t="n">
        <v>910000</v>
      </c>
      <c r="J4554" s="29" t="n">
        <v>682500</v>
      </c>
      <c r="K4554" s="28" t="n">
        <v>9.5</v>
      </c>
      <c r="L4554" s="28" t="n">
        <v>120</v>
      </c>
      <c r="M4554" s="28" t="n">
        <v>9</v>
      </c>
    </row>
    <row r="4555" customFormat="false" ht="15" hidden="false" customHeight="false" outlineLevel="0" collapsed="false">
      <c r="A4555" s="27" t="n">
        <v>45784</v>
      </c>
      <c r="B4555" s="28" t="n">
        <v>2025</v>
      </c>
      <c r="C4555" s="28" t="s">
        <v>140</v>
      </c>
      <c r="D4555" s="28" t="s">
        <v>53</v>
      </c>
      <c r="E4555" s="28" t="s">
        <v>718</v>
      </c>
      <c r="F4555" s="28" t="s">
        <v>142</v>
      </c>
      <c r="G4555" s="28" t="s">
        <v>148</v>
      </c>
      <c r="H4555" s="28" t="s">
        <v>144</v>
      </c>
      <c r="I4555" s="29" t="n">
        <v>140000</v>
      </c>
      <c r="J4555" s="29" t="n">
        <v>119000</v>
      </c>
      <c r="K4555" s="28" t="n">
        <v>12</v>
      </c>
      <c r="L4555" s="28" t="n">
        <v>120</v>
      </c>
      <c r="M4555" s="28" t="n">
        <v>0</v>
      </c>
    </row>
    <row r="4556" customFormat="false" ht="15" hidden="false" customHeight="false" outlineLevel="0" collapsed="false">
      <c r="A4556" s="27" t="n">
        <v>45784</v>
      </c>
      <c r="B4556" s="28" t="n">
        <v>2025</v>
      </c>
      <c r="C4556" s="28" t="s">
        <v>432</v>
      </c>
      <c r="D4556" s="28" t="s">
        <v>50</v>
      </c>
      <c r="E4556" s="28" t="s">
        <v>724</v>
      </c>
      <c r="F4556" s="28" t="s">
        <v>142</v>
      </c>
      <c r="G4556" s="28" t="s">
        <v>148</v>
      </c>
      <c r="H4556" s="28" t="s">
        <v>144</v>
      </c>
      <c r="I4556" s="29" t="n">
        <v>60000</v>
      </c>
      <c r="J4556" s="29" t="n">
        <v>51000</v>
      </c>
      <c r="K4556" s="28" t="n">
        <v>9.99</v>
      </c>
      <c r="L4556" s="28" t="n">
        <v>120</v>
      </c>
      <c r="M4556" s="28" t="n">
        <v>10</v>
      </c>
    </row>
    <row r="4557" customFormat="false" ht="15" hidden="false" customHeight="false" outlineLevel="0" collapsed="false">
      <c r="A4557" s="27" t="n">
        <v>45784</v>
      </c>
      <c r="B4557" s="28" t="n">
        <v>2025</v>
      </c>
      <c r="C4557" s="28" t="s">
        <v>196</v>
      </c>
      <c r="D4557" s="28" t="s">
        <v>42</v>
      </c>
      <c r="E4557" s="28" t="s">
        <v>717</v>
      </c>
      <c r="F4557" s="28" t="s">
        <v>147</v>
      </c>
      <c r="G4557" s="28" t="s">
        <v>148</v>
      </c>
      <c r="H4557" s="28" t="s">
        <v>205</v>
      </c>
      <c r="I4557" s="29" t="n">
        <v>50000</v>
      </c>
      <c r="J4557" s="29" t="n">
        <v>25000</v>
      </c>
      <c r="K4557" s="28" t="n">
        <v>13.3</v>
      </c>
      <c r="L4557" s="28" t="n">
        <v>120</v>
      </c>
      <c r="M4557" s="28" t="n">
        <v>13</v>
      </c>
    </row>
    <row r="4558" customFormat="false" ht="15" hidden="false" customHeight="false" outlineLevel="0" collapsed="false">
      <c r="A4558" s="27" t="n">
        <v>45784</v>
      </c>
      <c r="B4558" s="28" t="n">
        <v>2025</v>
      </c>
      <c r="C4558" s="28" t="s">
        <v>140</v>
      </c>
      <c r="D4558" s="28" t="s">
        <v>48</v>
      </c>
      <c r="E4558" s="28" t="s">
        <v>815</v>
      </c>
      <c r="F4558" s="28" t="s">
        <v>142</v>
      </c>
      <c r="G4558" s="28" t="s">
        <v>148</v>
      </c>
      <c r="H4558" s="28" t="s">
        <v>619</v>
      </c>
      <c r="I4558" s="29" t="n">
        <v>126800</v>
      </c>
      <c r="J4558" s="29" t="n">
        <v>95100</v>
      </c>
      <c r="K4558" s="28" t="n">
        <v>12.25</v>
      </c>
      <c r="L4558" s="28" t="n">
        <v>300</v>
      </c>
      <c r="M4558" s="28" t="n">
        <v>2</v>
      </c>
    </row>
    <row r="4559" customFormat="false" ht="15" hidden="false" customHeight="false" outlineLevel="0" collapsed="false">
      <c r="A4559" s="27" t="n">
        <v>45784</v>
      </c>
      <c r="B4559" s="28" t="n">
        <v>2025</v>
      </c>
      <c r="C4559" s="28" t="s">
        <v>265</v>
      </c>
      <c r="D4559" s="28" t="s">
        <v>44</v>
      </c>
      <c r="E4559" s="28" t="s">
        <v>759</v>
      </c>
      <c r="F4559" s="28" t="s">
        <v>194</v>
      </c>
      <c r="G4559" s="28" t="s">
        <v>148</v>
      </c>
      <c r="H4559" s="28" t="s">
        <v>266</v>
      </c>
      <c r="I4559" s="29" t="n">
        <v>94000</v>
      </c>
      <c r="J4559" s="29" t="n">
        <v>79900</v>
      </c>
      <c r="K4559" s="28" t="n">
        <v>9</v>
      </c>
      <c r="L4559" s="28" t="n">
        <v>60</v>
      </c>
      <c r="M4559" s="28" t="n">
        <v>5</v>
      </c>
    </row>
    <row r="4560" customFormat="false" ht="15" hidden="false" customHeight="false" outlineLevel="0" collapsed="false">
      <c r="A4560" s="27" t="n">
        <v>45785</v>
      </c>
      <c r="B4560" s="28" t="n">
        <v>2025</v>
      </c>
      <c r="C4560" s="28" t="s">
        <v>169</v>
      </c>
      <c r="D4560" s="28" t="s">
        <v>46</v>
      </c>
      <c r="E4560" s="28" t="s">
        <v>930</v>
      </c>
      <c r="F4560" s="28" t="s">
        <v>147</v>
      </c>
      <c r="G4560" s="28" t="s">
        <v>148</v>
      </c>
      <c r="H4560" s="28" t="s">
        <v>953</v>
      </c>
      <c r="I4560" s="29" t="n">
        <v>40000</v>
      </c>
      <c r="J4560" s="29" t="n">
        <v>20000</v>
      </c>
      <c r="K4560" s="28" t="n">
        <v>14</v>
      </c>
      <c r="L4560" s="28" t="n">
        <v>120</v>
      </c>
      <c r="M4560" s="28" t="n">
        <v>6</v>
      </c>
    </row>
    <row r="4561" customFormat="false" ht="15" hidden="false" customHeight="false" outlineLevel="0" collapsed="false">
      <c r="A4561" s="27" t="n">
        <v>45785</v>
      </c>
      <c r="B4561" s="28" t="n">
        <v>2025</v>
      </c>
      <c r="C4561" s="28" t="s">
        <v>344</v>
      </c>
      <c r="D4561" s="28" t="s">
        <v>50</v>
      </c>
      <c r="E4561" s="28" t="s">
        <v>724</v>
      </c>
      <c r="F4561" s="28" t="s">
        <v>142</v>
      </c>
      <c r="G4561" s="28" t="s">
        <v>156</v>
      </c>
      <c r="H4561" s="28" t="s">
        <v>1117</v>
      </c>
      <c r="I4561" s="29" t="n">
        <v>120000</v>
      </c>
      <c r="J4561" s="29" t="n">
        <v>102000</v>
      </c>
      <c r="K4561" s="28" t="n">
        <v>10.25</v>
      </c>
      <c r="L4561" s="28" t="n">
        <v>120</v>
      </c>
      <c r="M4561" s="28" t="n">
        <v>8</v>
      </c>
    </row>
    <row r="4562" customFormat="false" ht="15" hidden="false" customHeight="false" outlineLevel="0" collapsed="false">
      <c r="A4562" s="27" t="n">
        <v>45785</v>
      </c>
      <c r="B4562" s="28" t="n">
        <v>2025</v>
      </c>
      <c r="C4562" s="28" t="s">
        <v>421</v>
      </c>
      <c r="D4562" s="28" t="s">
        <v>48</v>
      </c>
      <c r="E4562" s="28" t="s">
        <v>762</v>
      </c>
      <c r="F4562" s="28" t="s">
        <v>142</v>
      </c>
      <c r="G4562" s="28" t="s">
        <v>143</v>
      </c>
      <c r="H4562" s="28" t="s">
        <v>144</v>
      </c>
      <c r="I4562" s="29" t="n">
        <v>5000000</v>
      </c>
      <c r="J4562" s="29" t="n">
        <v>3750000</v>
      </c>
      <c r="K4562" s="28" t="n">
        <v>7.5</v>
      </c>
      <c r="L4562" s="28" t="n">
        <v>306</v>
      </c>
      <c r="M4562" s="28" t="n">
        <v>18</v>
      </c>
    </row>
    <row r="4563" customFormat="false" ht="15" hidden="false" customHeight="false" outlineLevel="0" collapsed="false">
      <c r="A4563" s="27" t="n">
        <v>45785</v>
      </c>
      <c r="B4563" s="28" t="n">
        <v>2025</v>
      </c>
      <c r="C4563" s="28" t="s">
        <v>172</v>
      </c>
      <c r="D4563" s="28" t="s">
        <v>46</v>
      </c>
      <c r="E4563" s="28" t="s">
        <v>719</v>
      </c>
      <c r="F4563" s="28" t="s">
        <v>142</v>
      </c>
      <c r="G4563" s="28" t="s">
        <v>148</v>
      </c>
      <c r="H4563" s="28" t="s">
        <v>1150</v>
      </c>
      <c r="I4563" s="29" t="n">
        <v>225000</v>
      </c>
      <c r="J4563" s="29" t="n">
        <v>168750</v>
      </c>
      <c r="K4563" s="28" t="n">
        <v>10.25</v>
      </c>
      <c r="L4563" s="28" t="n">
        <v>120</v>
      </c>
      <c r="M4563" s="28" t="n">
        <v>0</v>
      </c>
    </row>
    <row r="4564" customFormat="false" ht="15" hidden="false" customHeight="false" outlineLevel="0" collapsed="false">
      <c r="A4564" s="27" t="n">
        <v>45789</v>
      </c>
      <c r="B4564" s="28" t="n">
        <v>2025</v>
      </c>
      <c r="C4564" s="28" t="s">
        <v>368</v>
      </c>
      <c r="D4564" s="28" t="s">
        <v>42</v>
      </c>
      <c r="E4564" s="28" t="s">
        <v>753</v>
      </c>
      <c r="F4564" s="28" t="s">
        <v>142</v>
      </c>
      <c r="G4564" s="28" t="s">
        <v>143</v>
      </c>
      <c r="H4564" s="28" t="s">
        <v>227</v>
      </c>
      <c r="I4564" s="29" t="n">
        <v>180000</v>
      </c>
      <c r="J4564" s="29" t="n">
        <v>135000</v>
      </c>
      <c r="K4564" s="28" t="n">
        <v>10.25</v>
      </c>
      <c r="L4564" s="28" t="n">
        <v>120</v>
      </c>
      <c r="M4564" s="28" t="n">
        <v>8</v>
      </c>
    </row>
    <row r="4565" customFormat="false" ht="15" hidden="false" customHeight="false" outlineLevel="0" collapsed="false">
      <c r="A4565" s="27" t="n">
        <v>45789</v>
      </c>
      <c r="B4565" s="28" t="n">
        <v>2025</v>
      </c>
      <c r="C4565" s="28" t="s">
        <v>384</v>
      </c>
      <c r="D4565" s="28" t="s">
        <v>51</v>
      </c>
      <c r="E4565" s="28" t="s">
        <v>779</v>
      </c>
      <c r="F4565" s="28" t="s">
        <v>142</v>
      </c>
      <c r="G4565" s="28" t="s">
        <v>148</v>
      </c>
      <c r="H4565" s="28" t="s">
        <v>456</v>
      </c>
      <c r="I4565" s="29" t="n">
        <v>150000</v>
      </c>
      <c r="J4565" s="29" t="n">
        <v>127500</v>
      </c>
      <c r="K4565" s="28" t="n">
        <v>10.5</v>
      </c>
      <c r="L4565" s="28" t="n">
        <v>120</v>
      </c>
      <c r="M4565" s="28" t="n">
        <v>12</v>
      </c>
    </row>
    <row r="4566" customFormat="false" ht="15" hidden="false" customHeight="false" outlineLevel="0" collapsed="false">
      <c r="A4566" s="27" t="n">
        <v>45790</v>
      </c>
      <c r="B4566" s="28" t="n">
        <v>2025</v>
      </c>
      <c r="C4566" s="28" t="s">
        <v>303</v>
      </c>
      <c r="D4566" s="28" t="s">
        <v>57</v>
      </c>
      <c r="E4566" s="28" t="s">
        <v>474</v>
      </c>
      <c r="F4566" s="28" t="s">
        <v>142</v>
      </c>
      <c r="G4566" s="28" t="s">
        <v>441</v>
      </c>
      <c r="H4566" s="28" t="s">
        <v>953</v>
      </c>
      <c r="I4566" s="29" t="n">
        <v>500000</v>
      </c>
      <c r="J4566" s="29" t="n">
        <v>375000</v>
      </c>
      <c r="K4566" s="28" t="n">
        <v>10.5</v>
      </c>
      <c r="L4566" s="28" t="n">
        <v>120</v>
      </c>
      <c r="M4566" s="28" t="n">
        <v>7</v>
      </c>
    </row>
    <row r="4567" customFormat="false" ht="15" hidden="false" customHeight="false" outlineLevel="0" collapsed="false">
      <c r="A4567" s="27" t="n">
        <v>45790</v>
      </c>
      <c r="B4567" s="28" t="n">
        <v>2025</v>
      </c>
      <c r="C4567" s="28" t="s">
        <v>272</v>
      </c>
      <c r="D4567" s="28" t="s">
        <v>45</v>
      </c>
      <c r="E4567" s="28" t="s">
        <v>222</v>
      </c>
      <c r="F4567" s="28" t="s">
        <v>142</v>
      </c>
      <c r="G4567" s="28" t="s">
        <v>143</v>
      </c>
      <c r="H4567" s="28" t="s">
        <v>417</v>
      </c>
      <c r="I4567" s="29" t="n">
        <v>207000</v>
      </c>
      <c r="J4567" s="29" t="n">
        <v>155250</v>
      </c>
      <c r="K4567" s="28" t="n">
        <v>10.25</v>
      </c>
      <c r="L4567" s="28" t="n">
        <v>120</v>
      </c>
      <c r="M4567" s="28" t="n">
        <v>4</v>
      </c>
    </row>
    <row r="4568" customFormat="false" ht="15" hidden="false" customHeight="false" outlineLevel="0" collapsed="false">
      <c r="A4568" s="27" t="n">
        <v>45790</v>
      </c>
      <c r="B4568" s="28" t="n">
        <v>2025</v>
      </c>
      <c r="C4568" s="28" t="s">
        <v>169</v>
      </c>
      <c r="D4568" s="28" t="s">
        <v>47</v>
      </c>
      <c r="E4568" s="28" t="s">
        <v>1107</v>
      </c>
      <c r="F4568" s="28" t="s">
        <v>147</v>
      </c>
      <c r="G4568" s="28" t="s">
        <v>148</v>
      </c>
      <c r="H4568" s="28" t="s">
        <v>428</v>
      </c>
      <c r="I4568" s="29" t="n">
        <v>500000</v>
      </c>
      <c r="J4568" s="29" t="n">
        <v>250000</v>
      </c>
      <c r="K4568" s="28" t="n">
        <v>10</v>
      </c>
      <c r="L4568" s="28" t="n">
        <v>120</v>
      </c>
      <c r="M4568" s="28" t="n">
        <v>9</v>
      </c>
    </row>
    <row r="4569" customFormat="false" ht="15" hidden="false" customHeight="false" outlineLevel="0" collapsed="false">
      <c r="A4569" s="27" t="n">
        <v>45790</v>
      </c>
      <c r="B4569" s="28" t="n">
        <v>2025</v>
      </c>
      <c r="C4569" s="28" t="s">
        <v>300</v>
      </c>
      <c r="D4569" s="28" t="s">
        <v>51</v>
      </c>
      <c r="E4569" s="28" t="s">
        <v>779</v>
      </c>
      <c r="F4569" s="28" t="s">
        <v>142</v>
      </c>
      <c r="G4569" s="28" t="s">
        <v>143</v>
      </c>
      <c r="H4569" s="28" t="s">
        <v>291</v>
      </c>
      <c r="I4569" s="29" t="n">
        <v>319000</v>
      </c>
      <c r="J4569" s="29" t="n">
        <v>239250</v>
      </c>
      <c r="K4569" s="28" t="n">
        <v>9.75</v>
      </c>
      <c r="L4569" s="28" t="n">
        <v>84</v>
      </c>
      <c r="M4569" s="28" t="n">
        <v>24</v>
      </c>
    </row>
    <row r="4570" customFormat="false" ht="15" hidden="false" customHeight="false" outlineLevel="0" collapsed="false">
      <c r="A4570" s="27" t="n">
        <v>45790</v>
      </c>
      <c r="B4570" s="28" t="n">
        <v>2025</v>
      </c>
      <c r="C4570" s="28" t="s">
        <v>169</v>
      </c>
      <c r="D4570" s="28" t="s">
        <v>56</v>
      </c>
      <c r="E4570" s="28" t="s">
        <v>1013</v>
      </c>
      <c r="F4570" s="28" t="s">
        <v>142</v>
      </c>
      <c r="G4570" s="28" t="s">
        <v>143</v>
      </c>
      <c r="H4570" s="28" t="s">
        <v>799</v>
      </c>
      <c r="I4570" s="29" t="n">
        <v>445400</v>
      </c>
      <c r="J4570" s="29" t="n">
        <v>334050</v>
      </c>
      <c r="K4570" s="28" t="n">
        <v>10.25</v>
      </c>
      <c r="L4570" s="28" t="n">
        <v>126</v>
      </c>
      <c r="M4570" s="28" t="n">
        <v>18</v>
      </c>
    </row>
    <row r="4571" customFormat="false" ht="15" hidden="false" customHeight="false" outlineLevel="0" collapsed="false">
      <c r="A4571" s="27" t="n">
        <v>45790</v>
      </c>
      <c r="B4571" s="28" t="n">
        <v>2025</v>
      </c>
      <c r="C4571" s="28" t="s">
        <v>300</v>
      </c>
      <c r="D4571" s="28" t="s">
        <v>51</v>
      </c>
      <c r="E4571" s="28" t="s">
        <v>779</v>
      </c>
      <c r="F4571" s="28" t="s">
        <v>147</v>
      </c>
      <c r="G4571" s="28" t="s">
        <v>148</v>
      </c>
      <c r="H4571" s="28" t="s">
        <v>291</v>
      </c>
      <c r="I4571" s="29" t="n">
        <v>100000</v>
      </c>
      <c r="J4571" s="29" t="n">
        <v>50000</v>
      </c>
      <c r="K4571" s="28" t="n">
        <v>9.75</v>
      </c>
      <c r="L4571" s="28" t="n">
        <v>120</v>
      </c>
      <c r="M4571" s="28" t="n">
        <v>24</v>
      </c>
    </row>
    <row r="4572" customFormat="false" ht="15" hidden="false" customHeight="false" outlineLevel="0" collapsed="false">
      <c r="A4572" s="27" t="n">
        <v>45790</v>
      </c>
      <c r="B4572" s="28" t="n">
        <v>2025</v>
      </c>
      <c r="C4572" s="28" t="s">
        <v>172</v>
      </c>
      <c r="D4572" s="28" t="s">
        <v>42</v>
      </c>
      <c r="E4572" s="28" t="s">
        <v>784</v>
      </c>
      <c r="F4572" s="28" t="s">
        <v>142</v>
      </c>
      <c r="G4572" s="28" t="s">
        <v>143</v>
      </c>
      <c r="H4572" s="28" t="s">
        <v>159</v>
      </c>
      <c r="I4572" s="29" t="n">
        <v>280000</v>
      </c>
      <c r="J4572" s="29" t="n">
        <v>210000</v>
      </c>
      <c r="K4572" s="28" t="n">
        <v>9</v>
      </c>
      <c r="L4572" s="28" t="n">
        <v>119</v>
      </c>
      <c r="M4572" s="28" t="n">
        <v>6</v>
      </c>
    </row>
    <row r="4573" customFormat="false" ht="15" hidden="false" customHeight="false" outlineLevel="0" collapsed="false">
      <c r="A4573" s="27" t="n">
        <v>45790</v>
      </c>
      <c r="B4573" s="28" t="n">
        <v>2025</v>
      </c>
      <c r="C4573" s="28" t="s">
        <v>488</v>
      </c>
      <c r="D4573" s="28" t="s">
        <v>50</v>
      </c>
      <c r="E4573" s="28" t="s">
        <v>724</v>
      </c>
      <c r="F4573" s="28" t="s">
        <v>142</v>
      </c>
      <c r="G4573" s="28" t="s">
        <v>148</v>
      </c>
      <c r="H4573" s="28" t="s">
        <v>937</v>
      </c>
      <c r="I4573" s="29" t="n">
        <v>127700</v>
      </c>
      <c r="J4573" s="29" t="n">
        <v>108545</v>
      </c>
      <c r="K4573" s="28" t="n">
        <v>12</v>
      </c>
      <c r="L4573" s="28" t="n">
        <v>120</v>
      </c>
      <c r="M4573" s="28" t="n">
        <v>42</v>
      </c>
    </row>
    <row r="4574" customFormat="false" ht="15" hidden="false" customHeight="false" outlineLevel="0" collapsed="false">
      <c r="A4574" s="27" t="n">
        <v>45790</v>
      </c>
      <c r="B4574" s="28" t="n">
        <v>2025</v>
      </c>
      <c r="C4574" s="28" t="s">
        <v>203</v>
      </c>
      <c r="D4574" s="28" t="s">
        <v>45</v>
      </c>
      <c r="E4574" s="28" t="s">
        <v>222</v>
      </c>
      <c r="F4574" s="28" t="s">
        <v>142</v>
      </c>
      <c r="G4574" s="28" t="s">
        <v>148</v>
      </c>
      <c r="H4574" s="28" t="s">
        <v>275</v>
      </c>
      <c r="I4574" s="29" t="n">
        <v>475000</v>
      </c>
      <c r="J4574" s="29" t="n">
        <v>356250</v>
      </c>
      <c r="K4574" s="28" t="n">
        <v>10.25</v>
      </c>
      <c r="L4574" s="28" t="n">
        <v>120</v>
      </c>
      <c r="M4574" s="28" t="n">
        <v>7</v>
      </c>
    </row>
    <row r="4575" customFormat="false" ht="15" hidden="false" customHeight="false" outlineLevel="0" collapsed="false">
      <c r="A4575" s="27" t="n">
        <v>45790</v>
      </c>
      <c r="B4575" s="28" t="n">
        <v>2025</v>
      </c>
      <c r="C4575" s="28" t="s">
        <v>163</v>
      </c>
      <c r="D4575" s="28" t="s">
        <v>42</v>
      </c>
      <c r="E4575" s="28" t="s">
        <v>784</v>
      </c>
      <c r="F4575" s="28" t="s">
        <v>142</v>
      </c>
      <c r="G4575" s="28" t="s">
        <v>152</v>
      </c>
      <c r="H4575" s="28" t="s">
        <v>417</v>
      </c>
      <c r="I4575" s="29" t="n">
        <v>338900</v>
      </c>
      <c r="J4575" s="29" t="n">
        <v>254175</v>
      </c>
      <c r="K4575" s="28" t="n">
        <v>10.5</v>
      </c>
      <c r="L4575" s="28" t="n">
        <v>120</v>
      </c>
      <c r="M4575" s="28" t="n">
        <v>14</v>
      </c>
    </row>
    <row r="4576" customFormat="false" ht="15" hidden="false" customHeight="false" outlineLevel="0" collapsed="false">
      <c r="A4576" s="27" t="n">
        <v>45790</v>
      </c>
      <c r="B4576" s="28" t="n">
        <v>2025</v>
      </c>
      <c r="C4576" s="28" t="s">
        <v>172</v>
      </c>
      <c r="D4576" s="28" t="s">
        <v>51</v>
      </c>
      <c r="E4576" s="28" t="s">
        <v>779</v>
      </c>
      <c r="F4576" s="28" t="s">
        <v>142</v>
      </c>
      <c r="G4576" s="28" t="s">
        <v>148</v>
      </c>
      <c r="H4576" s="28" t="s">
        <v>953</v>
      </c>
      <c r="I4576" s="29" t="n">
        <v>84000</v>
      </c>
      <c r="J4576" s="29" t="n">
        <v>71400</v>
      </c>
      <c r="K4576" s="28" t="n">
        <v>10.5</v>
      </c>
      <c r="L4576" s="28" t="n">
        <v>120</v>
      </c>
      <c r="M4576" s="28" t="n">
        <v>50</v>
      </c>
    </row>
    <row r="4577" customFormat="false" ht="15" hidden="false" customHeight="false" outlineLevel="0" collapsed="false">
      <c r="A4577" s="27" t="n">
        <v>45790</v>
      </c>
      <c r="B4577" s="28" t="n">
        <v>2025</v>
      </c>
      <c r="C4577" s="28" t="s">
        <v>172</v>
      </c>
      <c r="D4577" s="28" t="s">
        <v>42</v>
      </c>
      <c r="E4577" s="28" t="s">
        <v>784</v>
      </c>
      <c r="F4577" s="28" t="s">
        <v>147</v>
      </c>
      <c r="G4577" s="28" t="s">
        <v>143</v>
      </c>
      <c r="H4577" s="28" t="s">
        <v>159</v>
      </c>
      <c r="I4577" s="29" t="n">
        <v>25000</v>
      </c>
      <c r="J4577" s="29" t="n">
        <v>12500</v>
      </c>
      <c r="K4577" s="28" t="n">
        <v>9</v>
      </c>
      <c r="L4577" s="28" t="n">
        <v>120</v>
      </c>
      <c r="M4577" s="28" t="n">
        <v>6</v>
      </c>
    </row>
    <row r="4578" customFormat="false" ht="15" hidden="false" customHeight="false" outlineLevel="0" collapsed="false">
      <c r="A4578" s="27" t="n">
        <v>45791</v>
      </c>
      <c r="B4578" s="28" t="n">
        <v>2025</v>
      </c>
      <c r="C4578" s="28" t="s">
        <v>169</v>
      </c>
      <c r="D4578" s="28" t="s">
        <v>42</v>
      </c>
      <c r="E4578" s="28" t="s">
        <v>717</v>
      </c>
      <c r="F4578" s="28" t="s">
        <v>142</v>
      </c>
      <c r="G4578" s="28" t="s">
        <v>143</v>
      </c>
      <c r="H4578" s="28" t="s">
        <v>159</v>
      </c>
      <c r="I4578" s="29" t="n">
        <v>924000</v>
      </c>
      <c r="J4578" s="29" t="n">
        <v>693000</v>
      </c>
      <c r="K4578" s="28" t="n">
        <v>9.5</v>
      </c>
      <c r="L4578" s="28" t="n">
        <v>129</v>
      </c>
      <c r="M4578" s="28" t="n">
        <v>28</v>
      </c>
    </row>
    <row r="4579" customFormat="false" ht="15" hidden="false" customHeight="false" outlineLevel="0" collapsed="false">
      <c r="A4579" s="27" t="n">
        <v>45791</v>
      </c>
      <c r="B4579" s="28" t="n">
        <v>2025</v>
      </c>
      <c r="C4579" s="28" t="s">
        <v>252</v>
      </c>
      <c r="D4579" s="28" t="s">
        <v>51</v>
      </c>
      <c r="E4579" s="28" t="s">
        <v>779</v>
      </c>
      <c r="F4579" s="28" t="s">
        <v>142</v>
      </c>
      <c r="G4579" s="28" t="s">
        <v>143</v>
      </c>
      <c r="H4579" s="28" t="s">
        <v>382</v>
      </c>
      <c r="I4579" s="29" t="n">
        <v>500000</v>
      </c>
      <c r="J4579" s="29" t="n">
        <v>375000</v>
      </c>
      <c r="K4579" s="28" t="n">
        <v>10.25</v>
      </c>
      <c r="L4579" s="28" t="n">
        <v>123</v>
      </c>
      <c r="M4579" s="28" t="n">
        <v>2</v>
      </c>
    </row>
    <row r="4580" customFormat="false" ht="15" hidden="false" customHeight="false" outlineLevel="0" collapsed="false">
      <c r="A4580" s="27" t="n">
        <v>45791</v>
      </c>
      <c r="B4580" s="28" t="n">
        <v>2025</v>
      </c>
      <c r="C4580" s="28" t="s">
        <v>421</v>
      </c>
      <c r="D4580" s="28" t="s">
        <v>43</v>
      </c>
      <c r="E4580" s="28" t="s">
        <v>1000</v>
      </c>
      <c r="F4580" s="28" t="s">
        <v>142</v>
      </c>
      <c r="G4580" s="28" t="s">
        <v>148</v>
      </c>
      <c r="H4580" s="28" t="s">
        <v>269</v>
      </c>
      <c r="I4580" s="29" t="n">
        <v>150000</v>
      </c>
      <c r="J4580" s="29" t="n">
        <v>127500</v>
      </c>
      <c r="K4580" s="28" t="n">
        <v>10.25</v>
      </c>
      <c r="L4580" s="28" t="n">
        <v>120</v>
      </c>
      <c r="M4580" s="28" t="n">
        <v>3</v>
      </c>
    </row>
    <row r="4581" customFormat="false" ht="15" hidden="false" customHeight="false" outlineLevel="0" collapsed="false">
      <c r="A4581" s="27" t="n">
        <v>45791</v>
      </c>
      <c r="B4581" s="28" t="n">
        <v>2025</v>
      </c>
      <c r="C4581" s="28" t="s">
        <v>375</v>
      </c>
      <c r="D4581" s="28" t="s">
        <v>42</v>
      </c>
      <c r="E4581" s="28" t="s">
        <v>176</v>
      </c>
      <c r="F4581" s="28" t="s">
        <v>147</v>
      </c>
      <c r="G4581" s="28" t="s">
        <v>143</v>
      </c>
      <c r="H4581" s="28" t="s">
        <v>469</v>
      </c>
      <c r="I4581" s="29" t="n">
        <v>12000</v>
      </c>
      <c r="J4581" s="29" t="n">
        <v>6000</v>
      </c>
      <c r="K4581" s="28" t="n">
        <v>7.5</v>
      </c>
      <c r="L4581" s="28" t="n">
        <v>36</v>
      </c>
      <c r="M4581" s="28" t="n">
        <v>1</v>
      </c>
    </row>
    <row r="4582" customFormat="false" ht="15" hidden="false" customHeight="false" outlineLevel="0" collapsed="false">
      <c r="A4582" s="27" t="n">
        <v>45791</v>
      </c>
      <c r="B4582" s="28" t="n">
        <v>2025</v>
      </c>
      <c r="C4582" s="28" t="s">
        <v>203</v>
      </c>
      <c r="D4582" s="28" t="s">
        <v>48</v>
      </c>
      <c r="E4582" s="28" t="s">
        <v>704</v>
      </c>
      <c r="F4582" s="28" t="s">
        <v>142</v>
      </c>
      <c r="G4582" s="28" t="s">
        <v>152</v>
      </c>
      <c r="H4582" s="28" t="s">
        <v>287</v>
      </c>
      <c r="I4582" s="29" t="n">
        <v>1515000</v>
      </c>
      <c r="J4582" s="29" t="n">
        <v>1136250</v>
      </c>
      <c r="K4582" s="28" t="n">
        <v>9.5</v>
      </c>
      <c r="L4582" s="28" t="n">
        <v>120</v>
      </c>
      <c r="M4582" s="28" t="n">
        <v>12</v>
      </c>
    </row>
    <row r="4583" customFormat="false" ht="15" hidden="false" customHeight="false" outlineLevel="0" collapsed="false">
      <c r="A4583" s="27" t="n">
        <v>45791</v>
      </c>
      <c r="B4583" s="28" t="n">
        <v>2025</v>
      </c>
      <c r="C4583" s="28" t="s">
        <v>169</v>
      </c>
      <c r="D4583" s="28" t="s">
        <v>45</v>
      </c>
      <c r="E4583" s="28" t="s">
        <v>874</v>
      </c>
      <c r="F4583" s="28" t="s">
        <v>147</v>
      </c>
      <c r="G4583" s="28" t="s">
        <v>148</v>
      </c>
      <c r="H4583" s="28" t="s">
        <v>428</v>
      </c>
      <c r="I4583" s="29" t="n">
        <v>160000</v>
      </c>
      <c r="J4583" s="29" t="n">
        <v>80000</v>
      </c>
      <c r="K4583" s="28" t="n">
        <v>10.05</v>
      </c>
      <c r="L4583" s="28" t="n">
        <v>120</v>
      </c>
      <c r="M4583" s="28" t="n">
        <v>18</v>
      </c>
    </row>
    <row r="4584" customFormat="false" ht="15" hidden="false" customHeight="false" outlineLevel="0" collapsed="false">
      <c r="A4584" s="27" t="n">
        <v>45792</v>
      </c>
      <c r="B4584" s="28" t="n">
        <v>2025</v>
      </c>
      <c r="C4584" s="28" t="s">
        <v>198</v>
      </c>
      <c r="D4584" s="28" t="s">
        <v>48</v>
      </c>
      <c r="E4584" s="28" t="s">
        <v>304</v>
      </c>
      <c r="F4584" s="28" t="s">
        <v>147</v>
      </c>
      <c r="G4584" s="28" t="s">
        <v>148</v>
      </c>
      <c r="H4584" s="28" t="s">
        <v>469</v>
      </c>
      <c r="I4584" s="29" t="n">
        <v>100000</v>
      </c>
      <c r="J4584" s="29" t="n">
        <v>50000</v>
      </c>
      <c r="K4584" s="28" t="n">
        <v>9</v>
      </c>
      <c r="L4584" s="28" t="n">
        <v>95</v>
      </c>
      <c r="M4584" s="28" t="n">
        <v>4</v>
      </c>
    </row>
    <row r="4585" customFormat="false" ht="15" hidden="false" customHeight="false" outlineLevel="0" collapsed="false">
      <c r="A4585" s="27" t="n">
        <v>45792</v>
      </c>
      <c r="B4585" s="28" t="n">
        <v>2025</v>
      </c>
      <c r="C4585" s="28" t="s">
        <v>243</v>
      </c>
      <c r="D4585" s="28" t="s">
        <v>42</v>
      </c>
      <c r="E4585" s="28" t="s">
        <v>1151</v>
      </c>
      <c r="F4585" s="28" t="s">
        <v>142</v>
      </c>
      <c r="G4585" s="28" t="s">
        <v>143</v>
      </c>
      <c r="H4585" s="28" t="s">
        <v>144</v>
      </c>
      <c r="I4585" s="29" t="n">
        <v>4185000</v>
      </c>
      <c r="J4585" s="29" t="n">
        <v>3138750</v>
      </c>
      <c r="K4585" s="28" t="n">
        <v>8.5</v>
      </c>
      <c r="L4585" s="28" t="n">
        <v>312</v>
      </c>
      <c r="M4585" s="28" t="n">
        <v>8</v>
      </c>
    </row>
    <row r="4586" customFormat="false" ht="15" hidden="false" customHeight="false" outlineLevel="0" collapsed="false">
      <c r="A4586" s="27" t="n">
        <v>45792</v>
      </c>
      <c r="B4586" s="28" t="n">
        <v>2025</v>
      </c>
      <c r="C4586" s="28" t="s">
        <v>163</v>
      </c>
      <c r="D4586" s="28" t="s">
        <v>43</v>
      </c>
      <c r="E4586" s="28" t="s">
        <v>837</v>
      </c>
      <c r="F4586" s="28" t="s">
        <v>142</v>
      </c>
      <c r="G4586" s="28" t="s">
        <v>143</v>
      </c>
      <c r="H4586" s="28" t="s">
        <v>287</v>
      </c>
      <c r="I4586" s="29" t="n">
        <v>140000</v>
      </c>
      <c r="J4586" s="29" t="n">
        <v>119000</v>
      </c>
      <c r="K4586" s="28" t="n">
        <v>10.25</v>
      </c>
      <c r="L4586" s="28" t="n">
        <v>120</v>
      </c>
      <c r="M4586" s="28" t="n">
        <v>2</v>
      </c>
    </row>
    <row r="4587" customFormat="false" ht="15" hidden="false" customHeight="false" outlineLevel="0" collapsed="false">
      <c r="A4587" s="27" t="n">
        <v>45792</v>
      </c>
      <c r="B4587" s="28" t="n">
        <v>2025</v>
      </c>
      <c r="C4587" s="28" t="s">
        <v>1071</v>
      </c>
      <c r="D4587" s="28" t="s">
        <v>49</v>
      </c>
      <c r="E4587" s="28" t="s">
        <v>804</v>
      </c>
      <c r="F4587" s="28" t="s">
        <v>142</v>
      </c>
      <c r="G4587" s="28" t="s">
        <v>148</v>
      </c>
      <c r="H4587" s="28" t="s">
        <v>953</v>
      </c>
      <c r="I4587" s="29" t="n">
        <v>500000</v>
      </c>
      <c r="J4587" s="29" t="n">
        <v>375000</v>
      </c>
      <c r="K4587" s="28" t="n">
        <v>10.5</v>
      </c>
      <c r="L4587" s="28" t="n">
        <v>120</v>
      </c>
      <c r="M4587" s="28" t="n">
        <v>13</v>
      </c>
    </row>
    <row r="4588" customFormat="false" ht="15" hidden="false" customHeight="false" outlineLevel="0" collapsed="false">
      <c r="A4588" s="27" t="n">
        <v>45792</v>
      </c>
      <c r="B4588" s="28" t="n">
        <v>2025</v>
      </c>
      <c r="C4588" s="28" t="s">
        <v>316</v>
      </c>
      <c r="D4588" s="28" t="s">
        <v>42</v>
      </c>
      <c r="E4588" s="28" t="s">
        <v>705</v>
      </c>
      <c r="F4588" s="28" t="s">
        <v>142</v>
      </c>
      <c r="G4588" s="28" t="s">
        <v>143</v>
      </c>
      <c r="H4588" s="28" t="s">
        <v>1002</v>
      </c>
      <c r="I4588" s="29" t="n">
        <v>4034000</v>
      </c>
      <c r="J4588" s="29" t="n">
        <v>3025500</v>
      </c>
      <c r="K4588" s="28" t="n">
        <v>8.5</v>
      </c>
      <c r="L4588" s="28" t="n">
        <v>300</v>
      </c>
      <c r="M4588" s="28" t="n">
        <v>30</v>
      </c>
    </row>
    <row r="4589" customFormat="false" ht="15" hidden="false" customHeight="false" outlineLevel="0" collapsed="false">
      <c r="A4589" s="27" t="n">
        <v>45792</v>
      </c>
      <c r="B4589" s="28" t="n">
        <v>2025</v>
      </c>
      <c r="C4589" s="28" t="s">
        <v>169</v>
      </c>
      <c r="D4589" s="28" t="s">
        <v>46</v>
      </c>
      <c r="E4589" s="28" t="s">
        <v>746</v>
      </c>
      <c r="F4589" s="28" t="s">
        <v>142</v>
      </c>
      <c r="G4589" s="28" t="s">
        <v>441</v>
      </c>
      <c r="H4589" s="28" t="s">
        <v>1001</v>
      </c>
      <c r="I4589" s="29" t="n">
        <v>500000</v>
      </c>
      <c r="J4589" s="29" t="n">
        <v>375000</v>
      </c>
      <c r="K4589" s="28" t="n">
        <v>10.5</v>
      </c>
      <c r="L4589" s="28" t="n">
        <v>120</v>
      </c>
      <c r="M4589" s="28" t="n">
        <v>25</v>
      </c>
    </row>
    <row r="4590" customFormat="false" ht="15" hidden="false" customHeight="false" outlineLevel="0" collapsed="false">
      <c r="A4590" s="27" t="n">
        <v>45792</v>
      </c>
      <c r="B4590" s="28" t="n">
        <v>2025</v>
      </c>
      <c r="C4590" s="28" t="s">
        <v>172</v>
      </c>
      <c r="D4590" s="28" t="s">
        <v>42</v>
      </c>
      <c r="E4590" s="28" t="s">
        <v>753</v>
      </c>
      <c r="F4590" s="28" t="s">
        <v>142</v>
      </c>
      <c r="G4590" s="28" t="s">
        <v>143</v>
      </c>
      <c r="H4590" s="28" t="s">
        <v>144</v>
      </c>
      <c r="I4590" s="29" t="n">
        <v>450000</v>
      </c>
      <c r="J4590" s="29" t="n">
        <v>337500</v>
      </c>
      <c r="K4590" s="28" t="n">
        <v>10.5</v>
      </c>
      <c r="L4590" s="28" t="n">
        <v>120</v>
      </c>
      <c r="M4590" s="28" t="n">
        <v>8</v>
      </c>
    </row>
    <row r="4591" customFormat="false" ht="15" hidden="false" customHeight="false" outlineLevel="0" collapsed="false">
      <c r="A4591" s="27" t="n">
        <v>45796</v>
      </c>
      <c r="B4591" s="28" t="n">
        <v>2025</v>
      </c>
      <c r="C4591" s="28" t="s">
        <v>196</v>
      </c>
      <c r="D4591" s="28" t="s">
        <v>46</v>
      </c>
      <c r="E4591" s="28" t="s">
        <v>702</v>
      </c>
      <c r="F4591" s="28" t="s">
        <v>147</v>
      </c>
      <c r="G4591" s="28" t="s">
        <v>143</v>
      </c>
      <c r="H4591" s="28" t="s">
        <v>211</v>
      </c>
      <c r="I4591" s="29" t="n">
        <v>75000</v>
      </c>
      <c r="J4591" s="29" t="n">
        <v>37500</v>
      </c>
      <c r="K4591" s="28" t="n">
        <v>9.5</v>
      </c>
      <c r="L4591" s="28" t="n">
        <v>120</v>
      </c>
      <c r="M4591" s="28" t="n">
        <v>4</v>
      </c>
    </row>
    <row r="4592" customFormat="false" ht="15" hidden="false" customHeight="false" outlineLevel="0" collapsed="false">
      <c r="A4592" s="27" t="n">
        <v>45796</v>
      </c>
      <c r="B4592" s="28" t="n">
        <v>2025</v>
      </c>
      <c r="C4592" s="28" t="s">
        <v>172</v>
      </c>
      <c r="D4592" s="28" t="s">
        <v>56</v>
      </c>
      <c r="E4592" s="28" t="s">
        <v>1095</v>
      </c>
      <c r="F4592" s="28" t="s">
        <v>147</v>
      </c>
      <c r="G4592" s="28" t="s">
        <v>143</v>
      </c>
      <c r="H4592" s="28" t="s">
        <v>211</v>
      </c>
      <c r="I4592" s="29" t="n">
        <v>25000</v>
      </c>
      <c r="J4592" s="29" t="n">
        <v>12500</v>
      </c>
      <c r="K4592" s="28" t="n">
        <v>9.75</v>
      </c>
      <c r="L4592" s="28" t="n">
        <v>120</v>
      </c>
      <c r="M4592" s="28" t="n">
        <v>4</v>
      </c>
    </row>
    <row r="4593" customFormat="false" ht="15" hidden="false" customHeight="false" outlineLevel="0" collapsed="false">
      <c r="A4593" s="27" t="n">
        <v>45796</v>
      </c>
      <c r="B4593" s="28" t="n">
        <v>2025</v>
      </c>
      <c r="C4593" s="28" t="s">
        <v>172</v>
      </c>
      <c r="D4593" s="28" t="s">
        <v>42</v>
      </c>
      <c r="E4593" s="28" t="s">
        <v>753</v>
      </c>
      <c r="F4593" s="28" t="s">
        <v>142</v>
      </c>
      <c r="G4593" s="28" t="s">
        <v>152</v>
      </c>
      <c r="H4593" s="28" t="s">
        <v>334</v>
      </c>
      <c r="I4593" s="29" t="n">
        <v>622000</v>
      </c>
      <c r="J4593" s="29" t="n">
        <v>466500</v>
      </c>
      <c r="K4593" s="28" t="n">
        <v>9.5</v>
      </c>
      <c r="L4593" s="28" t="n">
        <v>120</v>
      </c>
      <c r="M4593" s="28" t="n">
        <v>8</v>
      </c>
    </row>
    <row r="4594" customFormat="false" ht="15" hidden="false" customHeight="false" outlineLevel="0" collapsed="false">
      <c r="A4594" s="27" t="n">
        <v>45796</v>
      </c>
      <c r="B4594" s="28" t="n">
        <v>2025</v>
      </c>
      <c r="C4594" s="28" t="s">
        <v>235</v>
      </c>
      <c r="D4594" s="28" t="s">
        <v>45</v>
      </c>
      <c r="E4594" s="28" t="s">
        <v>1152</v>
      </c>
      <c r="F4594" s="28" t="s">
        <v>142</v>
      </c>
      <c r="G4594" s="28" t="s">
        <v>152</v>
      </c>
      <c r="H4594" s="28" t="s">
        <v>281</v>
      </c>
      <c r="I4594" s="29" t="n">
        <v>689000</v>
      </c>
      <c r="J4594" s="29" t="n">
        <v>516750</v>
      </c>
      <c r="K4594" s="28" t="n">
        <v>9.5</v>
      </c>
      <c r="L4594" s="28" t="n">
        <v>120</v>
      </c>
      <c r="M4594" s="28" t="n">
        <v>13</v>
      </c>
    </row>
    <row r="4595" customFormat="false" ht="15" hidden="false" customHeight="false" outlineLevel="0" collapsed="false">
      <c r="A4595" s="27" t="n">
        <v>45796</v>
      </c>
      <c r="B4595" s="28" t="n">
        <v>2025</v>
      </c>
      <c r="C4595" s="28" t="s">
        <v>172</v>
      </c>
      <c r="D4595" s="28" t="s">
        <v>45</v>
      </c>
      <c r="E4595" s="28" t="s">
        <v>824</v>
      </c>
      <c r="F4595" s="28" t="s">
        <v>142</v>
      </c>
      <c r="G4595" s="28" t="s">
        <v>148</v>
      </c>
      <c r="H4595" s="28" t="s">
        <v>453</v>
      </c>
      <c r="I4595" s="29" t="n">
        <v>175000</v>
      </c>
      <c r="J4595" s="29" t="n">
        <v>131250</v>
      </c>
      <c r="K4595" s="28" t="n">
        <v>10</v>
      </c>
      <c r="L4595" s="28" t="n">
        <v>66</v>
      </c>
      <c r="M4595" s="28" t="n">
        <v>4</v>
      </c>
    </row>
    <row r="4596" customFormat="false" ht="15" hidden="false" customHeight="false" outlineLevel="0" collapsed="false">
      <c r="A4596" s="27" t="n">
        <v>45796</v>
      </c>
      <c r="B4596" s="28" t="n">
        <v>2025</v>
      </c>
      <c r="C4596" s="28" t="s">
        <v>196</v>
      </c>
      <c r="D4596" s="28" t="s">
        <v>46</v>
      </c>
      <c r="E4596" s="28" t="s">
        <v>702</v>
      </c>
      <c r="F4596" s="28" t="s">
        <v>142</v>
      </c>
      <c r="G4596" s="28" t="s">
        <v>143</v>
      </c>
      <c r="H4596" s="28" t="s">
        <v>211</v>
      </c>
      <c r="I4596" s="29" t="n">
        <v>566500</v>
      </c>
      <c r="J4596" s="29" t="n">
        <v>424875</v>
      </c>
      <c r="K4596" s="28" t="n">
        <v>9.5</v>
      </c>
      <c r="L4596" s="28" t="n">
        <v>129</v>
      </c>
      <c r="M4596" s="28" t="n">
        <v>4</v>
      </c>
    </row>
    <row r="4597" customFormat="false" ht="15" hidden="false" customHeight="false" outlineLevel="0" collapsed="false">
      <c r="A4597" s="27" t="n">
        <v>45796</v>
      </c>
      <c r="B4597" s="28" t="n">
        <v>2025</v>
      </c>
      <c r="C4597" s="28" t="s">
        <v>467</v>
      </c>
      <c r="D4597" s="28" t="s">
        <v>43</v>
      </c>
      <c r="E4597" s="28" t="s">
        <v>886</v>
      </c>
      <c r="F4597" s="28" t="s">
        <v>142</v>
      </c>
      <c r="G4597" s="28" t="s">
        <v>152</v>
      </c>
      <c r="H4597" s="28" t="s">
        <v>469</v>
      </c>
      <c r="I4597" s="29" t="n">
        <v>510500</v>
      </c>
      <c r="J4597" s="29" t="n">
        <v>382875</v>
      </c>
      <c r="K4597" s="28" t="n">
        <v>7</v>
      </c>
      <c r="L4597" s="28" t="n">
        <v>299</v>
      </c>
      <c r="M4597" s="28" t="n">
        <v>2</v>
      </c>
    </row>
    <row r="4598" customFormat="false" ht="15" hidden="false" customHeight="false" outlineLevel="0" collapsed="false">
      <c r="A4598" s="27" t="n">
        <v>45796</v>
      </c>
      <c r="B4598" s="28" t="n">
        <v>2025</v>
      </c>
      <c r="C4598" s="28" t="s">
        <v>172</v>
      </c>
      <c r="D4598" s="28" t="s">
        <v>56</v>
      </c>
      <c r="E4598" s="28" t="s">
        <v>1095</v>
      </c>
      <c r="F4598" s="28" t="s">
        <v>142</v>
      </c>
      <c r="G4598" s="28" t="s">
        <v>143</v>
      </c>
      <c r="H4598" s="28" t="s">
        <v>211</v>
      </c>
      <c r="I4598" s="29" t="n">
        <v>236000</v>
      </c>
      <c r="J4598" s="29" t="n">
        <v>177000</v>
      </c>
      <c r="K4598" s="28" t="n">
        <v>9.75</v>
      </c>
      <c r="L4598" s="28" t="n">
        <v>120</v>
      </c>
      <c r="M4598" s="28" t="n">
        <v>4</v>
      </c>
    </row>
    <row r="4599" customFormat="false" ht="15" hidden="false" customHeight="false" outlineLevel="0" collapsed="false">
      <c r="A4599" s="27" t="n">
        <v>45796</v>
      </c>
      <c r="B4599" s="28" t="n">
        <v>2025</v>
      </c>
      <c r="C4599" s="28" t="s">
        <v>235</v>
      </c>
      <c r="D4599" s="28" t="s">
        <v>45</v>
      </c>
      <c r="E4599" s="28" t="s">
        <v>1152</v>
      </c>
      <c r="F4599" s="28" t="s">
        <v>147</v>
      </c>
      <c r="G4599" s="28" t="s">
        <v>441</v>
      </c>
      <c r="H4599" s="28" t="s">
        <v>281</v>
      </c>
      <c r="I4599" s="29" t="n">
        <v>75000</v>
      </c>
      <c r="J4599" s="29" t="n">
        <v>37500</v>
      </c>
      <c r="K4599" s="28" t="n">
        <v>9.5</v>
      </c>
      <c r="L4599" s="28" t="n">
        <v>120</v>
      </c>
      <c r="M4599" s="28" t="n">
        <v>13</v>
      </c>
    </row>
    <row r="4600" customFormat="false" ht="15" hidden="false" customHeight="false" outlineLevel="0" collapsed="false">
      <c r="A4600" s="27" t="n">
        <v>45796</v>
      </c>
      <c r="B4600" s="28" t="n">
        <v>2025</v>
      </c>
      <c r="C4600" s="28" t="s">
        <v>312</v>
      </c>
      <c r="D4600" s="28" t="s">
        <v>48</v>
      </c>
      <c r="E4600" s="28" t="s">
        <v>498</v>
      </c>
      <c r="F4600" s="28" t="s">
        <v>142</v>
      </c>
      <c r="G4600" s="28" t="s">
        <v>148</v>
      </c>
      <c r="H4600" s="28" t="s">
        <v>953</v>
      </c>
      <c r="I4600" s="29" t="n">
        <v>3500000</v>
      </c>
      <c r="J4600" s="29" t="n">
        <v>2625000</v>
      </c>
      <c r="K4600" s="28" t="n">
        <v>10.5</v>
      </c>
      <c r="L4600" s="28" t="n">
        <v>120</v>
      </c>
      <c r="M4600" s="28" t="n">
        <v>50</v>
      </c>
    </row>
    <row r="4601" customFormat="false" ht="15" hidden="false" customHeight="false" outlineLevel="0" collapsed="false">
      <c r="A4601" s="27" t="n">
        <v>45797</v>
      </c>
      <c r="B4601" s="28" t="n">
        <v>2025</v>
      </c>
      <c r="C4601" s="28" t="s">
        <v>213</v>
      </c>
      <c r="D4601" s="28" t="s">
        <v>42</v>
      </c>
      <c r="E4601" s="28" t="s">
        <v>784</v>
      </c>
      <c r="F4601" s="28" t="s">
        <v>142</v>
      </c>
      <c r="G4601" s="28" t="s">
        <v>143</v>
      </c>
      <c r="H4601" s="28" t="s">
        <v>1063</v>
      </c>
      <c r="I4601" s="29" t="n">
        <v>465000</v>
      </c>
      <c r="J4601" s="29" t="n">
        <v>348750</v>
      </c>
      <c r="K4601" s="28" t="n">
        <v>10</v>
      </c>
      <c r="L4601" s="28" t="n">
        <v>123</v>
      </c>
      <c r="M4601" s="28" t="n">
        <v>7</v>
      </c>
    </row>
    <row r="4602" customFormat="false" ht="15" hidden="false" customHeight="false" outlineLevel="0" collapsed="false">
      <c r="A4602" s="27" t="n">
        <v>45797</v>
      </c>
      <c r="B4602" s="28" t="n">
        <v>2025</v>
      </c>
      <c r="C4602" s="28" t="s">
        <v>257</v>
      </c>
      <c r="D4602" s="28" t="s">
        <v>45</v>
      </c>
      <c r="E4602" s="28" t="s">
        <v>748</v>
      </c>
      <c r="F4602" s="28" t="s">
        <v>142</v>
      </c>
      <c r="G4602" s="28" t="s">
        <v>152</v>
      </c>
      <c r="H4602" s="28" t="s">
        <v>159</v>
      </c>
      <c r="I4602" s="29" t="n">
        <v>900000</v>
      </c>
      <c r="J4602" s="29" t="n">
        <v>675000</v>
      </c>
      <c r="K4602" s="28" t="n">
        <v>8.75</v>
      </c>
      <c r="L4602" s="28" t="n">
        <v>300</v>
      </c>
      <c r="M4602" s="28" t="n">
        <v>35</v>
      </c>
    </row>
    <row r="4603" customFormat="false" ht="15" hidden="false" customHeight="false" outlineLevel="0" collapsed="false">
      <c r="A4603" s="27" t="n">
        <v>45797</v>
      </c>
      <c r="B4603" s="28" t="n">
        <v>2025</v>
      </c>
      <c r="C4603" s="28" t="s">
        <v>203</v>
      </c>
      <c r="D4603" s="28" t="s">
        <v>42</v>
      </c>
      <c r="E4603" s="28" t="s">
        <v>753</v>
      </c>
      <c r="F4603" s="28" t="s">
        <v>142</v>
      </c>
      <c r="G4603" s="28" t="s">
        <v>143</v>
      </c>
      <c r="H4603" s="28" t="s">
        <v>469</v>
      </c>
      <c r="I4603" s="29" t="n">
        <v>425000</v>
      </c>
      <c r="J4603" s="29" t="n">
        <v>318750</v>
      </c>
      <c r="K4603" s="28" t="n">
        <v>8.5</v>
      </c>
      <c r="L4603" s="28" t="n">
        <v>119</v>
      </c>
      <c r="M4603" s="28" t="n">
        <v>5</v>
      </c>
    </row>
    <row r="4604" customFormat="false" ht="15" hidden="false" customHeight="false" outlineLevel="0" collapsed="false">
      <c r="A4604" s="27" t="n">
        <v>45797</v>
      </c>
      <c r="B4604" s="28" t="n">
        <v>2025</v>
      </c>
      <c r="C4604" s="28" t="s">
        <v>257</v>
      </c>
      <c r="D4604" s="28" t="s">
        <v>45</v>
      </c>
      <c r="E4604" s="28" t="s">
        <v>748</v>
      </c>
      <c r="F4604" s="28" t="s">
        <v>142</v>
      </c>
      <c r="G4604" s="28" t="s">
        <v>152</v>
      </c>
      <c r="H4604" s="28" t="s">
        <v>159</v>
      </c>
      <c r="I4604" s="29" t="n">
        <v>3932000</v>
      </c>
      <c r="J4604" s="29" t="n">
        <v>2949000</v>
      </c>
      <c r="K4604" s="28" t="n">
        <v>8.75</v>
      </c>
      <c r="L4604" s="28" t="n">
        <v>120</v>
      </c>
      <c r="M4604" s="28" t="n">
        <v>35</v>
      </c>
    </row>
    <row r="4605" customFormat="false" ht="15" hidden="false" customHeight="false" outlineLevel="0" collapsed="false">
      <c r="A4605" s="27" t="n">
        <v>45797</v>
      </c>
      <c r="B4605" s="28" t="n">
        <v>2025</v>
      </c>
      <c r="C4605" s="28" t="s">
        <v>312</v>
      </c>
      <c r="D4605" s="28" t="s">
        <v>53</v>
      </c>
      <c r="E4605" s="28" t="s">
        <v>964</v>
      </c>
      <c r="F4605" s="28" t="s">
        <v>147</v>
      </c>
      <c r="G4605" s="28" t="s">
        <v>148</v>
      </c>
      <c r="H4605" s="28" t="s">
        <v>1153</v>
      </c>
      <c r="I4605" s="29" t="n">
        <v>300000</v>
      </c>
      <c r="J4605" s="29" t="n">
        <v>150000</v>
      </c>
      <c r="K4605" s="28" t="n">
        <v>8</v>
      </c>
      <c r="L4605" s="28" t="n">
        <v>120</v>
      </c>
      <c r="M4605" s="28" t="n">
        <v>13</v>
      </c>
    </row>
    <row r="4606" customFormat="false" ht="15" hidden="false" customHeight="false" outlineLevel="0" collapsed="false">
      <c r="A4606" s="27" t="n">
        <v>45797</v>
      </c>
      <c r="B4606" s="28" t="n">
        <v>2025</v>
      </c>
      <c r="C4606" s="28" t="s">
        <v>198</v>
      </c>
      <c r="D4606" s="28" t="s">
        <v>43</v>
      </c>
      <c r="E4606" s="28" t="s">
        <v>811</v>
      </c>
      <c r="F4606" s="28" t="s">
        <v>142</v>
      </c>
      <c r="G4606" s="28" t="s">
        <v>148</v>
      </c>
      <c r="H4606" s="28" t="s">
        <v>211</v>
      </c>
      <c r="I4606" s="29" t="n">
        <v>500000</v>
      </c>
      <c r="J4606" s="29" t="n">
        <v>375000</v>
      </c>
      <c r="K4606" s="28" t="n">
        <v>10.25</v>
      </c>
      <c r="L4606" s="28" t="n">
        <v>120</v>
      </c>
      <c r="M4606" s="28" t="n">
        <v>11</v>
      </c>
    </row>
    <row r="4607" customFormat="false" ht="15" hidden="false" customHeight="false" outlineLevel="0" collapsed="false">
      <c r="A4607" s="27" t="n">
        <v>45797</v>
      </c>
      <c r="B4607" s="28" t="n">
        <v>2025</v>
      </c>
      <c r="C4607" s="28" t="s">
        <v>365</v>
      </c>
      <c r="D4607" s="28" t="s">
        <v>43</v>
      </c>
      <c r="E4607" s="28" t="s">
        <v>858</v>
      </c>
      <c r="F4607" s="28" t="s">
        <v>142</v>
      </c>
      <c r="G4607" s="28" t="s">
        <v>148</v>
      </c>
      <c r="H4607" s="28" t="s">
        <v>771</v>
      </c>
      <c r="I4607" s="29" t="n">
        <v>142200</v>
      </c>
      <c r="J4607" s="29" t="n">
        <v>120870</v>
      </c>
      <c r="K4607" s="28" t="n">
        <v>10.25</v>
      </c>
      <c r="L4607" s="28" t="n">
        <v>120</v>
      </c>
      <c r="M4607" s="28" t="n">
        <v>12</v>
      </c>
    </row>
    <row r="4608" customFormat="false" ht="15" hidden="false" customHeight="false" outlineLevel="0" collapsed="false">
      <c r="A4608" s="27" t="n">
        <v>45797</v>
      </c>
      <c r="B4608" s="28" t="n">
        <v>2025</v>
      </c>
      <c r="C4608" s="28" t="s">
        <v>243</v>
      </c>
      <c r="D4608" s="28" t="s">
        <v>48</v>
      </c>
      <c r="E4608" s="28" t="s">
        <v>762</v>
      </c>
      <c r="F4608" s="28" t="s">
        <v>142</v>
      </c>
      <c r="G4608" s="28" t="s">
        <v>143</v>
      </c>
      <c r="H4608" s="28" t="s">
        <v>144</v>
      </c>
      <c r="I4608" s="29" t="n">
        <v>5000000</v>
      </c>
      <c r="J4608" s="29" t="n">
        <v>3750000</v>
      </c>
      <c r="K4608" s="28" t="n">
        <v>7.75</v>
      </c>
      <c r="L4608" s="28" t="n">
        <v>129</v>
      </c>
      <c r="M4608" s="28" t="n">
        <v>80</v>
      </c>
    </row>
    <row r="4609" customFormat="false" ht="15" hidden="false" customHeight="false" outlineLevel="0" collapsed="false">
      <c r="A4609" s="27" t="n">
        <v>45797</v>
      </c>
      <c r="B4609" s="28" t="n">
        <v>2025</v>
      </c>
      <c r="C4609" s="28" t="s">
        <v>163</v>
      </c>
      <c r="D4609" s="28" t="s">
        <v>46</v>
      </c>
      <c r="E4609" s="28" t="s">
        <v>813</v>
      </c>
      <c r="F4609" s="28" t="s">
        <v>142</v>
      </c>
      <c r="G4609" s="28" t="s">
        <v>148</v>
      </c>
      <c r="H4609" s="28" t="s">
        <v>771</v>
      </c>
      <c r="I4609" s="29" t="n">
        <v>250000</v>
      </c>
      <c r="J4609" s="29" t="n">
        <v>187500</v>
      </c>
      <c r="K4609" s="28" t="n">
        <v>10.25</v>
      </c>
      <c r="L4609" s="28" t="n">
        <v>120</v>
      </c>
      <c r="M4609" s="28" t="n">
        <v>2</v>
      </c>
    </row>
    <row r="4610" customFormat="false" ht="15" hidden="false" customHeight="false" outlineLevel="0" collapsed="false">
      <c r="A4610" s="27" t="n">
        <v>45797</v>
      </c>
      <c r="B4610" s="28" t="n">
        <v>2025</v>
      </c>
      <c r="C4610" s="28" t="s">
        <v>172</v>
      </c>
      <c r="D4610" s="28" t="s">
        <v>48</v>
      </c>
      <c r="E4610" s="28" t="s">
        <v>765</v>
      </c>
      <c r="F4610" s="28" t="s">
        <v>147</v>
      </c>
      <c r="G4610" s="28" t="s">
        <v>152</v>
      </c>
      <c r="H4610" s="28" t="s">
        <v>159</v>
      </c>
      <c r="I4610" s="29" t="n">
        <v>100000</v>
      </c>
      <c r="J4610" s="29" t="n">
        <v>50000</v>
      </c>
      <c r="K4610" s="28" t="n">
        <v>9.5</v>
      </c>
      <c r="L4610" s="28" t="n">
        <v>120</v>
      </c>
      <c r="M4610" s="28" t="n">
        <v>17</v>
      </c>
    </row>
    <row r="4611" customFormat="false" ht="15" hidden="false" customHeight="false" outlineLevel="0" collapsed="false">
      <c r="A4611" s="27" t="n">
        <v>45798</v>
      </c>
      <c r="B4611" s="28" t="n">
        <v>2025</v>
      </c>
      <c r="C4611" s="28" t="s">
        <v>145</v>
      </c>
      <c r="D4611" s="28" t="s">
        <v>48</v>
      </c>
      <c r="E4611" s="28" t="s">
        <v>797</v>
      </c>
      <c r="F4611" s="28" t="s">
        <v>142</v>
      </c>
      <c r="G4611" s="28" t="s">
        <v>148</v>
      </c>
      <c r="H4611" s="28" t="s">
        <v>953</v>
      </c>
      <c r="I4611" s="29" t="n">
        <v>400000</v>
      </c>
      <c r="J4611" s="29" t="n">
        <v>300000</v>
      </c>
      <c r="K4611" s="28" t="n">
        <v>10.5</v>
      </c>
      <c r="L4611" s="28" t="n">
        <v>120</v>
      </c>
      <c r="M4611" s="28" t="n">
        <v>4</v>
      </c>
    </row>
    <row r="4612" customFormat="false" ht="15" hidden="false" customHeight="false" outlineLevel="0" collapsed="false">
      <c r="A4612" s="27" t="n">
        <v>45798</v>
      </c>
      <c r="B4612" s="28" t="n">
        <v>2025</v>
      </c>
      <c r="C4612" s="28" t="s">
        <v>169</v>
      </c>
      <c r="D4612" s="28" t="s">
        <v>42</v>
      </c>
      <c r="E4612" s="28" t="s">
        <v>717</v>
      </c>
      <c r="F4612" s="28" t="s">
        <v>142</v>
      </c>
      <c r="G4612" s="28" t="s">
        <v>148</v>
      </c>
      <c r="H4612" s="28" t="s">
        <v>506</v>
      </c>
      <c r="I4612" s="29" t="n">
        <v>1030000</v>
      </c>
      <c r="J4612" s="29" t="n">
        <v>772500</v>
      </c>
      <c r="K4612" s="28" t="n">
        <v>10.25</v>
      </c>
      <c r="L4612" s="28" t="n">
        <v>300</v>
      </c>
      <c r="M4612" s="28" t="n">
        <v>8</v>
      </c>
    </row>
    <row r="4613" customFormat="false" ht="15" hidden="false" customHeight="false" outlineLevel="0" collapsed="false">
      <c r="A4613" s="27" t="n">
        <v>45798</v>
      </c>
      <c r="B4613" s="28" t="n">
        <v>2025</v>
      </c>
      <c r="C4613" s="28" t="s">
        <v>163</v>
      </c>
      <c r="D4613" s="28" t="s">
        <v>45</v>
      </c>
      <c r="E4613" s="28" t="s">
        <v>740</v>
      </c>
      <c r="F4613" s="28" t="s">
        <v>142</v>
      </c>
      <c r="G4613" s="28" t="s">
        <v>148</v>
      </c>
      <c r="H4613" s="28" t="s">
        <v>144</v>
      </c>
      <c r="I4613" s="29" t="n">
        <v>170000</v>
      </c>
      <c r="J4613" s="29" t="n">
        <v>127500</v>
      </c>
      <c r="K4613" s="28" t="n">
        <v>12.99</v>
      </c>
      <c r="L4613" s="28" t="n">
        <v>120</v>
      </c>
      <c r="M4613" s="28" t="n">
        <v>7</v>
      </c>
    </row>
    <row r="4614" customFormat="false" ht="15" hidden="false" customHeight="false" outlineLevel="0" collapsed="false">
      <c r="A4614" s="27" t="n">
        <v>45799</v>
      </c>
      <c r="B4614" s="28" t="n">
        <v>2025</v>
      </c>
      <c r="C4614" s="28" t="s">
        <v>172</v>
      </c>
      <c r="D4614" s="28" t="s">
        <v>44</v>
      </c>
      <c r="E4614" s="28" t="s">
        <v>167</v>
      </c>
      <c r="F4614" s="28" t="s">
        <v>142</v>
      </c>
      <c r="G4614" s="28" t="s">
        <v>152</v>
      </c>
      <c r="H4614" s="28" t="s">
        <v>144</v>
      </c>
      <c r="I4614" s="29" t="n">
        <v>500000</v>
      </c>
      <c r="J4614" s="29" t="n">
        <v>375000</v>
      </c>
      <c r="K4614" s="28" t="n">
        <v>9.99</v>
      </c>
      <c r="L4614" s="28" t="n">
        <v>120</v>
      </c>
      <c r="M4614" s="28" t="n">
        <v>1</v>
      </c>
    </row>
    <row r="4615" customFormat="false" ht="15" hidden="false" customHeight="false" outlineLevel="0" collapsed="false">
      <c r="A4615" s="27" t="n">
        <v>45799</v>
      </c>
      <c r="B4615" s="28" t="n">
        <v>2025</v>
      </c>
      <c r="C4615" s="28" t="s">
        <v>252</v>
      </c>
      <c r="D4615" s="28" t="s">
        <v>42</v>
      </c>
      <c r="E4615" s="28" t="s">
        <v>753</v>
      </c>
      <c r="F4615" s="28" t="s">
        <v>142</v>
      </c>
      <c r="G4615" s="28" t="s">
        <v>143</v>
      </c>
      <c r="H4615" s="28" t="s">
        <v>168</v>
      </c>
      <c r="I4615" s="29" t="n">
        <v>558500</v>
      </c>
      <c r="J4615" s="29" t="n">
        <v>418875</v>
      </c>
      <c r="K4615" s="28" t="n">
        <v>8.5</v>
      </c>
      <c r="L4615" s="28" t="n">
        <v>132</v>
      </c>
      <c r="M4615" s="28" t="n">
        <v>0</v>
      </c>
    </row>
    <row r="4616" customFormat="false" ht="15" hidden="false" customHeight="false" outlineLevel="0" collapsed="false">
      <c r="A4616" s="27" t="n">
        <v>45799</v>
      </c>
      <c r="B4616" s="28" t="n">
        <v>2025</v>
      </c>
      <c r="C4616" s="28" t="s">
        <v>203</v>
      </c>
      <c r="D4616" s="28" t="s">
        <v>46</v>
      </c>
      <c r="E4616" s="28" t="s">
        <v>813</v>
      </c>
      <c r="F4616" s="28" t="s">
        <v>142</v>
      </c>
      <c r="G4616" s="28" t="s">
        <v>152</v>
      </c>
      <c r="H4616" s="28" t="s">
        <v>845</v>
      </c>
      <c r="I4616" s="29" t="n">
        <v>4900000</v>
      </c>
      <c r="J4616" s="29" t="n">
        <v>3675000</v>
      </c>
      <c r="K4616" s="28" t="n">
        <v>9</v>
      </c>
      <c r="L4616" s="28" t="n">
        <v>120</v>
      </c>
      <c r="M4616" s="28" t="n">
        <v>12</v>
      </c>
    </row>
    <row r="4617" customFormat="false" ht="15" hidden="false" customHeight="false" outlineLevel="0" collapsed="false">
      <c r="A4617" s="27" t="n">
        <v>45799</v>
      </c>
      <c r="B4617" s="28" t="n">
        <v>2025</v>
      </c>
      <c r="C4617" s="28" t="s">
        <v>203</v>
      </c>
      <c r="D4617" s="28" t="s">
        <v>46</v>
      </c>
      <c r="E4617" s="28" t="s">
        <v>813</v>
      </c>
      <c r="F4617" s="28" t="s">
        <v>147</v>
      </c>
      <c r="G4617" s="28" t="s">
        <v>152</v>
      </c>
      <c r="H4617" s="28" t="s">
        <v>845</v>
      </c>
      <c r="I4617" s="29" t="n">
        <v>100000</v>
      </c>
      <c r="J4617" s="29" t="n">
        <v>50000</v>
      </c>
      <c r="K4617" s="28" t="n">
        <v>9</v>
      </c>
      <c r="L4617" s="28" t="n">
        <v>120</v>
      </c>
      <c r="M4617" s="28" t="n">
        <v>12</v>
      </c>
    </row>
    <row r="4618" customFormat="false" ht="15" hidden="false" customHeight="false" outlineLevel="0" collapsed="false">
      <c r="A4618" s="27" t="n">
        <v>45799</v>
      </c>
      <c r="B4618" s="28" t="n">
        <v>2025</v>
      </c>
      <c r="C4618" s="28" t="s">
        <v>203</v>
      </c>
      <c r="D4618" s="28" t="s">
        <v>45</v>
      </c>
      <c r="E4618" s="28" t="s">
        <v>874</v>
      </c>
      <c r="F4618" s="28" t="s">
        <v>142</v>
      </c>
      <c r="G4618" s="28" t="s">
        <v>143</v>
      </c>
      <c r="H4618" s="28" t="s">
        <v>621</v>
      </c>
      <c r="I4618" s="29" t="n">
        <v>400000</v>
      </c>
      <c r="J4618" s="29" t="n">
        <v>300000</v>
      </c>
      <c r="K4618" s="28" t="n">
        <v>10.25</v>
      </c>
      <c r="L4618" s="28" t="n">
        <v>120</v>
      </c>
      <c r="M4618" s="28" t="n">
        <v>7</v>
      </c>
    </row>
    <row r="4619" customFormat="false" ht="15" hidden="false" customHeight="false" outlineLevel="0" collapsed="false">
      <c r="A4619" s="27" t="n">
        <v>45799</v>
      </c>
      <c r="B4619" s="28" t="n">
        <v>2025</v>
      </c>
      <c r="C4619" s="28" t="s">
        <v>312</v>
      </c>
      <c r="D4619" s="28" t="s">
        <v>48</v>
      </c>
      <c r="E4619" s="28" t="s">
        <v>498</v>
      </c>
      <c r="F4619" s="28" t="s">
        <v>147</v>
      </c>
      <c r="G4619" s="28" t="s">
        <v>148</v>
      </c>
      <c r="H4619" s="28" t="s">
        <v>953</v>
      </c>
      <c r="I4619" s="29" t="n">
        <v>500000</v>
      </c>
      <c r="J4619" s="29" t="n">
        <v>250000</v>
      </c>
      <c r="K4619" s="28" t="n">
        <v>10.5</v>
      </c>
      <c r="L4619" s="28" t="n">
        <v>120</v>
      </c>
      <c r="M4619" s="28" t="n">
        <v>50</v>
      </c>
    </row>
    <row r="4620" customFormat="false" ht="15" hidden="false" customHeight="false" outlineLevel="0" collapsed="false">
      <c r="A4620" s="27" t="n">
        <v>45799</v>
      </c>
      <c r="B4620" s="28" t="n">
        <v>2025</v>
      </c>
      <c r="C4620" s="28" t="s">
        <v>169</v>
      </c>
      <c r="D4620" s="28" t="s">
        <v>50</v>
      </c>
      <c r="E4620" s="28" t="s">
        <v>389</v>
      </c>
      <c r="F4620" s="28" t="s">
        <v>147</v>
      </c>
      <c r="G4620" s="28" t="s">
        <v>148</v>
      </c>
      <c r="H4620" s="28" t="s">
        <v>205</v>
      </c>
      <c r="I4620" s="29" t="n">
        <v>85000</v>
      </c>
      <c r="J4620" s="29" t="n">
        <v>42500</v>
      </c>
      <c r="K4620" s="28" t="n">
        <v>10.5</v>
      </c>
      <c r="L4620" s="28" t="n">
        <v>120</v>
      </c>
      <c r="M4620" s="28" t="n">
        <v>2</v>
      </c>
    </row>
    <row r="4621" customFormat="false" ht="15" hidden="false" customHeight="false" outlineLevel="0" collapsed="false">
      <c r="A4621" s="27" t="n">
        <v>45799</v>
      </c>
      <c r="B4621" s="28" t="n">
        <v>2025</v>
      </c>
      <c r="C4621" s="28" t="s">
        <v>243</v>
      </c>
      <c r="D4621" s="28" t="s">
        <v>43</v>
      </c>
      <c r="E4621" s="28" t="s">
        <v>197</v>
      </c>
      <c r="F4621" s="28" t="s">
        <v>147</v>
      </c>
      <c r="G4621" s="28" t="s">
        <v>148</v>
      </c>
      <c r="H4621" s="28" t="s">
        <v>159</v>
      </c>
      <c r="I4621" s="29" t="n">
        <v>50000</v>
      </c>
      <c r="J4621" s="29" t="n">
        <v>25000</v>
      </c>
      <c r="K4621" s="28" t="n">
        <v>9.74</v>
      </c>
      <c r="L4621" s="28" t="n">
        <v>60</v>
      </c>
      <c r="M4621" s="28" t="n">
        <v>3</v>
      </c>
    </row>
    <row r="4622" customFormat="false" ht="15" hidden="false" customHeight="false" outlineLevel="0" collapsed="false">
      <c r="A4622" s="27" t="n">
        <v>45799</v>
      </c>
      <c r="B4622" s="28" t="n">
        <v>2025</v>
      </c>
      <c r="C4622" s="28" t="s">
        <v>384</v>
      </c>
      <c r="D4622" s="28" t="s">
        <v>44</v>
      </c>
      <c r="E4622" s="28" t="s">
        <v>755</v>
      </c>
      <c r="F4622" s="28" t="s">
        <v>142</v>
      </c>
      <c r="G4622" s="28" t="s">
        <v>143</v>
      </c>
      <c r="H4622" s="28" t="s">
        <v>621</v>
      </c>
      <c r="I4622" s="29" t="n">
        <v>710000</v>
      </c>
      <c r="J4622" s="29" t="n">
        <v>532500</v>
      </c>
      <c r="K4622" s="28" t="n">
        <v>10</v>
      </c>
      <c r="L4622" s="28" t="n">
        <v>132</v>
      </c>
      <c r="M4622" s="28" t="n">
        <v>5</v>
      </c>
    </row>
    <row r="4623" customFormat="false" ht="15" hidden="false" customHeight="false" outlineLevel="0" collapsed="false">
      <c r="A4623" s="27" t="n">
        <v>45800</v>
      </c>
      <c r="B4623" s="28" t="n">
        <v>2025</v>
      </c>
      <c r="C4623" s="28" t="s">
        <v>834</v>
      </c>
      <c r="D4623" s="28" t="s">
        <v>46</v>
      </c>
      <c r="E4623" s="28" t="s">
        <v>727</v>
      </c>
      <c r="F4623" s="28" t="s">
        <v>142</v>
      </c>
      <c r="G4623" s="28" t="s">
        <v>143</v>
      </c>
      <c r="H4623" s="28" t="s">
        <v>469</v>
      </c>
      <c r="I4623" s="29" t="n">
        <v>103200</v>
      </c>
      <c r="J4623" s="29" t="n">
        <v>87720</v>
      </c>
      <c r="K4623" s="28" t="n">
        <v>6.55</v>
      </c>
      <c r="L4623" s="28" t="n">
        <v>179</v>
      </c>
      <c r="M4623" s="28" t="n">
        <v>0</v>
      </c>
    </row>
    <row r="4624" customFormat="false" ht="15" hidden="false" customHeight="false" outlineLevel="0" collapsed="false">
      <c r="A4624" s="27" t="n">
        <v>45800</v>
      </c>
      <c r="B4624" s="28" t="n">
        <v>2025</v>
      </c>
      <c r="C4624" s="28" t="s">
        <v>172</v>
      </c>
      <c r="D4624" s="28" t="s">
        <v>48</v>
      </c>
      <c r="E4624" s="28" t="s">
        <v>815</v>
      </c>
      <c r="F4624" s="28" t="s">
        <v>142</v>
      </c>
      <c r="G4624" s="28" t="s">
        <v>148</v>
      </c>
      <c r="H4624" s="28" t="s">
        <v>171</v>
      </c>
      <c r="I4624" s="29" t="n">
        <v>66000</v>
      </c>
      <c r="J4624" s="29" t="n">
        <v>56100</v>
      </c>
      <c r="K4624" s="28" t="n">
        <v>12.25</v>
      </c>
      <c r="L4624" s="28" t="n">
        <v>120</v>
      </c>
      <c r="M4624" s="28" t="n">
        <v>2</v>
      </c>
    </row>
    <row r="4625" customFormat="false" ht="15" hidden="false" customHeight="false" outlineLevel="0" collapsed="false">
      <c r="A4625" s="27" t="n">
        <v>45800</v>
      </c>
      <c r="B4625" s="28" t="n">
        <v>2025</v>
      </c>
      <c r="C4625" s="28" t="s">
        <v>500</v>
      </c>
      <c r="D4625" s="28" t="s">
        <v>49</v>
      </c>
      <c r="E4625" s="28" t="s">
        <v>710</v>
      </c>
      <c r="F4625" s="28" t="s">
        <v>147</v>
      </c>
      <c r="G4625" s="28" t="s">
        <v>148</v>
      </c>
      <c r="H4625" s="28" t="s">
        <v>291</v>
      </c>
      <c r="I4625" s="29" t="n">
        <v>500000</v>
      </c>
      <c r="J4625" s="29" t="n">
        <v>250000</v>
      </c>
      <c r="K4625" s="28" t="n">
        <v>9.5</v>
      </c>
      <c r="L4625" s="28" t="n">
        <v>120</v>
      </c>
      <c r="M4625" s="28" t="n">
        <v>39</v>
      </c>
    </row>
    <row r="4626" customFormat="false" ht="15" hidden="false" customHeight="false" outlineLevel="0" collapsed="false">
      <c r="A4626" s="27" t="n">
        <v>45800</v>
      </c>
      <c r="B4626" s="28" t="n">
        <v>2025</v>
      </c>
      <c r="C4626" s="28" t="s">
        <v>201</v>
      </c>
      <c r="D4626" s="28" t="s">
        <v>49</v>
      </c>
      <c r="E4626" s="28" t="s">
        <v>804</v>
      </c>
      <c r="F4626" s="28" t="s">
        <v>142</v>
      </c>
      <c r="G4626" s="28" t="s">
        <v>148</v>
      </c>
      <c r="H4626" s="28" t="s">
        <v>165</v>
      </c>
      <c r="I4626" s="29" t="n">
        <v>5000000</v>
      </c>
      <c r="J4626" s="29" t="n">
        <v>3750000</v>
      </c>
      <c r="K4626" s="28" t="n">
        <v>8.75</v>
      </c>
      <c r="L4626" s="28" t="n">
        <v>120</v>
      </c>
      <c r="M4626" s="28" t="n">
        <v>36</v>
      </c>
    </row>
    <row r="4627" customFormat="false" ht="15" hidden="false" customHeight="false" outlineLevel="0" collapsed="false">
      <c r="A4627" s="27" t="n">
        <v>45800</v>
      </c>
      <c r="B4627" s="28" t="n">
        <v>2025</v>
      </c>
      <c r="C4627" s="28" t="s">
        <v>172</v>
      </c>
      <c r="D4627" s="28" t="s">
        <v>42</v>
      </c>
      <c r="E4627" s="28" t="s">
        <v>753</v>
      </c>
      <c r="F4627" s="28" t="s">
        <v>142</v>
      </c>
      <c r="G4627" s="28" t="s">
        <v>143</v>
      </c>
      <c r="H4627" s="28" t="s">
        <v>211</v>
      </c>
      <c r="I4627" s="29" t="n">
        <v>380100</v>
      </c>
      <c r="J4627" s="29" t="n">
        <v>285075</v>
      </c>
      <c r="K4627" s="28" t="n">
        <v>10.25</v>
      </c>
      <c r="L4627" s="28" t="n">
        <v>120</v>
      </c>
      <c r="M4627" s="28" t="n">
        <v>4</v>
      </c>
    </row>
    <row r="4628" customFormat="false" ht="15" hidden="false" customHeight="false" outlineLevel="0" collapsed="false">
      <c r="A4628" s="27" t="n">
        <v>45800</v>
      </c>
      <c r="B4628" s="28" t="n">
        <v>2025</v>
      </c>
      <c r="C4628" s="28" t="s">
        <v>196</v>
      </c>
      <c r="D4628" s="28" t="s">
        <v>48</v>
      </c>
      <c r="E4628" s="28" t="s">
        <v>210</v>
      </c>
      <c r="F4628" s="28" t="s">
        <v>142</v>
      </c>
      <c r="G4628" s="28" t="s">
        <v>148</v>
      </c>
      <c r="H4628" s="28" t="s">
        <v>1150</v>
      </c>
      <c r="I4628" s="29" t="n">
        <v>500000</v>
      </c>
      <c r="J4628" s="29" t="n">
        <v>375000</v>
      </c>
      <c r="K4628" s="28" t="n">
        <v>10.25</v>
      </c>
      <c r="L4628" s="28" t="n">
        <v>120</v>
      </c>
      <c r="M4628" s="28" t="n">
        <v>9</v>
      </c>
    </row>
    <row r="4629" customFormat="false" ht="15" hidden="false" customHeight="false" outlineLevel="0" collapsed="false">
      <c r="A4629" s="27" t="n">
        <v>45800</v>
      </c>
      <c r="B4629" s="28" t="n">
        <v>2025</v>
      </c>
      <c r="C4629" s="28" t="s">
        <v>160</v>
      </c>
      <c r="D4629" s="28" t="s">
        <v>48</v>
      </c>
      <c r="E4629" s="28" t="s">
        <v>762</v>
      </c>
      <c r="F4629" s="28" t="s">
        <v>142</v>
      </c>
      <c r="G4629" s="28" t="s">
        <v>143</v>
      </c>
      <c r="H4629" s="28" t="s">
        <v>144</v>
      </c>
      <c r="I4629" s="29" t="n">
        <v>5000000</v>
      </c>
      <c r="J4629" s="29" t="n">
        <v>3750000</v>
      </c>
      <c r="K4629" s="28" t="n">
        <v>7.25</v>
      </c>
      <c r="L4629" s="28" t="n">
        <v>312</v>
      </c>
      <c r="M4629" s="28" t="n">
        <v>16</v>
      </c>
    </row>
    <row r="4630" customFormat="false" ht="15" hidden="false" customHeight="false" outlineLevel="0" collapsed="false">
      <c r="A4630" s="27" t="n">
        <v>45800</v>
      </c>
      <c r="B4630" s="28" t="n">
        <v>2025</v>
      </c>
      <c r="C4630" s="28" t="s">
        <v>500</v>
      </c>
      <c r="D4630" s="28" t="s">
        <v>49</v>
      </c>
      <c r="E4630" s="28" t="s">
        <v>710</v>
      </c>
      <c r="F4630" s="28" t="s">
        <v>142</v>
      </c>
      <c r="G4630" s="28" t="s">
        <v>148</v>
      </c>
      <c r="H4630" s="28" t="s">
        <v>291</v>
      </c>
      <c r="I4630" s="29" t="n">
        <v>2266000</v>
      </c>
      <c r="J4630" s="29" t="n">
        <v>1699500</v>
      </c>
      <c r="K4630" s="28" t="n">
        <v>9.5</v>
      </c>
      <c r="L4630" s="28" t="n">
        <v>120</v>
      </c>
      <c r="M4630" s="28" t="n">
        <v>39</v>
      </c>
    </row>
    <row r="4631" customFormat="false" ht="15" hidden="false" customHeight="false" outlineLevel="0" collapsed="false">
      <c r="A4631" s="27" t="n">
        <v>45800</v>
      </c>
      <c r="B4631" s="28" t="n">
        <v>2025</v>
      </c>
      <c r="C4631" s="28" t="s">
        <v>172</v>
      </c>
      <c r="D4631" s="28" t="s">
        <v>51</v>
      </c>
      <c r="E4631" s="28" t="s">
        <v>779</v>
      </c>
      <c r="F4631" s="28" t="s">
        <v>147</v>
      </c>
      <c r="G4631" s="28" t="s">
        <v>441</v>
      </c>
      <c r="H4631" s="28" t="s">
        <v>159</v>
      </c>
      <c r="I4631" s="29" t="n">
        <v>25000</v>
      </c>
      <c r="J4631" s="29" t="n">
        <v>12500</v>
      </c>
      <c r="K4631" s="28" t="n">
        <v>14</v>
      </c>
      <c r="L4631" s="28" t="n">
        <v>120</v>
      </c>
      <c r="M4631" s="28" t="n">
        <v>8</v>
      </c>
    </row>
    <row r="4632" customFormat="false" ht="15" hidden="false" customHeight="false" outlineLevel="0" collapsed="false">
      <c r="A4632" s="27" t="n">
        <v>45800</v>
      </c>
      <c r="B4632" s="28" t="n">
        <v>2025</v>
      </c>
      <c r="C4632" s="28" t="s">
        <v>172</v>
      </c>
      <c r="D4632" s="28" t="s">
        <v>42</v>
      </c>
      <c r="E4632" s="28" t="s">
        <v>753</v>
      </c>
      <c r="F4632" s="28" t="s">
        <v>147</v>
      </c>
      <c r="G4632" s="28" t="s">
        <v>143</v>
      </c>
      <c r="H4632" s="28" t="s">
        <v>211</v>
      </c>
      <c r="I4632" s="29" t="n">
        <v>40000</v>
      </c>
      <c r="J4632" s="29" t="n">
        <v>20000</v>
      </c>
      <c r="K4632" s="28" t="n">
        <v>10.25</v>
      </c>
      <c r="L4632" s="28" t="n">
        <v>120</v>
      </c>
      <c r="M4632" s="28" t="n">
        <v>4</v>
      </c>
    </row>
    <row r="4633" customFormat="false" ht="15" hidden="false" customHeight="false" outlineLevel="0" collapsed="false">
      <c r="A4633" s="27" t="n">
        <v>45803</v>
      </c>
      <c r="B4633" s="28" t="n">
        <v>2025</v>
      </c>
      <c r="C4633" s="28" t="s">
        <v>172</v>
      </c>
      <c r="D4633" s="28" t="s">
        <v>45</v>
      </c>
      <c r="E4633" s="28" t="s">
        <v>713</v>
      </c>
      <c r="F4633" s="28" t="s">
        <v>142</v>
      </c>
      <c r="G4633" s="28" t="s">
        <v>148</v>
      </c>
      <c r="H4633" s="28" t="s">
        <v>171</v>
      </c>
      <c r="I4633" s="29" t="n">
        <v>150000</v>
      </c>
      <c r="J4633" s="29" t="n">
        <v>127500</v>
      </c>
      <c r="K4633" s="28" t="n">
        <v>12.25</v>
      </c>
      <c r="L4633" s="28" t="n">
        <v>120</v>
      </c>
      <c r="M4633" s="28" t="n">
        <v>4</v>
      </c>
    </row>
    <row r="4634" customFormat="false" ht="15" hidden="false" customHeight="false" outlineLevel="0" collapsed="false">
      <c r="A4634" s="27" t="n">
        <v>45804</v>
      </c>
      <c r="B4634" s="28" t="n">
        <v>2025</v>
      </c>
      <c r="C4634" s="28" t="s">
        <v>423</v>
      </c>
      <c r="D4634" s="28" t="s">
        <v>45</v>
      </c>
      <c r="E4634" s="28" t="s">
        <v>293</v>
      </c>
      <c r="F4634" s="28" t="s">
        <v>142</v>
      </c>
      <c r="G4634" s="28" t="s">
        <v>148</v>
      </c>
      <c r="H4634" s="28" t="s">
        <v>227</v>
      </c>
      <c r="I4634" s="29" t="n">
        <v>1050000</v>
      </c>
      <c r="J4634" s="29" t="n">
        <v>787500</v>
      </c>
      <c r="K4634" s="28" t="n">
        <v>10.25</v>
      </c>
      <c r="L4634" s="28" t="n">
        <v>120</v>
      </c>
      <c r="M4634" s="28" t="n">
        <v>6</v>
      </c>
    </row>
    <row r="4635" customFormat="false" ht="15" hidden="false" customHeight="false" outlineLevel="0" collapsed="false">
      <c r="A4635" s="27" t="n">
        <v>45804</v>
      </c>
      <c r="B4635" s="28" t="n">
        <v>2025</v>
      </c>
      <c r="C4635" s="28" t="s">
        <v>510</v>
      </c>
      <c r="D4635" s="28" t="s">
        <v>50</v>
      </c>
      <c r="E4635" s="28" t="s">
        <v>193</v>
      </c>
      <c r="F4635" s="28" t="s">
        <v>147</v>
      </c>
      <c r="G4635" s="28" t="s">
        <v>143</v>
      </c>
      <c r="H4635" s="28" t="s">
        <v>469</v>
      </c>
      <c r="I4635" s="29" t="n">
        <v>85500</v>
      </c>
      <c r="J4635" s="29" t="n">
        <v>42750</v>
      </c>
      <c r="K4635" s="28" t="n">
        <v>6.75</v>
      </c>
      <c r="L4635" s="28" t="n">
        <v>83</v>
      </c>
      <c r="M4635" s="28" t="n">
        <v>1</v>
      </c>
    </row>
    <row r="4636" customFormat="false" ht="15" hidden="false" customHeight="false" outlineLevel="0" collapsed="false">
      <c r="A4636" s="27" t="n">
        <v>45804</v>
      </c>
      <c r="B4636" s="28" t="n">
        <v>2025</v>
      </c>
      <c r="C4636" s="28" t="s">
        <v>203</v>
      </c>
      <c r="D4636" s="28" t="s">
        <v>44</v>
      </c>
      <c r="E4636" s="28" t="s">
        <v>863</v>
      </c>
      <c r="F4636" s="28" t="s">
        <v>142</v>
      </c>
      <c r="G4636" s="28" t="s">
        <v>143</v>
      </c>
      <c r="H4636" s="28" t="s">
        <v>621</v>
      </c>
      <c r="I4636" s="29" t="n">
        <v>260000</v>
      </c>
      <c r="J4636" s="29" t="n">
        <v>195000</v>
      </c>
      <c r="K4636" s="28" t="n">
        <v>10</v>
      </c>
      <c r="L4636" s="28" t="n">
        <v>131</v>
      </c>
      <c r="M4636" s="28" t="n">
        <v>2</v>
      </c>
    </row>
    <row r="4637" customFormat="false" ht="15" hidden="false" customHeight="false" outlineLevel="0" collapsed="false">
      <c r="A4637" s="27" t="n">
        <v>45804</v>
      </c>
      <c r="B4637" s="28" t="n">
        <v>2025</v>
      </c>
      <c r="C4637" s="28" t="s">
        <v>140</v>
      </c>
      <c r="D4637" s="28" t="s">
        <v>48</v>
      </c>
      <c r="E4637" s="28" t="s">
        <v>736</v>
      </c>
      <c r="F4637" s="28" t="s">
        <v>142</v>
      </c>
      <c r="G4637" s="28" t="s">
        <v>148</v>
      </c>
      <c r="H4637" s="28" t="s">
        <v>953</v>
      </c>
      <c r="I4637" s="29" t="n">
        <v>500000</v>
      </c>
      <c r="J4637" s="29" t="n">
        <v>375000</v>
      </c>
      <c r="K4637" s="28" t="n">
        <v>10.5</v>
      </c>
      <c r="L4637" s="28" t="n">
        <v>120</v>
      </c>
      <c r="M4637" s="28" t="n">
        <v>12</v>
      </c>
    </row>
    <row r="4638" customFormat="false" ht="15" hidden="false" customHeight="false" outlineLevel="0" collapsed="false">
      <c r="A4638" s="27" t="n">
        <v>45804</v>
      </c>
      <c r="B4638" s="28" t="n">
        <v>2025</v>
      </c>
      <c r="C4638" s="28" t="s">
        <v>316</v>
      </c>
      <c r="D4638" s="28" t="s">
        <v>45</v>
      </c>
      <c r="E4638" s="28" t="s">
        <v>864</v>
      </c>
      <c r="F4638" s="28" t="s">
        <v>142</v>
      </c>
      <c r="G4638" s="28" t="s">
        <v>148</v>
      </c>
      <c r="H4638" s="28" t="s">
        <v>314</v>
      </c>
      <c r="I4638" s="29" t="n">
        <v>1503000</v>
      </c>
      <c r="J4638" s="29" t="n">
        <v>1127250</v>
      </c>
      <c r="K4638" s="28" t="n">
        <v>9.25</v>
      </c>
      <c r="L4638" s="28" t="n">
        <v>171</v>
      </c>
      <c r="M4638" s="28" t="n">
        <v>20</v>
      </c>
    </row>
    <row r="4639" customFormat="false" ht="15" hidden="false" customHeight="false" outlineLevel="0" collapsed="false">
      <c r="A4639" s="27" t="n">
        <v>45804</v>
      </c>
      <c r="B4639" s="28" t="n">
        <v>2025</v>
      </c>
      <c r="C4639" s="28" t="s">
        <v>169</v>
      </c>
      <c r="D4639" s="28" t="s">
        <v>46</v>
      </c>
      <c r="E4639" s="28" t="s">
        <v>727</v>
      </c>
      <c r="F4639" s="28" t="s">
        <v>142</v>
      </c>
      <c r="G4639" s="28" t="s">
        <v>148</v>
      </c>
      <c r="H4639" s="28" t="s">
        <v>799</v>
      </c>
      <c r="I4639" s="29" t="n">
        <v>799000</v>
      </c>
      <c r="J4639" s="29" t="n">
        <v>599250</v>
      </c>
      <c r="K4639" s="28" t="n">
        <v>9.75</v>
      </c>
      <c r="L4639" s="28" t="n">
        <v>126</v>
      </c>
      <c r="M4639" s="28" t="n">
        <v>55</v>
      </c>
    </row>
    <row r="4640" customFormat="false" ht="15" hidden="false" customHeight="false" outlineLevel="0" collapsed="false">
      <c r="A4640" s="27" t="n">
        <v>45804</v>
      </c>
      <c r="B4640" s="28" t="n">
        <v>2025</v>
      </c>
      <c r="C4640" s="28" t="s">
        <v>423</v>
      </c>
      <c r="D4640" s="28" t="s">
        <v>45</v>
      </c>
      <c r="E4640" s="28" t="s">
        <v>293</v>
      </c>
      <c r="F4640" s="28" t="s">
        <v>147</v>
      </c>
      <c r="G4640" s="28" t="s">
        <v>148</v>
      </c>
      <c r="H4640" s="28" t="s">
        <v>227</v>
      </c>
      <c r="I4640" s="29" t="n">
        <v>150000</v>
      </c>
      <c r="J4640" s="29" t="n">
        <v>75000</v>
      </c>
      <c r="K4640" s="28" t="n">
        <v>10.25</v>
      </c>
      <c r="L4640" s="28" t="n">
        <v>120</v>
      </c>
      <c r="M4640" s="28" t="n">
        <v>6</v>
      </c>
    </row>
    <row r="4641" customFormat="false" ht="15" hidden="false" customHeight="false" outlineLevel="0" collapsed="false">
      <c r="A4641" s="27" t="n">
        <v>45804</v>
      </c>
      <c r="B4641" s="28" t="n">
        <v>2025</v>
      </c>
      <c r="C4641" s="28" t="s">
        <v>316</v>
      </c>
      <c r="D4641" s="28" t="s">
        <v>45</v>
      </c>
      <c r="E4641" s="28" t="s">
        <v>864</v>
      </c>
      <c r="F4641" s="28" t="s">
        <v>147</v>
      </c>
      <c r="G4641" s="28" t="s">
        <v>148</v>
      </c>
      <c r="H4641" s="28" t="s">
        <v>314</v>
      </c>
      <c r="I4641" s="29" t="n">
        <v>300000</v>
      </c>
      <c r="J4641" s="29" t="n">
        <v>150000</v>
      </c>
      <c r="K4641" s="28" t="n">
        <v>9.25</v>
      </c>
      <c r="L4641" s="28" t="n">
        <v>120</v>
      </c>
      <c r="M4641" s="28" t="n">
        <v>20</v>
      </c>
    </row>
    <row r="4642" customFormat="false" ht="15" hidden="false" customHeight="false" outlineLevel="0" collapsed="false">
      <c r="A4642" s="27" t="n">
        <v>45805</v>
      </c>
      <c r="B4642" s="28" t="n">
        <v>2025</v>
      </c>
      <c r="C4642" s="28" t="s">
        <v>230</v>
      </c>
      <c r="D4642" s="28" t="s">
        <v>47</v>
      </c>
      <c r="E4642" s="28" t="s">
        <v>873</v>
      </c>
      <c r="F4642" s="28" t="s">
        <v>142</v>
      </c>
      <c r="G4642" s="28" t="s">
        <v>148</v>
      </c>
      <c r="H4642" s="28" t="s">
        <v>171</v>
      </c>
      <c r="I4642" s="29" t="n">
        <v>150000</v>
      </c>
      <c r="J4642" s="29" t="n">
        <v>127500</v>
      </c>
      <c r="K4642" s="28" t="n">
        <v>12.25</v>
      </c>
      <c r="L4642" s="28" t="n">
        <v>120</v>
      </c>
      <c r="M4642" s="28" t="n">
        <v>2</v>
      </c>
    </row>
    <row r="4643" customFormat="false" ht="15" hidden="false" customHeight="false" outlineLevel="0" collapsed="false">
      <c r="A4643" s="27" t="n">
        <v>45805</v>
      </c>
      <c r="B4643" s="28" t="n">
        <v>2025</v>
      </c>
      <c r="C4643" s="28" t="s">
        <v>460</v>
      </c>
      <c r="D4643" s="28" t="s">
        <v>44</v>
      </c>
      <c r="E4643" s="28" t="s">
        <v>863</v>
      </c>
      <c r="F4643" s="28" t="s">
        <v>142</v>
      </c>
      <c r="G4643" s="28" t="s">
        <v>148</v>
      </c>
      <c r="H4643" s="28" t="s">
        <v>275</v>
      </c>
      <c r="I4643" s="29" t="n">
        <v>484000</v>
      </c>
      <c r="J4643" s="29" t="n">
        <v>363000</v>
      </c>
      <c r="K4643" s="28" t="n">
        <v>10.25</v>
      </c>
      <c r="L4643" s="28" t="n">
        <v>120</v>
      </c>
      <c r="M4643" s="28" t="n">
        <v>9</v>
      </c>
    </row>
    <row r="4644" customFormat="false" ht="15" hidden="false" customHeight="false" outlineLevel="0" collapsed="false">
      <c r="A4644" s="27" t="n">
        <v>45805</v>
      </c>
      <c r="B4644" s="28" t="n">
        <v>2025</v>
      </c>
      <c r="C4644" s="28" t="s">
        <v>140</v>
      </c>
      <c r="D4644" s="28" t="s">
        <v>50</v>
      </c>
      <c r="E4644" s="28" t="s">
        <v>711</v>
      </c>
      <c r="F4644" s="28" t="s">
        <v>147</v>
      </c>
      <c r="G4644" s="28" t="s">
        <v>441</v>
      </c>
      <c r="H4644" s="28" t="s">
        <v>291</v>
      </c>
      <c r="I4644" s="29" t="n">
        <v>400000</v>
      </c>
      <c r="J4644" s="29" t="n">
        <v>200000</v>
      </c>
      <c r="K4644" s="28" t="n">
        <v>9.5</v>
      </c>
      <c r="L4644" s="28" t="n">
        <v>120</v>
      </c>
      <c r="M4644" s="28" t="n">
        <v>11</v>
      </c>
    </row>
    <row r="4645" customFormat="false" ht="15" hidden="false" customHeight="false" outlineLevel="0" collapsed="false">
      <c r="A4645" s="27" t="n">
        <v>45805</v>
      </c>
      <c r="B4645" s="28" t="n">
        <v>2025</v>
      </c>
      <c r="C4645" s="28" t="s">
        <v>169</v>
      </c>
      <c r="D4645" s="28" t="s">
        <v>42</v>
      </c>
      <c r="E4645" s="28" t="s">
        <v>717</v>
      </c>
      <c r="F4645" s="28" t="s">
        <v>142</v>
      </c>
      <c r="G4645" s="28" t="s">
        <v>143</v>
      </c>
      <c r="H4645" s="28" t="s">
        <v>179</v>
      </c>
      <c r="I4645" s="29" t="n">
        <v>1103200</v>
      </c>
      <c r="J4645" s="29" t="n">
        <v>827400</v>
      </c>
      <c r="K4645" s="28" t="n">
        <v>10.25</v>
      </c>
      <c r="L4645" s="28" t="n">
        <v>126</v>
      </c>
      <c r="M4645" s="28" t="n">
        <v>33</v>
      </c>
    </row>
    <row r="4646" customFormat="false" ht="15" hidden="false" customHeight="false" outlineLevel="0" collapsed="false">
      <c r="A4646" s="27" t="n">
        <v>45805</v>
      </c>
      <c r="B4646" s="28" t="n">
        <v>2025</v>
      </c>
      <c r="C4646" s="28" t="s">
        <v>252</v>
      </c>
      <c r="D4646" s="28" t="s">
        <v>50</v>
      </c>
      <c r="E4646" s="28" t="s">
        <v>877</v>
      </c>
      <c r="F4646" s="28" t="s">
        <v>142</v>
      </c>
      <c r="G4646" s="28" t="s">
        <v>148</v>
      </c>
      <c r="H4646" s="28" t="s">
        <v>1150</v>
      </c>
      <c r="I4646" s="29" t="n">
        <v>190000</v>
      </c>
      <c r="J4646" s="29" t="n">
        <v>142500</v>
      </c>
      <c r="K4646" s="28" t="n">
        <v>10.25</v>
      </c>
      <c r="L4646" s="28" t="n">
        <v>120</v>
      </c>
      <c r="M4646" s="28" t="n">
        <v>0</v>
      </c>
    </row>
    <row r="4647" customFormat="false" ht="15" hidden="false" customHeight="false" outlineLevel="0" collapsed="false">
      <c r="A4647" s="27" t="n">
        <v>45806</v>
      </c>
      <c r="B4647" s="28" t="n">
        <v>2025</v>
      </c>
      <c r="C4647" s="28" t="s">
        <v>169</v>
      </c>
      <c r="D4647" s="28" t="s">
        <v>46</v>
      </c>
      <c r="E4647" s="28" t="s">
        <v>782</v>
      </c>
      <c r="F4647" s="28" t="s">
        <v>147</v>
      </c>
      <c r="G4647" s="28" t="s">
        <v>148</v>
      </c>
      <c r="H4647" s="28" t="s">
        <v>205</v>
      </c>
      <c r="I4647" s="29" t="n">
        <v>25000</v>
      </c>
      <c r="J4647" s="29" t="n">
        <v>12500</v>
      </c>
      <c r="K4647" s="28" t="n">
        <v>14</v>
      </c>
      <c r="L4647" s="28" t="n">
        <v>72</v>
      </c>
      <c r="M4647" s="28" t="n">
        <v>2</v>
      </c>
    </row>
    <row r="4648" customFormat="false" ht="15" hidden="false" customHeight="false" outlineLevel="0" collapsed="false">
      <c r="A4648" s="27" t="n">
        <v>45806</v>
      </c>
      <c r="B4648" s="28" t="n">
        <v>2025</v>
      </c>
      <c r="C4648" s="28" t="s">
        <v>353</v>
      </c>
      <c r="D4648" s="28" t="s">
        <v>50</v>
      </c>
      <c r="E4648" s="28" t="s">
        <v>193</v>
      </c>
      <c r="F4648" s="28" t="s">
        <v>142</v>
      </c>
      <c r="G4648" s="28" t="s">
        <v>148</v>
      </c>
      <c r="H4648" s="28" t="s">
        <v>275</v>
      </c>
      <c r="I4648" s="29" t="n">
        <v>203500</v>
      </c>
      <c r="J4648" s="29" t="n">
        <v>152625</v>
      </c>
      <c r="K4648" s="28" t="n">
        <v>10.25</v>
      </c>
      <c r="L4648" s="28" t="n">
        <v>120</v>
      </c>
      <c r="M4648" s="28" t="n">
        <v>3</v>
      </c>
    </row>
    <row r="4649" customFormat="false" ht="15" hidden="false" customHeight="false" outlineLevel="0" collapsed="false">
      <c r="A4649" s="27" t="n">
        <v>45806</v>
      </c>
      <c r="B4649" s="28" t="n">
        <v>2025</v>
      </c>
      <c r="C4649" s="28" t="s">
        <v>169</v>
      </c>
      <c r="D4649" s="28" t="s">
        <v>46</v>
      </c>
      <c r="E4649" s="28" t="s">
        <v>727</v>
      </c>
      <c r="F4649" s="28" t="s">
        <v>142</v>
      </c>
      <c r="G4649" s="28" t="s">
        <v>143</v>
      </c>
      <c r="H4649" s="28" t="s">
        <v>621</v>
      </c>
      <c r="I4649" s="29" t="n">
        <v>1025000</v>
      </c>
      <c r="J4649" s="29" t="n">
        <v>768750</v>
      </c>
      <c r="K4649" s="28" t="n">
        <v>10.25</v>
      </c>
      <c r="L4649" s="28" t="n">
        <v>132</v>
      </c>
      <c r="M4649" s="28" t="n">
        <v>26</v>
      </c>
    </row>
    <row r="4650" customFormat="false" ht="15" hidden="false" customHeight="false" outlineLevel="0" collapsed="false">
      <c r="A4650" s="27" t="n">
        <v>45806</v>
      </c>
      <c r="B4650" s="28" t="n">
        <v>2025</v>
      </c>
      <c r="C4650" s="28" t="s">
        <v>160</v>
      </c>
      <c r="D4650" s="28" t="s">
        <v>44</v>
      </c>
      <c r="E4650" s="28" t="s">
        <v>783</v>
      </c>
      <c r="F4650" s="28" t="s">
        <v>142</v>
      </c>
      <c r="G4650" s="28" t="s">
        <v>148</v>
      </c>
      <c r="H4650" s="28" t="s">
        <v>171</v>
      </c>
      <c r="I4650" s="29" t="n">
        <v>150000</v>
      </c>
      <c r="J4650" s="29" t="n">
        <v>127500</v>
      </c>
      <c r="K4650" s="28" t="n">
        <v>12.25</v>
      </c>
      <c r="L4650" s="28" t="n">
        <v>120</v>
      </c>
      <c r="M4650" s="28" t="n">
        <v>0</v>
      </c>
    </row>
    <row r="4651" customFormat="false" ht="15" hidden="false" customHeight="false" outlineLevel="0" collapsed="false">
      <c r="A4651" s="27" t="n">
        <v>45806</v>
      </c>
      <c r="B4651" s="28" t="n">
        <v>2025</v>
      </c>
      <c r="C4651" s="28" t="s">
        <v>201</v>
      </c>
      <c r="D4651" s="28" t="s">
        <v>43</v>
      </c>
      <c r="E4651" s="28" t="s">
        <v>825</v>
      </c>
      <c r="F4651" s="28" t="s">
        <v>142</v>
      </c>
      <c r="G4651" s="28" t="s">
        <v>152</v>
      </c>
      <c r="H4651" s="28" t="s">
        <v>1060</v>
      </c>
      <c r="I4651" s="29" t="n">
        <v>1850600</v>
      </c>
      <c r="J4651" s="29" t="n">
        <v>1387950</v>
      </c>
      <c r="K4651" s="28" t="n">
        <v>10.25</v>
      </c>
      <c r="L4651" s="28" t="n">
        <v>120</v>
      </c>
      <c r="M4651" s="28" t="n">
        <v>10</v>
      </c>
    </row>
    <row r="4652" customFormat="false" ht="15" hidden="false" customHeight="false" outlineLevel="0" collapsed="false">
      <c r="A4652" s="27" t="n">
        <v>45806</v>
      </c>
      <c r="B4652" s="28" t="n">
        <v>2025</v>
      </c>
      <c r="C4652" s="28" t="s">
        <v>203</v>
      </c>
      <c r="D4652" s="28" t="s">
        <v>47</v>
      </c>
      <c r="E4652" s="28" t="s">
        <v>792</v>
      </c>
      <c r="F4652" s="28" t="s">
        <v>142</v>
      </c>
      <c r="G4652" s="28" t="s">
        <v>148</v>
      </c>
      <c r="H4652" s="28" t="s">
        <v>208</v>
      </c>
      <c r="I4652" s="29" t="n">
        <v>1282000</v>
      </c>
      <c r="J4652" s="29" t="n">
        <v>961500</v>
      </c>
      <c r="K4652" s="28" t="n">
        <v>7.375</v>
      </c>
      <c r="L4652" s="28" t="n">
        <v>300</v>
      </c>
      <c r="M4652" s="28" t="n">
        <v>7</v>
      </c>
    </row>
    <row r="4653" customFormat="false" ht="15" hidden="false" customHeight="false" outlineLevel="0" collapsed="false">
      <c r="A4653" s="27" t="n">
        <v>45806</v>
      </c>
      <c r="B4653" s="28" t="n">
        <v>2025</v>
      </c>
      <c r="C4653" s="28" t="s">
        <v>140</v>
      </c>
      <c r="D4653" s="28" t="s">
        <v>53</v>
      </c>
      <c r="E4653" s="28" t="s">
        <v>718</v>
      </c>
      <c r="F4653" s="28" t="s">
        <v>142</v>
      </c>
      <c r="G4653" s="28" t="s">
        <v>441</v>
      </c>
      <c r="H4653" s="28" t="s">
        <v>275</v>
      </c>
      <c r="I4653" s="29" t="n">
        <v>196000</v>
      </c>
      <c r="J4653" s="29" t="n">
        <v>147000</v>
      </c>
      <c r="K4653" s="28" t="n">
        <v>10.25</v>
      </c>
      <c r="L4653" s="28" t="n">
        <v>120</v>
      </c>
      <c r="M4653" s="28" t="n">
        <v>2</v>
      </c>
    </row>
    <row r="4654" customFormat="false" ht="15" hidden="false" customHeight="false" outlineLevel="0" collapsed="false">
      <c r="A4654" s="27" t="n">
        <v>45806</v>
      </c>
      <c r="B4654" s="28" t="n">
        <v>2025</v>
      </c>
      <c r="C4654" s="28" t="s">
        <v>172</v>
      </c>
      <c r="D4654" s="28" t="s">
        <v>49</v>
      </c>
      <c r="E4654" s="28" t="s">
        <v>940</v>
      </c>
      <c r="F4654" s="28" t="s">
        <v>147</v>
      </c>
      <c r="G4654" s="28" t="s">
        <v>148</v>
      </c>
      <c r="H4654" s="28" t="s">
        <v>205</v>
      </c>
      <c r="I4654" s="29" t="n">
        <v>233500</v>
      </c>
      <c r="J4654" s="29" t="n">
        <v>116750</v>
      </c>
      <c r="K4654" s="28" t="n">
        <v>9</v>
      </c>
      <c r="L4654" s="28" t="n">
        <v>120</v>
      </c>
      <c r="M4654" s="28" t="n">
        <v>0</v>
      </c>
    </row>
    <row r="4655" customFormat="false" ht="15" hidden="false" customHeight="false" outlineLevel="0" collapsed="false">
      <c r="A4655" s="27" t="n">
        <v>45806</v>
      </c>
      <c r="B4655" s="28" t="n">
        <v>2025</v>
      </c>
      <c r="C4655" s="28" t="s">
        <v>172</v>
      </c>
      <c r="D4655" s="28" t="s">
        <v>48</v>
      </c>
      <c r="E4655" s="28" t="s">
        <v>362</v>
      </c>
      <c r="F4655" s="28" t="s">
        <v>142</v>
      </c>
      <c r="G4655" s="28" t="s">
        <v>152</v>
      </c>
      <c r="H4655" s="28" t="s">
        <v>275</v>
      </c>
      <c r="I4655" s="29" t="n">
        <v>2500000</v>
      </c>
      <c r="J4655" s="29" t="n">
        <v>1875000</v>
      </c>
      <c r="K4655" s="28" t="n">
        <v>10.25</v>
      </c>
      <c r="L4655" s="28" t="n">
        <v>120</v>
      </c>
      <c r="M4655" s="28" t="n">
        <v>21</v>
      </c>
    </row>
    <row r="4656" customFormat="false" ht="15" hidden="false" customHeight="false" outlineLevel="0" collapsed="false">
      <c r="A4656" s="27" t="n">
        <v>45806</v>
      </c>
      <c r="B4656" s="28" t="n">
        <v>2025</v>
      </c>
      <c r="C4656" s="28" t="s">
        <v>423</v>
      </c>
      <c r="D4656" s="28" t="s">
        <v>46</v>
      </c>
      <c r="E4656" s="28" t="s">
        <v>770</v>
      </c>
      <c r="F4656" s="28" t="s">
        <v>142</v>
      </c>
      <c r="G4656" s="28" t="s">
        <v>152</v>
      </c>
      <c r="H4656" s="28" t="s">
        <v>388</v>
      </c>
      <c r="I4656" s="29" t="n">
        <v>3651000</v>
      </c>
      <c r="J4656" s="29" t="n">
        <v>2738250</v>
      </c>
      <c r="K4656" s="28" t="n">
        <v>10</v>
      </c>
      <c r="L4656" s="28" t="n">
        <v>120</v>
      </c>
      <c r="M4656" s="28" t="n">
        <v>2</v>
      </c>
    </row>
    <row r="4657" customFormat="false" ht="15" hidden="false" customHeight="false" outlineLevel="0" collapsed="false">
      <c r="A4657" s="27" t="n">
        <v>45807</v>
      </c>
      <c r="B4657" s="28" t="n">
        <v>2025</v>
      </c>
      <c r="C4657" s="28" t="s">
        <v>288</v>
      </c>
      <c r="D4657" s="28" t="s">
        <v>52</v>
      </c>
      <c r="E4657" s="28" t="s">
        <v>720</v>
      </c>
      <c r="F4657" s="28" t="s">
        <v>142</v>
      </c>
      <c r="G4657" s="28" t="s">
        <v>148</v>
      </c>
      <c r="H4657" s="28" t="s">
        <v>456</v>
      </c>
      <c r="I4657" s="29" t="n">
        <v>150000</v>
      </c>
      <c r="J4657" s="29" t="n">
        <v>127500</v>
      </c>
      <c r="K4657" s="28" t="n">
        <v>10.5</v>
      </c>
      <c r="L4657" s="28" t="n">
        <v>119</v>
      </c>
      <c r="M4657" s="28" t="n">
        <v>5</v>
      </c>
    </row>
    <row r="4658" customFormat="false" ht="15" hidden="false" customHeight="false" outlineLevel="0" collapsed="false">
      <c r="A4658" s="27" t="n">
        <v>45807</v>
      </c>
      <c r="B4658" s="28" t="n">
        <v>2025</v>
      </c>
      <c r="C4658" s="28" t="s">
        <v>213</v>
      </c>
      <c r="D4658" s="28" t="s">
        <v>46</v>
      </c>
      <c r="E4658" s="28" t="s">
        <v>727</v>
      </c>
      <c r="F4658" s="28" t="s">
        <v>194</v>
      </c>
      <c r="G4658" s="28" t="s">
        <v>441</v>
      </c>
      <c r="H4658" s="28" t="s">
        <v>266</v>
      </c>
      <c r="I4658" s="29" t="n">
        <v>30000</v>
      </c>
      <c r="J4658" s="29" t="n">
        <v>25500</v>
      </c>
      <c r="K4658" s="28" t="n">
        <v>9</v>
      </c>
      <c r="L4658" s="28" t="n">
        <v>36</v>
      </c>
      <c r="M4658" s="28" t="n">
        <v>4</v>
      </c>
    </row>
    <row r="4659" customFormat="false" ht="15" hidden="false" customHeight="false" outlineLevel="0" collapsed="false">
      <c r="A4659" s="27" t="n">
        <v>45807</v>
      </c>
      <c r="B4659" s="28" t="n">
        <v>2025</v>
      </c>
      <c r="C4659" s="28" t="s">
        <v>303</v>
      </c>
      <c r="D4659" s="28" t="s">
        <v>61</v>
      </c>
      <c r="E4659" s="28" t="s">
        <v>1154</v>
      </c>
      <c r="F4659" s="28" t="s">
        <v>142</v>
      </c>
      <c r="G4659" s="28" t="s">
        <v>143</v>
      </c>
      <c r="H4659" s="28" t="s">
        <v>275</v>
      </c>
      <c r="I4659" s="29" t="n">
        <v>290000</v>
      </c>
      <c r="J4659" s="29" t="n">
        <v>217500</v>
      </c>
      <c r="K4659" s="28" t="n">
        <v>10.25</v>
      </c>
      <c r="L4659" s="28" t="n">
        <v>120</v>
      </c>
      <c r="M4659" s="28" t="n">
        <v>6</v>
      </c>
    </row>
    <row r="4660" customFormat="false" ht="15" hidden="false" customHeight="false" outlineLevel="0" collapsed="false">
      <c r="A4660" s="27" t="n">
        <v>45807</v>
      </c>
      <c r="B4660" s="28" t="n">
        <v>2025</v>
      </c>
      <c r="C4660" s="28" t="s">
        <v>203</v>
      </c>
      <c r="D4660" s="28" t="s">
        <v>46</v>
      </c>
      <c r="E4660" s="28" t="s">
        <v>727</v>
      </c>
      <c r="F4660" s="28" t="s">
        <v>142</v>
      </c>
      <c r="G4660" s="28" t="s">
        <v>148</v>
      </c>
      <c r="H4660" s="28" t="s">
        <v>171</v>
      </c>
      <c r="I4660" s="29" t="n">
        <v>34000</v>
      </c>
      <c r="J4660" s="29" t="n">
        <v>28900</v>
      </c>
      <c r="K4660" s="28" t="n">
        <v>12.25</v>
      </c>
      <c r="L4660" s="28" t="n">
        <v>120</v>
      </c>
      <c r="M4660" s="28" t="n">
        <v>2</v>
      </c>
    </row>
    <row r="4661" customFormat="false" ht="15" hidden="false" customHeight="false" outlineLevel="0" collapsed="false">
      <c r="A4661" s="27" t="n">
        <v>45807</v>
      </c>
      <c r="B4661" s="28" t="n">
        <v>2025</v>
      </c>
      <c r="C4661" s="28" t="s">
        <v>169</v>
      </c>
      <c r="D4661" s="28" t="s">
        <v>53</v>
      </c>
      <c r="E4661" s="28" t="s">
        <v>964</v>
      </c>
      <c r="F4661" s="28" t="s">
        <v>142</v>
      </c>
      <c r="G4661" s="28" t="s">
        <v>143</v>
      </c>
      <c r="H4661" s="28" t="s">
        <v>799</v>
      </c>
      <c r="I4661" s="29" t="n">
        <v>961000</v>
      </c>
      <c r="J4661" s="29" t="n">
        <v>720750</v>
      </c>
      <c r="K4661" s="28" t="n">
        <v>9.5</v>
      </c>
      <c r="L4661" s="28" t="n">
        <v>126</v>
      </c>
      <c r="M4661" s="28" t="n">
        <v>2</v>
      </c>
    </row>
    <row r="4662" customFormat="false" ht="15" hidden="false" customHeight="false" outlineLevel="0" collapsed="false">
      <c r="A4662" s="27" t="n">
        <v>45808</v>
      </c>
      <c r="B4662" s="28" t="n">
        <v>2025</v>
      </c>
      <c r="C4662" s="28" t="s">
        <v>172</v>
      </c>
      <c r="D4662" s="28" t="s">
        <v>51</v>
      </c>
      <c r="E4662" s="28" t="s">
        <v>779</v>
      </c>
      <c r="F4662" s="28" t="s">
        <v>142</v>
      </c>
      <c r="G4662" s="28" t="s">
        <v>143</v>
      </c>
      <c r="H4662" s="28" t="s">
        <v>621</v>
      </c>
      <c r="I4662" s="29" t="n">
        <v>500000</v>
      </c>
      <c r="J4662" s="29" t="n">
        <v>375000</v>
      </c>
      <c r="K4662" s="28" t="n">
        <v>10</v>
      </c>
      <c r="L4662" s="28" t="n">
        <v>120</v>
      </c>
      <c r="M4662" s="28" t="n">
        <v>2</v>
      </c>
    </row>
    <row r="4663" customFormat="false" ht="15" hidden="false" customHeight="false" outlineLevel="0" collapsed="false">
      <c r="A4663" s="27" t="n">
        <v>45808</v>
      </c>
      <c r="B4663" s="28" t="n">
        <v>2025</v>
      </c>
      <c r="C4663" s="28" t="s">
        <v>252</v>
      </c>
      <c r="D4663" s="28" t="s">
        <v>45</v>
      </c>
      <c r="E4663" s="28" t="s">
        <v>356</v>
      </c>
      <c r="F4663" s="28" t="s">
        <v>142</v>
      </c>
      <c r="G4663" s="28" t="s">
        <v>148</v>
      </c>
      <c r="H4663" s="28" t="s">
        <v>171</v>
      </c>
      <c r="I4663" s="29" t="n">
        <v>150000</v>
      </c>
      <c r="J4663" s="29" t="n">
        <v>127500</v>
      </c>
      <c r="K4663" s="28" t="n">
        <v>12.25</v>
      </c>
      <c r="L4663" s="28" t="n">
        <v>120</v>
      </c>
      <c r="M4663" s="28" t="n">
        <v>0</v>
      </c>
    </row>
    <row r="4664" customFormat="false" ht="15" hidden="false" customHeight="false" outlineLevel="0" collapsed="false">
      <c r="A4664" s="27" t="n">
        <v>45808</v>
      </c>
      <c r="B4664" s="28" t="n">
        <v>2025</v>
      </c>
      <c r="C4664" s="28" t="s">
        <v>160</v>
      </c>
      <c r="D4664" s="28" t="s">
        <v>44</v>
      </c>
      <c r="E4664" s="28" t="s">
        <v>839</v>
      </c>
      <c r="F4664" s="28" t="s">
        <v>142</v>
      </c>
      <c r="G4664" s="28" t="s">
        <v>152</v>
      </c>
      <c r="H4664" s="28" t="s">
        <v>501</v>
      </c>
      <c r="I4664" s="29" t="n">
        <v>880000</v>
      </c>
      <c r="J4664" s="29" t="n">
        <v>660000</v>
      </c>
      <c r="K4664" s="28" t="n">
        <v>10.25</v>
      </c>
      <c r="L4664" s="28" t="n">
        <v>300</v>
      </c>
      <c r="M4664" s="28" t="n">
        <v>8</v>
      </c>
    </row>
    <row r="4665" customFormat="false" ht="15" hidden="false" customHeight="false" outlineLevel="0" collapsed="false">
      <c r="A4665" s="27" t="n">
        <v>45808</v>
      </c>
      <c r="B4665" s="28" t="n">
        <v>2025</v>
      </c>
      <c r="C4665" s="28" t="s">
        <v>349</v>
      </c>
      <c r="D4665" s="28" t="s">
        <v>47</v>
      </c>
      <c r="E4665" s="28" t="s">
        <v>1155</v>
      </c>
      <c r="F4665" s="28" t="s">
        <v>142</v>
      </c>
      <c r="G4665" s="28" t="s">
        <v>148</v>
      </c>
      <c r="H4665" s="28" t="s">
        <v>291</v>
      </c>
      <c r="I4665" s="29" t="n">
        <v>1718600</v>
      </c>
      <c r="J4665" s="29" t="n">
        <v>1288950</v>
      </c>
      <c r="K4665" s="28" t="n">
        <v>10</v>
      </c>
      <c r="L4665" s="28" t="n">
        <v>120</v>
      </c>
      <c r="M4665" s="28" t="n">
        <v>34</v>
      </c>
    </row>
    <row r="4666" customFormat="false" ht="15" hidden="false" customHeight="false" outlineLevel="0" collapsed="false">
      <c r="A4666" s="27" t="n">
        <v>45808</v>
      </c>
      <c r="B4666" s="28" t="n">
        <v>2025</v>
      </c>
      <c r="C4666" s="28" t="s">
        <v>160</v>
      </c>
      <c r="D4666" s="28" t="s">
        <v>44</v>
      </c>
      <c r="E4666" s="28" t="s">
        <v>839</v>
      </c>
      <c r="F4666" s="28" t="s">
        <v>142</v>
      </c>
      <c r="G4666" s="28" t="s">
        <v>152</v>
      </c>
      <c r="H4666" s="28" t="s">
        <v>501</v>
      </c>
      <c r="I4666" s="29" t="n">
        <v>805000</v>
      </c>
      <c r="J4666" s="29" t="n">
        <v>603750</v>
      </c>
      <c r="K4666" s="28" t="n">
        <v>10.25</v>
      </c>
      <c r="L4666" s="28" t="n">
        <v>300</v>
      </c>
      <c r="M4666" s="28" t="n">
        <v>6</v>
      </c>
    </row>
    <row r="4667" customFormat="false" ht="15" hidden="false" customHeight="false" outlineLevel="0" collapsed="false">
      <c r="A4667" s="27" t="n">
        <v>45808</v>
      </c>
      <c r="B4667" s="28" t="n">
        <v>2025</v>
      </c>
      <c r="C4667" s="28" t="s">
        <v>349</v>
      </c>
      <c r="D4667" s="28" t="s">
        <v>47</v>
      </c>
      <c r="E4667" s="28" t="s">
        <v>1155</v>
      </c>
      <c r="F4667" s="28" t="s">
        <v>147</v>
      </c>
      <c r="G4667" s="28" t="s">
        <v>148</v>
      </c>
      <c r="H4667" s="28" t="s">
        <v>291</v>
      </c>
      <c r="I4667" s="29" t="n">
        <v>400000</v>
      </c>
      <c r="J4667" s="29" t="n">
        <v>200000</v>
      </c>
      <c r="K4667" s="28" t="n">
        <v>9.5</v>
      </c>
      <c r="L4667" s="28" t="n">
        <v>120</v>
      </c>
      <c r="M4667" s="28" t="n">
        <v>33</v>
      </c>
    </row>
    <row r="4668" customFormat="false" ht="15" hidden="false" customHeight="false" outlineLevel="0" collapsed="false">
      <c r="A4668" s="27" t="n">
        <v>45808</v>
      </c>
      <c r="B4668" s="28" t="n">
        <v>2025</v>
      </c>
      <c r="C4668" s="28" t="s">
        <v>203</v>
      </c>
      <c r="D4668" s="28" t="s">
        <v>42</v>
      </c>
      <c r="E4668" s="28" t="s">
        <v>784</v>
      </c>
      <c r="F4668" s="28" t="s">
        <v>142</v>
      </c>
      <c r="G4668" s="28" t="s">
        <v>143</v>
      </c>
      <c r="H4668" s="28" t="s">
        <v>633</v>
      </c>
      <c r="I4668" s="29" t="n">
        <v>500000</v>
      </c>
      <c r="J4668" s="29" t="n">
        <v>375000</v>
      </c>
      <c r="K4668" s="28" t="n">
        <v>10.5</v>
      </c>
      <c r="L4668" s="28" t="n">
        <v>124</v>
      </c>
      <c r="M4668" s="28" t="n">
        <v>6</v>
      </c>
    </row>
    <row r="4669" customFormat="false" ht="15" hidden="false" customHeight="false" outlineLevel="0" collapsed="false">
      <c r="A4669" s="27" t="n">
        <v>45811</v>
      </c>
      <c r="B4669" s="28" t="n">
        <v>2025</v>
      </c>
      <c r="C4669" s="28" t="s">
        <v>607</v>
      </c>
      <c r="D4669" s="28" t="s">
        <v>42</v>
      </c>
      <c r="E4669" s="28" t="s">
        <v>705</v>
      </c>
      <c r="F4669" s="28" t="s">
        <v>142</v>
      </c>
      <c r="G4669" s="28" t="s">
        <v>148</v>
      </c>
      <c r="H4669" s="28" t="s">
        <v>1156</v>
      </c>
      <c r="I4669" s="29" t="n">
        <v>1249000</v>
      </c>
      <c r="J4669" s="29" t="n">
        <v>936750</v>
      </c>
      <c r="K4669" s="28" t="n">
        <v>8.5</v>
      </c>
      <c r="L4669" s="28" t="n">
        <v>300</v>
      </c>
      <c r="M4669" s="28" t="n">
        <v>3</v>
      </c>
    </row>
    <row r="4670" customFormat="false" ht="15" hidden="false" customHeight="false" outlineLevel="0" collapsed="false">
      <c r="A4670" s="27" t="n">
        <v>45811</v>
      </c>
      <c r="B4670" s="28" t="n">
        <v>2025</v>
      </c>
      <c r="C4670" s="28" t="s">
        <v>163</v>
      </c>
      <c r="D4670" s="28" t="s">
        <v>53</v>
      </c>
      <c r="E4670" s="28" t="s">
        <v>383</v>
      </c>
      <c r="F4670" s="28" t="s">
        <v>142</v>
      </c>
      <c r="G4670" s="28" t="s">
        <v>148</v>
      </c>
      <c r="H4670" s="28" t="s">
        <v>953</v>
      </c>
      <c r="I4670" s="29" t="n">
        <v>110000</v>
      </c>
      <c r="J4670" s="29" t="n">
        <v>93500</v>
      </c>
      <c r="K4670" s="28" t="n">
        <v>10.5</v>
      </c>
      <c r="L4670" s="28" t="n">
        <v>120</v>
      </c>
      <c r="M4670" s="28" t="n">
        <v>3</v>
      </c>
    </row>
    <row r="4671" customFormat="false" ht="15" hidden="false" customHeight="false" outlineLevel="0" collapsed="false">
      <c r="A4671" s="27" t="n">
        <v>45812</v>
      </c>
      <c r="B4671" s="28" t="n">
        <v>2025</v>
      </c>
      <c r="C4671" s="28" t="s">
        <v>145</v>
      </c>
      <c r="D4671" s="28" t="s">
        <v>50</v>
      </c>
      <c r="E4671" s="28" t="s">
        <v>174</v>
      </c>
      <c r="F4671" s="28" t="s">
        <v>142</v>
      </c>
      <c r="G4671" s="28" t="s">
        <v>143</v>
      </c>
      <c r="H4671" s="28" t="s">
        <v>372</v>
      </c>
      <c r="I4671" s="29" t="n">
        <v>600000</v>
      </c>
      <c r="J4671" s="29" t="n">
        <v>450000</v>
      </c>
      <c r="K4671" s="28" t="n">
        <v>9.5</v>
      </c>
      <c r="L4671" s="28" t="n">
        <v>246</v>
      </c>
      <c r="M4671" s="28" t="n">
        <v>5</v>
      </c>
    </row>
    <row r="4672" customFormat="false" ht="15" hidden="false" customHeight="false" outlineLevel="0" collapsed="false">
      <c r="A4672" s="27" t="n">
        <v>45812</v>
      </c>
      <c r="B4672" s="28" t="n">
        <v>2025</v>
      </c>
      <c r="C4672" s="28" t="s">
        <v>286</v>
      </c>
      <c r="D4672" s="28" t="s">
        <v>44</v>
      </c>
      <c r="E4672" s="28" t="s">
        <v>783</v>
      </c>
      <c r="F4672" s="28" t="s">
        <v>142</v>
      </c>
      <c r="G4672" s="28" t="s">
        <v>148</v>
      </c>
      <c r="H4672" s="28" t="s">
        <v>987</v>
      </c>
      <c r="I4672" s="29" t="n">
        <v>999600</v>
      </c>
      <c r="J4672" s="29" t="n">
        <v>749700</v>
      </c>
      <c r="K4672" s="28" t="n">
        <v>9.5</v>
      </c>
      <c r="L4672" s="28" t="n">
        <v>300</v>
      </c>
      <c r="M4672" s="28" t="n">
        <v>11</v>
      </c>
    </row>
    <row r="4673" customFormat="false" ht="15" hidden="false" customHeight="false" outlineLevel="0" collapsed="false">
      <c r="A4673" s="27" t="n">
        <v>45813</v>
      </c>
      <c r="B4673" s="28" t="n">
        <v>2025</v>
      </c>
      <c r="C4673" s="28" t="s">
        <v>166</v>
      </c>
      <c r="D4673" s="28" t="s">
        <v>42</v>
      </c>
      <c r="E4673" s="28" t="s">
        <v>753</v>
      </c>
      <c r="F4673" s="28" t="s">
        <v>147</v>
      </c>
      <c r="G4673" s="28" t="s">
        <v>148</v>
      </c>
      <c r="H4673" s="28" t="s">
        <v>159</v>
      </c>
      <c r="I4673" s="29" t="n">
        <v>80000</v>
      </c>
      <c r="J4673" s="29" t="n">
        <v>40000</v>
      </c>
      <c r="K4673" s="28" t="n">
        <v>10.5</v>
      </c>
      <c r="L4673" s="28" t="n">
        <v>60</v>
      </c>
      <c r="M4673" s="28" t="n">
        <v>9</v>
      </c>
    </row>
    <row r="4674" customFormat="false" ht="15" hidden="false" customHeight="false" outlineLevel="0" collapsed="false">
      <c r="A4674" s="27" t="n">
        <v>45813</v>
      </c>
      <c r="B4674" s="28" t="n">
        <v>2025</v>
      </c>
      <c r="C4674" s="28" t="s">
        <v>444</v>
      </c>
      <c r="D4674" s="28" t="s">
        <v>42</v>
      </c>
      <c r="E4674" s="28" t="s">
        <v>705</v>
      </c>
      <c r="F4674" s="28" t="s">
        <v>142</v>
      </c>
      <c r="G4674" s="28" t="s">
        <v>148</v>
      </c>
      <c r="H4674" s="28" t="s">
        <v>218</v>
      </c>
      <c r="I4674" s="29" t="n">
        <v>1450000</v>
      </c>
      <c r="J4674" s="29" t="n">
        <v>1087500</v>
      </c>
      <c r="K4674" s="28" t="n">
        <v>8.5</v>
      </c>
      <c r="L4674" s="28" t="n">
        <v>300</v>
      </c>
      <c r="M4674" s="28" t="n">
        <v>14</v>
      </c>
    </row>
    <row r="4675" customFormat="false" ht="15" hidden="false" customHeight="false" outlineLevel="0" collapsed="false">
      <c r="A4675" s="27" t="n">
        <v>45813</v>
      </c>
      <c r="B4675" s="28" t="n">
        <v>2025</v>
      </c>
      <c r="C4675" s="28" t="s">
        <v>166</v>
      </c>
      <c r="D4675" s="28" t="s">
        <v>43</v>
      </c>
      <c r="E4675" s="28" t="s">
        <v>788</v>
      </c>
      <c r="F4675" s="28" t="s">
        <v>147</v>
      </c>
      <c r="G4675" s="28" t="s">
        <v>441</v>
      </c>
      <c r="H4675" s="28" t="s">
        <v>159</v>
      </c>
      <c r="I4675" s="29" t="n">
        <v>110000</v>
      </c>
      <c r="J4675" s="29" t="n">
        <v>55000</v>
      </c>
      <c r="K4675" s="28" t="n">
        <v>10.5</v>
      </c>
      <c r="L4675" s="28" t="n">
        <v>60</v>
      </c>
      <c r="M4675" s="28" t="n">
        <v>9</v>
      </c>
    </row>
    <row r="4676" customFormat="false" ht="15" hidden="false" customHeight="false" outlineLevel="0" collapsed="false">
      <c r="A4676" s="27" t="n">
        <v>45813</v>
      </c>
      <c r="B4676" s="28" t="n">
        <v>2025</v>
      </c>
      <c r="C4676" s="28" t="s">
        <v>201</v>
      </c>
      <c r="D4676" s="28" t="s">
        <v>44</v>
      </c>
      <c r="E4676" s="28" t="s">
        <v>759</v>
      </c>
      <c r="F4676" s="28" t="s">
        <v>142</v>
      </c>
      <c r="G4676" s="28" t="s">
        <v>441</v>
      </c>
      <c r="H4676" s="28" t="s">
        <v>579</v>
      </c>
      <c r="I4676" s="29" t="n">
        <v>568000</v>
      </c>
      <c r="J4676" s="29" t="n">
        <v>426000</v>
      </c>
      <c r="K4676" s="28" t="n">
        <v>9.5</v>
      </c>
      <c r="L4676" s="28" t="n">
        <v>303</v>
      </c>
      <c r="M4676" s="28" t="n">
        <v>14</v>
      </c>
    </row>
    <row r="4677" customFormat="false" ht="15" hidden="false" customHeight="false" outlineLevel="0" collapsed="false">
      <c r="A4677" s="27" t="n">
        <v>45813</v>
      </c>
      <c r="B4677" s="28" t="n">
        <v>2025</v>
      </c>
      <c r="C4677" s="28" t="s">
        <v>166</v>
      </c>
      <c r="D4677" s="28" t="s">
        <v>43</v>
      </c>
      <c r="E4677" s="28" t="s">
        <v>788</v>
      </c>
      <c r="F4677" s="28" t="s">
        <v>147</v>
      </c>
      <c r="G4677" s="28" t="s">
        <v>441</v>
      </c>
      <c r="H4677" s="28" t="s">
        <v>159</v>
      </c>
      <c r="I4677" s="29" t="n">
        <v>25000</v>
      </c>
      <c r="J4677" s="29" t="n">
        <v>12500</v>
      </c>
      <c r="K4677" s="28" t="n">
        <v>14</v>
      </c>
      <c r="L4677" s="28" t="n">
        <v>120</v>
      </c>
      <c r="M4677" s="28" t="n">
        <v>9</v>
      </c>
    </row>
    <row r="4678" customFormat="false" ht="15" hidden="false" customHeight="false" outlineLevel="0" collapsed="false">
      <c r="A4678" s="27" t="n">
        <v>45813</v>
      </c>
      <c r="B4678" s="28" t="n">
        <v>2025</v>
      </c>
      <c r="C4678" s="28" t="s">
        <v>169</v>
      </c>
      <c r="D4678" s="28" t="s">
        <v>44</v>
      </c>
      <c r="E4678" s="28" t="s">
        <v>730</v>
      </c>
      <c r="F4678" s="28" t="s">
        <v>147</v>
      </c>
      <c r="G4678" s="28" t="s">
        <v>148</v>
      </c>
      <c r="H4678" s="28" t="s">
        <v>251</v>
      </c>
      <c r="I4678" s="29" t="n">
        <v>280000</v>
      </c>
      <c r="J4678" s="29" t="n">
        <v>140000</v>
      </c>
      <c r="K4678" s="28" t="n">
        <v>10.25</v>
      </c>
      <c r="L4678" s="28" t="n">
        <v>72</v>
      </c>
      <c r="M4678" s="28" t="n">
        <v>10</v>
      </c>
    </row>
    <row r="4679" customFormat="false" ht="15" hidden="false" customHeight="false" outlineLevel="0" collapsed="false">
      <c r="A4679" s="27" t="n">
        <v>45814</v>
      </c>
      <c r="B4679" s="28" t="n">
        <v>2025</v>
      </c>
      <c r="C4679" s="28" t="s">
        <v>423</v>
      </c>
      <c r="D4679" s="28" t="s">
        <v>56</v>
      </c>
      <c r="E4679" s="28" t="s">
        <v>772</v>
      </c>
      <c r="F4679" s="28" t="s">
        <v>142</v>
      </c>
      <c r="G4679" s="28" t="s">
        <v>143</v>
      </c>
      <c r="H4679" s="28" t="s">
        <v>168</v>
      </c>
      <c r="I4679" s="29" t="n">
        <v>598000</v>
      </c>
      <c r="J4679" s="29" t="n">
        <v>448500</v>
      </c>
      <c r="K4679" s="28" t="n">
        <v>8.36</v>
      </c>
      <c r="L4679" s="28" t="n">
        <v>126</v>
      </c>
      <c r="M4679" s="28" t="n">
        <v>10</v>
      </c>
    </row>
    <row r="4680" customFormat="false" ht="15" hidden="false" customHeight="false" outlineLevel="0" collapsed="false">
      <c r="A4680" s="27" t="n">
        <v>45814</v>
      </c>
      <c r="B4680" s="28" t="n">
        <v>2025</v>
      </c>
      <c r="C4680" s="28" t="s">
        <v>172</v>
      </c>
      <c r="D4680" s="28" t="s">
        <v>44</v>
      </c>
      <c r="E4680" s="28" t="s">
        <v>729</v>
      </c>
      <c r="F4680" s="28" t="s">
        <v>142</v>
      </c>
      <c r="G4680" s="28" t="s">
        <v>148</v>
      </c>
      <c r="H4680" s="28" t="s">
        <v>159</v>
      </c>
      <c r="I4680" s="29" t="n">
        <v>180000</v>
      </c>
      <c r="J4680" s="29" t="n">
        <v>135000</v>
      </c>
      <c r="K4680" s="28" t="n">
        <v>10.25</v>
      </c>
      <c r="L4680" s="28" t="n">
        <v>120</v>
      </c>
      <c r="M4680" s="28" t="n">
        <v>9</v>
      </c>
    </row>
    <row r="4681" customFormat="false" ht="15" hidden="false" customHeight="false" outlineLevel="0" collapsed="false">
      <c r="A4681" s="27" t="n">
        <v>45814</v>
      </c>
      <c r="B4681" s="28" t="n">
        <v>2025</v>
      </c>
      <c r="C4681" s="28" t="s">
        <v>209</v>
      </c>
      <c r="D4681" s="28" t="s">
        <v>48</v>
      </c>
      <c r="E4681" s="28" t="s">
        <v>736</v>
      </c>
      <c r="F4681" s="28" t="s">
        <v>147</v>
      </c>
      <c r="G4681" s="28" t="s">
        <v>148</v>
      </c>
      <c r="H4681" s="28" t="s">
        <v>404</v>
      </c>
      <c r="I4681" s="29" t="n">
        <v>500000</v>
      </c>
      <c r="J4681" s="29" t="n">
        <v>250000</v>
      </c>
      <c r="K4681" s="28" t="n">
        <v>10.25</v>
      </c>
      <c r="L4681" s="28" t="n">
        <v>120</v>
      </c>
      <c r="M4681" s="28" t="n">
        <v>17</v>
      </c>
    </row>
    <row r="4682" customFormat="false" ht="15" hidden="false" customHeight="false" outlineLevel="0" collapsed="false">
      <c r="A4682" s="27" t="n">
        <v>45814</v>
      </c>
      <c r="B4682" s="28" t="n">
        <v>2025</v>
      </c>
      <c r="C4682" s="28" t="s">
        <v>172</v>
      </c>
      <c r="D4682" s="28" t="s">
        <v>46</v>
      </c>
      <c r="E4682" s="28" t="s">
        <v>702</v>
      </c>
      <c r="F4682" s="28" t="s">
        <v>142</v>
      </c>
      <c r="G4682" s="28" t="s">
        <v>143</v>
      </c>
      <c r="H4682" s="28" t="s">
        <v>211</v>
      </c>
      <c r="I4682" s="29" t="n">
        <v>321500</v>
      </c>
      <c r="J4682" s="29" t="n">
        <v>241125</v>
      </c>
      <c r="K4682" s="28" t="n">
        <v>10</v>
      </c>
      <c r="L4682" s="28" t="n">
        <v>120</v>
      </c>
      <c r="M4682" s="28" t="n">
        <v>8</v>
      </c>
    </row>
    <row r="4683" customFormat="false" ht="15" hidden="false" customHeight="false" outlineLevel="0" collapsed="false">
      <c r="A4683" s="27" t="n">
        <v>45815</v>
      </c>
      <c r="B4683" s="28" t="n">
        <v>2025</v>
      </c>
      <c r="C4683" s="28" t="s">
        <v>252</v>
      </c>
      <c r="D4683" s="28" t="s">
        <v>51</v>
      </c>
      <c r="E4683" s="28" t="s">
        <v>779</v>
      </c>
      <c r="F4683" s="28" t="s">
        <v>147</v>
      </c>
      <c r="G4683" s="28" t="s">
        <v>441</v>
      </c>
      <c r="H4683" s="28" t="s">
        <v>159</v>
      </c>
      <c r="I4683" s="29" t="n">
        <v>80000</v>
      </c>
      <c r="J4683" s="29" t="n">
        <v>40000</v>
      </c>
      <c r="K4683" s="28" t="n">
        <v>11.24</v>
      </c>
      <c r="L4683" s="28" t="n">
        <v>60</v>
      </c>
      <c r="M4683" s="28" t="n">
        <v>4</v>
      </c>
    </row>
    <row r="4684" customFormat="false" ht="15" hidden="false" customHeight="false" outlineLevel="0" collapsed="false">
      <c r="A4684" s="27" t="n">
        <v>45815</v>
      </c>
      <c r="B4684" s="28" t="n">
        <v>2025</v>
      </c>
      <c r="C4684" s="28" t="s">
        <v>252</v>
      </c>
      <c r="D4684" s="28" t="s">
        <v>51</v>
      </c>
      <c r="E4684" s="28" t="s">
        <v>779</v>
      </c>
      <c r="F4684" s="28" t="s">
        <v>147</v>
      </c>
      <c r="G4684" s="28" t="s">
        <v>441</v>
      </c>
      <c r="H4684" s="28" t="s">
        <v>159</v>
      </c>
      <c r="I4684" s="29" t="n">
        <v>20000</v>
      </c>
      <c r="J4684" s="29" t="n">
        <v>10000</v>
      </c>
      <c r="K4684" s="28" t="n">
        <v>14</v>
      </c>
      <c r="L4684" s="28" t="n">
        <v>120</v>
      </c>
      <c r="M4684" s="28" t="n">
        <v>4</v>
      </c>
    </row>
    <row r="4685" customFormat="false" ht="15" hidden="false" customHeight="false" outlineLevel="0" collapsed="false">
      <c r="A4685" s="27" t="n">
        <v>45817</v>
      </c>
      <c r="B4685" s="28" t="n">
        <v>2025</v>
      </c>
      <c r="C4685" s="28" t="s">
        <v>257</v>
      </c>
      <c r="D4685" s="28" t="s">
        <v>42</v>
      </c>
      <c r="E4685" s="28" t="s">
        <v>717</v>
      </c>
      <c r="F4685" s="28" t="s">
        <v>194</v>
      </c>
      <c r="G4685" s="28" t="s">
        <v>441</v>
      </c>
      <c r="H4685" s="28" t="s">
        <v>396</v>
      </c>
      <c r="I4685" s="29" t="n">
        <v>272000</v>
      </c>
      <c r="J4685" s="29" t="n">
        <v>204000</v>
      </c>
      <c r="K4685" s="28" t="n">
        <v>7.75</v>
      </c>
      <c r="L4685" s="28" t="n">
        <v>300</v>
      </c>
      <c r="M4685" s="28" t="n">
        <v>11</v>
      </c>
    </row>
    <row r="4686" customFormat="false" ht="15" hidden="false" customHeight="false" outlineLevel="0" collapsed="false">
      <c r="A4686" s="27" t="n">
        <v>45817</v>
      </c>
      <c r="B4686" s="28" t="n">
        <v>2025</v>
      </c>
      <c r="C4686" s="28" t="s">
        <v>384</v>
      </c>
      <c r="D4686" s="28" t="s">
        <v>43</v>
      </c>
      <c r="E4686" s="28" t="s">
        <v>1045</v>
      </c>
      <c r="F4686" s="28" t="s">
        <v>142</v>
      </c>
      <c r="G4686" s="28" t="s">
        <v>143</v>
      </c>
      <c r="H4686" s="28" t="s">
        <v>159</v>
      </c>
      <c r="I4686" s="29" t="n">
        <v>655700</v>
      </c>
      <c r="J4686" s="29" t="n">
        <v>491775</v>
      </c>
      <c r="K4686" s="28" t="n">
        <v>8.5</v>
      </c>
      <c r="L4686" s="28" t="n">
        <v>120</v>
      </c>
      <c r="M4686" s="28" t="n">
        <v>0</v>
      </c>
    </row>
    <row r="4687" customFormat="false" ht="15" hidden="false" customHeight="false" outlineLevel="0" collapsed="false">
      <c r="A4687" s="27" t="n">
        <v>45817</v>
      </c>
      <c r="B4687" s="28" t="n">
        <v>2025</v>
      </c>
      <c r="C4687" s="28" t="s">
        <v>172</v>
      </c>
      <c r="D4687" s="28" t="s">
        <v>44</v>
      </c>
      <c r="E4687" s="28" t="s">
        <v>783</v>
      </c>
      <c r="F4687" s="28" t="s">
        <v>147</v>
      </c>
      <c r="G4687" s="28" t="s">
        <v>441</v>
      </c>
      <c r="H4687" s="28" t="s">
        <v>494</v>
      </c>
      <c r="I4687" s="29" t="n">
        <v>100000</v>
      </c>
      <c r="J4687" s="29" t="n">
        <v>50000</v>
      </c>
      <c r="K4687" s="28" t="n">
        <v>10.25</v>
      </c>
      <c r="L4687" s="28" t="n">
        <v>120</v>
      </c>
      <c r="M4687" s="28" t="n">
        <v>4</v>
      </c>
    </row>
    <row r="4688" customFormat="false" ht="15" hidden="false" customHeight="false" outlineLevel="0" collapsed="false">
      <c r="A4688" s="27" t="n">
        <v>45818</v>
      </c>
      <c r="B4688" s="28" t="n">
        <v>2025</v>
      </c>
      <c r="C4688" s="28" t="s">
        <v>344</v>
      </c>
      <c r="D4688" s="28" t="s">
        <v>44</v>
      </c>
      <c r="E4688" s="28" t="s">
        <v>759</v>
      </c>
      <c r="F4688" s="28" t="s">
        <v>147</v>
      </c>
      <c r="G4688" s="28" t="s">
        <v>441</v>
      </c>
      <c r="H4688" s="28" t="s">
        <v>159</v>
      </c>
      <c r="I4688" s="29" t="n">
        <v>75000</v>
      </c>
      <c r="J4688" s="29" t="n">
        <v>37500</v>
      </c>
      <c r="K4688" s="28" t="n">
        <v>9.99</v>
      </c>
      <c r="L4688" s="28" t="n">
        <v>60</v>
      </c>
      <c r="M4688" s="28" t="n">
        <v>4</v>
      </c>
    </row>
    <row r="4689" customFormat="false" ht="15" hidden="false" customHeight="false" outlineLevel="0" collapsed="false">
      <c r="A4689" s="27" t="n">
        <v>45818</v>
      </c>
      <c r="B4689" s="28" t="n">
        <v>2025</v>
      </c>
      <c r="C4689" s="28" t="s">
        <v>344</v>
      </c>
      <c r="D4689" s="28" t="s">
        <v>44</v>
      </c>
      <c r="E4689" s="28" t="s">
        <v>759</v>
      </c>
      <c r="F4689" s="28" t="s">
        <v>147</v>
      </c>
      <c r="G4689" s="28" t="s">
        <v>441</v>
      </c>
      <c r="H4689" s="28" t="s">
        <v>159</v>
      </c>
      <c r="I4689" s="29" t="n">
        <v>5000</v>
      </c>
      <c r="J4689" s="29" t="n">
        <v>2500</v>
      </c>
      <c r="K4689" s="28" t="n">
        <v>14</v>
      </c>
      <c r="L4689" s="28" t="n">
        <v>120</v>
      </c>
      <c r="M4689" s="28" t="n">
        <v>4</v>
      </c>
    </row>
    <row r="4690" customFormat="false" ht="15" hidden="false" customHeight="false" outlineLevel="0" collapsed="false">
      <c r="A4690" s="27" t="n">
        <v>45818</v>
      </c>
      <c r="B4690" s="28" t="n">
        <v>2025</v>
      </c>
      <c r="C4690" s="28" t="s">
        <v>603</v>
      </c>
      <c r="D4690" s="28" t="s">
        <v>42</v>
      </c>
      <c r="E4690" s="28" t="s">
        <v>828</v>
      </c>
      <c r="F4690" s="28" t="s">
        <v>194</v>
      </c>
      <c r="G4690" s="28" t="s">
        <v>148</v>
      </c>
      <c r="H4690" s="28" t="s">
        <v>619</v>
      </c>
      <c r="I4690" s="29" t="n">
        <v>1494500</v>
      </c>
      <c r="J4690" s="29" t="n">
        <v>1120875</v>
      </c>
      <c r="K4690" s="28" t="n">
        <v>10</v>
      </c>
      <c r="L4690" s="28" t="n">
        <v>300</v>
      </c>
      <c r="M4690" s="28" t="n">
        <v>40</v>
      </c>
    </row>
    <row r="4691" customFormat="false" ht="15" hidden="false" customHeight="false" outlineLevel="0" collapsed="false">
      <c r="A4691" s="27" t="n">
        <v>45818</v>
      </c>
      <c r="B4691" s="28" t="n">
        <v>2025</v>
      </c>
      <c r="C4691" s="28" t="s">
        <v>230</v>
      </c>
      <c r="D4691" s="28" t="s">
        <v>45</v>
      </c>
      <c r="E4691" s="28" t="s">
        <v>740</v>
      </c>
      <c r="F4691" s="28" t="s">
        <v>147</v>
      </c>
      <c r="G4691" s="28" t="s">
        <v>148</v>
      </c>
      <c r="H4691" s="28" t="s">
        <v>159</v>
      </c>
      <c r="I4691" s="29" t="n">
        <v>100000</v>
      </c>
      <c r="J4691" s="29" t="n">
        <v>50000</v>
      </c>
      <c r="K4691" s="28" t="n">
        <v>12</v>
      </c>
      <c r="L4691" s="28" t="n">
        <v>120</v>
      </c>
      <c r="M4691" s="28" t="n">
        <v>10</v>
      </c>
    </row>
    <row r="4692" customFormat="false" ht="15" hidden="false" customHeight="false" outlineLevel="0" collapsed="false">
      <c r="A4692" s="27" t="n">
        <v>45818</v>
      </c>
      <c r="B4692" s="28" t="n">
        <v>2025</v>
      </c>
      <c r="C4692" s="28" t="s">
        <v>272</v>
      </c>
      <c r="D4692" s="28" t="s">
        <v>47</v>
      </c>
      <c r="E4692" s="28" t="s">
        <v>1107</v>
      </c>
      <c r="F4692" s="28" t="s">
        <v>147</v>
      </c>
      <c r="G4692" s="28" t="s">
        <v>148</v>
      </c>
      <c r="H4692" s="28" t="s">
        <v>953</v>
      </c>
      <c r="I4692" s="29" t="n">
        <v>16000</v>
      </c>
      <c r="J4692" s="29" t="n">
        <v>8000</v>
      </c>
      <c r="K4692" s="28" t="n">
        <v>14</v>
      </c>
      <c r="L4692" s="28" t="n">
        <v>120</v>
      </c>
      <c r="M4692" s="28" t="n">
        <v>1</v>
      </c>
    </row>
    <row r="4693" customFormat="false" ht="15" hidden="false" customHeight="false" outlineLevel="0" collapsed="false">
      <c r="A4693" s="27" t="n">
        <v>45818</v>
      </c>
      <c r="B4693" s="28" t="n">
        <v>2025</v>
      </c>
      <c r="C4693" s="28" t="s">
        <v>504</v>
      </c>
      <c r="D4693" s="28" t="s">
        <v>47</v>
      </c>
      <c r="E4693" s="28" t="s">
        <v>327</v>
      </c>
      <c r="F4693" s="28" t="s">
        <v>147</v>
      </c>
      <c r="G4693" s="28" t="s">
        <v>143</v>
      </c>
      <c r="H4693" s="28" t="s">
        <v>396</v>
      </c>
      <c r="I4693" s="29" t="n">
        <v>200000</v>
      </c>
      <c r="J4693" s="29" t="n">
        <v>100000</v>
      </c>
      <c r="K4693" s="28" t="n">
        <v>7.25</v>
      </c>
      <c r="L4693" s="28" t="n">
        <v>84</v>
      </c>
      <c r="M4693" s="28" t="n">
        <v>2</v>
      </c>
    </row>
    <row r="4694" customFormat="false" ht="15" hidden="false" customHeight="false" outlineLevel="0" collapsed="false">
      <c r="A4694" s="27" t="n">
        <v>45819</v>
      </c>
      <c r="B4694" s="28" t="n">
        <v>2025</v>
      </c>
      <c r="C4694" s="28" t="s">
        <v>349</v>
      </c>
      <c r="D4694" s="28" t="s">
        <v>46</v>
      </c>
      <c r="E4694" s="28" t="s">
        <v>807</v>
      </c>
      <c r="F4694" s="28" t="s">
        <v>147</v>
      </c>
      <c r="G4694" s="28" t="s">
        <v>441</v>
      </c>
      <c r="H4694" s="28" t="s">
        <v>1153</v>
      </c>
      <c r="I4694" s="29" t="n">
        <v>140000</v>
      </c>
      <c r="J4694" s="29" t="n">
        <v>70000</v>
      </c>
      <c r="K4694" s="28" t="n">
        <v>8.5</v>
      </c>
      <c r="L4694" s="28" t="n">
        <v>120</v>
      </c>
      <c r="M4694" s="28" t="n">
        <v>2</v>
      </c>
    </row>
    <row r="4695" customFormat="false" ht="15" hidden="false" customHeight="false" outlineLevel="0" collapsed="false">
      <c r="A4695" s="27" t="n">
        <v>45819</v>
      </c>
      <c r="B4695" s="28" t="n">
        <v>2025</v>
      </c>
      <c r="C4695" s="28" t="s">
        <v>160</v>
      </c>
      <c r="D4695" s="28" t="s">
        <v>56</v>
      </c>
      <c r="E4695" s="28" t="s">
        <v>772</v>
      </c>
      <c r="F4695" s="28" t="s">
        <v>147</v>
      </c>
      <c r="G4695" s="28" t="s">
        <v>441</v>
      </c>
      <c r="H4695" s="28" t="s">
        <v>159</v>
      </c>
      <c r="I4695" s="29" t="n">
        <v>30000</v>
      </c>
      <c r="J4695" s="29" t="n">
        <v>15000</v>
      </c>
      <c r="K4695" s="28" t="n">
        <v>10.49</v>
      </c>
      <c r="L4695" s="28" t="n">
        <v>60</v>
      </c>
      <c r="M4695" s="28" t="n">
        <v>4</v>
      </c>
    </row>
    <row r="4696" customFormat="false" ht="15" hidden="false" customHeight="false" outlineLevel="0" collapsed="false">
      <c r="A4696" s="27" t="n">
        <v>45819</v>
      </c>
      <c r="B4696" s="28" t="n">
        <v>2025</v>
      </c>
      <c r="C4696" s="28" t="s">
        <v>243</v>
      </c>
      <c r="D4696" s="28" t="s">
        <v>45</v>
      </c>
      <c r="E4696" s="28" t="s">
        <v>480</v>
      </c>
      <c r="F4696" s="28" t="s">
        <v>147</v>
      </c>
      <c r="G4696" s="28" t="s">
        <v>148</v>
      </c>
      <c r="H4696" s="28" t="s">
        <v>191</v>
      </c>
      <c r="I4696" s="29" t="n">
        <v>25000</v>
      </c>
      <c r="J4696" s="29" t="n">
        <v>12500</v>
      </c>
      <c r="K4696" s="28" t="n">
        <v>11.9</v>
      </c>
      <c r="L4696" s="28" t="n">
        <v>120</v>
      </c>
      <c r="M4696" s="28" t="n">
        <v>0</v>
      </c>
    </row>
    <row r="4697" customFormat="false" ht="15" hidden="false" customHeight="false" outlineLevel="0" collapsed="false">
      <c r="A4697" s="27" t="n">
        <v>45820</v>
      </c>
      <c r="B4697" s="28" t="n">
        <v>2025</v>
      </c>
      <c r="C4697" s="28" t="s">
        <v>640</v>
      </c>
      <c r="D4697" s="28" t="s">
        <v>52</v>
      </c>
      <c r="E4697" s="28" t="s">
        <v>715</v>
      </c>
      <c r="F4697" s="28" t="s">
        <v>142</v>
      </c>
      <c r="G4697" s="28" t="s">
        <v>148</v>
      </c>
      <c r="H4697" s="28" t="s">
        <v>456</v>
      </c>
      <c r="I4697" s="29" t="n">
        <v>150000</v>
      </c>
      <c r="J4697" s="29" t="n">
        <v>127500</v>
      </c>
      <c r="K4697" s="28" t="n">
        <v>10.5</v>
      </c>
      <c r="L4697" s="28" t="n">
        <v>119</v>
      </c>
      <c r="M4697" s="28" t="n">
        <v>6</v>
      </c>
    </row>
    <row r="4698" customFormat="false" ht="15" hidden="false" customHeight="false" outlineLevel="0" collapsed="false">
      <c r="A4698" s="27" t="n">
        <v>45820</v>
      </c>
      <c r="B4698" s="28" t="n">
        <v>2025</v>
      </c>
      <c r="C4698" s="28" t="s">
        <v>172</v>
      </c>
      <c r="D4698" s="28" t="s">
        <v>44</v>
      </c>
      <c r="E4698" s="28" t="s">
        <v>783</v>
      </c>
      <c r="F4698" s="28" t="s">
        <v>142</v>
      </c>
      <c r="G4698" s="28" t="s">
        <v>441</v>
      </c>
      <c r="H4698" s="28" t="s">
        <v>494</v>
      </c>
      <c r="I4698" s="29" t="n">
        <v>1660000</v>
      </c>
      <c r="J4698" s="29" t="n">
        <v>1245000</v>
      </c>
      <c r="K4698" s="28" t="n">
        <v>8.9</v>
      </c>
      <c r="L4698" s="28" t="n">
        <v>205</v>
      </c>
      <c r="M4698" s="28" t="n">
        <v>4</v>
      </c>
    </row>
    <row r="4699" customFormat="false" ht="15" hidden="false" customHeight="false" outlineLevel="0" collapsed="false">
      <c r="A4699" s="27" t="n">
        <v>45820</v>
      </c>
      <c r="B4699" s="28" t="n">
        <v>2025</v>
      </c>
      <c r="C4699" s="28" t="s">
        <v>172</v>
      </c>
      <c r="D4699" s="28" t="s">
        <v>50</v>
      </c>
      <c r="E4699" s="28" t="s">
        <v>785</v>
      </c>
      <c r="F4699" s="28" t="s">
        <v>142</v>
      </c>
      <c r="G4699" s="28" t="s">
        <v>152</v>
      </c>
      <c r="H4699" s="28" t="s">
        <v>1060</v>
      </c>
      <c r="I4699" s="29" t="n">
        <v>250000</v>
      </c>
      <c r="J4699" s="29" t="n">
        <v>187500</v>
      </c>
      <c r="K4699" s="28" t="n">
        <v>10.25</v>
      </c>
      <c r="L4699" s="28" t="n">
        <v>120</v>
      </c>
      <c r="M4699" s="28" t="n">
        <v>4</v>
      </c>
    </row>
    <row r="4700" customFormat="false" ht="15" hidden="false" customHeight="false" outlineLevel="0" collapsed="false">
      <c r="A4700" s="27" t="n">
        <v>45821</v>
      </c>
      <c r="B4700" s="28" t="n">
        <v>2025</v>
      </c>
      <c r="C4700" s="28" t="s">
        <v>172</v>
      </c>
      <c r="D4700" s="28" t="s">
        <v>48</v>
      </c>
      <c r="E4700" s="28" t="s">
        <v>765</v>
      </c>
      <c r="F4700" s="28" t="s">
        <v>142</v>
      </c>
      <c r="G4700" s="28" t="s">
        <v>148</v>
      </c>
      <c r="H4700" s="28" t="s">
        <v>165</v>
      </c>
      <c r="I4700" s="29" t="n">
        <v>1554000</v>
      </c>
      <c r="J4700" s="29" t="n">
        <v>1165500</v>
      </c>
      <c r="K4700" s="28" t="n">
        <v>8.99</v>
      </c>
      <c r="L4700" s="28" t="n">
        <v>120</v>
      </c>
      <c r="M4700" s="28" t="n">
        <v>89</v>
      </c>
    </row>
    <row r="4701" customFormat="false" ht="15" hidden="false" customHeight="false" outlineLevel="0" collapsed="false">
      <c r="A4701" s="27" t="n">
        <v>45824</v>
      </c>
      <c r="B4701" s="28" t="n">
        <v>2025</v>
      </c>
      <c r="C4701" s="28" t="s">
        <v>160</v>
      </c>
      <c r="D4701" s="28" t="s">
        <v>56</v>
      </c>
      <c r="E4701" s="28" t="s">
        <v>772</v>
      </c>
      <c r="F4701" s="28" t="s">
        <v>147</v>
      </c>
      <c r="G4701" s="28" t="s">
        <v>441</v>
      </c>
      <c r="H4701" s="28" t="s">
        <v>159</v>
      </c>
      <c r="I4701" s="29" t="n">
        <v>20000</v>
      </c>
      <c r="J4701" s="29" t="n">
        <v>10000</v>
      </c>
      <c r="K4701" s="28" t="n">
        <v>14</v>
      </c>
      <c r="L4701" s="28" t="n">
        <v>120</v>
      </c>
      <c r="M4701" s="28" t="n">
        <v>4</v>
      </c>
    </row>
    <row r="4702" customFormat="false" ht="15" hidden="false" customHeight="false" outlineLevel="0" collapsed="false">
      <c r="A4702" s="27" t="n">
        <v>45824</v>
      </c>
      <c r="B4702" s="28" t="n">
        <v>2025</v>
      </c>
      <c r="C4702" s="28" t="s">
        <v>169</v>
      </c>
      <c r="D4702" s="28" t="s">
        <v>47</v>
      </c>
      <c r="E4702" s="28" t="s">
        <v>1132</v>
      </c>
      <c r="F4702" s="28" t="s">
        <v>147</v>
      </c>
      <c r="G4702" s="28" t="s">
        <v>441</v>
      </c>
      <c r="H4702" s="28" t="s">
        <v>291</v>
      </c>
      <c r="I4702" s="29" t="n">
        <v>381000</v>
      </c>
      <c r="J4702" s="29" t="n">
        <v>190500</v>
      </c>
      <c r="K4702" s="28" t="n">
        <v>9.75</v>
      </c>
      <c r="L4702" s="28" t="n">
        <v>120</v>
      </c>
      <c r="M4702" s="28" t="n">
        <v>12</v>
      </c>
    </row>
    <row r="4703" customFormat="false" ht="15" hidden="false" customHeight="false" outlineLevel="0" collapsed="false">
      <c r="A4703" s="27" t="n">
        <v>45824</v>
      </c>
      <c r="B4703" s="28" t="n">
        <v>2025</v>
      </c>
      <c r="C4703" s="28" t="s">
        <v>169</v>
      </c>
      <c r="D4703" s="28" t="s">
        <v>47</v>
      </c>
      <c r="E4703" s="28" t="s">
        <v>1132</v>
      </c>
      <c r="F4703" s="28" t="s">
        <v>142</v>
      </c>
      <c r="G4703" s="28" t="s">
        <v>148</v>
      </c>
      <c r="H4703" s="28" t="s">
        <v>291</v>
      </c>
      <c r="I4703" s="29" t="n">
        <v>1169500</v>
      </c>
      <c r="J4703" s="29" t="n">
        <v>877125</v>
      </c>
      <c r="K4703" s="28" t="n">
        <v>9.75</v>
      </c>
      <c r="L4703" s="28" t="n">
        <v>129</v>
      </c>
      <c r="M4703" s="28" t="n">
        <v>12</v>
      </c>
    </row>
    <row r="4704" customFormat="false" ht="15" hidden="false" customHeight="false" outlineLevel="0" collapsed="false">
      <c r="A4704" s="27" t="n">
        <v>45825</v>
      </c>
      <c r="B4704" s="28" t="n">
        <v>2025</v>
      </c>
      <c r="C4704" s="28" t="s">
        <v>206</v>
      </c>
      <c r="D4704" s="28" t="s">
        <v>44</v>
      </c>
      <c r="E4704" s="28" t="s">
        <v>759</v>
      </c>
      <c r="F4704" s="28" t="s">
        <v>147</v>
      </c>
      <c r="G4704" s="28" t="s">
        <v>143</v>
      </c>
      <c r="H4704" s="28" t="s">
        <v>159</v>
      </c>
      <c r="I4704" s="29" t="n">
        <v>50000</v>
      </c>
      <c r="J4704" s="29" t="n">
        <v>25000</v>
      </c>
      <c r="K4704" s="28" t="n">
        <v>10.5</v>
      </c>
      <c r="L4704" s="28" t="n">
        <v>60</v>
      </c>
      <c r="M4704" s="28" t="n">
        <v>2</v>
      </c>
    </row>
    <row r="4705" customFormat="false" ht="15" hidden="false" customHeight="false" outlineLevel="0" collapsed="false">
      <c r="A4705" s="27" t="n">
        <v>45826</v>
      </c>
      <c r="B4705" s="28" t="n">
        <v>2025</v>
      </c>
      <c r="C4705" s="28" t="s">
        <v>235</v>
      </c>
      <c r="D4705" s="28" t="s">
        <v>42</v>
      </c>
      <c r="E4705" s="28" t="s">
        <v>705</v>
      </c>
      <c r="F4705" s="28" t="s">
        <v>142</v>
      </c>
      <c r="G4705" s="28" t="s">
        <v>143</v>
      </c>
      <c r="H4705" s="28" t="s">
        <v>827</v>
      </c>
      <c r="I4705" s="29" t="n">
        <v>4295000</v>
      </c>
      <c r="J4705" s="29" t="n">
        <v>3221250</v>
      </c>
      <c r="K4705" s="28" t="n">
        <v>9</v>
      </c>
      <c r="L4705" s="28" t="n">
        <v>312</v>
      </c>
      <c r="M4705" s="28" t="n">
        <v>20</v>
      </c>
    </row>
    <row r="4706" customFormat="false" ht="15" hidden="false" customHeight="false" outlineLevel="0" collapsed="false">
      <c r="A4706" s="27" t="n">
        <v>45826</v>
      </c>
      <c r="B4706" s="28" t="n">
        <v>2025</v>
      </c>
      <c r="C4706" s="28" t="s">
        <v>145</v>
      </c>
      <c r="D4706" s="28" t="s">
        <v>46</v>
      </c>
      <c r="E4706" s="28" t="s">
        <v>770</v>
      </c>
      <c r="F4706" s="28" t="s">
        <v>194</v>
      </c>
      <c r="G4706" s="28" t="s">
        <v>441</v>
      </c>
      <c r="H4706" s="28" t="s">
        <v>799</v>
      </c>
      <c r="I4706" s="29" t="n">
        <v>678400</v>
      </c>
      <c r="J4706" s="29" t="n">
        <v>508800</v>
      </c>
      <c r="K4706" s="28" t="n">
        <v>9</v>
      </c>
      <c r="L4706" s="28" t="n">
        <v>120</v>
      </c>
      <c r="M4706" s="28" t="n">
        <v>45</v>
      </c>
    </row>
    <row r="4707" customFormat="false" ht="15" hidden="false" customHeight="false" outlineLevel="0" collapsed="false">
      <c r="A4707" s="27" t="n">
        <v>45826</v>
      </c>
      <c r="B4707" s="28" t="n">
        <v>2025</v>
      </c>
      <c r="C4707" s="28" t="s">
        <v>230</v>
      </c>
      <c r="D4707" s="28" t="s">
        <v>46</v>
      </c>
      <c r="E4707" s="28" t="s">
        <v>746</v>
      </c>
      <c r="F4707" s="28" t="s">
        <v>142</v>
      </c>
      <c r="G4707" s="28" t="s">
        <v>148</v>
      </c>
      <c r="H4707" s="28" t="s">
        <v>619</v>
      </c>
      <c r="I4707" s="29" t="n">
        <v>2932500</v>
      </c>
      <c r="J4707" s="29" t="n">
        <v>2199375</v>
      </c>
      <c r="K4707" s="28" t="n">
        <v>9.5</v>
      </c>
      <c r="L4707" s="28" t="n">
        <v>300</v>
      </c>
      <c r="M4707" s="28" t="n">
        <v>0</v>
      </c>
    </row>
    <row r="4708" customFormat="false" ht="15" hidden="false" customHeight="false" outlineLevel="0" collapsed="false">
      <c r="A4708" s="27" t="n">
        <v>45826</v>
      </c>
      <c r="B4708" s="28" t="n">
        <v>2025</v>
      </c>
      <c r="C4708" s="28" t="s">
        <v>160</v>
      </c>
      <c r="D4708" s="28" t="s">
        <v>48</v>
      </c>
      <c r="E4708" s="28" t="s">
        <v>304</v>
      </c>
      <c r="F4708" s="28" t="s">
        <v>147</v>
      </c>
      <c r="G4708" s="28" t="s">
        <v>441</v>
      </c>
      <c r="H4708" s="28" t="s">
        <v>159</v>
      </c>
      <c r="I4708" s="29" t="n">
        <v>15000</v>
      </c>
      <c r="J4708" s="29" t="n">
        <v>7500</v>
      </c>
      <c r="K4708" s="28" t="n">
        <v>14</v>
      </c>
      <c r="L4708" s="28" t="n">
        <v>120</v>
      </c>
      <c r="M4708" s="28" t="n">
        <v>0</v>
      </c>
    </row>
    <row r="4709" customFormat="false" ht="15" hidden="false" customHeight="false" outlineLevel="0" collapsed="false">
      <c r="A4709" s="27" t="n">
        <v>45829</v>
      </c>
      <c r="B4709" s="28" t="n">
        <v>2025</v>
      </c>
      <c r="C4709" s="28" t="s">
        <v>163</v>
      </c>
      <c r="D4709" s="28" t="s">
        <v>56</v>
      </c>
      <c r="E4709" s="28" t="s">
        <v>772</v>
      </c>
      <c r="F4709" s="28" t="s">
        <v>142</v>
      </c>
      <c r="G4709" s="28" t="s">
        <v>148</v>
      </c>
      <c r="H4709" s="28" t="s">
        <v>1150</v>
      </c>
      <c r="I4709" s="29" t="n">
        <v>60000</v>
      </c>
      <c r="J4709" s="29" t="n">
        <v>51000</v>
      </c>
      <c r="K4709" s="28" t="n">
        <v>13.25</v>
      </c>
      <c r="L4709" s="28" t="n">
        <v>120</v>
      </c>
      <c r="M4709" s="28" t="n">
        <v>0</v>
      </c>
    </row>
    <row r="4710" customFormat="false" ht="15" hidden="false" customHeight="false" outlineLevel="0" collapsed="false">
      <c r="A4710" s="27" t="n">
        <v>45831</v>
      </c>
      <c r="B4710" s="28" t="n">
        <v>2025</v>
      </c>
      <c r="C4710" s="28" t="s">
        <v>140</v>
      </c>
      <c r="D4710" s="28" t="s">
        <v>52</v>
      </c>
      <c r="E4710" s="28" t="s">
        <v>720</v>
      </c>
      <c r="F4710" s="28" t="s">
        <v>147</v>
      </c>
      <c r="G4710" s="28" t="s">
        <v>441</v>
      </c>
      <c r="H4710" s="28" t="s">
        <v>168</v>
      </c>
      <c r="I4710" s="29" t="n">
        <v>15000</v>
      </c>
      <c r="J4710" s="29" t="n">
        <v>7500</v>
      </c>
      <c r="K4710" s="28" t="n">
        <v>14</v>
      </c>
      <c r="L4710" s="28" t="n">
        <v>120</v>
      </c>
      <c r="M4710" s="28" t="n">
        <v>2</v>
      </c>
    </row>
    <row r="4711" customFormat="false" ht="15" hidden="false" customHeight="false" outlineLevel="0" collapsed="false">
      <c r="A4711" s="27" t="n">
        <v>45831</v>
      </c>
      <c r="B4711" s="28" t="n">
        <v>2025</v>
      </c>
      <c r="C4711" s="28" t="s">
        <v>175</v>
      </c>
      <c r="D4711" s="28" t="s">
        <v>51</v>
      </c>
      <c r="E4711" s="28" t="s">
        <v>779</v>
      </c>
      <c r="F4711" s="28" t="s">
        <v>142</v>
      </c>
      <c r="G4711" s="28" t="s">
        <v>148</v>
      </c>
      <c r="H4711" s="28" t="s">
        <v>953</v>
      </c>
      <c r="I4711" s="29" t="n">
        <v>1500000</v>
      </c>
      <c r="J4711" s="29" t="n">
        <v>1125000</v>
      </c>
      <c r="K4711" s="28" t="n">
        <v>10.5</v>
      </c>
      <c r="L4711" s="28" t="n">
        <v>120</v>
      </c>
      <c r="M4711" s="28" t="n">
        <v>130</v>
      </c>
    </row>
    <row r="4712" customFormat="false" ht="15" hidden="false" customHeight="false" outlineLevel="0" collapsed="false">
      <c r="A4712" s="27" t="n">
        <v>45831</v>
      </c>
      <c r="B4712" s="28" t="n">
        <v>2025</v>
      </c>
      <c r="C4712" s="28" t="s">
        <v>272</v>
      </c>
      <c r="D4712" s="28" t="s">
        <v>44</v>
      </c>
      <c r="E4712" s="28" t="s">
        <v>751</v>
      </c>
      <c r="F4712" s="28" t="s">
        <v>147</v>
      </c>
      <c r="G4712" s="28" t="s">
        <v>148</v>
      </c>
      <c r="H4712" s="28" t="s">
        <v>159</v>
      </c>
      <c r="I4712" s="29" t="n">
        <v>99000</v>
      </c>
      <c r="J4712" s="29" t="n">
        <v>49500</v>
      </c>
      <c r="K4712" s="28" t="n">
        <v>9.99</v>
      </c>
      <c r="L4712" s="28" t="n">
        <v>60</v>
      </c>
      <c r="M4712" s="28" t="n">
        <v>2</v>
      </c>
    </row>
    <row r="4713" customFormat="false" ht="15" hidden="false" customHeight="false" outlineLevel="0" collapsed="false">
      <c r="A4713" s="27" t="n">
        <v>45832</v>
      </c>
      <c r="B4713" s="28" t="n">
        <v>2025</v>
      </c>
      <c r="C4713" s="28" t="s">
        <v>252</v>
      </c>
      <c r="D4713" s="28" t="s">
        <v>45</v>
      </c>
      <c r="E4713" s="28" t="s">
        <v>356</v>
      </c>
      <c r="F4713" s="28" t="s">
        <v>147</v>
      </c>
      <c r="G4713" s="28" t="s">
        <v>148</v>
      </c>
      <c r="H4713" s="28" t="s">
        <v>159</v>
      </c>
      <c r="I4713" s="29" t="n">
        <v>250000</v>
      </c>
      <c r="J4713" s="29" t="n">
        <v>125000</v>
      </c>
      <c r="K4713" s="28" t="n">
        <v>8.5</v>
      </c>
      <c r="L4713" s="28" t="n">
        <v>120</v>
      </c>
      <c r="M4713" s="28" t="n">
        <v>0</v>
      </c>
    </row>
    <row r="4714" customFormat="false" ht="15" hidden="false" customHeight="false" outlineLevel="0" collapsed="false">
      <c r="A4714" s="27" t="n">
        <v>45832</v>
      </c>
      <c r="B4714" s="28" t="n">
        <v>2025</v>
      </c>
      <c r="C4714" s="28" t="s">
        <v>160</v>
      </c>
      <c r="D4714" s="28" t="s">
        <v>43</v>
      </c>
      <c r="E4714" s="28" t="s">
        <v>899</v>
      </c>
      <c r="F4714" s="28" t="s">
        <v>147</v>
      </c>
      <c r="G4714" s="28" t="s">
        <v>143</v>
      </c>
      <c r="H4714" s="28" t="s">
        <v>211</v>
      </c>
      <c r="I4714" s="29" t="n">
        <v>20000</v>
      </c>
      <c r="J4714" s="29" t="n">
        <v>10000</v>
      </c>
      <c r="K4714" s="28" t="n">
        <v>10.25</v>
      </c>
      <c r="L4714" s="28" t="n">
        <v>120</v>
      </c>
      <c r="M4714" s="28" t="n">
        <v>3</v>
      </c>
    </row>
    <row r="4715" customFormat="false" ht="15" hidden="false" customHeight="false" outlineLevel="0" collapsed="false">
      <c r="A4715" s="27" t="n">
        <v>45832</v>
      </c>
      <c r="B4715" s="28" t="n">
        <v>2025</v>
      </c>
      <c r="C4715" s="28" t="s">
        <v>160</v>
      </c>
      <c r="D4715" s="28" t="s">
        <v>43</v>
      </c>
      <c r="E4715" s="28" t="s">
        <v>899</v>
      </c>
      <c r="F4715" s="28" t="s">
        <v>142</v>
      </c>
      <c r="G4715" s="28" t="s">
        <v>143</v>
      </c>
      <c r="H4715" s="28" t="s">
        <v>211</v>
      </c>
      <c r="I4715" s="29" t="n">
        <v>193300</v>
      </c>
      <c r="J4715" s="29" t="n">
        <v>144975</v>
      </c>
      <c r="K4715" s="28" t="n">
        <v>10.25</v>
      </c>
      <c r="L4715" s="28" t="n">
        <v>120</v>
      </c>
      <c r="M4715" s="28" t="n">
        <v>3</v>
      </c>
    </row>
    <row r="4716" customFormat="false" ht="15" hidden="false" customHeight="false" outlineLevel="0" collapsed="false">
      <c r="A4716" s="27" t="n">
        <v>45833</v>
      </c>
      <c r="B4716" s="28" t="n">
        <v>2025</v>
      </c>
      <c r="C4716" s="28" t="s">
        <v>172</v>
      </c>
      <c r="D4716" s="28" t="s">
        <v>42</v>
      </c>
      <c r="E4716" s="28" t="s">
        <v>717</v>
      </c>
      <c r="F4716" s="28" t="s">
        <v>142</v>
      </c>
      <c r="G4716" s="28" t="s">
        <v>143</v>
      </c>
      <c r="H4716" s="28" t="s">
        <v>621</v>
      </c>
      <c r="I4716" s="29" t="n">
        <v>990200</v>
      </c>
      <c r="J4716" s="29" t="n">
        <v>742650</v>
      </c>
      <c r="K4716" s="28" t="n">
        <v>9.75</v>
      </c>
      <c r="L4716" s="28" t="n">
        <v>132</v>
      </c>
      <c r="M4716" s="28" t="n">
        <v>14</v>
      </c>
    </row>
    <row r="4717" customFormat="false" ht="15" hidden="false" customHeight="false" outlineLevel="0" collapsed="false">
      <c r="A4717" s="27" t="n">
        <v>45833</v>
      </c>
      <c r="B4717" s="28" t="n">
        <v>2025</v>
      </c>
      <c r="C4717" s="28" t="s">
        <v>172</v>
      </c>
      <c r="D4717" s="28" t="s">
        <v>46</v>
      </c>
      <c r="E4717" s="28" t="s">
        <v>1028</v>
      </c>
      <c r="F4717" s="28" t="s">
        <v>142</v>
      </c>
      <c r="G4717" s="28" t="s">
        <v>441</v>
      </c>
      <c r="H4717" s="28" t="s">
        <v>205</v>
      </c>
      <c r="I4717" s="29" t="n">
        <v>554500</v>
      </c>
      <c r="J4717" s="29" t="n">
        <v>415875</v>
      </c>
      <c r="K4717" s="28" t="n">
        <v>7.5</v>
      </c>
      <c r="L4717" s="28" t="n">
        <v>120</v>
      </c>
      <c r="M4717" s="28" t="n">
        <v>14</v>
      </c>
    </row>
    <row r="4718" customFormat="false" ht="15" hidden="false" customHeight="false" outlineLevel="0" collapsed="false">
      <c r="A4718" s="27" t="n">
        <v>45833</v>
      </c>
      <c r="B4718" s="28" t="n">
        <v>2025</v>
      </c>
      <c r="C4718" s="28" t="s">
        <v>172</v>
      </c>
      <c r="D4718" s="28" t="s">
        <v>46</v>
      </c>
      <c r="E4718" s="28" t="s">
        <v>727</v>
      </c>
      <c r="F4718" s="28" t="s">
        <v>142</v>
      </c>
      <c r="G4718" s="28" t="s">
        <v>441</v>
      </c>
      <c r="H4718" s="28" t="s">
        <v>168</v>
      </c>
      <c r="I4718" s="29" t="n">
        <v>275000</v>
      </c>
      <c r="J4718" s="29" t="n">
        <v>206250</v>
      </c>
      <c r="K4718" s="28" t="n">
        <v>7.95</v>
      </c>
      <c r="L4718" s="28" t="n">
        <v>126</v>
      </c>
      <c r="M4718" s="28" t="n">
        <v>8</v>
      </c>
    </row>
    <row r="4719" customFormat="false" ht="15" hidden="false" customHeight="false" outlineLevel="0" collapsed="false">
      <c r="A4719" s="27" t="n">
        <v>45833</v>
      </c>
      <c r="B4719" s="28" t="n">
        <v>2025</v>
      </c>
      <c r="C4719" s="28" t="s">
        <v>500</v>
      </c>
      <c r="D4719" s="28" t="s">
        <v>48</v>
      </c>
      <c r="E4719" s="28" t="s">
        <v>765</v>
      </c>
      <c r="F4719" s="28" t="s">
        <v>147</v>
      </c>
      <c r="G4719" s="28" t="s">
        <v>441</v>
      </c>
      <c r="H4719" s="28" t="s">
        <v>159</v>
      </c>
      <c r="I4719" s="29" t="n">
        <v>25000</v>
      </c>
      <c r="J4719" s="29" t="n">
        <v>12500</v>
      </c>
      <c r="K4719" s="28" t="n">
        <v>14</v>
      </c>
      <c r="L4719" s="28" t="n">
        <v>120</v>
      </c>
      <c r="M4719" s="28" t="n">
        <v>2</v>
      </c>
    </row>
    <row r="4720" customFormat="false" ht="15" hidden="false" customHeight="false" outlineLevel="0" collapsed="false">
      <c r="A4720" s="27" t="n">
        <v>45833</v>
      </c>
      <c r="B4720" s="28" t="n">
        <v>2025</v>
      </c>
      <c r="C4720" s="28" t="s">
        <v>169</v>
      </c>
      <c r="D4720" s="28" t="s">
        <v>48</v>
      </c>
      <c r="E4720" s="28" t="s">
        <v>840</v>
      </c>
      <c r="F4720" s="28" t="s">
        <v>142</v>
      </c>
      <c r="G4720" s="28" t="s">
        <v>148</v>
      </c>
      <c r="H4720" s="28" t="s">
        <v>275</v>
      </c>
      <c r="I4720" s="29" t="n">
        <v>105000</v>
      </c>
      <c r="J4720" s="29" t="n">
        <v>89250</v>
      </c>
      <c r="K4720" s="28" t="n">
        <v>10.25</v>
      </c>
      <c r="L4720" s="28" t="n">
        <v>120</v>
      </c>
      <c r="M4720" s="28" t="n">
        <v>0</v>
      </c>
    </row>
    <row r="4721" customFormat="false" ht="15" hidden="false" customHeight="false" outlineLevel="0" collapsed="false">
      <c r="A4721" s="27" t="n">
        <v>45833</v>
      </c>
      <c r="B4721" s="28" t="n">
        <v>2025</v>
      </c>
      <c r="C4721" s="28" t="s">
        <v>172</v>
      </c>
      <c r="D4721" s="28" t="s">
        <v>46</v>
      </c>
      <c r="E4721" s="28" t="s">
        <v>1028</v>
      </c>
      <c r="F4721" s="28" t="s">
        <v>147</v>
      </c>
      <c r="G4721" s="28" t="s">
        <v>441</v>
      </c>
      <c r="H4721" s="28" t="s">
        <v>205</v>
      </c>
      <c r="I4721" s="29" t="n">
        <v>100000</v>
      </c>
      <c r="J4721" s="29" t="n">
        <v>50000</v>
      </c>
      <c r="K4721" s="28" t="n">
        <v>9</v>
      </c>
      <c r="L4721" s="28" t="n">
        <v>120</v>
      </c>
      <c r="M4721" s="28" t="n">
        <v>14</v>
      </c>
    </row>
    <row r="4722" customFormat="false" ht="15" hidden="false" customHeight="false" outlineLevel="0" collapsed="false">
      <c r="A4722" s="27" t="n">
        <v>45834</v>
      </c>
      <c r="B4722" s="28" t="n">
        <v>2025</v>
      </c>
      <c r="C4722" s="28" t="s">
        <v>166</v>
      </c>
      <c r="D4722" s="28" t="s">
        <v>42</v>
      </c>
      <c r="E4722" s="28" t="s">
        <v>717</v>
      </c>
      <c r="F4722" s="28" t="s">
        <v>142</v>
      </c>
      <c r="G4722" s="28" t="s">
        <v>152</v>
      </c>
      <c r="H4722" s="28" t="s">
        <v>1060</v>
      </c>
      <c r="I4722" s="29" t="n">
        <v>330000</v>
      </c>
      <c r="J4722" s="29" t="n">
        <v>247500</v>
      </c>
      <c r="K4722" s="28" t="n">
        <v>10.5</v>
      </c>
      <c r="L4722" s="28" t="n">
        <v>120</v>
      </c>
      <c r="M4722" s="28" t="n">
        <v>21</v>
      </c>
    </row>
    <row r="4723" customFormat="false" ht="15" hidden="false" customHeight="false" outlineLevel="0" collapsed="false">
      <c r="A4723" s="27" t="n">
        <v>45834</v>
      </c>
      <c r="B4723" s="28" t="n">
        <v>2025</v>
      </c>
      <c r="C4723" s="28" t="s">
        <v>163</v>
      </c>
      <c r="D4723" s="28" t="s">
        <v>42</v>
      </c>
      <c r="E4723" s="28" t="s">
        <v>717</v>
      </c>
      <c r="F4723" s="28" t="s">
        <v>142</v>
      </c>
      <c r="G4723" s="28" t="s">
        <v>143</v>
      </c>
      <c r="H4723" s="28" t="s">
        <v>211</v>
      </c>
      <c r="I4723" s="29" t="n">
        <v>1951800</v>
      </c>
      <c r="J4723" s="29" t="n">
        <v>1463850</v>
      </c>
      <c r="K4723" s="28" t="n">
        <v>10.5</v>
      </c>
      <c r="L4723" s="28" t="n">
        <v>132</v>
      </c>
      <c r="M4723" s="28" t="n">
        <v>21</v>
      </c>
    </row>
    <row r="4724" customFormat="false" ht="15" hidden="false" customHeight="false" outlineLevel="0" collapsed="false">
      <c r="A4724" s="27" t="n">
        <v>45835</v>
      </c>
      <c r="B4724" s="28" t="n">
        <v>2025</v>
      </c>
      <c r="C4724" s="28" t="s">
        <v>166</v>
      </c>
      <c r="D4724" s="28" t="s">
        <v>50</v>
      </c>
      <c r="E4724" s="28" t="s">
        <v>724</v>
      </c>
      <c r="F4724" s="28" t="s">
        <v>142</v>
      </c>
      <c r="G4724" s="28" t="s">
        <v>143</v>
      </c>
      <c r="H4724" s="28" t="s">
        <v>287</v>
      </c>
      <c r="I4724" s="29" t="n">
        <v>150000</v>
      </c>
      <c r="J4724" s="29" t="n">
        <v>127500</v>
      </c>
      <c r="K4724" s="28" t="n">
        <v>10.25</v>
      </c>
      <c r="L4724" s="28" t="n">
        <v>120</v>
      </c>
      <c r="M4724" s="28" t="n">
        <v>3</v>
      </c>
    </row>
    <row r="4725" customFormat="false" ht="15" hidden="false" customHeight="false" outlineLevel="0" collapsed="false">
      <c r="A4725" s="27" t="n">
        <v>45835</v>
      </c>
      <c r="B4725" s="28" t="n">
        <v>2025</v>
      </c>
      <c r="C4725" s="28" t="s">
        <v>166</v>
      </c>
      <c r="D4725" s="28" t="s">
        <v>46</v>
      </c>
      <c r="E4725" s="28" t="s">
        <v>813</v>
      </c>
      <c r="F4725" s="28" t="s">
        <v>147</v>
      </c>
      <c r="G4725" s="28" t="s">
        <v>148</v>
      </c>
      <c r="H4725" s="28" t="s">
        <v>159</v>
      </c>
      <c r="I4725" s="29" t="n">
        <v>50000</v>
      </c>
      <c r="J4725" s="29" t="n">
        <v>25000</v>
      </c>
      <c r="K4725" s="28" t="n">
        <v>11.25</v>
      </c>
      <c r="L4725" s="28" t="n">
        <v>120</v>
      </c>
      <c r="M4725" s="28" t="n">
        <v>0</v>
      </c>
    </row>
    <row r="4726" customFormat="false" ht="15" hidden="false" customHeight="false" outlineLevel="0" collapsed="false">
      <c r="A4726" s="27" t="n">
        <v>45835</v>
      </c>
      <c r="B4726" s="28" t="n">
        <v>2025</v>
      </c>
      <c r="C4726" s="28" t="s">
        <v>166</v>
      </c>
      <c r="D4726" s="28" t="s">
        <v>48</v>
      </c>
      <c r="E4726" s="28" t="s">
        <v>709</v>
      </c>
      <c r="F4726" s="28" t="s">
        <v>142</v>
      </c>
      <c r="G4726" s="28" t="s">
        <v>148</v>
      </c>
      <c r="H4726" s="28" t="s">
        <v>771</v>
      </c>
      <c r="I4726" s="29" t="n">
        <v>100000</v>
      </c>
      <c r="J4726" s="29" t="n">
        <v>85000</v>
      </c>
      <c r="K4726" s="28" t="n">
        <v>13.25</v>
      </c>
      <c r="L4726" s="28" t="n">
        <v>120</v>
      </c>
      <c r="M4726" s="28" t="n">
        <v>2</v>
      </c>
    </row>
    <row r="4727" customFormat="false" ht="15" hidden="false" customHeight="false" outlineLevel="0" collapsed="false">
      <c r="A4727" s="27" t="n">
        <v>45835</v>
      </c>
      <c r="B4727" s="28" t="n">
        <v>2025</v>
      </c>
      <c r="C4727" s="28" t="s">
        <v>357</v>
      </c>
      <c r="D4727" s="28" t="s">
        <v>50</v>
      </c>
      <c r="E4727" s="28" t="s">
        <v>193</v>
      </c>
      <c r="F4727" s="28" t="s">
        <v>142</v>
      </c>
      <c r="G4727" s="28" t="s">
        <v>148</v>
      </c>
      <c r="H4727" s="28" t="s">
        <v>165</v>
      </c>
      <c r="I4727" s="29" t="n">
        <v>890000</v>
      </c>
      <c r="J4727" s="29" t="n">
        <v>667500</v>
      </c>
      <c r="K4727" s="28" t="n">
        <v>7.9</v>
      </c>
      <c r="L4727" s="28" t="n">
        <v>120</v>
      </c>
      <c r="M4727" s="28" t="n">
        <v>0</v>
      </c>
    </row>
    <row r="4728" customFormat="false" ht="15" hidden="false" customHeight="false" outlineLevel="0" collapsed="false">
      <c r="A4728" s="27" t="n">
        <v>45835</v>
      </c>
      <c r="B4728" s="28" t="n">
        <v>2025</v>
      </c>
      <c r="C4728" s="28" t="s">
        <v>172</v>
      </c>
      <c r="D4728" s="28" t="s">
        <v>48</v>
      </c>
      <c r="E4728" s="28" t="s">
        <v>767</v>
      </c>
      <c r="F4728" s="28" t="s">
        <v>142</v>
      </c>
      <c r="G4728" s="28" t="s">
        <v>148</v>
      </c>
      <c r="H4728" s="28" t="s">
        <v>1001</v>
      </c>
      <c r="I4728" s="29" t="n">
        <v>350000</v>
      </c>
      <c r="J4728" s="29" t="n">
        <v>262500</v>
      </c>
      <c r="K4728" s="28" t="n">
        <v>10.5</v>
      </c>
      <c r="L4728" s="28" t="n">
        <v>120</v>
      </c>
      <c r="M4728" s="28" t="n">
        <v>45</v>
      </c>
    </row>
    <row r="4729" customFormat="false" ht="15" hidden="false" customHeight="false" outlineLevel="0" collapsed="false">
      <c r="A4729" s="27" t="n">
        <v>45836</v>
      </c>
      <c r="B4729" s="28" t="n">
        <v>2025</v>
      </c>
      <c r="C4729" s="28" t="s">
        <v>344</v>
      </c>
      <c r="D4729" s="28" t="s">
        <v>48</v>
      </c>
      <c r="E4729" s="28" t="s">
        <v>270</v>
      </c>
      <c r="F4729" s="28" t="s">
        <v>142</v>
      </c>
      <c r="G4729" s="28" t="s">
        <v>152</v>
      </c>
      <c r="H4729" s="28" t="s">
        <v>827</v>
      </c>
      <c r="I4729" s="29" t="n">
        <v>777000</v>
      </c>
      <c r="J4729" s="29" t="n">
        <v>582750</v>
      </c>
      <c r="K4729" s="28" t="n">
        <v>9.65</v>
      </c>
      <c r="L4729" s="28" t="n">
        <v>120</v>
      </c>
      <c r="M4729" s="28" t="n">
        <v>8</v>
      </c>
    </row>
    <row r="4730" customFormat="false" ht="15" hidden="false" customHeight="false" outlineLevel="0" collapsed="false">
      <c r="A4730" s="27" t="n">
        <v>45838</v>
      </c>
      <c r="B4730" s="28" t="n">
        <v>2025</v>
      </c>
      <c r="C4730" s="28" t="s">
        <v>515</v>
      </c>
      <c r="D4730" s="28" t="s">
        <v>46</v>
      </c>
      <c r="E4730" s="28" t="s">
        <v>741</v>
      </c>
      <c r="F4730" s="28" t="s">
        <v>147</v>
      </c>
      <c r="G4730" s="28" t="s">
        <v>441</v>
      </c>
      <c r="H4730" s="28" t="s">
        <v>168</v>
      </c>
      <c r="I4730" s="29" t="n">
        <v>10000</v>
      </c>
      <c r="J4730" s="29" t="n">
        <v>5000</v>
      </c>
      <c r="K4730" s="28" t="n">
        <v>13</v>
      </c>
      <c r="L4730" s="28" t="n">
        <v>120</v>
      </c>
      <c r="M4730" s="28" t="n">
        <v>0</v>
      </c>
    </row>
    <row r="4731" customFormat="false" ht="15" hidden="false" customHeight="false" outlineLevel="0" collapsed="false">
      <c r="A4731" s="27" t="n">
        <v>45838</v>
      </c>
      <c r="B4731" s="28" t="n">
        <v>2025</v>
      </c>
      <c r="C4731" s="28" t="s">
        <v>332</v>
      </c>
      <c r="D4731" s="28" t="s">
        <v>48</v>
      </c>
      <c r="E4731" s="28" t="s">
        <v>765</v>
      </c>
      <c r="F4731" s="28" t="s">
        <v>147</v>
      </c>
      <c r="G4731" s="28" t="s">
        <v>148</v>
      </c>
      <c r="H4731" s="28" t="s">
        <v>428</v>
      </c>
      <c r="I4731" s="29" t="n">
        <v>455000</v>
      </c>
      <c r="J4731" s="29" t="n">
        <v>227500</v>
      </c>
      <c r="K4731" s="28" t="n">
        <v>9</v>
      </c>
      <c r="L4731" s="28" t="n">
        <v>120</v>
      </c>
      <c r="M4731" s="28" t="n">
        <v>11</v>
      </c>
    </row>
    <row r="4732" customFormat="false" ht="15" hidden="false" customHeight="false" outlineLevel="0" collapsed="false">
      <c r="A4732" s="27" t="n">
        <v>45839</v>
      </c>
      <c r="B4732" s="28" t="n">
        <v>2025</v>
      </c>
      <c r="C4732" s="28" t="s">
        <v>530</v>
      </c>
      <c r="D4732" s="28" t="s">
        <v>42</v>
      </c>
      <c r="E4732" s="28" t="s">
        <v>705</v>
      </c>
      <c r="F4732" s="28" t="s">
        <v>142</v>
      </c>
      <c r="G4732" s="28" t="s">
        <v>152</v>
      </c>
      <c r="H4732" s="28" t="s">
        <v>218</v>
      </c>
      <c r="I4732" s="29" t="n">
        <v>2222000</v>
      </c>
      <c r="J4732" s="29" t="n">
        <v>1666500</v>
      </c>
      <c r="K4732" s="28" t="n">
        <v>8.5</v>
      </c>
      <c r="L4732" s="28" t="n">
        <v>300</v>
      </c>
      <c r="M4732" s="28" t="n">
        <v>11</v>
      </c>
    </row>
    <row r="4733" customFormat="false" ht="15" hidden="false" customHeight="false" outlineLevel="0" collapsed="false">
      <c r="A4733" s="27" t="n">
        <v>45839</v>
      </c>
      <c r="B4733" s="28" t="n">
        <v>2025</v>
      </c>
      <c r="C4733" s="28" t="s">
        <v>163</v>
      </c>
      <c r="D4733" s="28" t="s">
        <v>47</v>
      </c>
      <c r="E4733" s="28" t="s">
        <v>1157</v>
      </c>
      <c r="F4733" s="28" t="s">
        <v>142</v>
      </c>
      <c r="G4733" s="28" t="s">
        <v>148</v>
      </c>
      <c r="H4733" s="28" t="s">
        <v>211</v>
      </c>
      <c r="I4733" s="29" t="n">
        <v>350000</v>
      </c>
      <c r="J4733" s="29" t="n">
        <v>262500</v>
      </c>
      <c r="K4733" s="28" t="n">
        <v>10.25</v>
      </c>
      <c r="L4733" s="28" t="n">
        <v>120</v>
      </c>
      <c r="M4733" s="28" t="n">
        <v>0</v>
      </c>
    </row>
    <row r="4734" customFormat="false" ht="15" hidden="false" customHeight="false" outlineLevel="0" collapsed="false">
      <c r="A4734" s="27" t="n">
        <v>45839</v>
      </c>
      <c r="B4734" s="28" t="n">
        <v>2025</v>
      </c>
      <c r="C4734" s="28" t="s">
        <v>328</v>
      </c>
      <c r="D4734" s="28" t="s">
        <v>51</v>
      </c>
      <c r="E4734" s="28" t="s">
        <v>779</v>
      </c>
      <c r="F4734" s="28" t="s">
        <v>142</v>
      </c>
      <c r="G4734" s="28" t="s">
        <v>441</v>
      </c>
      <c r="H4734" s="28" t="s">
        <v>374</v>
      </c>
      <c r="I4734" s="29" t="n">
        <v>300000</v>
      </c>
      <c r="J4734" s="29" t="n">
        <v>225000</v>
      </c>
      <c r="K4734" s="28" t="n">
        <v>10.25</v>
      </c>
      <c r="L4734" s="28" t="n">
        <v>120</v>
      </c>
      <c r="M4734" s="28" t="n">
        <v>20</v>
      </c>
    </row>
    <row r="4735" customFormat="false" ht="15" hidden="false" customHeight="false" outlineLevel="0" collapsed="false">
      <c r="A4735" s="27" t="n">
        <v>45839</v>
      </c>
      <c r="B4735" s="28" t="n">
        <v>2025</v>
      </c>
      <c r="C4735" s="28" t="s">
        <v>303</v>
      </c>
      <c r="D4735" s="28" t="s">
        <v>45</v>
      </c>
      <c r="E4735" s="28" t="s">
        <v>713</v>
      </c>
      <c r="F4735" s="28" t="s">
        <v>147</v>
      </c>
      <c r="G4735" s="28" t="s">
        <v>152</v>
      </c>
      <c r="H4735" s="28" t="s">
        <v>220</v>
      </c>
      <c r="I4735" s="29" t="n">
        <v>275000</v>
      </c>
      <c r="J4735" s="29" t="n">
        <v>137500</v>
      </c>
      <c r="K4735" s="28" t="n">
        <v>8</v>
      </c>
      <c r="L4735" s="28" t="n">
        <v>120</v>
      </c>
      <c r="M4735" s="28" t="n">
        <v>3</v>
      </c>
    </row>
    <row r="4736" customFormat="false" ht="15" hidden="false" customHeight="false" outlineLevel="0" collapsed="false">
      <c r="A4736" s="27" t="n">
        <v>45839</v>
      </c>
      <c r="B4736" s="28" t="n">
        <v>2025</v>
      </c>
      <c r="C4736" s="28" t="s">
        <v>201</v>
      </c>
      <c r="D4736" s="28" t="s">
        <v>46</v>
      </c>
      <c r="E4736" s="28" t="s">
        <v>702</v>
      </c>
      <c r="F4736" s="28" t="s">
        <v>142</v>
      </c>
      <c r="G4736" s="28" t="s">
        <v>152</v>
      </c>
      <c r="H4736" s="28" t="s">
        <v>144</v>
      </c>
      <c r="I4736" s="29" t="n">
        <v>1020000</v>
      </c>
      <c r="J4736" s="29" t="n">
        <v>765000</v>
      </c>
      <c r="K4736" s="28" t="n">
        <v>9</v>
      </c>
      <c r="L4736" s="28" t="n">
        <v>120</v>
      </c>
      <c r="M4736" s="28" t="n">
        <v>30</v>
      </c>
    </row>
    <row r="4737" customFormat="false" ht="15" hidden="false" customHeight="false" outlineLevel="0" collapsed="false">
      <c r="A4737" s="27" t="n">
        <v>45840</v>
      </c>
      <c r="B4737" s="28" t="n">
        <v>2025</v>
      </c>
      <c r="C4737" s="28" t="s">
        <v>384</v>
      </c>
      <c r="D4737" s="28" t="s">
        <v>48</v>
      </c>
      <c r="E4737" s="28" t="s">
        <v>304</v>
      </c>
      <c r="F4737" s="28" t="s">
        <v>142</v>
      </c>
      <c r="G4737" s="28" t="s">
        <v>441</v>
      </c>
      <c r="H4737" s="28" t="s">
        <v>191</v>
      </c>
      <c r="I4737" s="29" t="n">
        <v>333000</v>
      </c>
      <c r="J4737" s="29" t="n">
        <v>249750</v>
      </c>
      <c r="K4737" s="28" t="n">
        <v>8.3</v>
      </c>
      <c r="L4737" s="28" t="n">
        <v>300</v>
      </c>
      <c r="M4737" s="28" t="n">
        <v>10</v>
      </c>
    </row>
    <row r="4738" customFormat="false" ht="15" hidden="false" customHeight="false" outlineLevel="0" collapsed="false">
      <c r="A4738" s="27" t="n">
        <v>45840</v>
      </c>
      <c r="B4738" s="28" t="n">
        <v>2025</v>
      </c>
      <c r="C4738" s="28" t="s">
        <v>169</v>
      </c>
      <c r="D4738" s="28" t="s">
        <v>44</v>
      </c>
      <c r="E4738" s="28" t="s">
        <v>759</v>
      </c>
      <c r="F4738" s="28" t="s">
        <v>142</v>
      </c>
      <c r="G4738" s="28" t="s">
        <v>143</v>
      </c>
      <c r="H4738" s="28" t="s">
        <v>799</v>
      </c>
      <c r="I4738" s="29" t="n">
        <v>501700</v>
      </c>
      <c r="J4738" s="29" t="n">
        <v>376275</v>
      </c>
      <c r="K4738" s="28" t="n">
        <v>10</v>
      </c>
      <c r="L4738" s="28" t="n">
        <v>126</v>
      </c>
      <c r="M4738" s="28" t="n">
        <v>16</v>
      </c>
    </row>
    <row r="4739" customFormat="false" ht="15" hidden="false" customHeight="false" outlineLevel="0" collapsed="false">
      <c r="A4739" s="27" t="n">
        <v>45841</v>
      </c>
      <c r="B4739" s="28" t="n">
        <v>2025</v>
      </c>
      <c r="C4739" s="28" t="s">
        <v>172</v>
      </c>
      <c r="D4739" s="28" t="s">
        <v>45</v>
      </c>
      <c r="E4739" s="28" t="s">
        <v>480</v>
      </c>
      <c r="F4739" s="28" t="s">
        <v>147</v>
      </c>
      <c r="G4739" s="28" t="s">
        <v>143</v>
      </c>
      <c r="H4739" s="28" t="s">
        <v>191</v>
      </c>
      <c r="I4739" s="29" t="n">
        <v>25000</v>
      </c>
      <c r="J4739" s="29" t="n">
        <v>12500</v>
      </c>
      <c r="K4739" s="28" t="n">
        <v>12.9</v>
      </c>
      <c r="L4739" s="28" t="n">
        <v>120</v>
      </c>
      <c r="M4739" s="28" t="n">
        <v>0</v>
      </c>
    </row>
    <row r="4740" customFormat="false" ht="15" hidden="false" customHeight="false" outlineLevel="0" collapsed="false">
      <c r="A4740" s="27" t="n">
        <v>45845</v>
      </c>
      <c r="B4740" s="28" t="n">
        <v>2025</v>
      </c>
      <c r="C4740" s="28" t="s">
        <v>169</v>
      </c>
      <c r="D4740" s="28" t="s">
        <v>51</v>
      </c>
      <c r="E4740" s="28" t="s">
        <v>800</v>
      </c>
      <c r="F4740" s="28" t="s">
        <v>142</v>
      </c>
      <c r="G4740" s="28" t="s">
        <v>143</v>
      </c>
      <c r="H4740" s="28" t="s">
        <v>159</v>
      </c>
      <c r="I4740" s="29" t="n">
        <v>500000</v>
      </c>
      <c r="J4740" s="29" t="n">
        <v>375000</v>
      </c>
      <c r="K4740" s="28" t="n">
        <v>10.5</v>
      </c>
      <c r="L4740" s="28" t="n">
        <v>122</v>
      </c>
      <c r="M4740" s="28" t="n">
        <v>6</v>
      </c>
    </row>
    <row r="4741" customFormat="false" ht="15" hidden="false" customHeight="false" outlineLevel="0" collapsed="false">
      <c r="A4741" s="27" t="n">
        <v>45845</v>
      </c>
      <c r="B4741" s="28" t="n">
        <v>2025</v>
      </c>
      <c r="C4741" s="28" t="s">
        <v>243</v>
      </c>
      <c r="D4741" s="28" t="s">
        <v>50</v>
      </c>
      <c r="E4741" s="28" t="s">
        <v>711</v>
      </c>
      <c r="F4741" s="28" t="s">
        <v>142</v>
      </c>
      <c r="G4741" s="28" t="s">
        <v>143</v>
      </c>
      <c r="H4741" s="28" t="s">
        <v>693</v>
      </c>
      <c r="I4741" s="29" t="n">
        <v>300000</v>
      </c>
      <c r="J4741" s="29" t="n">
        <v>225000</v>
      </c>
      <c r="K4741" s="28" t="n">
        <v>10.5</v>
      </c>
      <c r="L4741" s="28" t="n">
        <v>120</v>
      </c>
      <c r="M4741" s="28" t="n">
        <v>6</v>
      </c>
    </row>
    <row r="4742" customFormat="false" ht="15" hidden="false" customHeight="false" outlineLevel="0" collapsed="false">
      <c r="A4742" s="27" t="n">
        <v>45845</v>
      </c>
      <c r="B4742" s="28" t="n">
        <v>2025</v>
      </c>
      <c r="C4742" s="28" t="s">
        <v>172</v>
      </c>
      <c r="D4742" s="28" t="s">
        <v>44</v>
      </c>
      <c r="E4742" s="28" t="s">
        <v>167</v>
      </c>
      <c r="F4742" s="28" t="s">
        <v>142</v>
      </c>
      <c r="G4742" s="28" t="s">
        <v>143</v>
      </c>
      <c r="H4742" s="28" t="s">
        <v>621</v>
      </c>
      <c r="I4742" s="29" t="n">
        <v>269300</v>
      </c>
      <c r="J4742" s="29" t="n">
        <v>201975</v>
      </c>
      <c r="K4742" s="28" t="n">
        <v>10.25</v>
      </c>
      <c r="L4742" s="28" t="n">
        <v>120</v>
      </c>
      <c r="M4742" s="28" t="n">
        <v>7</v>
      </c>
    </row>
    <row r="4743" customFormat="false" ht="15" hidden="false" customHeight="false" outlineLevel="0" collapsed="false">
      <c r="A4743" s="27" t="n">
        <v>45846</v>
      </c>
      <c r="B4743" s="28" t="n">
        <v>2025</v>
      </c>
      <c r="C4743" s="28" t="s">
        <v>154</v>
      </c>
      <c r="D4743" s="28" t="s">
        <v>42</v>
      </c>
      <c r="E4743" s="28" t="s">
        <v>705</v>
      </c>
      <c r="F4743" s="28" t="s">
        <v>142</v>
      </c>
      <c r="G4743" s="28" t="s">
        <v>148</v>
      </c>
      <c r="H4743" s="28" t="s">
        <v>799</v>
      </c>
      <c r="I4743" s="29" t="n">
        <v>4139000</v>
      </c>
      <c r="J4743" s="29" t="n">
        <v>3104250</v>
      </c>
      <c r="K4743" s="28" t="n">
        <v>9.25</v>
      </c>
      <c r="L4743" s="28" t="n">
        <v>300</v>
      </c>
      <c r="M4743" s="28" t="n">
        <v>4</v>
      </c>
    </row>
    <row r="4744" customFormat="false" ht="15" hidden="false" customHeight="false" outlineLevel="0" collapsed="false">
      <c r="A4744" s="27" t="n">
        <v>45846</v>
      </c>
      <c r="B4744" s="28" t="n">
        <v>2025</v>
      </c>
      <c r="C4744" s="28" t="s">
        <v>169</v>
      </c>
      <c r="D4744" s="28" t="s">
        <v>48</v>
      </c>
      <c r="E4744" s="28" t="s">
        <v>840</v>
      </c>
      <c r="F4744" s="28" t="s">
        <v>142</v>
      </c>
      <c r="G4744" s="28" t="s">
        <v>148</v>
      </c>
      <c r="H4744" s="28" t="s">
        <v>619</v>
      </c>
      <c r="I4744" s="29" t="n">
        <v>350000</v>
      </c>
      <c r="J4744" s="29" t="n">
        <v>262500</v>
      </c>
      <c r="K4744" s="28" t="n">
        <v>10</v>
      </c>
      <c r="L4744" s="28" t="n">
        <v>300</v>
      </c>
      <c r="M4744" s="28" t="n">
        <v>4</v>
      </c>
    </row>
    <row r="4745" customFormat="false" ht="15" hidden="false" customHeight="false" outlineLevel="0" collapsed="false">
      <c r="A4745" s="27" t="n">
        <v>45846</v>
      </c>
      <c r="B4745" s="28" t="n">
        <v>2025</v>
      </c>
      <c r="C4745" s="28" t="s">
        <v>265</v>
      </c>
      <c r="D4745" s="28" t="s">
        <v>42</v>
      </c>
      <c r="E4745" s="28" t="s">
        <v>705</v>
      </c>
      <c r="F4745" s="28" t="s">
        <v>142</v>
      </c>
      <c r="G4745" s="28" t="s">
        <v>152</v>
      </c>
      <c r="H4745" s="28" t="s">
        <v>326</v>
      </c>
      <c r="I4745" s="29" t="n">
        <v>1910000</v>
      </c>
      <c r="J4745" s="29" t="n">
        <v>1432500</v>
      </c>
      <c r="K4745" s="28" t="n">
        <v>8.5</v>
      </c>
      <c r="L4745" s="28" t="n">
        <v>300</v>
      </c>
      <c r="M4745" s="28" t="n">
        <v>8</v>
      </c>
    </row>
    <row r="4746" customFormat="false" ht="15" hidden="false" customHeight="false" outlineLevel="0" collapsed="false">
      <c r="A4746" s="27" t="n">
        <v>45846</v>
      </c>
      <c r="B4746" s="28" t="n">
        <v>2025</v>
      </c>
      <c r="C4746" s="28" t="s">
        <v>160</v>
      </c>
      <c r="D4746" s="28" t="s">
        <v>45</v>
      </c>
      <c r="E4746" s="28" t="s">
        <v>713</v>
      </c>
      <c r="F4746" s="28" t="s">
        <v>142</v>
      </c>
      <c r="G4746" s="28" t="s">
        <v>148</v>
      </c>
      <c r="H4746" s="28" t="s">
        <v>771</v>
      </c>
      <c r="I4746" s="29" t="n">
        <v>150000</v>
      </c>
      <c r="J4746" s="29" t="n">
        <v>127500</v>
      </c>
      <c r="K4746" s="28" t="n">
        <v>13.25</v>
      </c>
      <c r="L4746" s="28" t="n">
        <v>120</v>
      </c>
      <c r="M4746" s="28" t="n">
        <v>3</v>
      </c>
    </row>
    <row r="4747" customFormat="false" ht="15" hidden="false" customHeight="false" outlineLevel="0" collapsed="false">
      <c r="A4747" s="27" t="n">
        <v>45846</v>
      </c>
      <c r="B4747" s="28" t="n">
        <v>2025</v>
      </c>
      <c r="C4747" s="28" t="s">
        <v>196</v>
      </c>
      <c r="D4747" s="28" t="s">
        <v>44</v>
      </c>
      <c r="E4747" s="28" t="s">
        <v>730</v>
      </c>
      <c r="F4747" s="28" t="s">
        <v>142</v>
      </c>
      <c r="G4747" s="28" t="s">
        <v>441</v>
      </c>
      <c r="H4747" s="28" t="s">
        <v>291</v>
      </c>
      <c r="I4747" s="29" t="n">
        <v>508000</v>
      </c>
      <c r="J4747" s="29" t="n">
        <v>381000</v>
      </c>
      <c r="K4747" s="28" t="n">
        <v>10.5</v>
      </c>
      <c r="L4747" s="28" t="n">
        <v>120</v>
      </c>
      <c r="M4747" s="28" t="n">
        <v>44</v>
      </c>
    </row>
    <row r="4748" customFormat="false" ht="15" hidden="false" customHeight="false" outlineLevel="0" collapsed="false">
      <c r="A4748" s="27" t="n">
        <v>45848</v>
      </c>
      <c r="B4748" s="28" t="n">
        <v>2025</v>
      </c>
      <c r="C4748" s="28" t="s">
        <v>312</v>
      </c>
      <c r="D4748" s="28" t="s">
        <v>43</v>
      </c>
      <c r="E4748" s="28" t="s">
        <v>933</v>
      </c>
      <c r="F4748" s="28" t="s">
        <v>142</v>
      </c>
      <c r="G4748" s="28" t="s">
        <v>441</v>
      </c>
      <c r="H4748" s="28" t="s">
        <v>1031</v>
      </c>
      <c r="I4748" s="29" t="n">
        <v>149000</v>
      </c>
      <c r="J4748" s="29" t="n">
        <v>126650</v>
      </c>
      <c r="K4748" s="28" t="n">
        <v>9.75</v>
      </c>
      <c r="L4748" s="28" t="n">
        <v>120</v>
      </c>
      <c r="M4748" s="28" t="n">
        <v>4</v>
      </c>
    </row>
    <row r="4749" customFormat="false" ht="15" hidden="false" customHeight="false" outlineLevel="0" collapsed="false">
      <c r="A4749" s="27" t="n">
        <v>45848</v>
      </c>
      <c r="B4749" s="28" t="n">
        <v>2025</v>
      </c>
      <c r="C4749" s="28" t="s">
        <v>172</v>
      </c>
      <c r="D4749" s="28" t="s">
        <v>44</v>
      </c>
      <c r="E4749" s="28" t="s">
        <v>759</v>
      </c>
      <c r="F4749" s="28" t="s">
        <v>142</v>
      </c>
      <c r="G4749" s="28" t="s">
        <v>148</v>
      </c>
      <c r="H4749" s="28" t="s">
        <v>171</v>
      </c>
      <c r="I4749" s="29" t="n">
        <v>70000</v>
      </c>
      <c r="J4749" s="29" t="n">
        <v>59500</v>
      </c>
      <c r="K4749" s="28" t="n">
        <v>12.25</v>
      </c>
      <c r="L4749" s="28" t="n">
        <v>120</v>
      </c>
      <c r="M4749" s="28" t="n">
        <v>1</v>
      </c>
    </row>
    <row r="4750" customFormat="false" ht="15" hidden="false" customHeight="false" outlineLevel="0" collapsed="false">
      <c r="A4750" s="27" t="n">
        <v>45849</v>
      </c>
      <c r="B4750" s="28" t="n">
        <v>2025</v>
      </c>
      <c r="C4750" s="28" t="s">
        <v>384</v>
      </c>
      <c r="D4750" s="28" t="s">
        <v>44</v>
      </c>
      <c r="E4750" s="28" t="s">
        <v>783</v>
      </c>
      <c r="F4750" s="28" t="s">
        <v>147</v>
      </c>
      <c r="G4750" s="28" t="s">
        <v>148</v>
      </c>
      <c r="H4750" s="28" t="s">
        <v>187</v>
      </c>
      <c r="I4750" s="29" t="n">
        <v>255000</v>
      </c>
      <c r="J4750" s="29" t="n">
        <v>127500</v>
      </c>
      <c r="K4750" s="28" t="n">
        <v>11</v>
      </c>
      <c r="L4750" s="28" t="n">
        <v>120</v>
      </c>
      <c r="M4750" s="28" t="n">
        <v>50</v>
      </c>
    </row>
    <row r="4751" customFormat="false" ht="15" hidden="false" customHeight="false" outlineLevel="0" collapsed="false">
      <c r="A4751" s="27" t="n">
        <v>45849</v>
      </c>
      <c r="B4751" s="28" t="n">
        <v>2025</v>
      </c>
      <c r="C4751" s="28" t="s">
        <v>272</v>
      </c>
      <c r="D4751" s="28" t="s">
        <v>48</v>
      </c>
      <c r="E4751" s="28" t="s">
        <v>270</v>
      </c>
      <c r="F4751" s="28" t="s">
        <v>147</v>
      </c>
      <c r="G4751" s="28" t="s">
        <v>148</v>
      </c>
      <c r="H4751" s="28" t="s">
        <v>159</v>
      </c>
      <c r="I4751" s="29" t="n">
        <v>150000</v>
      </c>
      <c r="J4751" s="29" t="n">
        <v>75000</v>
      </c>
      <c r="K4751" s="28" t="n">
        <v>12</v>
      </c>
      <c r="L4751" s="28" t="n">
        <v>84</v>
      </c>
      <c r="M4751" s="28" t="n">
        <v>3</v>
      </c>
    </row>
    <row r="4752" customFormat="false" ht="15" hidden="false" customHeight="false" outlineLevel="0" collapsed="false">
      <c r="A4752" s="27" t="n">
        <v>45851</v>
      </c>
      <c r="B4752" s="28" t="n">
        <v>2025</v>
      </c>
      <c r="C4752" s="28" t="s">
        <v>169</v>
      </c>
      <c r="D4752" s="28" t="s">
        <v>42</v>
      </c>
      <c r="E4752" s="28" t="s">
        <v>705</v>
      </c>
      <c r="F4752" s="28" t="s">
        <v>142</v>
      </c>
      <c r="G4752" s="28" t="s">
        <v>152</v>
      </c>
      <c r="H4752" s="28" t="s">
        <v>1158</v>
      </c>
      <c r="I4752" s="29" t="n">
        <v>5000000</v>
      </c>
      <c r="J4752" s="29" t="n">
        <v>3750000</v>
      </c>
      <c r="K4752" s="28" t="n">
        <v>8</v>
      </c>
      <c r="L4752" s="28" t="n">
        <v>300</v>
      </c>
      <c r="M4752" s="28" t="n">
        <v>50</v>
      </c>
    </row>
    <row r="4753" customFormat="false" ht="15" hidden="false" customHeight="false" outlineLevel="0" collapsed="false">
      <c r="A4753" s="27" t="n">
        <v>45852</v>
      </c>
      <c r="B4753" s="28" t="n">
        <v>2025</v>
      </c>
      <c r="C4753" s="28" t="s">
        <v>344</v>
      </c>
      <c r="D4753" s="28" t="s">
        <v>48</v>
      </c>
      <c r="E4753" s="28" t="s">
        <v>277</v>
      </c>
      <c r="F4753" s="28" t="s">
        <v>142</v>
      </c>
      <c r="G4753" s="28" t="s">
        <v>148</v>
      </c>
      <c r="H4753" s="28" t="s">
        <v>171</v>
      </c>
      <c r="I4753" s="29" t="n">
        <v>150000</v>
      </c>
      <c r="J4753" s="29" t="n">
        <v>127500</v>
      </c>
      <c r="K4753" s="28" t="n">
        <v>12.25</v>
      </c>
      <c r="L4753" s="28" t="n">
        <v>120</v>
      </c>
      <c r="M4753" s="28" t="n">
        <v>3</v>
      </c>
    </row>
    <row r="4754" customFormat="false" ht="15" hidden="false" customHeight="false" outlineLevel="0" collapsed="false">
      <c r="A4754" s="27" t="n">
        <v>45852</v>
      </c>
      <c r="B4754" s="28" t="n">
        <v>2025</v>
      </c>
      <c r="C4754" s="28" t="s">
        <v>1071</v>
      </c>
      <c r="D4754" s="28" t="s">
        <v>42</v>
      </c>
      <c r="E4754" s="28" t="s">
        <v>1151</v>
      </c>
      <c r="F4754" s="28" t="s">
        <v>142</v>
      </c>
      <c r="G4754" s="28" t="s">
        <v>148</v>
      </c>
      <c r="H4754" s="28" t="s">
        <v>506</v>
      </c>
      <c r="I4754" s="29" t="n">
        <v>1200000</v>
      </c>
      <c r="J4754" s="29" t="n">
        <v>900000</v>
      </c>
      <c r="K4754" s="28" t="n">
        <v>9.75</v>
      </c>
      <c r="L4754" s="28" t="n">
        <v>306</v>
      </c>
      <c r="M4754" s="28" t="n">
        <v>2</v>
      </c>
    </row>
    <row r="4755" customFormat="false" ht="15" hidden="false" customHeight="false" outlineLevel="0" collapsed="false">
      <c r="A4755" s="27" t="n">
        <v>45854</v>
      </c>
      <c r="B4755" s="28" t="n">
        <v>2025</v>
      </c>
      <c r="C4755" s="28" t="s">
        <v>353</v>
      </c>
      <c r="D4755" s="28" t="s">
        <v>47</v>
      </c>
      <c r="E4755" s="28" t="s">
        <v>284</v>
      </c>
      <c r="F4755" s="28" t="s">
        <v>147</v>
      </c>
      <c r="G4755" s="28" t="s">
        <v>152</v>
      </c>
      <c r="H4755" s="28" t="s">
        <v>220</v>
      </c>
      <c r="I4755" s="29" t="n">
        <v>67500</v>
      </c>
      <c r="J4755" s="29" t="n">
        <v>33750</v>
      </c>
      <c r="K4755" s="28" t="n">
        <v>9.5</v>
      </c>
      <c r="L4755" s="28" t="n">
        <v>60</v>
      </c>
      <c r="M4755" s="28" t="n">
        <v>5</v>
      </c>
    </row>
    <row r="4756" customFormat="false" ht="15" hidden="false" customHeight="false" outlineLevel="0" collapsed="false">
      <c r="A4756" s="27" t="n">
        <v>45854</v>
      </c>
      <c r="B4756" s="28" t="n">
        <v>2025</v>
      </c>
      <c r="C4756" s="28" t="s">
        <v>166</v>
      </c>
      <c r="D4756" s="28" t="s">
        <v>47</v>
      </c>
      <c r="E4756" s="28" t="s">
        <v>1159</v>
      </c>
      <c r="F4756" s="28" t="s">
        <v>142</v>
      </c>
      <c r="G4756" s="28" t="s">
        <v>148</v>
      </c>
      <c r="H4756" s="28" t="s">
        <v>953</v>
      </c>
      <c r="I4756" s="29" t="n">
        <v>525000</v>
      </c>
      <c r="J4756" s="29" t="n">
        <v>393750</v>
      </c>
      <c r="K4756" s="28" t="n">
        <v>10.5</v>
      </c>
      <c r="L4756" s="28" t="n">
        <v>120</v>
      </c>
      <c r="M4756" s="28" t="n">
        <v>23</v>
      </c>
    </row>
    <row r="4757" customFormat="false" ht="15" hidden="false" customHeight="false" outlineLevel="0" collapsed="false">
      <c r="A4757" s="27" t="n">
        <v>45854</v>
      </c>
      <c r="B4757" s="28" t="n">
        <v>2025</v>
      </c>
      <c r="C4757" s="28" t="s">
        <v>206</v>
      </c>
      <c r="D4757" s="28" t="s">
        <v>48</v>
      </c>
      <c r="E4757" s="28" t="s">
        <v>210</v>
      </c>
      <c r="F4757" s="28" t="s">
        <v>142</v>
      </c>
      <c r="G4757" s="28" t="s">
        <v>148</v>
      </c>
      <c r="H4757" s="28" t="s">
        <v>771</v>
      </c>
      <c r="I4757" s="29" t="n">
        <v>250000</v>
      </c>
      <c r="J4757" s="29" t="n">
        <v>212500</v>
      </c>
      <c r="K4757" s="28" t="n">
        <v>12.25</v>
      </c>
      <c r="L4757" s="28" t="n">
        <v>120</v>
      </c>
      <c r="M4757" s="28" t="n">
        <v>5</v>
      </c>
    </row>
    <row r="4758" customFormat="false" ht="15" hidden="false" customHeight="false" outlineLevel="0" collapsed="false">
      <c r="A4758" s="27" t="n">
        <v>45855</v>
      </c>
      <c r="B4758" s="28" t="n">
        <v>2025</v>
      </c>
      <c r="C4758" s="28" t="s">
        <v>196</v>
      </c>
      <c r="D4758" s="28" t="s">
        <v>44</v>
      </c>
      <c r="E4758" s="28" t="s">
        <v>167</v>
      </c>
      <c r="F4758" s="28" t="s">
        <v>142</v>
      </c>
      <c r="G4758" s="28" t="s">
        <v>148</v>
      </c>
      <c r="H4758" s="28" t="s">
        <v>144</v>
      </c>
      <c r="I4758" s="29" t="n">
        <v>325000</v>
      </c>
      <c r="J4758" s="29" t="n">
        <v>243750</v>
      </c>
      <c r="K4758" s="28" t="n">
        <v>10.99</v>
      </c>
      <c r="L4758" s="28" t="n">
        <v>120</v>
      </c>
      <c r="M4758" s="28" t="n">
        <v>95</v>
      </c>
    </row>
    <row r="4759" customFormat="false" ht="15" hidden="false" customHeight="false" outlineLevel="0" collapsed="false">
      <c r="A4759" s="27" t="n">
        <v>45855</v>
      </c>
      <c r="B4759" s="28" t="n">
        <v>2025</v>
      </c>
      <c r="C4759" s="28" t="s">
        <v>172</v>
      </c>
      <c r="D4759" s="28" t="s">
        <v>44</v>
      </c>
      <c r="E4759" s="28" t="s">
        <v>783</v>
      </c>
      <c r="F4759" s="28" t="s">
        <v>142</v>
      </c>
      <c r="G4759" s="28" t="s">
        <v>152</v>
      </c>
      <c r="H4759" s="28" t="s">
        <v>1060</v>
      </c>
      <c r="I4759" s="29" t="n">
        <v>545300</v>
      </c>
      <c r="J4759" s="29" t="n">
        <v>408975</v>
      </c>
      <c r="K4759" s="28" t="n">
        <v>10.25</v>
      </c>
      <c r="L4759" s="28" t="n">
        <v>120</v>
      </c>
      <c r="M4759" s="28" t="n">
        <v>20</v>
      </c>
    </row>
    <row r="4760" customFormat="false" ht="15" hidden="false" customHeight="false" outlineLevel="0" collapsed="false">
      <c r="A4760" s="27" t="n">
        <v>45855</v>
      </c>
      <c r="B4760" s="28" t="n">
        <v>2025</v>
      </c>
      <c r="C4760" s="28" t="s">
        <v>172</v>
      </c>
      <c r="D4760" s="28" t="s">
        <v>54</v>
      </c>
      <c r="E4760" s="28" t="s">
        <v>833</v>
      </c>
      <c r="F4760" s="28" t="s">
        <v>147</v>
      </c>
      <c r="G4760" s="28" t="s">
        <v>148</v>
      </c>
      <c r="H4760" s="28" t="s">
        <v>159</v>
      </c>
      <c r="I4760" s="29" t="n">
        <v>60000</v>
      </c>
      <c r="J4760" s="29" t="n">
        <v>30000</v>
      </c>
      <c r="K4760" s="28" t="n">
        <v>11.25</v>
      </c>
      <c r="L4760" s="28" t="n">
        <v>120</v>
      </c>
      <c r="M4760" s="28" t="n">
        <v>4</v>
      </c>
    </row>
    <row r="4761" customFormat="false" ht="15" hidden="false" customHeight="false" outlineLevel="0" collapsed="false">
      <c r="A4761" s="27" t="n">
        <v>45855</v>
      </c>
      <c r="B4761" s="28" t="n">
        <v>2025</v>
      </c>
      <c r="C4761" s="28" t="s">
        <v>172</v>
      </c>
      <c r="D4761" s="28" t="s">
        <v>48</v>
      </c>
      <c r="E4761" s="28" t="s">
        <v>815</v>
      </c>
      <c r="F4761" s="28" t="s">
        <v>147</v>
      </c>
      <c r="G4761" s="28" t="s">
        <v>148</v>
      </c>
      <c r="H4761" s="28" t="s">
        <v>162</v>
      </c>
      <c r="I4761" s="29" t="n">
        <v>420000</v>
      </c>
      <c r="J4761" s="29" t="n">
        <v>210000</v>
      </c>
      <c r="K4761" s="28" t="n">
        <v>10.5</v>
      </c>
      <c r="L4761" s="28" t="n">
        <v>120</v>
      </c>
      <c r="M4761" s="28" t="n">
        <v>50</v>
      </c>
    </row>
    <row r="4762" customFormat="false" ht="15" hidden="false" customHeight="false" outlineLevel="0" collapsed="false">
      <c r="A4762" s="27" t="n">
        <v>45855</v>
      </c>
      <c r="B4762" s="28" t="n">
        <v>2025</v>
      </c>
      <c r="C4762" s="28" t="s">
        <v>163</v>
      </c>
      <c r="D4762" s="28" t="s">
        <v>54</v>
      </c>
      <c r="E4762" s="28" t="s">
        <v>833</v>
      </c>
      <c r="F4762" s="28" t="s">
        <v>142</v>
      </c>
      <c r="G4762" s="28" t="s">
        <v>148</v>
      </c>
      <c r="H4762" s="28" t="s">
        <v>771</v>
      </c>
      <c r="I4762" s="29" t="n">
        <v>30100</v>
      </c>
      <c r="J4762" s="29" t="n">
        <v>25585</v>
      </c>
      <c r="K4762" s="28" t="n">
        <v>14</v>
      </c>
      <c r="L4762" s="28" t="n">
        <v>120</v>
      </c>
      <c r="M4762" s="28" t="n">
        <v>1</v>
      </c>
    </row>
    <row r="4763" customFormat="false" ht="15" hidden="false" customHeight="false" outlineLevel="0" collapsed="false">
      <c r="A4763" s="27" t="n">
        <v>45856</v>
      </c>
      <c r="B4763" s="28" t="n">
        <v>2025</v>
      </c>
      <c r="C4763" s="28" t="s">
        <v>344</v>
      </c>
      <c r="D4763" s="28" t="s">
        <v>48</v>
      </c>
      <c r="E4763" s="28" t="s">
        <v>712</v>
      </c>
      <c r="F4763" s="28" t="s">
        <v>147</v>
      </c>
      <c r="G4763" s="28" t="s">
        <v>148</v>
      </c>
      <c r="H4763" s="28" t="s">
        <v>159</v>
      </c>
      <c r="I4763" s="29" t="n">
        <v>190000</v>
      </c>
      <c r="J4763" s="29" t="n">
        <v>95000</v>
      </c>
      <c r="K4763" s="28" t="n">
        <v>11.75</v>
      </c>
      <c r="L4763" s="28" t="n">
        <v>84</v>
      </c>
      <c r="M4763" s="28" t="n">
        <v>1</v>
      </c>
    </row>
    <row r="4764" customFormat="false" ht="15" hidden="false" customHeight="false" outlineLevel="0" collapsed="false">
      <c r="A4764" s="27" t="n">
        <v>45856</v>
      </c>
      <c r="B4764" s="28" t="n">
        <v>2025</v>
      </c>
      <c r="C4764" s="28" t="s">
        <v>230</v>
      </c>
      <c r="D4764" s="28" t="s">
        <v>42</v>
      </c>
      <c r="E4764" s="28" t="s">
        <v>705</v>
      </c>
      <c r="F4764" s="28" t="s">
        <v>142</v>
      </c>
      <c r="G4764" s="28" t="s">
        <v>441</v>
      </c>
      <c r="H4764" s="28" t="s">
        <v>573</v>
      </c>
      <c r="I4764" s="29" t="n">
        <v>4998100</v>
      </c>
      <c r="J4764" s="29" t="n">
        <v>3748575</v>
      </c>
      <c r="K4764" s="28" t="n">
        <v>8.25</v>
      </c>
      <c r="L4764" s="28" t="n">
        <v>300</v>
      </c>
      <c r="M4764" s="28" t="n">
        <v>11</v>
      </c>
    </row>
    <row r="4765" customFormat="false" ht="15" hidden="false" customHeight="false" outlineLevel="0" collapsed="false">
      <c r="A4765" s="27" t="n">
        <v>45856</v>
      </c>
      <c r="B4765" s="28" t="n">
        <v>2025</v>
      </c>
      <c r="C4765" s="28" t="s">
        <v>324</v>
      </c>
      <c r="D4765" s="28" t="s">
        <v>42</v>
      </c>
      <c r="E4765" s="28" t="s">
        <v>705</v>
      </c>
      <c r="F4765" s="28" t="s">
        <v>142</v>
      </c>
      <c r="G4765" s="28" t="s">
        <v>152</v>
      </c>
      <c r="H4765" s="28" t="s">
        <v>326</v>
      </c>
      <c r="I4765" s="29" t="n">
        <v>3475000</v>
      </c>
      <c r="J4765" s="29" t="n">
        <v>2606250</v>
      </c>
      <c r="K4765" s="28" t="n">
        <v>8.5</v>
      </c>
      <c r="L4765" s="28" t="n">
        <v>300</v>
      </c>
      <c r="M4765" s="28" t="n">
        <v>18</v>
      </c>
    </row>
    <row r="4766" customFormat="false" ht="15" hidden="false" customHeight="false" outlineLevel="0" collapsed="false">
      <c r="A4766" s="27" t="n">
        <v>45856</v>
      </c>
      <c r="B4766" s="28" t="n">
        <v>2025</v>
      </c>
      <c r="C4766" s="28" t="s">
        <v>316</v>
      </c>
      <c r="D4766" s="28" t="s">
        <v>44</v>
      </c>
      <c r="E4766" s="28" t="s">
        <v>823</v>
      </c>
      <c r="F4766" s="28" t="s">
        <v>142</v>
      </c>
      <c r="G4766" s="28" t="s">
        <v>441</v>
      </c>
      <c r="H4766" s="28" t="s">
        <v>1031</v>
      </c>
      <c r="I4766" s="29" t="n">
        <v>4750000</v>
      </c>
      <c r="J4766" s="29" t="n">
        <v>3562500</v>
      </c>
      <c r="K4766" s="28" t="n">
        <v>8.25</v>
      </c>
      <c r="L4766" s="28" t="n">
        <v>300</v>
      </c>
      <c r="M4766" s="28" t="n">
        <v>35</v>
      </c>
    </row>
    <row r="4767" customFormat="false" ht="15" hidden="false" customHeight="false" outlineLevel="0" collapsed="false">
      <c r="A4767" s="27" t="n">
        <v>45859</v>
      </c>
      <c r="B4767" s="28" t="n">
        <v>2025</v>
      </c>
      <c r="C4767" s="28" t="s">
        <v>172</v>
      </c>
      <c r="D4767" s="28" t="s">
        <v>43</v>
      </c>
      <c r="E4767" s="28" t="s">
        <v>871</v>
      </c>
      <c r="F4767" s="28" t="s">
        <v>142</v>
      </c>
      <c r="G4767" s="28" t="s">
        <v>148</v>
      </c>
      <c r="H4767" s="28" t="s">
        <v>171</v>
      </c>
      <c r="I4767" s="29" t="n">
        <v>150000</v>
      </c>
      <c r="J4767" s="29" t="n">
        <v>127500</v>
      </c>
      <c r="K4767" s="28" t="n">
        <v>12.25</v>
      </c>
      <c r="L4767" s="28" t="n">
        <v>120</v>
      </c>
      <c r="M4767" s="28" t="n">
        <v>2</v>
      </c>
    </row>
    <row r="4768" customFormat="false" ht="15" hidden="false" customHeight="false" outlineLevel="0" collapsed="false">
      <c r="A4768" s="27" t="n">
        <v>45860</v>
      </c>
      <c r="B4768" s="28" t="n">
        <v>2025</v>
      </c>
      <c r="C4768" s="28" t="s">
        <v>384</v>
      </c>
      <c r="D4768" s="28" t="s">
        <v>43</v>
      </c>
      <c r="E4768" s="28" t="s">
        <v>1005</v>
      </c>
      <c r="F4768" s="28" t="s">
        <v>147</v>
      </c>
      <c r="G4768" s="28" t="s">
        <v>148</v>
      </c>
      <c r="H4768" s="28" t="s">
        <v>159</v>
      </c>
      <c r="I4768" s="29" t="n">
        <v>25000</v>
      </c>
      <c r="J4768" s="29" t="n">
        <v>12500</v>
      </c>
      <c r="K4768" s="28" t="n">
        <v>14</v>
      </c>
      <c r="L4768" s="28" t="n">
        <v>120</v>
      </c>
      <c r="M4768" s="28" t="n">
        <v>0</v>
      </c>
    </row>
    <row r="4769" customFormat="false" ht="15" hidden="false" customHeight="false" outlineLevel="0" collapsed="false">
      <c r="A4769" s="27" t="n">
        <v>45860</v>
      </c>
      <c r="B4769" s="28" t="n">
        <v>2025</v>
      </c>
      <c r="C4769" s="28" t="s">
        <v>332</v>
      </c>
      <c r="D4769" s="28" t="s">
        <v>45</v>
      </c>
      <c r="E4769" s="28" t="s">
        <v>745</v>
      </c>
      <c r="F4769" s="28" t="s">
        <v>147</v>
      </c>
      <c r="G4769" s="28" t="s">
        <v>148</v>
      </c>
      <c r="H4769" s="28" t="s">
        <v>953</v>
      </c>
      <c r="I4769" s="29" t="n">
        <v>35000</v>
      </c>
      <c r="J4769" s="29" t="n">
        <v>17500</v>
      </c>
      <c r="K4769" s="28" t="n">
        <v>14</v>
      </c>
      <c r="L4769" s="28" t="n">
        <v>120</v>
      </c>
      <c r="M4769" s="28" t="n">
        <v>0</v>
      </c>
    </row>
    <row r="4770" customFormat="false" ht="15" hidden="false" customHeight="false" outlineLevel="0" collapsed="false">
      <c r="A4770" s="27" t="n">
        <v>45860</v>
      </c>
      <c r="B4770" s="28" t="n">
        <v>2025</v>
      </c>
      <c r="C4770" s="28" t="s">
        <v>203</v>
      </c>
      <c r="D4770" s="28" t="s">
        <v>47</v>
      </c>
      <c r="E4770" s="28" t="s">
        <v>1160</v>
      </c>
      <c r="F4770" s="28" t="s">
        <v>147</v>
      </c>
      <c r="G4770" s="28" t="s">
        <v>441</v>
      </c>
      <c r="H4770" s="28" t="s">
        <v>159</v>
      </c>
      <c r="I4770" s="29" t="n">
        <v>100000</v>
      </c>
      <c r="J4770" s="29" t="n">
        <v>50000</v>
      </c>
      <c r="K4770" s="28" t="n">
        <v>12</v>
      </c>
      <c r="L4770" s="28" t="n">
        <v>60</v>
      </c>
      <c r="M4770" s="28" t="n">
        <v>1</v>
      </c>
    </row>
    <row r="4771" customFormat="false" ht="15" hidden="false" customHeight="false" outlineLevel="0" collapsed="false">
      <c r="A4771" s="27" t="n">
        <v>45861</v>
      </c>
      <c r="B4771" s="28" t="n">
        <v>2025</v>
      </c>
      <c r="C4771" s="28" t="s">
        <v>172</v>
      </c>
      <c r="D4771" s="28" t="s">
        <v>46</v>
      </c>
      <c r="E4771" s="28" t="s">
        <v>909</v>
      </c>
      <c r="F4771" s="28" t="s">
        <v>142</v>
      </c>
      <c r="G4771" s="28" t="s">
        <v>148</v>
      </c>
      <c r="H4771" s="28" t="s">
        <v>953</v>
      </c>
      <c r="I4771" s="29" t="n">
        <v>250000</v>
      </c>
      <c r="J4771" s="29" t="n">
        <v>187500</v>
      </c>
      <c r="K4771" s="28" t="n">
        <v>10.5</v>
      </c>
      <c r="L4771" s="28" t="n">
        <v>120</v>
      </c>
      <c r="M4771" s="28" t="n">
        <v>24</v>
      </c>
    </row>
    <row r="4772" customFormat="false" ht="15" hidden="false" customHeight="false" outlineLevel="0" collapsed="false">
      <c r="A4772" s="27" t="n">
        <v>45861</v>
      </c>
      <c r="B4772" s="28" t="n">
        <v>2025</v>
      </c>
      <c r="C4772" s="28" t="s">
        <v>196</v>
      </c>
      <c r="D4772" s="28" t="s">
        <v>46</v>
      </c>
      <c r="E4772" s="28" t="s">
        <v>806</v>
      </c>
      <c r="F4772" s="28" t="s">
        <v>142</v>
      </c>
      <c r="G4772" s="28" t="s">
        <v>148</v>
      </c>
      <c r="H4772" s="28" t="s">
        <v>211</v>
      </c>
      <c r="I4772" s="29" t="n">
        <v>275000</v>
      </c>
      <c r="J4772" s="29" t="n">
        <v>206250</v>
      </c>
      <c r="K4772" s="28" t="n">
        <v>10.25</v>
      </c>
      <c r="L4772" s="28" t="n">
        <v>120</v>
      </c>
      <c r="M4772" s="28" t="n">
        <v>6</v>
      </c>
    </row>
    <row r="4773" customFormat="false" ht="15" hidden="false" customHeight="false" outlineLevel="0" collapsed="false">
      <c r="A4773" s="27" t="n">
        <v>45861</v>
      </c>
      <c r="B4773" s="28" t="n">
        <v>2025</v>
      </c>
      <c r="C4773" s="28" t="s">
        <v>169</v>
      </c>
      <c r="D4773" s="28" t="s">
        <v>56</v>
      </c>
      <c r="E4773" s="28" t="s">
        <v>772</v>
      </c>
      <c r="F4773" s="28" t="s">
        <v>142</v>
      </c>
      <c r="G4773" s="28" t="s">
        <v>143</v>
      </c>
      <c r="H4773" s="28" t="s">
        <v>1161</v>
      </c>
      <c r="I4773" s="29" t="n">
        <v>400000</v>
      </c>
      <c r="J4773" s="29" t="n">
        <v>300000</v>
      </c>
      <c r="K4773" s="28" t="n">
        <v>10.25</v>
      </c>
      <c r="L4773" s="28" t="n">
        <v>123</v>
      </c>
      <c r="M4773" s="28" t="n">
        <v>13</v>
      </c>
    </row>
    <row r="4774" customFormat="false" ht="15" hidden="false" customHeight="false" outlineLevel="0" collapsed="false">
      <c r="A4774" s="27" t="n">
        <v>45862</v>
      </c>
      <c r="B4774" s="28" t="n">
        <v>2025</v>
      </c>
      <c r="C4774" s="28" t="s">
        <v>252</v>
      </c>
      <c r="D4774" s="28" t="s">
        <v>46</v>
      </c>
      <c r="E4774" s="28" t="s">
        <v>926</v>
      </c>
      <c r="F4774" s="28" t="s">
        <v>142</v>
      </c>
      <c r="G4774" s="28" t="s">
        <v>143</v>
      </c>
      <c r="H4774" s="28" t="s">
        <v>382</v>
      </c>
      <c r="I4774" s="29" t="n">
        <v>452500</v>
      </c>
      <c r="J4774" s="29" t="n">
        <v>339375</v>
      </c>
      <c r="K4774" s="28" t="n">
        <v>9.75</v>
      </c>
      <c r="L4774" s="28" t="n">
        <v>120</v>
      </c>
      <c r="M4774" s="28" t="n">
        <v>5</v>
      </c>
    </row>
    <row r="4775" customFormat="false" ht="15" hidden="false" customHeight="false" outlineLevel="0" collapsed="false">
      <c r="A4775" s="27" t="n">
        <v>45863</v>
      </c>
      <c r="B4775" s="28" t="n">
        <v>2025</v>
      </c>
      <c r="C4775" s="28" t="s">
        <v>500</v>
      </c>
      <c r="D4775" s="28" t="s">
        <v>48</v>
      </c>
      <c r="E4775" s="28" t="s">
        <v>1074</v>
      </c>
      <c r="F4775" s="28" t="s">
        <v>147</v>
      </c>
      <c r="G4775" s="28" t="s">
        <v>441</v>
      </c>
      <c r="H4775" s="28" t="s">
        <v>168</v>
      </c>
      <c r="I4775" s="29" t="n">
        <v>15000</v>
      </c>
      <c r="J4775" s="29" t="n">
        <v>7500</v>
      </c>
      <c r="K4775" s="28" t="n">
        <v>12.5</v>
      </c>
      <c r="L4775" s="28" t="n">
        <v>120</v>
      </c>
      <c r="M4775" s="28" t="n">
        <v>2</v>
      </c>
    </row>
    <row r="4776" customFormat="false" ht="15" hidden="false" customHeight="false" outlineLevel="0" collapsed="false">
      <c r="A4776" s="27" t="n">
        <v>45866</v>
      </c>
      <c r="B4776" s="28" t="n">
        <v>2025</v>
      </c>
      <c r="C4776" s="28" t="s">
        <v>203</v>
      </c>
      <c r="D4776" s="28" t="s">
        <v>44</v>
      </c>
      <c r="E4776" s="28" t="s">
        <v>823</v>
      </c>
      <c r="F4776" s="28" t="s">
        <v>142</v>
      </c>
      <c r="G4776" s="28" t="s">
        <v>143</v>
      </c>
      <c r="H4776" s="28" t="s">
        <v>144</v>
      </c>
      <c r="I4776" s="29" t="n">
        <v>5000000</v>
      </c>
      <c r="J4776" s="29" t="n">
        <v>3750000</v>
      </c>
      <c r="K4776" s="28" t="n">
        <v>8.75</v>
      </c>
      <c r="L4776" s="28" t="n">
        <v>312</v>
      </c>
      <c r="M4776" s="28" t="n">
        <v>10</v>
      </c>
    </row>
    <row r="4777" customFormat="false" ht="15" hidden="false" customHeight="false" outlineLevel="0" collapsed="false">
      <c r="A4777" s="27" t="n">
        <v>45867</v>
      </c>
      <c r="B4777" s="28" t="n">
        <v>2025</v>
      </c>
      <c r="C4777" s="28" t="s">
        <v>140</v>
      </c>
      <c r="D4777" s="28" t="s">
        <v>52</v>
      </c>
      <c r="E4777" s="28" t="s">
        <v>715</v>
      </c>
      <c r="F4777" s="28" t="s">
        <v>142</v>
      </c>
      <c r="G4777" s="28" t="s">
        <v>148</v>
      </c>
      <c r="H4777" s="28" t="s">
        <v>456</v>
      </c>
      <c r="I4777" s="29" t="n">
        <v>75000</v>
      </c>
      <c r="J4777" s="29" t="n">
        <v>63750</v>
      </c>
      <c r="K4777" s="28" t="n">
        <v>10.5</v>
      </c>
      <c r="L4777" s="28" t="n">
        <v>120</v>
      </c>
      <c r="M4777" s="28" t="n">
        <v>3</v>
      </c>
    </row>
    <row r="4778" customFormat="false" ht="15" hidden="false" customHeight="false" outlineLevel="0" collapsed="false">
      <c r="A4778" s="27" t="n">
        <v>45867</v>
      </c>
      <c r="B4778" s="28" t="n">
        <v>2025</v>
      </c>
      <c r="C4778" s="28" t="s">
        <v>265</v>
      </c>
      <c r="D4778" s="28" t="s">
        <v>42</v>
      </c>
      <c r="E4778" s="28" t="s">
        <v>705</v>
      </c>
      <c r="F4778" s="28" t="s">
        <v>142</v>
      </c>
      <c r="G4778" s="28" t="s">
        <v>148</v>
      </c>
      <c r="H4778" s="28" t="s">
        <v>819</v>
      </c>
      <c r="I4778" s="29" t="n">
        <v>658000</v>
      </c>
      <c r="J4778" s="29" t="n">
        <v>493500</v>
      </c>
      <c r="K4778" s="28" t="n">
        <v>9</v>
      </c>
      <c r="L4778" s="28" t="n">
        <v>300</v>
      </c>
      <c r="M4778" s="28" t="n">
        <v>2</v>
      </c>
    </row>
    <row r="4779" customFormat="false" ht="15" hidden="false" customHeight="false" outlineLevel="0" collapsed="false">
      <c r="A4779" s="27" t="n">
        <v>45867</v>
      </c>
      <c r="B4779" s="28" t="n">
        <v>2025</v>
      </c>
      <c r="C4779" s="28" t="s">
        <v>172</v>
      </c>
      <c r="D4779" s="28" t="s">
        <v>48</v>
      </c>
      <c r="E4779" s="28" t="s">
        <v>736</v>
      </c>
      <c r="F4779" s="28" t="s">
        <v>142</v>
      </c>
      <c r="G4779" s="28" t="s">
        <v>148</v>
      </c>
      <c r="H4779" s="28" t="s">
        <v>275</v>
      </c>
      <c r="I4779" s="29" t="n">
        <v>350000</v>
      </c>
      <c r="J4779" s="29" t="n">
        <v>245000</v>
      </c>
      <c r="K4779" s="28" t="n">
        <v>10.25</v>
      </c>
      <c r="L4779" s="28" t="n">
        <v>120</v>
      </c>
      <c r="M4779" s="28" t="n">
        <v>36</v>
      </c>
    </row>
    <row r="4780" customFormat="false" ht="15" hidden="false" customHeight="false" outlineLevel="0" collapsed="false">
      <c r="A4780" s="27" t="n">
        <v>45867</v>
      </c>
      <c r="B4780" s="28" t="n">
        <v>2025</v>
      </c>
      <c r="C4780" s="28" t="s">
        <v>203</v>
      </c>
      <c r="D4780" s="28" t="s">
        <v>44</v>
      </c>
      <c r="E4780" s="28" t="s">
        <v>730</v>
      </c>
      <c r="F4780" s="28" t="s">
        <v>142</v>
      </c>
      <c r="G4780" s="28" t="s">
        <v>143</v>
      </c>
      <c r="H4780" s="28" t="s">
        <v>416</v>
      </c>
      <c r="I4780" s="29" t="n">
        <v>550000</v>
      </c>
      <c r="J4780" s="29" t="n">
        <v>412500</v>
      </c>
      <c r="K4780" s="28" t="n">
        <v>10.25</v>
      </c>
      <c r="L4780" s="28" t="n">
        <v>120</v>
      </c>
      <c r="M4780" s="28" t="n">
        <v>29</v>
      </c>
    </row>
    <row r="4781" customFormat="false" ht="15" hidden="false" customHeight="false" outlineLevel="0" collapsed="false">
      <c r="A4781" s="27" t="n">
        <v>45867</v>
      </c>
      <c r="B4781" s="28" t="n">
        <v>2025</v>
      </c>
      <c r="C4781" s="28" t="s">
        <v>172</v>
      </c>
      <c r="D4781" s="28" t="s">
        <v>45</v>
      </c>
      <c r="E4781" s="28" t="s">
        <v>708</v>
      </c>
      <c r="F4781" s="28" t="s">
        <v>142</v>
      </c>
      <c r="G4781" s="28" t="s">
        <v>148</v>
      </c>
      <c r="H4781" s="28" t="s">
        <v>771</v>
      </c>
      <c r="I4781" s="29" t="n">
        <v>65000</v>
      </c>
      <c r="J4781" s="29" t="n">
        <v>55250</v>
      </c>
      <c r="K4781" s="28" t="n">
        <v>13.25</v>
      </c>
      <c r="L4781" s="28" t="n">
        <v>120</v>
      </c>
      <c r="M4781" s="28" t="n">
        <v>2</v>
      </c>
    </row>
    <row r="4782" customFormat="false" ht="15" hidden="false" customHeight="false" outlineLevel="0" collapsed="false">
      <c r="A4782" s="27" t="n">
        <v>45868</v>
      </c>
      <c r="B4782" s="28" t="n">
        <v>2025</v>
      </c>
      <c r="C4782" s="28" t="s">
        <v>172</v>
      </c>
      <c r="D4782" s="28" t="s">
        <v>45</v>
      </c>
      <c r="E4782" s="28" t="s">
        <v>548</v>
      </c>
      <c r="F4782" s="28" t="s">
        <v>142</v>
      </c>
      <c r="G4782" s="28" t="s">
        <v>148</v>
      </c>
      <c r="H4782" s="28" t="s">
        <v>171</v>
      </c>
      <c r="I4782" s="29" t="n">
        <v>150000</v>
      </c>
      <c r="J4782" s="29" t="n">
        <v>127500</v>
      </c>
      <c r="K4782" s="28" t="n">
        <v>12.25</v>
      </c>
      <c r="L4782" s="28" t="n">
        <v>120</v>
      </c>
      <c r="M4782" s="28" t="n">
        <v>10</v>
      </c>
    </row>
    <row r="4783" customFormat="false" ht="15" hidden="false" customHeight="false" outlineLevel="0" collapsed="false">
      <c r="A4783" s="27" t="n">
        <v>45868</v>
      </c>
      <c r="B4783" s="28" t="n">
        <v>2025</v>
      </c>
      <c r="C4783" s="28" t="s">
        <v>216</v>
      </c>
      <c r="D4783" s="28" t="s">
        <v>52</v>
      </c>
      <c r="E4783" s="28" t="s">
        <v>715</v>
      </c>
      <c r="F4783" s="28" t="s">
        <v>142</v>
      </c>
      <c r="G4783" s="28" t="s">
        <v>148</v>
      </c>
      <c r="H4783" s="28" t="s">
        <v>1089</v>
      </c>
      <c r="I4783" s="29" t="n">
        <v>435300</v>
      </c>
      <c r="J4783" s="29" t="n">
        <v>326475</v>
      </c>
      <c r="K4783" s="28" t="n">
        <v>9.75</v>
      </c>
      <c r="L4783" s="28" t="n">
        <v>120</v>
      </c>
      <c r="M4783" s="28" t="n">
        <v>2</v>
      </c>
    </row>
    <row r="4784" customFormat="false" ht="15" hidden="false" customHeight="false" outlineLevel="0" collapsed="false">
      <c r="A4784" s="27" t="n">
        <v>45869</v>
      </c>
      <c r="B4784" s="28" t="n">
        <v>2025</v>
      </c>
      <c r="C4784" s="28" t="s">
        <v>172</v>
      </c>
      <c r="D4784" s="28" t="s">
        <v>44</v>
      </c>
      <c r="E4784" s="28" t="s">
        <v>755</v>
      </c>
      <c r="F4784" s="28" t="s">
        <v>142</v>
      </c>
      <c r="G4784" s="28" t="s">
        <v>441</v>
      </c>
      <c r="H4784" s="28" t="s">
        <v>211</v>
      </c>
      <c r="I4784" s="29" t="n">
        <v>1901000</v>
      </c>
      <c r="J4784" s="29" t="n">
        <v>1425750</v>
      </c>
      <c r="K4784" s="28" t="n">
        <v>6.5</v>
      </c>
      <c r="L4784" s="28" t="n">
        <v>312</v>
      </c>
      <c r="M4784" s="28" t="n">
        <v>10</v>
      </c>
    </row>
    <row r="4785" customFormat="false" ht="15" hidden="false" customHeight="false" outlineLevel="0" collapsed="false">
      <c r="A4785" s="27" t="n">
        <v>45869</v>
      </c>
      <c r="B4785" s="28" t="n">
        <v>2025</v>
      </c>
      <c r="C4785" s="28" t="s">
        <v>332</v>
      </c>
      <c r="D4785" s="28" t="s">
        <v>50</v>
      </c>
      <c r="E4785" s="28" t="s">
        <v>193</v>
      </c>
      <c r="F4785" s="28" t="s">
        <v>142</v>
      </c>
      <c r="G4785" s="28" t="s">
        <v>148</v>
      </c>
      <c r="H4785" s="28" t="s">
        <v>171</v>
      </c>
      <c r="I4785" s="29" t="n">
        <v>150000</v>
      </c>
      <c r="J4785" s="29" t="n">
        <v>127500</v>
      </c>
      <c r="K4785" s="28" t="n">
        <v>12.25</v>
      </c>
      <c r="L4785" s="28" t="n">
        <v>120</v>
      </c>
      <c r="M4785" s="28" t="n">
        <v>1</v>
      </c>
    </row>
    <row r="4786" customFormat="false" ht="15" hidden="false" customHeight="false" outlineLevel="0" collapsed="false">
      <c r="A4786" s="27" t="n">
        <v>45869</v>
      </c>
      <c r="B4786" s="28" t="n">
        <v>2025</v>
      </c>
      <c r="C4786" s="28" t="s">
        <v>353</v>
      </c>
      <c r="D4786" s="28" t="s">
        <v>46</v>
      </c>
      <c r="E4786" s="28" t="s">
        <v>746</v>
      </c>
      <c r="F4786" s="28" t="s">
        <v>142</v>
      </c>
      <c r="G4786" s="28" t="s">
        <v>152</v>
      </c>
      <c r="H4786" s="28" t="s">
        <v>144</v>
      </c>
      <c r="I4786" s="29" t="n">
        <v>1220000</v>
      </c>
      <c r="J4786" s="29" t="n">
        <v>915000</v>
      </c>
      <c r="K4786" s="28" t="n">
        <v>8</v>
      </c>
      <c r="L4786" s="28" t="n">
        <v>120</v>
      </c>
      <c r="M4786" s="28" t="n">
        <v>2</v>
      </c>
    </row>
    <row r="4787" customFormat="false" ht="15" hidden="false" customHeight="false" outlineLevel="0" collapsed="false">
      <c r="A4787" s="27" t="n">
        <v>45869</v>
      </c>
      <c r="B4787" s="28" t="n">
        <v>2025</v>
      </c>
      <c r="C4787" s="28" t="s">
        <v>198</v>
      </c>
      <c r="D4787" s="28" t="s">
        <v>46</v>
      </c>
      <c r="E4787" s="28" t="s">
        <v>727</v>
      </c>
      <c r="F4787" s="28" t="s">
        <v>142</v>
      </c>
      <c r="G4787" s="28" t="s">
        <v>148</v>
      </c>
      <c r="H4787" s="28" t="s">
        <v>456</v>
      </c>
      <c r="I4787" s="29" t="n">
        <v>75000</v>
      </c>
      <c r="J4787" s="29" t="n">
        <v>63750</v>
      </c>
      <c r="K4787" s="28" t="n">
        <v>10.5</v>
      </c>
      <c r="L4787" s="28" t="n">
        <v>120</v>
      </c>
      <c r="M4787" s="28" t="n">
        <v>7</v>
      </c>
    </row>
    <row r="4788" customFormat="false" ht="15" hidden="false" customHeight="false" outlineLevel="0" collapsed="false">
      <c r="A4788" s="27" t="n">
        <v>45869</v>
      </c>
      <c r="B4788" s="28" t="n">
        <v>2025</v>
      </c>
      <c r="C4788" s="28" t="s">
        <v>169</v>
      </c>
      <c r="D4788" s="28" t="s">
        <v>44</v>
      </c>
      <c r="E4788" s="28" t="s">
        <v>730</v>
      </c>
      <c r="F4788" s="28" t="s">
        <v>142</v>
      </c>
      <c r="G4788" s="28" t="s">
        <v>152</v>
      </c>
      <c r="H4788" s="28" t="s">
        <v>438</v>
      </c>
      <c r="I4788" s="29" t="n">
        <v>935000</v>
      </c>
      <c r="J4788" s="29" t="n">
        <v>701250</v>
      </c>
      <c r="K4788" s="28" t="n">
        <v>9.75</v>
      </c>
      <c r="L4788" s="28" t="n">
        <v>120</v>
      </c>
      <c r="M4788" s="28" t="n">
        <v>17</v>
      </c>
    </row>
    <row r="4789" customFormat="false" ht="15" hidden="false" customHeight="false" outlineLevel="0" collapsed="false">
      <c r="A4789" s="27" t="n">
        <v>45870</v>
      </c>
      <c r="B4789" s="28" t="n">
        <v>2025</v>
      </c>
      <c r="C4789" s="28" t="s">
        <v>206</v>
      </c>
      <c r="D4789" s="28" t="s">
        <v>43</v>
      </c>
      <c r="E4789" s="28" t="s">
        <v>1005</v>
      </c>
      <c r="F4789" s="28" t="s">
        <v>147</v>
      </c>
      <c r="G4789" s="28" t="s">
        <v>148</v>
      </c>
      <c r="H4789" s="28" t="s">
        <v>428</v>
      </c>
      <c r="I4789" s="29" t="n">
        <v>200000</v>
      </c>
      <c r="J4789" s="29" t="n">
        <v>100000</v>
      </c>
      <c r="K4789" s="28" t="n">
        <v>12.3</v>
      </c>
      <c r="L4789" s="28" t="n">
        <v>120</v>
      </c>
      <c r="M4789" s="28" t="n">
        <v>2</v>
      </c>
    </row>
    <row r="4790" customFormat="false" ht="15" hidden="false" customHeight="false" outlineLevel="0" collapsed="false">
      <c r="A4790" s="27" t="n">
        <v>45870</v>
      </c>
      <c r="B4790" s="28" t="n">
        <v>2025</v>
      </c>
      <c r="C4790" s="28" t="s">
        <v>235</v>
      </c>
      <c r="D4790" s="28" t="s">
        <v>46</v>
      </c>
      <c r="E4790" s="28" t="s">
        <v>813</v>
      </c>
      <c r="F4790" s="28" t="s">
        <v>142</v>
      </c>
      <c r="G4790" s="28" t="s">
        <v>143</v>
      </c>
      <c r="H4790" s="28" t="s">
        <v>621</v>
      </c>
      <c r="I4790" s="29" t="n">
        <v>1149000</v>
      </c>
      <c r="J4790" s="29" t="n">
        <v>861750</v>
      </c>
      <c r="K4790" s="28" t="n">
        <v>9.5</v>
      </c>
      <c r="L4790" s="28" t="n">
        <v>300</v>
      </c>
      <c r="M4790" s="28" t="n">
        <v>9</v>
      </c>
    </row>
    <row r="4791" customFormat="false" ht="15" hidden="false" customHeight="false" outlineLevel="0" collapsed="false">
      <c r="A4791" s="27" t="n">
        <v>45870</v>
      </c>
      <c r="B4791" s="28" t="n">
        <v>2025</v>
      </c>
      <c r="C4791" s="28" t="s">
        <v>263</v>
      </c>
      <c r="D4791" s="28" t="s">
        <v>43</v>
      </c>
      <c r="E4791" s="28" t="s">
        <v>886</v>
      </c>
      <c r="F4791" s="28" t="s">
        <v>142</v>
      </c>
      <c r="G4791" s="28" t="s">
        <v>441</v>
      </c>
      <c r="H4791" s="28" t="s">
        <v>469</v>
      </c>
      <c r="I4791" s="29" t="n">
        <v>925000</v>
      </c>
      <c r="J4791" s="29" t="n">
        <v>693750</v>
      </c>
      <c r="K4791" s="28" t="n">
        <v>6.125</v>
      </c>
      <c r="L4791" s="28" t="n">
        <v>239</v>
      </c>
      <c r="M4791" s="28" t="n">
        <v>2</v>
      </c>
    </row>
    <row r="4792" customFormat="false" ht="15" hidden="false" customHeight="false" outlineLevel="0" collapsed="false">
      <c r="A4792" s="27" t="n">
        <v>45873</v>
      </c>
      <c r="B4792" s="28" t="n">
        <v>2025</v>
      </c>
      <c r="C4792" s="28" t="s">
        <v>172</v>
      </c>
      <c r="D4792" s="28" t="s">
        <v>48</v>
      </c>
      <c r="E4792" s="28" t="s">
        <v>736</v>
      </c>
      <c r="F4792" s="28" t="s">
        <v>142</v>
      </c>
      <c r="G4792" s="28" t="s">
        <v>148</v>
      </c>
      <c r="H4792" s="28" t="s">
        <v>953</v>
      </c>
      <c r="I4792" s="29" t="n">
        <v>60000</v>
      </c>
      <c r="J4792" s="29" t="n">
        <v>51000</v>
      </c>
      <c r="K4792" s="28" t="n">
        <v>10.5</v>
      </c>
      <c r="L4792" s="28" t="n">
        <v>120</v>
      </c>
      <c r="M4792" s="28" t="n">
        <v>3</v>
      </c>
    </row>
    <row r="4793" customFormat="false" ht="15" hidden="false" customHeight="false" outlineLevel="0" collapsed="false">
      <c r="A4793" s="27" t="n">
        <v>45873</v>
      </c>
      <c r="B4793" s="28" t="n">
        <v>2025</v>
      </c>
      <c r="C4793" s="28" t="s">
        <v>166</v>
      </c>
      <c r="D4793" s="28" t="s">
        <v>42</v>
      </c>
      <c r="E4793" s="28" t="s">
        <v>784</v>
      </c>
      <c r="F4793" s="28" t="s">
        <v>142</v>
      </c>
      <c r="G4793" s="28" t="s">
        <v>441</v>
      </c>
      <c r="H4793" s="28" t="s">
        <v>149</v>
      </c>
      <c r="I4793" s="29" t="n">
        <v>816000</v>
      </c>
      <c r="J4793" s="29" t="n">
        <v>612000</v>
      </c>
      <c r="K4793" s="28" t="n">
        <v>9.25</v>
      </c>
      <c r="L4793" s="28" t="n">
        <v>120</v>
      </c>
      <c r="M4793" s="28" t="n">
        <v>14</v>
      </c>
    </row>
    <row r="4794" customFormat="false" ht="15" hidden="false" customHeight="false" outlineLevel="0" collapsed="false">
      <c r="A4794" s="27" t="n">
        <v>45873</v>
      </c>
      <c r="B4794" s="28" t="n">
        <v>2025</v>
      </c>
      <c r="C4794" s="28" t="s">
        <v>353</v>
      </c>
      <c r="D4794" s="28" t="s">
        <v>44</v>
      </c>
      <c r="E4794" s="28" t="s">
        <v>1162</v>
      </c>
      <c r="F4794" s="28" t="s">
        <v>142</v>
      </c>
      <c r="G4794" s="28" t="s">
        <v>148</v>
      </c>
      <c r="H4794" s="28" t="s">
        <v>953</v>
      </c>
      <c r="I4794" s="29" t="n">
        <v>200000</v>
      </c>
      <c r="J4794" s="29" t="n">
        <v>150000</v>
      </c>
      <c r="K4794" s="28" t="n">
        <v>10.5</v>
      </c>
      <c r="L4794" s="28" t="n">
        <v>300</v>
      </c>
      <c r="M4794" s="28" t="n">
        <v>8</v>
      </c>
    </row>
    <row r="4795" customFormat="false" ht="15" hidden="false" customHeight="false" outlineLevel="0" collapsed="false">
      <c r="A4795" s="27" t="n">
        <v>45874</v>
      </c>
      <c r="B4795" s="28" t="n">
        <v>2025</v>
      </c>
      <c r="C4795" s="28" t="s">
        <v>206</v>
      </c>
      <c r="D4795" s="28" t="s">
        <v>43</v>
      </c>
      <c r="E4795" s="28" t="s">
        <v>972</v>
      </c>
      <c r="F4795" s="28" t="s">
        <v>142</v>
      </c>
      <c r="G4795" s="28" t="s">
        <v>148</v>
      </c>
      <c r="H4795" s="28" t="s">
        <v>494</v>
      </c>
      <c r="I4795" s="29" t="n">
        <v>700000</v>
      </c>
      <c r="J4795" s="29" t="n">
        <v>525000</v>
      </c>
      <c r="K4795" s="28" t="n">
        <v>9.25</v>
      </c>
      <c r="L4795" s="28" t="n">
        <v>120</v>
      </c>
      <c r="M4795" s="28" t="n">
        <v>15</v>
      </c>
    </row>
    <row r="4796" customFormat="false" ht="15" hidden="false" customHeight="false" outlineLevel="0" collapsed="false">
      <c r="A4796" s="27" t="n">
        <v>45874</v>
      </c>
      <c r="B4796" s="28" t="n">
        <v>2025</v>
      </c>
      <c r="C4796" s="28" t="s">
        <v>172</v>
      </c>
      <c r="D4796" s="28" t="s">
        <v>45</v>
      </c>
      <c r="E4796" s="28" t="s">
        <v>708</v>
      </c>
      <c r="F4796" s="28" t="s">
        <v>142</v>
      </c>
      <c r="G4796" s="28" t="s">
        <v>148</v>
      </c>
      <c r="H4796" s="28" t="s">
        <v>1150</v>
      </c>
      <c r="I4796" s="29" t="n">
        <v>150000</v>
      </c>
      <c r="J4796" s="29" t="n">
        <v>127500</v>
      </c>
      <c r="K4796" s="28" t="n">
        <v>13.25</v>
      </c>
      <c r="L4796" s="28" t="n">
        <v>120</v>
      </c>
      <c r="M4796" s="28" t="n">
        <v>1</v>
      </c>
    </row>
    <row r="4797" customFormat="false" ht="15" hidden="false" customHeight="false" outlineLevel="0" collapsed="false">
      <c r="A4797" s="27" t="n">
        <v>45875</v>
      </c>
      <c r="B4797" s="28" t="n">
        <v>2025</v>
      </c>
      <c r="C4797" s="28" t="s">
        <v>169</v>
      </c>
      <c r="D4797" s="28" t="s">
        <v>52</v>
      </c>
      <c r="E4797" s="28" t="s">
        <v>716</v>
      </c>
      <c r="F4797" s="28" t="s">
        <v>142</v>
      </c>
      <c r="G4797" s="28" t="s">
        <v>148</v>
      </c>
      <c r="H4797" s="28" t="s">
        <v>937</v>
      </c>
      <c r="I4797" s="29" t="n">
        <v>350000</v>
      </c>
      <c r="J4797" s="29" t="n">
        <v>262500</v>
      </c>
      <c r="K4797" s="28" t="n">
        <v>12</v>
      </c>
      <c r="L4797" s="28" t="n">
        <v>120</v>
      </c>
      <c r="M4797" s="28" t="n">
        <v>5</v>
      </c>
    </row>
    <row r="4798" customFormat="false" ht="15" hidden="false" customHeight="false" outlineLevel="0" collapsed="false">
      <c r="A4798" s="27" t="n">
        <v>45876</v>
      </c>
      <c r="B4798" s="28" t="n">
        <v>2025</v>
      </c>
      <c r="C4798" s="28" t="s">
        <v>172</v>
      </c>
      <c r="D4798" s="28" t="s">
        <v>50</v>
      </c>
      <c r="E4798" s="28" t="s">
        <v>1094</v>
      </c>
      <c r="F4798" s="28" t="s">
        <v>147</v>
      </c>
      <c r="G4798" s="28" t="s">
        <v>441</v>
      </c>
      <c r="H4798" s="28" t="s">
        <v>159</v>
      </c>
      <c r="I4798" s="29" t="n">
        <v>65000</v>
      </c>
      <c r="J4798" s="29" t="n">
        <v>32500</v>
      </c>
      <c r="K4798" s="28" t="n">
        <v>9.24</v>
      </c>
      <c r="L4798" s="28" t="n">
        <v>60</v>
      </c>
      <c r="M4798" s="28" t="n">
        <v>4</v>
      </c>
    </row>
    <row r="4799" customFormat="false" ht="15" hidden="false" customHeight="false" outlineLevel="0" collapsed="false">
      <c r="A4799" s="27" t="n">
        <v>45876</v>
      </c>
      <c r="B4799" s="28" t="n">
        <v>2025</v>
      </c>
      <c r="C4799" s="28" t="s">
        <v>393</v>
      </c>
      <c r="D4799" s="28" t="s">
        <v>43</v>
      </c>
      <c r="E4799" s="28" t="s">
        <v>886</v>
      </c>
      <c r="F4799" s="28" t="s">
        <v>142</v>
      </c>
      <c r="G4799" s="28" t="s">
        <v>148</v>
      </c>
      <c r="H4799" s="28" t="s">
        <v>456</v>
      </c>
      <c r="I4799" s="29" t="n">
        <v>250000</v>
      </c>
      <c r="J4799" s="29" t="n">
        <v>187500</v>
      </c>
      <c r="K4799" s="28" t="n">
        <v>10.5</v>
      </c>
      <c r="L4799" s="28" t="n">
        <v>120</v>
      </c>
      <c r="M4799" s="28" t="n">
        <v>7</v>
      </c>
    </row>
    <row r="4800" customFormat="false" ht="15" hidden="false" customHeight="false" outlineLevel="0" collapsed="false">
      <c r="A4800" s="27" t="n">
        <v>45876</v>
      </c>
      <c r="B4800" s="28" t="n">
        <v>2025</v>
      </c>
      <c r="C4800" s="28" t="s">
        <v>169</v>
      </c>
      <c r="D4800" s="28" t="s">
        <v>42</v>
      </c>
      <c r="E4800" s="28" t="s">
        <v>784</v>
      </c>
      <c r="F4800" s="28" t="s">
        <v>147</v>
      </c>
      <c r="G4800" s="28" t="s">
        <v>143</v>
      </c>
      <c r="H4800" s="28" t="s">
        <v>211</v>
      </c>
      <c r="I4800" s="29" t="n">
        <v>50000</v>
      </c>
      <c r="J4800" s="29" t="n">
        <v>25000</v>
      </c>
      <c r="K4800" s="28" t="n">
        <v>10</v>
      </c>
      <c r="L4800" s="28" t="n">
        <v>120</v>
      </c>
      <c r="M4800" s="28" t="n">
        <v>3</v>
      </c>
    </row>
    <row r="4801" customFormat="false" ht="15" hidden="false" customHeight="false" outlineLevel="0" collapsed="false">
      <c r="A4801" s="27" t="n">
        <v>45876</v>
      </c>
      <c r="B4801" s="28" t="n">
        <v>2025</v>
      </c>
      <c r="C4801" s="28" t="s">
        <v>172</v>
      </c>
      <c r="D4801" s="28" t="s">
        <v>50</v>
      </c>
      <c r="E4801" s="28" t="s">
        <v>1094</v>
      </c>
      <c r="F4801" s="28" t="s">
        <v>147</v>
      </c>
      <c r="G4801" s="28" t="s">
        <v>441</v>
      </c>
      <c r="H4801" s="28" t="s">
        <v>159</v>
      </c>
      <c r="I4801" s="29" t="n">
        <v>10000</v>
      </c>
      <c r="J4801" s="29" t="n">
        <v>5000</v>
      </c>
      <c r="K4801" s="28" t="n">
        <v>14</v>
      </c>
      <c r="L4801" s="28" t="n">
        <v>120</v>
      </c>
      <c r="M4801" s="28" t="n">
        <v>4</v>
      </c>
    </row>
    <row r="4802" customFormat="false" ht="15" hidden="false" customHeight="false" outlineLevel="0" collapsed="false">
      <c r="A4802" s="27" t="n">
        <v>45876</v>
      </c>
      <c r="B4802" s="28" t="n">
        <v>2025</v>
      </c>
      <c r="C4802" s="28" t="s">
        <v>163</v>
      </c>
      <c r="D4802" s="28" t="s">
        <v>51</v>
      </c>
      <c r="E4802" s="28" t="s">
        <v>779</v>
      </c>
      <c r="F4802" s="28" t="s">
        <v>142</v>
      </c>
      <c r="G4802" s="28" t="s">
        <v>152</v>
      </c>
      <c r="H4802" s="28" t="s">
        <v>144</v>
      </c>
      <c r="I4802" s="29" t="n">
        <v>800000</v>
      </c>
      <c r="J4802" s="29" t="n">
        <v>600000</v>
      </c>
      <c r="K4802" s="28" t="n">
        <v>9.5</v>
      </c>
      <c r="L4802" s="28" t="n">
        <v>120</v>
      </c>
      <c r="M4802" s="28" t="n">
        <v>16</v>
      </c>
    </row>
    <row r="4803" customFormat="false" ht="15" hidden="false" customHeight="false" outlineLevel="0" collapsed="false">
      <c r="A4803" s="27" t="n">
        <v>45877</v>
      </c>
      <c r="B4803" s="28" t="n">
        <v>2025</v>
      </c>
      <c r="C4803" s="28" t="s">
        <v>292</v>
      </c>
      <c r="D4803" s="28" t="s">
        <v>42</v>
      </c>
      <c r="E4803" s="28" t="s">
        <v>784</v>
      </c>
      <c r="F4803" s="28" t="s">
        <v>142</v>
      </c>
      <c r="G4803" s="28" t="s">
        <v>441</v>
      </c>
      <c r="H4803" s="28" t="s">
        <v>1002</v>
      </c>
      <c r="I4803" s="29" t="n">
        <v>535000</v>
      </c>
      <c r="J4803" s="29" t="n">
        <v>401250</v>
      </c>
      <c r="K4803" s="28" t="n">
        <v>10.25</v>
      </c>
      <c r="L4803" s="28" t="n">
        <v>129</v>
      </c>
      <c r="M4803" s="28" t="n">
        <v>14</v>
      </c>
    </row>
    <row r="4804" customFormat="false" ht="15" hidden="false" customHeight="false" outlineLevel="0" collapsed="false">
      <c r="A4804" s="27" t="n">
        <v>45877</v>
      </c>
      <c r="B4804" s="28" t="n">
        <v>2025</v>
      </c>
      <c r="C4804" s="28" t="s">
        <v>172</v>
      </c>
      <c r="D4804" s="28" t="s">
        <v>42</v>
      </c>
      <c r="E4804" s="28" t="s">
        <v>717</v>
      </c>
      <c r="F4804" s="28" t="s">
        <v>142</v>
      </c>
      <c r="G4804" s="28" t="s">
        <v>441</v>
      </c>
      <c r="H4804" s="28" t="s">
        <v>149</v>
      </c>
      <c r="I4804" s="29" t="n">
        <v>1686000</v>
      </c>
      <c r="J4804" s="29" t="n">
        <v>1264500</v>
      </c>
      <c r="K4804" s="28" t="n">
        <v>9.25</v>
      </c>
      <c r="L4804" s="28" t="n">
        <v>127</v>
      </c>
      <c r="M4804" s="28" t="n">
        <v>51</v>
      </c>
    </row>
    <row r="4805" customFormat="false" ht="15" hidden="false" customHeight="false" outlineLevel="0" collapsed="false">
      <c r="A4805" s="27" t="n">
        <v>45877</v>
      </c>
      <c r="B4805" s="28" t="n">
        <v>2025</v>
      </c>
      <c r="C4805" s="28" t="s">
        <v>160</v>
      </c>
      <c r="D4805" s="28" t="s">
        <v>43</v>
      </c>
      <c r="E4805" s="28" t="s">
        <v>952</v>
      </c>
      <c r="F4805" s="28" t="s">
        <v>147</v>
      </c>
      <c r="G4805" s="28" t="s">
        <v>148</v>
      </c>
      <c r="H4805" s="28" t="s">
        <v>281</v>
      </c>
      <c r="I4805" s="29" t="n">
        <v>379200</v>
      </c>
      <c r="J4805" s="29" t="n">
        <v>189600</v>
      </c>
      <c r="K4805" s="28" t="n">
        <v>2.5</v>
      </c>
      <c r="L4805" s="28" t="n">
        <v>120</v>
      </c>
      <c r="M4805" s="28" t="n">
        <v>10</v>
      </c>
    </row>
    <row r="4806" customFormat="false" ht="15" hidden="false" customHeight="false" outlineLevel="0" collapsed="false">
      <c r="A4806" s="27" t="n">
        <v>45877</v>
      </c>
      <c r="B4806" s="28" t="n">
        <v>2025</v>
      </c>
      <c r="C4806" s="28" t="s">
        <v>169</v>
      </c>
      <c r="D4806" s="28" t="s">
        <v>42</v>
      </c>
      <c r="E4806" s="28" t="s">
        <v>784</v>
      </c>
      <c r="F4806" s="28" t="s">
        <v>142</v>
      </c>
      <c r="G4806" s="28" t="s">
        <v>143</v>
      </c>
      <c r="H4806" s="28" t="s">
        <v>211</v>
      </c>
      <c r="I4806" s="29" t="n">
        <v>316000</v>
      </c>
      <c r="J4806" s="29" t="n">
        <v>237000</v>
      </c>
      <c r="K4806" s="28" t="n">
        <v>10</v>
      </c>
      <c r="L4806" s="28" t="n">
        <v>120</v>
      </c>
      <c r="M4806" s="28" t="n">
        <v>3</v>
      </c>
    </row>
    <row r="4807" customFormat="false" ht="15" hidden="false" customHeight="false" outlineLevel="0" collapsed="false">
      <c r="A4807" s="27" t="n">
        <v>45880</v>
      </c>
      <c r="B4807" s="28" t="n">
        <v>2025</v>
      </c>
      <c r="C4807" s="28" t="s">
        <v>508</v>
      </c>
      <c r="D4807" s="28" t="s">
        <v>45</v>
      </c>
      <c r="E4807" s="28" t="s">
        <v>708</v>
      </c>
      <c r="F4807" s="28" t="s">
        <v>142</v>
      </c>
      <c r="G4807" s="28" t="s">
        <v>148</v>
      </c>
      <c r="H4807" s="28" t="s">
        <v>1150</v>
      </c>
      <c r="I4807" s="29" t="n">
        <v>130000</v>
      </c>
      <c r="J4807" s="29" t="n">
        <v>110500</v>
      </c>
      <c r="K4807" s="28" t="n">
        <v>12</v>
      </c>
      <c r="L4807" s="28" t="n">
        <v>120</v>
      </c>
      <c r="M4807" s="28" t="n">
        <v>0</v>
      </c>
    </row>
    <row r="4808" customFormat="false" ht="15" hidden="false" customHeight="false" outlineLevel="0" collapsed="false">
      <c r="A4808" s="27" t="n">
        <v>45880</v>
      </c>
      <c r="B4808" s="28" t="n">
        <v>2025</v>
      </c>
      <c r="C4808" s="28" t="s">
        <v>160</v>
      </c>
      <c r="D4808" s="28" t="s">
        <v>43</v>
      </c>
      <c r="E4808" s="28" t="s">
        <v>952</v>
      </c>
      <c r="F4808" s="28" t="s">
        <v>147</v>
      </c>
      <c r="G4808" s="28" t="s">
        <v>148</v>
      </c>
      <c r="H4808" s="28" t="s">
        <v>281</v>
      </c>
      <c r="I4808" s="29" t="n">
        <v>101000</v>
      </c>
      <c r="J4808" s="29" t="n">
        <v>50500</v>
      </c>
      <c r="K4808" s="28" t="n">
        <v>10</v>
      </c>
      <c r="L4808" s="28" t="n">
        <v>84</v>
      </c>
      <c r="M4808" s="28" t="n">
        <v>10</v>
      </c>
    </row>
    <row r="4809" customFormat="false" ht="15" hidden="false" customHeight="false" outlineLevel="0" collapsed="false">
      <c r="A4809" s="27" t="n">
        <v>45880</v>
      </c>
      <c r="B4809" s="28" t="n">
        <v>2025</v>
      </c>
      <c r="C4809" s="28" t="s">
        <v>500</v>
      </c>
      <c r="D4809" s="28" t="s">
        <v>44</v>
      </c>
      <c r="E4809" s="28" t="s">
        <v>730</v>
      </c>
      <c r="F4809" s="28" t="s">
        <v>147</v>
      </c>
      <c r="G4809" s="28" t="s">
        <v>441</v>
      </c>
      <c r="H4809" s="28" t="s">
        <v>168</v>
      </c>
      <c r="I4809" s="29" t="n">
        <v>20000</v>
      </c>
      <c r="J4809" s="29" t="n">
        <v>10000</v>
      </c>
      <c r="K4809" s="28" t="n">
        <v>13.5</v>
      </c>
      <c r="L4809" s="28" t="n">
        <v>120</v>
      </c>
      <c r="M4809" s="28" t="n">
        <v>2</v>
      </c>
    </row>
    <row r="4810" customFormat="false" ht="15" hidden="false" customHeight="false" outlineLevel="0" collapsed="false">
      <c r="A4810" s="27" t="n">
        <v>45880</v>
      </c>
      <c r="B4810" s="28" t="n">
        <v>2025</v>
      </c>
      <c r="C4810" s="28" t="s">
        <v>172</v>
      </c>
      <c r="D4810" s="28" t="s">
        <v>43</v>
      </c>
      <c r="E4810" s="28" t="s">
        <v>825</v>
      </c>
      <c r="F4810" s="28" t="s">
        <v>142</v>
      </c>
      <c r="G4810" s="28" t="s">
        <v>148</v>
      </c>
      <c r="H4810" s="28" t="s">
        <v>291</v>
      </c>
      <c r="I4810" s="29" t="n">
        <v>1125000</v>
      </c>
      <c r="J4810" s="29" t="n">
        <v>843750</v>
      </c>
      <c r="K4810" s="28" t="n">
        <v>9.75</v>
      </c>
      <c r="L4810" s="28" t="n">
        <v>126</v>
      </c>
      <c r="M4810" s="28" t="n">
        <v>12</v>
      </c>
    </row>
    <row r="4811" customFormat="false" ht="15" hidden="false" customHeight="false" outlineLevel="0" collapsed="false">
      <c r="A4811" s="27" t="n">
        <v>45880</v>
      </c>
      <c r="B4811" s="28" t="n">
        <v>2025</v>
      </c>
      <c r="C4811" s="28" t="s">
        <v>145</v>
      </c>
      <c r="D4811" s="28" t="s">
        <v>47</v>
      </c>
      <c r="E4811" s="28" t="s">
        <v>776</v>
      </c>
      <c r="F4811" s="28" t="s">
        <v>142</v>
      </c>
      <c r="G4811" s="28" t="s">
        <v>441</v>
      </c>
      <c r="H4811" s="28" t="s">
        <v>1031</v>
      </c>
      <c r="I4811" s="29" t="n">
        <v>810000</v>
      </c>
      <c r="J4811" s="29" t="n">
        <v>607500</v>
      </c>
      <c r="K4811" s="28" t="n">
        <v>9.25</v>
      </c>
      <c r="L4811" s="28" t="n">
        <v>120</v>
      </c>
      <c r="M4811" s="28" t="n">
        <v>11</v>
      </c>
    </row>
    <row r="4812" customFormat="false" ht="15" hidden="false" customHeight="false" outlineLevel="0" collapsed="false">
      <c r="A4812" s="27" t="n">
        <v>45880</v>
      </c>
      <c r="B4812" s="28" t="n">
        <v>2025</v>
      </c>
      <c r="C4812" s="28" t="s">
        <v>166</v>
      </c>
      <c r="D4812" s="28" t="s">
        <v>44</v>
      </c>
      <c r="E4812" s="28" t="s">
        <v>730</v>
      </c>
      <c r="F4812" s="28" t="s">
        <v>142</v>
      </c>
      <c r="G4812" s="28" t="s">
        <v>143</v>
      </c>
      <c r="H4812" s="28" t="s">
        <v>413</v>
      </c>
      <c r="I4812" s="29" t="n">
        <v>150000</v>
      </c>
      <c r="J4812" s="29" t="n">
        <v>127500</v>
      </c>
      <c r="K4812" s="28" t="n">
        <v>10</v>
      </c>
      <c r="L4812" s="28" t="n">
        <v>120</v>
      </c>
      <c r="M4812" s="28" t="n">
        <v>27</v>
      </c>
    </row>
    <row r="4813" customFormat="false" ht="15" hidden="false" customHeight="false" outlineLevel="0" collapsed="false">
      <c r="A4813" s="27" t="n">
        <v>45880</v>
      </c>
      <c r="B4813" s="28" t="n">
        <v>2025</v>
      </c>
      <c r="C4813" s="28" t="s">
        <v>203</v>
      </c>
      <c r="D4813" s="28" t="s">
        <v>46</v>
      </c>
      <c r="E4813" s="28" t="s">
        <v>741</v>
      </c>
      <c r="F4813" s="28" t="s">
        <v>142</v>
      </c>
      <c r="G4813" s="28" t="s">
        <v>148</v>
      </c>
      <c r="H4813" s="28" t="s">
        <v>221</v>
      </c>
      <c r="I4813" s="29" t="n">
        <v>1800000</v>
      </c>
      <c r="J4813" s="29" t="n">
        <v>1350000</v>
      </c>
      <c r="K4813" s="28" t="n">
        <v>8.5</v>
      </c>
      <c r="L4813" s="28" t="n">
        <v>300</v>
      </c>
      <c r="M4813" s="28" t="n">
        <v>4</v>
      </c>
    </row>
    <row r="4814" customFormat="false" ht="15" hidden="false" customHeight="false" outlineLevel="0" collapsed="false">
      <c r="A4814" s="27" t="n">
        <v>45880</v>
      </c>
      <c r="B4814" s="28" t="n">
        <v>2025</v>
      </c>
      <c r="C4814" s="28" t="s">
        <v>310</v>
      </c>
      <c r="D4814" s="28" t="s">
        <v>46</v>
      </c>
      <c r="E4814" s="28" t="s">
        <v>702</v>
      </c>
      <c r="F4814" s="28" t="s">
        <v>142</v>
      </c>
      <c r="G4814" s="28" t="s">
        <v>152</v>
      </c>
      <c r="H4814" s="28" t="s">
        <v>667</v>
      </c>
      <c r="I4814" s="29" t="n">
        <v>741000</v>
      </c>
      <c r="J4814" s="29" t="n">
        <v>555750</v>
      </c>
      <c r="K4814" s="28" t="n">
        <v>7.99</v>
      </c>
      <c r="L4814" s="28" t="n">
        <v>300</v>
      </c>
      <c r="M4814" s="28" t="n">
        <v>0</v>
      </c>
    </row>
    <row r="4815" customFormat="false" ht="15" hidden="false" customHeight="false" outlineLevel="0" collapsed="false">
      <c r="A4815" s="27" t="n">
        <v>45880</v>
      </c>
      <c r="B4815" s="28" t="n">
        <v>2025</v>
      </c>
      <c r="C4815" s="28" t="s">
        <v>196</v>
      </c>
      <c r="D4815" s="28" t="s">
        <v>53</v>
      </c>
      <c r="E4815" s="28" t="s">
        <v>718</v>
      </c>
      <c r="F4815" s="28" t="s">
        <v>142</v>
      </c>
      <c r="G4815" s="28" t="s">
        <v>148</v>
      </c>
      <c r="H4815" s="28" t="s">
        <v>953</v>
      </c>
      <c r="I4815" s="29" t="n">
        <v>250000</v>
      </c>
      <c r="J4815" s="29" t="n">
        <v>187500</v>
      </c>
      <c r="K4815" s="28" t="n">
        <v>10.5</v>
      </c>
      <c r="L4815" s="28" t="n">
        <v>120</v>
      </c>
      <c r="M4815" s="28" t="n">
        <v>10</v>
      </c>
    </row>
    <row r="4816" customFormat="false" ht="15" hidden="false" customHeight="false" outlineLevel="0" collapsed="false">
      <c r="A4816" s="27" t="n">
        <v>45881</v>
      </c>
      <c r="B4816" s="28" t="n">
        <v>2025</v>
      </c>
      <c r="C4816" s="28" t="s">
        <v>203</v>
      </c>
      <c r="D4816" s="28" t="s">
        <v>46</v>
      </c>
      <c r="E4816" s="28" t="s">
        <v>702</v>
      </c>
      <c r="F4816" s="28" t="s">
        <v>147</v>
      </c>
      <c r="G4816" s="28" t="s">
        <v>143</v>
      </c>
      <c r="H4816" s="28" t="s">
        <v>159</v>
      </c>
      <c r="I4816" s="29" t="n">
        <v>25000</v>
      </c>
      <c r="J4816" s="29" t="n">
        <v>12500</v>
      </c>
      <c r="K4816" s="28" t="n">
        <v>9.75</v>
      </c>
      <c r="L4816" s="28" t="n">
        <v>120</v>
      </c>
      <c r="M4816" s="28" t="n">
        <v>4</v>
      </c>
    </row>
    <row r="4817" customFormat="false" ht="15" hidden="false" customHeight="false" outlineLevel="0" collapsed="false">
      <c r="A4817" s="27" t="n">
        <v>45881</v>
      </c>
      <c r="B4817" s="28" t="n">
        <v>2025</v>
      </c>
      <c r="C4817" s="28" t="s">
        <v>488</v>
      </c>
      <c r="D4817" s="28" t="s">
        <v>42</v>
      </c>
      <c r="E4817" s="28" t="s">
        <v>705</v>
      </c>
      <c r="F4817" s="28" t="s">
        <v>142</v>
      </c>
      <c r="G4817" s="28" t="s">
        <v>152</v>
      </c>
      <c r="H4817" s="28" t="s">
        <v>326</v>
      </c>
      <c r="I4817" s="29" t="n">
        <v>5000000</v>
      </c>
      <c r="J4817" s="29" t="n">
        <v>3750000</v>
      </c>
      <c r="K4817" s="28" t="n">
        <v>8.5</v>
      </c>
      <c r="L4817" s="28" t="n">
        <v>300</v>
      </c>
      <c r="M4817" s="28" t="n">
        <v>5</v>
      </c>
    </row>
    <row r="4818" customFormat="false" ht="15" hidden="false" customHeight="false" outlineLevel="0" collapsed="false">
      <c r="A4818" s="27" t="n">
        <v>45881</v>
      </c>
      <c r="B4818" s="28" t="n">
        <v>2025</v>
      </c>
      <c r="C4818" s="28" t="s">
        <v>172</v>
      </c>
      <c r="D4818" s="28" t="s">
        <v>48</v>
      </c>
      <c r="E4818" s="28" t="s">
        <v>765</v>
      </c>
      <c r="F4818" s="28" t="s">
        <v>147</v>
      </c>
      <c r="G4818" s="28" t="s">
        <v>143</v>
      </c>
      <c r="H4818" s="28" t="s">
        <v>159</v>
      </c>
      <c r="I4818" s="29" t="n">
        <v>200000</v>
      </c>
      <c r="J4818" s="29" t="n">
        <v>100000</v>
      </c>
      <c r="K4818" s="28" t="n">
        <v>9.75</v>
      </c>
      <c r="L4818" s="28" t="n">
        <v>120</v>
      </c>
      <c r="M4818" s="28" t="n">
        <v>5</v>
      </c>
    </row>
    <row r="4819" customFormat="false" ht="15" hidden="false" customHeight="false" outlineLevel="0" collapsed="false">
      <c r="A4819" s="27" t="n">
        <v>45881</v>
      </c>
      <c r="B4819" s="28" t="n">
        <v>2025</v>
      </c>
      <c r="C4819" s="28" t="s">
        <v>172</v>
      </c>
      <c r="D4819" s="28" t="s">
        <v>43</v>
      </c>
      <c r="E4819" s="28" t="s">
        <v>858</v>
      </c>
      <c r="F4819" s="28" t="s">
        <v>147</v>
      </c>
      <c r="G4819" s="28" t="s">
        <v>441</v>
      </c>
      <c r="H4819" s="28" t="s">
        <v>159</v>
      </c>
      <c r="I4819" s="29" t="n">
        <v>89000</v>
      </c>
      <c r="J4819" s="29" t="n">
        <v>44500</v>
      </c>
      <c r="K4819" s="28" t="n">
        <v>10.5</v>
      </c>
      <c r="L4819" s="28" t="n">
        <v>60</v>
      </c>
      <c r="M4819" s="28" t="n">
        <v>3</v>
      </c>
    </row>
    <row r="4820" customFormat="false" ht="15" hidden="false" customHeight="false" outlineLevel="0" collapsed="false">
      <c r="A4820" s="27" t="n">
        <v>45881</v>
      </c>
      <c r="B4820" s="28" t="n">
        <v>2025</v>
      </c>
      <c r="C4820" s="28" t="s">
        <v>198</v>
      </c>
      <c r="D4820" s="28" t="s">
        <v>44</v>
      </c>
      <c r="E4820" s="28" t="s">
        <v>729</v>
      </c>
      <c r="F4820" s="28" t="s">
        <v>142</v>
      </c>
      <c r="G4820" s="28" t="s">
        <v>148</v>
      </c>
      <c r="H4820" s="28" t="s">
        <v>1163</v>
      </c>
      <c r="I4820" s="29" t="n">
        <v>1529000</v>
      </c>
      <c r="J4820" s="29" t="n">
        <v>1146750</v>
      </c>
      <c r="K4820" s="28" t="n">
        <v>7.5</v>
      </c>
      <c r="L4820" s="28" t="n">
        <v>306</v>
      </c>
      <c r="M4820" s="28" t="n">
        <v>2</v>
      </c>
    </row>
    <row r="4821" customFormat="false" ht="15" hidden="false" customHeight="false" outlineLevel="0" collapsed="false">
      <c r="A4821" s="27" t="n">
        <v>45881</v>
      </c>
      <c r="B4821" s="28" t="n">
        <v>2025</v>
      </c>
      <c r="C4821" s="28" t="s">
        <v>172</v>
      </c>
      <c r="D4821" s="28" t="s">
        <v>49</v>
      </c>
      <c r="E4821" s="28" t="s">
        <v>1164</v>
      </c>
      <c r="F4821" s="28" t="s">
        <v>147</v>
      </c>
      <c r="G4821" s="28" t="s">
        <v>441</v>
      </c>
      <c r="H4821" s="28" t="s">
        <v>159</v>
      </c>
      <c r="I4821" s="29" t="n">
        <v>25000</v>
      </c>
      <c r="J4821" s="29" t="n">
        <v>12500</v>
      </c>
      <c r="K4821" s="28" t="n">
        <v>14</v>
      </c>
      <c r="L4821" s="28" t="n">
        <v>120</v>
      </c>
      <c r="M4821" s="28" t="n">
        <v>1</v>
      </c>
    </row>
    <row r="4822" customFormat="false" ht="15" hidden="false" customHeight="false" outlineLevel="0" collapsed="false">
      <c r="A4822" s="27" t="n">
        <v>45881</v>
      </c>
      <c r="B4822" s="28" t="n">
        <v>2025</v>
      </c>
      <c r="C4822" s="28" t="s">
        <v>172</v>
      </c>
      <c r="D4822" s="28" t="s">
        <v>43</v>
      </c>
      <c r="E4822" s="28" t="s">
        <v>858</v>
      </c>
      <c r="F4822" s="28" t="s">
        <v>147</v>
      </c>
      <c r="G4822" s="28" t="s">
        <v>441</v>
      </c>
      <c r="H4822" s="28" t="s">
        <v>159</v>
      </c>
      <c r="I4822" s="29" t="n">
        <v>25000</v>
      </c>
      <c r="J4822" s="29" t="n">
        <v>12500</v>
      </c>
      <c r="K4822" s="28" t="n">
        <v>10</v>
      </c>
      <c r="L4822" s="28" t="n">
        <v>120</v>
      </c>
      <c r="M4822" s="28" t="n">
        <v>3</v>
      </c>
    </row>
    <row r="4823" customFormat="false" ht="15" hidden="false" customHeight="false" outlineLevel="0" collapsed="false">
      <c r="A4823" s="27" t="n">
        <v>45881</v>
      </c>
      <c r="B4823" s="28" t="n">
        <v>2025</v>
      </c>
      <c r="C4823" s="28" t="s">
        <v>172</v>
      </c>
      <c r="D4823" s="28" t="s">
        <v>48</v>
      </c>
      <c r="E4823" s="28" t="s">
        <v>765</v>
      </c>
      <c r="F4823" s="28" t="s">
        <v>142</v>
      </c>
      <c r="G4823" s="28" t="s">
        <v>143</v>
      </c>
      <c r="H4823" s="28" t="s">
        <v>159</v>
      </c>
      <c r="I4823" s="29" t="n">
        <v>100000</v>
      </c>
      <c r="J4823" s="29" t="n">
        <v>75000</v>
      </c>
      <c r="K4823" s="28" t="n">
        <v>9.5</v>
      </c>
      <c r="L4823" s="28" t="n">
        <v>120</v>
      </c>
      <c r="M4823" s="28" t="n">
        <v>5</v>
      </c>
    </row>
    <row r="4824" customFormat="false" ht="15" hidden="false" customHeight="false" outlineLevel="0" collapsed="false">
      <c r="A4824" s="27" t="n">
        <v>45881</v>
      </c>
      <c r="B4824" s="28" t="n">
        <v>2025</v>
      </c>
      <c r="C4824" s="28" t="s">
        <v>203</v>
      </c>
      <c r="D4824" s="28" t="s">
        <v>46</v>
      </c>
      <c r="E4824" s="28" t="s">
        <v>702</v>
      </c>
      <c r="F4824" s="28" t="s">
        <v>142</v>
      </c>
      <c r="G4824" s="28" t="s">
        <v>143</v>
      </c>
      <c r="H4824" s="28" t="s">
        <v>159</v>
      </c>
      <c r="I4824" s="29" t="n">
        <v>300000</v>
      </c>
      <c r="J4824" s="29" t="n">
        <v>225000</v>
      </c>
      <c r="K4824" s="28" t="n">
        <v>10</v>
      </c>
      <c r="L4824" s="28" t="n">
        <v>120</v>
      </c>
      <c r="M4824" s="28" t="n">
        <v>4</v>
      </c>
    </row>
    <row r="4825" customFormat="false" ht="15" hidden="false" customHeight="false" outlineLevel="0" collapsed="false">
      <c r="A4825" s="27" t="n">
        <v>45882</v>
      </c>
      <c r="B4825" s="28" t="n">
        <v>2025</v>
      </c>
      <c r="C4825" s="28" t="s">
        <v>150</v>
      </c>
      <c r="D4825" s="28" t="s">
        <v>50</v>
      </c>
      <c r="E4825" s="28" t="s">
        <v>724</v>
      </c>
      <c r="F4825" s="28" t="s">
        <v>147</v>
      </c>
      <c r="G4825" s="28" t="s">
        <v>148</v>
      </c>
      <c r="H4825" s="28" t="s">
        <v>396</v>
      </c>
      <c r="I4825" s="29" t="n">
        <v>91000</v>
      </c>
      <c r="J4825" s="29" t="n">
        <v>45500</v>
      </c>
      <c r="K4825" s="28" t="n">
        <v>7.75</v>
      </c>
      <c r="L4825" s="28" t="n">
        <v>72</v>
      </c>
      <c r="M4825" s="28" t="n">
        <v>3</v>
      </c>
    </row>
    <row r="4826" customFormat="false" ht="15" hidden="false" customHeight="false" outlineLevel="0" collapsed="false">
      <c r="A4826" s="27" t="n">
        <v>45882</v>
      </c>
      <c r="B4826" s="28" t="n">
        <v>2025</v>
      </c>
      <c r="C4826" s="28" t="s">
        <v>198</v>
      </c>
      <c r="D4826" s="28" t="s">
        <v>44</v>
      </c>
      <c r="E4826" s="28" t="s">
        <v>923</v>
      </c>
      <c r="F4826" s="28" t="s">
        <v>147</v>
      </c>
      <c r="G4826" s="28" t="s">
        <v>148</v>
      </c>
      <c r="H4826" s="28" t="s">
        <v>159</v>
      </c>
      <c r="I4826" s="29" t="n">
        <v>130000</v>
      </c>
      <c r="J4826" s="29" t="n">
        <v>65000</v>
      </c>
      <c r="K4826" s="28" t="n">
        <v>10.5</v>
      </c>
      <c r="L4826" s="28" t="n">
        <v>84</v>
      </c>
      <c r="M4826" s="28" t="n">
        <v>15</v>
      </c>
    </row>
    <row r="4827" customFormat="false" ht="15" hidden="false" customHeight="false" outlineLevel="0" collapsed="false">
      <c r="A4827" s="27" t="n">
        <v>45882</v>
      </c>
      <c r="B4827" s="28" t="n">
        <v>2025</v>
      </c>
      <c r="C4827" s="28" t="s">
        <v>154</v>
      </c>
      <c r="D4827" s="28" t="s">
        <v>43</v>
      </c>
      <c r="E4827" s="28" t="s">
        <v>1005</v>
      </c>
      <c r="F4827" s="28" t="s">
        <v>142</v>
      </c>
      <c r="G4827" s="28" t="s">
        <v>152</v>
      </c>
      <c r="H4827" s="28" t="s">
        <v>374</v>
      </c>
      <c r="I4827" s="29" t="n">
        <v>419000</v>
      </c>
      <c r="J4827" s="29" t="n">
        <v>314250</v>
      </c>
      <c r="K4827" s="28" t="n">
        <v>10</v>
      </c>
      <c r="L4827" s="28" t="n">
        <v>120</v>
      </c>
      <c r="M4827" s="28" t="n">
        <v>1</v>
      </c>
    </row>
    <row r="4828" customFormat="false" ht="15" hidden="false" customHeight="false" outlineLevel="0" collapsed="false">
      <c r="A4828" s="27" t="n">
        <v>45882</v>
      </c>
      <c r="B4828" s="28" t="n">
        <v>2025</v>
      </c>
      <c r="C4828" s="28" t="s">
        <v>160</v>
      </c>
      <c r="D4828" s="28" t="s">
        <v>42</v>
      </c>
      <c r="E4828" s="28" t="s">
        <v>784</v>
      </c>
      <c r="F4828" s="28" t="s">
        <v>142</v>
      </c>
      <c r="G4828" s="28" t="s">
        <v>143</v>
      </c>
      <c r="H4828" s="28" t="s">
        <v>619</v>
      </c>
      <c r="I4828" s="29" t="n">
        <v>665700</v>
      </c>
      <c r="J4828" s="29" t="n">
        <v>499275</v>
      </c>
      <c r="K4828" s="28" t="n">
        <v>10.25</v>
      </c>
      <c r="L4828" s="28" t="n">
        <v>300</v>
      </c>
      <c r="M4828" s="28" t="n">
        <v>14</v>
      </c>
    </row>
    <row r="4829" customFormat="false" ht="15" hidden="false" customHeight="false" outlineLevel="0" collapsed="false">
      <c r="A4829" s="27" t="n">
        <v>45883</v>
      </c>
      <c r="B4829" s="28" t="n">
        <v>2025</v>
      </c>
      <c r="C4829" s="28" t="s">
        <v>206</v>
      </c>
      <c r="D4829" s="28" t="s">
        <v>48</v>
      </c>
      <c r="E4829" s="28" t="s">
        <v>566</v>
      </c>
      <c r="F4829" s="28" t="s">
        <v>147</v>
      </c>
      <c r="G4829" s="28" t="s">
        <v>148</v>
      </c>
      <c r="H4829" s="28" t="s">
        <v>187</v>
      </c>
      <c r="I4829" s="29" t="n">
        <v>255000</v>
      </c>
      <c r="J4829" s="29" t="n">
        <v>127500</v>
      </c>
      <c r="K4829" s="28" t="n">
        <v>11</v>
      </c>
      <c r="L4829" s="28" t="n">
        <v>120</v>
      </c>
      <c r="M4829" s="28" t="n">
        <v>5</v>
      </c>
    </row>
    <row r="4830" customFormat="false" ht="15" hidden="false" customHeight="false" outlineLevel="0" collapsed="false">
      <c r="A4830" s="27" t="n">
        <v>45883</v>
      </c>
      <c r="B4830" s="28" t="n">
        <v>2025</v>
      </c>
      <c r="C4830" s="28" t="s">
        <v>515</v>
      </c>
      <c r="D4830" s="28" t="s">
        <v>46</v>
      </c>
      <c r="E4830" s="28" t="s">
        <v>741</v>
      </c>
      <c r="F4830" s="28" t="s">
        <v>147</v>
      </c>
      <c r="G4830" s="28" t="s">
        <v>441</v>
      </c>
      <c r="H4830" s="28" t="s">
        <v>159</v>
      </c>
      <c r="I4830" s="29" t="n">
        <v>25000</v>
      </c>
      <c r="J4830" s="29" t="n">
        <v>12500</v>
      </c>
      <c r="K4830" s="28" t="n">
        <v>14</v>
      </c>
      <c r="L4830" s="28" t="n">
        <v>120</v>
      </c>
      <c r="M4830" s="28" t="n">
        <v>0</v>
      </c>
    </row>
    <row r="4831" customFormat="false" ht="15" hidden="false" customHeight="false" outlineLevel="0" collapsed="false">
      <c r="A4831" s="27" t="n">
        <v>45883</v>
      </c>
      <c r="B4831" s="28" t="n">
        <v>2025</v>
      </c>
      <c r="C4831" s="28" t="s">
        <v>201</v>
      </c>
      <c r="D4831" s="28" t="s">
        <v>44</v>
      </c>
      <c r="E4831" s="28" t="s">
        <v>730</v>
      </c>
      <c r="F4831" s="28" t="s">
        <v>142</v>
      </c>
      <c r="G4831" s="28" t="s">
        <v>143</v>
      </c>
      <c r="H4831" s="28" t="s">
        <v>162</v>
      </c>
      <c r="I4831" s="29" t="n">
        <v>595800</v>
      </c>
      <c r="J4831" s="29" t="n">
        <v>446850</v>
      </c>
      <c r="K4831" s="28" t="n">
        <v>6.54</v>
      </c>
      <c r="L4831" s="28" t="n">
        <v>120</v>
      </c>
      <c r="M4831" s="28" t="n">
        <v>4</v>
      </c>
    </row>
    <row r="4832" customFormat="false" ht="15" hidden="false" customHeight="false" outlineLevel="0" collapsed="false">
      <c r="A4832" s="27" t="n">
        <v>45883</v>
      </c>
      <c r="B4832" s="28" t="n">
        <v>2025</v>
      </c>
      <c r="C4832" s="28" t="s">
        <v>243</v>
      </c>
      <c r="D4832" s="28" t="s">
        <v>42</v>
      </c>
      <c r="E4832" s="28" t="s">
        <v>705</v>
      </c>
      <c r="F4832" s="28" t="s">
        <v>142</v>
      </c>
      <c r="G4832" s="28" t="s">
        <v>148</v>
      </c>
      <c r="H4832" s="28" t="s">
        <v>275</v>
      </c>
      <c r="I4832" s="29" t="n">
        <v>3690000</v>
      </c>
      <c r="J4832" s="29" t="n">
        <v>2767500</v>
      </c>
      <c r="K4832" s="28" t="n">
        <v>8.75</v>
      </c>
      <c r="L4832" s="28" t="n">
        <v>300</v>
      </c>
      <c r="M4832" s="28" t="n">
        <v>10</v>
      </c>
    </row>
    <row r="4833" customFormat="false" ht="15" hidden="false" customHeight="false" outlineLevel="0" collapsed="false">
      <c r="A4833" s="27" t="n">
        <v>45883</v>
      </c>
      <c r="B4833" s="28" t="n">
        <v>2025</v>
      </c>
      <c r="C4833" s="28" t="s">
        <v>172</v>
      </c>
      <c r="D4833" s="28" t="s">
        <v>43</v>
      </c>
      <c r="E4833" s="28" t="s">
        <v>871</v>
      </c>
      <c r="F4833" s="28" t="s">
        <v>142</v>
      </c>
      <c r="G4833" s="28" t="s">
        <v>148</v>
      </c>
      <c r="H4833" s="28" t="s">
        <v>953</v>
      </c>
      <c r="I4833" s="29" t="n">
        <v>75000</v>
      </c>
      <c r="J4833" s="29" t="n">
        <v>63750</v>
      </c>
      <c r="K4833" s="28" t="n">
        <v>10.5</v>
      </c>
      <c r="L4833" s="28" t="n">
        <v>120</v>
      </c>
      <c r="M4833" s="28" t="n">
        <v>2</v>
      </c>
    </row>
    <row r="4834" customFormat="false" ht="15" hidden="false" customHeight="false" outlineLevel="0" collapsed="false">
      <c r="A4834" s="27" t="n">
        <v>45884</v>
      </c>
      <c r="B4834" s="28" t="n">
        <v>2025</v>
      </c>
      <c r="C4834" s="28" t="s">
        <v>318</v>
      </c>
      <c r="D4834" s="28" t="s">
        <v>46</v>
      </c>
      <c r="E4834" s="28" t="s">
        <v>813</v>
      </c>
      <c r="F4834" s="28" t="s">
        <v>194</v>
      </c>
      <c r="G4834" s="28" t="s">
        <v>152</v>
      </c>
      <c r="H4834" s="28" t="s">
        <v>351</v>
      </c>
      <c r="I4834" s="29" t="n">
        <v>119700</v>
      </c>
      <c r="J4834" s="29" t="n">
        <v>89775</v>
      </c>
      <c r="K4834" s="28" t="n">
        <v>9.14</v>
      </c>
      <c r="L4834" s="28" t="n">
        <v>60</v>
      </c>
      <c r="M4834" s="28" t="n">
        <v>7</v>
      </c>
    </row>
    <row r="4835" customFormat="false" ht="15" hidden="false" customHeight="false" outlineLevel="0" collapsed="false">
      <c r="A4835" s="27" t="n">
        <v>45884</v>
      </c>
      <c r="B4835" s="28" t="n">
        <v>2025</v>
      </c>
      <c r="C4835" s="28" t="s">
        <v>163</v>
      </c>
      <c r="D4835" s="28" t="s">
        <v>44</v>
      </c>
      <c r="E4835" s="28" t="s">
        <v>863</v>
      </c>
      <c r="F4835" s="28" t="s">
        <v>142</v>
      </c>
      <c r="G4835" s="28" t="s">
        <v>148</v>
      </c>
      <c r="H4835" s="28" t="s">
        <v>287</v>
      </c>
      <c r="I4835" s="29" t="n">
        <v>1200000</v>
      </c>
      <c r="J4835" s="29" t="n">
        <v>900000</v>
      </c>
      <c r="K4835" s="28" t="n">
        <v>10.25</v>
      </c>
      <c r="L4835" s="28" t="n">
        <v>120</v>
      </c>
      <c r="M4835" s="28" t="n">
        <v>21</v>
      </c>
    </row>
    <row r="4836" customFormat="false" ht="15" hidden="false" customHeight="false" outlineLevel="0" collapsed="false">
      <c r="A4836" s="27" t="n">
        <v>45887</v>
      </c>
      <c r="B4836" s="28" t="n">
        <v>2025</v>
      </c>
      <c r="C4836" s="28" t="s">
        <v>252</v>
      </c>
      <c r="D4836" s="28" t="s">
        <v>48</v>
      </c>
      <c r="E4836" s="28" t="s">
        <v>1165</v>
      </c>
      <c r="F4836" s="28" t="s">
        <v>142</v>
      </c>
      <c r="G4836" s="28" t="s">
        <v>148</v>
      </c>
      <c r="H4836" s="28" t="s">
        <v>211</v>
      </c>
      <c r="I4836" s="29" t="n">
        <v>1819500</v>
      </c>
      <c r="J4836" s="29" t="n">
        <v>1364625</v>
      </c>
      <c r="K4836" s="28" t="n">
        <v>10.25</v>
      </c>
      <c r="L4836" s="28" t="n">
        <v>300</v>
      </c>
      <c r="M4836" s="28" t="n">
        <v>5</v>
      </c>
    </row>
    <row r="4837" customFormat="false" ht="15" hidden="false" customHeight="false" outlineLevel="0" collapsed="false">
      <c r="A4837" s="27" t="n">
        <v>45888</v>
      </c>
      <c r="B4837" s="28" t="n">
        <v>2025</v>
      </c>
      <c r="C4837" s="28" t="s">
        <v>203</v>
      </c>
      <c r="D4837" s="28" t="s">
        <v>56</v>
      </c>
      <c r="E4837" s="28" t="s">
        <v>772</v>
      </c>
      <c r="F4837" s="28" t="s">
        <v>147</v>
      </c>
      <c r="G4837" s="28" t="s">
        <v>143</v>
      </c>
      <c r="H4837" s="28" t="s">
        <v>159</v>
      </c>
      <c r="I4837" s="29" t="n">
        <v>160000</v>
      </c>
      <c r="J4837" s="29" t="n">
        <v>80000</v>
      </c>
      <c r="K4837" s="28" t="n">
        <v>9.75</v>
      </c>
      <c r="L4837" s="28" t="n">
        <v>60</v>
      </c>
      <c r="M4837" s="28" t="n">
        <v>2</v>
      </c>
    </row>
    <row r="4838" customFormat="false" ht="15" hidden="false" customHeight="false" outlineLevel="0" collapsed="false">
      <c r="A4838" s="27" t="n">
        <v>45888</v>
      </c>
      <c r="B4838" s="28" t="n">
        <v>2025</v>
      </c>
      <c r="C4838" s="28" t="s">
        <v>154</v>
      </c>
      <c r="D4838" s="28" t="s">
        <v>51</v>
      </c>
      <c r="E4838" s="28" t="s">
        <v>492</v>
      </c>
      <c r="F4838" s="28" t="s">
        <v>142</v>
      </c>
      <c r="G4838" s="28" t="s">
        <v>148</v>
      </c>
      <c r="H4838" s="28" t="s">
        <v>159</v>
      </c>
      <c r="I4838" s="29" t="n">
        <v>619000</v>
      </c>
      <c r="J4838" s="29" t="n">
        <v>464250</v>
      </c>
      <c r="K4838" s="28" t="n">
        <v>8.75</v>
      </c>
      <c r="L4838" s="28" t="n">
        <v>120</v>
      </c>
      <c r="M4838" s="28" t="n">
        <v>1</v>
      </c>
    </row>
    <row r="4839" customFormat="false" ht="15" hidden="false" customHeight="false" outlineLevel="0" collapsed="false">
      <c r="A4839" s="27" t="n">
        <v>45888</v>
      </c>
      <c r="B4839" s="28" t="n">
        <v>2025</v>
      </c>
      <c r="C4839" s="28" t="s">
        <v>203</v>
      </c>
      <c r="D4839" s="28" t="s">
        <v>56</v>
      </c>
      <c r="E4839" s="28" t="s">
        <v>772</v>
      </c>
      <c r="F4839" s="28" t="s">
        <v>147</v>
      </c>
      <c r="G4839" s="28" t="s">
        <v>143</v>
      </c>
      <c r="H4839" s="28" t="s">
        <v>159</v>
      </c>
      <c r="I4839" s="29" t="n">
        <v>25000</v>
      </c>
      <c r="J4839" s="29" t="n">
        <v>12500</v>
      </c>
      <c r="K4839" s="28" t="n">
        <v>10.5</v>
      </c>
      <c r="L4839" s="28" t="n">
        <v>120</v>
      </c>
      <c r="M4839" s="28" t="n">
        <v>2</v>
      </c>
    </row>
    <row r="4840" customFormat="false" ht="15" hidden="false" customHeight="false" outlineLevel="0" collapsed="false">
      <c r="A4840" s="27" t="n">
        <v>45888</v>
      </c>
      <c r="B4840" s="28" t="n">
        <v>2025</v>
      </c>
      <c r="C4840" s="28" t="s">
        <v>203</v>
      </c>
      <c r="D4840" s="28" t="s">
        <v>48</v>
      </c>
      <c r="E4840" s="28" t="s">
        <v>210</v>
      </c>
      <c r="F4840" s="28" t="s">
        <v>147</v>
      </c>
      <c r="G4840" s="28" t="s">
        <v>148</v>
      </c>
      <c r="H4840" s="28" t="s">
        <v>404</v>
      </c>
      <c r="I4840" s="29" t="n">
        <v>150000</v>
      </c>
      <c r="J4840" s="29" t="n">
        <v>75000</v>
      </c>
      <c r="K4840" s="28" t="n">
        <v>10.25</v>
      </c>
      <c r="L4840" s="28" t="n">
        <v>120</v>
      </c>
      <c r="M4840" s="28" t="n">
        <v>7</v>
      </c>
    </row>
    <row r="4841" customFormat="false" ht="15" hidden="false" customHeight="false" outlineLevel="0" collapsed="false">
      <c r="A4841" s="27" t="n">
        <v>45888</v>
      </c>
      <c r="B4841" s="28" t="n">
        <v>2025</v>
      </c>
      <c r="C4841" s="28" t="s">
        <v>172</v>
      </c>
      <c r="D4841" s="28" t="s">
        <v>52</v>
      </c>
      <c r="E4841" s="28" t="s">
        <v>720</v>
      </c>
      <c r="F4841" s="28" t="s">
        <v>147</v>
      </c>
      <c r="G4841" s="28" t="s">
        <v>441</v>
      </c>
      <c r="H4841" s="28" t="s">
        <v>205</v>
      </c>
      <c r="I4841" s="29" t="n">
        <v>25000</v>
      </c>
      <c r="J4841" s="29" t="n">
        <v>12500</v>
      </c>
      <c r="K4841" s="28" t="n">
        <v>10.5</v>
      </c>
      <c r="L4841" s="28" t="n">
        <v>120</v>
      </c>
      <c r="M4841" s="28" t="n">
        <v>0</v>
      </c>
    </row>
    <row r="4842" customFormat="false" ht="15" hidden="false" customHeight="false" outlineLevel="0" collapsed="false">
      <c r="A4842" s="27" t="n">
        <v>45888</v>
      </c>
      <c r="B4842" s="28" t="n">
        <v>2025</v>
      </c>
      <c r="C4842" s="28" t="s">
        <v>154</v>
      </c>
      <c r="D4842" s="28" t="s">
        <v>51</v>
      </c>
      <c r="E4842" s="28" t="s">
        <v>492</v>
      </c>
      <c r="F4842" s="28" t="s">
        <v>147</v>
      </c>
      <c r="G4842" s="28" t="s">
        <v>148</v>
      </c>
      <c r="H4842" s="28" t="s">
        <v>159</v>
      </c>
      <c r="I4842" s="29" t="n">
        <v>50000</v>
      </c>
      <c r="J4842" s="29" t="n">
        <v>25000</v>
      </c>
      <c r="K4842" s="28" t="n">
        <v>9</v>
      </c>
      <c r="L4842" s="28" t="n">
        <v>120</v>
      </c>
      <c r="M4842" s="28" t="n">
        <v>1</v>
      </c>
    </row>
    <row r="4843" customFormat="false" ht="15" hidden="false" customHeight="false" outlineLevel="0" collapsed="false">
      <c r="A4843" s="27" t="n">
        <v>45891</v>
      </c>
      <c r="B4843" s="28" t="n">
        <v>2025</v>
      </c>
      <c r="C4843" s="28" t="s">
        <v>169</v>
      </c>
      <c r="D4843" s="28" t="s">
        <v>42</v>
      </c>
      <c r="E4843" s="28" t="s">
        <v>753</v>
      </c>
      <c r="F4843" s="28" t="s">
        <v>142</v>
      </c>
      <c r="G4843" s="28" t="s">
        <v>148</v>
      </c>
      <c r="H4843" s="28" t="s">
        <v>1001</v>
      </c>
      <c r="I4843" s="29" t="n">
        <v>250000</v>
      </c>
      <c r="J4843" s="29" t="n">
        <v>187500</v>
      </c>
      <c r="K4843" s="28" t="n">
        <v>12</v>
      </c>
      <c r="L4843" s="28" t="n">
        <v>120</v>
      </c>
      <c r="M4843" s="28" t="n">
        <v>15</v>
      </c>
    </row>
    <row r="4844" customFormat="false" ht="15" hidden="false" customHeight="false" outlineLevel="0" collapsed="false">
      <c r="A4844" s="27" t="n">
        <v>45891</v>
      </c>
      <c r="B4844" s="28" t="n">
        <v>2025</v>
      </c>
      <c r="C4844" s="28" t="s">
        <v>172</v>
      </c>
      <c r="D4844" s="28" t="s">
        <v>54</v>
      </c>
      <c r="E4844" s="28" t="s">
        <v>833</v>
      </c>
      <c r="F4844" s="28" t="s">
        <v>142</v>
      </c>
      <c r="G4844" s="28" t="s">
        <v>148</v>
      </c>
      <c r="H4844" s="28" t="s">
        <v>1150</v>
      </c>
      <c r="I4844" s="29" t="n">
        <v>150000</v>
      </c>
      <c r="J4844" s="29" t="n">
        <v>127500</v>
      </c>
      <c r="K4844" s="28" t="n">
        <v>13.25</v>
      </c>
      <c r="L4844" s="28" t="n">
        <v>120</v>
      </c>
      <c r="M4844" s="28" t="n">
        <v>0</v>
      </c>
    </row>
    <row r="4845" customFormat="false" ht="15" hidden="false" customHeight="false" outlineLevel="0" collapsed="false">
      <c r="A4845" s="27" t="n">
        <v>45891</v>
      </c>
      <c r="B4845" s="28" t="n">
        <v>2025</v>
      </c>
      <c r="C4845" s="28" t="s">
        <v>172</v>
      </c>
      <c r="D4845" s="28" t="s">
        <v>48</v>
      </c>
      <c r="E4845" s="28" t="s">
        <v>342</v>
      </c>
      <c r="F4845" s="28" t="s">
        <v>142</v>
      </c>
      <c r="G4845" s="28" t="s">
        <v>148</v>
      </c>
      <c r="H4845" s="28" t="s">
        <v>144</v>
      </c>
      <c r="I4845" s="29" t="n">
        <v>104000</v>
      </c>
      <c r="J4845" s="29" t="n">
        <v>88400</v>
      </c>
      <c r="K4845" s="28" t="n">
        <v>10.99</v>
      </c>
      <c r="L4845" s="28" t="n">
        <v>120</v>
      </c>
      <c r="M4845" s="28" t="n">
        <v>2</v>
      </c>
    </row>
    <row r="4846" customFormat="false" ht="15" hidden="false" customHeight="false" outlineLevel="0" collapsed="false">
      <c r="A4846" s="27" t="n">
        <v>45891</v>
      </c>
      <c r="B4846" s="28" t="n">
        <v>2025</v>
      </c>
      <c r="C4846" s="28" t="s">
        <v>203</v>
      </c>
      <c r="D4846" s="28" t="s">
        <v>45</v>
      </c>
      <c r="E4846" s="28" t="s">
        <v>872</v>
      </c>
      <c r="F4846" s="28" t="s">
        <v>142</v>
      </c>
      <c r="G4846" s="28" t="s">
        <v>152</v>
      </c>
      <c r="H4846" s="28" t="s">
        <v>1060</v>
      </c>
      <c r="I4846" s="29" t="n">
        <v>2345000</v>
      </c>
      <c r="J4846" s="29" t="n">
        <v>1758750</v>
      </c>
      <c r="K4846" s="28" t="n">
        <v>10.25</v>
      </c>
      <c r="L4846" s="28" t="n">
        <v>120</v>
      </c>
      <c r="M4846" s="28" t="n">
        <v>22</v>
      </c>
    </row>
    <row r="4847" customFormat="false" ht="15" hidden="false" customHeight="false" outlineLevel="0" collapsed="false">
      <c r="A4847" s="27" t="n">
        <v>45891</v>
      </c>
      <c r="B4847" s="28" t="n">
        <v>2025</v>
      </c>
      <c r="C4847" s="28" t="s">
        <v>172</v>
      </c>
      <c r="D4847" s="28" t="s">
        <v>44</v>
      </c>
      <c r="E4847" s="28" t="s">
        <v>783</v>
      </c>
      <c r="F4847" s="28" t="s">
        <v>142</v>
      </c>
      <c r="G4847" s="28" t="s">
        <v>148</v>
      </c>
      <c r="H4847" s="28" t="s">
        <v>168</v>
      </c>
      <c r="I4847" s="29" t="n">
        <v>280000</v>
      </c>
      <c r="J4847" s="29" t="n">
        <v>210000</v>
      </c>
      <c r="K4847" s="28" t="n">
        <v>7.01</v>
      </c>
      <c r="L4847" s="28" t="n">
        <v>300</v>
      </c>
      <c r="M4847" s="28" t="n">
        <v>5</v>
      </c>
    </row>
    <row r="4848" customFormat="false" ht="15" hidden="false" customHeight="false" outlineLevel="0" collapsed="false">
      <c r="A4848" s="27" t="n">
        <v>45891</v>
      </c>
      <c r="B4848" s="28" t="n">
        <v>2025</v>
      </c>
      <c r="C4848" s="28" t="s">
        <v>344</v>
      </c>
      <c r="D4848" s="28" t="s">
        <v>42</v>
      </c>
      <c r="E4848" s="28" t="s">
        <v>717</v>
      </c>
      <c r="F4848" s="28" t="s">
        <v>142</v>
      </c>
      <c r="G4848" s="28" t="s">
        <v>441</v>
      </c>
      <c r="H4848" s="28" t="s">
        <v>469</v>
      </c>
      <c r="I4848" s="29" t="n">
        <v>875000</v>
      </c>
      <c r="J4848" s="29" t="n">
        <v>656250</v>
      </c>
      <c r="K4848" s="28" t="n">
        <v>6.75</v>
      </c>
      <c r="L4848" s="28" t="n">
        <v>119</v>
      </c>
      <c r="M4848" s="28" t="n">
        <v>60</v>
      </c>
    </row>
    <row r="4849" customFormat="false" ht="15" hidden="false" customHeight="false" outlineLevel="0" collapsed="false">
      <c r="A4849" s="27" t="n">
        <v>45891</v>
      </c>
      <c r="B4849" s="28" t="n">
        <v>2025</v>
      </c>
      <c r="C4849" s="28" t="s">
        <v>166</v>
      </c>
      <c r="D4849" s="28" t="s">
        <v>53</v>
      </c>
      <c r="E4849" s="28" t="s">
        <v>383</v>
      </c>
      <c r="F4849" s="28" t="s">
        <v>142</v>
      </c>
      <c r="G4849" s="28" t="s">
        <v>148</v>
      </c>
      <c r="H4849" s="28" t="s">
        <v>269</v>
      </c>
      <c r="I4849" s="29" t="n">
        <v>100000</v>
      </c>
      <c r="J4849" s="29" t="n">
        <v>85000</v>
      </c>
      <c r="K4849" s="28" t="n">
        <v>10.25</v>
      </c>
      <c r="L4849" s="28" t="n">
        <v>120</v>
      </c>
      <c r="M4849" s="28" t="n">
        <v>7</v>
      </c>
    </row>
    <row r="4850" customFormat="false" ht="15" hidden="false" customHeight="false" outlineLevel="0" collapsed="false">
      <c r="A4850" s="27" t="n">
        <v>45891</v>
      </c>
      <c r="B4850" s="28" t="n">
        <v>2025</v>
      </c>
      <c r="C4850" s="28" t="s">
        <v>203</v>
      </c>
      <c r="D4850" s="28" t="s">
        <v>42</v>
      </c>
      <c r="E4850" s="28" t="s">
        <v>753</v>
      </c>
      <c r="F4850" s="28" t="s">
        <v>142</v>
      </c>
      <c r="G4850" s="28" t="s">
        <v>441</v>
      </c>
      <c r="H4850" s="28" t="s">
        <v>1031</v>
      </c>
      <c r="I4850" s="29" t="n">
        <v>280000</v>
      </c>
      <c r="J4850" s="29" t="n">
        <v>210000</v>
      </c>
      <c r="K4850" s="28" t="n">
        <v>9.5</v>
      </c>
      <c r="L4850" s="28" t="n">
        <v>120</v>
      </c>
      <c r="M4850" s="28" t="n">
        <v>12</v>
      </c>
    </row>
    <row r="4851" customFormat="false" ht="15" hidden="false" customHeight="false" outlineLevel="0" collapsed="false">
      <c r="A4851" s="27" t="n">
        <v>45891</v>
      </c>
      <c r="B4851" s="28" t="n">
        <v>2025</v>
      </c>
      <c r="C4851" s="28" t="s">
        <v>310</v>
      </c>
      <c r="D4851" s="28" t="s">
        <v>51</v>
      </c>
      <c r="E4851" s="28" t="s">
        <v>779</v>
      </c>
      <c r="F4851" s="28" t="s">
        <v>142</v>
      </c>
      <c r="G4851" s="28" t="s">
        <v>441</v>
      </c>
      <c r="H4851" s="28" t="s">
        <v>469</v>
      </c>
      <c r="I4851" s="29" t="n">
        <v>138000</v>
      </c>
      <c r="J4851" s="29" t="n">
        <v>117300</v>
      </c>
      <c r="K4851" s="28" t="n">
        <v>6.95</v>
      </c>
      <c r="L4851" s="28" t="n">
        <v>119</v>
      </c>
      <c r="M4851" s="28" t="n">
        <v>5</v>
      </c>
    </row>
    <row r="4852" customFormat="false" ht="15" hidden="false" customHeight="false" outlineLevel="0" collapsed="false">
      <c r="A4852" s="27" t="n">
        <v>45893</v>
      </c>
      <c r="B4852" s="28" t="n">
        <v>2025</v>
      </c>
      <c r="C4852" s="28" t="s">
        <v>163</v>
      </c>
      <c r="D4852" s="28" t="s">
        <v>46</v>
      </c>
      <c r="E4852" s="28" t="s">
        <v>770</v>
      </c>
      <c r="F4852" s="28" t="s">
        <v>142</v>
      </c>
      <c r="G4852" s="28" t="s">
        <v>148</v>
      </c>
      <c r="H4852" s="28" t="s">
        <v>211</v>
      </c>
      <c r="I4852" s="29" t="n">
        <v>615000</v>
      </c>
      <c r="J4852" s="29" t="n">
        <v>461250</v>
      </c>
      <c r="K4852" s="28" t="n">
        <v>7.5</v>
      </c>
      <c r="L4852" s="28" t="n">
        <v>132</v>
      </c>
      <c r="M4852" s="28" t="n">
        <v>8</v>
      </c>
    </row>
    <row r="4853" customFormat="false" ht="15" hidden="false" customHeight="false" outlineLevel="0" collapsed="false">
      <c r="A4853" s="27" t="n">
        <v>45893</v>
      </c>
      <c r="B4853" s="28" t="n">
        <v>2025</v>
      </c>
      <c r="C4853" s="28" t="s">
        <v>163</v>
      </c>
      <c r="D4853" s="28" t="s">
        <v>46</v>
      </c>
      <c r="E4853" s="28" t="s">
        <v>770</v>
      </c>
      <c r="F4853" s="28" t="s">
        <v>147</v>
      </c>
      <c r="G4853" s="28" t="s">
        <v>148</v>
      </c>
      <c r="H4853" s="28" t="s">
        <v>211</v>
      </c>
      <c r="I4853" s="29" t="n">
        <v>100000</v>
      </c>
      <c r="J4853" s="29" t="n">
        <v>50000</v>
      </c>
      <c r="K4853" s="28" t="n">
        <v>9.25</v>
      </c>
      <c r="L4853" s="28" t="n">
        <v>120</v>
      </c>
      <c r="M4853" s="28" t="n">
        <v>8</v>
      </c>
    </row>
    <row r="4854" customFormat="false" ht="15" hidden="false" customHeight="false" outlineLevel="0" collapsed="false">
      <c r="A4854" s="27" t="n">
        <v>45894</v>
      </c>
      <c r="B4854" s="28" t="n">
        <v>2025</v>
      </c>
      <c r="C4854" s="28" t="s">
        <v>318</v>
      </c>
      <c r="D4854" s="28" t="s">
        <v>48</v>
      </c>
      <c r="E4854" s="28" t="s">
        <v>210</v>
      </c>
      <c r="F4854" s="28" t="s">
        <v>194</v>
      </c>
      <c r="G4854" s="28" t="s">
        <v>148</v>
      </c>
      <c r="H4854" s="28" t="s">
        <v>351</v>
      </c>
      <c r="I4854" s="29" t="n">
        <v>75000</v>
      </c>
      <c r="J4854" s="29" t="n">
        <v>63750</v>
      </c>
      <c r="K4854" s="28" t="n">
        <v>9.89</v>
      </c>
      <c r="L4854" s="28" t="n">
        <v>102</v>
      </c>
      <c r="M4854" s="28" t="n">
        <v>1</v>
      </c>
    </row>
    <row r="4855" customFormat="false" ht="15" hidden="false" customHeight="false" outlineLevel="0" collapsed="false">
      <c r="A4855" s="27" t="n">
        <v>45894</v>
      </c>
      <c r="B4855" s="28" t="n">
        <v>2025</v>
      </c>
      <c r="C4855" s="28" t="s">
        <v>160</v>
      </c>
      <c r="D4855" s="28" t="s">
        <v>48</v>
      </c>
      <c r="E4855" s="28" t="s">
        <v>277</v>
      </c>
      <c r="F4855" s="28" t="s">
        <v>142</v>
      </c>
      <c r="G4855" s="28" t="s">
        <v>148</v>
      </c>
      <c r="H4855" s="28" t="s">
        <v>771</v>
      </c>
      <c r="I4855" s="29" t="n">
        <v>210000</v>
      </c>
      <c r="J4855" s="29" t="n">
        <v>157500</v>
      </c>
      <c r="K4855" s="28" t="n">
        <v>10.5</v>
      </c>
      <c r="L4855" s="28" t="n">
        <v>120</v>
      </c>
      <c r="M4855" s="28" t="n">
        <v>3</v>
      </c>
    </row>
    <row r="4856" customFormat="false" ht="15" hidden="false" customHeight="false" outlineLevel="0" collapsed="false">
      <c r="A4856" s="27" t="n">
        <v>45895</v>
      </c>
      <c r="B4856" s="28" t="n">
        <v>2025</v>
      </c>
      <c r="C4856" s="28" t="s">
        <v>172</v>
      </c>
      <c r="D4856" s="28" t="s">
        <v>49</v>
      </c>
      <c r="E4856" s="28" t="s">
        <v>575</v>
      </c>
      <c r="F4856" s="28" t="s">
        <v>142</v>
      </c>
      <c r="G4856" s="28" t="s">
        <v>148</v>
      </c>
      <c r="H4856" s="28" t="s">
        <v>953</v>
      </c>
      <c r="I4856" s="29" t="n">
        <v>450000</v>
      </c>
      <c r="J4856" s="29" t="n">
        <v>337500</v>
      </c>
      <c r="K4856" s="28" t="n">
        <v>10.5</v>
      </c>
      <c r="L4856" s="28" t="n">
        <v>120</v>
      </c>
      <c r="M4856" s="28" t="n">
        <v>25</v>
      </c>
    </row>
    <row r="4857" customFormat="false" ht="15" hidden="false" customHeight="false" outlineLevel="0" collapsed="false">
      <c r="A4857" s="27" t="n">
        <v>45895</v>
      </c>
      <c r="B4857" s="28" t="n">
        <v>2025</v>
      </c>
      <c r="C4857" s="28" t="s">
        <v>203</v>
      </c>
      <c r="D4857" s="28" t="s">
        <v>50</v>
      </c>
      <c r="E4857" s="28" t="s">
        <v>754</v>
      </c>
      <c r="F4857" s="28" t="s">
        <v>142</v>
      </c>
      <c r="G4857" s="28" t="s">
        <v>148</v>
      </c>
      <c r="H4857" s="28" t="s">
        <v>1150</v>
      </c>
      <c r="I4857" s="29" t="n">
        <v>150000</v>
      </c>
      <c r="J4857" s="29" t="n">
        <v>127500</v>
      </c>
      <c r="K4857" s="28" t="n">
        <v>12</v>
      </c>
      <c r="L4857" s="28" t="n">
        <v>120</v>
      </c>
      <c r="M4857" s="28" t="n">
        <v>4</v>
      </c>
    </row>
    <row r="4858" customFormat="false" ht="15" hidden="false" customHeight="false" outlineLevel="0" collapsed="false">
      <c r="A4858" s="27" t="n">
        <v>45895</v>
      </c>
      <c r="B4858" s="28" t="n">
        <v>2025</v>
      </c>
      <c r="C4858" s="28" t="s">
        <v>169</v>
      </c>
      <c r="D4858" s="28" t="s">
        <v>48</v>
      </c>
      <c r="E4858" s="28" t="s">
        <v>765</v>
      </c>
      <c r="F4858" s="28" t="s">
        <v>147</v>
      </c>
      <c r="G4858" s="28" t="s">
        <v>441</v>
      </c>
      <c r="H4858" s="28" t="s">
        <v>372</v>
      </c>
      <c r="I4858" s="29" t="n">
        <v>50000</v>
      </c>
      <c r="J4858" s="29" t="n">
        <v>25000</v>
      </c>
      <c r="K4858" s="28" t="n">
        <v>11</v>
      </c>
      <c r="L4858" s="28" t="n">
        <v>72</v>
      </c>
      <c r="M4858" s="28" t="n">
        <v>2</v>
      </c>
    </row>
    <row r="4859" customFormat="false" ht="15" hidden="false" customHeight="false" outlineLevel="0" collapsed="false">
      <c r="A4859" s="27" t="n">
        <v>45895</v>
      </c>
      <c r="B4859" s="28" t="n">
        <v>2025</v>
      </c>
      <c r="C4859" s="28" t="s">
        <v>209</v>
      </c>
      <c r="D4859" s="28" t="s">
        <v>42</v>
      </c>
      <c r="E4859" s="28" t="s">
        <v>705</v>
      </c>
      <c r="F4859" s="28" t="s">
        <v>142</v>
      </c>
      <c r="G4859" s="28" t="s">
        <v>148</v>
      </c>
      <c r="H4859" s="28" t="s">
        <v>955</v>
      </c>
      <c r="I4859" s="29" t="n">
        <v>5000000</v>
      </c>
      <c r="J4859" s="29" t="n">
        <v>3750000</v>
      </c>
      <c r="K4859" s="28" t="n">
        <v>9.25</v>
      </c>
      <c r="L4859" s="28" t="n">
        <v>312</v>
      </c>
      <c r="M4859" s="28" t="n">
        <v>25</v>
      </c>
    </row>
    <row r="4860" customFormat="false" ht="15" hidden="false" customHeight="false" outlineLevel="0" collapsed="false">
      <c r="A4860" s="27" t="n">
        <v>45895</v>
      </c>
      <c r="B4860" s="28" t="n">
        <v>2025</v>
      </c>
      <c r="C4860" s="28" t="s">
        <v>198</v>
      </c>
      <c r="D4860" s="28" t="s">
        <v>45</v>
      </c>
      <c r="E4860" s="28" t="s">
        <v>748</v>
      </c>
      <c r="F4860" s="28" t="s">
        <v>142</v>
      </c>
      <c r="G4860" s="28" t="s">
        <v>143</v>
      </c>
      <c r="H4860" s="28" t="s">
        <v>621</v>
      </c>
      <c r="I4860" s="29" t="n">
        <v>209700</v>
      </c>
      <c r="J4860" s="29" t="n">
        <v>157275</v>
      </c>
      <c r="K4860" s="28" t="n">
        <v>9.5</v>
      </c>
      <c r="L4860" s="28" t="n">
        <v>120</v>
      </c>
      <c r="M4860" s="28" t="n">
        <v>2</v>
      </c>
    </row>
    <row r="4861" customFormat="false" ht="15" hidden="false" customHeight="false" outlineLevel="0" collapsed="false">
      <c r="A4861" s="27" t="n">
        <v>45896</v>
      </c>
      <c r="B4861" s="28" t="n">
        <v>2025</v>
      </c>
      <c r="C4861" s="28" t="s">
        <v>360</v>
      </c>
      <c r="D4861" s="28" t="s">
        <v>45</v>
      </c>
      <c r="E4861" s="28" t="s">
        <v>222</v>
      </c>
      <c r="F4861" s="28" t="s">
        <v>142</v>
      </c>
      <c r="G4861" s="28" t="s">
        <v>441</v>
      </c>
      <c r="H4861" s="28" t="s">
        <v>374</v>
      </c>
      <c r="I4861" s="29" t="n">
        <v>429000</v>
      </c>
      <c r="J4861" s="29" t="n">
        <v>321750</v>
      </c>
      <c r="K4861" s="28" t="n">
        <v>9.75</v>
      </c>
      <c r="L4861" s="28" t="n">
        <v>120</v>
      </c>
      <c r="M4861" s="28" t="n">
        <v>3</v>
      </c>
    </row>
    <row r="4862" customFormat="false" ht="15" hidden="false" customHeight="false" outlineLevel="0" collapsed="false">
      <c r="A4862" s="27" t="n">
        <v>45896</v>
      </c>
      <c r="B4862" s="28" t="n">
        <v>2025</v>
      </c>
      <c r="C4862" s="28" t="s">
        <v>201</v>
      </c>
      <c r="D4862" s="28" t="s">
        <v>44</v>
      </c>
      <c r="E4862" s="28" t="s">
        <v>167</v>
      </c>
      <c r="F4862" s="28" t="s">
        <v>142</v>
      </c>
      <c r="G4862" s="28" t="s">
        <v>148</v>
      </c>
      <c r="H4862" s="28" t="s">
        <v>171</v>
      </c>
      <c r="I4862" s="29" t="n">
        <v>275000</v>
      </c>
      <c r="J4862" s="29" t="n">
        <v>206250</v>
      </c>
      <c r="K4862" s="28" t="n">
        <v>10.5</v>
      </c>
      <c r="L4862" s="28" t="n">
        <v>120</v>
      </c>
      <c r="M4862" s="28" t="n">
        <v>44</v>
      </c>
    </row>
    <row r="4863" customFormat="false" ht="15" hidden="false" customHeight="false" outlineLevel="0" collapsed="false">
      <c r="A4863" s="27" t="n">
        <v>45896</v>
      </c>
      <c r="B4863" s="28" t="n">
        <v>2025</v>
      </c>
      <c r="C4863" s="28" t="s">
        <v>140</v>
      </c>
      <c r="D4863" s="28" t="s">
        <v>50</v>
      </c>
      <c r="E4863" s="28" t="s">
        <v>711</v>
      </c>
      <c r="F4863" s="28" t="s">
        <v>142</v>
      </c>
      <c r="G4863" s="28" t="s">
        <v>152</v>
      </c>
      <c r="H4863" s="28" t="s">
        <v>278</v>
      </c>
      <c r="I4863" s="29" t="n">
        <v>350000</v>
      </c>
      <c r="J4863" s="29" t="n">
        <v>262500</v>
      </c>
      <c r="K4863" s="28" t="n">
        <v>10.25</v>
      </c>
      <c r="L4863" s="28" t="n">
        <v>120</v>
      </c>
      <c r="M4863" s="28" t="n">
        <v>8</v>
      </c>
    </row>
    <row r="4864" customFormat="false" ht="15" hidden="false" customHeight="false" outlineLevel="0" collapsed="false">
      <c r="A4864" s="27" t="n">
        <v>45896</v>
      </c>
      <c r="B4864" s="28" t="n">
        <v>2025</v>
      </c>
      <c r="C4864" s="28" t="s">
        <v>198</v>
      </c>
      <c r="D4864" s="28" t="s">
        <v>47</v>
      </c>
      <c r="E4864" s="28" t="s">
        <v>373</v>
      </c>
      <c r="F4864" s="28" t="s">
        <v>194</v>
      </c>
      <c r="G4864" s="28" t="s">
        <v>148</v>
      </c>
      <c r="H4864" s="28" t="s">
        <v>281</v>
      </c>
      <c r="I4864" s="29" t="n">
        <v>550000</v>
      </c>
      <c r="J4864" s="29" t="n">
        <v>412500</v>
      </c>
      <c r="K4864" s="28" t="n">
        <v>9.5</v>
      </c>
      <c r="L4864" s="28" t="n">
        <v>120</v>
      </c>
      <c r="M4864" s="28" t="n">
        <v>20</v>
      </c>
    </row>
    <row r="4865" customFormat="false" ht="15" hidden="false" customHeight="false" outlineLevel="0" collapsed="false">
      <c r="A4865" s="27" t="n">
        <v>45896</v>
      </c>
      <c r="B4865" s="28" t="n">
        <v>2025</v>
      </c>
      <c r="C4865" s="28" t="s">
        <v>166</v>
      </c>
      <c r="D4865" s="28" t="s">
        <v>50</v>
      </c>
      <c r="E4865" s="28" t="s">
        <v>951</v>
      </c>
      <c r="F4865" s="28" t="s">
        <v>142</v>
      </c>
      <c r="G4865" s="28" t="s">
        <v>152</v>
      </c>
      <c r="H4865" s="28" t="s">
        <v>162</v>
      </c>
      <c r="I4865" s="29" t="n">
        <v>307000</v>
      </c>
      <c r="J4865" s="29" t="n">
        <v>230250</v>
      </c>
      <c r="K4865" s="28" t="n">
        <v>7.47</v>
      </c>
      <c r="L4865" s="28" t="n">
        <v>120</v>
      </c>
      <c r="M4865" s="28" t="n">
        <v>3</v>
      </c>
    </row>
    <row r="4866" customFormat="false" ht="15" hidden="false" customHeight="false" outlineLevel="0" collapsed="false">
      <c r="A4866" s="27" t="n">
        <v>45896</v>
      </c>
      <c r="B4866" s="28" t="n">
        <v>2025</v>
      </c>
      <c r="C4866" s="28" t="s">
        <v>172</v>
      </c>
      <c r="D4866" s="28" t="s">
        <v>49</v>
      </c>
      <c r="E4866" s="28" t="s">
        <v>902</v>
      </c>
      <c r="F4866" s="28" t="s">
        <v>147</v>
      </c>
      <c r="G4866" s="28" t="s">
        <v>148</v>
      </c>
      <c r="H4866" s="28" t="s">
        <v>205</v>
      </c>
      <c r="I4866" s="29" t="n">
        <v>188000</v>
      </c>
      <c r="J4866" s="29" t="n">
        <v>94000</v>
      </c>
      <c r="K4866" s="28" t="n">
        <v>10.5</v>
      </c>
      <c r="L4866" s="28" t="n">
        <v>120</v>
      </c>
      <c r="M4866" s="28" t="n">
        <v>5</v>
      </c>
    </row>
    <row r="4867" customFormat="false" ht="15" hidden="false" customHeight="false" outlineLevel="0" collapsed="false">
      <c r="A4867" s="27" t="n">
        <v>45896</v>
      </c>
      <c r="B4867" s="28" t="n">
        <v>2025</v>
      </c>
      <c r="C4867" s="28" t="s">
        <v>172</v>
      </c>
      <c r="D4867" s="28" t="s">
        <v>56</v>
      </c>
      <c r="E4867" s="28" t="s">
        <v>1095</v>
      </c>
      <c r="F4867" s="28" t="s">
        <v>147</v>
      </c>
      <c r="G4867" s="28" t="s">
        <v>148</v>
      </c>
      <c r="H4867" s="28" t="s">
        <v>159</v>
      </c>
      <c r="I4867" s="29" t="n">
        <v>5000</v>
      </c>
      <c r="J4867" s="29" t="n">
        <v>2500</v>
      </c>
      <c r="K4867" s="28" t="n">
        <v>14</v>
      </c>
      <c r="L4867" s="28" t="n">
        <v>120</v>
      </c>
      <c r="M4867" s="28" t="n">
        <v>0</v>
      </c>
    </row>
    <row r="4868" customFormat="false" ht="15" hidden="false" customHeight="false" outlineLevel="0" collapsed="false">
      <c r="A4868" s="27" t="n">
        <v>45897</v>
      </c>
      <c r="B4868" s="28" t="n">
        <v>2025</v>
      </c>
      <c r="C4868" s="28" t="s">
        <v>169</v>
      </c>
      <c r="D4868" s="28" t="s">
        <v>48</v>
      </c>
      <c r="E4868" s="28" t="s">
        <v>736</v>
      </c>
      <c r="F4868" s="28" t="s">
        <v>142</v>
      </c>
      <c r="G4868" s="28" t="s">
        <v>148</v>
      </c>
      <c r="H4868" s="28" t="s">
        <v>162</v>
      </c>
      <c r="I4868" s="29" t="n">
        <v>511600</v>
      </c>
      <c r="J4868" s="29" t="n">
        <v>383700</v>
      </c>
      <c r="K4868" s="28" t="n">
        <v>6.35</v>
      </c>
      <c r="L4868" s="28" t="n">
        <v>300</v>
      </c>
      <c r="M4868" s="28" t="n">
        <v>6</v>
      </c>
    </row>
    <row r="4869" customFormat="false" ht="15" hidden="false" customHeight="false" outlineLevel="0" collapsed="false">
      <c r="A4869" s="27" t="n">
        <v>45897</v>
      </c>
      <c r="B4869" s="28" t="n">
        <v>2025</v>
      </c>
      <c r="C4869" s="28" t="s">
        <v>163</v>
      </c>
      <c r="D4869" s="28" t="s">
        <v>48</v>
      </c>
      <c r="E4869" s="28" t="s">
        <v>1090</v>
      </c>
      <c r="F4869" s="28" t="s">
        <v>142</v>
      </c>
      <c r="G4869" s="28" t="s">
        <v>152</v>
      </c>
      <c r="H4869" s="28" t="s">
        <v>827</v>
      </c>
      <c r="I4869" s="29" t="n">
        <v>567000</v>
      </c>
      <c r="J4869" s="29" t="n">
        <v>425250</v>
      </c>
      <c r="K4869" s="28" t="n">
        <v>9.75</v>
      </c>
      <c r="L4869" s="28" t="n">
        <v>120</v>
      </c>
      <c r="M4869" s="28" t="n">
        <v>8</v>
      </c>
    </row>
    <row r="4870" customFormat="false" ht="15" hidden="false" customHeight="false" outlineLevel="0" collapsed="false">
      <c r="A4870" s="27" t="n">
        <v>45897</v>
      </c>
      <c r="B4870" s="28" t="n">
        <v>2025</v>
      </c>
      <c r="C4870" s="28" t="s">
        <v>310</v>
      </c>
      <c r="D4870" s="28" t="s">
        <v>47</v>
      </c>
      <c r="E4870" s="28" t="s">
        <v>327</v>
      </c>
      <c r="F4870" s="28" t="s">
        <v>147</v>
      </c>
      <c r="G4870" s="28" t="s">
        <v>148</v>
      </c>
      <c r="H4870" s="28" t="s">
        <v>469</v>
      </c>
      <c r="I4870" s="29" t="n">
        <v>150000</v>
      </c>
      <c r="J4870" s="29" t="n">
        <v>75000</v>
      </c>
      <c r="K4870" s="28" t="n">
        <v>7.75</v>
      </c>
      <c r="L4870" s="28" t="n">
        <v>119</v>
      </c>
      <c r="M4870" s="28" t="n">
        <v>1</v>
      </c>
    </row>
    <row r="4871" customFormat="false" ht="15" hidden="false" customHeight="false" outlineLevel="0" collapsed="false">
      <c r="A4871" s="27" t="n">
        <v>45898</v>
      </c>
      <c r="B4871" s="28" t="n">
        <v>2025</v>
      </c>
      <c r="C4871" s="28" t="s">
        <v>310</v>
      </c>
      <c r="D4871" s="28" t="s">
        <v>47</v>
      </c>
      <c r="E4871" s="28" t="s">
        <v>327</v>
      </c>
      <c r="F4871" s="28" t="s">
        <v>142</v>
      </c>
      <c r="G4871" s="28" t="s">
        <v>148</v>
      </c>
      <c r="H4871" s="28" t="s">
        <v>469</v>
      </c>
      <c r="I4871" s="29" t="n">
        <v>212800</v>
      </c>
      <c r="J4871" s="29" t="n">
        <v>159600</v>
      </c>
      <c r="K4871" s="28" t="n">
        <v>5.95</v>
      </c>
      <c r="L4871" s="28" t="n">
        <v>119</v>
      </c>
      <c r="M4871" s="28" t="n">
        <v>1</v>
      </c>
    </row>
    <row r="4872" customFormat="false" ht="15" hidden="false" customHeight="false" outlineLevel="0" collapsed="false">
      <c r="A4872" s="27" t="n">
        <v>45898</v>
      </c>
      <c r="B4872" s="28" t="n">
        <v>2025</v>
      </c>
      <c r="C4872" s="28" t="s">
        <v>172</v>
      </c>
      <c r="D4872" s="28" t="s">
        <v>46</v>
      </c>
      <c r="E4872" s="28" t="s">
        <v>930</v>
      </c>
      <c r="F4872" s="28" t="s">
        <v>147</v>
      </c>
      <c r="G4872" s="28" t="s">
        <v>441</v>
      </c>
      <c r="H4872" s="28" t="s">
        <v>159</v>
      </c>
      <c r="I4872" s="29" t="n">
        <v>100000</v>
      </c>
      <c r="J4872" s="29" t="n">
        <v>50000</v>
      </c>
      <c r="K4872" s="28" t="n">
        <v>9.75</v>
      </c>
      <c r="L4872" s="28" t="n">
        <v>120</v>
      </c>
      <c r="M4872" s="28" t="n">
        <v>2</v>
      </c>
    </row>
    <row r="4873" customFormat="false" ht="15" hidden="false" customHeight="false" outlineLevel="0" collapsed="false">
      <c r="A4873" s="27" t="n">
        <v>45898</v>
      </c>
      <c r="B4873" s="28" t="n">
        <v>2025</v>
      </c>
      <c r="C4873" s="28" t="s">
        <v>172</v>
      </c>
      <c r="D4873" s="28" t="s">
        <v>46</v>
      </c>
      <c r="E4873" s="28" t="s">
        <v>930</v>
      </c>
      <c r="F4873" s="28" t="s">
        <v>147</v>
      </c>
      <c r="G4873" s="28" t="s">
        <v>441</v>
      </c>
      <c r="H4873" s="28" t="s">
        <v>159</v>
      </c>
      <c r="I4873" s="29" t="n">
        <v>44300</v>
      </c>
      <c r="J4873" s="29" t="n">
        <v>22150</v>
      </c>
      <c r="K4873" s="28" t="n">
        <v>9.5</v>
      </c>
      <c r="L4873" s="28" t="n">
        <v>84</v>
      </c>
      <c r="M4873" s="28" t="n">
        <v>2</v>
      </c>
    </row>
    <row r="4874" customFormat="false" ht="15" hidden="false" customHeight="false" outlineLevel="0" collapsed="false">
      <c r="A4874" s="27" t="n">
        <v>45900</v>
      </c>
      <c r="B4874" s="28" t="n">
        <v>2025</v>
      </c>
      <c r="C4874" s="28" t="s">
        <v>172</v>
      </c>
      <c r="D4874" s="28" t="s">
        <v>44</v>
      </c>
      <c r="E4874" s="28" t="s">
        <v>863</v>
      </c>
      <c r="F4874" s="28" t="s">
        <v>142</v>
      </c>
      <c r="G4874" s="28" t="s">
        <v>148</v>
      </c>
      <c r="H4874" s="28" t="s">
        <v>269</v>
      </c>
      <c r="I4874" s="29" t="n">
        <v>150000</v>
      </c>
      <c r="J4874" s="29" t="n">
        <v>127500</v>
      </c>
      <c r="K4874" s="28" t="n">
        <v>10.25</v>
      </c>
      <c r="L4874" s="28" t="n">
        <v>120</v>
      </c>
      <c r="M4874" s="28" t="n">
        <v>0</v>
      </c>
    </row>
    <row r="4875" customFormat="false" ht="15" hidden="false" customHeight="false" outlineLevel="0" collapsed="false">
      <c r="A4875" s="27" t="n">
        <v>45901</v>
      </c>
      <c r="B4875" s="28" t="n">
        <v>2025</v>
      </c>
      <c r="C4875" s="28" t="s">
        <v>163</v>
      </c>
      <c r="D4875" s="28" t="s">
        <v>42</v>
      </c>
      <c r="E4875" s="28" t="s">
        <v>717</v>
      </c>
      <c r="F4875" s="28" t="s">
        <v>142</v>
      </c>
      <c r="G4875" s="28" t="s">
        <v>143</v>
      </c>
      <c r="H4875" s="28" t="s">
        <v>211</v>
      </c>
      <c r="I4875" s="29" t="n">
        <v>899000</v>
      </c>
      <c r="J4875" s="29" t="n">
        <v>674250</v>
      </c>
      <c r="K4875" s="28" t="n">
        <v>9.75</v>
      </c>
      <c r="L4875" s="28" t="n">
        <v>129</v>
      </c>
      <c r="M4875" s="28" t="n">
        <v>22</v>
      </c>
    </row>
    <row r="4876" customFormat="false" ht="15" hidden="false" customHeight="false" outlineLevel="0" collapsed="false">
      <c r="A4876" s="27" t="n">
        <v>45901</v>
      </c>
      <c r="B4876" s="28" t="n">
        <v>2025</v>
      </c>
      <c r="C4876" s="28" t="s">
        <v>163</v>
      </c>
      <c r="D4876" s="28" t="s">
        <v>42</v>
      </c>
      <c r="E4876" s="28" t="s">
        <v>717</v>
      </c>
      <c r="F4876" s="28" t="s">
        <v>147</v>
      </c>
      <c r="G4876" s="28" t="s">
        <v>143</v>
      </c>
      <c r="H4876" s="28" t="s">
        <v>211</v>
      </c>
      <c r="I4876" s="29" t="n">
        <v>25000</v>
      </c>
      <c r="J4876" s="29" t="n">
        <v>12500</v>
      </c>
      <c r="K4876" s="28" t="n">
        <v>9.75</v>
      </c>
      <c r="L4876" s="28" t="n">
        <v>120</v>
      </c>
      <c r="M4876" s="28" t="n">
        <v>22</v>
      </c>
    </row>
    <row r="4877" customFormat="false" ht="15" hidden="false" customHeight="false" outlineLevel="0" collapsed="false">
      <c r="A4877" s="27" t="n">
        <v>45902</v>
      </c>
      <c r="B4877" s="28" t="n">
        <v>2025</v>
      </c>
      <c r="C4877" s="28" t="s">
        <v>183</v>
      </c>
      <c r="D4877" s="28" t="s">
        <v>43</v>
      </c>
      <c r="E4877" s="28" t="s">
        <v>837</v>
      </c>
      <c r="F4877" s="28" t="s">
        <v>142</v>
      </c>
      <c r="G4877" s="28" t="s">
        <v>143</v>
      </c>
      <c r="H4877" s="28" t="s">
        <v>287</v>
      </c>
      <c r="I4877" s="29" t="n">
        <v>100000</v>
      </c>
      <c r="J4877" s="29" t="n">
        <v>85000</v>
      </c>
      <c r="K4877" s="28" t="n">
        <v>10.25</v>
      </c>
      <c r="L4877" s="28" t="n">
        <v>120</v>
      </c>
      <c r="M4877" s="28" t="n">
        <v>2</v>
      </c>
    </row>
    <row r="4878" customFormat="false" ht="15" hidden="false" customHeight="false" outlineLevel="0" collapsed="false">
      <c r="A4878" s="27" t="n">
        <v>45902</v>
      </c>
      <c r="B4878" s="28" t="n">
        <v>2025</v>
      </c>
      <c r="C4878" s="28" t="s">
        <v>216</v>
      </c>
      <c r="D4878" s="28" t="s">
        <v>45</v>
      </c>
      <c r="E4878" s="28" t="s">
        <v>824</v>
      </c>
      <c r="F4878" s="28" t="s">
        <v>142</v>
      </c>
      <c r="G4878" s="28" t="s">
        <v>143</v>
      </c>
      <c r="H4878" s="28" t="s">
        <v>287</v>
      </c>
      <c r="I4878" s="29" t="n">
        <v>250000</v>
      </c>
      <c r="J4878" s="29" t="n">
        <v>187500</v>
      </c>
      <c r="K4878" s="28" t="n">
        <v>10.25</v>
      </c>
      <c r="L4878" s="28" t="n">
        <v>120</v>
      </c>
      <c r="M4878" s="28" t="n">
        <v>4</v>
      </c>
    </row>
    <row r="4879" customFormat="false" ht="15" hidden="false" customHeight="false" outlineLevel="0" collapsed="false">
      <c r="A4879" s="27" t="n">
        <v>45902</v>
      </c>
      <c r="B4879" s="28" t="n">
        <v>2025</v>
      </c>
      <c r="C4879" s="28" t="s">
        <v>172</v>
      </c>
      <c r="D4879" s="28" t="s">
        <v>44</v>
      </c>
      <c r="E4879" s="28" t="s">
        <v>863</v>
      </c>
      <c r="F4879" s="28" t="s">
        <v>142</v>
      </c>
      <c r="G4879" s="28" t="s">
        <v>152</v>
      </c>
      <c r="H4879" s="28" t="s">
        <v>287</v>
      </c>
      <c r="I4879" s="29" t="n">
        <v>508000</v>
      </c>
      <c r="J4879" s="29" t="n">
        <v>381000</v>
      </c>
      <c r="K4879" s="28" t="n">
        <v>10.25</v>
      </c>
      <c r="L4879" s="28" t="n">
        <v>120</v>
      </c>
      <c r="M4879" s="28" t="n">
        <v>3</v>
      </c>
    </row>
    <row r="4880" customFormat="false" ht="15" hidden="false" customHeight="false" outlineLevel="0" collapsed="false">
      <c r="A4880" s="27" t="n">
        <v>45903</v>
      </c>
      <c r="B4880" s="28" t="n">
        <v>2025</v>
      </c>
      <c r="C4880" s="28" t="s">
        <v>173</v>
      </c>
      <c r="D4880" s="28" t="s">
        <v>42</v>
      </c>
      <c r="E4880" s="28" t="s">
        <v>753</v>
      </c>
      <c r="F4880" s="28" t="s">
        <v>142</v>
      </c>
      <c r="G4880" s="28" t="s">
        <v>143</v>
      </c>
      <c r="H4880" s="28" t="s">
        <v>1131</v>
      </c>
      <c r="I4880" s="29" t="n">
        <v>3100000</v>
      </c>
      <c r="J4880" s="29" t="n">
        <v>2325000</v>
      </c>
      <c r="K4880" s="28" t="n">
        <v>9</v>
      </c>
      <c r="L4880" s="28" t="n">
        <v>308</v>
      </c>
      <c r="M4880" s="28" t="n">
        <v>30</v>
      </c>
    </row>
    <row r="4881" customFormat="false" ht="15" hidden="false" customHeight="false" outlineLevel="0" collapsed="false">
      <c r="A4881" s="27" t="n">
        <v>45903</v>
      </c>
      <c r="B4881" s="28" t="n">
        <v>2025</v>
      </c>
      <c r="C4881" s="28" t="s">
        <v>172</v>
      </c>
      <c r="D4881" s="28" t="s">
        <v>46</v>
      </c>
      <c r="E4881" s="28" t="s">
        <v>702</v>
      </c>
      <c r="F4881" s="28" t="s">
        <v>142</v>
      </c>
      <c r="G4881" s="28" t="s">
        <v>148</v>
      </c>
      <c r="H4881" s="28" t="s">
        <v>470</v>
      </c>
      <c r="I4881" s="29" t="n">
        <v>100000</v>
      </c>
      <c r="J4881" s="29" t="n">
        <v>85000</v>
      </c>
      <c r="K4881" s="28" t="n">
        <v>9.5</v>
      </c>
      <c r="L4881" s="28" t="n">
        <v>84</v>
      </c>
      <c r="M4881" s="28" t="n">
        <v>6</v>
      </c>
    </row>
    <row r="4882" customFormat="false" ht="15" hidden="false" customHeight="false" outlineLevel="0" collapsed="false">
      <c r="A4882" s="27" t="n">
        <v>45903</v>
      </c>
      <c r="B4882" s="28" t="n">
        <v>2025</v>
      </c>
      <c r="C4882" s="28" t="s">
        <v>252</v>
      </c>
      <c r="D4882" s="28" t="s">
        <v>48</v>
      </c>
      <c r="E4882" s="28" t="s">
        <v>304</v>
      </c>
      <c r="F4882" s="28" t="s">
        <v>142</v>
      </c>
      <c r="G4882" s="28" t="s">
        <v>148</v>
      </c>
      <c r="H4882" s="28" t="s">
        <v>326</v>
      </c>
      <c r="I4882" s="29" t="n">
        <v>320000</v>
      </c>
      <c r="J4882" s="29" t="n">
        <v>240000</v>
      </c>
      <c r="K4882" s="28" t="n">
        <v>10</v>
      </c>
      <c r="L4882" s="28" t="n">
        <v>119</v>
      </c>
      <c r="M4882" s="28" t="n">
        <v>0</v>
      </c>
    </row>
    <row r="4883" customFormat="false" ht="15" hidden="false" customHeight="false" outlineLevel="0" collapsed="false">
      <c r="A4883" s="27" t="n">
        <v>45903</v>
      </c>
      <c r="B4883" s="28" t="n">
        <v>2025</v>
      </c>
      <c r="C4883" s="28" t="s">
        <v>154</v>
      </c>
      <c r="D4883" s="28" t="s">
        <v>47</v>
      </c>
      <c r="E4883" s="28" t="s">
        <v>760</v>
      </c>
      <c r="F4883" s="28" t="s">
        <v>142</v>
      </c>
      <c r="G4883" s="28" t="s">
        <v>143</v>
      </c>
      <c r="H4883" s="28" t="s">
        <v>187</v>
      </c>
      <c r="I4883" s="29" t="n">
        <v>350000</v>
      </c>
      <c r="J4883" s="29" t="n">
        <v>262500</v>
      </c>
      <c r="K4883" s="28" t="n">
        <v>6.23</v>
      </c>
      <c r="L4883" s="28" t="n">
        <v>120</v>
      </c>
      <c r="M4883" s="28" t="n">
        <v>20</v>
      </c>
    </row>
    <row r="4884" customFormat="false" ht="15" hidden="false" customHeight="false" outlineLevel="0" collapsed="false">
      <c r="A4884" s="27" t="n">
        <v>45903</v>
      </c>
      <c r="B4884" s="28" t="n">
        <v>2025</v>
      </c>
      <c r="C4884" s="28" t="s">
        <v>172</v>
      </c>
      <c r="D4884" s="28" t="s">
        <v>48</v>
      </c>
      <c r="E4884" s="28" t="s">
        <v>765</v>
      </c>
      <c r="F4884" s="28" t="s">
        <v>147</v>
      </c>
      <c r="G4884" s="28" t="s">
        <v>148</v>
      </c>
      <c r="H4884" s="28" t="s">
        <v>205</v>
      </c>
      <c r="I4884" s="29" t="n">
        <v>100000</v>
      </c>
      <c r="J4884" s="29" t="n">
        <v>50000</v>
      </c>
      <c r="K4884" s="28" t="n">
        <v>8.5</v>
      </c>
      <c r="L4884" s="28" t="n">
        <v>120</v>
      </c>
      <c r="M4884" s="28" t="n">
        <v>65</v>
      </c>
    </row>
    <row r="4885" customFormat="false" ht="15" hidden="false" customHeight="false" outlineLevel="0" collapsed="false">
      <c r="A4885" s="27" t="n">
        <v>45903</v>
      </c>
      <c r="B4885" s="28" t="n">
        <v>2025</v>
      </c>
      <c r="C4885" s="28" t="s">
        <v>384</v>
      </c>
      <c r="D4885" s="28" t="s">
        <v>42</v>
      </c>
      <c r="E4885" s="28" t="s">
        <v>784</v>
      </c>
      <c r="F4885" s="28" t="s">
        <v>142</v>
      </c>
      <c r="G4885" s="28" t="s">
        <v>143</v>
      </c>
      <c r="H4885" s="28" t="s">
        <v>269</v>
      </c>
      <c r="I4885" s="29" t="n">
        <v>2439000</v>
      </c>
      <c r="J4885" s="29" t="n">
        <v>1829250</v>
      </c>
      <c r="K4885" s="28" t="n">
        <v>9.5</v>
      </c>
      <c r="L4885" s="28" t="n">
        <v>126</v>
      </c>
      <c r="M4885" s="28" t="n">
        <v>50</v>
      </c>
    </row>
    <row r="4886" customFormat="false" ht="15" hidden="false" customHeight="false" outlineLevel="0" collapsed="false">
      <c r="A4886" s="27" t="n">
        <v>45904</v>
      </c>
      <c r="B4886" s="28" t="n">
        <v>2025</v>
      </c>
      <c r="C4886" s="28" t="s">
        <v>145</v>
      </c>
      <c r="D4886" s="28" t="s">
        <v>46</v>
      </c>
      <c r="E4886" s="28" t="s">
        <v>702</v>
      </c>
      <c r="F4886" s="28" t="s">
        <v>147</v>
      </c>
      <c r="G4886" s="28" t="s">
        <v>148</v>
      </c>
      <c r="H4886" s="28" t="s">
        <v>159</v>
      </c>
      <c r="I4886" s="29" t="n">
        <v>10000</v>
      </c>
      <c r="J4886" s="29" t="n">
        <v>5000</v>
      </c>
      <c r="K4886" s="28" t="n">
        <v>14</v>
      </c>
      <c r="L4886" s="28" t="n">
        <v>120</v>
      </c>
      <c r="M4886" s="28" t="n">
        <v>0</v>
      </c>
    </row>
    <row r="4887" customFormat="false" ht="15" hidden="false" customHeight="false" outlineLevel="0" collapsed="false">
      <c r="A4887" s="27" t="n">
        <v>45904</v>
      </c>
      <c r="B4887" s="28" t="n">
        <v>2025</v>
      </c>
      <c r="C4887" s="28" t="s">
        <v>272</v>
      </c>
      <c r="D4887" s="28" t="s">
        <v>55</v>
      </c>
      <c r="E4887" s="28" t="s">
        <v>1166</v>
      </c>
      <c r="F4887" s="28" t="s">
        <v>142</v>
      </c>
      <c r="G4887" s="28" t="s">
        <v>148</v>
      </c>
      <c r="H4887" s="28" t="s">
        <v>953</v>
      </c>
      <c r="I4887" s="29" t="n">
        <v>500000</v>
      </c>
      <c r="J4887" s="29" t="n">
        <v>375000</v>
      </c>
      <c r="K4887" s="28" t="n">
        <v>10.5</v>
      </c>
      <c r="L4887" s="28" t="n">
        <v>120</v>
      </c>
      <c r="M4887" s="28" t="n">
        <v>31</v>
      </c>
    </row>
    <row r="4888" customFormat="false" ht="15" hidden="false" customHeight="false" outlineLevel="0" collapsed="false">
      <c r="A4888" s="27" t="n">
        <v>45904</v>
      </c>
      <c r="B4888" s="28" t="n">
        <v>2025</v>
      </c>
      <c r="C4888" s="28" t="s">
        <v>203</v>
      </c>
      <c r="D4888" s="28" t="s">
        <v>45</v>
      </c>
      <c r="E4888" s="28" t="s">
        <v>872</v>
      </c>
      <c r="F4888" s="28" t="s">
        <v>147</v>
      </c>
      <c r="G4888" s="28" t="s">
        <v>152</v>
      </c>
      <c r="H4888" s="28" t="s">
        <v>1060</v>
      </c>
      <c r="I4888" s="29" t="n">
        <v>257700</v>
      </c>
      <c r="J4888" s="29" t="n">
        <v>128850</v>
      </c>
      <c r="K4888" s="28" t="n">
        <v>10.25</v>
      </c>
      <c r="L4888" s="28" t="n">
        <v>120</v>
      </c>
      <c r="M4888" s="28" t="n">
        <v>22</v>
      </c>
    </row>
    <row r="4889" customFormat="false" ht="15" hidden="false" customHeight="false" outlineLevel="0" collapsed="false">
      <c r="A4889" s="27" t="n">
        <v>45904</v>
      </c>
      <c r="B4889" s="28" t="n">
        <v>2025</v>
      </c>
      <c r="C4889" s="28" t="s">
        <v>172</v>
      </c>
      <c r="D4889" s="28" t="s">
        <v>50</v>
      </c>
      <c r="E4889" s="28" t="s">
        <v>174</v>
      </c>
      <c r="F4889" s="28" t="s">
        <v>142</v>
      </c>
      <c r="G4889" s="28" t="s">
        <v>143</v>
      </c>
      <c r="H4889" s="28" t="s">
        <v>374</v>
      </c>
      <c r="I4889" s="29" t="n">
        <v>340000</v>
      </c>
      <c r="J4889" s="29" t="n">
        <v>255000</v>
      </c>
      <c r="K4889" s="28" t="n">
        <v>10.25</v>
      </c>
      <c r="L4889" s="28" t="n">
        <v>120</v>
      </c>
      <c r="M4889" s="28" t="n">
        <v>26</v>
      </c>
    </row>
    <row r="4890" customFormat="false" ht="15" hidden="false" customHeight="false" outlineLevel="0" collapsed="false">
      <c r="A4890" s="27" t="n">
        <v>45904</v>
      </c>
      <c r="B4890" s="28" t="n">
        <v>2025</v>
      </c>
      <c r="C4890" s="28" t="s">
        <v>243</v>
      </c>
      <c r="D4890" s="28" t="s">
        <v>48</v>
      </c>
      <c r="E4890" s="28" t="s">
        <v>840</v>
      </c>
      <c r="F4890" s="28" t="s">
        <v>142</v>
      </c>
      <c r="G4890" s="28" t="s">
        <v>148</v>
      </c>
      <c r="H4890" s="28" t="s">
        <v>287</v>
      </c>
      <c r="I4890" s="29" t="n">
        <v>1710000</v>
      </c>
      <c r="J4890" s="29" t="n">
        <v>1282500</v>
      </c>
      <c r="K4890" s="28" t="n">
        <v>9.25</v>
      </c>
      <c r="L4890" s="28" t="n">
        <v>120</v>
      </c>
      <c r="M4890" s="28" t="n">
        <v>11</v>
      </c>
    </row>
    <row r="4891" customFormat="false" ht="15" hidden="false" customHeight="false" outlineLevel="0" collapsed="false">
      <c r="A4891" s="27" t="n">
        <v>45904</v>
      </c>
      <c r="B4891" s="28" t="n">
        <v>2025</v>
      </c>
      <c r="C4891" s="28" t="s">
        <v>201</v>
      </c>
      <c r="D4891" s="28" t="s">
        <v>52</v>
      </c>
      <c r="E4891" s="28" t="s">
        <v>731</v>
      </c>
      <c r="F4891" s="28" t="s">
        <v>147</v>
      </c>
      <c r="G4891" s="28" t="s">
        <v>148</v>
      </c>
      <c r="H4891" s="28" t="s">
        <v>205</v>
      </c>
      <c r="I4891" s="29" t="n">
        <v>40000</v>
      </c>
      <c r="J4891" s="29" t="n">
        <v>20000</v>
      </c>
      <c r="K4891" s="28" t="n">
        <v>13.3</v>
      </c>
      <c r="L4891" s="28" t="n">
        <v>36</v>
      </c>
      <c r="M4891" s="28" t="n">
        <v>1</v>
      </c>
    </row>
    <row r="4892" customFormat="false" ht="15" hidden="false" customHeight="false" outlineLevel="0" collapsed="false">
      <c r="A4892" s="27" t="n">
        <v>45905</v>
      </c>
      <c r="B4892" s="28" t="n">
        <v>2025</v>
      </c>
      <c r="C4892" s="28" t="s">
        <v>201</v>
      </c>
      <c r="D4892" s="28" t="s">
        <v>44</v>
      </c>
      <c r="E4892" s="28" t="s">
        <v>823</v>
      </c>
      <c r="F4892" s="28" t="s">
        <v>142</v>
      </c>
      <c r="G4892" s="28" t="s">
        <v>143</v>
      </c>
      <c r="H4892" s="28" t="s">
        <v>153</v>
      </c>
      <c r="I4892" s="29" t="n">
        <v>3827000</v>
      </c>
      <c r="J4892" s="29" t="n">
        <v>2870250</v>
      </c>
      <c r="K4892" s="28" t="n">
        <v>8</v>
      </c>
      <c r="L4892" s="28" t="n">
        <v>308</v>
      </c>
      <c r="M4892" s="28" t="n">
        <v>14</v>
      </c>
    </row>
    <row r="4893" customFormat="false" ht="15" hidden="false" customHeight="false" outlineLevel="0" collapsed="false">
      <c r="A4893" s="27" t="n">
        <v>45905</v>
      </c>
      <c r="B4893" s="28" t="n">
        <v>2025</v>
      </c>
      <c r="C4893" s="28" t="s">
        <v>172</v>
      </c>
      <c r="D4893" s="28" t="s">
        <v>45</v>
      </c>
      <c r="E4893" s="28" t="s">
        <v>835</v>
      </c>
      <c r="F4893" s="28" t="s">
        <v>142</v>
      </c>
      <c r="G4893" s="28" t="s">
        <v>143</v>
      </c>
      <c r="H4893" s="28" t="s">
        <v>144</v>
      </c>
      <c r="I4893" s="29" t="n">
        <v>260000</v>
      </c>
      <c r="J4893" s="29" t="n">
        <v>195000</v>
      </c>
      <c r="K4893" s="28" t="n">
        <v>10.99</v>
      </c>
      <c r="L4893" s="28" t="n">
        <v>120</v>
      </c>
      <c r="M4893" s="28" t="n">
        <v>4</v>
      </c>
    </row>
    <row r="4894" customFormat="false" ht="15" hidden="false" customHeight="false" outlineLevel="0" collapsed="false">
      <c r="A4894" s="27" t="n">
        <v>45905</v>
      </c>
      <c r="B4894" s="28" t="n">
        <v>2025</v>
      </c>
      <c r="C4894" s="28" t="s">
        <v>332</v>
      </c>
      <c r="D4894" s="28" t="s">
        <v>43</v>
      </c>
      <c r="E4894" s="28" t="s">
        <v>886</v>
      </c>
      <c r="F4894" s="28" t="s">
        <v>142</v>
      </c>
      <c r="G4894" s="28" t="s">
        <v>152</v>
      </c>
      <c r="H4894" s="28" t="s">
        <v>149</v>
      </c>
      <c r="I4894" s="29" t="n">
        <v>699000</v>
      </c>
      <c r="J4894" s="29" t="n">
        <v>524250</v>
      </c>
      <c r="K4894" s="28" t="n">
        <v>9.5</v>
      </c>
      <c r="L4894" s="28" t="n">
        <v>120</v>
      </c>
      <c r="M4894" s="28" t="n">
        <v>11</v>
      </c>
    </row>
    <row r="4895" customFormat="false" ht="15" hidden="false" customHeight="false" outlineLevel="0" collapsed="false">
      <c r="A4895" s="27" t="n">
        <v>45905</v>
      </c>
      <c r="B4895" s="28" t="n">
        <v>2025</v>
      </c>
      <c r="C4895" s="28" t="s">
        <v>460</v>
      </c>
      <c r="D4895" s="28" t="s">
        <v>43</v>
      </c>
      <c r="E4895" s="28" t="s">
        <v>749</v>
      </c>
      <c r="F4895" s="28" t="s">
        <v>142</v>
      </c>
      <c r="G4895" s="28" t="s">
        <v>148</v>
      </c>
      <c r="H4895" s="28" t="s">
        <v>799</v>
      </c>
      <c r="I4895" s="29" t="n">
        <v>350000</v>
      </c>
      <c r="J4895" s="29" t="n">
        <v>262500</v>
      </c>
      <c r="K4895" s="28" t="n">
        <v>10.25</v>
      </c>
      <c r="L4895" s="28" t="n">
        <v>120</v>
      </c>
      <c r="M4895" s="28" t="n">
        <v>6</v>
      </c>
    </row>
    <row r="4896" customFormat="false" ht="15" hidden="false" customHeight="false" outlineLevel="0" collapsed="false">
      <c r="A4896" s="27" t="n">
        <v>45905</v>
      </c>
      <c r="B4896" s="28" t="n">
        <v>2025</v>
      </c>
      <c r="C4896" s="28" t="s">
        <v>169</v>
      </c>
      <c r="D4896" s="28" t="s">
        <v>42</v>
      </c>
      <c r="E4896" s="28" t="s">
        <v>717</v>
      </c>
      <c r="F4896" s="28" t="s">
        <v>147</v>
      </c>
      <c r="G4896" s="28" t="s">
        <v>148</v>
      </c>
      <c r="H4896" s="28" t="s">
        <v>205</v>
      </c>
      <c r="I4896" s="29" t="n">
        <v>50000</v>
      </c>
      <c r="J4896" s="29" t="n">
        <v>25000</v>
      </c>
      <c r="K4896" s="28" t="n">
        <v>10.5</v>
      </c>
      <c r="L4896" s="28" t="n">
        <v>120</v>
      </c>
      <c r="M4896" s="28" t="n">
        <v>2</v>
      </c>
    </row>
    <row r="4897" customFormat="false" ht="15" hidden="false" customHeight="false" outlineLevel="0" collapsed="false">
      <c r="A4897" s="27" t="n">
        <v>45905</v>
      </c>
      <c r="B4897" s="28" t="n">
        <v>2025</v>
      </c>
      <c r="C4897" s="28" t="s">
        <v>230</v>
      </c>
      <c r="D4897" s="28" t="s">
        <v>45</v>
      </c>
      <c r="E4897" s="28" t="s">
        <v>872</v>
      </c>
      <c r="F4897" s="28" t="s">
        <v>142</v>
      </c>
      <c r="G4897" s="28" t="s">
        <v>148</v>
      </c>
      <c r="H4897" s="28" t="s">
        <v>771</v>
      </c>
      <c r="I4897" s="29" t="n">
        <v>68000</v>
      </c>
      <c r="J4897" s="29" t="n">
        <v>57800</v>
      </c>
      <c r="K4897" s="28" t="n">
        <v>11.25</v>
      </c>
      <c r="L4897" s="28" t="n">
        <v>120</v>
      </c>
      <c r="M4897" s="28" t="n">
        <v>39</v>
      </c>
    </row>
    <row r="4898" customFormat="false" ht="15" hidden="false" customHeight="false" outlineLevel="0" collapsed="false">
      <c r="A4898" s="27" t="n">
        <v>45906</v>
      </c>
      <c r="B4898" s="28" t="n">
        <v>2025</v>
      </c>
      <c r="C4898" s="28" t="s">
        <v>206</v>
      </c>
      <c r="D4898" s="28" t="s">
        <v>46</v>
      </c>
      <c r="E4898" s="28" t="s">
        <v>807</v>
      </c>
      <c r="F4898" s="28" t="s">
        <v>142</v>
      </c>
      <c r="G4898" s="28" t="s">
        <v>152</v>
      </c>
      <c r="H4898" s="28" t="s">
        <v>149</v>
      </c>
      <c r="I4898" s="29" t="n">
        <v>825000</v>
      </c>
      <c r="J4898" s="29" t="n">
        <v>618750</v>
      </c>
      <c r="K4898" s="28" t="n">
        <v>9.5</v>
      </c>
      <c r="L4898" s="28" t="n">
        <v>120</v>
      </c>
      <c r="M4898" s="28" t="n">
        <v>7</v>
      </c>
    </row>
    <row r="4899" customFormat="false" ht="15" hidden="false" customHeight="false" outlineLevel="0" collapsed="false">
      <c r="A4899" s="27" t="n">
        <v>45908</v>
      </c>
      <c r="B4899" s="28" t="n">
        <v>2025</v>
      </c>
      <c r="C4899" s="28" t="s">
        <v>140</v>
      </c>
      <c r="D4899" s="28" t="s">
        <v>52</v>
      </c>
      <c r="E4899" s="28" t="s">
        <v>1033</v>
      </c>
      <c r="F4899" s="28" t="s">
        <v>142</v>
      </c>
      <c r="G4899" s="28" t="s">
        <v>143</v>
      </c>
      <c r="H4899" s="28" t="s">
        <v>291</v>
      </c>
      <c r="I4899" s="29" t="n">
        <v>900000</v>
      </c>
      <c r="J4899" s="29" t="n">
        <v>675000</v>
      </c>
      <c r="K4899" s="28" t="n">
        <v>9.99</v>
      </c>
      <c r="L4899" s="28" t="n">
        <v>162</v>
      </c>
      <c r="M4899" s="28" t="n">
        <v>10</v>
      </c>
    </row>
    <row r="4900" customFormat="false" ht="15" hidden="false" customHeight="false" outlineLevel="0" collapsed="false">
      <c r="A4900" s="27" t="n">
        <v>45908</v>
      </c>
      <c r="B4900" s="28" t="n">
        <v>2025</v>
      </c>
      <c r="C4900" s="28" t="s">
        <v>206</v>
      </c>
      <c r="D4900" s="28" t="s">
        <v>53</v>
      </c>
      <c r="E4900" s="28" t="s">
        <v>734</v>
      </c>
      <c r="F4900" s="28" t="s">
        <v>147</v>
      </c>
      <c r="G4900" s="28" t="s">
        <v>148</v>
      </c>
      <c r="H4900" s="28" t="s">
        <v>159</v>
      </c>
      <c r="I4900" s="29" t="n">
        <v>250000</v>
      </c>
      <c r="J4900" s="29" t="n">
        <v>125000</v>
      </c>
      <c r="K4900" s="28" t="n">
        <v>12</v>
      </c>
      <c r="L4900" s="28" t="n">
        <v>72</v>
      </c>
      <c r="M4900" s="28" t="n">
        <v>2</v>
      </c>
    </row>
    <row r="4901" customFormat="false" ht="15" hidden="false" customHeight="false" outlineLevel="0" collapsed="false">
      <c r="A4901" s="27" t="n">
        <v>45908</v>
      </c>
      <c r="B4901" s="28" t="n">
        <v>2025</v>
      </c>
      <c r="C4901" s="28" t="s">
        <v>252</v>
      </c>
      <c r="D4901" s="28" t="s">
        <v>44</v>
      </c>
      <c r="E4901" s="28" t="s">
        <v>729</v>
      </c>
      <c r="F4901" s="28" t="s">
        <v>142</v>
      </c>
      <c r="G4901" s="28" t="s">
        <v>148</v>
      </c>
      <c r="H4901" s="28" t="s">
        <v>211</v>
      </c>
      <c r="I4901" s="29" t="n">
        <v>320000</v>
      </c>
      <c r="J4901" s="29" t="n">
        <v>240000</v>
      </c>
      <c r="K4901" s="28" t="n">
        <v>10.25</v>
      </c>
      <c r="L4901" s="28" t="n">
        <v>120</v>
      </c>
      <c r="M4901" s="28" t="n">
        <v>2</v>
      </c>
    </row>
    <row r="4902" customFormat="false" ht="15" hidden="false" customHeight="false" outlineLevel="0" collapsed="false">
      <c r="A4902" s="27" t="n">
        <v>45908</v>
      </c>
      <c r="B4902" s="28" t="n">
        <v>2025</v>
      </c>
      <c r="C4902" s="28" t="s">
        <v>169</v>
      </c>
      <c r="D4902" s="28" t="s">
        <v>44</v>
      </c>
      <c r="E4902" s="28" t="s">
        <v>339</v>
      </c>
      <c r="F4902" s="28" t="s">
        <v>142</v>
      </c>
      <c r="G4902" s="28" t="s">
        <v>148</v>
      </c>
      <c r="H4902" s="28" t="s">
        <v>771</v>
      </c>
      <c r="I4902" s="29" t="n">
        <v>250000</v>
      </c>
      <c r="J4902" s="29" t="n">
        <v>187500</v>
      </c>
      <c r="K4902" s="28" t="n">
        <v>10.5</v>
      </c>
      <c r="L4902" s="28" t="n">
        <v>120</v>
      </c>
      <c r="M4902" s="28" t="n">
        <v>9</v>
      </c>
    </row>
    <row r="4903" customFormat="false" ht="15" hidden="false" customHeight="false" outlineLevel="0" collapsed="false">
      <c r="A4903" s="27" t="n">
        <v>45909</v>
      </c>
      <c r="B4903" s="28" t="n">
        <v>2025</v>
      </c>
      <c r="C4903" s="28" t="s">
        <v>292</v>
      </c>
      <c r="D4903" s="28" t="s">
        <v>46</v>
      </c>
      <c r="E4903" s="28" t="s">
        <v>719</v>
      </c>
      <c r="F4903" s="28" t="s">
        <v>142</v>
      </c>
      <c r="G4903" s="28" t="s">
        <v>143</v>
      </c>
      <c r="H4903" s="28" t="s">
        <v>953</v>
      </c>
      <c r="I4903" s="29" t="n">
        <v>150000</v>
      </c>
      <c r="J4903" s="29" t="n">
        <v>127500</v>
      </c>
      <c r="K4903" s="28" t="n">
        <v>10.5</v>
      </c>
      <c r="L4903" s="28" t="n">
        <v>124</v>
      </c>
      <c r="M4903" s="28" t="n">
        <v>10</v>
      </c>
    </row>
    <row r="4904" customFormat="false" ht="15" hidden="false" customHeight="false" outlineLevel="0" collapsed="false">
      <c r="A4904" s="27" t="n">
        <v>45909</v>
      </c>
      <c r="B4904" s="28" t="n">
        <v>2025</v>
      </c>
      <c r="C4904" s="28" t="s">
        <v>272</v>
      </c>
      <c r="D4904" s="28" t="s">
        <v>44</v>
      </c>
      <c r="E4904" s="28" t="s">
        <v>167</v>
      </c>
      <c r="F4904" s="28" t="s">
        <v>142</v>
      </c>
      <c r="G4904" s="28" t="s">
        <v>148</v>
      </c>
      <c r="H4904" s="28" t="s">
        <v>1150</v>
      </c>
      <c r="I4904" s="29" t="n">
        <v>150000</v>
      </c>
      <c r="J4904" s="29" t="n">
        <v>127500</v>
      </c>
      <c r="K4904" s="28" t="n">
        <v>13.25</v>
      </c>
      <c r="L4904" s="28" t="n">
        <v>120</v>
      </c>
      <c r="M4904" s="28" t="n">
        <v>3</v>
      </c>
    </row>
    <row r="4905" customFormat="false" ht="15" hidden="false" customHeight="false" outlineLevel="0" collapsed="false">
      <c r="A4905" s="27" t="n">
        <v>45909</v>
      </c>
      <c r="B4905" s="28" t="n">
        <v>2025</v>
      </c>
      <c r="C4905" s="28" t="s">
        <v>172</v>
      </c>
      <c r="D4905" s="28" t="s">
        <v>50</v>
      </c>
      <c r="E4905" s="28" t="s">
        <v>507</v>
      </c>
      <c r="F4905" s="28" t="s">
        <v>147</v>
      </c>
      <c r="G4905" s="28" t="s">
        <v>441</v>
      </c>
      <c r="H4905" s="28" t="s">
        <v>205</v>
      </c>
      <c r="I4905" s="29" t="n">
        <v>10000</v>
      </c>
      <c r="J4905" s="29" t="n">
        <v>5000</v>
      </c>
      <c r="K4905" s="28" t="n">
        <v>10.5</v>
      </c>
      <c r="L4905" s="28" t="n">
        <v>120</v>
      </c>
      <c r="M4905" s="28" t="n">
        <v>0</v>
      </c>
    </row>
    <row r="4906" customFormat="false" ht="15" hidden="false" customHeight="false" outlineLevel="0" collapsed="false">
      <c r="A4906" s="27" t="n">
        <v>45909</v>
      </c>
      <c r="B4906" s="28" t="n">
        <v>2025</v>
      </c>
      <c r="C4906" s="28" t="s">
        <v>344</v>
      </c>
      <c r="D4906" s="28" t="s">
        <v>48</v>
      </c>
      <c r="E4906" s="28" t="s">
        <v>277</v>
      </c>
      <c r="F4906" s="28" t="s">
        <v>142</v>
      </c>
      <c r="G4906" s="28" t="s">
        <v>148</v>
      </c>
      <c r="H4906" s="28" t="s">
        <v>211</v>
      </c>
      <c r="I4906" s="29" t="n">
        <v>265000</v>
      </c>
      <c r="J4906" s="29" t="n">
        <v>198750</v>
      </c>
      <c r="K4906" s="28" t="n">
        <v>10.25</v>
      </c>
      <c r="L4906" s="28" t="n">
        <v>120</v>
      </c>
      <c r="M4906" s="28" t="n">
        <v>2</v>
      </c>
    </row>
    <row r="4907" customFormat="false" ht="15" hidden="false" customHeight="false" outlineLevel="0" collapsed="false">
      <c r="A4907" s="27" t="n">
        <v>45910</v>
      </c>
      <c r="B4907" s="28" t="n">
        <v>2025</v>
      </c>
      <c r="C4907" s="28" t="s">
        <v>172</v>
      </c>
      <c r="D4907" s="28" t="s">
        <v>48</v>
      </c>
      <c r="E4907" s="28" t="s">
        <v>767</v>
      </c>
      <c r="F4907" s="28" t="s">
        <v>147</v>
      </c>
      <c r="G4907" s="28" t="s">
        <v>148</v>
      </c>
      <c r="H4907" s="28" t="s">
        <v>159</v>
      </c>
      <c r="I4907" s="29" t="n">
        <v>100000</v>
      </c>
      <c r="J4907" s="29" t="n">
        <v>50000</v>
      </c>
      <c r="K4907" s="28" t="n">
        <v>10.5</v>
      </c>
      <c r="L4907" s="28" t="n">
        <v>120</v>
      </c>
      <c r="M4907" s="28" t="n">
        <v>0</v>
      </c>
    </row>
    <row r="4908" customFormat="false" ht="15" hidden="false" customHeight="false" outlineLevel="0" collapsed="false">
      <c r="A4908" s="27" t="n">
        <v>45910</v>
      </c>
      <c r="B4908" s="28" t="n">
        <v>2025</v>
      </c>
      <c r="C4908" s="28" t="s">
        <v>272</v>
      </c>
      <c r="D4908" s="28" t="s">
        <v>42</v>
      </c>
      <c r="E4908" s="28" t="s">
        <v>753</v>
      </c>
      <c r="F4908" s="28" t="s">
        <v>142</v>
      </c>
      <c r="G4908" s="28" t="s">
        <v>143</v>
      </c>
      <c r="H4908" s="28" t="s">
        <v>211</v>
      </c>
      <c r="I4908" s="29" t="n">
        <v>700000</v>
      </c>
      <c r="J4908" s="29" t="n">
        <v>525000</v>
      </c>
      <c r="K4908" s="28" t="n">
        <v>9</v>
      </c>
      <c r="L4908" s="28" t="n">
        <v>120</v>
      </c>
      <c r="M4908" s="28" t="n">
        <v>27</v>
      </c>
    </row>
    <row r="4909" customFormat="false" ht="15" hidden="false" customHeight="false" outlineLevel="0" collapsed="false">
      <c r="A4909" s="27" t="n">
        <v>45911</v>
      </c>
      <c r="B4909" s="28" t="n">
        <v>2025</v>
      </c>
      <c r="C4909" s="28" t="s">
        <v>206</v>
      </c>
      <c r="D4909" s="28" t="s">
        <v>45</v>
      </c>
      <c r="E4909" s="28" t="s">
        <v>708</v>
      </c>
      <c r="F4909" s="28" t="s">
        <v>142</v>
      </c>
      <c r="G4909" s="28" t="s">
        <v>148</v>
      </c>
      <c r="H4909" s="28" t="s">
        <v>1150</v>
      </c>
      <c r="I4909" s="29" t="n">
        <v>150000</v>
      </c>
      <c r="J4909" s="29" t="n">
        <v>127500</v>
      </c>
      <c r="K4909" s="28" t="n">
        <v>12</v>
      </c>
      <c r="L4909" s="28" t="n">
        <v>120</v>
      </c>
      <c r="M4909" s="28" t="n">
        <v>5</v>
      </c>
    </row>
    <row r="4910" customFormat="false" ht="15" hidden="false" customHeight="false" outlineLevel="0" collapsed="false">
      <c r="A4910" s="27" t="n">
        <v>45911</v>
      </c>
      <c r="B4910" s="28" t="n">
        <v>2025</v>
      </c>
      <c r="C4910" s="28" t="s">
        <v>169</v>
      </c>
      <c r="D4910" s="28" t="s">
        <v>43</v>
      </c>
      <c r="E4910" s="28" t="s">
        <v>952</v>
      </c>
      <c r="F4910" s="28" t="s">
        <v>142</v>
      </c>
      <c r="G4910" s="28" t="s">
        <v>143</v>
      </c>
      <c r="H4910" s="28" t="s">
        <v>605</v>
      </c>
      <c r="I4910" s="29" t="n">
        <v>455000</v>
      </c>
      <c r="J4910" s="29" t="n">
        <v>341250</v>
      </c>
      <c r="K4910" s="28" t="n">
        <v>10.25</v>
      </c>
      <c r="L4910" s="28" t="n">
        <v>126</v>
      </c>
      <c r="M4910" s="28" t="n">
        <v>17</v>
      </c>
    </row>
    <row r="4911" customFormat="false" ht="15" hidden="false" customHeight="false" outlineLevel="0" collapsed="false">
      <c r="A4911" s="27" t="n">
        <v>45911</v>
      </c>
      <c r="B4911" s="28" t="n">
        <v>2025</v>
      </c>
      <c r="C4911" s="28" t="s">
        <v>172</v>
      </c>
      <c r="D4911" s="28" t="s">
        <v>54</v>
      </c>
      <c r="E4911" s="28" t="s">
        <v>791</v>
      </c>
      <c r="F4911" s="28" t="s">
        <v>142</v>
      </c>
      <c r="G4911" s="28" t="s">
        <v>143</v>
      </c>
      <c r="H4911" s="28" t="s">
        <v>291</v>
      </c>
      <c r="I4911" s="29" t="n">
        <v>143000</v>
      </c>
      <c r="J4911" s="29" t="n">
        <v>121550</v>
      </c>
      <c r="K4911" s="28" t="n">
        <v>9.5</v>
      </c>
      <c r="L4911" s="28" t="n">
        <v>60</v>
      </c>
      <c r="M4911" s="28" t="n">
        <v>6</v>
      </c>
    </row>
    <row r="4912" customFormat="false" ht="15" hidden="false" customHeight="false" outlineLevel="0" collapsed="false">
      <c r="A4912" s="27" t="n">
        <v>45911</v>
      </c>
      <c r="B4912" s="28" t="n">
        <v>2025</v>
      </c>
      <c r="C4912" s="28" t="s">
        <v>510</v>
      </c>
      <c r="D4912" s="28" t="s">
        <v>48</v>
      </c>
      <c r="E4912" s="28" t="s">
        <v>704</v>
      </c>
      <c r="F4912" s="28" t="s">
        <v>142</v>
      </c>
      <c r="G4912" s="28" t="s">
        <v>148</v>
      </c>
      <c r="H4912" s="28" t="s">
        <v>287</v>
      </c>
      <c r="I4912" s="29" t="n">
        <v>840000</v>
      </c>
      <c r="J4912" s="29" t="n">
        <v>630000</v>
      </c>
      <c r="K4912" s="28" t="n">
        <v>9.25</v>
      </c>
      <c r="L4912" s="28" t="n">
        <v>120</v>
      </c>
      <c r="M4912" s="28" t="n">
        <v>1</v>
      </c>
    </row>
    <row r="4913" customFormat="false" ht="15" hidden="false" customHeight="false" outlineLevel="0" collapsed="false">
      <c r="A4913" s="27" t="n">
        <v>45911</v>
      </c>
      <c r="B4913" s="28" t="n">
        <v>2025</v>
      </c>
      <c r="C4913" s="28" t="s">
        <v>166</v>
      </c>
      <c r="D4913" s="28" t="s">
        <v>51</v>
      </c>
      <c r="E4913" s="28" t="s">
        <v>800</v>
      </c>
      <c r="F4913" s="28" t="s">
        <v>147</v>
      </c>
      <c r="G4913" s="28" t="s">
        <v>143</v>
      </c>
      <c r="H4913" s="28" t="s">
        <v>251</v>
      </c>
      <c r="I4913" s="29" t="n">
        <v>231000</v>
      </c>
      <c r="J4913" s="29" t="n">
        <v>115500</v>
      </c>
      <c r="K4913" s="28" t="n">
        <v>10.25</v>
      </c>
      <c r="L4913" s="28" t="n">
        <v>126</v>
      </c>
      <c r="M4913" s="28" t="n">
        <v>9</v>
      </c>
    </row>
    <row r="4914" customFormat="false" ht="15" hidden="false" customHeight="false" outlineLevel="0" collapsed="false">
      <c r="A4914" s="27" t="n">
        <v>45912</v>
      </c>
      <c r="B4914" s="28" t="n">
        <v>2025</v>
      </c>
      <c r="C4914" s="28" t="s">
        <v>160</v>
      </c>
      <c r="D4914" s="28" t="s">
        <v>46</v>
      </c>
      <c r="E4914" s="28" t="s">
        <v>719</v>
      </c>
      <c r="F4914" s="28" t="s">
        <v>142</v>
      </c>
      <c r="G4914" s="28" t="s">
        <v>148</v>
      </c>
      <c r="H4914" s="28" t="s">
        <v>953</v>
      </c>
      <c r="I4914" s="29" t="n">
        <v>250000</v>
      </c>
      <c r="J4914" s="29" t="n">
        <v>187500</v>
      </c>
      <c r="K4914" s="28" t="n">
        <v>10.5</v>
      </c>
      <c r="L4914" s="28" t="n">
        <v>120</v>
      </c>
      <c r="M4914" s="28" t="n">
        <v>25</v>
      </c>
    </row>
    <row r="4915" customFormat="false" ht="15" hidden="false" customHeight="false" outlineLevel="0" collapsed="false">
      <c r="A4915" s="27" t="n">
        <v>45912</v>
      </c>
      <c r="B4915" s="28" t="n">
        <v>2025</v>
      </c>
      <c r="C4915" s="28" t="s">
        <v>172</v>
      </c>
      <c r="D4915" s="28" t="s">
        <v>54</v>
      </c>
      <c r="E4915" s="28" t="s">
        <v>833</v>
      </c>
      <c r="F4915" s="28" t="s">
        <v>142</v>
      </c>
      <c r="G4915" s="28" t="s">
        <v>152</v>
      </c>
      <c r="H4915" s="28" t="s">
        <v>501</v>
      </c>
      <c r="I4915" s="29" t="n">
        <v>1060000</v>
      </c>
      <c r="J4915" s="29" t="n">
        <v>795000</v>
      </c>
      <c r="K4915" s="28" t="n">
        <v>10.25</v>
      </c>
      <c r="L4915" s="28" t="n">
        <v>120</v>
      </c>
      <c r="M4915" s="28" t="n">
        <v>0</v>
      </c>
    </row>
    <row r="4916" customFormat="false" ht="15" hidden="false" customHeight="false" outlineLevel="0" collapsed="false">
      <c r="A4916" s="27" t="n">
        <v>45912</v>
      </c>
      <c r="B4916" s="28" t="n">
        <v>2025</v>
      </c>
      <c r="C4916" s="28" t="s">
        <v>213</v>
      </c>
      <c r="D4916" s="28" t="s">
        <v>42</v>
      </c>
      <c r="E4916" s="28" t="s">
        <v>705</v>
      </c>
      <c r="F4916" s="28" t="s">
        <v>142</v>
      </c>
      <c r="G4916" s="28" t="s">
        <v>148</v>
      </c>
      <c r="H4916" s="28" t="s">
        <v>248</v>
      </c>
      <c r="I4916" s="29" t="n">
        <v>1945000</v>
      </c>
      <c r="J4916" s="29" t="n">
        <v>1458750</v>
      </c>
      <c r="K4916" s="28" t="n">
        <v>8.5</v>
      </c>
      <c r="L4916" s="28" t="n">
        <v>300</v>
      </c>
      <c r="M4916" s="28" t="n">
        <v>6</v>
      </c>
    </row>
    <row r="4917" customFormat="false" ht="15" hidden="false" customHeight="false" outlineLevel="0" collapsed="false">
      <c r="A4917" s="27" t="n">
        <v>45912</v>
      </c>
      <c r="B4917" s="28" t="n">
        <v>2025</v>
      </c>
      <c r="C4917" s="28" t="s">
        <v>172</v>
      </c>
      <c r="D4917" s="28" t="s">
        <v>44</v>
      </c>
      <c r="E4917" s="28" t="s">
        <v>167</v>
      </c>
      <c r="F4917" s="28" t="s">
        <v>142</v>
      </c>
      <c r="G4917" s="28" t="s">
        <v>148</v>
      </c>
      <c r="H4917" s="28" t="s">
        <v>771</v>
      </c>
      <c r="I4917" s="29" t="n">
        <v>350000</v>
      </c>
      <c r="J4917" s="29" t="n">
        <v>262500</v>
      </c>
      <c r="K4917" s="28" t="n">
        <v>10.5</v>
      </c>
      <c r="L4917" s="28" t="n">
        <v>120</v>
      </c>
      <c r="M4917" s="28" t="n">
        <v>18</v>
      </c>
    </row>
    <row r="4918" customFormat="false" ht="15" hidden="false" customHeight="false" outlineLevel="0" collapsed="false">
      <c r="A4918" s="27" t="n">
        <v>45912</v>
      </c>
      <c r="B4918" s="28" t="n">
        <v>2025</v>
      </c>
      <c r="C4918" s="28" t="s">
        <v>423</v>
      </c>
      <c r="D4918" s="28" t="s">
        <v>49</v>
      </c>
      <c r="E4918" s="28" t="s">
        <v>778</v>
      </c>
      <c r="F4918" s="28" t="s">
        <v>142</v>
      </c>
      <c r="G4918" s="28" t="s">
        <v>148</v>
      </c>
      <c r="H4918" s="28" t="s">
        <v>592</v>
      </c>
      <c r="I4918" s="29" t="n">
        <v>5000000</v>
      </c>
      <c r="J4918" s="29" t="n">
        <v>3750000</v>
      </c>
      <c r="K4918" s="28" t="n">
        <v>8.75</v>
      </c>
      <c r="L4918" s="28" t="n">
        <v>300</v>
      </c>
      <c r="M4918" s="28" t="n">
        <v>10</v>
      </c>
    </row>
    <row r="4919" customFormat="false" ht="15" hidden="false" customHeight="false" outlineLevel="0" collapsed="false">
      <c r="A4919" s="27" t="n">
        <v>45912</v>
      </c>
      <c r="B4919" s="28" t="n">
        <v>2025</v>
      </c>
      <c r="C4919" s="28" t="s">
        <v>230</v>
      </c>
      <c r="D4919" s="28" t="s">
        <v>46</v>
      </c>
      <c r="E4919" s="28" t="s">
        <v>770</v>
      </c>
      <c r="F4919" s="28" t="s">
        <v>142</v>
      </c>
      <c r="G4919" s="28" t="s">
        <v>441</v>
      </c>
      <c r="H4919" s="28" t="s">
        <v>388</v>
      </c>
      <c r="I4919" s="29" t="n">
        <v>3000000</v>
      </c>
      <c r="J4919" s="29" t="n">
        <v>2250000</v>
      </c>
      <c r="K4919" s="28" t="n">
        <v>9.75</v>
      </c>
      <c r="L4919" s="28" t="n">
        <v>120</v>
      </c>
      <c r="M4919" s="28" t="n">
        <v>13</v>
      </c>
    </row>
    <row r="4920" customFormat="false" ht="15" hidden="false" customHeight="false" outlineLevel="0" collapsed="false">
      <c r="A4920" s="27" t="n">
        <v>45915</v>
      </c>
      <c r="B4920" s="28" t="n">
        <v>2025</v>
      </c>
      <c r="C4920" s="28" t="s">
        <v>145</v>
      </c>
      <c r="D4920" s="28" t="s">
        <v>43</v>
      </c>
      <c r="E4920" s="28" t="s">
        <v>757</v>
      </c>
      <c r="F4920" s="28" t="s">
        <v>142</v>
      </c>
      <c r="G4920" s="28" t="s">
        <v>148</v>
      </c>
      <c r="H4920" s="28" t="s">
        <v>953</v>
      </c>
      <c r="I4920" s="29" t="n">
        <v>200000</v>
      </c>
      <c r="J4920" s="29" t="n">
        <v>150000</v>
      </c>
      <c r="K4920" s="28" t="n">
        <v>10.5</v>
      </c>
      <c r="L4920" s="28" t="n">
        <v>120</v>
      </c>
      <c r="M4920" s="28" t="n">
        <v>6</v>
      </c>
    </row>
    <row r="4921" customFormat="false" ht="15" hidden="false" customHeight="false" outlineLevel="0" collapsed="false">
      <c r="A4921" s="27" t="n">
        <v>45915</v>
      </c>
      <c r="B4921" s="28" t="n">
        <v>2025</v>
      </c>
      <c r="C4921" s="28" t="s">
        <v>292</v>
      </c>
      <c r="D4921" s="28" t="s">
        <v>46</v>
      </c>
      <c r="E4921" s="28" t="s">
        <v>807</v>
      </c>
      <c r="F4921" s="28" t="s">
        <v>142</v>
      </c>
      <c r="G4921" s="28" t="s">
        <v>152</v>
      </c>
      <c r="H4921" s="28" t="s">
        <v>621</v>
      </c>
      <c r="I4921" s="29" t="n">
        <v>3133000</v>
      </c>
      <c r="J4921" s="29" t="n">
        <v>2349750</v>
      </c>
      <c r="K4921" s="28" t="n">
        <v>9.75</v>
      </c>
      <c r="L4921" s="28" t="n">
        <v>120</v>
      </c>
      <c r="M4921" s="28" t="n">
        <v>4</v>
      </c>
    </row>
    <row r="4922" customFormat="false" ht="15" hidden="false" customHeight="false" outlineLevel="0" collapsed="false">
      <c r="A4922" s="27" t="n">
        <v>45915</v>
      </c>
      <c r="B4922" s="28" t="n">
        <v>2025</v>
      </c>
      <c r="C4922" s="28" t="s">
        <v>243</v>
      </c>
      <c r="D4922" s="28" t="s">
        <v>46</v>
      </c>
      <c r="E4922" s="28" t="s">
        <v>813</v>
      </c>
      <c r="F4922" s="28" t="s">
        <v>142</v>
      </c>
      <c r="G4922" s="28" t="s">
        <v>152</v>
      </c>
      <c r="H4922" s="28" t="s">
        <v>144</v>
      </c>
      <c r="I4922" s="29" t="n">
        <v>1026000</v>
      </c>
      <c r="J4922" s="29" t="n">
        <v>769500</v>
      </c>
      <c r="K4922" s="28" t="n">
        <v>8.5</v>
      </c>
      <c r="L4922" s="28" t="n">
        <v>120</v>
      </c>
      <c r="M4922" s="28" t="n">
        <v>6</v>
      </c>
    </row>
    <row r="4923" customFormat="false" ht="15" hidden="false" customHeight="false" outlineLevel="0" collapsed="false">
      <c r="A4923" s="27" t="n">
        <v>45916</v>
      </c>
      <c r="B4923" s="28" t="n">
        <v>2025</v>
      </c>
      <c r="C4923" s="28" t="s">
        <v>172</v>
      </c>
      <c r="D4923" s="28" t="s">
        <v>48</v>
      </c>
      <c r="E4923" s="28" t="s">
        <v>362</v>
      </c>
      <c r="F4923" s="28" t="s">
        <v>142</v>
      </c>
      <c r="G4923" s="28" t="s">
        <v>152</v>
      </c>
      <c r="H4923" s="28" t="s">
        <v>669</v>
      </c>
      <c r="I4923" s="29" t="n">
        <v>300000</v>
      </c>
      <c r="J4923" s="29" t="n">
        <v>225000</v>
      </c>
      <c r="K4923" s="28" t="n">
        <v>10.5</v>
      </c>
      <c r="L4923" s="28" t="n">
        <v>120</v>
      </c>
      <c r="M4923" s="28" t="n">
        <v>3</v>
      </c>
    </row>
    <row r="4924" customFormat="false" ht="15" hidden="false" customHeight="false" outlineLevel="0" collapsed="false">
      <c r="A4924" s="27" t="n">
        <v>45916</v>
      </c>
      <c r="B4924" s="28" t="n">
        <v>2025</v>
      </c>
      <c r="C4924" s="28" t="s">
        <v>172</v>
      </c>
      <c r="D4924" s="28" t="s">
        <v>51</v>
      </c>
      <c r="E4924" s="28" t="s">
        <v>779</v>
      </c>
      <c r="F4924" s="28" t="s">
        <v>142</v>
      </c>
      <c r="G4924" s="28" t="s">
        <v>148</v>
      </c>
      <c r="H4924" s="28" t="s">
        <v>144</v>
      </c>
      <c r="I4924" s="29" t="n">
        <v>200000</v>
      </c>
      <c r="J4924" s="29" t="n">
        <v>150000</v>
      </c>
      <c r="K4924" s="28" t="n">
        <v>9.99</v>
      </c>
      <c r="L4924" s="28" t="n">
        <v>120</v>
      </c>
      <c r="M4924" s="28" t="n">
        <v>2</v>
      </c>
    </row>
    <row r="4925" customFormat="false" ht="15" hidden="false" customHeight="false" outlineLevel="0" collapsed="false">
      <c r="A4925" s="27" t="n">
        <v>45916</v>
      </c>
      <c r="B4925" s="28" t="n">
        <v>2025</v>
      </c>
      <c r="C4925" s="28" t="s">
        <v>169</v>
      </c>
      <c r="D4925" s="28" t="s">
        <v>43</v>
      </c>
      <c r="E4925" s="28" t="s">
        <v>952</v>
      </c>
      <c r="F4925" s="28" t="s">
        <v>142</v>
      </c>
      <c r="G4925" s="28" t="s">
        <v>148</v>
      </c>
      <c r="H4925" s="28" t="s">
        <v>799</v>
      </c>
      <c r="I4925" s="29" t="n">
        <v>100000</v>
      </c>
      <c r="J4925" s="29" t="n">
        <v>85000</v>
      </c>
      <c r="K4925" s="28" t="n">
        <v>10.25</v>
      </c>
      <c r="L4925" s="28" t="n">
        <v>120</v>
      </c>
      <c r="M4925" s="28" t="n">
        <v>26</v>
      </c>
    </row>
    <row r="4926" customFormat="false" ht="15" hidden="false" customHeight="false" outlineLevel="0" collapsed="false">
      <c r="A4926" s="27" t="n">
        <v>45916</v>
      </c>
      <c r="B4926" s="28" t="n">
        <v>2025</v>
      </c>
      <c r="C4926" s="28" t="s">
        <v>160</v>
      </c>
      <c r="D4926" s="28" t="s">
        <v>51</v>
      </c>
      <c r="E4926" s="28" t="s">
        <v>800</v>
      </c>
      <c r="F4926" s="28" t="s">
        <v>142</v>
      </c>
      <c r="G4926" s="28" t="s">
        <v>148</v>
      </c>
      <c r="H4926" s="28" t="s">
        <v>953</v>
      </c>
      <c r="I4926" s="29" t="n">
        <v>1275000</v>
      </c>
      <c r="J4926" s="29" t="n">
        <v>956250</v>
      </c>
      <c r="K4926" s="28" t="n">
        <v>10.5</v>
      </c>
      <c r="L4926" s="28" t="n">
        <v>126</v>
      </c>
      <c r="M4926" s="28" t="n">
        <v>10</v>
      </c>
    </row>
    <row r="4927" customFormat="false" ht="15" hidden="false" customHeight="false" outlineLevel="0" collapsed="false">
      <c r="A4927" s="27" t="n">
        <v>45916</v>
      </c>
      <c r="B4927" s="28" t="n">
        <v>2025</v>
      </c>
      <c r="C4927" s="28" t="s">
        <v>252</v>
      </c>
      <c r="D4927" s="28" t="s">
        <v>44</v>
      </c>
      <c r="E4927" s="28" t="s">
        <v>759</v>
      </c>
      <c r="F4927" s="28" t="s">
        <v>142</v>
      </c>
      <c r="G4927" s="28" t="s">
        <v>441</v>
      </c>
      <c r="H4927" s="28" t="s">
        <v>605</v>
      </c>
      <c r="I4927" s="29" t="n">
        <v>100000</v>
      </c>
      <c r="J4927" s="29" t="n">
        <v>85000</v>
      </c>
      <c r="K4927" s="28" t="n">
        <v>10.5</v>
      </c>
      <c r="L4927" s="28" t="n">
        <v>120</v>
      </c>
      <c r="M4927" s="28" t="n">
        <v>12</v>
      </c>
    </row>
    <row r="4928" customFormat="false" ht="15" hidden="false" customHeight="false" outlineLevel="0" collapsed="false">
      <c r="A4928" s="27" t="n">
        <v>45916</v>
      </c>
      <c r="B4928" s="28" t="n">
        <v>2025</v>
      </c>
      <c r="C4928" s="28" t="s">
        <v>172</v>
      </c>
      <c r="D4928" s="28" t="s">
        <v>42</v>
      </c>
      <c r="E4928" s="28" t="s">
        <v>717</v>
      </c>
      <c r="F4928" s="28" t="s">
        <v>142</v>
      </c>
      <c r="G4928" s="28" t="s">
        <v>152</v>
      </c>
      <c r="H4928" s="28" t="s">
        <v>592</v>
      </c>
      <c r="I4928" s="29" t="n">
        <v>150000</v>
      </c>
      <c r="J4928" s="29" t="n">
        <v>127500</v>
      </c>
      <c r="K4928" s="28" t="n">
        <v>9.75</v>
      </c>
      <c r="L4928" s="28" t="n">
        <v>120</v>
      </c>
      <c r="M4928" s="28" t="n">
        <v>5</v>
      </c>
    </row>
    <row r="4929" customFormat="false" ht="15" hidden="false" customHeight="false" outlineLevel="0" collapsed="false">
      <c r="A4929" s="27" t="n">
        <v>45916</v>
      </c>
      <c r="B4929" s="28" t="n">
        <v>2025</v>
      </c>
      <c r="C4929" s="28" t="s">
        <v>172</v>
      </c>
      <c r="D4929" s="28" t="s">
        <v>43</v>
      </c>
      <c r="E4929" s="28" t="s">
        <v>788</v>
      </c>
      <c r="F4929" s="28" t="s">
        <v>142</v>
      </c>
      <c r="G4929" s="28" t="s">
        <v>148</v>
      </c>
      <c r="H4929" s="28" t="s">
        <v>1150</v>
      </c>
      <c r="I4929" s="29" t="n">
        <v>200000</v>
      </c>
      <c r="J4929" s="29" t="n">
        <v>150000</v>
      </c>
      <c r="K4929" s="28" t="n">
        <v>10.5</v>
      </c>
      <c r="L4929" s="28" t="n">
        <v>120</v>
      </c>
      <c r="M4929" s="28" t="n">
        <v>12</v>
      </c>
    </row>
    <row r="4930" customFormat="false" ht="15" hidden="false" customHeight="false" outlineLevel="0" collapsed="false">
      <c r="A4930" s="27" t="n">
        <v>45917</v>
      </c>
      <c r="B4930" s="28" t="n">
        <v>2025</v>
      </c>
      <c r="C4930" s="28" t="s">
        <v>316</v>
      </c>
      <c r="D4930" s="28" t="s">
        <v>50</v>
      </c>
      <c r="E4930" s="28" t="s">
        <v>711</v>
      </c>
      <c r="F4930" s="28" t="s">
        <v>142</v>
      </c>
      <c r="G4930" s="28" t="s">
        <v>441</v>
      </c>
      <c r="H4930" s="28" t="s">
        <v>144</v>
      </c>
      <c r="I4930" s="29" t="n">
        <v>300000</v>
      </c>
      <c r="J4930" s="29" t="n">
        <v>225000</v>
      </c>
      <c r="K4930" s="28" t="n">
        <v>9.5</v>
      </c>
      <c r="L4930" s="28" t="n">
        <v>120</v>
      </c>
      <c r="M4930" s="28" t="n">
        <v>10</v>
      </c>
    </row>
    <row r="4931" customFormat="false" ht="15" hidden="false" customHeight="false" outlineLevel="0" collapsed="false">
      <c r="A4931" s="27" t="n">
        <v>45917</v>
      </c>
      <c r="B4931" s="28" t="n">
        <v>2025</v>
      </c>
      <c r="C4931" s="28" t="s">
        <v>166</v>
      </c>
      <c r="D4931" s="28" t="s">
        <v>44</v>
      </c>
      <c r="E4931" s="28" t="s">
        <v>755</v>
      </c>
      <c r="F4931" s="28" t="s">
        <v>147</v>
      </c>
      <c r="G4931" s="28" t="s">
        <v>143</v>
      </c>
      <c r="H4931" s="28" t="s">
        <v>162</v>
      </c>
      <c r="I4931" s="29" t="n">
        <v>215600</v>
      </c>
      <c r="J4931" s="29" t="n">
        <v>107800</v>
      </c>
      <c r="K4931" s="28" t="n">
        <v>6.03</v>
      </c>
      <c r="L4931" s="28" t="n">
        <v>300</v>
      </c>
      <c r="M4931" s="28" t="n">
        <v>8</v>
      </c>
    </row>
    <row r="4932" customFormat="false" ht="15" hidden="false" customHeight="false" outlineLevel="0" collapsed="false">
      <c r="A4932" s="27" t="n">
        <v>45917</v>
      </c>
      <c r="B4932" s="28" t="n">
        <v>2025</v>
      </c>
      <c r="C4932" s="28" t="s">
        <v>300</v>
      </c>
      <c r="D4932" s="28" t="s">
        <v>44</v>
      </c>
      <c r="E4932" s="28" t="s">
        <v>729</v>
      </c>
      <c r="F4932" s="28" t="s">
        <v>147</v>
      </c>
      <c r="G4932" s="28" t="s">
        <v>441</v>
      </c>
      <c r="H4932" s="28" t="s">
        <v>168</v>
      </c>
      <c r="I4932" s="29" t="n">
        <v>45000</v>
      </c>
      <c r="J4932" s="29" t="n">
        <v>22500</v>
      </c>
      <c r="K4932" s="28" t="n">
        <v>12</v>
      </c>
      <c r="L4932" s="28" t="n">
        <v>120</v>
      </c>
      <c r="M4932" s="28" t="n">
        <v>1</v>
      </c>
    </row>
    <row r="4933" customFormat="false" ht="15" hidden="false" customHeight="false" outlineLevel="0" collapsed="false">
      <c r="A4933" s="27" t="n">
        <v>45917</v>
      </c>
      <c r="B4933" s="28" t="n">
        <v>2025</v>
      </c>
      <c r="C4933" s="28" t="s">
        <v>172</v>
      </c>
      <c r="D4933" s="28" t="s">
        <v>47</v>
      </c>
      <c r="E4933" s="28" t="s">
        <v>817</v>
      </c>
      <c r="F4933" s="28" t="s">
        <v>142</v>
      </c>
      <c r="G4933" s="28" t="s">
        <v>148</v>
      </c>
      <c r="H4933" s="28" t="s">
        <v>953</v>
      </c>
      <c r="I4933" s="29" t="n">
        <v>100000</v>
      </c>
      <c r="J4933" s="29" t="n">
        <v>85000</v>
      </c>
      <c r="K4933" s="28" t="n">
        <v>10.5</v>
      </c>
      <c r="L4933" s="28" t="n">
        <v>120</v>
      </c>
      <c r="M4933" s="28" t="n">
        <v>3</v>
      </c>
    </row>
    <row r="4934" customFormat="false" ht="15" hidden="false" customHeight="false" outlineLevel="0" collapsed="false">
      <c r="A4934" s="27" t="n">
        <v>45918</v>
      </c>
      <c r="B4934" s="28" t="n">
        <v>2025</v>
      </c>
      <c r="C4934" s="28" t="s">
        <v>169</v>
      </c>
      <c r="D4934" s="28" t="s">
        <v>42</v>
      </c>
      <c r="E4934" s="28" t="s">
        <v>717</v>
      </c>
      <c r="F4934" s="28" t="s">
        <v>147</v>
      </c>
      <c r="G4934" s="28" t="s">
        <v>441</v>
      </c>
      <c r="H4934" s="28" t="s">
        <v>605</v>
      </c>
      <c r="I4934" s="29" t="n">
        <v>150000</v>
      </c>
      <c r="J4934" s="29" t="n">
        <v>75000</v>
      </c>
      <c r="K4934" s="28" t="n">
        <v>10.5</v>
      </c>
      <c r="L4934" s="28" t="n">
        <v>120</v>
      </c>
      <c r="M4934" s="28" t="n">
        <v>62</v>
      </c>
    </row>
    <row r="4935" customFormat="false" ht="15" hidden="false" customHeight="false" outlineLevel="0" collapsed="false">
      <c r="A4935" s="27" t="n">
        <v>45918</v>
      </c>
      <c r="B4935" s="28" t="n">
        <v>2025</v>
      </c>
      <c r="C4935" s="28" t="s">
        <v>160</v>
      </c>
      <c r="D4935" s="28" t="s">
        <v>42</v>
      </c>
      <c r="E4935" s="28" t="s">
        <v>717</v>
      </c>
      <c r="F4935" s="28" t="s">
        <v>142</v>
      </c>
      <c r="G4935" s="28" t="s">
        <v>148</v>
      </c>
      <c r="H4935" s="28" t="s">
        <v>1167</v>
      </c>
      <c r="I4935" s="29" t="n">
        <v>350000</v>
      </c>
      <c r="J4935" s="29" t="n">
        <v>262500</v>
      </c>
      <c r="K4935" s="28" t="n">
        <v>9.5</v>
      </c>
      <c r="L4935" s="28" t="n">
        <v>120</v>
      </c>
      <c r="M4935" s="28" t="n">
        <v>37</v>
      </c>
    </row>
    <row r="4936" customFormat="false" ht="15" hidden="false" customHeight="false" outlineLevel="0" collapsed="false">
      <c r="A4936" s="27" t="n">
        <v>45918</v>
      </c>
      <c r="B4936" s="28" t="n">
        <v>2025</v>
      </c>
      <c r="C4936" s="28" t="s">
        <v>206</v>
      </c>
      <c r="D4936" s="28" t="s">
        <v>42</v>
      </c>
      <c r="E4936" s="28" t="s">
        <v>176</v>
      </c>
      <c r="F4936" s="28" t="s">
        <v>147</v>
      </c>
      <c r="G4936" s="28" t="s">
        <v>441</v>
      </c>
      <c r="H4936" s="28" t="s">
        <v>159</v>
      </c>
      <c r="I4936" s="29" t="n">
        <v>55000</v>
      </c>
      <c r="J4936" s="29" t="n">
        <v>27500</v>
      </c>
      <c r="K4936" s="28" t="n">
        <v>10.75</v>
      </c>
      <c r="L4936" s="28" t="n">
        <v>36</v>
      </c>
      <c r="M4936" s="28" t="n">
        <v>13</v>
      </c>
    </row>
    <row r="4937" customFormat="false" ht="15" hidden="false" customHeight="false" outlineLevel="0" collapsed="false">
      <c r="A4937" s="27" t="n">
        <v>45918</v>
      </c>
      <c r="B4937" s="28" t="n">
        <v>2025</v>
      </c>
      <c r="C4937" s="28" t="s">
        <v>172</v>
      </c>
      <c r="D4937" s="28" t="s">
        <v>44</v>
      </c>
      <c r="E4937" s="28" t="s">
        <v>730</v>
      </c>
      <c r="F4937" s="28" t="s">
        <v>142</v>
      </c>
      <c r="G4937" s="28" t="s">
        <v>143</v>
      </c>
      <c r="H4937" s="28" t="s">
        <v>501</v>
      </c>
      <c r="I4937" s="29" t="n">
        <v>821000</v>
      </c>
      <c r="J4937" s="29" t="n">
        <v>615750</v>
      </c>
      <c r="K4937" s="28" t="n">
        <v>10.25</v>
      </c>
      <c r="L4937" s="28" t="n">
        <v>123</v>
      </c>
      <c r="M4937" s="28" t="n">
        <v>0</v>
      </c>
    </row>
    <row r="4938" customFormat="false" ht="15" hidden="false" customHeight="false" outlineLevel="0" collapsed="false">
      <c r="A4938" s="27" t="n">
        <v>45918</v>
      </c>
      <c r="B4938" s="28" t="n">
        <v>2025</v>
      </c>
      <c r="C4938" s="28" t="s">
        <v>172</v>
      </c>
      <c r="D4938" s="28" t="s">
        <v>50</v>
      </c>
      <c r="E4938" s="28" t="s">
        <v>877</v>
      </c>
      <c r="F4938" s="28" t="s">
        <v>142</v>
      </c>
      <c r="G4938" s="28" t="s">
        <v>143</v>
      </c>
      <c r="H4938" s="28" t="s">
        <v>693</v>
      </c>
      <c r="I4938" s="29" t="n">
        <v>300000</v>
      </c>
      <c r="J4938" s="29" t="n">
        <v>225000</v>
      </c>
      <c r="K4938" s="28" t="n">
        <v>10.5</v>
      </c>
      <c r="L4938" s="28" t="n">
        <v>120</v>
      </c>
      <c r="M4938" s="28" t="n">
        <v>3</v>
      </c>
    </row>
    <row r="4939" customFormat="false" ht="15" hidden="false" customHeight="false" outlineLevel="0" collapsed="false">
      <c r="A4939" s="27" t="n">
        <v>45919</v>
      </c>
      <c r="B4939" s="28" t="n">
        <v>2025</v>
      </c>
      <c r="C4939" s="28" t="s">
        <v>166</v>
      </c>
      <c r="D4939" s="28" t="s">
        <v>45</v>
      </c>
      <c r="E4939" s="28" t="s">
        <v>874</v>
      </c>
      <c r="F4939" s="28" t="s">
        <v>142</v>
      </c>
      <c r="G4939" s="28" t="s">
        <v>148</v>
      </c>
      <c r="H4939" s="28" t="s">
        <v>438</v>
      </c>
      <c r="I4939" s="29" t="n">
        <v>622000</v>
      </c>
      <c r="J4939" s="29" t="n">
        <v>466500</v>
      </c>
      <c r="K4939" s="28" t="n">
        <v>9.5</v>
      </c>
      <c r="L4939" s="28" t="n">
        <v>300</v>
      </c>
      <c r="M4939" s="28" t="n">
        <v>1</v>
      </c>
    </row>
    <row r="4940" customFormat="false" ht="15" hidden="false" customHeight="false" outlineLevel="0" collapsed="false">
      <c r="A4940" s="27" t="n">
        <v>45922</v>
      </c>
      <c r="B4940" s="28" t="n">
        <v>2025</v>
      </c>
      <c r="C4940" s="28" t="s">
        <v>172</v>
      </c>
      <c r="D4940" s="28" t="s">
        <v>44</v>
      </c>
      <c r="E4940" s="28" t="s">
        <v>167</v>
      </c>
      <c r="F4940" s="28" t="s">
        <v>142</v>
      </c>
      <c r="G4940" s="28" t="s">
        <v>441</v>
      </c>
      <c r="H4940" s="28" t="s">
        <v>470</v>
      </c>
      <c r="I4940" s="29" t="n">
        <v>150000</v>
      </c>
      <c r="J4940" s="29" t="n">
        <v>127500</v>
      </c>
      <c r="K4940" s="28" t="n">
        <v>9</v>
      </c>
      <c r="L4940" s="28" t="n">
        <v>120</v>
      </c>
      <c r="M4940" s="28" t="n">
        <v>10</v>
      </c>
    </row>
    <row r="4941" customFormat="false" ht="15" hidden="false" customHeight="false" outlineLevel="0" collapsed="false">
      <c r="A4941" s="27" t="n">
        <v>45922</v>
      </c>
      <c r="B4941" s="28" t="n">
        <v>2025</v>
      </c>
      <c r="C4941" s="28" t="s">
        <v>235</v>
      </c>
      <c r="D4941" s="28" t="s">
        <v>51</v>
      </c>
      <c r="E4941" s="28" t="s">
        <v>779</v>
      </c>
      <c r="F4941" s="28" t="s">
        <v>142</v>
      </c>
      <c r="G4941" s="28" t="s">
        <v>148</v>
      </c>
      <c r="H4941" s="28" t="s">
        <v>168</v>
      </c>
      <c r="I4941" s="29" t="n">
        <v>562300</v>
      </c>
      <c r="J4941" s="29" t="n">
        <v>421725</v>
      </c>
      <c r="K4941" s="28" t="n">
        <v>7</v>
      </c>
      <c r="L4941" s="28" t="n">
        <v>180</v>
      </c>
      <c r="M4941" s="28" t="n">
        <v>4</v>
      </c>
    </row>
    <row r="4942" customFormat="false" ht="15" hidden="false" customHeight="false" outlineLevel="0" collapsed="false">
      <c r="A4942" s="27" t="n">
        <v>45922</v>
      </c>
      <c r="B4942" s="28" t="n">
        <v>2025</v>
      </c>
      <c r="C4942" s="28" t="s">
        <v>310</v>
      </c>
      <c r="D4942" s="28" t="s">
        <v>47</v>
      </c>
      <c r="E4942" s="28" t="s">
        <v>327</v>
      </c>
      <c r="F4942" s="28" t="s">
        <v>142</v>
      </c>
      <c r="G4942" s="28" t="s">
        <v>148</v>
      </c>
      <c r="H4942" s="28" t="s">
        <v>469</v>
      </c>
      <c r="I4942" s="29" t="n">
        <v>139800</v>
      </c>
      <c r="J4942" s="29" t="n">
        <v>104850</v>
      </c>
      <c r="K4942" s="28" t="n">
        <v>5.95</v>
      </c>
      <c r="L4942" s="28" t="n">
        <v>119</v>
      </c>
      <c r="M4942" s="28" t="n">
        <v>0</v>
      </c>
    </row>
    <row r="4943" customFormat="false" ht="15" hidden="false" customHeight="false" outlineLevel="0" collapsed="false">
      <c r="A4943" s="27" t="n">
        <v>45922</v>
      </c>
      <c r="B4943" s="28" t="n">
        <v>2025</v>
      </c>
      <c r="C4943" s="28" t="s">
        <v>163</v>
      </c>
      <c r="D4943" s="28" t="s">
        <v>43</v>
      </c>
      <c r="E4943" s="28" t="s">
        <v>914</v>
      </c>
      <c r="F4943" s="28" t="s">
        <v>142</v>
      </c>
      <c r="G4943" s="28" t="s">
        <v>152</v>
      </c>
      <c r="H4943" s="28" t="s">
        <v>281</v>
      </c>
      <c r="I4943" s="29" t="n">
        <v>672100</v>
      </c>
      <c r="J4943" s="29" t="n">
        <v>504075</v>
      </c>
      <c r="K4943" s="28" t="n">
        <v>9.25</v>
      </c>
      <c r="L4943" s="28" t="n">
        <v>120</v>
      </c>
      <c r="M4943" s="28" t="n">
        <v>14</v>
      </c>
    </row>
    <row r="4944" customFormat="false" ht="15" hidden="false" customHeight="false" outlineLevel="0" collapsed="false">
      <c r="A4944" s="27" t="n">
        <v>45922</v>
      </c>
      <c r="B4944" s="28" t="n">
        <v>2025</v>
      </c>
      <c r="C4944" s="28" t="s">
        <v>160</v>
      </c>
      <c r="D4944" s="28" t="s">
        <v>45</v>
      </c>
      <c r="E4944" s="28" t="s">
        <v>222</v>
      </c>
      <c r="F4944" s="28" t="s">
        <v>142</v>
      </c>
      <c r="G4944" s="28" t="s">
        <v>148</v>
      </c>
      <c r="H4944" s="28" t="s">
        <v>953</v>
      </c>
      <c r="I4944" s="29" t="n">
        <v>350000</v>
      </c>
      <c r="J4944" s="29" t="n">
        <v>262500</v>
      </c>
      <c r="K4944" s="28" t="n">
        <v>10.5</v>
      </c>
      <c r="L4944" s="28" t="n">
        <v>120</v>
      </c>
      <c r="M4944" s="28" t="n">
        <v>6</v>
      </c>
    </row>
    <row r="4945" customFormat="false" ht="15" hidden="false" customHeight="false" outlineLevel="0" collapsed="false">
      <c r="A4945" s="27" t="n">
        <v>45923</v>
      </c>
      <c r="B4945" s="28" t="n">
        <v>2025</v>
      </c>
      <c r="C4945" s="28" t="s">
        <v>169</v>
      </c>
      <c r="D4945" s="28" t="s">
        <v>50</v>
      </c>
      <c r="E4945" s="28" t="s">
        <v>877</v>
      </c>
      <c r="F4945" s="28" t="s">
        <v>147</v>
      </c>
      <c r="G4945" s="28" t="s">
        <v>148</v>
      </c>
      <c r="H4945" s="28" t="s">
        <v>159</v>
      </c>
      <c r="I4945" s="29" t="n">
        <v>57500</v>
      </c>
      <c r="J4945" s="29" t="n">
        <v>28750</v>
      </c>
      <c r="K4945" s="28" t="n">
        <v>9.5</v>
      </c>
      <c r="L4945" s="28" t="n">
        <v>60</v>
      </c>
      <c r="M4945" s="28" t="n">
        <v>1</v>
      </c>
    </row>
    <row r="4946" customFormat="false" ht="15" hidden="false" customHeight="false" outlineLevel="0" collapsed="false">
      <c r="A4946" s="27" t="n">
        <v>45923</v>
      </c>
      <c r="B4946" s="28" t="n">
        <v>2025</v>
      </c>
      <c r="C4946" s="28" t="s">
        <v>169</v>
      </c>
      <c r="D4946" s="28" t="s">
        <v>50</v>
      </c>
      <c r="E4946" s="28" t="s">
        <v>877</v>
      </c>
      <c r="F4946" s="28" t="s">
        <v>194</v>
      </c>
      <c r="G4946" s="28" t="s">
        <v>148</v>
      </c>
      <c r="H4946" s="28" t="s">
        <v>1168</v>
      </c>
      <c r="I4946" s="29" t="n">
        <v>350000</v>
      </c>
      <c r="J4946" s="29" t="n">
        <v>262500</v>
      </c>
      <c r="K4946" s="28" t="n">
        <v>11</v>
      </c>
      <c r="L4946" s="28" t="n">
        <v>120</v>
      </c>
      <c r="M4946" s="28" t="n">
        <v>13</v>
      </c>
    </row>
    <row r="4947" customFormat="false" ht="15" hidden="false" customHeight="false" outlineLevel="0" collapsed="false">
      <c r="A4947" s="27" t="n">
        <v>45923</v>
      </c>
      <c r="B4947" s="28" t="n">
        <v>2025</v>
      </c>
      <c r="C4947" s="28" t="s">
        <v>145</v>
      </c>
      <c r="D4947" s="28" t="s">
        <v>48</v>
      </c>
      <c r="E4947" s="28" t="s">
        <v>815</v>
      </c>
      <c r="F4947" s="28" t="s">
        <v>142</v>
      </c>
      <c r="G4947" s="28" t="s">
        <v>152</v>
      </c>
      <c r="H4947" s="28" t="s">
        <v>165</v>
      </c>
      <c r="I4947" s="29" t="n">
        <v>5000000</v>
      </c>
      <c r="J4947" s="29" t="n">
        <v>3750000</v>
      </c>
      <c r="K4947" s="28" t="n">
        <v>8.99</v>
      </c>
      <c r="L4947" s="28" t="n">
        <v>120</v>
      </c>
      <c r="M4947" s="28" t="n">
        <v>50</v>
      </c>
    </row>
    <row r="4948" customFormat="false" ht="15" hidden="false" customHeight="false" outlineLevel="0" collapsed="false">
      <c r="A4948" s="27" t="n">
        <v>45923</v>
      </c>
      <c r="B4948" s="28" t="n">
        <v>2025</v>
      </c>
      <c r="C4948" s="28" t="s">
        <v>163</v>
      </c>
      <c r="D4948" s="28" t="s">
        <v>42</v>
      </c>
      <c r="E4948" s="28" t="s">
        <v>784</v>
      </c>
      <c r="F4948" s="28" t="s">
        <v>142</v>
      </c>
      <c r="G4948" s="28" t="s">
        <v>143</v>
      </c>
      <c r="H4948" s="28" t="s">
        <v>149</v>
      </c>
      <c r="I4948" s="29" t="n">
        <v>1576000</v>
      </c>
      <c r="J4948" s="29" t="n">
        <v>1182000</v>
      </c>
      <c r="K4948" s="28" t="n">
        <v>9</v>
      </c>
      <c r="L4948" s="28" t="n">
        <v>126</v>
      </c>
      <c r="M4948" s="28" t="n">
        <v>36</v>
      </c>
    </row>
    <row r="4949" customFormat="false" ht="15" hidden="false" customHeight="false" outlineLevel="0" collapsed="false">
      <c r="A4949" s="27" t="n">
        <v>45923</v>
      </c>
      <c r="B4949" s="28" t="n">
        <v>2025</v>
      </c>
      <c r="C4949" s="28" t="s">
        <v>353</v>
      </c>
      <c r="D4949" s="28" t="s">
        <v>51</v>
      </c>
      <c r="E4949" s="28" t="s">
        <v>800</v>
      </c>
      <c r="F4949" s="28" t="s">
        <v>142</v>
      </c>
      <c r="G4949" s="28" t="s">
        <v>143</v>
      </c>
      <c r="H4949" s="28" t="s">
        <v>621</v>
      </c>
      <c r="I4949" s="29" t="n">
        <v>1390000</v>
      </c>
      <c r="J4949" s="29" t="n">
        <v>1042500</v>
      </c>
      <c r="K4949" s="28" t="n">
        <v>9.25</v>
      </c>
      <c r="L4949" s="28" t="n">
        <v>132</v>
      </c>
      <c r="M4949" s="28" t="n">
        <v>7</v>
      </c>
    </row>
    <row r="4950" customFormat="false" ht="15" hidden="false" customHeight="false" outlineLevel="0" collapsed="false">
      <c r="A4950" s="27" t="n">
        <v>45924</v>
      </c>
      <c r="B4950" s="28" t="n">
        <v>2025</v>
      </c>
      <c r="C4950" s="28" t="s">
        <v>216</v>
      </c>
      <c r="D4950" s="28" t="s">
        <v>50</v>
      </c>
      <c r="E4950" s="28" t="s">
        <v>1018</v>
      </c>
      <c r="F4950" s="28" t="s">
        <v>142</v>
      </c>
      <c r="G4950" s="28" t="s">
        <v>148</v>
      </c>
      <c r="H4950" s="28" t="s">
        <v>287</v>
      </c>
      <c r="I4950" s="29" t="n">
        <v>220000</v>
      </c>
      <c r="J4950" s="29" t="n">
        <v>165000</v>
      </c>
      <c r="K4950" s="28" t="n">
        <v>10.25</v>
      </c>
      <c r="L4950" s="28" t="n">
        <v>120</v>
      </c>
      <c r="M4950" s="28" t="n">
        <v>1</v>
      </c>
    </row>
    <row r="4951" customFormat="false" ht="15" hidden="false" customHeight="false" outlineLevel="0" collapsed="false">
      <c r="A4951" s="27" t="n">
        <v>45924</v>
      </c>
      <c r="B4951" s="28" t="n">
        <v>2025</v>
      </c>
      <c r="C4951" s="28" t="s">
        <v>145</v>
      </c>
      <c r="D4951" s="28" t="s">
        <v>46</v>
      </c>
      <c r="E4951" s="28" t="s">
        <v>770</v>
      </c>
      <c r="F4951" s="28" t="s">
        <v>142</v>
      </c>
      <c r="G4951" s="28" t="s">
        <v>441</v>
      </c>
      <c r="H4951" s="28" t="s">
        <v>799</v>
      </c>
      <c r="I4951" s="29" t="n">
        <v>788000</v>
      </c>
      <c r="J4951" s="29" t="n">
        <v>591000</v>
      </c>
      <c r="K4951" s="28" t="n">
        <v>9</v>
      </c>
      <c r="L4951" s="28" t="n">
        <v>126</v>
      </c>
      <c r="M4951" s="28" t="n">
        <v>59</v>
      </c>
    </row>
    <row r="4952" customFormat="false" ht="15" hidden="false" customHeight="false" outlineLevel="0" collapsed="false">
      <c r="A4952" s="27" t="n">
        <v>45925</v>
      </c>
      <c r="B4952" s="28" t="n">
        <v>2025</v>
      </c>
      <c r="C4952" s="28" t="s">
        <v>166</v>
      </c>
      <c r="D4952" s="28" t="s">
        <v>50</v>
      </c>
      <c r="E4952" s="28" t="s">
        <v>724</v>
      </c>
      <c r="F4952" s="28" t="s">
        <v>147</v>
      </c>
      <c r="G4952" s="28" t="s">
        <v>148</v>
      </c>
      <c r="H4952" s="28" t="s">
        <v>205</v>
      </c>
      <c r="I4952" s="29" t="n">
        <v>63000</v>
      </c>
      <c r="J4952" s="29" t="n">
        <v>31500</v>
      </c>
      <c r="K4952" s="28" t="n">
        <v>10.5</v>
      </c>
      <c r="L4952" s="28" t="n">
        <v>120</v>
      </c>
      <c r="M4952" s="28" t="n">
        <v>0</v>
      </c>
    </row>
    <row r="4953" customFormat="false" ht="15" hidden="false" customHeight="false" outlineLevel="0" collapsed="false">
      <c r="A4953" s="27" t="n">
        <v>45925</v>
      </c>
      <c r="B4953" s="28" t="n">
        <v>2025</v>
      </c>
      <c r="C4953" s="28" t="s">
        <v>206</v>
      </c>
      <c r="D4953" s="28" t="s">
        <v>46</v>
      </c>
      <c r="E4953" s="28" t="s">
        <v>770</v>
      </c>
      <c r="F4953" s="28" t="s">
        <v>147</v>
      </c>
      <c r="G4953" s="28" t="s">
        <v>148</v>
      </c>
      <c r="H4953" s="28" t="s">
        <v>251</v>
      </c>
      <c r="I4953" s="29" t="n">
        <v>418000</v>
      </c>
      <c r="J4953" s="29" t="n">
        <v>209000</v>
      </c>
      <c r="K4953" s="28" t="n">
        <v>8.75</v>
      </c>
      <c r="L4953" s="28" t="n">
        <v>122</v>
      </c>
      <c r="M4953" s="28" t="n">
        <v>4</v>
      </c>
    </row>
    <row r="4954" customFormat="false" ht="15" hidden="false" customHeight="false" outlineLevel="0" collapsed="false">
      <c r="A4954" s="27" t="n">
        <v>45925</v>
      </c>
      <c r="B4954" s="28" t="n">
        <v>2025</v>
      </c>
      <c r="C4954" s="28" t="s">
        <v>172</v>
      </c>
      <c r="D4954" s="28" t="s">
        <v>42</v>
      </c>
      <c r="E4954" s="28" t="s">
        <v>753</v>
      </c>
      <c r="F4954" s="28" t="s">
        <v>142</v>
      </c>
      <c r="G4954" s="28" t="s">
        <v>148</v>
      </c>
      <c r="H4954" s="28" t="s">
        <v>1001</v>
      </c>
      <c r="I4954" s="29" t="n">
        <v>250000</v>
      </c>
      <c r="J4954" s="29" t="n">
        <v>187500</v>
      </c>
      <c r="K4954" s="28" t="n">
        <v>13.5</v>
      </c>
      <c r="L4954" s="28" t="n">
        <v>120</v>
      </c>
      <c r="M4954" s="28" t="n">
        <v>15</v>
      </c>
    </row>
    <row r="4955" customFormat="false" ht="15" hidden="false" customHeight="false" outlineLevel="0" collapsed="false">
      <c r="A4955" s="27" t="n">
        <v>45925</v>
      </c>
      <c r="B4955" s="28" t="n">
        <v>2025</v>
      </c>
      <c r="C4955" s="28" t="s">
        <v>353</v>
      </c>
      <c r="D4955" s="28" t="s">
        <v>52</v>
      </c>
      <c r="E4955" s="28" t="s">
        <v>742</v>
      </c>
      <c r="F4955" s="28" t="s">
        <v>147</v>
      </c>
      <c r="G4955" s="28" t="s">
        <v>441</v>
      </c>
      <c r="H4955" s="28" t="s">
        <v>168</v>
      </c>
      <c r="I4955" s="29" t="n">
        <v>20000</v>
      </c>
      <c r="J4955" s="29" t="n">
        <v>10000</v>
      </c>
      <c r="K4955" s="28" t="n">
        <v>13.25</v>
      </c>
      <c r="L4955" s="28" t="n">
        <v>120</v>
      </c>
      <c r="M4955" s="28" t="n">
        <v>0</v>
      </c>
    </row>
    <row r="4956" customFormat="false" ht="15" hidden="false" customHeight="false" outlineLevel="0" collapsed="false">
      <c r="A4956" s="27" t="n">
        <v>45926</v>
      </c>
      <c r="B4956" s="28" t="n">
        <v>2025</v>
      </c>
      <c r="C4956" s="28" t="s">
        <v>460</v>
      </c>
      <c r="D4956" s="28" t="s">
        <v>53</v>
      </c>
      <c r="E4956" s="28" t="s">
        <v>964</v>
      </c>
      <c r="F4956" s="28" t="s">
        <v>142</v>
      </c>
      <c r="G4956" s="28" t="s">
        <v>148</v>
      </c>
      <c r="H4956" s="28" t="s">
        <v>570</v>
      </c>
      <c r="I4956" s="29" t="n">
        <v>150000</v>
      </c>
      <c r="J4956" s="29" t="n">
        <v>127500</v>
      </c>
      <c r="K4956" s="28" t="n">
        <v>13</v>
      </c>
      <c r="L4956" s="28" t="n">
        <v>120</v>
      </c>
      <c r="M4956" s="28" t="n">
        <v>8</v>
      </c>
    </row>
    <row r="4957" customFormat="false" ht="15" hidden="false" customHeight="false" outlineLevel="0" collapsed="false">
      <c r="A4957" s="27" t="n">
        <v>45926</v>
      </c>
      <c r="B4957" s="28" t="n">
        <v>2025</v>
      </c>
      <c r="C4957" s="28" t="s">
        <v>172</v>
      </c>
      <c r="D4957" s="28" t="s">
        <v>57</v>
      </c>
      <c r="E4957" s="28" t="s">
        <v>728</v>
      </c>
      <c r="F4957" s="28" t="s">
        <v>142</v>
      </c>
      <c r="G4957" s="28" t="s">
        <v>441</v>
      </c>
      <c r="H4957" s="28" t="s">
        <v>799</v>
      </c>
      <c r="I4957" s="29" t="n">
        <v>100000</v>
      </c>
      <c r="J4957" s="29" t="n">
        <v>85000</v>
      </c>
      <c r="K4957" s="28" t="n">
        <v>10.25</v>
      </c>
      <c r="L4957" s="28" t="n">
        <v>120</v>
      </c>
      <c r="M4957" s="28" t="n">
        <v>2</v>
      </c>
    </row>
    <row r="4958" customFormat="false" ht="15" hidden="false" customHeight="false" outlineLevel="0" collapsed="false">
      <c r="A4958" s="27" t="n">
        <v>45926</v>
      </c>
      <c r="B4958" s="28" t="n">
        <v>2025</v>
      </c>
      <c r="C4958" s="28" t="s">
        <v>353</v>
      </c>
      <c r="D4958" s="28" t="s">
        <v>42</v>
      </c>
      <c r="E4958" s="28" t="s">
        <v>705</v>
      </c>
      <c r="F4958" s="28" t="s">
        <v>142</v>
      </c>
      <c r="G4958" s="28" t="s">
        <v>441</v>
      </c>
      <c r="H4958" s="28" t="s">
        <v>516</v>
      </c>
      <c r="I4958" s="29" t="n">
        <v>4393600</v>
      </c>
      <c r="J4958" s="29" t="n">
        <v>3295200</v>
      </c>
      <c r="K4958" s="28" t="n">
        <v>8.5</v>
      </c>
      <c r="L4958" s="28" t="n">
        <v>300</v>
      </c>
      <c r="M4958" s="28" t="n">
        <v>22</v>
      </c>
    </row>
    <row r="4959" customFormat="false" ht="15" hidden="false" customHeight="false" outlineLevel="0" collapsed="false">
      <c r="A4959" s="27" t="n">
        <v>45927</v>
      </c>
      <c r="B4959" s="28" t="n">
        <v>2025</v>
      </c>
      <c r="C4959" s="28" t="s">
        <v>549</v>
      </c>
      <c r="D4959" s="28" t="s">
        <v>45</v>
      </c>
      <c r="E4959" s="28" t="s">
        <v>824</v>
      </c>
      <c r="F4959" s="28" t="s">
        <v>147</v>
      </c>
      <c r="G4959" s="28" t="s">
        <v>152</v>
      </c>
      <c r="H4959" s="28" t="s">
        <v>211</v>
      </c>
      <c r="I4959" s="29" t="n">
        <v>200000</v>
      </c>
      <c r="J4959" s="29" t="n">
        <v>100000</v>
      </c>
      <c r="K4959" s="28" t="n">
        <v>9.25</v>
      </c>
      <c r="L4959" s="28" t="n">
        <v>120</v>
      </c>
      <c r="M4959" s="28" t="n">
        <v>4</v>
      </c>
    </row>
    <row r="4960" customFormat="false" ht="15" hidden="false" customHeight="false" outlineLevel="0" collapsed="false">
      <c r="A4960" s="27" t="n">
        <v>45927</v>
      </c>
      <c r="B4960" s="28" t="n">
        <v>2025</v>
      </c>
      <c r="C4960" s="28" t="s">
        <v>549</v>
      </c>
      <c r="D4960" s="28" t="s">
        <v>45</v>
      </c>
      <c r="E4960" s="28" t="s">
        <v>824</v>
      </c>
      <c r="F4960" s="28" t="s">
        <v>142</v>
      </c>
      <c r="G4960" s="28" t="s">
        <v>152</v>
      </c>
      <c r="H4960" s="28" t="s">
        <v>211</v>
      </c>
      <c r="I4960" s="29" t="n">
        <v>4400000</v>
      </c>
      <c r="J4960" s="29" t="n">
        <v>3300000</v>
      </c>
      <c r="K4960" s="28" t="n">
        <v>7.6</v>
      </c>
      <c r="L4960" s="28" t="n">
        <v>120</v>
      </c>
      <c r="M4960" s="28" t="n">
        <v>4</v>
      </c>
    </row>
    <row r="4961" customFormat="false" ht="15" hidden="false" customHeight="false" outlineLevel="0" collapsed="false">
      <c r="A4961" s="27" t="n">
        <v>45929</v>
      </c>
      <c r="B4961" s="28" t="n">
        <v>2025</v>
      </c>
      <c r="C4961" s="28" t="s">
        <v>560</v>
      </c>
      <c r="D4961" s="28" t="s">
        <v>50</v>
      </c>
      <c r="E4961" s="28" t="s">
        <v>193</v>
      </c>
      <c r="F4961" s="28" t="s">
        <v>142</v>
      </c>
      <c r="G4961" s="28" t="s">
        <v>143</v>
      </c>
      <c r="H4961" s="28" t="s">
        <v>211</v>
      </c>
      <c r="I4961" s="29" t="n">
        <v>239200</v>
      </c>
      <c r="J4961" s="29" t="n">
        <v>179400</v>
      </c>
      <c r="K4961" s="28" t="n">
        <v>10.25</v>
      </c>
      <c r="L4961" s="28" t="n">
        <v>120</v>
      </c>
      <c r="M4961" s="28" t="n">
        <v>4</v>
      </c>
    </row>
    <row r="4962" customFormat="false" ht="15" hidden="false" customHeight="false" outlineLevel="0" collapsed="false">
      <c r="A4962" s="27" t="n">
        <v>45929</v>
      </c>
      <c r="B4962" s="28" t="n">
        <v>2025</v>
      </c>
      <c r="C4962" s="28" t="s">
        <v>198</v>
      </c>
      <c r="D4962" s="28" t="s">
        <v>43</v>
      </c>
      <c r="E4962" s="28" t="s">
        <v>1045</v>
      </c>
      <c r="F4962" s="28" t="s">
        <v>142</v>
      </c>
      <c r="G4962" s="28" t="s">
        <v>441</v>
      </c>
      <c r="H4962" s="28" t="s">
        <v>469</v>
      </c>
      <c r="I4962" s="29" t="n">
        <v>1210000</v>
      </c>
      <c r="J4962" s="29" t="n">
        <v>907500</v>
      </c>
      <c r="K4962" s="28" t="n">
        <v>6.8</v>
      </c>
      <c r="L4962" s="28" t="n">
        <v>299</v>
      </c>
      <c r="M4962" s="28" t="n">
        <v>4</v>
      </c>
    </row>
    <row r="4963" customFormat="false" ht="15" hidden="false" customHeight="false" outlineLevel="0" collapsed="false">
      <c r="A4963" s="27" t="n">
        <v>45929</v>
      </c>
      <c r="B4963" s="28" t="n">
        <v>2025</v>
      </c>
      <c r="C4963" s="28" t="s">
        <v>198</v>
      </c>
      <c r="D4963" s="28" t="s">
        <v>45</v>
      </c>
      <c r="E4963" s="28" t="s">
        <v>548</v>
      </c>
      <c r="F4963" s="28" t="s">
        <v>142</v>
      </c>
      <c r="G4963" s="28" t="s">
        <v>152</v>
      </c>
      <c r="H4963" s="28" t="s">
        <v>494</v>
      </c>
      <c r="I4963" s="29" t="n">
        <v>2322800</v>
      </c>
      <c r="J4963" s="29" t="n">
        <v>1742100</v>
      </c>
      <c r="K4963" s="28" t="n">
        <v>8.75</v>
      </c>
      <c r="L4963" s="28" t="n">
        <v>120</v>
      </c>
      <c r="M4963" s="28" t="n">
        <v>24</v>
      </c>
    </row>
    <row r="4964" customFormat="false" ht="15" hidden="false" customHeight="false" outlineLevel="0" collapsed="false">
      <c r="A4964" s="27" t="n">
        <v>45929</v>
      </c>
      <c r="B4964" s="28" t="n">
        <v>2025</v>
      </c>
      <c r="C4964" s="28" t="s">
        <v>515</v>
      </c>
      <c r="D4964" s="28" t="s">
        <v>45</v>
      </c>
      <c r="E4964" s="28" t="s">
        <v>293</v>
      </c>
      <c r="F4964" s="28" t="s">
        <v>147</v>
      </c>
      <c r="G4964" s="28" t="s">
        <v>148</v>
      </c>
      <c r="H4964" s="28" t="s">
        <v>205</v>
      </c>
      <c r="I4964" s="29" t="n">
        <v>400000</v>
      </c>
      <c r="J4964" s="29" t="n">
        <v>200000</v>
      </c>
      <c r="K4964" s="28" t="n">
        <v>7.5</v>
      </c>
      <c r="L4964" s="28" t="n">
        <v>120</v>
      </c>
      <c r="M4964" s="28" t="n">
        <v>29</v>
      </c>
    </row>
    <row r="4965" customFormat="false" ht="15" hidden="false" customHeight="false" outlineLevel="0" collapsed="false">
      <c r="A4965" s="27" t="n">
        <v>45929</v>
      </c>
      <c r="B4965" s="28" t="n">
        <v>2025</v>
      </c>
      <c r="C4965" s="28" t="s">
        <v>198</v>
      </c>
      <c r="D4965" s="28" t="s">
        <v>46</v>
      </c>
      <c r="E4965" s="28" t="s">
        <v>904</v>
      </c>
      <c r="F4965" s="28" t="s">
        <v>142</v>
      </c>
      <c r="G4965" s="28" t="s">
        <v>143</v>
      </c>
      <c r="H4965" s="28" t="s">
        <v>463</v>
      </c>
      <c r="I4965" s="29" t="n">
        <v>459000</v>
      </c>
      <c r="J4965" s="29" t="n">
        <v>344250</v>
      </c>
      <c r="K4965" s="28" t="n">
        <v>10</v>
      </c>
      <c r="L4965" s="28" t="n">
        <v>120</v>
      </c>
      <c r="M4965" s="28" t="n">
        <v>6</v>
      </c>
    </row>
    <row r="4966" customFormat="false" ht="15" hidden="false" customHeight="false" outlineLevel="0" collapsed="false">
      <c r="A4966" s="27" t="n">
        <v>45929</v>
      </c>
      <c r="B4966" s="28" t="n">
        <v>2025</v>
      </c>
      <c r="C4966" s="28" t="s">
        <v>172</v>
      </c>
      <c r="D4966" s="28" t="s">
        <v>42</v>
      </c>
      <c r="E4966" s="28" t="s">
        <v>753</v>
      </c>
      <c r="F4966" s="28" t="s">
        <v>142</v>
      </c>
      <c r="G4966" s="28" t="s">
        <v>143</v>
      </c>
      <c r="H4966" s="28" t="s">
        <v>334</v>
      </c>
      <c r="I4966" s="29" t="n">
        <v>3690000</v>
      </c>
      <c r="J4966" s="29" t="n">
        <v>2767500</v>
      </c>
      <c r="K4966" s="28" t="n">
        <v>8.5</v>
      </c>
      <c r="L4966" s="28" t="n">
        <v>300</v>
      </c>
      <c r="M4966" s="28" t="n">
        <v>20</v>
      </c>
    </row>
    <row r="4967" customFormat="false" ht="15" hidden="false" customHeight="false" outlineLevel="0" collapsed="false">
      <c r="A4967" s="27" t="n">
        <v>45929</v>
      </c>
      <c r="B4967" s="28" t="n">
        <v>2025</v>
      </c>
      <c r="C4967" s="28" t="s">
        <v>418</v>
      </c>
      <c r="D4967" s="28" t="s">
        <v>46</v>
      </c>
      <c r="E4967" s="28" t="s">
        <v>727</v>
      </c>
      <c r="F4967" s="28" t="s">
        <v>147</v>
      </c>
      <c r="G4967" s="28" t="s">
        <v>441</v>
      </c>
      <c r="H4967" s="28" t="s">
        <v>469</v>
      </c>
      <c r="I4967" s="29" t="n">
        <v>30000</v>
      </c>
      <c r="J4967" s="29" t="n">
        <v>15000</v>
      </c>
      <c r="K4967" s="28" t="n">
        <v>9.25</v>
      </c>
      <c r="L4967" s="28" t="n">
        <v>119</v>
      </c>
      <c r="M4967" s="28" t="n">
        <v>0</v>
      </c>
    </row>
    <row r="4968" customFormat="false" ht="15" hidden="false" customHeight="false" outlineLevel="0" collapsed="false">
      <c r="A4968" s="27" t="n">
        <v>45929</v>
      </c>
      <c r="B4968" s="28" t="n">
        <v>2025</v>
      </c>
      <c r="C4968" s="28" t="s">
        <v>163</v>
      </c>
      <c r="D4968" s="28" t="s">
        <v>57</v>
      </c>
      <c r="E4968" s="28" t="s">
        <v>985</v>
      </c>
      <c r="F4968" s="28" t="s">
        <v>147</v>
      </c>
      <c r="G4968" s="28" t="s">
        <v>152</v>
      </c>
      <c r="H4968" s="28" t="s">
        <v>494</v>
      </c>
      <c r="I4968" s="29" t="n">
        <v>100000</v>
      </c>
      <c r="J4968" s="29" t="n">
        <v>50000</v>
      </c>
      <c r="K4968" s="28" t="n">
        <v>10.25</v>
      </c>
      <c r="L4968" s="28" t="n">
        <v>120</v>
      </c>
      <c r="M4968" s="28" t="n">
        <v>4</v>
      </c>
    </row>
    <row r="4969" customFormat="false" ht="15" hidden="false" customHeight="false" outlineLevel="0" collapsed="false">
      <c r="A4969" s="27" t="n">
        <v>45929</v>
      </c>
      <c r="B4969" s="28" t="n">
        <v>2025</v>
      </c>
      <c r="C4969" s="28" t="s">
        <v>172</v>
      </c>
      <c r="D4969" s="28" t="s">
        <v>50</v>
      </c>
      <c r="E4969" s="28" t="s">
        <v>951</v>
      </c>
      <c r="F4969" s="28" t="s">
        <v>142</v>
      </c>
      <c r="G4969" s="28" t="s">
        <v>143</v>
      </c>
      <c r="H4969" s="28" t="s">
        <v>168</v>
      </c>
      <c r="I4969" s="29" t="n">
        <v>260000</v>
      </c>
      <c r="J4969" s="29" t="n">
        <v>195000</v>
      </c>
      <c r="K4969" s="28" t="n">
        <v>7.25</v>
      </c>
      <c r="L4969" s="28" t="n">
        <v>120</v>
      </c>
      <c r="M4969" s="28" t="n">
        <v>2</v>
      </c>
    </row>
    <row r="4970" customFormat="false" ht="15" hidden="false" customHeight="false" outlineLevel="0" collapsed="false">
      <c r="A4970" s="27" t="n">
        <v>45929</v>
      </c>
      <c r="B4970" s="28" t="n">
        <v>2025</v>
      </c>
      <c r="C4970" s="28" t="s">
        <v>379</v>
      </c>
      <c r="D4970" s="28" t="s">
        <v>51</v>
      </c>
      <c r="E4970" s="28" t="s">
        <v>800</v>
      </c>
      <c r="F4970" s="28" t="s">
        <v>142</v>
      </c>
      <c r="G4970" s="28" t="s">
        <v>143</v>
      </c>
      <c r="H4970" s="28" t="s">
        <v>413</v>
      </c>
      <c r="I4970" s="29" t="n">
        <v>304000</v>
      </c>
      <c r="J4970" s="29" t="n">
        <v>228000</v>
      </c>
      <c r="K4970" s="28" t="n">
        <v>9.5</v>
      </c>
      <c r="L4970" s="28" t="n">
        <v>120</v>
      </c>
      <c r="M4970" s="28" t="n">
        <v>0</v>
      </c>
    </row>
    <row r="4971" customFormat="false" ht="15" hidden="false" customHeight="false" outlineLevel="0" collapsed="false">
      <c r="A4971" s="27" t="n">
        <v>45929</v>
      </c>
      <c r="B4971" s="28" t="n">
        <v>2025</v>
      </c>
      <c r="C4971" s="28" t="s">
        <v>515</v>
      </c>
      <c r="D4971" s="28" t="s">
        <v>45</v>
      </c>
      <c r="E4971" s="28" t="s">
        <v>293</v>
      </c>
      <c r="F4971" s="28" t="s">
        <v>142</v>
      </c>
      <c r="G4971" s="28" t="s">
        <v>148</v>
      </c>
      <c r="H4971" s="28" t="s">
        <v>205</v>
      </c>
      <c r="I4971" s="29" t="n">
        <v>493800</v>
      </c>
      <c r="J4971" s="29" t="n">
        <v>370350</v>
      </c>
      <c r="K4971" s="28" t="n">
        <v>6.18</v>
      </c>
      <c r="L4971" s="28" t="n">
        <v>300</v>
      </c>
      <c r="M4971" s="28" t="n">
        <v>29</v>
      </c>
    </row>
    <row r="4972" customFormat="false" ht="15" hidden="false" customHeight="false" outlineLevel="0" collapsed="false">
      <c r="A4972" s="27" t="n">
        <v>45929</v>
      </c>
      <c r="B4972" s="28" t="n">
        <v>2025</v>
      </c>
      <c r="C4972" s="28" t="s">
        <v>560</v>
      </c>
      <c r="D4972" s="28" t="s">
        <v>50</v>
      </c>
      <c r="E4972" s="28" t="s">
        <v>193</v>
      </c>
      <c r="F4972" s="28" t="s">
        <v>147</v>
      </c>
      <c r="G4972" s="28" t="s">
        <v>143</v>
      </c>
      <c r="H4972" s="28" t="s">
        <v>211</v>
      </c>
      <c r="I4972" s="29" t="n">
        <v>50000</v>
      </c>
      <c r="J4972" s="29" t="n">
        <v>25000</v>
      </c>
      <c r="K4972" s="28" t="n">
        <v>10.25</v>
      </c>
      <c r="L4972" s="28" t="n">
        <v>120</v>
      </c>
      <c r="M4972" s="28" t="n">
        <v>4</v>
      </c>
    </row>
    <row r="4973" customFormat="false" ht="15" hidden="false" customHeight="false" outlineLevel="0" collapsed="false">
      <c r="A4973" s="27" t="n">
        <v>45929</v>
      </c>
      <c r="B4973" s="28" t="n">
        <v>2025</v>
      </c>
      <c r="C4973" s="28" t="s">
        <v>235</v>
      </c>
      <c r="D4973" s="28" t="s">
        <v>46</v>
      </c>
      <c r="E4973" s="28" t="s">
        <v>719</v>
      </c>
      <c r="F4973" s="28" t="s">
        <v>142</v>
      </c>
      <c r="G4973" s="28" t="s">
        <v>148</v>
      </c>
      <c r="H4973" s="28" t="s">
        <v>165</v>
      </c>
      <c r="I4973" s="29" t="n">
        <v>337300</v>
      </c>
      <c r="J4973" s="29" t="n">
        <v>252975</v>
      </c>
      <c r="K4973" s="28" t="n">
        <v>9</v>
      </c>
      <c r="L4973" s="28" t="n">
        <v>132</v>
      </c>
      <c r="M4973" s="28" t="n">
        <v>15</v>
      </c>
    </row>
    <row r="4974" customFormat="false" ht="15" hidden="false" customHeight="false" outlineLevel="0" collapsed="false">
      <c r="A4974" s="27" t="n">
        <v>45929</v>
      </c>
      <c r="B4974" s="28" t="n">
        <v>2025</v>
      </c>
      <c r="C4974" s="28" t="s">
        <v>198</v>
      </c>
      <c r="D4974" s="28" t="s">
        <v>45</v>
      </c>
      <c r="E4974" s="28" t="s">
        <v>548</v>
      </c>
      <c r="F4974" s="28" t="s">
        <v>147</v>
      </c>
      <c r="G4974" s="28" t="s">
        <v>152</v>
      </c>
      <c r="H4974" s="28" t="s">
        <v>494</v>
      </c>
      <c r="I4974" s="29" t="n">
        <v>300000</v>
      </c>
      <c r="J4974" s="29" t="n">
        <v>150000</v>
      </c>
      <c r="K4974" s="28" t="n">
        <v>10.75</v>
      </c>
      <c r="L4974" s="28" t="n">
        <v>120</v>
      </c>
      <c r="M4974" s="28" t="n">
        <v>24</v>
      </c>
    </row>
    <row r="4975" customFormat="false" ht="15" hidden="false" customHeight="false" outlineLevel="0" collapsed="false">
      <c r="A4975" s="27" t="n">
        <v>45929</v>
      </c>
      <c r="B4975" s="28" t="n">
        <v>2025</v>
      </c>
      <c r="C4975" s="28" t="s">
        <v>166</v>
      </c>
      <c r="D4975" s="28" t="s">
        <v>42</v>
      </c>
      <c r="E4975" s="28" t="s">
        <v>717</v>
      </c>
      <c r="F4975" s="28" t="s">
        <v>142</v>
      </c>
      <c r="G4975" s="28" t="s">
        <v>152</v>
      </c>
      <c r="H4975" s="28" t="s">
        <v>334</v>
      </c>
      <c r="I4975" s="29" t="n">
        <v>150000</v>
      </c>
      <c r="J4975" s="29" t="n">
        <v>127500</v>
      </c>
      <c r="K4975" s="28" t="n">
        <v>9.5</v>
      </c>
      <c r="L4975" s="28" t="n">
        <v>120</v>
      </c>
      <c r="M4975" s="28" t="n">
        <v>6</v>
      </c>
    </row>
    <row r="4976" customFormat="false" ht="15" hidden="false" customHeight="false" outlineLevel="0" collapsed="false">
      <c r="A4976" s="27" t="n">
        <v>45929</v>
      </c>
      <c r="B4976" s="28" t="n">
        <v>2025</v>
      </c>
      <c r="C4976" s="28" t="s">
        <v>318</v>
      </c>
      <c r="D4976" s="28" t="s">
        <v>45</v>
      </c>
      <c r="E4976" s="28" t="s">
        <v>1152</v>
      </c>
      <c r="F4976" s="28" t="s">
        <v>142</v>
      </c>
      <c r="G4976" s="28" t="s">
        <v>148</v>
      </c>
      <c r="H4976" s="28" t="s">
        <v>771</v>
      </c>
      <c r="I4976" s="29" t="n">
        <v>350000</v>
      </c>
      <c r="J4976" s="29" t="n">
        <v>262500</v>
      </c>
      <c r="K4976" s="28" t="n">
        <v>10.75</v>
      </c>
      <c r="L4976" s="28" t="n">
        <v>120</v>
      </c>
      <c r="M4976" s="28" t="n">
        <v>12</v>
      </c>
    </row>
    <row r="4977" customFormat="false" ht="15" hidden="false" customHeight="false" outlineLevel="0" collapsed="false">
      <c r="A4977" s="27" t="n">
        <v>45929</v>
      </c>
      <c r="B4977" s="28" t="n">
        <v>2025</v>
      </c>
      <c r="C4977" s="28" t="s">
        <v>172</v>
      </c>
      <c r="D4977" s="28" t="s">
        <v>42</v>
      </c>
      <c r="E4977" s="28" t="s">
        <v>753</v>
      </c>
      <c r="F4977" s="28" t="s">
        <v>142</v>
      </c>
      <c r="G4977" s="28" t="s">
        <v>143</v>
      </c>
      <c r="H4977" s="28" t="s">
        <v>334</v>
      </c>
      <c r="I4977" s="29" t="n">
        <v>1310000</v>
      </c>
      <c r="J4977" s="29" t="n">
        <v>982500</v>
      </c>
      <c r="K4977" s="28" t="n">
        <v>8.5</v>
      </c>
      <c r="L4977" s="28" t="n">
        <v>306</v>
      </c>
      <c r="M4977" s="28" t="n">
        <v>10</v>
      </c>
    </row>
    <row r="4978" customFormat="false" ht="15" hidden="false" customHeight="false" outlineLevel="0" collapsed="false">
      <c r="A4978" s="27" t="n">
        <v>45929</v>
      </c>
      <c r="B4978" s="28" t="n">
        <v>2025</v>
      </c>
      <c r="C4978" s="28" t="s">
        <v>140</v>
      </c>
      <c r="D4978" s="28" t="s">
        <v>57</v>
      </c>
      <c r="E4978" s="28" t="s">
        <v>985</v>
      </c>
      <c r="F4978" s="28" t="s">
        <v>142</v>
      </c>
      <c r="G4978" s="28" t="s">
        <v>152</v>
      </c>
      <c r="H4978" s="28" t="s">
        <v>494</v>
      </c>
      <c r="I4978" s="29" t="n">
        <v>450000</v>
      </c>
      <c r="J4978" s="29" t="n">
        <v>337500</v>
      </c>
      <c r="K4978" s="28" t="n">
        <v>9.5</v>
      </c>
      <c r="L4978" s="28" t="n">
        <v>120</v>
      </c>
      <c r="M4978" s="28" t="n">
        <v>4</v>
      </c>
    </row>
    <row r="4979" customFormat="false" ht="15" hidden="false" customHeight="false" outlineLevel="0" collapsed="false">
      <c r="A4979" s="27" t="n">
        <v>45929</v>
      </c>
      <c r="B4979" s="28" t="n">
        <v>2025</v>
      </c>
      <c r="C4979" s="28" t="s">
        <v>418</v>
      </c>
      <c r="D4979" s="28" t="s">
        <v>46</v>
      </c>
      <c r="E4979" s="28" t="s">
        <v>727</v>
      </c>
      <c r="F4979" s="28" t="s">
        <v>142</v>
      </c>
      <c r="G4979" s="28" t="s">
        <v>143</v>
      </c>
      <c r="H4979" s="28" t="s">
        <v>469</v>
      </c>
      <c r="I4979" s="29" t="n">
        <v>20900</v>
      </c>
      <c r="J4979" s="29" t="n">
        <v>17765</v>
      </c>
      <c r="K4979" s="28" t="n">
        <v>8</v>
      </c>
      <c r="L4979" s="28" t="n">
        <v>119</v>
      </c>
      <c r="M4979" s="28" t="n">
        <v>0</v>
      </c>
    </row>
    <row r="4980" customFormat="false" ht="15" hidden="false" customHeight="false" outlineLevel="0" collapsed="false">
      <c r="A4980" s="27" t="n">
        <v>45929</v>
      </c>
      <c r="B4980" s="28" t="n">
        <v>2025</v>
      </c>
      <c r="C4980" s="28" t="s">
        <v>515</v>
      </c>
      <c r="D4980" s="28" t="s">
        <v>45</v>
      </c>
      <c r="E4980" s="28" t="s">
        <v>293</v>
      </c>
      <c r="F4980" s="28" t="s">
        <v>142</v>
      </c>
      <c r="G4980" s="28" t="s">
        <v>148</v>
      </c>
      <c r="H4980" s="28" t="s">
        <v>205</v>
      </c>
      <c r="I4980" s="29" t="n">
        <v>2370000</v>
      </c>
      <c r="J4980" s="29" t="n">
        <v>1777500</v>
      </c>
      <c r="K4980" s="28" t="n">
        <v>7.43</v>
      </c>
      <c r="L4980" s="28" t="n">
        <v>84</v>
      </c>
      <c r="M4980" s="28" t="n">
        <v>29</v>
      </c>
    </row>
    <row r="4981" customFormat="false" ht="15" hidden="false" customHeight="false" outlineLevel="0" collapsed="false">
      <c r="A4981" s="27" t="n">
        <v>45930</v>
      </c>
      <c r="B4981" s="28" t="n">
        <v>2025</v>
      </c>
      <c r="C4981" s="28" t="s">
        <v>160</v>
      </c>
      <c r="D4981" s="28" t="s">
        <v>51</v>
      </c>
      <c r="E4981" s="28" t="s">
        <v>492</v>
      </c>
      <c r="F4981" s="28" t="s">
        <v>142</v>
      </c>
      <c r="G4981" s="28" t="s">
        <v>143</v>
      </c>
      <c r="H4981" s="28" t="s">
        <v>227</v>
      </c>
      <c r="I4981" s="29" t="n">
        <v>1600000</v>
      </c>
      <c r="J4981" s="29" t="n">
        <v>1200000</v>
      </c>
      <c r="K4981" s="28" t="n">
        <v>10</v>
      </c>
      <c r="L4981" s="28" t="n">
        <v>126</v>
      </c>
      <c r="M4981" s="28" t="n">
        <v>0</v>
      </c>
    </row>
    <row r="4982" customFormat="false" ht="15" hidden="false" customHeight="false" outlineLevel="0" collapsed="false">
      <c r="A4982" s="27" t="n">
        <v>45930</v>
      </c>
      <c r="B4982" s="28" t="n">
        <v>2025</v>
      </c>
      <c r="C4982" s="28" t="s">
        <v>140</v>
      </c>
      <c r="D4982" s="28" t="s">
        <v>56</v>
      </c>
      <c r="E4982" s="28" t="s">
        <v>722</v>
      </c>
      <c r="F4982" s="28" t="s">
        <v>142</v>
      </c>
      <c r="G4982" s="28" t="s">
        <v>441</v>
      </c>
      <c r="H4982" s="28" t="s">
        <v>1034</v>
      </c>
      <c r="I4982" s="29" t="n">
        <v>486100</v>
      </c>
      <c r="J4982" s="29" t="n">
        <v>364575</v>
      </c>
      <c r="K4982" s="28" t="n">
        <v>7.15</v>
      </c>
      <c r="L4982" s="28" t="n">
        <v>120</v>
      </c>
      <c r="M4982" s="28" t="n">
        <v>4</v>
      </c>
    </row>
    <row r="4983" customFormat="false" ht="15" hidden="false" customHeight="false" outlineLevel="0" collapsed="false">
      <c r="A4983" s="27" t="n">
        <v>45930</v>
      </c>
      <c r="B4983" s="28" t="n">
        <v>2025</v>
      </c>
      <c r="C4983" s="28" t="s">
        <v>169</v>
      </c>
      <c r="D4983" s="28" t="s">
        <v>45</v>
      </c>
      <c r="E4983" s="28" t="s">
        <v>708</v>
      </c>
      <c r="F4983" s="28" t="s">
        <v>142</v>
      </c>
      <c r="G4983" s="28" t="s">
        <v>152</v>
      </c>
      <c r="H4983" s="28" t="s">
        <v>501</v>
      </c>
      <c r="I4983" s="29" t="n">
        <v>640000</v>
      </c>
      <c r="J4983" s="29" t="n">
        <v>480000</v>
      </c>
      <c r="K4983" s="28" t="n">
        <v>9.75</v>
      </c>
      <c r="L4983" s="28" t="n">
        <v>120</v>
      </c>
      <c r="M4983" s="28" t="n">
        <v>3</v>
      </c>
    </row>
    <row r="4984" customFormat="false" ht="15" hidden="false" customHeight="false" outlineLevel="0" collapsed="false">
      <c r="A4984" s="27" t="n">
        <v>45930</v>
      </c>
      <c r="B4984" s="28" t="n">
        <v>2025</v>
      </c>
      <c r="C4984" s="28" t="s">
        <v>243</v>
      </c>
      <c r="D4984" s="28" t="s">
        <v>44</v>
      </c>
      <c r="E4984" s="28" t="s">
        <v>167</v>
      </c>
      <c r="F4984" s="28" t="s">
        <v>147</v>
      </c>
      <c r="G4984" s="28" t="s">
        <v>441</v>
      </c>
      <c r="H4984" s="28" t="s">
        <v>168</v>
      </c>
      <c r="I4984" s="29" t="n">
        <v>15000</v>
      </c>
      <c r="J4984" s="29" t="n">
        <v>7500</v>
      </c>
      <c r="K4984" s="28" t="n">
        <v>13.75</v>
      </c>
      <c r="L4984" s="28" t="n">
        <v>120</v>
      </c>
      <c r="M4984" s="28" t="n">
        <v>11</v>
      </c>
    </row>
    <row r="4985" customFormat="false" ht="15" hidden="false" customHeight="false" outlineLevel="0" collapsed="false">
      <c r="A4985" s="27" t="n">
        <v>45930</v>
      </c>
      <c r="B4985" s="28" t="n">
        <v>2025</v>
      </c>
      <c r="C4985" s="28" t="s">
        <v>169</v>
      </c>
      <c r="D4985" s="28" t="s">
        <v>48</v>
      </c>
      <c r="E4985" s="28" t="s">
        <v>712</v>
      </c>
      <c r="F4985" s="28" t="s">
        <v>142</v>
      </c>
      <c r="G4985" s="28" t="s">
        <v>143</v>
      </c>
      <c r="H4985" s="28" t="s">
        <v>1117</v>
      </c>
      <c r="I4985" s="29" t="n">
        <v>102000</v>
      </c>
      <c r="J4985" s="29" t="n">
        <v>86700</v>
      </c>
      <c r="K4985" s="28" t="n">
        <v>10.25</v>
      </c>
      <c r="L4985" s="28" t="n">
        <v>120</v>
      </c>
      <c r="M4985" s="28" t="n">
        <v>1</v>
      </c>
    </row>
    <row r="4986" customFormat="false" ht="15" hidden="false" customHeight="false" outlineLevel="0" collapsed="false">
      <c r="A4986" s="27" t="n">
        <v>45930</v>
      </c>
      <c r="B4986" s="28" t="n">
        <v>2025</v>
      </c>
      <c r="C4986" s="28" t="s">
        <v>1169</v>
      </c>
      <c r="D4986" s="28" t="s">
        <v>47</v>
      </c>
      <c r="E4986" s="28" t="s">
        <v>1041</v>
      </c>
      <c r="F4986" s="28" t="s">
        <v>147</v>
      </c>
      <c r="G4986" s="28" t="s">
        <v>148</v>
      </c>
      <c r="H4986" s="28" t="s">
        <v>469</v>
      </c>
      <c r="I4986" s="29" t="n">
        <v>375000</v>
      </c>
      <c r="J4986" s="29" t="n">
        <v>187500</v>
      </c>
      <c r="K4986" s="28" t="n">
        <v>8.5</v>
      </c>
      <c r="L4986" s="28" t="n">
        <v>119</v>
      </c>
      <c r="M4986" s="28" t="n">
        <v>0</v>
      </c>
    </row>
    <row r="4987" customFormat="false" ht="15" hidden="false" customHeight="false" outlineLevel="0" collapsed="false">
      <c r="A4987" s="27" t="n">
        <v>45930</v>
      </c>
      <c r="B4987" s="28" t="n">
        <v>2025</v>
      </c>
      <c r="C4987" s="28" t="s">
        <v>169</v>
      </c>
      <c r="D4987" s="28" t="s">
        <v>46</v>
      </c>
      <c r="E4987" s="28" t="s">
        <v>702</v>
      </c>
      <c r="F4987" s="28" t="s">
        <v>142</v>
      </c>
      <c r="G4987" s="28" t="s">
        <v>148</v>
      </c>
      <c r="H4987" s="28" t="s">
        <v>799</v>
      </c>
      <c r="I4987" s="29" t="n">
        <v>710000</v>
      </c>
      <c r="J4987" s="29" t="n">
        <v>532500</v>
      </c>
      <c r="K4987" s="28" t="n">
        <v>9</v>
      </c>
      <c r="L4987" s="28" t="n">
        <v>306</v>
      </c>
      <c r="M4987" s="28" t="n">
        <v>1</v>
      </c>
    </row>
    <row r="4988" customFormat="false" ht="15" hidden="false" customHeight="false" outlineLevel="0" collapsed="false">
      <c r="A4988" s="27" t="n">
        <v>45930</v>
      </c>
      <c r="B4988" s="28" t="n">
        <v>2025</v>
      </c>
      <c r="C4988" s="28" t="s">
        <v>546</v>
      </c>
      <c r="D4988" s="28" t="s">
        <v>51</v>
      </c>
      <c r="E4988" s="28" t="s">
        <v>547</v>
      </c>
      <c r="F4988" s="28" t="s">
        <v>142</v>
      </c>
      <c r="G4988" s="28" t="s">
        <v>441</v>
      </c>
      <c r="H4988" s="28" t="s">
        <v>658</v>
      </c>
      <c r="I4988" s="29" t="n">
        <v>4950000</v>
      </c>
      <c r="J4988" s="29" t="n">
        <v>3712500</v>
      </c>
      <c r="K4988" s="28" t="n">
        <v>9.75</v>
      </c>
      <c r="L4988" s="28" t="n">
        <v>300</v>
      </c>
      <c r="M4988" s="28" t="n">
        <v>22</v>
      </c>
    </row>
    <row r="4989" customFormat="false" ht="15" hidden="false" customHeight="false" outlineLevel="0" collapsed="false">
      <c r="A4989" s="27" t="n">
        <v>45930</v>
      </c>
      <c r="B4989" s="28" t="n">
        <v>2025</v>
      </c>
      <c r="C4989" s="28" t="s">
        <v>409</v>
      </c>
      <c r="D4989" s="28" t="s">
        <v>45</v>
      </c>
      <c r="E4989" s="28" t="s">
        <v>293</v>
      </c>
      <c r="F4989" s="28" t="s">
        <v>142</v>
      </c>
      <c r="G4989" s="28" t="s">
        <v>143</v>
      </c>
      <c r="H4989" s="28" t="s">
        <v>799</v>
      </c>
      <c r="I4989" s="29" t="n">
        <v>500000</v>
      </c>
      <c r="J4989" s="29" t="n">
        <v>375000</v>
      </c>
      <c r="K4989" s="28" t="n">
        <v>9.5</v>
      </c>
      <c r="L4989" s="28" t="n">
        <v>120</v>
      </c>
      <c r="M4989" s="28" t="n">
        <v>8</v>
      </c>
    </row>
    <row r="4990" customFormat="false" ht="15" hidden="false" customHeight="false" outlineLevel="0" collapsed="false">
      <c r="A4990" s="27" t="n">
        <v>45930</v>
      </c>
      <c r="B4990" s="28" t="n">
        <v>2025</v>
      </c>
      <c r="C4990" s="28" t="s">
        <v>169</v>
      </c>
      <c r="D4990" s="28" t="s">
        <v>45</v>
      </c>
      <c r="E4990" s="28" t="s">
        <v>708</v>
      </c>
      <c r="F4990" s="28" t="s">
        <v>147</v>
      </c>
      <c r="G4990" s="28" t="s">
        <v>148</v>
      </c>
      <c r="H4990" s="28" t="s">
        <v>799</v>
      </c>
      <c r="I4990" s="29" t="n">
        <v>300000</v>
      </c>
      <c r="J4990" s="29" t="n">
        <v>150000</v>
      </c>
      <c r="K4990" s="28" t="n">
        <v>9.75</v>
      </c>
      <c r="L4990" s="28" t="n">
        <v>120</v>
      </c>
      <c r="M4990" s="28" t="n">
        <v>28</v>
      </c>
    </row>
    <row r="4991" customFormat="false" ht="15" hidden="false" customHeight="false" outlineLevel="0" collapsed="false">
      <c r="A4991" s="27" t="n">
        <v>45930</v>
      </c>
      <c r="B4991" s="28" t="n">
        <v>2025</v>
      </c>
      <c r="C4991" s="28" t="s">
        <v>1169</v>
      </c>
      <c r="D4991" s="28" t="s">
        <v>47</v>
      </c>
      <c r="E4991" s="28" t="s">
        <v>1041</v>
      </c>
      <c r="F4991" s="28" t="s">
        <v>142</v>
      </c>
      <c r="G4991" s="28" t="s">
        <v>148</v>
      </c>
      <c r="H4991" s="28" t="s">
        <v>469</v>
      </c>
      <c r="I4991" s="29" t="n">
        <v>4605700</v>
      </c>
      <c r="J4991" s="29" t="n">
        <v>3454275</v>
      </c>
      <c r="K4991" s="28" t="n">
        <v>7.5</v>
      </c>
      <c r="L4991" s="28" t="n">
        <v>179</v>
      </c>
      <c r="M4991" s="28" t="n">
        <v>20</v>
      </c>
    </row>
    <row r="4992" customFormat="false" ht="15" hidden="false" customHeight="false" outlineLevel="0" collapsed="false">
      <c r="A4992" s="27" t="n">
        <v>45930</v>
      </c>
      <c r="B4992" s="28" t="n">
        <v>2025</v>
      </c>
      <c r="C4992" s="28" t="s">
        <v>169</v>
      </c>
      <c r="D4992" s="28" t="s">
        <v>45</v>
      </c>
      <c r="E4992" s="28" t="s">
        <v>708</v>
      </c>
      <c r="F4992" s="28" t="s">
        <v>142</v>
      </c>
      <c r="G4992" s="28" t="s">
        <v>148</v>
      </c>
      <c r="H4992" s="28" t="s">
        <v>799</v>
      </c>
      <c r="I4992" s="29" t="n">
        <v>745000</v>
      </c>
      <c r="J4992" s="29" t="n">
        <v>558750</v>
      </c>
      <c r="K4992" s="28" t="n">
        <v>9.75</v>
      </c>
      <c r="L4992" s="28" t="n">
        <v>120</v>
      </c>
      <c r="M4992" s="28" t="n">
        <v>28</v>
      </c>
    </row>
    <row r="4993" customFormat="false" ht="15" hidden="false" customHeight="false" outlineLevel="0" collapsed="false">
      <c r="A4993" s="27" t="n">
        <v>45930</v>
      </c>
      <c r="B4993" s="28" t="n">
        <v>2025</v>
      </c>
      <c r="C4993" s="28" t="s">
        <v>160</v>
      </c>
      <c r="D4993" s="28" t="s">
        <v>44</v>
      </c>
      <c r="E4993" s="28" t="s">
        <v>730</v>
      </c>
      <c r="F4993" s="28" t="s">
        <v>142</v>
      </c>
      <c r="G4993" s="28" t="s">
        <v>143</v>
      </c>
      <c r="H4993" s="28" t="s">
        <v>618</v>
      </c>
      <c r="I4993" s="29" t="n">
        <v>903000</v>
      </c>
      <c r="J4993" s="29" t="n">
        <v>677250</v>
      </c>
      <c r="K4993" s="28" t="n">
        <v>10.25</v>
      </c>
      <c r="L4993" s="28" t="n">
        <v>120</v>
      </c>
      <c r="M4993" s="28" t="n">
        <v>4</v>
      </c>
    </row>
    <row r="4994" customFormat="false" ht="15" hidden="false" customHeight="false" outlineLevel="0" collapsed="false">
      <c r="A4994" s="27" t="n">
        <v>45930</v>
      </c>
      <c r="B4994" s="28" t="n">
        <v>2025</v>
      </c>
      <c r="C4994" s="28" t="s">
        <v>243</v>
      </c>
      <c r="D4994" s="28" t="s">
        <v>43</v>
      </c>
      <c r="E4994" s="28" t="s">
        <v>830</v>
      </c>
      <c r="F4994" s="28" t="s">
        <v>142</v>
      </c>
      <c r="G4994" s="28" t="s">
        <v>148</v>
      </c>
      <c r="H4994" s="28" t="s">
        <v>771</v>
      </c>
      <c r="I4994" s="29" t="n">
        <v>150000</v>
      </c>
      <c r="J4994" s="29" t="n">
        <v>127500</v>
      </c>
      <c r="K4994" s="28" t="n">
        <v>13.25</v>
      </c>
      <c r="L4994" s="28" t="n">
        <v>120</v>
      </c>
      <c r="M4994" s="28" t="n">
        <v>20</v>
      </c>
    </row>
    <row r="4995" customFormat="false" ht="15" hidden="false" customHeight="false" outlineLevel="0" collapsed="false">
      <c r="A4995" s="27" t="n">
        <v>45930</v>
      </c>
      <c r="B4995" s="28" t="n">
        <v>2025</v>
      </c>
      <c r="C4995" s="28" t="s">
        <v>169</v>
      </c>
      <c r="D4995" s="28" t="s">
        <v>44</v>
      </c>
      <c r="E4995" s="28" t="s">
        <v>730</v>
      </c>
      <c r="F4995" s="28" t="s">
        <v>142</v>
      </c>
      <c r="G4995" s="28" t="s">
        <v>143</v>
      </c>
      <c r="H4995" s="28" t="s">
        <v>1170</v>
      </c>
      <c r="I4995" s="29" t="n">
        <v>600000</v>
      </c>
      <c r="J4995" s="29" t="n">
        <v>450000</v>
      </c>
      <c r="K4995" s="28" t="n">
        <v>10.25</v>
      </c>
      <c r="L4995" s="28" t="n">
        <v>120</v>
      </c>
      <c r="M4995" s="28" t="n">
        <v>33</v>
      </c>
    </row>
    <row r="4996" customFormat="false" ht="15" hidden="false" customHeight="false" outlineLevel="0" collapsed="false">
      <c r="A4996" s="27" t="n">
        <v>45974</v>
      </c>
      <c r="B4996" s="28" t="n">
        <v>2026</v>
      </c>
      <c r="C4996" s="28" t="s">
        <v>154</v>
      </c>
      <c r="D4996" s="28" t="s">
        <v>43</v>
      </c>
      <c r="E4996" s="28" t="s">
        <v>893</v>
      </c>
      <c r="F4996" s="28" t="s">
        <v>142</v>
      </c>
      <c r="G4996" s="28" t="s">
        <v>152</v>
      </c>
      <c r="H4996" s="28" t="s">
        <v>799</v>
      </c>
      <c r="I4996" s="29" t="n">
        <v>100000</v>
      </c>
      <c r="J4996" s="29" t="n">
        <v>85000</v>
      </c>
      <c r="K4996" s="28" t="n">
        <v>9.75</v>
      </c>
      <c r="L4996" s="28" t="n">
        <v>120</v>
      </c>
      <c r="M4996" s="28" t="n">
        <v>4</v>
      </c>
    </row>
    <row r="4997" customFormat="false" ht="15" hidden="false" customHeight="false" outlineLevel="0" collapsed="false">
      <c r="A4997" s="27" t="n">
        <v>45974</v>
      </c>
      <c r="B4997" s="28" t="n">
        <v>2026</v>
      </c>
      <c r="C4997" s="28" t="s">
        <v>160</v>
      </c>
      <c r="D4997" s="28" t="s">
        <v>45</v>
      </c>
      <c r="E4997" s="28" t="s">
        <v>708</v>
      </c>
      <c r="F4997" s="28" t="s">
        <v>142</v>
      </c>
      <c r="G4997" s="28" t="s">
        <v>143</v>
      </c>
      <c r="H4997" s="28" t="s">
        <v>287</v>
      </c>
      <c r="I4997" s="29" t="n">
        <v>300000</v>
      </c>
      <c r="J4997" s="29" t="n">
        <v>225000</v>
      </c>
      <c r="K4997" s="28" t="n">
        <v>10</v>
      </c>
      <c r="L4997" s="28" t="n">
        <v>120</v>
      </c>
      <c r="M4997" s="28" t="n">
        <v>3</v>
      </c>
    </row>
    <row r="4998" customFormat="false" ht="15" hidden="false" customHeight="false" outlineLevel="0" collapsed="false">
      <c r="A4998" s="27" t="n">
        <v>45974</v>
      </c>
      <c r="B4998" s="28" t="n">
        <v>2026</v>
      </c>
      <c r="C4998" s="28" t="s">
        <v>172</v>
      </c>
      <c r="D4998" s="28" t="s">
        <v>45</v>
      </c>
      <c r="E4998" s="28" t="s">
        <v>480</v>
      </c>
      <c r="F4998" s="28" t="s">
        <v>147</v>
      </c>
      <c r="G4998" s="28" t="s">
        <v>148</v>
      </c>
      <c r="H4998" s="28" t="s">
        <v>453</v>
      </c>
      <c r="I4998" s="29" t="n">
        <v>100000</v>
      </c>
      <c r="J4998" s="29" t="n">
        <v>50000</v>
      </c>
      <c r="K4998" s="28" t="n">
        <v>9.75</v>
      </c>
      <c r="L4998" s="28" t="n">
        <v>48</v>
      </c>
      <c r="M4998" s="28" t="n">
        <v>2</v>
      </c>
    </row>
    <row r="4999" customFormat="false" ht="15" hidden="false" customHeight="false" outlineLevel="0" collapsed="false">
      <c r="A4999" s="27" t="n">
        <v>45974</v>
      </c>
      <c r="B4999" s="28" t="n">
        <v>2026</v>
      </c>
      <c r="C4999" s="28" t="s">
        <v>172</v>
      </c>
      <c r="D4999" s="28" t="s">
        <v>42</v>
      </c>
      <c r="E4999" s="28" t="s">
        <v>784</v>
      </c>
      <c r="F4999" s="28" t="s">
        <v>142</v>
      </c>
      <c r="G4999" s="28" t="s">
        <v>152</v>
      </c>
      <c r="H4999" s="28" t="s">
        <v>149</v>
      </c>
      <c r="I4999" s="29" t="n">
        <v>250000</v>
      </c>
      <c r="J4999" s="29" t="n">
        <v>187500</v>
      </c>
      <c r="K4999" s="28" t="n">
        <v>9</v>
      </c>
      <c r="L4999" s="28" t="n">
        <v>120</v>
      </c>
      <c r="M4999" s="28" t="n">
        <v>4</v>
      </c>
    </row>
    <row r="5000" customFormat="false" ht="15" hidden="false" customHeight="false" outlineLevel="0" collapsed="false">
      <c r="A5000" s="27" t="n">
        <v>45974</v>
      </c>
      <c r="B5000" s="28" t="n">
        <v>2026</v>
      </c>
      <c r="C5000" s="28" t="s">
        <v>198</v>
      </c>
      <c r="D5000" s="28" t="s">
        <v>45</v>
      </c>
      <c r="E5000" s="28" t="s">
        <v>222</v>
      </c>
      <c r="F5000" s="28" t="s">
        <v>147</v>
      </c>
      <c r="G5000" s="28" t="s">
        <v>148</v>
      </c>
      <c r="H5000" s="28" t="s">
        <v>159</v>
      </c>
      <c r="I5000" s="29" t="n">
        <v>95000</v>
      </c>
      <c r="J5000" s="29" t="n">
        <v>47500</v>
      </c>
      <c r="K5000" s="28" t="n">
        <v>11</v>
      </c>
      <c r="L5000" s="28" t="n">
        <v>60</v>
      </c>
      <c r="M5000" s="28" t="n">
        <v>4</v>
      </c>
    </row>
    <row r="5001" customFormat="false" ht="15" hidden="false" customHeight="false" outlineLevel="0" collapsed="false">
      <c r="A5001" s="27" t="n">
        <v>45974</v>
      </c>
      <c r="B5001" s="28" t="n">
        <v>2026</v>
      </c>
      <c r="C5001" s="28" t="s">
        <v>418</v>
      </c>
      <c r="D5001" s="28" t="s">
        <v>46</v>
      </c>
      <c r="E5001" s="28" t="s">
        <v>702</v>
      </c>
      <c r="F5001" s="28" t="s">
        <v>142</v>
      </c>
      <c r="G5001" s="28" t="s">
        <v>148</v>
      </c>
      <c r="H5001" s="28" t="s">
        <v>469</v>
      </c>
      <c r="I5001" s="29" t="n">
        <v>121300</v>
      </c>
      <c r="J5001" s="29" t="n">
        <v>103105</v>
      </c>
      <c r="K5001" s="28" t="n">
        <v>6.75</v>
      </c>
      <c r="L5001" s="28" t="n">
        <v>299</v>
      </c>
      <c r="M5001" s="28" t="n">
        <v>0</v>
      </c>
    </row>
    <row r="5002" customFormat="false" ht="15" hidden="false" customHeight="false" outlineLevel="0" collapsed="false">
      <c r="A5002" s="27" t="n">
        <v>45974</v>
      </c>
      <c r="B5002" s="28" t="n">
        <v>2026</v>
      </c>
      <c r="C5002" s="28" t="s">
        <v>203</v>
      </c>
      <c r="D5002" s="28" t="s">
        <v>51</v>
      </c>
      <c r="E5002" s="28" t="s">
        <v>779</v>
      </c>
      <c r="F5002" s="28" t="s">
        <v>142</v>
      </c>
      <c r="G5002" s="28" t="s">
        <v>148</v>
      </c>
      <c r="H5002" s="28" t="s">
        <v>953</v>
      </c>
      <c r="I5002" s="29" t="n">
        <v>125000</v>
      </c>
      <c r="J5002" s="29" t="n">
        <v>106250</v>
      </c>
      <c r="K5002" s="28" t="n">
        <v>10.25</v>
      </c>
      <c r="L5002" s="28" t="n">
        <v>120</v>
      </c>
      <c r="M5002" s="28" t="n">
        <v>7</v>
      </c>
    </row>
    <row r="5003" customFormat="false" ht="15" hidden="false" customHeight="false" outlineLevel="0" collapsed="false">
      <c r="A5003" s="27" t="n">
        <v>45974</v>
      </c>
      <c r="B5003" s="28" t="n">
        <v>2026</v>
      </c>
      <c r="C5003" s="28" t="s">
        <v>166</v>
      </c>
      <c r="D5003" s="28" t="s">
        <v>53</v>
      </c>
      <c r="E5003" s="28" t="s">
        <v>383</v>
      </c>
      <c r="F5003" s="28" t="s">
        <v>147</v>
      </c>
      <c r="G5003" s="28" t="s">
        <v>148</v>
      </c>
      <c r="H5003" s="28" t="s">
        <v>159</v>
      </c>
      <c r="I5003" s="29" t="n">
        <v>25000</v>
      </c>
      <c r="J5003" s="29" t="n">
        <v>12500</v>
      </c>
      <c r="K5003" s="28" t="n">
        <v>13.5</v>
      </c>
      <c r="L5003" s="28" t="n">
        <v>120</v>
      </c>
      <c r="M5003" s="28" t="n">
        <v>3</v>
      </c>
    </row>
    <row r="5004" customFormat="false" ht="15" hidden="false" customHeight="false" outlineLevel="0" collapsed="false">
      <c r="A5004" s="27" t="n">
        <v>45974</v>
      </c>
      <c r="B5004" s="28" t="n">
        <v>2026</v>
      </c>
      <c r="C5004" s="28" t="s">
        <v>169</v>
      </c>
      <c r="D5004" s="28" t="s">
        <v>47</v>
      </c>
      <c r="E5004" s="28" t="s">
        <v>1107</v>
      </c>
      <c r="F5004" s="28" t="s">
        <v>147</v>
      </c>
      <c r="G5004" s="28" t="s">
        <v>143</v>
      </c>
      <c r="H5004" s="28" t="s">
        <v>159</v>
      </c>
      <c r="I5004" s="29" t="n">
        <v>30000</v>
      </c>
      <c r="J5004" s="29" t="n">
        <v>15000</v>
      </c>
      <c r="K5004" s="28" t="n">
        <v>9.99</v>
      </c>
      <c r="L5004" s="28" t="n">
        <v>60</v>
      </c>
      <c r="M5004" s="28" t="n">
        <v>1</v>
      </c>
    </row>
    <row r="5005" customFormat="false" ht="15" hidden="false" customHeight="false" outlineLevel="0" collapsed="false">
      <c r="A5005" s="27" t="n">
        <v>45974</v>
      </c>
      <c r="B5005" s="28" t="n">
        <v>2026</v>
      </c>
      <c r="C5005" s="28" t="s">
        <v>172</v>
      </c>
      <c r="D5005" s="28" t="s">
        <v>46</v>
      </c>
      <c r="E5005" s="28" t="s">
        <v>770</v>
      </c>
      <c r="F5005" s="28" t="s">
        <v>147</v>
      </c>
      <c r="G5005" s="28" t="s">
        <v>148</v>
      </c>
      <c r="H5005" s="28" t="s">
        <v>159</v>
      </c>
      <c r="I5005" s="29" t="n">
        <v>100000</v>
      </c>
      <c r="J5005" s="29" t="n">
        <v>50000</v>
      </c>
      <c r="K5005" s="28" t="n">
        <v>11.5</v>
      </c>
      <c r="L5005" s="28" t="n">
        <v>120</v>
      </c>
      <c r="M5005" s="28" t="n">
        <v>2</v>
      </c>
    </row>
    <row r="5006" customFormat="false" ht="15" hidden="false" customHeight="false" outlineLevel="0" collapsed="false">
      <c r="A5006" s="27" t="n">
        <v>45974</v>
      </c>
      <c r="B5006" s="28" t="n">
        <v>2026</v>
      </c>
      <c r="C5006" s="28" t="s">
        <v>166</v>
      </c>
      <c r="D5006" s="28" t="s">
        <v>48</v>
      </c>
      <c r="E5006" s="28" t="s">
        <v>736</v>
      </c>
      <c r="F5006" s="28" t="s">
        <v>147</v>
      </c>
      <c r="G5006" s="28" t="s">
        <v>148</v>
      </c>
      <c r="H5006" s="28" t="s">
        <v>159</v>
      </c>
      <c r="I5006" s="29" t="n">
        <v>25000</v>
      </c>
      <c r="J5006" s="29" t="n">
        <v>12500</v>
      </c>
      <c r="K5006" s="28" t="n">
        <v>13.75</v>
      </c>
      <c r="L5006" s="28" t="n">
        <v>120</v>
      </c>
      <c r="M5006" s="28" t="n">
        <v>0</v>
      </c>
    </row>
    <row r="5007" customFormat="false" ht="15" hidden="false" customHeight="false" outlineLevel="0" collapsed="false">
      <c r="A5007" s="27" t="n">
        <v>45974</v>
      </c>
      <c r="B5007" s="28" t="n">
        <v>2026</v>
      </c>
      <c r="C5007" s="28" t="s">
        <v>175</v>
      </c>
      <c r="D5007" s="28" t="s">
        <v>46</v>
      </c>
      <c r="E5007" s="28" t="s">
        <v>926</v>
      </c>
      <c r="F5007" s="28" t="s">
        <v>147</v>
      </c>
      <c r="G5007" s="28" t="s">
        <v>148</v>
      </c>
      <c r="H5007" s="28" t="s">
        <v>159</v>
      </c>
      <c r="I5007" s="29" t="n">
        <v>25000</v>
      </c>
      <c r="J5007" s="29" t="n">
        <v>12500</v>
      </c>
      <c r="K5007" s="28" t="n">
        <v>13.75</v>
      </c>
      <c r="L5007" s="28" t="n">
        <v>120</v>
      </c>
      <c r="M5007" s="28" t="n">
        <v>6</v>
      </c>
    </row>
    <row r="5008" customFormat="false" ht="15" hidden="false" customHeight="false" outlineLevel="0" collapsed="false">
      <c r="A5008" s="27" t="n">
        <v>45974</v>
      </c>
      <c r="B5008" s="28" t="n">
        <v>2026</v>
      </c>
      <c r="C5008" s="28" t="s">
        <v>166</v>
      </c>
      <c r="D5008" s="28" t="s">
        <v>53</v>
      </c>
      <c r="E5008" s="28" t="s">
        <v>383</v>
      </c>
      <c r="F5008" s="28" t="s">
        <v>147</v>
      </c>
      <c r="G5008" s="28" t="s">
        <v>148</v>
      </c>
      <c r="H5008" s="28" t="s">
        <v>159</v>
      </c>
      <c r="I5008" s="29" t="n">
        <v>50000</v>
      </c>
      <c r="J5008" s="29" t="n">
        <v>25000</v>
      </c>
      <c r="K5008" s="28" t="n">
        <v>11</v>
      </c>
      <c r="L5008" s="28" t="n">
        <v>60</v>
      </c>
      <c r="M5008" s="28" t="n">
        <v>3</v>
      </c>
    </row>
    <row r="5009" customFormat="false" ht="15" hidden="false" customHeight="false" outlineLevel="0" collapsed="false">
      <c r="A5009" s="27" t="n">
        <v>45974</v>
      </c>
      <c r="B5009" s="28" t="n">
        <v>2026</v>
      </c>
      <c r="C5009" s="28" t="s">
        <v>169</v>
      </c>
      <c r="D5009" s="28" t="s">
        <v>47</v>
      </c>
      <c r="E5009" s="28" t="s">
        <v>1171</v>
      </c>
      <c r="F5009" s="28" t="s">
        <v>147</v>
      </c>
      <c r="G5009" s="28" t="s">
        <v>143</v>
      </c>
      <c r="H5009" s="28" t="s">
        <v>159</v>
      </c>
      <c r="I5009" s="29" t="n">
        <v>10000</v>
      </c>
      <c r="J5009" s="29" t="n">
        <v>5000</v>
      </c>
      <c r="K5009" s="28" t="n">
        <v>13.75</v>
      </c>
      <c r="L5009" s="28" t="n">
        <v>120</v>
      </c>
      <c r="M5009" s="28" t="n">
        <v>1</v>
      </c>
    </row>
    <row r="5010" customFormat="false" ht="15" hidden="false" customHeight="false" outlineLevel="0" collapsed="false">
      <c r="A5010" s="27" t="n">
        <v>45974</v>
      </c>
      <c r="B5010" s="28" t="n">
        <v>2026</v>
      </c>
      <c r="C5010" s="28" t="s">
        <v>172</v>
      </c>
      <c r="D5010" s="28" t="s">
        <v>48</v>
      </c>
      <c r="E5010" s="28" t="s">
        <v>704</v>
      </c>
      <c r="F5010" s="28" t="s">
        <v>142</v>
      </c>
      <c r="G5010" s="28" t="s">
        <v>148</v>
      </c>
      <c r="H5010" s="28" t="s">
        <v>799</v>
      </c>
      <c r="I5010" s="29" t="n">
        <v>320000</v>
      </c>
      <c r="J5010" s="29" t="n">
        <v>240000</v>
      </c>
      <c r="K5010" s="28" t="n">
        <v>9.75</v>
      </c>
      <c r="L5010" s="28" t="n">
        <v>120</v>
      </c>
      <c r="M5010" s="28" t="n">
        <v>18</v>
      </c>
    </row>
    <row r="5011" customFormat="false" ht="15" hidden="false" customHeight="false" outlineLevel="0" collapsed="false">
      <c r="A5011" s="27" t="n">
        <v>45974</v>
      </c>
      <c r="B5011" s="28" t="n">
        <v>2026</v>
      </c>
      <c r="C5011" s="28" t="s">
        <v>140</v>
      </c>
      <c r="D5011" s="28" t="s">
        <v>48</v>
      </c>
      <c r="E5011" s="28" t="s">
        <v>594</v>
      </c>
      <c r="F5011" s="28" t="s">
        <v>142</v>
      </c>
      <c r="G5011" s="28" t="s">
        <v>148</v>
      </c>
      <c r="H5011" s="28" t="s">
        <v>771</v>
      </c>
      <c r="I5011" s="29" t="n">
        <v>280000</v>
      </c>
      <c r="J5011" s="29" t="n">
        <v>210000</v>
      </c>
      <c r="K5011" s="28" t="n">
        <v>11.5</v>
      </c>
      <c r="L5011" s="28" t="n">
        <v>120</v>
      </c>
      <c r="M5011" s="28" t="n">
        <v>13</v>
      </c>
    </row>
    <row r="5012" customFormat="false" ht="15" hidden="false" customHeight="false" outlineLevel="0" collapsed="false">
      <c r="A5012" s="27" t="n">
        <v>45974</v>
      </c>
      <c r="B5012" s="28" t="n">
        <v>2026</v>
      </c>
      <c r="C5012" s="28" t="s">
        <v>394</v>
      </c>
      <c r="D5012" s="28" t="s">
        <v>50</v>
      </c>
      <c r="E5012" s="28" t="s">
        <v>724</v>
      </c>
      <c r="F5012" s="28" t="s">
        <v>142</v>
      </c>
      <c r="G5012" s="28" t="s">
        <v>148</v>
      </c>
      <c r="H5012" s="28" t="s">
        <v>953</v>
      </c>
      <c r="I5012" s="29" t="n">
        <v>350000</v>
      </c>
      <c r="J5012" s="29" t="n">
        <v>262500</v>
      </c>
      <c r="K5012" s="28" t="n">
        <v>10.25</v>
      </c>
      <c r="L5012" s="28" t="n">
        <v>120</v>
      </c>
      <c r="M5012" s="28" t="n">
        <v>10</v>
      </c>
    </row>
    <row r="5013" customFormat="false" ht="15" hidden="false" customHeight="false" outlineLevel="0" collapsed="false">
      <c r="A5013" s="27" t="n">
        <v>45974</v>
      </c>
      <c r="B5013" s="28" t="n">
        <v>2026</v>
      </c>
      <c r="C5013" s="28" t="s">
        <v>169</v>
      </c>
      <c r="D5013" s="28" t="s">
        <v>48</v>
      </c>
      <c r="E5013" s="28" t="s">
        <v>736</v>
      </c>
      <c r="F5013" s="28" t="s">
        <v>142</v>
      </c>
      <c r="G5013" s="28" t="s">
        <v>148</v>
      </c>
      <c r="H5013" s="28" t="s">
        <v>278</v>
      </c>
      <c r="I5013" s="29" t="n">
        <v>350000</v>
      </c>
      <c r="J5013" s="29" t="n">
        <v>262500</v>
      </c>
      <c r="K5013" s="28" t="n">
        <v>9.75</v>
      </c>
      <c r="L5013" s="28" t="n">
        <v>120</v>
      </c>
      <c r="M5013" s="28" t="n">
        <v>7</v>
      </c>
    </row>
    <row r="5014" customFormat="false" ht="15" hidden="false" customHeight="false" outlineLevel="0" collapsed="false">
      <c r="A5014" s="27" t="n">
        <v>45974</v>
      </c>
      <c r="B5014" s="28" t="n">
        <v>2026</v>
      </c>
      <c r="C5014" s="28" t="s">
        <v>163</v>
      </c>
      <c r="D5014" s="28" t="s">
        <v>44</v>
      </c>
      <c r="E5014" s="28" t="s">
        <v>783</v>
      </c>
      <c r="F5014" s="28" t="s">
        <v>142</v>
      </c>
      <c r="G5014" s="28" t="s">
        <v>148</v>
      </c>
      <c r="H5014" s="28" t="s">
        <v>275</v>
      </c>
      <c r="I5014" s="29" t="n">
        <v>20000</v>
      </c>
      <c r="J5014" s="29" t="n">
        <v>16000</v>
      </c>
      <c r="K5014" s="28" t="n">
        <v>13.5</v>
      </c>
      <c r="L5014" s="28" t="n">
        <v>120</v>
      </c>
      <c r="M5014" s="28" t="n">
        <v>5</v>
      </c>
    </row>
    <row r="5015" customFormat="false" ht="15" hidden="false" customHeight="false" outlineLevel="0" collapsed="false">
      <c r="A5015" s="27" t="n">
        <v>45974</v>
      </c>
      <c r="B5015" s="28" t="n">
        <v>2026</v>
      </c>
      <c r="C5015" s="28" t="s">
        <v>243</v>
      </c>
      <c r="D5015" s="28" t="s">
        <v>46</v>
      </c>
      <c r="E5015" s="28" t="s">
        <v>806</v>
      </c>
      <c r="F5015" s="28" t="s">
        <v>147</v>
      </c>
      <c r="G5015" s="28" t="s">
        <v>148</v>
      </c>
      <c r="H5015" s="28" t="s">
        <v>205</v>
      </c>
      <c r="I5015" s="29" t="n">
        <v>110000</v>
      </c>
      <c r="J5015" s="29" t="n">
        <v>55000</v>
      </c>
      <c r="K5015" s="28" t="n">
        <v>10</v>
      </c>
      <c r="L5015" s="28" t="n">
        <v>120</v>
      </c>
      <c r="M5015" s="28" t="n">
        <v>0</v>
      </c>
    </row>
    <row r="5016" customFormat="false" ht="15" hidden="false" customHeight="false" outlineLevel="0" collapsed="false">
      <c r="A5016" s="27" t="n">
        <v>45974</v>
      </c>
      <c r="B5016" s="28" t="n">
        <v>2026</v>
      </c>
      <c r="C5016" s="28" t="s">
        <v>310</v>
      </c>
      <c r="D5016" s="28" t="s">
        <v>42</v>
      </c>
      <c r="E5016" s="28" t="s">
        <v>705</v>
      </c>
      <c r="F5016" s="28" t="s">
        <v>142</v>
      </c>
      <c r="G5016" s="28" t="s">
        <v>152</v>
      </c>
      <c r="H5016" s="28" t="s">
        <v>1156</v>
      </c>
      <c r="I5016" s="29" t="n">
        <v>2108000</v>
      </c>
      <c r="J5016" s="29" t="n">
        <v>1581000</v>
      </c>
      <c r="K5016" s="28" t="n">
        <v>8.5</v>
      </c>
      <c r="L5016" s="28" t="n">
        <v>300</v>
      </c>
      <c r="M5016" s="28" t="n">
        <v>7</v>
      </c>
    </row>
    <row r="5017" customFormat="false" ht="15" hidden="false" customHeight="false" outlineLevel="0" collapsed="false">
      <c r="A5017" s="27" t="n">
        <v>45974</v>
      </c>
      <c r="B5017" s="28" t="n">
        <v>2026</v>
      </c>
      <c r="C5017" s="28" t="s">
        <v>172</v>
      </c>
      <c r="D5017" s="28" t="s">
        <v>42</v>
      </c>
      <c r="E5017" s="28" t="s">
        <v>717</v>
      </c>
      <c r="F5017" s="28" t="s">
        <v>142</v>
      </c>
      <c r="G5017" s="28" t="s">
        <v>152</v>
      </c>
      <c r="H5017" s="28" t="s">
        <v>215</v>
      </c>
      <c r="I5017" s="29" t="n">
        <v>855000</v>
      </c>
      <c r="J5017" s="29" t="n">
        <v>641250</v>
      </c>
      <c r="K5017" s="28" t="n">
        <v>8.5</v>
      </c>
      <c r="L5017" s="28" t="n">
        <v>120</v>
      </c>
      <c r="M5017" s="28" t="n">
        <v>13</v>
      </c>
    </row>
    <row r="5018" customFormat="false" ht="15" hidden="false" customHeight="false" outlineLevel="0" collapsed="false">
      <c r="A5018" s="27" t="n">
        <v>45974</v>
      </c>
      <c r="B5018" s="28" t="n">
        <v>2026</v>
      </c>
      <c r="C5018" s="28" t="s">
        <v>890</v>
      </c>
      <c r="D5018" s="28" t="s">
        <v>43</v>
      </c>
      <c r="E5018" s="28" t="s">
        <v>1000</v>
      </c>
      <c r="F5018" s="28" t="s">
        <v>142</v>
      </c>
      <c r="G5018" s="28" t="s">
        <v>148</v>
      </c>
      <c r="H5018" s="28" t="s">
        <v>953</v>
      </c>
      <c r="I5018" s="29" t="n">
        <v>300000</v>
      </c>
      <c r="J5018" s="29" t="n">
        <v>225000</v>
      </c>
      <c r="K5018" s="28" t="n">
        <v>10</v>
      </c>
      <c r="L5018" s="28" t="n">
        <v>120</v>
      </c>
      <c r="M5018" s="28" t="n">
        <v>1</v>
      </c>
    </row>
    <row r="5019" customFormat="false" ht="15" hidden="false" customHeight="false" outlineLevel="0" collapsed="false">
      <c r="A5019" s="27" t="n">
        <v>45974</v>
      </c>
      <c r="B5019" s="28" t="n">
        <v>2026</v>
      </c>
      <c r="C5019" s="28" t="s">
        <v>169</v>
      </c>
      <c r="D5019" s="28" t="s">
        <v>52</v>
      </c>
      <c r="E5019" s="28" t="s">
        <v>604</v>
      </c>
      <c r="F5019" s="28" t="s">
        <v>147</v>
      </c>
      <c r="G5019" s="28" t="s">
        <v>148</v>
      </c>
      <c r="H5019" s="28" t="s">
        <v>205</v>
      </c>
      <c r="I5019" s="29" t="n">
        <v>100000</v>
      </c>
      <c r="J5019" s="29" t="n">
        <v>50000</v>
      </c>
      <c r="K5019" s="28" t="n">
        <v>10.25</v>
      </c>
      <c r="L5019" s="28" t="n">
        <v>120</v>
      </c>
      <c r="M5019" s="28" t="n">
        <v>0</v>
      </c>
    </row>
    <row r="5020" customFormat="false" ht="15" hidden="false" customHeight="false" outlineLevel="0" collapsed="false">
      <c r="A5020" s="27" t="n">
        <v>45974</v>
      </c>
      <c r="B5020" s="28" t="n">
        <v>2026</v>
      </c>
      <c r="C5020" s="28" t="s">
        <v>172</v>
      </c>
      <c r="D5020" s="28" t="s">
        <v>46</v>
      </c>
      <c r="E5020" s="28" t="s">
        <v>770</v>
      </c>
      <c r="F5020" s="28" t="s">
        <v>147</v>
      </c>
      <c r="G5020" s="28" t="s">
        <v>148</v>
      </c>
      <c r="H5020" s="28" t="s">
        <v>159</v>
      </c>
      <c r="I5020" s="29" t="n">
        <v>100000</v>
      </c>
      <c r="J5020" s="29" t="n">
        <v>50000</v>
      </c>
      <c r="K5020" s="28" t="n">
        <v>11.5</v>
      </c>
      <c r="L5020" s="28" t="n">
        <v>120</v>
      </c>
      <c r="M5020" s="28" t="n">
        <v>10</v>
      </c>
    </row>
    <row r="5021" customFormat="false" ht="15" hidden="false" customHeight="false" outlineLevel="0" collapsed="false">
      <c r="A5021" s="27" t="n">
        <v>45974</v>
      </c>
      <c r="B5021" s="28" t="n">
        <v>2026</v>
      </c>
      <c r="C5021" s="28" t="s">
        <v>169</v>
      </c>
      <c r="D5021" s="28" t="s">
        <v>43</v>
      </c>
      <c r="E5021" s="28" t="s">
        <v>952</v>
      </c>
      <c r="F5021" s="28" t="s">
        <v>142</v>
      </c>
      <c r="G5021" s="28" t="s">
        <v>148</v>
      </c>
      <c r="H5021" s="28" t="s">
        <v>1156</v>
      </c>
      <c r="I5021" s="29" t="n">
        <v>260000</v>
      </c>
      <c r="J5021" s="29" t="n">
        <v>195000</v>
      </c>
      <c r="K5021" s="28" t="n">
        <v>9.25</v>
      </c>
      <c r="L5021" s="28" t="n">
        <v>120</v>
      </c>
      <c r="M5021" s="28" t="n">
        <v>35</v>
      </c>
    </row>
    <row r="5022" customFormat="false" ht="15" hidden="false" customHeight="false" outlineLevel="0" collapsed="false">
      <c r="A5022" s="27" t="n">
        <v>45975</v>
      </c>
      <c r="B5022" s="28" t="n">
        <v>2026</v>
      </c>
      <c r="C5022" s="28" t="s">
        <v>163</v>
      </c>
      <c r="D5022" s="28" t="s">
        <v>54</v>
      </c>
      <c r="E5022" s="28" t="s">
        <v>791</v>
      </c>
      <c r="F5022" s="28" t="s">
        <v>142</v>
      </c>
      <c r="G5022" s="28" t="s">
        <v>148</v>
      </c>
      <c r="H5022" s="28" t="s">
        <v>1150</v>
      </c>
      <c r="I5022" s="29" t="n">
        <v>150000</v>
      </c>
      <c r="J5022" s="29" t="n">
        <v>127500</v>
      </c>
      <c r="K5022" s="28" t="n">
        <v>11.5</v>
      </c>
      <c r="L5022" s="28" t="n">
        <v>120</v>
      </c>
      <c r="M5022" s="28" t="n">
        <v>4</v>
      </c>
    </row>
    <row r="5023" customFormat="false" ht="15" hidden="false" customHeight="false" outlineLevel="0" collapsed="false">
      <c r="A5023" s="27" t="n">
        <v>45975</v>
      </c>
      <c r="B5023" s="28" t="n">
        <v>2026</v>
      </c>
      <c r="C5023" s="28" t="s">
        <v>169</v>
      </c>
      <c r="D5023" s="28" t="s">
        <v>45</v>
      </c>
      <c r="E5023" s="28" t="s">
        <v>480</v>
      </c>
      <c r="F5023" s="28" t="s">
        <v>147</v>
      </c>
      <c r="G5023" s="28" t="s">
        <v>148</v>
      </c>
      <c r="H5023" s="28" t="s">
        <v>291</v>
      </c>
      <c r="I5023" s="29" t="n">
        <v>150000</v>
      </c>
      <c r="J5023" s="29" t="n">
        <v>75000</v>
      </c>
      <c r="K5023" s="28" t="n">
        <v>9.75</v>
      </c>
      <c r="L5023" s="28" t="n">
        <v>120</v>
      </c>
      <c r="M5023" s="28" t="n">
        <v>28</v>
      </c>
    </row>
    <row r="5024" customFormat="false" ht="15" hidden="false" customHeight="false" outlineLevel="0" collapsed="false">
      <c r="A5024" s="27" t="n">
        <v>45975</v>
      </c>
      <c r="B5024" s="28" t="n">
        <v>2026</v>
      </c>
      <c r="C5024" s="28" t="s">
        <v>163</v>
      </c>
      <c r="D5024" s="28" t="s">
        <v>45</v>
      </c>
      <c r="E5024" s="28" t="s">
        <v>798</v>
      </c>
      <c r="F5024" s="28" t="s">
        <v>142</v>
      </c>
      <c r="G5024" s="28" t="s">
        <v>148</v>
      </c>
      <c r="H5024" s="28" t="s">
        <v>953</v>
      </c>
      <c r="I5024" s="29" t="n">
        <v>350000</v>
      </c>
      <c r="J5024" s="29" t="n">
        <v>262500</v>
      </c>
      <c r="K5024" s="28" t="n">
        <v>10</v>
      </c>
      <c r="L5024" s="28" t="n">
        <v>120</v>
      </c>
      <c r="M5024" s="28" t="n">
        <v>12</v>
      </c>
    </row>
    <row r="5025" customFormat="false" ht="15" hidden="false" customHeight="false" outlineLevel="0" collapsed="false">
      <c r="A5025" s="27" t="n">
        <v>45975</v>
      </c>
      <c r="B5025" s="28" t="n">
        <v>2026</v>
      </c>
      <c r="C5025" s="28" t="s">
        <v>344</v>
      </c>
      <c r="D5025" s="28" t="s">
        <v>45</v>
      </c>
      <c r="E5025" s="28" t="s">
        <v>872</v>
      </c>
      <c r="F5025" s="28" t="s">
        <v>147</v>
      </c>
      <c r="G5025" s="28" t="s">
        <v>143</v>
      </c>
      <c r="H5025" s="28" t="s">
        <v>159</v>
      </c>
      <c r="I5025" s="29" t="n">
        <v>50000</v>
      </c>
      <c r="J5025" s="29" t="n">
        <v>25000</v>
      </c>
      <c r="K5025" s="28" t="n">
        <v>9.49</v>
      </c>
      <c r="L5025" s="28" t="n">
        <v>60</v>
      </c>
      <c r="M5025" s="28" t="n">
        <v>1</v>
      </c>
    </row>
    <row r="5026" customFormat="false" ht="15" hidden="false" customHeight="false" outlineLevel="0" collapsed="false">
      <c r="A5026" s="27" t="n">
        <v>45975</v>
      </c>
      <c r="B5026" s="28" t="n">
        <v>2026</v>
      </c>
      <c r="C5026" s="28" t="s">
        <v>172</v>
      </c>
      <c r="D5026" s="28" t="s">
        <v>45</v>
      </c>
      <c r="E5026" s="28" t="s">
        <v>480</v>
      </c>
      <c r="F5026" s="28" t="s">
        <v>142</v>
      </c>
      <c r="G5026" s="28" t="s">
        <v>148</v>
      </c>
      <c r="H5026" s="28" t="s">
        <v>291</v>
      </c>
      <c r="I5026" s="29" t="n">
        <v>398000</v>
      </c>
      <c r="J5026" s="29" t="n">
        <v>298500</v>
      </c>
      <c r="K5026" s="28" t="n">
        <v>9.75</v>
      </c>
      <c r="L5026" s="28" t="n">
        <v>120</v>
      </c>
      <c r="M5026" s="28" t="n">
        <v>2</v>
      </c>
    </row>
    <row r="5027" customFormat="false" ht="15" hidden="false" customHeight="false" outlineLevel="0" collapsed="false">
      <c r="A5027" s="27" t="n">
        <v>45975</v>
      </c>
      <c r="B5027" s="28" t="n">
        <v>2026</v>
      </c>
      <c r="C5027" s="28" t="s">
        <v>172</v>
      </c>
      <c r="D5027" s="28" t="s">
        <v>48</v>
      </c>
      <c r="E5027" s="28" t="s">
        <v>765</v>
      </c>
      <c r="F5027" s="28" t="s">
        <v>142</v>
      </c>
      <c r="G5027" s="28" t="s">
        <v>148</v>
      </c>
      <c r="H5027" s="28" t="s">
        <v>456</v>
      </c>
      <c r="I5027" s="29" t="n">
        <v>150000</v>
      </c>
      <c r="J5027" s="29" t="n">
        <v>127500</v>
      </c>
      <c r="K5027" s="28" t="n">
        <v>10</v>
      </c>
      <c r="L5027" s="28" t="n">
        <v>120</v>
      </c>
      <c r="M5027" s="28" t="n">
        <v>2</v>
      </c>
    </row>
    <row r="5028" customFormat="false" ht="15" hidden="false" customHeight="false" outlineLevel="0" collapsed="false">
      <c r="A5028" s="27" t="n">
        <v>45975</v>
      </c>
      <c r="B5028" s="28" t="n">
        <v>2026</v>
      </c>
      <c r="C5028" s="28" t="s">
        <v>140</v>
      </c>
      <c r="D5028" s="28" t="s">
        <v>43</v>
      </c>
      <c r="E5028" s="28" t="s">
        <v>837</v>
      </c>
      <c r="F5028" s="28" t="s">
        <v>142</v>
      </c>
      <c r="G5028" s="28" t="s">
        <v>143</v>
      </c>
      <c r="H5028" s="28" t="s">
        <v>287</v>
      </c>
      <c r="I5028" s="29" t="n">
        <v>140000</v>
      </c>
      <c r="J5028" s="29" t="n">
        <v>119000</v>
      </c>
      <c r="K5028" s="28" t="n">
        <v>10</v>
      </c>
      <c r="L5028" s="28" t="n">
        <v>120</v>
      </c>
      <c r="M5028" s="28" t="n">
        <v>2</v>
      </c>
    </row>
    <row r="5029" customFormat="false" ht="15" hidden="false" customHeight="false" outlineLevel="0" collapsed="false">
      <c r="A5029" s="27" t="n">
        <v>45975</v>
      </c>
      <c r="B5029" s="28" t="n">
        <v>2026</v>
      </c>
      <c r="C5029" s="28" t="s">
        <v>344</v>
      </c>
      <c r="D5029" s="28" t="s">
        <v>45</v>
      </c>
      <c r="E5029" s="28" t="s">
        <v>872</v>
      </c>
      <c r="F5029" s="28" t="s">
        <v>147</v>
      </c>
      <c r="G5029" s="28" t="s">
        <v>143</v>
      </c>
      <c r="H5029" s="28" t="s">
        <v>159</v>
      </c>
      <c r="I5029" s="29" t="n">
        <v>25000</v>
      </c>
      <c r="J5029" s="29" t="n">
        <v>12500</v>
      </c>
      <c r="K5029" s="28" t="n">
        <v>13.5</v>
      </c>
      <c r="L5029" s="28" t="n">
        <v>120</v>
      </c>
      <c r="M5029" s="28" t="n">
        <v>1</v>
      </c>
    </row>
    <row r="5030" customFormat="false" ht="15" hidden="false" customHeight="false" outlineLevel="0" collapsed="false">
      <c r="A5030" s="27" t="n">
        <v>45975</v>
      </c>
      <c r="B5030" s="28" t="n">
        <v>2026</v>
      </c>
      <c r="C5030" s="28" t="s">
        <v>166</v>
      </c>
      <c r="D5030" s="28" t="s">
        <v>46</v>
      </c>
      <c r="E5030" s="28" t="s">
        <v>727</v>
      </c>
      <c r="F5030" s="28" t="s">
        <v>147</v>
      </c>
      <c r="G5030" s="28" t="s">
        <v>143</v>
      </c>
      <c r="H5030" s="28" t="s">
        <v>159</v>
      </c>
      <c r="I5030" s="29" t="n">
        <v>50000</v>
      </c>
      <c r="J5030" s="29" t="n">
        <v>25000</v>
      </c>
      <c r="K5030" s="28" t="n">
        <v>10</v>
      </c>
      <c r="L5030" s="28" t="n">
        <v>60</v>
      </c>
      <c r="M5030" s="28" t="n">
        <v>4</v>
      </c>
    </row>
    <row r="5031" customFormat="false" ht="15" hidden="false" customHeight="false" outlineLevel="0" collapsed="false">
      <c r="A5031" s="27" t="n">
        <v>45975</v>
      </c>
      <c r="B5031" s="28" t="n">
        <v>2026</v>
      </c>
      <c r="C5031" s="28" t="s">
        <v>169</v>
      </c>
      <c r="D5031" s="28" t="s">
        <v>44</v>
      </c>
      <c r="E5031" s="28" t="s">
        <v>755</v>
      </c>
      <c r="F5031" s="28" t="s">
        <v>142</v>
      </c>
      <c r="G5031" s="28" t="s">
        <v>148</v>
      </c>
      <c r="H5031" s="28" t="s">
        <v>144</v>
      </c>
      <c r="I5031" s="29" t="n">
        <v>350000</v>
      </c>
      <c r="J5031" s="29" t="n">
        <v>262500</v>
      </c>
      <c r="K5031" s="28" t="n">
        <v>9.49</v>
      </c>
      <c r="L5031" s="28" t="n">
        <v>120</v>
      </c>
      <c r="M5031" s="28" t="n">
        <v>2</v>
      </c>
    </row>
    <row r="5032" customFormat="false" ht="15" hidden="false" customHeight="false" outlineLevel="0" collapsed="false">
      <c r="A5032" s="27" t="n">
        <v>45975</v>
      </c>
      <c r="B5032" s="28" t="n">
        <v>2026</v>
      </c>
      <c r="C5032" s="28" t="s">
        <v>203</v>
      </c>
      <c r="D5032" s="28" t="s">
        <v>46</v>
      </c>
      <c r="E5032" s="28" t="s">
        <v>727</v>
      </c>
      <c r="F5032" s="28" t="s">
        <v>142</v>
      </c>
      <c r="G5032" s="28" t="s">
        <v>148</v>
      </c>
      <c r="H5032" s="28" t="s">
        <v>275</v>
      </c>
      <c r="I5032" s="29" t="n">
        <v>20000</v>
      </c>
      <c r="J5032" s="29" t="n">
        <v>16000</v>
      </c>
      <c r="K5032" s="28" t="n">
        <v>13.5</v>
      </c>
      <c r="L5032" s="28" t="n">
        <v>120</v>
      </c>
      <c r="M5032" s="28" t="n">
        <v>1</v>
      </c>
    </row>
    <row r="5033" customFormat="false" ht="15" hidden="false" customHeight="false" outlineLevel="0" collapsed="false">
      <c r="A5033" s="27" t="n">
        <v>45975</v>
      </c>
      <c r="B5033" s="28" t="n">
        <v>2026</v>
      </c>
      <c r="C5033" s="28" t="s">
        <v>549</v>
      </c>
      <c r="D5033" s="28" t="s">
        <v>43</v>
      </c>
      <c r="E5033" s="28" t="s">
        <v>1000</v>
      </c>
      <c r="F5033" s="28" t="s">
        <v>147</v>
      </c>
      <c r="G5033" s="28" t="s">
        <v>148</v>
      </c>
      <c r="H5033" s="28" t="s">
        <v>953</v>
      </c>
      <c r="I5033" s="29" t="n">
        <v>350000</v>
      </c>
      <c r="J5033" s="29" t="n">
        <v>175000</v>
      </c>
      <c r="K5033" s="28" t="n">
        <v>11.5</v>
      </c>
      <c r="L5033" s="28" t="n">
        <v>120</v>
      </c>
      <c r="M5033" s="28" t="n">
        <v>1</v>
      </c>
    </row>
    <row r="5034" customFormat="false" ht="15" hidden="false" customHeight="false" outlineLevel="0" collapsed="false">
      <c r="A5034" s="27" t="n">
        <v>45975</v>
      </c>
      <c r="B5034" s="28" t="n">
        <v>2026</v>
      </c>
      <c r="C5034" s="28" t="s">
        <v>203</v>
      </c>
      <c r="D5034" s="28" t="s">
        <v>52</v>
      </c>
      <c r="E5034" s="28" t="s">
        <v>720</v>
      </c>
      <c r="F5034" s="28" t="s">
        <v>142</v>
      </c>
      <c r="G5034" s="28" t="s">
        <v>148</v>
      </c>
      <c r="H5034" s="28" t="s">
        <v>937</v>
      </c>
      <c r="I5034" s="29" t="n">
        <v>80000</v>
      </c>
      <c r="J5034" s="29" t="n">
        <v>68000</v>
      </c>
      <c r="K5034" s="28" t="n">
        <v>11.5</v>
      </c>
      <c r="L5034" s="28" t="n">
        <v>120</v>
      </c>
      <c r="M5034" s="28" t="n">
        <v>3</v>
      </c>
    </row>
    <row r="5035" customFormat="false" ht="15" hidden="false" customHeight="false" outlineLevel="0" collapsed="false">
      <c r="A5035" s="27" t="n">
        <v>45976</v>
      </c>
      <c r="B5035" s="28" t="n">
        <v>2026</v>
      </c>
      <c r="C5035" s="28" t="s">
        <v>172</v>
      </c>
      <c r="D5035" s="28" t="s">
        <v>46</v>
      </c>
      <c r="E5035" s="28" t="s">
        <v>770</v>
      </c>
      <c r="F5035" s="28" t="s">
        <v>142</v>
      </c>
      <c r="G5035" s="28" t="s">
        <v>148</v>
      </c>
      <c r="H5035" s="28" t="s">
        <v>953</v>
      </c>
      <c r="I5035" s="29" t="n">
        <v>75000</v>
      </c>
      <c r="J5035" s="29" t="n">
        <v>63750</v>
      </c>
      <c r="K5035" s="28" t="n">
        <v>10</v>
      </c>
      <c r="L5035" s="28" t="n">
        <v>120</v>
      </c>
      <c r="M5035" s="28" t="n">
        <v>10</v>
      </c>
    </row>
    <row r="5036" customFormat="false" ht="15" hidden="false" customHeight="false" outlineLevel="0" collapsed="false">
      <c r="A5036" s="27" t="n">
        <v>45978</v>
      </c>
      <c r="B5036" s="28" t="n">
        <v>2026</v>
      </c>
      <c r="C5036" s="28" t="s">
        <v>198</v>
      </c>
      <c r="D5036" s="28" t="s">
        <v>48</v>
      </c>
      <c r="E5036" s="28" t="s">
        <v>210</v>
      </c>
      <c r="F5036" s="28" t="s">
        <v>147</v>
      </c>
      <c r="G5036" s="28" t="s">
        <v>148</v>
      </c>
      <c r="H5036" s="28" t="s">
        <v>159</v>
      </c>
      <c r="I5036" s="29" t="n">
        <v>250000</v>
      </c>
      <c r="J5036" s="29" t="n">
        <v>125000</v>
      </c>
      <c r="K5036" s="28" t="n">
        <v>10.25</v>
      </c>
      <c r="L5036" s="28" t="n">
        <v>60</v>
      </c>
      <c r="M5036" s="28" t="n">
        <v>16</v>
      </c>
    </row>
    <row r="5037" customFormat="false" ht="15" hidden="false" customHeight="false" outlineLevel="0" collapsed="false">
      <c r="A5037" s="27" t="n">
        <v>45978</v>
      </c>
      <c r="B5037" s="28" t="n">
        <v>2026</v>
      </c>
      <c r="C5037" s="28" t="s">
        <v>203</v>
      </c>
      <c r="D5037" s="28" t="s">
        <v>43</v>
      </c>
      <c r="E5037" s="28" t="s">
        <v>757</v>
      </c>
      <c r="F5037" s="28" t="s">
        <v>142</v>
      </c>
      <c r="G5037" s="28" t="s">
        <v>148</v>
      </c>
      <c r="H5037" s="28" t="s">
        <v>953</v>
      </c>
      <c r="I5037" s="29" t="n">
        <v>100000</v>
      </c>
      <c r="J5037" s="29" t="n">
        <v>85000</v>
      </c>
      <c r="K5037" s="28" t="n">
        <v>10</v>
      </c>
      <c r="L5037" s="28" t="n">
        <v>120</v>
      </c>
      <c r="M5037" s="28" t="n">
        <v>4</v>
      </c>
    </row>
    <row r="5038" customFormat="false" ht="15" hidden="false" customHeight="false" outlineLevel="0" collapsed="false">
      <c r="A5038" s="27" t="n">
        <v>45978</v>
      </c>
      <c r="B5038" s="28" t="n">
        <v>2026</v>
      </c>
      <c r="C5038" s="28" t="s">
        <v>166</v>
      </c>
      <c r="D5038" s="28" t="s">
        <v>51</v>
      </c>
      <c r="E5038" s="28" t="s">
        <v>779</v>
      </c>
      <c r="F5038" s="28" t="s">
        <v>142</v>
      </c>
      <c r="G5038" s="28" t="s">
        <v>143</v>
      </c>
      <c r="H5038" s="28" t="s">
        <v>211</v>
      </c>
      <c r="I5038" s="29" t="n">
        <v>350000</v>
      </c>
      <c r="J5038" s="29" t="n">
        <v>262500</v>
      </c>
      <c r="K5038" s="28" t="n">
        <v>9.5</v>
      </c>
      <c r="L5038" s="28" t="n">
        <v>120</v>
      </c>
      <c r="M5038" s="28" t="n">
        <v>2</v>
      </c>
    </row>
    <row r="5039" customFormat="false" ht="15" hidden="false" customHeight="false" outlineLevel="0" collapsed="false">
      <c r="A5039" s="27" t="n">
        <v>45978</v>
      </c>
      <c r="B5039" s="28" t="n">
        <v>2026</v>
      </c>
      <c r="C5039" s="28" t="s">
        <v>172</v>
      </c>
      <c r="D5039" s="28" t="s">
        <v>53</v>
      </c>
      <c r="E5039" s="28" t="s">
        <v>868</v>
      </c>
      <c r="F5039" s="28" t="s">
        <v>147</v>
      </c>
      <c r="G5039" s="28" t="s">
        <v>143</v>
      </c>
      <c r="H5039" s="28" t="s">
        <v>159</v>
      </c>
      <c r="I5039" s="29" t="n">
        <v>25000</v>
      </c>
      <c r="J5039" s="29" t="n">
        <v>12500</v>
      </c>
      <c r="K5039" s="28" t="n">
        <v>13.5</v>
      </c>
      <c r="L5039" s="28" t="n">
        <v>120</v>
      </c>
      <c r="M5039" s="28" t="n">
        <v>0</v>
      </c>
    </row>
    <row r="5040" customFormat="false" ht="15" hidden="false" customHeight="false" outlineLevel="0" collapsed="false">
      <c r="A5040" s="27" t="n">
        <v>45978</v>
      </c>
      <c r="B5040" s="28" t="n">
        <v>2026</v>
      </c>
      <c r="C5040" s="28" t="s">
        <v>166</v>
      </c>
      <c r="D5040" s="28" t="s">
        <v>51</v>
      </c>
      <c r="E5040" s="28" t="s">
        <v>779</v>
      </c>
      <c r="F5040" s="28" t="s">
        <v>147</v>
      </c>
      <c r="G5040" s="28" t="s">
        <v>143</v>
      </c>
      <c r="H5040" s="28" t="s">
        <v>211</v>
      </c>
      <c r="I5040" s="29" t="n">
        <v>50000</v>
      </c>
      <c r="J5040" s="29" t="n">
        <v>25000</v>
      </c>
      <c r="K5040" s="28" t="n">
        <v>9.5</v>
      </c>
      <c r="L5040" s="28" t="n">
        <v>120</v>
      </c>
      <c r="M5040" s="28" t="n">
        <v>2</v>
      </c>
    </row>
    <row r="5041" customFormat="false" ht="15" hidden="false" customHeight="false" outlineLevel="0" collapsed="false">
      <c r="A5041" s="27" t="n">
        <v>45978</v>
      </c>
      <c r="B5041" s="28" t="n">
        <v>2026</v>
      </c>
      <c r="C5041" s="28" t="s">
        <v>169</v>
      </c>
      <c r="D5041" s="28" t="s">
        <v>42</v>
      </c>
      <c r="E5041" s="28" t="s">
        <v>717</v>
      </c>
      <c r="F5041" s="28" t="s">
        <v>142</v>
      </c>
      <c r="G5041" s="28" t="s">
        <v>148</v>
      </c>
      <c r="H5041" s="28" t="s">
        <v>159</v>
      </c>
      <c r="I5041" s="29" t="n">
        <v>300000</v>
      </c>
      <c r="J5041" s="29" t="n">
        <v>225000</v>
      </c>
      <c r="K5041" s="28" t="n">
        <v>9</v>
      </c>
      <c r="L5041" s="28" t="n">
        <v>126</v>
      </c>
      <c r="M5041" s="28" t="n">
        <v>8</v>
      </c>
    </row>
    <row r="5042" customFormat="false" ht="15" hidden="false" customHeight="false" outlineLevel="0" collapsed="false">
      <c r="A5042" s="27" t="n">
        <v>45978</v>
      </c>
      <c r="B5042" s="28" t="n">
        <v>2026</v>
      </c>
      <c r="C5042" s="28" t="s">
        <v>163</v>
      </c>
      <c r="D5042" s="28" t="s">
        <v>42</v>
      </c>
      <c r="E5042" s="28" t="s">
        <v>717</v>
      </c>
      <c r="F5042" s="28" t="s">
        <v>142</v>
      </c>
      <c r="G5042" s="28" t="s">
        <v>148</v>
      </c>
      <c r="H5042" s="28" t="s">
        <v>1167</v>
      </c>
      <c r="I5042" s="29" t="n">
        <v>245000</v>
      </c>
      <c r="J5042" s="29" t="n">
        <v>183750</v>
      </c>
      <c r="K5042" s="28" t="n">
        <v>12</v>
      </c>
      <c r="L5042" s="28" t="n">
        <v>54</v>
      </c>
      <c r="M5042" s="28" t="n">
        <v>6</v>
      </c>
    </row>
    <row r="5043" customFormat="false" ht="15" hidden="false" customHeight="false" outlineLevel="0" collapsed="false">
      <c r="A5043" s="27" t="n">
        <v>45978</v>
      </c>
      <c r="B5043" s="28" t="n">
        <v>2026</v>
      </c>
      <c r="C5043" s="28" t="s">
        <v>166</v>
      </c>
      <c r="D5043" s="28" t="s">
        <v>52</v>
      </c>
      <c r="E5043" s="28" t="s">
        <v>604</v>
      </c>
      <c r="F5043" s="28" t="s">
        <v>142</v>
      </c>
      <c r="G5043" s="28" t="s">
        <v>148</v>
      </c>
      <c r="H5043" s="28" t="s">
        <v>937</v>
      </c>
      <c r="I5043" s="29" t="n">
        <v>350000</v>
      </c>
      <c r="J5043" s="29" t="n">
        <v>262500</v>
      </c>
      <c r="K5043" s="28" t="n">
        <v>11.5</v>
      </c>
      <c r="L5043" s="28" t="n">
        <v>120</v>
      </c>
      <c r="M5043" s="28" t="n">
        <v>54</v>
      </c>
    </row>
    <row r="5044" customFormat="false" ht="15" hidden="false" customHeight="false" outlineLevel="0" collapsed="false">
      <c r="A5044" s="27" t="n">
        <v>45978</v>
      </c>
      <c r="B5044" s="28" t="n">
        <v>2026</v>
      </c>
      <c r="C5044" s="28" t="s">
        <v>169</v>
      </c>
      <c r="D5044" s="28" t="s">
        <v>42</v>
      </c>
      <c r="E5044" s="28" t="s">
        <v>717</v>
      </c>
      <c r="F5044" s="28" t="s">
        <v>147</v>
      </c>
      <c r="G5044" s="28" t="s">
        <v>148</v>
      </c>
      <c r="H5044" s="28" t="s">
        <v>159</v>
      </c>
      <c r="I5044" s="29" t="n">
        <v>25000</v>
      </c>
      <c r="J5044" s="29" t="n">
        <v>12500</v>
      </c>
      <c r="K5044" s="28" t="n">
        <v>9</v>
      </c>
      <c r="L5044" s="28" t="n">
        <v>120</v>
      </c>
      <c r="M5044" s="28" t="n">
        <v>8</v>
      </c>
    </row>
    <row r="5045" customFormat="false" ht="15" hidden="false" customHeight="false" outlineLevel="0" collapsed="false">
      <c r="A5045" s="27" t="n">
        <v>45978</v>
      </c>
      <c r="B5045" s="28" t="n">
        <v>2026</v>
      </c>
      <c r="C5045" s="28" t="s">
        <v>252</v>
      </c>
      <c r="D5045" s="28" t="s">
        <v>52</v>
      </c>
      <c r="E5045" s="28" t="s">
        <v>720</v>
      </c>
      <c r="F5045" s="28" t="s">
        <v>142</v>
      </c>
      <c r="G5045" s="28" t="s">
        <v>148</v>
      </c>
      <c r="H5045" s="28" t="s">
        <v>937</v>
      </c>
      <c r="I5045" s="29" t="n">
        <v>125000</v>
      </c>
      <c r="J5045" s="29" t="n">
        <v>106250</v>
      </c>
      <c r="K5045" s="28" t="n">
        <v>11.5</v>
      </c>
      <c r="L5045" s="28" t="n">
        <v>120</v>
      </c>
      <c r="M5045" s="28" t="n">
        <v>4</v>
      </c>
    </row>
    <row r="5046" customFormat="false" ht="15" hidden="false" customHeight="false" outlineLevel="0" collapsed="false">
      <c r="A5046" s="27" t="n">
        <v>45979</v>
      </c>
      <c r="B5046" s="28" t="n">
        <v>2026</v>
      </c>
      <c r="C5046" s="28" t="s">
        <v>160</v>
      </c>
      <c r="D5046" s="28" t="s">
        <v>43</v>
      </c>
      <c r="E5046" s="28" t="s">
        <v>787</v>
      </c>
      <c r="F5046" s="28" t="s">
        <v>142</v>
      </c>
      <c r="G5046" s="28" t="s">
        <v>152</v>
      </c>
      <c r="H5046" s="28" t="s">
        <v>463</v>
      </c>
      <c r="I5046" s="29" t="n">
        <v>3378000</v>
      </c>
      <c r="J5046" s="29" t="n">
        <v>2533500</v>
      </c>
      <c r="K5046" s="28" t="n">
        <v>8.75</v>
      </c>
      <c r="L5046" s="28" t="n">
        <v>196</v>
      </c>
      <c r="M5046" s="28" t="n">
        <v>6</v>
      </c>
    </row>
    <row r="5047" customFormat="false" ht="15" hidden="false" customHeight="false" outlineLevel="0" collapsed="false">
      <c r="A5047" s="27" t="n">
        <v>45979</v>
      </c>
      <c r="B5047" s="28" t="n">
        <v>2026</v>
      </c>
      <c r="C5047" s="28" t="s">
        <v>183</v>
      </c>
      <c r="D5047" s="28" t="s">
        <v>42</v>
      </c>
      <c r="E5047" s="28" t="s">
        <v>945</v>
      </c>
      <c r="F5047" s="28" t="s">
        <v>142</v>
      </c>
      <c r="G5047" s="28" t="s">
        <v>148</v>
      </c>
      <c r="H5047" s="28" t="s">
        <v>269</v>
      </c>
      <c r="I5047" s="29" t="n">
        <v>36900</v>
      </c>
      <c r="J5047" s="29" t="n">
        <v>31365</v>
      </c>
      <c r="K5047" s="28" t="n">
        <v>10.75</v>
      </c>
      <c r="L5047" s="28" t="n">
        <v>120</v>
      </c>
      <c r="M5047" s="28" t="n">
        <v>2</v>
      </c>
    </row>
    <row r="5048" customFormat="false" ht="15" hidden="false" customHeight="false" outlineLevel="0" collapsed="false">
      <c r="A5048" s="27" t="n">
        <v>45979</v>
      </c>
      <c r="B5048" s="28" t="n">
        <v>2026</v>
      </c>
      <c r="C5048" s="28" t="s">
        <v>160</v>
      </c>
      <c r="D5048" s="28" t="s">
        <v>48</v>
      </c>
      <c r="E5048" s="28" t="s">
        <v>905</v>
      </c>
      <c r="F5048" s="28" t="s">
        <v>147</v>
      </c>
      <c r="G5048" s="28" t="s">
        <v>148</v>
      </c>
      <c r="H5048" s="28" t="s">
        <v>159</v>
      </c>
      <c r="I5048" s="29" t="n">
        <v>60000</v>
      </c>
      <c r="J5048" s="29" t="n">
        <v>30000</v>
      </c>
      <c r="K5048" s="28" t="n">
        <v>11.75</v>
      </c>
      <c r="L5048" s="28" t="n">
        <v>120</v>
      </c>
      <c r="M5048" s="28" t="n">
        <v>6</v>
      </c>
    </row>
    <row r="5049" customFormat="false" ht="15" hidden="false" customHeight="false" outlineLevel="0" collapsed="false">
      <c r="A5049" s="27" t="n">
        <v>45979</v>
      </c>
      <c r="B5049" s="28" t="n">
        <v>2026</v>
      </c>
      <c r="C5049" s="28" t="s">
        <v>172</v>
      </c>
      <c r="D5049" s="28" t="s">
        <v>51</v>
      </c>
      <c r="E5049" s="28" t="s">
        <v>848</v>
      </c>
      <c r="F5049" s="28" t="s">
        <v>147</v>
      </c>
      <c r="G5049" s="28" t="s">
        <v>441</v>
      </c>
      <c r="H5049" s="28" t="s">
        <v>605</v>
      </c>
      <c r="I5049" s="29" t="n">
        <v>100000</v>
      </c>
      <c r="J5049" s="29" t="n">
        <v>50000</v>
      </c>
      <c r="K5049" s="28" t="n">
        <v>10</v>
      </c>
      <c r="L5049" s="28" t="n">
        <v>120</v>
      </c>
      <c r="M5049" s="28" t="n">
        <v>30</v>
      </c>
    </row>
    <row r="5050" customFormat="false" ht="15" hidden="false" customHeight="false" outlineLevel="0" collapsed="false">
      <c r="A5050" s="27" t="n">
        <v>45979</v>
      </c>
      <c r="B5050" s="28" t="n">
        <v>2026</v>
      </c>
      <c r="C5050" s="28" t="s">
        <v>344</v>
      </c>
      <c r="D5050" s="28" t="s">
        <v>48</v>
      </c>
      <c r="E5050" s="28" t="s">
        <v>709</v>
      </c>
      <c r="F5050" s="28" t="s">
        <v>147</v>
      </c>
      <c r="G5050" s="28" t="s">
        <v>148</v>
      </c>
      <c r="H5050" s="28" t="s">
        <v>428</v>
      </c>
      <c r="I5050" s="29" t="n">
        <v>200000</v>
      </c>
      <c r="J5050" s="29" t="n">
        <v>100000</v>
      </c>
      <c r="K5050" s="28" t="n">
        <v>9.9</v>
      </c>
      <c r="L5050" s="28" t="n">
        <v>120</v>
      </c>
      <c r="M5050" s="28" t="n">
        <v>2</v>
      </c>
    </row>
    <row r="5051" customFormat="false" ht="15" hidden="false" customHeight="false" outlineLevel="0" collapsed="false">
      <c r="A5051" s="27" t="n">
        <v>45980</v>
      </c>
      <c r="B5051" s="28" t="n">
        <v>2026</v>
      </c>
      <c r="C5051" s="28" t="s">
        <v>166</v>
      </c>
      <c r="D5051" s="28" t="s">
        <v>51</v>
      </c>
      <c r="E5051" s="28" t="s">
        <v>779</v>
      </c>
      <c r="F5051" s="28" t="s">
        <v>142</v>
      </c>
      <c r="G5051" s="28" t="s">
        <v>148</v>
      </c>
      <c r="H5051" s="28" t="s">
        <v>953</v>
      </c>
      <c r="I5051" s="29" t="n">
        <v>200000</v>
      </c>
      <c r="J5051" s="29" t="n">
        <v>150000</v>
      </c>
      <c r="K5051" s="28" t="n">
        <v>10</v>
      </c>
      <c r="L5051" s="28" t="n">
        <v>120</v>
      </c>
      <c r="M5051" s="28" t="n">
        <v>4</v>
      </c>
    </row>
    <row r="5052" customFormat="false" ht="15" hidden="false" customHeight="false" outlineLevel="0" collapsed="false">
      <c r="A5052" s="27" t="n">
        <v>45980</v>
      </c>
      <c r="B5052" s="28" t="n">
        <v>2026</v>
      </c>
      <c r="C5052" s="28" t="s">
        <v>172</v>
      </c>
      <c r="D5052" s="28" t="s">
        <v>48</v>
      </c>
      <c r="E5052" s="28" t="s">
        <v>815</v>
      </c>
      <c r="F5052" s="28" t="s">
        <v>147</v>
      </c>
      <c r="G5052" s="28" t="s">
        <v>148</v>
      </c>
      <c r="H5052" s="28" t="s">
        <v>605</v>
      </c>
      <c r="I5052" s="29" t="n">
        <v>50000</v>
      </c>
      <c r="J5052" s="29" t="n">
        <v>25000</v>
      </c>
      <c r="K5052" s="28" t="n">
        <v>10</v>
      </c>
      <c r="L5052" s="28" t="n">
        <v>120</v>
      </c>
      <c r="M5052" s="28" t="n">
        <v>12</v>
      </c>
    </row>
    <row r="5053" customFormat="false" ht="15" hidden="false" customHeight="false" outlineLevel="0" collapsed="false">
      <c r="A5053" s="27" t="n">
        <v>45980</v>
      </c>
      <c r="B5053" s="28" t="n">
        <v>2026</v>
      </c>
      <c r="C5053" s="28" t="s">
        <v>318</v>
      </c>
      <c r="D5053" s="28" t="s">
        <v>44</v>
      </c>
      <c r="E5053" s="28" t="s">
        <v>983</v>
      </c>
      <c r="F5053" s="28" t="s">
        <v>142</v>
      </c>
      <c r="G5053" s="28" t="s">
        <v>148</v>
      </c>
      <c r="H5053" s="28" t="s">
        <v>633</v>
      </c>
      <c r="I5053" s="29" t="n">
        <v>2000000</v>
      </c>
      <c r="J5053" s="29" t="n">
        <v>1500000</v>
      </c>
      <c r="K5053" s="28" t="n">
        <v>9.75</v>
      </c>
      <c r="L5053" s="28" t="n">
        <v>120</v>
      </c>
      <c r="M5053" s="28" t="n">
        <v>36</v>
      </c>
    </row>
    <row r="5054" customFormat="false" ht="15" hidden="false" customHeight="false" outlineLevel="0" collapsed="false">
      <c r="A5054" s="27" t="n">
        <v>45980</v>
      </c>
      <c r="B5054" s="28" t="n">
        <v>2026</v>
      </c>
      <c r="C5054" s="28" t="s">
        <v>292</v>
      </c>
      <c r="D5054" s="28" t="s">
        <v>46</v>
      </c>
      <c r="E5054" s="28" t="s">
        <v>813</v>
      </c>
      <c r="F5054" s="28" t="s">
        <v>142</v>
      </c>
      <c r="G5054" s="28" t="s">
        <v>152</v>
      </c>
      <c r="H5054" s="28" t="s">
        <v>144</v>
      </c>
      <c r="I5054" s="29" t="n">
        <v>1525000</v>
      </c>
      <c r="J5054" s="29" t="n">
        <v>1143750</v>
      </c>
      <c r="K5054" s="28" t="n">
        <v>8</v>
      </c>
      <c r="L5054" s="28" t="n">
        <v>120</v>
      </c>
      <c r="M5054" s="28" t="n">
        <v>8</v>
      </c>
    </row>
    <row r="5055" customFormat="false" ht="15" hidden="false" customHeight="false" outlineLevel="0" collapsed="false">
      <c r="A5055" s="27" t="n">
        <v>45980</v>
      </c>
      <c r="B5055" s="28" t="n">
        <v>2026</v>
      </c>
      <c r="C5055" s="28" t="s">
        <v>201</v>
      </c>
      <c r="D5055" s="28" t="s">
        <v>57</v>
      </c>
      <c r="E5055" s="28" t="s">
        <v>1172</v>
      </c>
      <c r="F5055" s="28" t="s">
        <v>142</v>
      </c>
      <c r="G5055" s="28" t="s">
        <v>148</v>
      </c>
      <c r="H5055" s="28" t="s">
        <v>953</v>
      </c>
      <c r="I5055" s="29" t="n">
        <v>350000</v>
      </c>
      <c r="J5055" s="29" t="n">
        <v>262500</v>
      </c>
      <c r="K5055" s="28" t="n">
        <v>10</v>
      </c>
      <c r="L5055" s="28" t="n">
        <v>120</v>
      </c>
      <c r="M5055" s="28" t="n">
        <v>8</v>
      </c>
    </row>
    <row r="5056" customFormat="false" ht="15" hidden="false" customHeight="false" outlineLevel="0" collapsed="false">
      <c r="A5056" s="27" t="n">
        <v>45980</v>
      </c>
      <c r="B5056" s="28" t="n">
        <v>2026</v>
      </c>
      <c r="C5056" s="28" t="s">
        <v>303</v>
      </c>
      <c r="D5056" s="28" t="s">
        <v>51</v>
      </c>
      <c r="E5056" s="28" t="s">
        <v>779</v>
      </c>
      <c r="F5056" s="28" t="s">
        <v>142</v>
      </c>
      <c r="G5056" s="28" t="s">
        <v>143</v>
      </c>
      <c r="H5056" s="28" t="s">
        <v>211</v>
      </c>
      <c r="I5056" s="29" t="n">
        <v>226000</v>
      </c>
      <c r="J5056" s="29" t="n">
        <v>169500</v>
      </c>
      <c r="K5056" s="28" t="n">
        <v>10</v>
      </c>
      <c r="L5056" s="28" t="n">
        <v>120</v>
      </c>
      <c r="M5056" s="28" t="n">
        <v>6</v>
      </c>
    </row>
    <row r="5057" customFormat="false" ht="15" hidden="false" customHeight="false" outlineLevel="0" collapsed="false">
      <c r="A5057" s="27" t="n">
        <v>45980</v>
      </c>
      <c r="B5057" s="28" t="n">
        <v>2026</v>
      </c>
      <c r="C5057" s="28" t="s">
        <v>252</v>
      </c>
      <c r="D5057" s="28" t="s">
        <v>44</v>
      </c>
      <c r="E5057" s="28" t="s">
        <v>863</v>
      </c>
      <c r="F5057" s="28" t="s">
        <v>142</v>
      </c>
      <c r="G5057" s="28" t="s">
        <v>148</v>
      </c>
      <c r="H5057" s="28" t="s">
        <v>1150</v>
      </c>
      <c r="I5057" s="29" t="n">
        <v>150000</v>
      </c>
      <c r="J5057" s="29" t="n">
        <v>127500</v>
      </c>
      <c r="K5057" s="28" t="n">
        <v>11.5</v>
      </c>
      <c r="L5057" s="28" t="n">
        <v>120</v>
      </c>
      <c r="M5057" s="28" t="n">
        <v>1</v>
      </c>
    </row>
    <row r="5058" customFormat="false" ht="15" hidden="false" customHeight="false" outlineLevel="0" collapsed="false">
      <c r="A5058" s="27" t="n">
        <v>45980</v>
      </c>
      <c r="B5058" s="28" t="n">
        <v>2026</v>
      </c>
      <c r="C5058" s="28" t="s">
        <v>166</v>
      </c>
      <c r="D5058" s="28" t="s">
        <v>45</v>
      </c>
      <c r="E5058" s="28" t="s">
        <v>356</v>
      </c>
      <c r="F5058" s="28" t="s">
        <v>147</v>
      </c>
      <c r="G5058" s="28" t="s">
        <v>148</v>
      </c>
      <c r="H5058" s="28" t="s">
        <v>205</v>
      </c>
      <c r="I5058" s="29" t="n">
        <v>75000</v>
      </c>
      <c r="J5058" s="29" t="n">
        <v>37500</v>
      </c>
      <c r="K5058" s="28" t="n">
        <v>10</v>
      </c>
      <c r="L5058" s="28" t="n">
        <v>120</v>
      </c>
      <c r="M5058" s="28" t="n">
        <v>0</v>
      </c>
    </row>
    <row r="5059" customFormat="false" ht="15" hidden="false" customHeight="false" outlineLevel="0" collapsed="false">
      <c r="A5059" s="27" t="n">
        <v>45981</v>
      </c>
      <c r="B5059" s="28" t="n">
        <v>2026</v>
      </c>
      <c r="C5059" s="28" t="s">
        <v>263</v>
      </c>
      <c r="D5059" s="28" t="s">
        <v>43</v>
      </c>
      <c r="E5059" s="28" t="s">
        <v>958</v>
      </c>
      <c r="F5059" s="28" t="s">
        <v>147</v>
      </c>
      <c r="G5059" s="28" t="s">
        <v>148</v>
      </c>
      <c r="H5059" s="28" t="s">
        <v>159</v>
      </c>
      <c r="I5059" s="29" t="n">
        <v>50000</v>
      </c>
      <c r="J5059" s="29" t="n">
        <v>25000</v>
      </c>
      <c r="K5059" s="28" t="n">
        <v>10.75</v>
      </c>
      <c r="L5059" s="28" t="n">
        <v>120</v>
      </c>
      <c r="M5059" s="28" t="n">
        <v>5</v>
      </c>
    </row>
    <row r="5060" customFormat="false" ht="15" hidden="false" customHeight="false" outlineLevel="0" collapsed="false">
      <c r="A5060" s="27" t="n">
        <v>45981</v>
      </c>
      <c r="B5060" s="28" t="n">
        <v>2026</v>
      </c>
      <c r="C5060" s="28" t="s">
        <v>318</v>
      </c>
      <c r="D5060" s="28" t="s">
        <v>44</v>
      </c>
      <c r="E5060" s="28" t="s">
        <v>983</v>
      </c>
      <c r="F5060" s="28" t="s">
        <v>147</v>
      </c>
      <c r="G5060" s="28" t="s">
        <v>148</v>
      </c>
      <c r="H5060" s="28" t="s">
        <v>633</v>
      </c>
      <c r="I5060" s="29" t="n">
        <v>250000</v>
      </c>
      <c r="J5060" s="29" t="n">
        <v>125000</v>
      </c>
      <c r="K5060" s="28" t="n">
        <v>9.75</v>
      </c>
      <c r="L5060" s="28" t="n">
        <v>120</v>
      </c>
      <c r="M5060" s="28" t="n">
        <v>36</v>
      </c>
    </row>
    <row r="5061" customFormat="false" ht="15" hidden="false" customHeight="false" outlineLevel="0" collapsed="false">
      <c r="A5061" s="27" t="n">
        <v>45981</v>
      </c>
      <c r="B5061" s="28" t="n">
        <v>2026</v>
      </c>
      <c r="C5061" s="28" t="s">
        <v>198</v>
      </c>
      <c r="D5061" s="28" t="s">
        <v>44</v>
      </c>
      <c r="E5061" s="28" t="s">
        <v>897</v>
      </c>
      <c r="F5061" s="28" t="s">
        <v>147</v>
      </c>
      <c r="G5061" s="28" t="s">
        <v>441</v>
      </c>
      <c r="H5061" s="28" t="s">
        <v>159</v>
      </c>
      <c r="I5061" s="29" t="n">
        <v>25000</v>
      </c>
      <c r="J5061" s="29" t="n">
        <v>12500</v>
      </c>
      <c r="K5061" s="28" t="n">
        <v>13.5</v>
      </c>
      <c r="L5061" s="28" t="n">
        <v>120</v>
      </c>
      <c r="M5061" s="28" t="n">
        <v>2</v>
      </c>
    </row>
    <row r="5062" customFormat="false" ht="15" hidden="false" customHeight="false" outlineLevel="0" collapsed="false">
      <c r="A5062" s="27" t="n">
        <v>45981</v>
      </c>
      <c r="B5062" s="28" t="n">
        <v>2026</v>
      </c>
      <c r="C5062" s="28" t="s">
        <v>172</v>
      </c>
      <c r="D5062" s="28" t="s">
        <v>43</v>
      </c>
      <c r="E5062" s="28" t="s">
        <v>788</v>
      </c>
      <c r="F5062" s="28" t="s">
        <v>142</v>
      </c>
      <c r="G5062" s="28" t="s">
        <v>148</v>
      </c>
      <c r="H5062" s="28" t="s">
        <v>1150</v>
      </c>
      <c r="I5062" s="29" t="n">
        <v>110000</v>
      </c>
      <c r="J5062" s="29" t="n">
        <v>93500</v>
      </c>
      <c r="K5062" s="28" t="n">
        <v>11.5</v>
      </c>
      <c r="L5062" s="28" t="n">
        <v>120</v>
      </c>
      <c r="M5062" s="28" t="n">
        <v>5</v>
      </c>
    </row>
    <row r="5063" customFormat="false" ht="15" hidden="false" customHeight="false" outlineLevel="0" collapsed="false">
      <c r="A5063" s="27" t="n">
        <v>45981</v>
      </c>
      <c r="B5063" s="28" t="n">
        <v>2026</v>
      </c>
      <c r="C5063" s="28" t="s">
        <v>344</v>
      </c>
      <c r="D5063" s="28" t="s">
        <v>50</v>
      </c>
      <c r="E5063" s="28" t="s">
        <v>951</v>
      </c>
      <c r="F5063" s="28" t="s">
        <v>147</v>
      </c>
      <c r="G5063" s="28" t="s">
        <v>143</v>
      </c>
      <c r="H5063" s="28" t="s">
        <v>159</v>
      </c>
      <c r="I5063" s="29" t="n">
        <v>25000</v>
      </c>
      <c r="J5063" s="29" t="n">
        <v>12500</v>
      </c>
      <c r="K5063" s="28" t="n">
        <v>9.5</v>
      </c>
      <c r="L5063" s="28" t="n">
        <v>120</v>
      </c>
      <c r="M5063" s="28" t="n">
        <v>5</v>
      </c>
    </row>
    <row r="5064" customFormat="false" ht="15" hidden="false" customHeight="false" outlineLevel="0" collapsed="false">
      <c r="A5064" s="27" t="n">
        <v>45981</v>
      </c>
      <c r="B5064" s="28" t="n">
        <v>2026</v>
      </c>
      <c r="C5064" s="28" t="s">
        <v>172</v>
      </c>
      <c r="D5064" s="28" t="s">
        <v>42</v>
      </c>
      <c r="E5064" s="28" t="s">
        <v>176</v>
      </c>
      <c r="F5064" s="28" t="s">
        <v>142</v>
      </c>
      <c r="G5064" s="28" t="s">
        <v>148</v>
      </c>
      <c r="H5064" s="28" t="s">
        <v>1150</v>
      </c>
      <c r="I5064" s="29" t="n">
        <v>150000</v>
      </c>
      <c r="J5064" s="29" t="n">
        <v>127500</v>
      </c>
      <c r="K5064" s="28" t="n">
        <v>12.75</v>
      </c>
      <c r="L5064" s="28" t="n">
        <v>120</v>
      </c>
      <c r="M5064" s="28" t="n">
        <v>0</v>
      </c>
    </row>
    <row r="5065" customFormat="false" ht="15" hidden="false" customHeight="false" outlineLevel="0" collapsed="false">
      <c r="A5065" s="27" t="n">
        <v>45981</v>
      </c>
      <c r="B5065" s="28" t="n">
        <v>2026</v>
      </c>
      <c r="C5065" s="28" t="s">
        <v>198</v>
      </c>
      <c r="D5065" s="28" t="s">
        <v>45</v>
      </c>
      <c r="E5065" s="28" t="s">
        <v>835</v>
      </c>
      <c r="F5065" s="28" t="s">
        <v>147</v>
      </c>
      <c r="G5065" s="28" t="s">
        <v>148</v>
      </c>
      <c r="H5065" s="28" t="s">
        <v>159</v>
      </c>
      <c r="I5065" s="29" t="n">
        <v>48000</v>
      </c>
      <c r="J5065" s="29" t="n">
        <v>24000</v>
      </c>
      <c r="K5065" s="28" t="n">
        <v>11.74</v>
      </c>
      <c r="L5065" s="28" t="n">
        <v>60</v>
      </c>
      <c r="M5065" s="28" t="n">
        <v>3</v>
      </c>
    </row>
    <row r="5066" customFormat="false" ht="15" hidden="false" customHeight="false" outlineLevel="0" collapsed="false">
      <c r="A5066" s="27" t="n">
        <v>45981</v>
      </c>
      <c r="B5066" s="28" t="n">
        <v>2026</v>
      </c>
      <c r="C5066" s="28" t="s">
        <v>172</v>
      </c>
      <c r="D5066" s="28" t="s">
        <v>46</v>
      </c>
      <c r="E5066" s="28" t="s">
        <v>806</v>
      </c>
      <c r="F5066" s="28" t="s">
        <v>142</v>
      </c>
      <c r="G5066" s="28" t="s">
        <v>148</v>
      </c>
      <c r="H5066" s="28" t="s">
        <v>619</v>
      </c>
      <c r="I5066" s="29" t="n">
        <v>474600</v>
      </c>
      <c r="J5066" s="29" t="n">
        <v>355950</v>
      </c>
      <c r="K5066" s="28" t="n">
        <v>10</v>
      </c>
      <c r="L5066" s="28" t="n">
        <v>300</v>
      </c>
      <c r="M5066" s="28" t="n">
        <v>2</v>
      </c>
    </row>
    <row r="5067" customFormat="false" ht="15" hidden="false" customHeight="false" outlineLevel="0" collapsed="false">
      <c r="A5067" s="27" t="n">
        <v>45981</v>
      </c>
      <c r="B5067" s="28" t="n">
        <v>2026</v>
      </c>
      <c r="C5067" s="28" t="s">
        <v>344</v>
      </c>
      <c r="D5067" s="28" t="s">
        <v>50</v>
      </c>
      <c r="E5067" s="28" t="s">
        <v>951</v>
      </c>
      <c r="F5067" s="28" t="s">
        <v>147</v>
      </c>
      <c r="G5067" s="28" t="s">
        <v>143</v>
      </c>
      <c r="H5067" s="28" t="s">
        <v>159</v>
      </c>
      <c r="I5067" s="29" t="n">
        <v>306000</v>
      </c>
      <c r="J5067" s="29" t="n">
        <v>153000</v>
      </c>
      <c r="K5067" s="28" t="n">
        <v>9.25</v>
      </c>
      <c r="L5067" s="28" t="n">
        <v>120</v>
      </c>
      <c r="M5067" s="28" t="n">
        <v>5</v>
      </c>
    </row>
    <row r="5068" customFormat="false" ht="15" hidden="false" customHeight="false" outlineLevel="0" collapsed="false">
      <c r="A5068" s="27" t="n">
        <v>45981</v>
      </c>
      <c r="B5068" s="28" t="n">
        <v>2026</v>
      </c>
      <c r="C5068" s="28" t="s">
        <v>198</v>
      </c>
      <c r="D5068" s="28" t="s">
        <v>45</v>
      </c>
      <c r="E5068" s="28" t="s">
        <v>835</v>
      </c>
      <c r="F5068" s="28" t="s">
        <v>147</v>
      </c>
      <c r="G5068" s="28" t="s">
        <v>148</v>
      </c>
      <c r="H5068" s="28" t="s">
        <v>159</v>
      </c>
      <c r="I5068" s="29" t="n">
        <v>50000</v>
      </c>
      <c r="J5068" s="29" t="n">
        <v>25000</v>
      </c>
      <c r="K5068" s="28" t="n">
        <v>13.5</v>
      </c>
      <c r="L5068" s="28" t="n">
        <v>120</v>
      </c>
      <c r="M5068" s="28" t="n">
        <v>3</v>
      </c>
    </row>
    <row r="5069" customFormat="false" ht="15" hidden="false" customHeight="false" outlineLevel="0" collapsed="false">
      <c r="A5069" s="27" t="n">
        <v>45981</v>
      </c>
      <c r="B5069" s="28" t="n">
        <v>2026</v>
      </c>
      <c r="C5069" s="28" t="s">
        <v>603</v>
      </c>
      <c r="D5069" s="28" t="s">
        <v>51</v>
      </c>
      <c r="E5069" s="28" t="s">
        <v>779</v>
      </c>
      <c r="F5069" s="28" t="s">
        <v>147</v>
      </c>
      <c r="G5069" s="28" t="s">
        <v>148</v>
      </c>
      <c r="H5069" s="28" t="s">
        <v>633</v>
      </c>
      <c r="I5069" s="29" t="n">
        <v>50000</v>
      </c>
      <c r="J5069" s="29" t="n">
        <v>25000</v>
      </c>
      <c r="K5069" s="28" t="n">
        <v>10</v>
      </c>
      <c r="L5069" s="28" t="n">
        <v>120</v>
      </c>
      <c r="M5069" s="28" t="n">
        <v>4</v>
      </c>
    </row>
    <row r="5070" customFormat="false" ht="15" hidden="false" customHeight="false" outlineLevel="0" collapsed="false">
      <c r="A5070" s="27" t="n">
        <v>45985</v>
      </c>
      <c r="B5070" s="28" t="n">
        <v>2026</v>
      </c>
      <c r="C5070" s="28" t="s">
        <v>145</v>
      </c>
      <c r="D5070" s="28" t="s">
        <v>42</v>
      </c>
      <c r="E5070" s="28" t="s">
        <v>753</v>
      </c>
      <c r="F5070" s="28" t="s">
        <v>142</v>
      </c>
      <c r="G5070" s="28" t="s">
        <v>143</v>
      </c>
      <c r="H5070" s="28" t="s">
        <v>605</v>
      </c>
      <c r="I5070" s="29" t="n">
        <v>500000</v>
      </c>
      <c r="J5070" s="29" t="n">
        <v>375000</v>
      </c>
      <c r="K5070" s="28" t="n">
        <v>10</v>
      </c>
      <c r="L5070" s="28" t="n">
        <v>126</v>
      </c>
      <c r="M5070" s="28" t="n">
        <v>13</v>
      </c>
    </row>
    <row r="5071" customFormat="false" ht="15" hidden="false" customHeight="false" outlineLevel="0" collapsed="false">
      <c r="A5071" s="27" t="n">
        <v>45985</v>
      </c>
      <c r="B5071" s="28" t="n">
        <v>2026</v>
      </c>
      <c r="C5071" s="28" t="s">
        <v>172</v>
      </c>
      <c r="D5071" s="28" t="s">
        <v>49</v>
      </c>
      <c r="E5071" s="28" t="s">
        <v>957</v>
      </c>
      <c r="F5071" s="28" t="s">
        <v>147</v>
      </c>
      <c r="G5071" s="28" t="s">
        <v>148</v>
      </c>
      <c r="H5071" s="28" t="s">
        <v>251</v>
      </c>
      <c r="I5071" s="29" t="n">
        <v>250000</v>
      </c>
      <c r="J5071" s="29" t="n">
        <v>125000</v>
      </c>
      <c r="K5071" s="28" t="n">
        <v>9.25</v>
      </c>
      <c r="L5071" s="28" t="n">
        <v>12</v>
      </c>
      <c r="M5071" s="28" t="n">
        <v>0</v>
      </c>
    </row>
    <row r="5072" customFormat="false" ht="15" hidden="false" customHeight="false" outlineLevel="0" collapsed="false">
      <c r="A5072" s="27" t="n">
        <v>45985</v>
      </c>
      <c r="B5072" s="28" t="n">
        <v>2026</v>
      </c>
      <c r="C5072" s="28" t="s">
        <v>169</v>
      </c>
      <c r="D5072" s="28" t="s">
        <v>48</v>
      </c>
      <c r="E5072" s="28" t="s">
        <v>346</v>
      </c>
      <c r="F5072" s="28" t="s">
        <v>142</v>
      </c>
      <c r="G5072" s="28" t="s">
        <v>148</v>
      </c>
      <c r="H5072" s="28" t="s">
        <v>953</v>
      </c>
      <c r="I5072" s="29" t="n">
        <v>125000</v>
      </c>
      <c r="J5072" s="29" t="n">
        <v>106250</v>
      </c>
      <c r="K5072" s="28" t="n">
        <v>10.25</v>
      </c>
      <c r="L5072" s="28" t="n">
        <v>120</v>
      </c>
      <c r="M5072" s="28" t="n">
        <v>3</v>
      </c>
    </row>
    <row r="5073" customFormat="false" ht="15" hidden="false" customHeight="false" outlineLevel="0" collapsed="false">
      <c r="A5073" s="27" t="n">
        <v>45985</v>
      </c>
      <c r="B5073" s="28" t="n">
        <v>2026</v>
      </c>
      <c r="C5073" s="28" t="s">
        <v>169</v>
      </c>
      <c r="D5073" s="28" t="s">
        <v>45</v>
      </c>
      <c r="E5073" s="28" t="s">
        <v>708</v>
      </c>
      <c r="F5073" s="28" t="s">
        <v>142</v>
      </c>
      <c r="G5073" s="28" t="s">
        <v>148</v>
      </c>
      <c r="H5073" s="28" t="s">
        <v>1150</v>
      </c>
      <c r="I5073" s="29" t="n">
        <v>120000</v>
      </c>
      <c r="J5073" s="29" t="n">
        <v>102000</v>
      </c>
      <c r="K5073" s="28" t="n">
        <v>11.5</v>
      </c>
      <c r="L5073" s="28" t="n">
        <v>120</v>
      </c>
      <c r="M5073" s="28" t="n">
        <v>0</v>
      </c>
    </row>
    <row r="5074" customFormat="false" ht="15" hidden="false" customHeight="false" outlineLevel="0" collapsed="false">
      <c r="A5074" s="27" t="n">
        <v>45985</v>
      </c>
      <c r="B5074" s="28" t="n">
        <v>2026</v>
      </c>
      <c r="C5074" s="28" t="s">
        <v>140</v>
      </c>
      <c r="D5074" s="28" t="s">
        <v>50</v>
      </c>
      <c r="E5074" s="28" t="s">
        <v>193</v>
      </c>
      <c r="F5074" s="28" t="s">
        <v>194</v>
      </c>
      <c r="G5074" s="28" t="s">
        <v>148</v>
      </c>
      <c r="H5074" s="28" t="s">
        <v>1168</v>
      </c>
      <c r="I5074" s="29" t="n">
        <v>170000</v>
      </c>
      <c r="J5074" s="29" t="n">
        <v>127500</v>
      </c>
      <c r="K5074" s="28" t="n">
        <v>9.25</v>
      </c>
      <c r="L5074" s="28" t="n">
        <v>120</v>
      </c>
      <c r="M5074" s="28" t="n">
        <v>8</v>
      </c>
    </row>
    <row r="5075" customFormat="false" ht="15" hidden="false" customHeight="false" outlineLevel="0" collapsed="false">
      <c r="A5075" s="27" t="n">
        <v>45985</v>
      </c>
      <c r="B5075" s="28" t="n">
        <v>2026</v>
      </c>
      <c r="C5075" s="28" t="s">
        <v>172</v>
      </c>
      <c r="D5075" s="28" t="s">
        <v>52</v>
      </c>
      <c r="E5075" s="28" t="s">
        <v>832</v>
      </c>
      <c r="F5075" s="28" t="s">
        <v>147</v>
      </c>
      <c r="G5075" s="28" t="s">
        <v>441</v>
      </c>
      <c r="H5075" s="28" t="s">
        <v>168</v>
      </c>
      <c r="I5075" s="29" t="n">
        <v>15000</v>
      </c>
      <c r="J5075" s="29" t="n">
        <v>7500</v>
      </c>
      <c r="K5075" s="28" t="n">
        <v>13</v>
      </c>
      <c r="L5075" s="28" t="n">
        <v>120</v>
      </c>
      <c r="M5075" s="28" t="n">
        <v>4</v>
      </c>
    </row>
    <row r="5076" customFormat="false" ht="15" hidden="false" customHeight="false" outlineLevel="0" collapsed="false">
      <c r="A5076" s="27" t="n">
        <v>45985</v>
      </c>
      <c r="B5076" s="28" t="n">
        <v>2026</v>
      </c>
      <c r="C5076" s="28" t="s">
        <v>310</v>
      </c>
      <c r="D5076" s="28" t="s">
        <v>51</v>
      </c>
      <c r="E5076" s="28" t="s">
        <v>779</v>
      </c>
      <c r="F5076" s="28" t="s">
        <v>147</v>
      </c>
      <c r="G5076" s="28" t="s">
        <v>441</v>
      </c>
      <c r="H5076" s="28" t="s">
        <v>469</v>
      </c>
      <c r="I5076" s="29" t="n">
        <v>50000</v>
      </c>
      <c r="J5076" s="29" t="n">
        <v>25000</v>
      </c>
      <c r="K5076" s="28" t="n">
        <v>7.25</v>
      </c>
      <c r="L5076" s="28" t="n">
        <v>119</v>
      </c>
      <c r="M5076" s="28" t="n">
        <v>5</v>
      </c>
    </row>
    <row r="5077" customFormat="false" ht="15" hidden="false" customHeight="false" outlineLevel="0" collapsed="false">
      <c r="A5077" s="27" t="n">
        <v>45985</v>
      </c>
      <c r="B5077" s="28" t="n">
        <v>2026</v>
      </c>
      <c r="C5077" s="28" t="s">
        <v>166</v>
      </c>
      <c r="D5077" s="28" t="s">
        <v>42</v>
      </c>
      <c r="E5077" s="28" t="s">
        <v>176</v>
      </c>
      <c r="F5077" s="28" t="s">
        <v>147</v>
      </c>
      <c r="G5077" s="28" t="s">
        <v>441</v>
      </c>
      <c r="H5077" s="28" t="s">
        <v>168</v>
      </c>
      <c r="I5077" s="29" t="n">
        <v>10000</v>
      </c>
      <c r="J5077" s="29" t="n">
        <v>5000</v>
      </c>
      <c r="K5077" s="28" t="n">
        <v>11.5</v>
      </c>
      <c r="L5077" s="28" t="n">
        <v>120</v>
      </c>
      <c r="M5077" s="28" t="n">
        <v>4</v>
      </c>
    </row>
    <row r="5078" customFormat="false" ht="15" hidden="false" customHeight="false" outlineLevel="0" collapsed="false">
      <c r="A5078" s="27" t="n">
        <v>45985</v>
      </c>
      <c r="B5078" s="28" t="n">
        <v>2026</v>
      </c>
      <c r="C5078" s="28" t="s">
        <v>201</v>
      </c>
      <c r="D5078" s="28" t="s">
        <v>48</v>
      </c>
      <c r="E5078" s="28" t="s">
        <v>762</v>
      </c>
      <c r="F5078" s="28" t="s">
        <v>142</v>
      </c>
      <c r="G5078" s="28" t="s">
        <v>143</v>
      </c>
      <c r="H5078" s="28" t="s">
        <v>144</v>
      </c>
      <c r="I5078" s="29" t="n">
        <v>350000</v>
      </c>
      <c r="J5078" s="29" t="n">
        <v>262500</v>
      </c>
      <c r="K5078" s="28" t="n">
        <v>9.49</v>
      </c>
      <c r="L5078" s="28" t="n">
        <v>120</v>
      </c>
      <c r="M5078" s="28" t="n">
        <v>3</v>
      </c>
    </row>
    <row r="5079" customFormat="false" ht="15" hidden="false" customHeight="false" outlineLevel="0" collapsed="false">
      <c r="A5079" s="27" t="n">
        <v>45985</v>
      </c>
      <c r="B5079" s="28" t="n">
        <v>2026</v>
      </c>
      <c r="C5079" s="28" t="s">
        <v>140</v>
      </c>
      <c r="D5079" s="28" t="s">
        <v>51</v>
      </c>
      <c r="E5079" s="28" t="s">
        <v>779</v>
      </c>
      <c r="F5079" s="28" t="s">
        <v>142</v>
      </c>
      <c r="G5079" s="28" t="s">
        <v>143</v>
      </c>
      <c r="H5079" s="28" t="s">
        <v>382</v>
      </c>
      <c r="I5079" s="29" t="n">
        <v>607300</v>
      </c>
      <c r="J5079" s="29" t="n">
        <v>455475</v>
      </c>
      <c r="K5079" s="28" t="n">
        <v>9.75</v>
      </c>
      <c r="L5079" s="28" t="n">
        <v>124</v>
      </c>
      <c r="M5079" s="28" t="n">
        <v>6</v>
      </c>
    </row>
    <row r="5080" customFormat="false" ht="15" hidden="false" customHeight="false" outlineLevel="0" collapsed="false">
      <c r="A5080" s="27" t="n">
        <v>45986</v>
      </c>
      <c r="B5080" s="28" t="n">
        <v>2026</v>
      </c>
      <c r="C5080" s="28" t="s">
        <v>169</v>
      </c>
      <c r="D5080" s="28" t="s">
        <v>48</v>
      </c>
      <c r="E5080" s="28" t="s">
        <v>210</v>
      </c>
      <c r="F5080" s="28" t="s">
        <v>142</v>
      </c>
      <c r="G5080" s="28" t="s">
        <v>148</v>
      </c>
      <c r="H5080" s="28" t="s">
        <v>486</v>
      </c>
      <c r="I5080" s="29" t="n">
        <v>980000</v>
      </c>
      <c r="J5080" s="29" t="n">
        <v>735000</v>
      </c>
      <c r="K5080" s="28" t="n">
        <v>8</v>
      </c>
      <c r="L5080" s="28" t="n">
        <v>300</v>
      </c>
      <c r="M5080" s="28" t="n">
        <v>2</v>
      </c>
    </row>
    <row r="5081" customFormat="false" ht="15" hidden="false" customHeight="false" outlineLevel="0" collapsed="false">
      <c r="A5081" s="27" t="n">
        <v>45986</v>
      </c>
      <c r="B5081" s="28" t="n">
        <v>2026</v>
      </c>
      <c r="C5081" s="28" t="s">
        <v>145</v>
      </c>
      <c r="D5081" s="28" t="s">
        <v>48</v>
      </c>
      <c r="E5081" s="28" t="s">
        <v>905</v>
      </c>
      <c r="F5081" s="28" t="s">
        <v>147</v>
      </c>
      <c r="G5081" s="28" t="s">
        <v>441</v>
      </c>
      <c r="H5081" s="28" t="s">
        <v>168</v>
      </c>
      <c r="I5081" s="29" t="n">
        <v>15000</v>
      </c>
      <c r="J5081" s="29" t="n">
        <v>7500</v>
      </c>
      <c r="K5081" s="28" t="n">
        <v>12</v>
      </c>
      <c r="L5081" s="28" t="n">
        <v>120</v>
      </c>
      <c r="M5081" s="28" t="n">
        <v>2</v>
      </c>
    </row>
    <row r="5082" customFormat="false" ht="15" hidden="false" customHeight="false" outlineLevel="0" collapsed="false">
      <c r="A5082" s="27" t="n">
        <v>45986</v>
      </c>
      <c r="B5082" s="28" t="n">
        <v>2026</v>
      </c>
      <c r="C5082" s="28" t="s">
        <v>166</v>
      </c>
      <c r="D5082" s="28" t="s">
        <v>48</v>
      </c>
      <c r="E5082" s="28" t="s">
        <v>815</v>
      </c>
      <c r="F5082" s="28" t="s">
        <v>147</v>
      </c>
      <c r="G5082" s="28" t="s">
        <v>148</v>
      </c>
      <c r="H5082" s="28" t="s">
        <v>159</v>
      </c>
      <c r="I5082" s="29" t="n">
        <v>250000</v>
      </c>
      <c r="J5082" s="29" t="n">
        <v>125000</v>
      </c>
      <c r="K5082" s="28" t="n">
        <v>10</v>
      </c>
      <c r="L5082" s="28" t="n">
        <v>120</v>
      </c>
      <c r="M5082" s="28" t="n">
        <v>7</v>
      </c>
    </row>
    <row r="5083" customFormat="false" ht="15" hidden="false" customHeight="false" outlineLevel="0" collapsed="false">
      <c r="A5083" s="27" t="n">
        <v>45986</v>
      </c>
      <c r="B5083" s="28" t="n">
        <v>2026</v>
      </c>
      <c r="C5083" s="28" t="s">
        <v>172</v>
      </c>
      <c r="D5083" s="28" t="s">
        <v>51</v>
      </c>
      <c r="E5083" s="28" t="s">
        <v>800</v>
      </c>
      <c r="F5083" s="28" t="s">
        <v>147</v>
      </c>
      <c r="G5083" s="28" t="s">
        <v>441</v>
      </c>
      <c r="H5083" s="28" t="s">
        <v>1173</v>
      </c>
      <c r="I5083" s="29" t="n">
        <v>200000</v>
      </c>
      <c r="J5083" s="29" t="n">
        <v>100000</v>
      </c>
      <c r="K5083" s="28" t="n">
        <v>8</v>
      </c>
      <c r="L5083" s="28" t="n">
        <v>60</v>
      </c>
      <c r="M5083" s="28" t="n">
        <v>9</v>
      </c>
    </row>
    <row r="5084" customFormat="false" ht="15" hidden="false" customHeight="false" outlineLevel="0" collapsed="false">
      <c r="A5084" s="27" t="n">
        <v>45986</v>
      </c>
      <c r="B5084" s="28" t="n">
        <v>2026</v>
      </c>
      <c r="C5084" s="28" t="s">
        <v>172</v>
      </c>
      <c r="D5084" s="28" t="s">
        <v>42</v>
      </c>
      <c r="E5084" s="28" t="s">
        <v>784</v>
      </c>
      <c r="F5084" s="28" t="s">
        <v>142</v>
      </c>
      <c r="G5084" s="28" t="s">
        <v>143</v>
      </c>
      <c r="H5084" s="28" t="s">
        <v>159</v>
      </c>
      <c r="I5084" s="29" t="n">
        <v>536000</v>
      </c>
      <c r="J5084" s="29" t="n">
        <v>402000</v>
      </c>
      <c r="K5084" s="28" t="n">
        <v>9</v>
      </c>
      <c r="L5084" s="28" t="n">
        <v>120</v>
      </c>
      <c r="M5084" s="28" t="n">
        <v>16</v>
      </c>
    </row>
    <row r="5085" customFormat="false" ht="15" hidden="false" customHeight="false" outlineLevel="0" collapsed="false">
      <c r="A5085" s="27" t="n">
        <v>45986</v>
      </c>
      <c r="B5085" s="28" t="n">
        <v>2026</v>
      </c>
      <c r="C5085" s="28" t="s">
        <v>172</v>
      </c>
      <c r="D5085" s="28" t="s">
        <v>46</v>
      </c>
      <c r="E5085" s="28" t="s">
        <v>727</v>
      </c>
      <c r="F5085" s="28" t="s">
        <v>147</v>
      </c>
      <c r="G5085" s="28" t="s">
        <v>441</v>
      </c>
      <c r="H5085" s="28" t="s">
        <v>191</v>
      </c>
      <c r="I5085" s="29" t="n">
        <v>20000</v>
      </c>
      <c r="J5085" s="29" t="n">
        <v>10000</v>
      </c>
      <c r="K5085" s="28" t="n">
        <v>11.4</v>
      </c>
      <c r="L5085" s="28" t="n">
        <v>120</v>
      </c>
      <c r="M5085" s="28" t="n">
        <v>2</v>
      </c>
    </row>
    <row r="5086" customFormat="false" ht="15" hidden="false" customHeight="false" outlineLevel="0" collapsed="false">
      <c r="A5086" s="27" t="n">
        <v>45986</v>
      </c>
      <c r="B5086" s="28" t="n">
        <v>2026</v>
      </c>
      <c r="C5086" s="28" t="s">
        <v>206</v>
      </c>
      <c r="D5086" s="28" t="s">
        <v>50</v>
      </c>
      <c r="E5086" s="28" t="s">
        <v>724</v>
      </c>
      <c r="F5086" s="28" t="s">
        <v>142</v>
      </c>
      <c r="G5086" s="28" t="s">
        <v>148</v>
      </c>
      <c r="H5086" s="28" t="s">
        <v>278</v>
      </c>
      <c r="I5086" s="29" t="n">
        <v>746000</v>
      </c>
      <c r="J5086" s="29" t="n">
        <v>559500</v>
      </c>
      <c r="K5086" s="28" t="n">
        <v>9</v>
      </c>
      <c r="L5086" s="28" t="n">
        <v>120</v>
      </c>
      <c r="M5086" s="28" t="n">
        <v>24</v>
      </c>
    </row>
    <row r="5087" customFormat="false" ht="15" hidden="false" customHeight="false" outlineLevel="0" collapsed="false">
      <c r="A5087" s="27" t="n">
        <v>45987</v>
      </c>
      <c r="B5087" s="28" t="n">
        <v>2026</v>
      </c>
      <c r="C5087" s="28" t="s">
        <v>196</v>
      </c>
      <c r="D5087" s="28" t="s">
        <v>46</v>
      </c>
      <c r="E5087" s="28" t="s">
        <v>770</v>
      </c>
      <c r="F5087" s="28" t="s">
        <v>142</v>
      </c>
      <c r="G5087" s="28" t="s">
        <v>148</v>
      </c>
      <c r="H5087" s="28" t="s">
        <v>953</v>
      </c>
      <c r="I5087" s="29" t="n">
        <v>225000</v>
      </c>
      <c r="J5087" s="29" t="n">
        <v>168750</v>
      </c>
      <c r="K5087" s="28" t="n">
        <v>10</v>
      </c>
      <c r="L5087" s="28" t="n">
        <v>120</v>
      </c>
      <c r="M5087" s="28" t="n">
        <v>2</v>
      </c>
    </row>
    <row r="5088" customFormat="false" ht="15" hidden="false" customHeight="false" outlineLevel="0" collapsed="false">
      <c r="A5088" s="27" t="n">
        <v>45987</v>
      </c>
      <c r="B5088" s="28" t="n">
        <v>2026</v>
      </c>
      <c r="C5088" s="28" t="s">
        <v>172</v>
      </c>
      <c r="D5088" s="28" t="s">
        <v>45</v>
      </c>
      <c r="E5088" s="28" t="s">
        <v>713</v>
      </c>
      <c r="F5088" s="28" t="s">
        <v>147</v>
      </c>
      <c r="G5088" s="28" t="s">
        <v>148</v>
      </c>
      <c r="H5088" s="28" t="s">
        <v>205</v>
      </c>
      <c r="I5088" s="29" t="n">
        <v>100000</v>
      </c>
      <c r="J5088" s="29" t="n">
        <v>50000</v>
      </c>
      <c r="K5088" s="28" t="n">
        <v>10</v>
      </c>
      <c r="L5088" s="28" t="n">
        <v>120</v>
      </c>
      <c r="M5088" s="28" t="n">
        <v>0</v>
      </c>
    </row>
    <row r="5089" customFormat="false" ht="15" hidden="false" customHeight="false" outlineLevel="0" collapsed="false">
      <c r="A5089" s="27" t="n">
        <v>45989</v>
      </c>
      <c r="B5089" s="28" t="n">
        <v>2026</v>
      </c>
      <c r="C5089" s="28" t="s">
        <v>272</v>
      </c>
      <c r="D5089" s="28" t="s">
        <v>55</v>
      </c>
      <c r="E5089" s="28" t="s">
        <v>1166</v>
      </c>
      <c r="F5089" s="28" t="s">
        <v>147</v>
      </c>
      <c r="G5089" s="28" t="s">
        <v>148</v>
      </c>
      <c r="H5089" s="28" t="s">
        <v>953</v>
      </c>
      <c r="I5089" s="29" t="n">
        <v>50000</v>
      </c>
      <c r="J5089" s="29" t="n">
        <v>25000</v>
      </c>
      <c r="K5089" s="28" t="n">
        <v>13.5</v>
      </c>
      <c r="L5089" s="28" t="n">
        <v>120</v>
      </c>
      <c r="M5089" s="28" t="n">
        <v>31</v>
      </c>
    </row>
    <row r="5090" customFormat="false" ht="15" hidden="false" customHeight="false" outlineLevel="0" collapsed="false">
      <c r="A5090" s="27" t="n">
        <v>45989</v>
      </c>
      <c r="B5090" s="28" t="n">
        <v>2026</v>
      </c>
      <c r="C5090" s="28" t="s">
        <v>203</v>
      </c>
      <c r="D5090" s="28" t="s">
        <v>48</v>
      </c>
      <c r="E5090" s="28" t="s">
        <v>304</v>
      </c>
      <c r="F5090" s="28" t="s">
        <v>147</v>
      </c>
      <c r="G5090" s="28" t="s">
        <v>441</v>
      </c>
      <c r="H5090" s="28" t="s">
        <v>168</v>
      </c>
      <c r="I5090" s="29" t="n">
        <v>15000</v>
      </c>
      <c r="J5090" s="29" t="n">
        <v>7500</v>
      </c>
      <c r="K5090" s="28" t="n">
        <v>12.5</v>
      </c>
      <c r="L5090" s="28" t="n">
        <v>120</v>
      </c>
      <c r="M5090" s="28" t="n">
        <v>0</v>
      </c>
    </row>
    <row r="5091" customFormat="false" ht="15" hidden="false" customHeight="false" outlineLevel="0" collapsed="false">
      <c r="A5091" s="27" t="n">
        <v>45989</v>
      </c>
      <c r="B5091" s="28" t="n">
        <v>2026</v>
      </c>
      <c r="C5091" s="28" t="s">
        <v>172</v>
      </c>
      <c r="D5091" s="28" t="s">
        <v>48</v>
      </c>
      <c r="E5091" s="28" t="s">
        <v>304</v>
      </c>
      <c r="F5091" s="28" t="s">
        <v>147</v>
      </c>
      <c r="G5091" s="28" t="s">
        <v>148</v>
      </c>
      <c r="H5091" s="28" t="s">
        <v>159</v>
      </c>
      <c r="I5091" s="29" t="n">
        <v>200000</v>
      </c>
      <c r="J5091" s="29" t="n">
        <v>100000</v>
      </c>
      <c r="K5091" s="28" t="n">
        <v>9.5</v>
      </c>
      <c r="L5091" s="28" t="n">
        <v>60</v>
      </c>
      <c r="M5091" s="28" t="n">
        <v>4</v>
      </c>
    </row>
    <row r="5092" customFormat="false" ht="15" hidden="false" customHeight="false" outlineLevel="0" collapsed="false">
      <c r="A5092" s="27" t="n">
        <v>45989</v>
      </c>
      <c r="B5092" s="28" t="n">
        <v>2026</v>
      </c>
      <c r="C5092" s="28" t="s">
        <v>379</v>
      </c>
      <c r="D5092" s="28" t="s">
        <v>42</v>
      </c>
      <c r="E5092" s="28" t="s">
        <v>717</v>
      </c>
      <c r="F5092" s="28" t="s">
        <v>142</v>
      </c>
      <c r="G5092" s="28" t="s">
        <v>143</v>
      </c>
      <c r="H5092" s="28" t="s">
        <v>1031</v>
      </c>
      <c r="I5092" s="29" t="n">
        <v>93000</v>
      </c>
      <c r="J5092" s="29" t="n">
        <v>79050</v>
      </c>
      <c r="K5092" s="28" t="n">
        <v>10</v>
      </c>
      <c r="L5092" s="28" t="n">
        <v>120</v>
      </c>
      <c r="M5092" s="28" t="n">
        <v>7</v>
      </c>
    </row>
    <row r="5093" customFormat="false" ht="15" hidden="false" customHeight="false" outlineLevel="0" collapsed="false">
      <c r="A5093" s="27" t="n">
        <v>45989</v>
      </c>
      <c r="B5093" s="28" t="n">
        <v>2026</v>
      </c>
      <c r="C5093" s="28" t="s">
        <v>163</v>
      </c>
      <c r="D5093" s="28" t="s">
        <v>50</v>
      </c>
      <c r="E5093" s="28" t="s">
        <v>836</v>
      </c>
      <c r="F5093" s="28" t="s">
        <v>142</v>
      </c>
      <c r="G5093" s="28" t="s">
        <v>143</v>
      </c>
      <c r="H5093" s="28" t="s">
        <v>287</v>
      </c>
      <c r="I5093" s="29" t="n">
        <v>150000</v>
      </c>
      <c r="J5093" s="29" t="n">
        <v>127500</v>
      </c>
      <c r="K5093" s="28" t="n">
        <v>10</v>
      </c>
      <c r="L5093" s="28" t="n">
        <v>120</v>
      </c>
      <c r="M5093" s="28" t="n">
        <v>5</v>
      </c>
    </row>
    <row r="5094" customFormat="false" ht="15" hidden="false" customHeight="false" outlineLevel="0" collapsed="false">
      <c r="A5094" s="27" t="n">
        <v>45989</v>
      </c>
      <c r="B5094" s="28" t="n">
        <v>2026</v>
      </c>
      <c r="C5094" s="28" t="s">
        <v>328</v>
      </c>
      <c r="D5094" s="28" t="s">
        <v>50</v>
      </c>
      <c r="E5094" s="28" t="s">
        <v>870</v>
      </c>
      <c r="F5094" s="28" t="s">
        <v>142</v>
      </c>
      <c r="G5094" s="28" t="s">
        <v>148</v>
      </c>
      <c r="H5094" s="28" t="s">
        <v>1031</v>
      </c>
      <c r="I5094" s="29" t="n">
        <v>100000</v>
      </c>
      <c r="J5094" s="29" t="n">
        <v>85000</v>
      </c>
      <c r="K5094" s="28" t="n">
        <v>8.5</v>
      </c>
      <c r="L5094" s="28" t="n">
        <v>84</v>
      </c>
      <c r="M5094" s="28" t="n">
        <v>6</v>
      </c>
    </row>
    <row r="5095" customFormat="false" ht="15" hidden="false" customHeight="false" outlineLevel="0" collapsed="false">
      <c r="A5095" s="27" t="n">
        <v>45992</v>
      </c>
      <c r="B5095" s="28" t="n">
        <v>2026</v>
      </c>
      <c r="C5095" s="28" t="s">
        <v>206</v>
      </c>
      <c r="D5095" s="28" t="s">
        <v>51</v>
      </c>
      <c r="E5095" s="28" t="s">
        <v>492</v>
      </c>
      <c r="F5095" s="28" t="s">
        <v>142</v>
      </c>
      <c r="G5095" s="28" t="s">
        <v>143</v>
      </c>
      <c r="H5095" s="28" t="s">
        <v>291</v>
      </c>
      <c r="I5095" s="29" t="n">
        <v>791900</v>
      </c>
      <c r="J5095" s="29" t="n">
        <v>593925</v>
      </c>
      <c r="K5095" s="28" t="n">
        <v>9.75</v>
      </c>
      <c r="L5095" s="28" t="n">
        <v>126</v>
      </c>
      <c r="M5095" s="28" t="n">
        <v>4</v>
      </c>
    </row>
    <row r="5096" customFormat="false" ht="15" hidden="false" customHeight="false" outlineLevel="0" collapsed="false">
      <c r="A5096" s="27" t="n">
        <v>45992</v>
      </c>
      <c r="B5096" s="28" t="n">
        <v>2026</v>
      </c>
      <c r="C5096" s="28" t="s">
        <v>172</v>
      </c>
      <c r="D5096" s="28" t="s">
        <v>42</v>
      </c>
      <c r="E5096" s="28" t="s">
        <v>717</v>
      </c>
      <c r="F5096" s="28" t="s">
        <v>194</v>
      </c>
      <c r="G5096" s="28" t="s">
        <v>148</v>
      </c>
      <c r="H5096" s="28" t="s">
        <v>1168</v>
      </c>
      <c r="I5096" s="29" t="n">
        <v>150000</v>
      </c>
      <c r="J5096" s="29" t="n">
        <v>127500</v>
      </c>
      <c r="K5096" s="28" t="n">
        <v>10.5</v>
      </c>
      <c r="L5096" s="28" t="n">
        <v>120</v>
      </c>
      <c r="M5096" s="28" t="n">
        <v>5</v>
      </c>
    </row>
    <row r="5097" customFormat="false" ht="15" hidden="false" customHeight="false" outlineLevel="0" collapsed="false">
      <c r="A5097" s="27" t="n">
        <v>45992</v>
      </c>
      <c r="B5097" s="28" t="n">
        <v>2026</v>
      </c>
      <c r="C5097" s="28" t="s">
        <v>172</v>
      </c>
      <c r="D5097" s="28" t="s">
        <v>48</v>
      </c>
      <c r="E5097" s="28" t="s">
        <v>815</v>
      </c>
      <c r="F5097" s="28" t="s">
        <v>194</v>
      </c>
      <c r="G5097" s="28" t="s">
        <v>152</v>
      </c>
      <c r="H5097" s="28" t="s">
        <v>271</v>
      </c>
      <c r="I5097" s="29" t="n">
        <v>2500000</v>
      </c>
      <c r="J5097" s="29" t="n">
        <v>1875000</v>
      </c>
      <c r="K5097" s="28" t="n">
        <v>6.49</v>
      </c>
      <c r="L5097" s="28" t="n">
        <v>120</v>
      </c>
      <c r="M5097" s="28" t="n">
        <v>62</v>
      </c>
    </row>
    <row r="5098" customFormat="false" ht="15" hidden="false" customHeight="false" outlineLevel="0" collapsed="false">
      <c r="A5098" s="27" t="n">
        <v>45992</v>
      </c>
      <c r="B5098" s="28" t="n">
        <v>2026</v>
      </c>
      <c r="C5098" s="28" t="s">
        <v>172</v>
      </c>
      <c r="D5098" s="28" t="s">
        <v>44</v>
      </c>
      <c r="E5098" s="28" t="s">
        <v>729</v>
      </c>
      <c r="F5098" s="28" t="s">
        <v>147</v>
      </c>
      <c r="G5098" s="28" t="s">
        <v>143</v>
      </c>
      <c r="H5098" s="28" t="s">
        <v>205</v>
      </c>
      <c r="I5098" s="29" t="n">
        <v>75000</v>
      </c>
      <c r="J5098" s="29" t="n">
        <v>37500</v>
      </c>
      <c r="K5098" s="28" t="n">
        <v>10</v>
      </c>
      <c r="L5098" s="28" t="n">
        <v>120</v>
      </c>
      <c r="M5098" s="28" t="n">
        <v>0</v>
      </c>
    </row>
    <row r="5099" customFormat="false" ht="15" hidden="false" customHeight="false" outlineLevel="0" collapsed="false">
      <c r="A5099" s="27" t="n">
        <v>45993</v>
      </c>
      <c r="B5099" s="28" t="n">
        <v>2026</v>
      </c>
      <c r="C5099" s="28" t="s">
        <v>172</v>
      </c>
      <c r="D5099" s="28" t="s">
        <v>48</v>
      </c>
      <c r="E5099" s="28" t="s">
        <v>342</v>
      </c>
      <c r="F5099" s="28" t="s">
        <v>142</v>
      </c>
      <c r="G5099" s="28" t="s">
        <v>148</v>
      </c>
      <c r="H5099" s="28" t="s">
        <v>1150</v>
      </c>
      <c r="I5099" s="29" t="n">
        <v>300000</v>
      </c>
      <c r="J5099" s="29" t="n">
        <v>225000</v>
      </c>
      <c r="K5099" s="28" t="n">
        <v>10</v>
      </c>
      <c r="L5099" s="28" t="n">
        <v>120</v>
      </c>
      <c r="M5099" s="28" t="n">
        <v>0</v>
      </c>
    </row>
    <row r="5100" customFormat="false" ht="15" hidden="false" customHeight="false" outlineLevel="0" collapsed="false">
      <c r="A5100" s="27" t="n">
        <v>45993</v>
      </c>
      <c r="B5100" s="28" t="n">
        <v>2026</v>
      </c>
      <c r="C5100" s="28" t="s">
        <v>160</v>
      </c>
      <c r="D5100" s="28" t="s">
        <v>46</v>
      </c>
      <c r="E5100" s="28" t="s">
        <v>746</v>
      </c>
      <c r="F5100" s="28" t="s">
        <v>142</v>
      </c>
      <c r="G5100" s="28" t="s">
        <v>148</v>
      </c>
      <c r="H5100" s="28" t="s">
        <v>144</v>
      </c>
      <c r="I5100" s="29" t="n">
        <v>106000</v>
      </c>
      <c r="J5100" s="29" t="n">
        <v>90100</v>
      </c>
      <c r="K5100" s="28" t="n">
        <v>10.49</v>
      </c>
      <c r="L5100" s="28" t="n">
        <v>120</v>
      </c>
      <c r="M5100" s="28" t="n">
        <v>1</v>
      </c>
    </row>
    <row r="5101" customFormat="false" ht="15" hidden="false" customHeight="false" outlineLevel="0" collapsed="false">
      <c r="A5101" s="27" t="n">
        <v>45993</v>
      </c>
      <c r="B5101" s="28" t="n">
        <v>2026</v>
      </c>
      <c r="C5101" s="28" t="s">
        <v>172</v>
      </c>
      <c r="D5101" s="28" t="s">
        <v>56</v>
      </c>
      <c r="E5101" s="28" t="s">
        <v>772</v>
      </c>
      <c r="F5101" s="28" t="s">
        <v>194</v>
      </c>
      <c r="G5101" s="28" t="s">
        <v>148</v>
      </c>
      <c r="H5101" s="28" t="s">
        <v>1168</v>
      </c>
      <c r="I5101" s="29" t="n">
        <v>200000</v>
      </c>
      <c r="J5101" s="29" t="n">
        <v>150000</v>
      </c>
      <c r="K5101" s="28" t="n">
        <v>10.5</v>
      </c>
      <c r="L5101" s="28" t="n">
        <v>120</v>
      </c>
      <c r="M5101" s="28" t="n">
        <v>15</v>
      </c>
    </row>
    <row r="5102" customFormat="false" ht="15" hidden="false" customHeight="false" outlineLevel="0" collapsed="false">
      <c r="A5102" s="27" t="n">
        <v>45993</v>
      </c>
      <c r="B5102" s="28" t="n">
        <v>2026</v>
      </c>
      <c r="C5102" s="28" t="s">
        <v>172</v>
      </c>
      <c r="D5102" s="28" t="s">
        <v>46</v>
      </c>
      <c r="E5102" s="28" t="s">
        <v>807</v>
      </c>
      <c r="F5102" s="28" t="s">
        <v>142</v>
      </c>
      <c r="G5102" s="28" t="s">
        <v>143</v>
      </c>
      <c r="H5102" s="28" t="s">
        <v>149</v>
      </c>
      <c r="I5102" s="29" t="n">
        <v>534000</v>
      </c>
      <c r="J5102" s="29" t="n">
        <v>400500</v>
      </c>
      <c r="K5102" s="28" t="n">
        <v>9</v>
      </c>
      <c r="L5102" s="28" t="n">
        <v>120</v>
      </c>
      <c r="M5102" s="28" t="n">
        <v>6</v>
      </c>
    </row>
    <row r="5103" customFormat="false" ht="15" hidden="false" customHeight="false" outlineLevel="0" collapsed="false">
      <c r="A5103" s="27" t="n">
        <v>45994</v>
      </c>
      <c r="B5103" s="28" t="n">
        <v>2026</v>
      </c>
      <c r="C5103" s="28" t="s">
        <v>316</v>
      </c>
      <c r="D5103" s="28" t="s">
        <v>44</v>
      </c>
      <c r="E5103" s="28" t="s">
        <v>823</v>
      </c>
      <c r="F5103" s="28" t="s">
        <v>142</v>
      </c>
      <c r="G5103" s="28" t="s">
        <v>441</v>
      </c>
      <c r="H5103" s="28" t="s">
        <v>1031</v>
      </c>
      <c r="I5103" s="29" t="n">
        <v>270000</v>
      </c>
      <c r="J5103" s="29" t="n">
        <v>202500</v>
      </c>
      <c r="K5103" s="28" t="n">
        <v>9.25</v>
      </c>
      <c r="L5103" s="28" t="n">
        <v>120</v>
      </c>
      <c r="M5103" s="28" t="n">
        <v>35</v>
      </c>
    </row>
    <row r="5104" customFormat="false" ht="15" hidden="false" customHeight="false" outlineLevel="0" collapsed="false">
      <c r="A5104" s="27" t="n">
        <v>45994</v>
      </c>
      <c r="B5104" s="28" t="n">
        <v>2026</v>
      </c>
      <c r="C5104" s="28" t="s">
        <v>235</v>
      </c>
      <c r="D5104" s="28" t="s">
        <v>56</v>
      </c>
      <c r="E5104" s="28" t="s">
        <v>1174</v>
      </c>
      <c r="F5104" s="28" t="s">
        <v>147</v>
      </c>
      <c r="G5104" s="28" t="s">
        <v>148</v>
      </c>
      <c r="H5104" s="28" t="s">
        <v>159</v>
      </c>
      <c r="I5104" s="29" t="n">
        <v>74000</v>
      </c>
      <c r="J5104" s="29" t="n">
        <v>37000</v>
      </c>
      <c r="K5104" s="28" t="n">
        <v>11.5</v>
      </c>
      <c r="L5104" s="28" t="n">
        <v>60</v>
      </c>
      <c r="M5104" s="28" t="n">
        <v>0</v>
      </c>
    </row>
    <row r="5105" customFormat="false" ht="15" hidden="false" customHeight="false" outlineLevel="0" collapsed="false">
      <c r="A5105" s="27" t="n">
        <v>45994</v>
      </c>
      <c r="B5105" s="28" t="n">
        <v>2026</v>
      </c>
      <c r="C5105" s="28" t="s">
        <v>560</v>
      </c>
      <c r="D5105" s="28" t="s">
        <v>43</v>
      </c>
      <c r="E5105" s="28" t="s">
        <v>816</v>
      </c>
      <c r="F5105" s="28" t="s">
        <v>142</v>
      </c>
      <c r="G5105" s="28" t="s">
        <v>152</v>
      </c>
      <c r="H5105" s="28" t="s">
        <v>463</v>
      </c>
      <c r="I5105" s="29" t="n">
        <v>607000</v>
      </c>
      <c r="J5105" s="29" t="n">
        <v>455250</v>
      </c>
      <c r="K5105" s="28" t="n">
        <v>9.75</v>
      </c>
      <c r="L5105" s="28" t="n">
        <v>120</v>
      </c>
      <c r="M5105" s="28" t="n">
        <v>12</v>
      </c>
    </row>
    <row r="5106" customFormat="false" ht="15" hidden="false" customHeight="false" outlineLevel="0" collapsed="false">
      <c r="A5106" s="27" t="n">
        <v>45994</v>
      </c>
      <c r="B5106" s="28" t="n">
        <v>2026</v>
      </c>
      <c r="C5106" s="28" t="s">
        <v>172</v>
      </c>
      <c r="D5106" s="28" t="s">
        <v>43</v>
      </c>
      <c r="E5106" s="28" t="s">
        <v>749</v>
      </c>
      <c r="F5106" s="28" t="s">
        <v>142</v>
      </c>
      <c r="G5106" s="28" t="s">
        <v>148</v>
      </c>
      <c r="H5106" s="28" t="s">
        <v>269</v>
      </c>
      <c r="I5106" s="29" t="n">
        <v>100000</v>
      </c>
      <c r="J5106" s="29" t="n">
        <v>85000</v>
      </c>
      <c r="K5106" s="28" t="n">
        <v>9.75</v>
      </c>
      <c r="L5106" s="28" t="n">
        <v>120</v>
      </c>
      <c r="M5106" s="28" t="n">
        <v>2</v>
      </c>
    </row>
    <row r="5107" customFormat="false" ht="15" hidden="false" customHeight="false" outlineLevel="0" collapsed="false">
      <c r="A5107" s="27" t="n">
        <v>45994</v>
      </c>
      <c r="B5107" s="28" t="n">
        <v>2026</v>
      </c>
      <c r="C5107" s="28" t="s">
        <v>292</v>
      </c>
      <c r="D5107" s="28" t="s">
        <v>47</v>
      </c>
      <c r="E5107" s="28" t="s">
        <v>373</v>
      </c>
      <c r="F5107" s="28" t="s">
        <v>194</v>
      </c>
      <c r="G5107" s="28" t="s">
        <v>148</v>
      </c>
      <c r="H5107" s="28" t="s">
        <v>351</v>
      </c>
      <c r="I5107" s="29" t="n">
        <v>399200</v>
      </c>
      <c r="J5107" s="29" t="n">
        <v>299400</v>
      </c>
      <c r="K5107" s="28" t="n">
        <v>9.14</v>
      </c>
      <c r="L5107" s="28" t="n">
        <v>90</v>
      </c>
      <c r="M5107" s="28" t="n">
        <v>14</v>
      </c>
    </row>
    <row r="5108" customFormat="false" ht="15" hidden="false" customHeight="false" outlineLevel="0" collapsed="false">
      <c r="A5108" s="27" t="n">
        <v>45994</v>
      </c>
      <c r="B5108" s="28" t="n">
        <v>2026</v>
      </c>
      <c r="C5108" s="28" t="s">
        <v>198</v>
      </c>
      <c r="D5108" s="28" t="s">
        <v>43</v>
      </c>
      <c r="E5108" s="28" t="s">
        <v>830</v>
      </c>
      <c r="F5108" s="28" t="s">
        <v>142</v>
      </c>
      <c r="G5108" s="28" t="s">
        <v>148</v>
      </c>
      <c r="H5108" s="28" t="s">
        <v>771</v>
      </c>
      <c r="I5108" s="29" t="n">
        <v>100000</v>
      </c>
      <c r="J5108" s="29" t="n">
        <v>85000</v>
      </c>
      <c r="K5108" s="28" t="n">
        <v>10.5</v>
      </c>
      <c r="L5108" s="28" t="n">
        <v>120</v>
      </c>
      <c r="M5108" s="28" t="n">
        <v>5</v>
      </c>
    </row>
    <row r="5109" customFormat="false" ht="15" hidden="false" customHeight="false" outlineLevel="0" collapsed="false">
      <c r="A5109" s="27" t="n">
        <v>45994</v>
      </c>
      <c r="B5109" s="28" t="n">
        <v>2026</v>
      </c>
      <c r="C5109" s="28" t="s">
        <v>235</v>
      </c>
      <c r="D5109" s="28" t="s">
        <v>56</v>
      </c>
      <c r="E5109" s="28" t="s">
        <v>1174</v>
      </c>
      <c r="F5109" s="28" t="s">
        <v>147</v>
      </c>
      <c r="G5109" s="28" t="s">
        <v>148</v>
      </c>
      <c r="H5109" s="28" t="s">
        <v>159</v>
      </c>
      <c r="I5109" s="29" t="n">
        <v>25000</v>
      </c>
      <c r="J5109" s="29" t="n">
        <v>12500</v>
      </c>
      <c r="K5109" s="28" t="n">
        <v>13.5</v>
      </c>
      <c r="L5109" s="28" t="n">
        <v>120</v>
      </c>
      <c r="M5109" s="28" t="n">
        <v>0</v>
      </c>
    </row>
    <row r="5110" customFormat="false" ht="15" hidden="false" customHeight="false" outlineLevel="0" collapsed="false">
      <c r="A5110" s="27" t="n">
        <v>45995</v>
      </c>
      <c r="B5110" s="28" t="n">
        <v>2026</v>
      </c>
      <c r="C5110" s="28" t="s">
        <v>169</v>
      </c>
      <c r="D5110" s="28" t="s">
        <v>57</v>
      </c>
      <c r="E5110" s="28" t="s">
        <v>728</v>
      </c>
      <c r="F5110" s="28" t="s">
        <v>147</v>
      </c>
      <c r="G5110" s="28" t="s">
        <v>148</v>
      </c>
      <c r="H5110" s="28" t="s">
        <v>159</v>
      </c>
      <c r="I5110" s="29" t="n">
        <v>50000</v>
      </c>
      <c r="J5110" s="29" t="n">
        <v>25000</v>
      </c>
      <c r="K5110" s="28" t="n">
        <v>11.74</v>
      </c>
      <c r="L5110" s="28" t="n">
        <v>60</v>
      </c>
      <c r="M5110" s="28" t="n">
        <v>2</v>
      </c>
    </row>
    <row r="5111" customFormat="false" ht="15" hidden="false" customHeight="false" outlineLevel="0" collapsed="false">
      <c r="A5111" s="27" t="n">
        <v>45995</v>
      </c>
      <c r="B5111" s="28" t="n">
        <v>2026</v>
      </c>
      <c r="C5111" s="28" t="s">
        <v>198</v>
      </c>
      <c r="D5111" s="28" t="s">
        <v>48</v>
      </c>
      <c r="E5111" s="28" t="s">
        <v>905</v>
      </c>
      <c r="F5111" s="28" t="s">
        <v>147</v>
      </c>
      <c r="G5111" s="28" t="s">
        <v>441</v>
      </c>
      <c r="H5111" s="28" t="s">
        <v>168</v>
      </c>
      <c r="I5111" s="29" t="n">
        <v>10000</v>
      </c>
      <c r="J5111" s="29" t="n">
        <v>5000</v>
      </c>
      <c r="K5111" s="28" t="n">
        <v>11.5</v>
      </c>
      <c r="L5111" s="28" t="n">
        <v>120</v>
      </c>
      <c r="M5111" s="28" t="n">
        <v>0</v>
      </c>
    </row>
    <row r="5112" customFormat="false" ht="15" hidden="false" customHeight="false" outlineLevel="0" collapsed="false">
      <c r="A5112" s="27" t="n">
        <v>45995</v>
      </c>
      <c r="B5112" s="28" t="n">
        <v>2026</v>
      </c>
      <c r="C5112" s="28" t="s">
        <v>206</v>
      </c>
      <c r="D5112" s="28" t="s">
        <v>42</v>
      </c>
      <c r="E5112" s="28" t="s">
        <v>753</v>
      </c>
      <c r="F5112" s="28" t="s">
        <v>142</v>
      </c>
      <c r="G5112" s="28" t="s">
        <v>148</v>
      </c>
      <c r="H5112" s="28" t="s">
        <v>971</v>
      </c>
      <c r="I5112" s="29" t="n">
        <v>269000</v>
      </c>
      <c r="J5112" s="29" t="n">
        <v>201750</v>
      </c>
      <c r="K5112" s="28" t="n">
        <v>8.75</v>
      </c>
      <c r="L5112" s="28" t="n">
        <v>120</v>
      </c>
      <c r="M5112" s="28" t="n">
        <v>7</v>
      </c>
    </row>
    <row r="5113" customFormat="false" ht="15" hidden="false" customHeight="false" outlineLevel="0" collapsed="false">
      <c r="A5113" s="27" t="n">
        <v>45996</v>
      </c>
      <c r="B5113" s="28" t="n">
        <v>2026</v>
      </c>
      <c r="C5113" s="28" t="s">
        <v>160</v>
      </c>
      <c r="D5113" s="28" t="s">
        <v>46</v>
      </c>
      <c r="E5113" s="28" t="s">
        <v>719</v>
      </c>
      <c r="F5113" s="28" t="s">
        <v>142</v>
      </c>
      <c r="G5113" s="28" t="s">
        <v>143</v>
      </c>
      <c r="H5113" s="28" t="s">
        <v>438</v>
      </c>
      <c r="I5113" s="29" t="n">
        <v>452000</v>
      </c>
      <c r="J5113" s="29" t="n">
        <v>339000</v>
      </c>
      <c r="K5113" s="28" t="n">
        <v>9.5</v>
      </c>
      <c r="L5113" s="28" t="n">
        <v>124</v>
      </c>
      <c r="M5113" s="28" t="n">
        <v>4</v>
      </c>
    </row>
    <row r="5114" customFormat="false" ht="15" hidden="false" customHeight="false" outlineLevel="0" collapsed="false">
      <c r="A5114" s="27" t="n">
        <v>45996</v>
      </c>
      <c r="B5114" s="28" t="n">
        <v>2026</v>
      </c>
      <c r="C5114" s="28" t="s">
        <v>312</v>
      </c>
      <c r="D5114" s="28" t="s">
        <v>42</v>
      </c>
      <c r="E5114" s="28" t="s">
        <v>717</v>
      </c>
      <c r="F5114" s="28" t="s">
        <v>147</v>
      </c>
      <c r="G5114" s="28" t="s">
        <v>148</v>
      </c>
      <c r="H5114" s="28" t="s">
        <v>396</v>
      </c>
      <c r="I5114" s="29" t="n">
        <v>50000</v>
      </c>
      <c r="J5114" s="29" t="n">
        <v>25000</v>
      </c>
      <c r="K5114" s="28" t="n">
        <v>7.5</v>
      </c>
      <c r="L5114" s="28" t="n">
        <v>120</v>
      </c>
      <c r="M5114" s="28" t="n">
        <v>0</v>
      </c>
    </row>
    <row r="5115" customFormat="false" ht="15" hidden="false" customHeight="false" outlineLevel="0" collapsed="false">
      <c r="A5115" s="27" t="n">
        <v>45996</v>
      </c>
      <c r="B5115" s="28" t="n">
        <v>2026</v>
      </c>
      <c r="C5115" s="28" t="s">
        <v>365</v>
      </c>
      <c r="D5115" s="28" t="s">
        <v>42</v>
      </c>
      <c r="E5115" s="28" t="s">
        <v>705</v>
      </c>
      <c r="F5115" s="28" t="s">
        <v>142</v>
      </c>
      <c r="G5115" s="28" t="s">
        <v>152</v>
      </c>
      <c r="H5115" s="28" t="s">
        <v>1156</v>
      </c>
      <c r="I5115" s="29" t="n">
        <v>1245000</v>
      </c>
      <c r="J5115" s="29" t="n">
        <v>933750</v>
      </c>
      <c r="K5115" s="28" t="n">
        <v>8.25</v>
      </c>
      <c r="L5115" s="28" t="n">
        <v>300</v>
      </c>
      <c r="M5115" s="28" t="n">
        <v>6</v>
      </c>
    </row>
    <row r="5116" customFormat="false" ht="15" hidden="false" customHeight="false" outlineLevel="0" collapsed="false">
      <c r="A5116" s="27" t="n">
        <v>45996</v>
      </c>
      <c r="B5116" s="28" t="n">
        <v>2026</v>
      </c>
      <c r="C5116" s="28" t="s">
        <v>160</v>
      </c>
      <c r="D5116" s="28" t="s">
        <v>48</v>
      </c>
      <c r="E5116" s="28" t="s">
        <v>995</v>
      </c>
      <c r="F5116" s="28" t="s">
        <v>142</v>
      </c>
      <c r="G5116" s="28" t="s">
        <v>152</v>
      </c>
      <c r="H5116" s="28" t="s">
        <v>980</v>
      </c>
      <c r="I5116" s="29" t="n">
        <v>719000</v>
      </c>
      <c r="J5116" s="29" t="n">
        <v>539250</v>
      </c>
      <c r="K5116" s="28" t="n">
        <v>9.75</v>
      </c>
      <c r="L5116" s="28" t="n">
        <v>120</v>
      </c>
      <c r="M5116" s="28" t="n">
        <v>3</v>
      </c>
    </row>
    <row r="5117" customFormat="false" ht="15" hidden="false" customHeight="false" outlineLevel="0" collapsed="false">
      <c r="A5117" s="27" t="n">
        <v>45997</v>
      </c>
      <c r="B5117" s="28" t="n">
        <v>2026</v>
      </c>
      <c r="C5117" s="28" t="s">
        <v>163</v>
      </c>
      <c r="D5117" s="28" t="s">
        <v>51</v>
      </c>
      <c r="E5117" s="28" t="s">
        <v>779</v>
      </c>
      <c r="F5117" s="28" t="s">
        <v>142</v>
      </c>
      <c r="G5117" s="28" t="s">
        <v>143</v>
      </c>
      <c r="H5117" s="28" t="s">
        <v>291</v>
      </c>
      <c r="I5117" s="29" t="n">
        <v>309000</v>
      </c>
      <c r="J5117" s="29" t="n">
        <v>231750</v>
      </c>
      <c r="K5117" s="28" t="n">
        <v>9.25</v>
      </c>
      <c r="L5117" s="28" t="n">
        <v>126</v>
      </c>
      <c r="M5117" s="28" t="n">
        <v>6</v>
      </c>
    </row>
    <row r="5118" customFormat="false" ht="15" hidden="false" customHeight="false" outlineLevel="0" collapsed="false">
      <c r="A5118" s="27" t="n">
        <v>45998</v>
      </c>
      <c r="B5118" s="28" t="n">
        <v>2026</v>
      </c>
      <c r="C5118" s="28" t="s">
        <v>423</v>
      </c>
      <c r="D5118" s="28" t="s">
        <v>48</v>
      </c>
      <c r="E5118" s="28" t="s">
        <v>210</v>
      </c>
      <c r="F5118" s="28" t="s">
        <v>142</v>
      </c>
      <c r="G5118" s="28" t="s">
        <v>148</v>
      </c>
      <c r="H5118" s="28" t="s">
        <v>1150</v>
      </c>
      <c r="I5118" s="29" t="n">
        <v>111000</v>
      </c>
      <c r="J5118" s="29" t="n">
        <v>94350</v>
      </c>
      <c r="K5118" s="28" t="n">
        <v>11.5</v>
      </c>
      <c r="L5118" s="28" t="n">
        <v>120</v>
      </c>
      <c r="M5118" s="28" t="n">
        <v>3</v>
      </c>
    </row>
    <row r="5119" customFormat="false" ht="15" hidden="false" customHeight="false" outlineLevel="0" collapsed="false">
      <c r="A5119" s="27" t="n">
        <v>45999</v>
      </c>
      <c r="B5119" s="28" t="n">
        <v>2026</v>
      </c>
      <c r="C5119" s="28" t="s">
        <v>160</v>
      </c>
      <c r="D5119" s="28" t="s">
        <v>51</v>
      </c>
      <c r="E5119" s="28" t="s">
        <v>779</v>
      </c>
      <c r="F5119" s="28" t="s">
        <v>142</v>
      </c>
      <c r="G5119" s="28" t="s">
        <v>143</v>
      </c>
      <c r="H5119" s="28" t="s">
        <v>227</v>
      </c>
      <c r="I5119" s="29" t="n">
        <v>915000</v>
      </c>
      <c r="J5119" s="29" t="n">
        <v>686250</v>
      </c>
      <c r="K5119" s="28" t="n">
        <v>9.5</v>
      </c>
      <c r="L5119" s="28" t="n">
        <v>125</v>
      </c>
      <c r="M5119" s="28" t="n">
        <v>2</v>
      </c>
    </row>
    <row r="5120" customFormat="false" ht="15" hidden="false" customHeight="false" outlineLevel="0" collapsed="false">
      <c r="A5120" s="27" t="n">
        <v>45999</v>
      </c>
      <c r="B5120" s="28" t="n">
        <v>2026</v>
      </c>
      <c r="C5120" s="28" t="s">
        <v>172</v>
      </c>
      <c r="D5120" s="28" t="s">
        <v>48</v>
      </c>
      <c r="E5120" s="28" t="s">
        <v>815</v>
      </c>
      <c r="F5120" s="28" t="s">
        <v>142</v>
      </c>
      <c r="G5120" s="28" t="s">
        <v>148</v>
      </c>
      <c r="H5120" s="28" t="s">
        <v>771</v>
      </c>
      <c r="I5120" s="29" t="n">
        <v>350000</v>
      </c>
      <c r="J5120" s="29" t="n">
        <v>262500</v>
      </c>
      <c r="K5120" s="28" t="n">
        <v>11.5</v>
      </c>
      <c r="L5120" s="28" t="n">
        <v>120</v>
      </c>
      <c r="M5120" s="28" t="n">
        <v>26</v>
      </c>
    </row>
    <row r="5121" customFormat="false" ht="15" hidden="false" customHeight="false" outlineLevel="0" collapsed="false">
      <c r="A5121" s="27" t="n">
        <v>45999</v>
      </c>
      <c r="B5121" s="28" t="n">
        <v>2026</v>
      </c>
      <c r="C5121" s="28" t="s">
        <v>160</v>
      </c>
      <c r="D5121" s="28" t="s">
        <v>42</v>
      </c>
      <c r="E5121" s="28" t="s">
        <v>176</v>
      </c>
      <c r="F5121" s="28" t="s">
        <v>147</v>
      </c>
      <c r="G5121" s="28" t="s">
        <v>441</v>
      </c>
      <c r="H5121" s="28" t="s">
        <v>159</v>
      </c>
      <c r="I5121" s="29" t="n">
        <v>25000</v>
      </c>
      <c r="J5121" s="29" t="n">
        <v>12500</v>
      </c>
      <c r="K5121" s="28" t="n">
        <v>13.5</v>
      </c>
      <c r="L5121" s="28" t="n">
        <v>120</v>
      </c>
      <c r="M5121" s="28" t="n">
        <v>0</v>
      </c>
    </row>
    <row r="5122" customFormat="false" ht="15" hidden="false" customHeight="false" outlineLevel="0" collapsed="false">
      <c r="A5122" s="27" t="n">
        <v>46000</v>
      </c>
      <c r="B5122" s="28" t="n">
        <v>2026</v>
      </c>
      <c r="C5122" s="28" t="s">
        <v>172</v>
      </c>
      <c r="D5122" s="28" t="s">
        <v>43</v>
      </c>
      <c r="E5122" s="28" t="s">
        <v>837</v>
      </c>
      <c r="F5122" s="28" t="s">
        <v>147</v>
      </c>
      <c r="G5122" s="28" t="s">
        <v>148</v>
      </c>
      <c r="H5122" s="28" t="s">
        <v>159</v>
      </c>
      <c r="I5122" s="29" t="n">
        <v>25000</v>
      </c>
      <c r="J5122" s="29" t="n">
        <v>12500</v>
      </c>
      <c r="K5122" s="28" t="n">
        <v>13.5</v>
      </c>
      <c r="L5122" s="28" t="n">
        <v>120</v>
      </c>
      <c r="M5122" s="28" t="n">
        <v>0</v>
      </c>
    </row>
    <row r="5123" customFormat="false" ht="15" hidden="false" customHeight="false" outlineLevel="0" collapsed="false">
      <c r="A5123" s="27" t="n">
        <v>46000</v>
      </c>
      <c r="B5123" s="28" t="n">
        <v>2026</v>
      </c>
      <c r="C5123" s="28" t="s">
        <v>160</v>
      </c>
      <c r="D5123" s="28" t="s">
        <v>47</v>
      </c>
      <c r="E5123" s="28" t="s">
        <v>1175</v>
      </c>
      <c r="F5123" s="28" t="s">
        <v>147</v>
      </c>
      <c r="G5123" s="28" t="s">
        <v>148</v>
      </c>
      <c r="H5123" s="28" t="s">
        <v>211</v>
      </c>
      <c r="I5123" s="29" t="n">
        <v>250000</v>
      </c>
      <c r="J5123" s="29" t="n">
        <v>125000</v>
      </c>
      <c r="K5123" s="28" t="n">
        <v>9.75</v>
      </c>
      <c r="L5123" s="28" t="n">
        <v>120</v>
      </c>
      <c r="M5123" s="28" t="n">
        <v>16</v>
      </c>
    </row>
    <row r="5124" customFormat="false" ht="15" hidden="false" customHeight="false" outlineLevel="0" collapsed="false">
      <c r="A5124" s="27" t="n">
        <v>46000</v>
      </c>
      <c r="B5124" s="28" t="n">
        <v>2026</v>
      </c>
      <c r="C5124" s="28" t="s">
        <v>169</v>
      </c>
      <c r="D5124" s="28" t="s">
        <v>48</v>
      </c>
      <c r="E5124" s="28" t="s">
        <v>277</v>
      </c>
      <c r="F5124" s="28" t="s">
        <v>142</v>
      </c>
      <c r="G5124" s="28" t="s">
        <v>148</v>
      </c>
      <c r="H5124" s="28" t="s">
        <v>275</v>
      </c>
      <c r="I5124" s="29" t="n">
        <v>350000</v>
      </c>
      <c r="J5124" s="29" t="n">
        <v>245000</v>
      </c>
      <c r="K5124" s="28" t="n">
        <v>9.75</v>
      </c>
      <c r="L5124" s="28" t="n">
        <v>120</v>
      </c>
      <c r="M5124" s="28" t="n">
        <v>12</v>
      </c>
    </row>
    <row r="5125" customFormat="false" ht="15" hidden="false" customHeight="false" outlineLevel="0" collapsed="false">
      <c r="A5125" s="27" t="n">
        <v>46000</v>
      </c>
      <c r="B5125" s="28" t="n">
        <v>2026</v>
      </c>
      <c r="C5125" s="28" t="s">
        <v>172</v>
      </c>
      <c r="D5125" s="28" t="s">
        <v>43</v>
      </c>
      <c r="E5125" s="28" t="s">
        <v>837</v>
      </c>
      <c r="F5125" s="28" t="s">
        <v>147</v>
      </c>
      <c r="G5125" s="28" t="s">
        <v>148</v>
      </c>
      <c r="H5125" s="28" t="s">
        <v>159</v>
      </c>
      <c r="I5125" s="29" t="n">
        <v>8600</v>
      </c>
      <c r="J5125" s="29" t="n">
        <v>4300</v>
      </c>
      <c r="K5125" s="28" t="n">
        <v>9.4</v>
      </c>
      <c r="L5125" s="28" t="n">
        <v>60</v>
      </c>
      <c r="M5125" s="28" t="n">
        <v>0</v>
      </c>
    </row>
    <row r="5126" customFormat="false" ht="15" hidden="false" customHeight="false" outlineLevel="0" collapsed="false">
      <c r="A5126" s="27" t="n">
        <v>46000</v>
      </c>
      <c r="B5126" s="28" t="n">
        <v>2026</v>
      </c>
      <c r="C5126" s="28" t="s">
        <v>160</v>
      </c>
      <c r="D5126" s="28" t="s">
        <v>47</v>
      </c>
      <c r="E5126" s="28" t="s">
        <v>1175</v>
      </c>
      <c r="F5126" s="28" t="s">
        <v>142</v>
      </c>
      <c r="G5126" s="28" t="s">
        <v>148</v>
      </c>
      <c r="H5126" s="28" t="s">
        <v>211</v>
      </c>
      <c r="I5126" s="29" t="n">
        <v>500000</v>
      </c>
      <c r="J5126" s="29" t="n">
        <v>375000</v>
      </c>
      <c r="K5126" s="28" t="n">
        <v>9.75</v>
      </c>
      <c r="L5126" s="28" t="n">
        <v>120</v>
      </c>
      <c r="M5126" s="28" t="n">
        <v>16</v>
      </c>
    </row>
    <row r="5127" customFormat="false" ht="15" hidden="false" customHeight="false" outlineLevel="0" collapsed="false">
      <c r="A5127" s="27" t="n">
        <v>46001</v>
      </c>
      <c r="B5127" s="28" t="n">
        <v>2026</v>
      </c>
      <c r="C5127" s="28" t="s">
        <v>238</v>
      </c>
      <c r="D5127" s="28" t="s">
        <v>46</v>
      </c>
      <c r="E5127" s="28" t="s">
        <v>813</v>
      </c>
      <c r="F5127" s="28" t="s">
        <v>142</v>
      </c>
      <c r="G5127" s="28" t="s">
        <v>148</v>
      </c>
      <c r="H5127" s="28" t="s">
        <v>1150</v>
      </c>
      <c r="I5127" s="29" t="n">
        <v>140000</v>
      </c>
      <c r="J5127" s="29" t="n">
        <v>119000</v>
      </c>
      <c r="K5127" s="28" t="n">
        <v>11.5</v>
      </c>
      <c r="L5127" s="28" t="n">
        <v>120</v>
      </c>
      <c r="M5127" s="28" t="n">
        <v>3</v>
      </c>
    </row>
    <row r="5128" customFormat="false" ht="15" hidden="false" customHeight="false" outlineLevel="0" collapsed="false">
      <c r="A5128" s="27" t="n">
        <v>46001</v>
      </c>
      <c r="B5128" s="28" t="n">
        <v>2026</v>
      </c>
      <c r="C5128" s="28" t="s">
        <v>163</v>
      </c>
      <c r="D5128" s="28" t="s">
        <v>52</v>
      </c>
      <c r="E5128" s="28" t="s">
        <v>604</v>
      </c>
      <c r="F5128" s="28" t="s">
        <v>142</v>
      </c>
      <c r="G5128" s="28" t="s">
        <v>148</v>
      </c>
      <c r="H5128" s="28" t="s">
        <v>579</v>
      </c>
      <c r="I5128" s="29" t="n">
        <v>150000</v>
      </c>
      <c r="J5128" s="29" t="n">
        <v>127500</v>
      </c>
      <c r="K5128" s="28" t="n">
        <v>10.5</v>
      </c>
      <c r="L5128" s="28" t="n">
        <v>120</v>
      </c>
      <c r="M5128" s="28" t="n">
        <v>18</v>
      </c>
    </row>
    <row r="5129" customFormat="false" ht="15" hidden="false" customHeight="false" outlineLevel="0" collapsed="false">
      <c r="A5129" s="27" t="n">
        <v>46001</v>
      </c>
      <c r="B5129" s="28" t="n">
        <v>2026</v>
      </c>
      <c r="C5129" s="28" t="s">
        <v>272</v>
      </c>
      <c r="D5129" s="28" t="s">
        <v>50</v>
      </c>
      <c r="E5129" s="28" t="s">
        <v>951</v>
      </c>
      <c r="F5129" s="28" t="s">
        <v>142</v>
      </c>
      <c r="G5129" s="28" t="s">
        <v>143</v>
      </c>
      <c r="H5129" s="28" t="s">
        <v>416</v>
      </c>
      <c r="I5129" s="29" t="n">
        <v>310000</v>
      </c>
      <c r="J5129" s="29" t="n">
        <v>232500</v>
      </c>
      <c r="K5129" s="28" t="n">
        <v>9.25</v>
      </c>
      <c r="L5129" s="28" t="n">
        <v>120</v>
      </c>
      <c r="M5129" s="28" t="n">
        <v>7</v>
      </c>
    </row>
    <row r="5130" customFormat="false" ht="15" hidden="false" customHeight="false" outlineLevel="0" collapsed="false">
      <c r="A5130" s="27" t="n">
        <v>46001</v>
      </c>
      <c r="B5130" s="28" t="n">
        <v>2026</v>
      </c>
      <c r="C5130" s="28" t="s">
        <v>172</v>
      </c>
      <c r="D5130" s="28" t="s">
        <v>56</v>
      </c>
      <c r="E5130" s="28" t="s">
        <v>1176</v>
      </c>
      <c r="F5130" s="28" t="s">
        <v>147</v>
      </c>
      <c r="G5130" s="28" t="s">
        <v>148</v>
      </c>
      <c r="H5130" s="28" t="s">
        <v>159</v>
      </c>
      <c r="I5130" s="29" t="n">
        <v>240000</v>
      </c>
      <c r="J5130" s="29" t="n">
        <v>120000</v>
      </c>
      <c r="K5130" s="28" t="n">
        <v>9.5</v>
      </c>
      <c r="L5130" s="28" t="n">
        <v>84</v>
      </c>
      <c r="M5130" s="28" t="n">
        <v>17</v>
      </c>
    </row>
    <row r="5131" customFormat="false" ht="15" hidden="false" customHeight="false" outlineLevel="0" collapsed="false">
      <c r="A5131" s="27" t="n">
        <v>46002</v>
      </c>
      <c r="B5131" s="28" t="n">
        <v>2026</v>
      </c>
      <c r="C5131" s="28" t="s">
        <v>203</v>
      </c>
      <c r="D5131" s="28" t="s">
        <v>48</v>
      </c>
      <c r="E5131" s="28" t="s">
        <v>566</v>
      </c>
      <c r="F5131" s="28" t="s">
        <v>147</v>
      </c>
      <c r="G5131" s="28" t="s">
        <v>143</v>
      </c>
      <c r="H5131" s="28" t="s">
        <v>159</v>
      </c>
      <c r="I5131" s="29" t="n">
        <v>15000</v>
      </c>
      <c r="J5131" s="29" t="n">
        <v>7500</v>
      </c>
      <c r="K5131" s="28" t="n">
        <v>9.5</v>
      </c>
      <c r="L5131" s="28" t="n">
        <v>120</v>
      </c>
      <c r="M5131" s="28" t="n">
        <v>4</v>
      </c>
    </row>
    <row r="5132" customFormat="false" ht="15" hidden="false" customHeight="false" outlineLevel="0" collapsed="false">
      <c r="A5132" s="27" t="n">
        <v>46002</v>
      </c>
      <c r="B5132" s="28" t="n">
        <v>2026</v>
      </c>
      <c r="C5132" s="28" t="s">
        <v>303</v>
      </c>
      <c r="D5132" s="28" t="s">
        <v>47</v>
      </c>
      <c r="E5132" s="28" t="s">
        <v>623</v>
      </c>
      <c r="F5132" s="28" t="s">
        <v>147</v>
      </c>
      <c r="G5132" s="28" t="s">
        <v>143</v>
      </c>
      <c r="H5132" s="28" t="s">
        <v>1070</v>
      </c>
      <c r="I5132" s="29" t="n">
        <v>350000</v>
      </c>
      <c r="J5132" s="29" t="n">
        <v>175000</v>
      </c>
      <c r="K5132" s="28" t="n">
        <v>8.5</v>
      </c>
      <c r="L5132" s="28" t="n">
        <v>129</v>
      </c>
      <c r="M5132" s="28" t="n">
        <v>20</v>
      </c>
    </row>
    <row r="5133" customFormat="false" ht="15" hidden="false" customHeight="false" outlineLevel="0" collapsed="false">
      <c r="A5133" s="27" t="n">
        <v>46002</v>
      </c>
      <c r="B5133" s="28" t="n">
        <v>2026</v>
      </c>
      <c r="C5133" s="28" t="s">
        <v>203</v>
      </c>
      <c r="D5133" s="28" t="s">
        <v>48</v>
      </c>
      <c r="E5133" s="28" t="s">
        <v>566</v>
      </c>
      <c r="F5133" s="28" t="s">
        <v>147</v>
      </c>
      <c r="G5133" s="28" t="s">
        <v>143</v>
      </c>
      <c r="H5133" s="28" t="s">
        <v>159</v>
      </c>
      <c r="I5133" s="29" t="n">
        <v>220600</v>
      </c>
      <c r="J5133" s="29" t="n">
        <v>110300</v>
      </c>
      <c r="K5133" s="28" t="n">
        <v>9.25</v>
      </c>
      <c r="L5133" s="28" t="n">
        <v>84</v>
      </c>
      <c r="M5133" s="28" t="n">
        <v>4</v>
      </c>
    </row>
    <row r="5134" customFormat="false" ht="15" hidden="false" customHeight="false" outlineLevel="0" collapsed="false">
      <c r="A5134" s="27" t="n">
        <v>46002</v>
      </c>
      <c r="B5134" s="28" t="n">
        <v>2026</v>
      </c>
      <c r="C5134" s="28" t="s">
        <v>203</v>
      </c>
      <c r="D5134" s="28" t="s">
        <v>50</v>
      </c>
      <c r="E5134" s="28" t="s">
        <v>389</v>
      </c>
      <c r="F5134" s="28" t="s">
        <v>142</v>
      </c>
      <c r="G5134" s="28" t="s">
        <v>148</v>
      </c>
      <c r="H5134" s="28" t="s">
        <v>1150</v>
      </c>
      <c r="I5134" s="29" t="n">
        <v>200000</v>
      </c>
      <c r="J5134" s="29" t="n">
        <v>150000</v>
      </c>
      <c r="K5134" s="28" t="n">
        <v>10</v>
      </c>
      <c r="L5134" s="28" t="n">
        <v>120</v>
      </c>
      <c r="M5134" s="28" t="n">
        <v>3</v>
      </c>
    </row>
    <row r="5135" customFormat="false" ht="15" hidden="false" customHeight="false" outlineLevel="0" collapsed="false">
      <c r="A5135" s="27" t="n">
        <v>46002</v>
      </c>
      <c r="B5135" s="28" t="n">
        <v>2026</v>
      </c>
      <c r="C5135" s="28" t="s">
        <v>206</v>
      </c>
      <c r="D5135" s="28" t="s">
        <v>50</v>
      </c>
      <c r="E5135" s="28" t="s">
        <v>724</v>
      </c>
      <c r="F5135" s="28" t="s">
        <v>147</v>
      </c>
      <c r="G5135" s="28" t="s">
        <v>148</v>
      </c>
      <c r="H5135" s="28" t="s">
        <v>278</v>
      </c>
      <c r="I5135" s="29" t="n">
        <v>100000</v>
      </c>
      <c r="J5135" s="29" t="n">
        <v>50000</v>
      </c>
      <c r="K5135" s="28" t="n">
        <v>9</v>
      </c>
      <c r="L5135" s="28" t="n">
        <v>120</v>
      </c>
      <c r="M5135" s="28" t="n">
        <v>24</v>
      </c>
    </row>
    <row r="5136" customFormat="false" ht="15" hidden="false" customHeight="false" outlineLevel="0" collapsed="false">
      <c r="A5136" s="27" t="n">
        <v>46003</v>
      </c>
      <c r="B5136" s="28" t="n">
        <v>2026</v>
      </c>
      <c r="C5136" s="28" t="s">
        <v>249</v>
      </c>
      <c r="D5136" s="28" t="s">
        <v>46</v>
      </c>
      <c r="E5136" s="28" t="s">
        <v>727</v>
      </c>
      <c r="F5136" s="28" t="s">
        <v>142</v>
      </c>
      <c r="G5136" s="28" t="s">
        <v>148</v>
      </c>
      <c r="H5136" s="28" t="s">
        <v>771</v>
      </c>
      <c r="I5136" s="29" t="n">
        <v>40000</v>
      </c>
      <c r="J5136" s="29" t="n">
        <v>34000</v>
      </c>
      <c r="K5136" s="28" t="n">
        <v>9.75</v>
      </c>
      <c r="L5136" s="28" t="n">
        <v>120</v>
      </c>
      <c r="M5136" s="28" t="n">
        <v>2</v>
      </c>
    </row>
    <row r="5137" customFormat="false" ht="15" hidden="false" customHeight="false" outlineLevel="0" collapsed="false">
      <c r="A5137" s="27" t="n">
        <v>46003</v>
      </c>
      <c r="B5137" s="28" t="n">
        <v>2026</v>
      </c>
      <c r="C5137" s="28" t="s">
        <v>360</v>
      </c>
      <c r="D5137" s="28" t="s">
        <v>43</v>
      </c>
      <c r="E5137" s="28" t="s">
        <v>1005</v>
      </c>
      <c r="F5137" s="28" t="s">
        <v>142</v>
      </c>
      <c r="G5137" s="28" t="s">
        <v>143</v>
      </c>
      <c r="H5137" s="28" t="s">
        <v>291</v>
      </c>
      <c r="I5137" s="29" t="n">
        <v>881000</v>
      </c>
      <c r="J5137" s="29" t="n">
        <v>660750</v>
      </c>
      <c r="K5137" s="28" t="n">
        <v>9.15</v>
      </c>
      <c r="L5137" s="28" t="n">
        <v>120</v>
      </c>
      <c r="M5137" s="28" t="n">
        <v>18</v>
      </c>
    </row>
    <row r="5138" customFormat="false" ht="15" hidden="false" customHeight="false" outlineLevel="0" collapsed="false">
      <c r="A5138" s="27" t="n">
        <v>46003</v>
      </c>
      <c r="B5138" s="28" t="n">
        <v>2026</v>
      </c>
      <c r="C5138" s="28" t="s">
        <v>172</v>
      </c>
      <c r="D5138" s="28" t="s">
        <v>47</v>
      </c>
      <c r="E5138" s="28" t="s">
        <v>900</v>
      </c>
      <c r="F5138" s="28" t="s">
        <v>142</v>
      </c>
      <c r="G5138" s="28" t="s">
        <v>148</v>
      </c>
      <c r="H5138" s="28" t="s">
        <v>937</v>
      </c>
      <c r="I5138" s="29" t="n">
        <v>252700</v>
      </c>
      <c r="J5138" s="29" t="n">
        <v>189525</v>
      </c>
      <c r="K5138" s="28" t="n">
        <v>11.5</v>
      </c>
      <c r="L5138" s="28" t="n">
        <v>120</v>
      </c>
      <c r="M5138" s="28" t="n">
        <v>10</v>
      </c>
    </row>
    <row r="5139" customFormat="false" ht="15" hidden="false" customHeight="false" outlineLevel="0" collapsed="false">
      <c r="A5139" s="27" t="n">
        <v>46003</v>
      </c>
      <c r="B5139" s="28" t="n">
        <v>2026</v>
      </c>
      <c r="C5139" s="28" t="s">
        <v>172</v>
      </c>
      <c r="D5139" s="28" t="s">
        <v>45</v>
      </c>
      <c r="E5139" s="28" t="s">
        <v>835</v>
      </c>
      <c r="F5139" s="28" t="s">
        <v>142</v>
      </c>
      <c r="G5139" s="28" t="s">
        <v>441</v>
      </c>
      <c r="H5139" s="28" t="s">
        <v>374</v>
      </c>
      <c r="I5139" s="29" t="n">
        <v>620000</v>
      </c>
      <c r="J5139" s="29" t="n">
        <v>465000</v>
      </c>
      <c r="K5139" s="28" t="n">
        <v>9.5</v>
      </c>
      <c r="L5139" s="28" t="n">
        <v>120</v>
      </c>
      <c r="M5139" s="28" t="n">
        <v>4</v>
      </c>
    </row>
    <row r="5140" customFormat="false" ht="15" hidden="false" customHeight="false" outlineLevel="0" collapsed="false">
      <c r="A5140" s="27" t="n">
        <v>46003</v>
      </c>
      <c r="B5140" s="28" t="n">
        <v>2026</v>
      </c>
      <c r="C5140" s="28" t="s">
        <v>488</v>
      </c>
      <c r="D5140" s="28" t="s">
        <v>43</v>
      </c>
      <c r="E5140" s="28" t="s">
        <v>1005</v>
      </c>
      <c r="F5140" s="28" t="s">
        <v>147</v>
      </c>
      <c r="G5140" s="28" t="s">
        <v>143</v>
      </c>
      <c r="H5140" s="28" t="s">
        <v>291</v>
      </c>
      <c r="I5140" s="29" t="n">
        <v>200000</v>
      </c>
      <c r="J5140" s="29" t="n">
        <v>100000</v>
      </c>
      <c r="K5140" s="28" t="n">
        <v>9.15</v>
      </c>
      <c r="L5140" s="28" t="n">
        <v>120</v>
      </c>
      <c r="M5140" s="28" t="n">
        <v>18</v>
      </c>
    </row>
    <row r="5141" customFormat="false" ht="15" hidden="false" customHeight="false" outlineLevel="0" collapsed="false">
      <c r="A5141" s="27" t="n">
        <v>46006</v>
      </c>
      <c r="B5141" s="28" t="n">
        <v>2026</v>
      </c>
      <c r="C5141" s="28" t="s">
        <v>169</v>
      </c>
      <c r="D5141" s="28" t="s">
        <v>48</v>
      </c>
      <c r="E5141" s="28" t="s">
        <v>342</v>
      </c>
      <c r="F5141" s="28" t="s">
        <v>142</v>
      </c>
      <c r="G5141" s="28" t="s">
        <v>148</v>
      </c>
      <c r="H5141" s="28" t="s">
        <v>771</v>
      </c>
      <c r="I5141" s="29" t="n">
        <v>100000</v>
      </c>
      <c r="J5141" s="29" t="n">
        <v>85000</v>
      </c>
      <c r="K5141" s="28" t="n">
        <v>10</v>
      </c>
      <c r="L5141" s="28" t="n">
        <v>120</v>
      </c>
      <c r="M5141" s="28" t="n">
        <v>10</v>
      </c>
    </row>
    <row r="5142" customFormat="false" ht="15" hidden="false" customHeight="false" outlineLevel="0" collapsed="false">
      <c r="A5142" s="27" t="n">
        <v>46006</v>
      </c>
      <c r="B5142" s="28" t="n">
        <v>2026</v>
      </c>
      <c r="C5142" s="28" t="s">
        <v>387</v>
      </c>
      <c r="D5142" s="28" t="s">
        <v>45</v>
      </c>
      <c r="E5142" s="28" t="s">
        <v>708</v>
      </c>
      <c r="F5142" s="28" t="s">
        <v>142</v>
      </c>
      <c r="G5142" s="28" t="s">
        <v>148</v>
      </c>
      <c r="H5142" s="28" t="s">
        <v>382</v>
      </c>
      <c r="I5142" s="29" t="n">
        <v>284400</v>
      </c>
      <c r="J5142" s="29" t="n">
        <v>213300</v>
      </c>
      <c r="K5142" s="28" t="n">
        <v>8.75</v>
      </c>
      <c r="L5142" s="28" t="n">
        <v>300</v>
      </c>
      <c r="M5142" s="28" t="n">
        <v>2</v>
      </c>
    </row>
    <row r="5143" customFormat="false" ht="15" hidden="false" customHeight="false" outlineLevel="0" collapsed="false">
      <c r="A5143" s="27" t="n">
        <v>46006</v>
      </c>
      <c r="B5143" s="28" t="n">
        <v>2026</v>
      </c>
      <c r="C5143" s="28" t="s">
        <v>166</v>
      </c>
      <c r="D5143" s="28" t="s">
        <v>43</v>
      </c>
      <c r="E5143" s="28" t="s">
        <v>757</v>
      </c>
      <c r="F5143" s="28" t="s">
        <v>142</v>
      </c>
      <c r="G5143" s="28" t="s">
        <v>143</v>
      </c>
      <c r="H5143" s="28" t="s">
        <v>144</v>
      </c>
      <c r="I5143" s="29" t="n">
        <v>350000</v>
      </c>
      <c r="J5143" s="29" t="n">
        <v>262500</v>
      </c>
      <c r="K5143" s="28" t="n">
        <v>9.49</v>
      </c>
      <c r="L5143" s="28" t="n">
        <v>120</v>
      </c>
      <c r="M5143" s="28" t="n">
        <v>0</v>
      </c>
    </row>
    <row r="5144" customFormat="false" ht="15" hidden="false" customHeight="false" outlineLevel="0" collapsed="false">
      <c r="A5144" s="27" t="n">
        <v>46006</v>
      </c>
      <c r="B5144" s="28" t="n">
        <v>2026</v>
      </c>
      <c r="C5144" s="28" t="s">
        <v>235</v>
      </c>
      <c r="D5144" s="28" t="s">
        <v>42</v>
      </c>
      <c r="E5144" s="28" t="s">
        <v>705</v>
      </c>
      <c r="F5144" s="28" t="s">
        <v>142</v>
      </c>
      <c r="G5144" s="28" t="s">
        <v>152</v>
      </c>
      <c r="H5144" s="28" t="s">
        <v>326</v>
      </c>
      <c r="I5144" s="29" t="n">
        <v>1643000</v>
      </c>
      <c r="J5144" s="29" t="n">
        <v>1232250</v>
      </c>
      <c r="K5144" s="28" t="n">
        <v>8.25</v>
      </c>
      <c r="L5144" s="28" t="n">
        <v>300</v>
      </c>
      <c r="M5144" s="28" t="n">
        <v>11</v>
      </c>
    </row>
    <row r="5145" customFormat="false" ht="15" hidden="false" customHeight="false" outlineLevel="0" collapsed="false">
      <c r="A5145" s="27" t="n">
        <v>46006</v>
      </c>
      <c r="B5145" s="28" t="n">
        <v>2026</v>
      </c>
      <c r="C5145" s="28" t="s">
        <v>166</v>
      </c>
      <c r="D5145" s="28" t="s">
        <v>44</v>
      </c>
      <c r="E5145" s="28" t="s">
        <v>730</v>
      </c>
      <c r="F5145" s="28" t="s">
        <v>142</v>
      </c>
      <c r="G5145" s="28" t="s">
        <v>143</v>
      </c>
      <c r="H5145" s="28" t="s">
        <v>413</v>
      </c>
      <c r="I5145" s="29" t="n">
        <v>325000</v>
      </c>
      <c r="J5145" s="29" t="n">
        <v>243750</v>
      </c>
      <c r="K5145" s="28" t="n">
        <v>9</v>
      </c>
      <c r="L5145" s="28" t="n">
        <v>120</v>
      </c>
      <c r="M5145" s="28" t="n">
        <v>30</v>
      </c>
    </row>
    <row r="5146" customFormat="false" ht="15" hidden="false" customHeight="false" outlineLevel="0" collapsed="false">
      <c r="A5146" s="27" t="n">
        <v>46006</v>
      </c>
      <c r="B5146" s="28" t="n">
        <v>2026</v>
      </c>
      <c r="C5146" s="28" t="s">
        <v>243</v>
      </c>
      <c r="D5146" s="28" t="s">
        <v>42</v>
      </c>
      <c r="E5146" s="28" t="s">
        <v>753</v>
      </c>
      <c r="F5146" s="28" t="s">
        <v>142</v>
      </c>
      <c r="G5146" s="28" t="s">
        <v>143</v>
      </c>
      <c r="H5146" s="28" t="s">
        <v>372</v>
      </c>
      <c r="I5146" s="29" t="n">
        <v>148500</v>
      </c>
      <c r="J5146" s="29" t="n">
        <v>126225</v>
      </c>
      <c r="K5146" s="28" t="n">
        <v>9</v>
      </c>
      <c r="L5146" s="28" t="n">
        <v>90</v>
      </c>
      <c r="M5146" s="28" t="n">
        <v>10</v>
      </c>
    </row>
    <row r="5147" customFormat="false" ht="15" hidden="false" customHeight="false" outlineLevel="0" collapsed="false">
      <c r="A5147" s="27" t="n">
        <v>46006</v>
      </c>
      <c r="B5147" s="28" t="n">
        <v>2026</v>
      </c>
      <c r="C5147" s="28" t="s">
        <v>198</v>
      </c>
      <c r="D5147" s="28" t="s">
        <v>48</v>
      </c>
      <c r="E5147" s="28" t="s">
        <v>736</v>
      </c>
      <c r="F5147" s="28" t="s">
        <v>142</v>
      </c>
      <c r="G5147" s="28" t="s">
        <v>148</v>
      </c>
      <c r="H5147" s="28" t="s">
        <v>1150</v>
      </c>
      <c r="I5147" s="29" t="n">
        <v>140000</v>
      </c>
      <c r="J5147" s="29" t="n">
        <v>119000</v>
      </c>
      <c r="K5147" s="28" t="n">
        <v>11.5</v>
      </c>
      <c r="L5147" s="28" t="n">
        <v>120</v>
      </c>
      <c r="M5147" s="28" t="n">
        <v>0</v>
      </c>
    </row>
    <row r="5148" customFormat="false" ht="15" hidden="false" customHeight="false" outlineLevel="0" collapsed="false">
      <c r="A5148" s="27" t="n">
        <v>46007</v>
      </c>
      <c r="B5148" s="28" t="n">
        <v>2026</v>
      </c>
      <c r="C5148" s="28" t="s">
        <v>312</v>
      </c>
      <c r="D5148" s="28" t="s">
        <v>47</v>
      </c>
      <c r="E5148" s="28" t="s">
        <v>1103</v>
      </c>
      <c r="F5148" s="28" t="s">
        <v>142</v>
      </c>
      <c r="G5148" s="28" t="s">
        <v>148</v>
      </c>
      <c r="H5148" s="28" t="s">
        <v>144</v>
      </c>
      <c r="I5148" s="29" t="n">
        <v>245000</v>
      </c>
      <c r="J5148" s="29" t="n">
        <v>183750</v>
      </c>
      <c r="K5148" s="28" t="n">
        <v>11.5</v>
      </c>
      <c r="L5148" s="28" t="n">
        <v>120</v>
      </c>
      <c r="M5148" s="28" t="n">
        <v>6</v>
      </c>
    </row>
    <row r="5149" customFormat="false" ht="15" hidden="false" customHeight="false" outlineLevel="0" collapsed="false">
      <c r="A5149" s="27" t="n">
        <v>46007</v>
      </c>
      <c r="B5149" s="28" t="n">
        <v>2026</v>
      </c>
      <c r="C5149" s="28" t="s">
        <v>172</v>
      </c>
      <c r="D5149" s="28" t="s">
        <v>48</v>
      </c>
      <c r="E5149" s="28" t="s">
        <v>736</v>
      </c>
      <c r="F5149" s="28" t="s">
        <v>194</v>
      </c>
      <c r="G5149" s="28" t="s">
        <v>148</v>
      </c>
      <c r="H5149" s="28" t="s">
        <v>1168</v>
      </c>
      <c r="I5149" s="29" t="n">
        <v>325000</v>
      </c>
      <c r="J5149" s="29" t="n">
        <v>243750</v>
      </c>
      <c r="K5149" s="28" t="n">
        <v>9.25</v>
      </c>
      <c r="L5149" s="28" t="n">
        <v>132</v>
      </c>
      <c r="M5149" s="28" t="n">
        <v>12</v>
      </c>
    </row>
    <row r="5150" customFormat="false" ht="15" hidden="false" customHeight="false" outlineLevel="0" collapsed="false">
      <c r="A5150" s="27" t="n">
        <v>46008</v>
      </c>
      <c r="B5150" s="28" t="n">
        <v>2026</v>
      </c>
      <c r="C5150" s="28" t="s">
        <v>163</v>
      </c>
      <c r="D5150" s="28" t="s">
        <v>51</v>
      </c>
      <c r="E5150" s="28" t="s">
        <v>800</v>
      </c>
      <c r="F5150" s="28" t="s">
        <v>142</v>
      </c>
      <c r="G5150" s="28" t="s">
        <v>441</v>
      </c>
      <c r="H5150" s="28" t="s">
        <v>1117</v>
      </c>
      <c r="I5150" s="29" t="n">
        <v>535000</v>
      </c>
      <c r="J5150" s="29" t="n">
        <v>401250</v>
      </c>
      <c r="K5150" s="28" t="n">
        <v>9.75</v>
      </c>
      <c r="L5150" s="28" t="n">
        <v>123</v>
      </c>
      <c r="M5150" s="28" t="n">
        <v>4</v>
      </c>
    </row>
    <row r="5151" customFormat="false" ht="15" hidden="false" customHeight="false" outlineLevel="0" collapsed="false">
      <c r="A5151" s="27" t="n">
        <v>46008</v>
      </c>
      <c r="B5151" s="28" t="n">
        <v>2026</v>
      </c>
      <c r="C5151" s="28" t="s">
        <v>172</v>
      </c>
      <c r="D5151" s="28" t="s">
        <v>42</v>
      </c>
      <c r="E5151" s="28" t="s">
        <v>717</v>
      </c>
      <c r="F5151" s="28" t="s">
        <v>142</v>
      </c>
      <c r="G5151" s="28" t="s">
        <v>143</v>
      </c>
      <c r="H5151" s="28" t="s">
        <v>592</v>
      </c>
      <c r="I5151" s="29" t="n">
        <v>975000</v>
      </c>
      <c r="J5151" s="29" t="n">
        <v>731250</v>
      </c>
      <c r="K5151" s="28" t="n">
        <v>8.75</v>
      </c>
      <c r="L5151" s="28" t="n">
        <v>120</v>
      </c>
      <c r="M5151" s="28" t="n">
        <v>5</v>
      </c>
    </row>
    <row r="5152" customFormat="false" ht="15" hidden="false" customHeight="false" outlineLevel="0" collapsed="false">
      <c r="A5152" s="27" t="n">
        <v>46008</v>
      </c>
      <c r="B5152" s="28" t="n">
        <v>2026</v>
      </c>
      <c r="C5152" s="28" t="s">
        <v>172</v>
      </c>
      <c r="D5152" s="28" t="s">
        <v>44</v>
      </c>
      <c r="E5152" s="28" t="s">
        <v>863</v>
      </c>
      <c r="F5152" s="28" t="s">
        <v>142</v>
      </c>
      <c r="G5152" s="28" t="s">
        <v>148</v>
      </c>
      <c r="H5152" s="28" t="s">
        <v>382</v>
      </c>
      <c r="I5152" s="29" t="n">
        <v>1569100</v>
      </c>
      <c r="J5152" s="29" t="n">
        <v>1176825</v>
      </c>
      <c r="K5152" s="28" t="n">
        <v>9.75</v>
      </c>
      <c r="L5152" s="28" t="n">
        <v>304</v>
      </c>
      <c r="M5152" s="28" t="n">
        <v>6</v>
      </c>
    </row>
    <row r="5153" customFormat="false" ht="15" hidden="false" customHeight="false" outlineLevel="0" collapsed="false">
      <c r="A5153" s="27" t="n">
        <v>46008</v>
      </c>
      <c r="B5153" s="28" t="n">
        <v>2026</v>
      </c>
      <c r="C5153" s="28" t="s">
        <v>203</v>
      </c>
      <c r="D5153" s="28" t="s">
        <v>44</v>
      </c>
      <c r="E5153" s="28" t="s">
        <v>730</v>
      </c>
      <c r="F5153" s="28" t="s">
        <v>142</v>
      </c>
      <c r="G5153" s="28" t="s">
        <v>143</v>
      </c>
      <c r="H5153" s="28" t="s">
        <v>269</v>
      </c>
      <c r="I5153" s="29" t="n">
        <v>924000</v>
      </c>
      <c r="J5153" s="29" t="n">
        <v>693000</v>
      </c>
      <c r="K5153" s="28" t="n">
        <v>9.25</v>
      </c>
      <c r="L5153" s="28" t="n">
        <v>120</v>
      </c>
      <c r="M5153" s="28" t="n">
        <v>31</v>
      </c>
    </row>
    <row r="5154" customFormat="false" ht="15" hidden="false" customHeight="false" outlineLevel="0" collapsed="false">
      <c r="A5154" s="27" t="n">
        <v>46008</v>
      </c>
      <c r="B5154" s="28" t="n">
        <v>2026</v>
      </c>
      <c r="C5154" s="28" t="s">
        <v>172</v>
      </c>
      <c r="D5154" s="28" t="s">
        <v>44</v>
      </c>
      <c r="E5154" s="28" t="s">
        <v>751</v>
      </c>
      <c r="F5154" s="28" t="s">
        <v>142</v>
      </c>
      <c r="G5154" s="28" t="s">
        <v>148</v>
      </c>
      <c r="H5154" s="28" t="s">
        <v>269</v>
      </c>
      <c r="I5154" s="29" t="n">
        <v>91000</v>
      </c>
      <c r="J5154" s="29" t="n">
        <v>77350</v>
      </c>
      <c r="K5154" s="28" t="n">
        <v>9.75</v>
      </c>
      <c r="L5154" s="28" t="n">
        <v>120</v>
      </c>
      <c r="M5154" s="28" t="n">
        <v>2</v>
      </c>
    </row>
    <row r="5155" customFormat="false" ht="15" hidden="false" customHeight="false" outlineLevel="0" collapsed="false">
      <c r="A5155" s="27" t="n">
        <v>46009</v>
      </c>
      <c r="B5155" s="28" t="n">
        <v>2026</v>
      </c>
      <c r="C5155" s="28" t="s">
        <v>166</v>
      </c>
      <c r="D5155" s="28" t="s">
        <v>44</v>
      </c>
      <c r="E5155" s="28" t="s">
        <v>167</v>
      </c>
      <c r="F5155" s="28" t="s">
        <v>142</v>
      </c>
      <c r="G5155" s="28" t="s">
        <v>152</v>
      </c>
      <c r="H5155" s="28" t="s">
        <v>144</v>
      </c>
      <c r="I5155" s="29" t="n">
        <v>350000</v>
      </c>
      <c r="J5155" s="29" t="n">
        <v>262500</v>
      </c>
      <c r="K5155" s="28" t="n">
        <v>9.49</v>
      </c>
      <c r="L5155" s="28" t="n">
        <v>120</v>
      </c>
      <c r="M5155" s="28" t="n">
        <v>32</v>
      </c>
    </row>
    <row r="5156" customFormat="false" ht="15" hidden="false" customHeight="false" outlineLevel="0" collapsed="false">
      <c r="A5156" s="27" t="n">
        <v>46009</v>
      </c>
      <c r="B5156" s="28" t="n">
        <v>2026</v>
      </c>
      <c r="C5156" s="28" t="s">
        <v>979</v>
      </c>
      <c r="D5156" s="28" t="s">
        <v>42</v>
      </c>
      <c r="E5156" s="28" t="s">
        <v>705</v>
      </c>
      <c r="F5156" s="28" t="s">
        <v>142</v>
      </c>
      <c r="G5156" s="28" t="s">
        <v>152</v>
      </c>
      <c r="H5156" s="28" t="s">
        <v>1002</v>
      </c>
      <c r="I5156" s="29" t="n">
        <v>2645000</v>
      </c>
      <c r="J5156" s="29" t="n">
        <v>1983750</v>
      </c>
      <c r="K5156" s="28" t="n">
        <v>8.25</v>
      </c>
      <c r="L5156" s="28" t="n">
        <v>300</v>
      </c>
      <c r="M5156" s="28" t="n">
        <v>6</v>
      </c>
    </row>
    <row r="5157" customFormat="false" ht="15" hidden="false" customHeight="false" outlineLevel="0" collapsed="false">
      <c r="A5157" s="27" t="n">
        <v>46009</v>
      </c>
      <c r="B5157" s="28" t="n">
        <v>2026</v>
      </c>
      <c r="C5157" s="28" t="s">
        <v>172</v>
      </c>
      <c r="D5157" s="28" t="s">
        <v>50</v>
      </c>
      <c r="E5157" s="28" t="s">
        <v>724</v>
      </c>
      <c r="F5157" s="28" t="s">
        <v>142</v>
      </c>
      <c r="G5157" s="28" t="s">
        <v>148</v>
      </c>
      <c r="H5157" s="28" t="s">
        <v>159</v>
      </c>
      <c r="I5157" s="29" t="n">
        <v>262500</v>
      </c>
      <c r="J5157" s="29" t="n">
        <v>196875</v>
      </c>
      <c r="K5157" s="28" t="n">
        <v>8.25</v>
      </c>
      <c r="L5157" s="28" t="n">
        <v>300</v>
      </c>
      <c r="M5157" s="28" t="n">
        <v>14</v>
      </c>
    </row>
    <row r="5158" customFormat="false" ht="15" hidden="false" customHeight="false" outlineLevel="0" collapsed="false">
      <c r="A5158" s="27" t="n">
        <v>46009</v>
      </c>
      <c r="B5158" s="28" t="n">
        <v>2026</v>
      </c>
      <c r="C5158" s="28" t="s">
        <v>172</v>
      </c>
      <c r="D5158" s="28" t="s">
        <v>50</v>
      </c>
      <c r="E5158" s="28" t="s">
        <v>724</v>
      </c>
      <c r="F5158" s="28" t="s">
        <v>142</v>
      </c>
      <c r="G5158" s="28" t="s">
        <v>148</v>
      </c>
      <c r="H5158" s="28" t="s">
        <v>159</v>
      </c>
      <c r="I5158" s="29" t="n">
        <v>30000</v>
      </c>
      <c r="J5158" s="29" t="n">
        <v>22500</v>
      </c>
      <c r="K5158" s="28" t="n">
        <v>9</v>
      </c>
      <c r="L5158" s="28" t="n">
        <v>60</v>
      </c>
      <c r="M5158" s="28" t="n">
        <v>14</v>
      </c>
    </row>
    <row r="5159" customFormat="false" ht="15" hidden="false" customHeight="false" outlineLevel="0" collapsed="false">
      <c r="A5159" s="27" t="n">
        <v>46009</v>
      </c>
      <c r="B5159" s="28" t="n">
        <v>2026</v>
      </c>
      <c r="C5159" s="28" t="s">
        <v>292</v>
      </c>
      <c r="D5159" s="28" t="s">
        <v>42</v>
      </c>
      <c r="E5159" s="28" t="s">
        <v>784</v>
      </c>
      <c r="F5159" s="28" t="s">
        <v>142</v>
      </c>
      <c r="G5159" s="28" t="s">
        <v>148</v>
      </c>
      <c r="H5159" s="28" t="s">
        <v>953</v>
      </c>
      <c r="I5159" s="29" t="n">
        <v>275000</v>
      </c>
      <c r="J5159" s="29" t="n">
        <v>206250</v>
      </c>
      <c r="K5159" s="28" t="n">
        <v>10</v>
      </c>
      <c r="L5159" s="28" t="n">
        <v>120</v>
      </c>
      <c r="M5159" s="28" t="n">
        <v>25</v>
      </c>
    </row>
    <row r="5160" customFormat="false" ht="15" hidden="false" customHeight="false" outlineLevel="0" collapsed="false">
      <c r="A5160" s="27" t="n">
        <v>46009</v>
      </c>
      <c r="B5160" s="28" t="n">
        <v>2026</v>
      </c>
      <c r="C5160" s="28" t="s">
        <v>172</v>
      </c>
      <c r="D5160" s="28" t="s">
        <v>50</v>
      </c>
      <c r="E5160" s="28" t="s">
        <v>724</v>
      </c>
      <c r="F5160" s="28" t="s">
        <v>147</v>
      </c>
      <c r="G5160" s="28" t="s">
        <v>148</v>
      </c>
      <c r="H5160" s="28" t="s">
        <v>159</v>
      </c>
      <c r="I5160" s="29" t="n">
        <v>40000</v>
      </c>
      <c r="J5160" s="29" t="n">
        <v>20000</v>
      </c>
      <c r="K5160" s="28" t="n">
        <v>8.25</v>
      </c>
      <c r="L5160" s="28" t="n">
        <v>120</v>
      </c>
      <c r="M5160" s="28" t="n">
        <v>14</v>
      </c>
    </row>
    <row r="5161" customFormat="false" ht="15" hidden="false" customHeight="false" outlineLevel="0" collapsed="false">
      <c r="A5161" s="27" t="n">
        <v>46009</v>
      </c>
      <c r="B5161" s="28" t="n">
        <v>2026</v>
      </c>
      <c r="C5161" s="28" t="s">
        <v>160</v>
      </c>
      <c r="D5161" s="28" t="s">
        <v>43</v>
      </c>
      <c r="E5161" s="28" t="s">
        <v>732</v>
      </c>
      <c r="F5161" s="28" t="s">
        <v>142</v>
      </c>
      <c r="G5161" s="28" t="s">
        <v>148</v>
      </c>
      <c r="H5161" s="28" t="s">
        <v>937</v>
      </c>
      <c r="I5161" s="29" t="n">
        <v>350000</v>
      </c>
      <c r="J5161" s="29" t="n">
        <v>262500</v>
      </c>
      <c r="K5161" s="28" t="n">
        <v>11.5</v>
      </c>
      <c r="L5161" s="28" t="n">
        <v>120</v>
      </c>
      <c r="M5161" s="28" t="n">
        <v>2</v>
      </c>
    </row>
    <row r="5162" customFormat="false" ht="15" hidden="false" customHeight="false" outlineLevel="0" collapsed="false">
      <c r="A5162" s="27" t="n">
        <v>46009</v>
      </c>
      <c r="B5162" s="28" t="n">
        <v>2026</v>
      </c>
      <c r="C5162" s="28" t="s">
        <v>172</v>
      </c>
      <c r="D5162" s="28" t="s">
        <v>56</v>
      </c>
      <c r="E5162" s="28" t="s">
        <v>935</v>
      </c>
      <c r="F5162" s="28" t="s">
        <v>142</v>
      </c>
      <c r="G5162" s="28" t="s">
        <v>148</v>
      </c>
      <c r="H5162" s="28" t="s">
        <v>211</v>
      </c>
      <c r="I5162" s="29" t="n">
        <v>135000</v>
      </c>
      <c r="J5162" s="29" t="n">
        <v>114750</v>
      </c>
      <c r="K5162" s="28" t="n">
        <v>9.75</v>
      </c>
      <c r="L5162" s="28" t="n">
        <v>120</v>
      </c>
      <c r="M5162" s="28" t="n">
        <v>2</v>
      </c>
    </row>
    <row r="5163" customFormat="false" ht="15" hidden="false" customHeight="false" outlineLevel="0" collapsed="false">
      <c r="A5163" s="27" t="n">
        <v>46010</v>
      </c>
      <c r="B5163" s="28" t="n">
        <v>2026</v>
      </c>
      <c r="C5163" s="28" t="s">
        <v>160</v>
      </c>
      <c r="D5163" s="28" t="s">
        <v>52</v>
      </c>
      <c r="E5163" s="28" t="s">
        <v>715</v>
      </c>
      <c r="F5163" s="28" t="s">
        <v>142</v>
      </c>
      <c r="G5163" s="28" t="s">
        <v>148</v>
      </c>
      <c r="H5163" s="28" t="s">
        <v>1177</v>
      </c>
      <c r="I5163" s="29" t="n">
        <v>50000</v>
      </c>
      <c r="J5163" s="29" t="n">
        <v>42500</v>
      </c>
      <c r="K5163" s="28" t="n">
        <v>9</v>
      </c>
      <c r="L5163" s="28" t="n">
        <v>120</v>
      </c>
      <c r="M5163" s="28" t="n">
        <v>0</v>
      </c>
    </row>
    <row r="5164" customFormat="false" ht="15" hidden="false" customHeight="false" outlineLevel="0" collapsed="false">
      <c r="A5164" s="27" t="n">
        <v>46010</v>
      </c>
      <c r="B5164" s="28" t="n">
        <v>2026</v>
      </c>
      <c r="C5164" s="28" t="s">
        <v>172</v>
      </c>
      <c r="D5164" s="28" t="s">
        <v>50</v>
      </c>
      <c r="E5164" s="28" t="s">
        <v>836</v>
      </c>
      <c r="F5164" s="28" t="s">
        <v>142</v>
      </c>
      <c r="G5164" s="28" t="s">
        <v>441</v>
      </c>
      <c r="H5164" s="28" t="s">
        <v>799</v>
      </c>
      <c r="I5164" s="29" t="n">
        <v>350000</v>
      </c>
      <c r="J5164" s="29" t="n">
        <v>262500</v>
      </c>
      <c r="K5164" s="28" t="n">
        <v>9.75</v>
      </c>
      <c r="L5164" s="28" t="n">
        <v>120</v>
      </c>
      <c r="M5164" s="28" t="n">
        <v>7</v>
      </c>
    </row>
    <row r="5165" customFormat="false" ht="15" hidden="false" customHeight="false" outlineLevel="0" collapsed="false">
      <c r="A5165" s="27" t="n">
        <v>46010</v>
      </c>
      <c r="B5165" s="28" t="n">
        <v>2026</v>
      </c>
      <c r="C5165" s="28" t="s">
        <v>163</v>
      </c>
      <c r="D5165" s="28" t="s">
        <v>50</v>
      </c>
      <c r="E5165" s="28" t="s">
        <v>389</v>
      </c>
      <c r="F5165" s="28" t="s">
        <v>142</v>
      </c>
      <c r="G5165" s="28" t="s">
        <v>152</v>
      </c>
      <c r="H5165" s="28" t="s">
        <v>208</v>
      </c>
      <c r="I5165" s="29" t="n">
        <v>2125500</v>
      </c>
      <c r="J5165" s="29" t="n">
        <v>1594125</v>
      </c>
      <c r="K5165" s="28" t="n">
        <v>9</v>
      </c>
      <c r="L5165" s="28" t="n">
        <v>120</v>
      </c>
      <c r="M5165" s="28" t="n">
        <v>8</v>
      </c>
    </row>
    <row r="5166" customFormat="false" ht="15" hidden="false" customHeight="false" outlineLevel="0" collapsed="false">
      <c r="A5166" s="27" t="n">
        <v>46010</v>
      </c>
      <c r="B5166" s="28" t="n">
        <v>2026</v>
      </c>
      <c r="C5166" s="28" t="s">
        <v>316</v>
      </c>
      <c r="D5166" s="28" t="s">
        <v>43</v>
      </c>
      <c r="E5166" s="28" t="s">
        <v>858</v>
      </c>
      <c r="F5166" s="28" t="s">
        <v>142</v>
      </c>
      <c r="G5166" s="28" t="s">
        <v>148</v>
      </c>
      <c r="H5166" s="28" t="s">
        <v>275</v>
      </c>
      <c r="I5166" s="29" t="n">
        <v>608500</v>
      </c>
      <c r="J5166" s="29" t="n">
        <v>456375</v>
      </c>
      <c r="K5166" s="28" t="n">
        <v>9.25</v>
      </c>
      <c r="L5166" s="28" t="n">
        <v>300</v>
      </c>
      <c r="M5166" s="28" t="n">
        <v>0</v>
      </c>
    </row>
    <row r="5167" customFormat="false" ht="15" hidden="false" customHeight="false" outlineLevel="0" collapsed="false">
      <c r="A5167" s="27" t="n">
        <v>46010</v>
      </c>
      <c r="B5167" s="28" t="n">
        <v>2026</v>
      </c>
      <c r="C5167" s="28" t="s">
        <v>163</v>
      </c>
      <c r="D5167" s="28" t="s">
        <v>50</v>
      </c>
      <c r="E5167" s="28" t="s">
        <v>389</v>
      </c>
      <c r="F5167" s="28" t="s">
        <v>147</v>
      </c>
      <c r="G5167" s="28" t="s">
        <v>148</v>
      </c>
      <c r="H5167" s="28" t="s">
        <v>208</v>
      </c>
      <c r="I5167" s="29" t="n">
        <v>400000</v>
      </c>
      <c r="J5167" s="29" t="n">
        <v>200000</v>
      </c>
      <c r="K5167" s="28" t="n">
        <v>8.5</v>
      </c>
      <c r="L5167" s="28" t="n">
        <v>120</v>
      </c>
      <c r="M5167" s="28" t="n">
        <v>8</v>
      </c>
    </row>
    <row r="5168" customFormat="false" ht="15" hidden="false" customHeight="false" outlineLevel="0" collapsed="false">
      <c r="A5168" s="27" t="n">
        <v>46010</v>
      </c>
      <c r="B5168" s="28" t="n">
        <v>2026</v>
      </c>
      <c r="C5168" s="28" t="s">
        <v>292</v>
      </c>
      <c r="D5168" s="28" t="s">
        <v>46</v>
      </c>
      <c r="E5168" s="28" t="s">
        <v>727</v>
      </c>
      <c r="F5168" s="28" t="s">
        <v>194</v>
      </c>
      <c r="G5168" s="28" t="s">
        <v>148</v>
      </c>
      <c r="H5168" s="28" t="s">
        <v>351</v>
      </c>
      <c r="I5168" s="29" t="n">
        <v>95000</v>
      </c>
      <c r="J5168" s="29" t="n">
        <v>80750</v>
      </c>
      <c r="K5168" s="28" t="n">
        <v>9.6</v>
      </c>
      <c r="L5168" s="28" t="n">
        <v>96</v>
      </c>
      <c r="M5168" s="28" t="n">
        <v>1</v>
      </c>
    </row>
    <row r="5169" customFormat="false" ht="15" hidden="false" customHeight="false" outlineLevel="0" collapsed="false">
      <c r="A5169" s="27" t="n">
        <v>46013</v>
      </c>
      <c r="B5169" s="28" t="n">
        <v>2026</v>
      </c>
      <c r="C5169" s="28" t="s">
        <v>198</v>
      </c>
      <c r="D5169" s="28" t="s">
        <v>48</v>
      </c>
      <c r="E5169" s="28" t="s">
        <v>815</v>
      </c>
      <c r="F5169" s="28" t="s">
        <v>147</v>
      </c>
      <c r="G5169" s="28" t="s">
        <v>441</v>
      </c>
      <c r="H5169" s="28" t="s">
        <v>205</v>
      </c>
      <c r="I5169" s="29" t="n">
        <v>25000</v>
      </c>
      <c r="J5169" s="29" t="n">
        <v>12500</v>
      </c>
      <c r="K5169" s="28" t="n">
        <v>9.75</v>
      </c>
      <c r="L5169" s="28" t="n">
        <v>120</v>
      </c>
      <c r="M5169" s="28" t="n">
        <v>0</v>
      </c>
    </row>
    <row r="5170" customFormat="false" ht="15" hidden="false" customHeight="false" outlineLevel="0" collapsed="false">
      <c r="A5170" s="27" t="n">
        <v>46013</v>
      </c>
      <c r="B5170" s="28" t="n">
        <v>2026</v>
      </c>
      <c r="C5170" s="28" t="s">
        <v>172</v>
      </c>
      <c r="D5170" s="28" t="s">
        <v>43</v>
      </c>
      <c r="E5170" s="28" t="s">
        <v>952</v>
      </c>
      <c r="F5170" s="28" t="s">
        <v>142</v>
      </c>
      <c r="G5170" s="28" t="s">
        <v>148</v>
      </c>
      <c r="H5170" s="28" t="s">
        <v>819</v>
      </c>
      <c r="I5170" s="29" t="n">
        <v>1310000</v>
      </c>
      <c r="J5170" s="29" t="n">
        <v>982500</v>
      </c>
      <c r="K5170" s="28" t="n">
        <v>8.5</v>
      </c>
      <c r="L5170" s="28" t="n">
        <v>108</v>
      </c>
      <c r="M5170" s="28" t="n">
        <v>22</v>
      </c>
    </row>
    <row r="5171" customFormat="false" ht="15" hidden="false" customHeight="false" outlineLevel="0" collapsed="false">
      <c r="A5171" s="27" t="n">
        <v>46014</v>
      </c>
      <c r="B5171" s="28" t="n">
        <v>2026</v>
      </c>
      <c r="C5171" s="28" t="s">
        <v>145</v>
      </c>
      <c r="D5171" s="28" t="s">
        <v>42</v>
      </c>
      <c r="E5171" s="28" t="s">
        <v>753</v>
      </c>
      <c r="F5171" s="28" t="s">
        <v>147</v>
      </c>
      <c r="G5171" s="28" t="s">
        <v>441</v>
      </c>
      <c r="H5171" s="28" t="s">
        <v>159</v>
      </c>
      <c r="I5171" s="29" t="n">
        <v>225000</v>
      </c>
      <c r="J5171" s="29" t="n">
        <v>112500</v>
      </c>
      <c r="K5171" s="28" t="n">
        <v>9.25</v>
      </c>
      <c r="L5171" s="28" t="n">
        <v>120</v>
      </c>
      <c r="M5171" s="28" t="n">
        <v>10</v>
      </c>
    </row>
    <row r="5172" customFormat="false" ht="15" hidden="false" customHeight="false" outlineLevel="0" collapsed="false">
      <c r="A5172" s="27" t="n">
        <v>46014</v>
      </c>
      <c r="B5172" s="28" t="n">
        <v>2026</v>
      </c>
      <c r="C5172" s="28" t="s">
        <v>160</v>
      </c>
      <c r="D5172" s="28" t="s">
        <v>57</v>
      </c>
      <c r="E5172" s="28" t="s">
        <v>728</v>
      </c>
      <c r="F5172" s="28" t="s">
        <v>142</v>
      </c>
      <c r="G5172" s="28" t="s">
        <v>143</v>
      </c>
      <c r="H5172" s="28" t="s">
        <v>953</v>
      </c>
      <c r="I5172" s="29" t="n">
        <v>250000</v>
      </c>
      <c r="J5172" s="29" t="n">
        <v>187500</v>
      </c>
      <c r="K5172" s="28" t="n">
        <v>10</v>
      </c>
      <c r="L5172" s="28" t="n">
        <v>120</v>
      </c>
      <c r="M5172" s="28" t="n">
        <v>6</v>
      </c>
    </row>
    <row r="5173" customFormat="false" ht="15" hidden="false" customHeight="false" outlineLevel="0" collapsed="false">
      <c r="A5173" s="27" t="n">
        <v>46014</v>
      </c>
      <c r="B5173" s="28" t="n">
        <v>2026</v>
      </c>
      <c r="C5173" s="28" t="s">
        <v>145</v>
      </c>
      <c r="D5173" s="28" t="s">
        <v>42</v>
      </c>
      <c r="E5173" s="28" t="s">
        <v>753</v>
      </c>
      <c r="F5173" s="28" t="s">
        <v>147</v>
      </c>
      <c r="G5173" s="28" t="s">
        <v>441</v>
      </c>
      <c r="H5173" s="28" t="s">
        <v>159</v>
      </c>
      <c r="I5173" s="29" t="n">
        <v>25000</v>
      </c>
      <c r="J5173" s="29" t="n">
        <v>12500</v>
      </c>
      <c r="K5173" s="28" t="n">
        <v>10</v>
      </c>
      <c r="L5173" s="28" t="n">
        <v>120</v>
      </c>
      <c r="M5173" s="28" t="n">
        <v>10</v>
      </c>
    </row>
    <row r="5174" customFormat="false" ht="15" hidden="false" customHeight="false" outlineLevel="0" collapsed="false">
      <c r="A5174" s="27" t="n">
        <v>46015</v>
      </c>
      <c r="B5174" s="28" t="n">
        <v>2026</v>
      </c>
      <c r="C5174" s="28" t="s">
        <v>209</v>
      </c>
      <c r="D5174" s="28" t="s">
        <v>44</v>
      </c>
      <c r="E5174" s="28" t="s">
        <v>751</v>
      </c>
      <c r="F5174" s="28" t="s">
        <v>142</v>
      </c>
      <c r="G5174" s="28" t="s">
        <v>148</v>
      </c>
      <c r="H5174" s="28" t="s">
        <v>144</v>
      </c>
      <c r="I5174" s="29" t="n">
        <v>203000</v>
      </c>
      <c r="J5174" s="29" t="n">
        <v>152250</v>
      </c>
      <c r="K5174" s="28" t="n">
        <v>9.49</v>
      </c>
      <c r="L5174" s="28" t="n">
        <v>120</v>
      </c>
      <c r="M5174" s="28" t="n">
        <v>2</v>
      </c>
    </row>
    <row r="5175" customFormat="false" ht="15" hidden="false" customHeight="false" outlineLevel="0" collapsed="false">
      <c r="A5175" s="27" t="n">
        <v>46015</v>
      </c>
      <c r="B5175" s="28" t="n">
        <v>2026</v>
      </c>
      <c r="C5175" s="28" t="s">
        <v>201</v>
      </c>
      <c r="D5175" s="28" t="s">
        <v>43</v>
      </c>
      <c r="E5175" s="28" t="s">
        <v>788</v>
      </c>
      <c r="F5175" s="28" t="s">
        <v>142</v>
      </c>
      <c r="G5175" s="28" t="s">
        <v>441</v>
      </c>
      <c r="H5175" s="28" t="s">
        <v>179</v>
      </c>
      <c r="I5175" s="29" t="n">
        <v>1823300</v>
      </c>
      <c r="J5175" s="29" t="n">
        <v>1367475</v>
      </c>
      <c r="K5175" s="28" t="n">
        <v>9.75</v>
      </c>
      <c r="L5175" s="28" t="n">
        <v>300</v>
      </c>
      <c r="M5175" s="28" t="n">
        <v>16</v>
      </c>
    </row>
    <row r="5176" customFormat="false" ht="15" hidden="false" customHeight="false" outlineLevel="0" collapsed="false">
      <c r="A5176" s="27" t="n">
        <v>46015</v>
      </c>
      <c r="B5176" s="28" t="n">
        <v>2026</v>
      </c>
      <c r="C5176" s="28" t="s">
        <v>357</v>
      </c>
      <c r="D5176" s="28" t="s">
        <v>52</v>
      </c>
      <c r="E5176" s="28" t="s">
        <v>731</v>
      </c>
      <c r="F5176" s="28" t="s">
        <v>142</v>
      </c>
      <c r="G5176" s="28" t="s">
        <v>148</v>
      </c>
      <c r="H5176" s="28" t="s">
        <v>937</v>
      </c>
      <c r="I5176" s="29" t="n">
        <v>250000</v>
      </c>
      <c r="J5176" s="29" t="n">
        <v>187500</v>
      </c>
      <c r="K5176" s="28" t="n">
        <v>11.5</v>
      </c>
      <c r="L5176" s="28" t="n">
        <v>120</v>
      </c>
      <c r="M5176" s="28" t="n">
        <v>8</v>
      </c>
    </row>
    <row r="5177" customFormat="false" ht="15" hidden="false" customHeight="false" outlineLevel="0" collapsed="false">
      <c r="A5177" s="27" t="n">
        <v>46020</v>
      </c>
      <c r="B5177" s="28" t="n">
        <v>2026</v>
      </c>
      <c r="C5177" s="28" t="s">
        <v>357</v>
      </c>
      <c r="D5177" s="28" t="s">
        <v>45</v>
      </c>
      <c r="E5177" s="28" t="s">
        <v>708</v>
      </c>
      <c r="F5177" s="28" t="s">
        <v>147</v>
      </c>
      <c r="G5177" s="28" t="s">
        <v>148</v>
      </c>
      <c r="H5177" s="28" t="s">
        <v>159</v>
      </c>
      <c r="I5177" s="29" t="n">
        <v>150000</v>
      </c>
      <c r="J5177" s="29" t="n">
        <v>75000</v>
      </c>
      <c r="K5177" s="28" t="n">
        <v>10</v>
      </c>
      <c r="L5177" s="28" t="n">
        <v>120</v>
      </c>
      <c r="M5177" s="28" t="n">
        <v>0</v>
      </c>
    </row>
    <row r="5178" customFormat="false" ht="15" hidden="false" customHeight="false" outlineLevel="0" collapsed="false">
      <c r="A5178" s="27" t="n">
        <v>46020</v>
      </c>
      <c r="B5178" s="28" t="n">
        <v>2026</v>
      </c>
      <c r="C5178" s="28" t="s">
        <v>558</v>
      </c>
      <c r="D5178" s="28" t="s">
        <v>42</v>
      </c>
      <c r="E5178" s="28" t="s">
        <v>705</v>
      </c>
      <c r="F5178" s="28" t="s">
        <v>142</v>
      </c>
      <c r="G5178" s="28" t="s">
        <v>152</v>
      </c>
      <c r="H5178" s="28" t="s">
        <v>1156</v>
      </c>
      <c r="I5178" s="29" t="n">
        <v>1956000</v>
      </c>
      <c r="J5178" s="29" t="n">
        <v>1467000</v>
      </c>
      <c r="K5178" s="28" t="n">
        <v>8.25</v>
      </c>
      <c r="L5178" s="28" t="n">
        <v>300</v>
      </c>
      <c r="M5178" s="28" t="n">
        <v>4</v>
      </c>
    </row>
    <row r="5179" customFormat="false" ht="15" hidden="false" customHeight="false" outlineLevel="0" collapsed="false">
      <c r="A5179" s="27" t="n">
        <v>46020</v>
      </c>
      <c r="B5179" s="28" t="n">
        <v>2026</v>
      </c>
      <c r="C5179" s="28" t="s">
        <v>172</v>
      </c>
      <c r="D5179" s="28" t="s">
        <v>46</v>
      </c>
      <c r="E5179" s="28" t="s">
        <v>930</v>
      </c>
      <c r="F5179" s="28" t="s">
        <v>142</v>
      </c>
      <c r="G5179" s="28" t="s">
        <v>441</v>
      </c>
      <c r="H5179" s="28" t="s">
        <v>159</v>
      </c>
      <c r="I5179" s="29" t="n">
        <v>565000</v>
      </c>
      <c r="J5179" s="29" t="n">
        <v>423750</v>
      </c>
      <c r="K5179" s="28" t="n">
        <v>7.75</v>
      </c>
      <c r="L5179" s="28" t="n">
        <v>120</v>
      </c>
      <c r="M5179" s="28" t="n">
        <v>19</v>
      </c>
    </row>
    <row r="5180" customFormat="false" ht="15" hidden="false" customHeight="false" outlineLevel="0" collapsed="false">
      <c r="A5180" s="27" t="n">
        <v>46020</v>
      </c>
      <c r="B5180" s="28" t="n">
        <v>2026</v>
      </c>
      <c r="C5180" s="28" t="s">
        <v>163</v>
      </c>
      <c r="D5180" s="28" t="s">
        <v>44</v>
      </c>
      <c r="E5180" s="28" t="s">
        <v>759</v>
      </c>
      <c r="F5180" s="28" t="s">
        <v>142</v>
      </c>
      <c r="G5180" s="28" t="s">
        <v>148</v>
      </c>
      <c r="H5180" s="28" t="s">
        <v>771</v>
      </c>
      <c r="I5180" s="29" t="n">
        <v>91000</v>
      </c>
      <c r="J5180" s="29" t="n">
        <v>77350</v>
      </c>
      <c r="K5180" s="28" t="n">
        <v>10.25</v>
      </c>
      <c r="L5180" s="28" t="n">
        <v>120</v>
      </c>
      <c r="M5180" s="28" t="n">
        <v>8</v>
      </c>
    </row>
    <row r="5181" customFormat="false" ht="15" hidden="false" customHeight="false" outlineLevel="0" collapsed="false">
      <c r="A5181" s="27" t="n">
        <v>46020</v>
      </c>
      <c r="B5181" s="28" t="n">
        <v>2026</v>
      </c>
      <c r="C5181" s="28" t="s">
        <v>353</v>
      </c>
      <c r="D5181" s="28" t="s">
        <v>46</v>
      </c>
      <c r="E5181" s="28" t="s">
        <v>770</v>
      </c>
      <c r="F5181" s="28" t="s">
        <v>142</v>
      </c>
      <c r="G5181" s="28" t="s">
        <v>143</v>
      </c>
      <c r="H5181" s="28" t="s">
        <v>187</v>
      </c>
      <c r="I5181" s="29" t="n">
        <v>956000</v>
      </c>
      <c r="J5181" s="29" t="n">
        <v>717000</v>
      </c>
      <c r="K5181" s="28" t="n">
        <v>6.38</v>
      </c>
      <c r="L5181" s="28" t="n">
        <v>120</v>
      </c>
      <c r="M5181" s="28" t="n">
        <v>184</v>
      </c>
    </row>
    <row r="5182" customFormat="false" ht="15" hidden="false" customHeight="false" outlineLevel="0" collapsed="false">
      <c r="A5182" s="27" t="n">
        <v>46021</v>
      </c>
      <c r="B5182" s="28" t="n">
        <v>2026</v>
      </c>
      <c r="C5182" s="28" t="s">
        <v>571</v>
      </c>
      <c r="D5182" s="28" t="s">
        <v>46</v>
      </c>
      <c r="E5182" s="28" t="s">
        <v>807</v>
      </c>
      <c r="F5182" s="28" t="s">
        <v>142</v>
      </c>
      <c r="G5182" s="28" t="s">
        <v>143</v>
      </c>
      <c r="H5182" s="28" t="s">
        <v>469</v>
      </c>
      <c r="I5182" s="29" t="n">
        <v>873500</v>
      </c>
      <c r="J5182" s="29" t="n">
        <v>655125</v>
      </c>
      <c r="K5182" s="28" t="n">
        <v>7</v>
      </c>
      <c r="L5182" s="28" t="n">
        <v>119</v>
      </c>
      <c r="M5182" s="28" t="n">
        <v>2</v>
      </c>
    </row>
    <row r="5183" customFormat="false" ht="15" hidden="false" customHeight="false" outlineLevel="0" collapsed="false">
      <c r="A5183" s="27" t="n">
        <v>46021</v>
      </c>
      <c r="B5183" s="28" t="n">
        <v>2026</v>
      </c>
      <c r="C5183" s="28" t="s">
        <v>344</v>
      </c>
      <c r="D5183" s="28" t="s">
        <v>43</v>
      </c>
      <c r="E5183" s="28" t="s">
        <v>1042</v>
      </c>
      <c r="F5183" s="28" t="s">
        <v>142</v>
      </c>
      <c r="G5183" s="28" t="s">
        <v>148</v>
      </c>
      <c r="H5183" s="28" t="s">
        <v>1150</v>
      </c>
      <c r="I5183" s="29" t="n">
        <v>130000</v>
      </c>
      <c r="J5183" s="29" t="n">
        <v>110500</v>
      </c>
      <c r="K5183" s="28" t="n">
        <v>11.5</v>
      </c>
      <c r="L5183" s="28" t="n">
        <v>120</v>
      </c>
      <c r="M5183" s="28" t="n">
        <v>1</v>
      </c>
    </row>
    <row r="5184" customFormat="false" ht="15" hidden="false" customHeight="false" outlineLevel="0" collapsed="false">
      <c r="A5184" s="27" t="n">
        <v>46021</v>
      </c>
      <c r="B5184" s="28" t="n">
        <v>2026</v>
      </c>
      <c r="C5184" s="28" t="s">
        <v>172</v>
      </c>
      <c r="D5184" s="28" t="s">
        <v>42</v>
      </c>
      <c r="E5184" s="28" t="s">
        <v>717</v>
      </c>
      <c r="F5184" s="28" t="s">
        <v>142</v>
      </c>
      <c r="G5184" s="28" t="s">
        <v>152</v>
      </c>
      <c r="H5184" s="28" t="s">
        <v>334</v>
      </c>
      <c r="I5184" s="29" t="n">
        <v>346000</v>
      </c>
      <c r="J5184" s="29" t="n">
        <v>259500</v>
      </c>
      <c r="K5184" s="28" t="n">
        <v>9</v>
      </c>
      <c r="L5184" s="28" t="n">
        <v>120</v>
      </c>
      <c r="M5184" s="28" t="n">
        <v>11</v>
      </c>
    </row>
    <row r="5185" customFormat="false" ht="15" hidden="false" customHeight="false" outlineLevel="0" collapsed="false">
      <c r="A5185" s="27" t="n">
        <v>46021</v>
      </c>
      <c r="B5185" s="28" t="n">
        <v>2026</v>
      </c>
      <c r="C5185" s="28" t="s">
        <v>145</v>
      </c>
      <c r="D5185" s="28" t="s">
        <v>51</v>
      </c>
      <c r="E5185" s="28" t="s">
        <v>779</v>
      </c>
      <c r="F5185" s="28" t="s">
        <v>142</v>
      </c>
      <c r="G5185" s="28" t="s">
        <v>143</v>
      </c>
      <c r="H5185" s="28" t="s">
        <v>621</v>
      </c>
      <c r="I5185" s="29" t="n">
        <v>635000</v>
      </c>
      <c r="J5185" s="29" t="n">
        <v>476250</v>
      </c>
      <c r="K5185" s="28" t="n">
        <v>8.75</v>
      </c>
      <c r="L5185" s="28" t="n">
        <v>132</v>
      </c>
      <c r="M5185" s="28" t="n">
        <v>0</v>
      </c>
    </row>
    <row r="5186" customFormat="false" ht="15" hidden="false" customHeight="false" outlineLevel="0" collapsed="false">
      <c r="A5186" s="27" t="n">
        <v>46022</v>
      </c>
      <c r="B5186" s="28" t="n">
        <v>2026</v>
      </c>
      <c r="C5186" s="28" t="s">
        <v>160</v>
      </c>
      <c r="D5186" s="28" t="s">
        <v>49</v>
      </c>
      <c r="E5186" s="28" t="s">
        <v>733</v>
      </c>
      <c r="F5186" s="28" t="s">
        <v>147</v>
      </c>
      <c r="G5186" s="28" t="s">
        <v>148</v>
      </c>
      <c r="H5186" s="28" t="s">
        <v>159</v>
      </c>
      <c r="I5186" s="29" t="n">
        <v>125000</v>
      </c>
      <c r="J5186" s="29" t="n">
        <v>62500</v>
      </c>
      <c r="K5186" s="28" t="n">
        <v>10.75</v>
      </c>
      <c r="L5186" s="28" t="n">
        <v>120</v>
      </c>
      <c r="M5186" s="28" t="n">
        <v>3</v>
      </c>
    </row>
    <row r="5187" customFormat="false" ht="15" hidden="false" customHeight="false" outlineLevel="0" collapsed="false">
      <c r="A5187" s="27" t="n">
        <v>46022</v>
      </c>
      <c r="B5187" s="28" t="n">
        <v>2026</v>
      </c>
      <c r="C5187" s="28" t="s">
        <v>344</v>
      </c>
      <c r="D5187" s="28" t="s">
        <v>45</v>
      </c>
      <c r="E5187" s="28" t="s">
        <v>480</v>
      </c>
      <c r="F5187" s="28" t="s">
        <v>147</v>
      </c>
      <c r="G5187" s="28" t="s">
        <v>441</v>
      </c>
      <c r="H5187" s="28" t="s">
        <v>159</v>
      </c>
      <c r="I5187" s="29" t="n">
        <v>18700</v>
      </c>
      <c r="J5187" s="29" t="n">
        <v>9350</v>
      </c>
      <c r="K5187" s="28" t="n">
        <v>10.49</v>
      </c>
      <c r="L5187" s="28" t="n">
        <v>60</v>
      </c>
      <c r="M5187" s="28" t="n">
        <v>0</v>
      </c>
    </row>
    <row r="5188" customFormat="false" ht="15" hidden="false" customHeight="false" outlineLevel="0" collapsed="false">
      <c r="A5188" s="27" t="n">
        <v>46022</v>
      </c>
      <c r="B5188" s="28" t="n">
        <v>2026</v>
      </c>
      <c r="C5188" s="28" t="s">
        <v>292</v>
      </c>
      <c r="D5188" s="28" t="s">
        <v>52</v>
      </c>
      <c r="E5188" s="28" t="s">
        <v>233</v>
      </c>
      <c r="F5188" s="28" t="s">
        <v>142</v>
      </c>
      <c r="G5188" s="28" t="s">
        <v>143</v>
      </c>
      <c r="H5188" s="28" t="s">
        <v>1072</v>
      </c>
      <c r="I5188" s="29" t="n">
        <v>1000000</v>
      </c>
      <c r="J5188" s="29" t="n">
        <v>750000</v>
      </c>
      <c r="K5188" s="28" t="n">
        <v>9.25</v>
      </c>
      <c r="L5188" s="28" t="n">
        <v>120</v>
      </c>
      <c r="M5188" s="28" t="n">
        <v>11</v>
      </c>
    </row>
    <row r="5189" customFormat="false" ht="15" hidden="false" customHeight="false" outlineLevel="0" collapsed="false">
      <c r="A5189" s="27" t="n">
        <v>46022</v>
      </c>
      <c r="B5189" s="28" t="n">
        <v>2026</v>
      </c>
      <c r="C5189" s="28" t="s">
        <v>344</v>
      </c>
      <c r="D5189" s="28" t="s">
        <v>45</v>
      </c>
      <c r="E5189" s="28" t="s">
        <v>480</v>
      </c>
      <c r="F5189" s="28" t="s">
        <v>147</v>
      </c>
      <c r="G5189" s="28" t="s">
        <v>441</v>
      </c>
      <c r="H5189" s="28" t="s">
        <v>159</v>
      </c>
      <c r="I5189" s="29" t="n">
        <v>25000</v>
      </c>
      <c r="J5189" s="29" t="n">
        <v>12500</v>
      </c>
      <c r="K5189" s="28" t="n">
        <v>10.75</v>
      </c>
      <c r="L5189" s="28" t="n">
        <v>120</v>
      </c>
      <c r="M5189" s="28" t="n">
        <v>0</v>
      </c>
    </row>
    <row r="5190" customFormat="false" ht="15" hidden="false" customHeight="false" outlineLevel="0" collapsed="false">
      <c r="A5190" s="27" t="n">
        <v>46024</v>
      </c>
      <c r="B5190" s="28" t="n">
        <v>2026</v>
      </c>
      <c r="C5190" s="28" t="s">
        <v>353</v>
      </c>
      <c r="D5190" s="28" t="s">
        <v>43</v>
      </c>
      <c r="E5190" s="28" t="s">
        <v>899</v>
      </c>
      <c r="F5190" s="28" t="s">
        <v>147</v>
      </c>
      <c r="G5190" s="28" t="s">
        <v>143</v>
      </c>
      <c r="H5190" s="28" t="s">
        <v>281</v>
      </c>
      <c r="I5190" s="29" t="n">
        <v>195600</v>
      </c>
      <c r="J5190" s="29" t="n">
        <v>97800</v>
      </c>
      <c r="K5190" s="28" t="n">
        <v>8.25</v>
      </c>
      <c r="L5190" s="28" t="n">
        <v>84</v>
      </c>
      <c r="M5190" s="28" t="n">
        <v>4</v>
      </c>
    </row>
    <row r="5191" customFormat="false" ht="15" hidden="false" customHeight="false" outlineLevel="0" collapsed="false">
      <c r="A5191" s="27" t="n">
        <v>46024</v>
      </c>
      <c r="B5191" s="28" t="n">
        <v>2026</v>
      </c>
      <c r="C5191" s="28" t="s">
        <v>303</v>
      </c>
      <c r="D5191" s="28" t="s">
        <v>45</v>
      </c>
      <c r="E5191" s="28" t="s">
        <v>1048</v>
      </c>
      <c r="F5191" s="28" t="s">
        <v>142</v>
      </c>
      <c r="G5191" s="28" t="s">
        <v>441</v>
      </c>
      <c r="H5191" s="28" t="s">
        <v>227</v>
      </c>
      <c r="I5191" s="29" t="n">
        <v>635000</v>
      </c>
      <c r="J5191" s="29" t="n">
        <v>476250</v>
      </c>
      <c r="K5191" s="28" t="n">
        <v>9.25</v>
      </c>
      <c r="L5191" s="28" t="n">
        <v>120</v>
      </c>
      <c r="M5191" s="28" t="n">
        <v>10</v>
      </c>
    </row>
    <row r="5192" customFormat="false" ht="15" hidden="false" customHeight="false" outlineLevel="0" collapsed="false">
      <c r="A5192" s="27" t="n">
        <v>46024</v>
      </c>
      <c r="B5192" s="28" t="n">
        <v>2026</v>
      </c>
      <c r="C5192" s="28" t="s">
        <v>201</v>
      </c>
      <c r="D5192" s="28" t="s">
        <v>48</v>
      </c>
      <c r="E5192" s="28" t="s">
        <v>762</v>
      </c>
      <c r="F5192" s="28" t="s">
        <v>142</v>
      </c>
      <c r="G5192" s="28" t="s">
        <v>143</v>
      </c>
      <c r="H5192" s="28" t="s">
        <v>144</v>
      </c>
      <c r="I5192" s="29" t="n">
        <v>75000</v>
      </c>
      <c r="J5192" s="29" t="n">
        <v>56250</v>
      </c>
      <c r="K5192" s="28" t="n">
        <v>9.24</v>
      </c>
      <c r="L5192" s="28" t="n">
        <v>120</v>
      </c>
      <c r="M5192" s="28" t="n">
        <v>2</v>
      </c>
    </row>
    <row r="5193" customFormat="false" ht="15" hidden="false" customHeight="false" outlineLevel="0" collapsed="false">
      <c r="A5193" s="27" t="n">
        <v>46024</v>
      </c>
      <c r="B5193" s="28" t="n">
        <v>2026</v>
      </c>
      <c r="C5193" s="28" t="s">
        <v>324</v>
      </c>
      <c r="D5193" s="28" t="s">
        <v>42</v>
      </c>
      <c r="E5193" s="28" t="s">
        <v>705</v>
      </c>
      <c r="F5193" s="28" t="s">
        <v>142</v>
      </c>
      <c r="G5193" s="28" t="s">
        <v>143</v>
      </c>
      <c r="H5193" s="28" t="s">
        <v>516</v>
      </c>
      <c r="I5193" s="29" t="n">
        <v>4960900</v>
      </c>
      <c r="J5193" s="29" t="n">
        <v>3720675</v>
      </c>
      <c r="K5193" s="28" t="n">
        <v>8</v>
      </c>
      <c r="L5193" s="28" t="n">
        <v>300</v>
      </c>
      <c r="M5193" s="28" t="n">
        <v>22</v>
      </c>
    </row>
    <row r="5194" customFormat="false" ht="15" hidden="false" customHeight="false" outlineLevel="0" collapsed="false">
      <c r="A5194" s="27" t="n">
        <v>46024</v>
      </c>
      <c r="B5194" s="28" t="n">
        <v>2026</v>
      </c>
      <c r="C5194" s="28" t="s">
        <v>527</v>
      </c>
      <c r="D5194" s="28" t="s">
        <v>52</v>
      </c>
      <c r="E5194" s="28" t="s">
        <v>673</v>
      </c>
      <c r="F5194" s="28" t="s">
        <v>142</v>
      </c>
      <c r="G5194" s="28" t="s">
        <v>441</v>
      </c>
      <c r="H5194" s="28" t="s">
        <v>669</v>
      </c>
      <c r="I5194" s="29" t="n">
        <v>468000</v>
      </c>
      <c r="J5194" s="29" t="n">
        <v>351000</v>
      </c>
      <c r="K5194" s="28" t="n">
        <v>9.5</v>
      </c>
      <c r="L5194" s="28" t="n">
        <v>120</v>
      </c>
      <c r="M5194" s="28" t="n">
        <v>17</v>
      </c>
    </row>
    <row r="5195" customFormat="false" ht="15" hidden="false" customHeight="false" outlineLevel="0" collapsed="false">
      <c r="A5195" s="27" t="n">
        <v>46025</v>
      </c>
      <c r="B5195" s="28" t="n">
        <v>2026</v>
      </c>
      <c r="C5195" s="28" t="s">
        <v>160</v>
      </c>
      <c r="D5195" s="28" t="s">
        <v>44</v>
      </c>
      <c r="E5195" s="28" t="s">
        <v>923</v>
      </c>
      <c r="F5195" s="28" t="s">
        <v>142</v>
      </c>
      <c r="G5195" s="28" t="s">
        <v>148</v>
      </c>
      <c r="H5195" s="28" t="s">
        <v>269</v>
      </c>
      <c r="I5195" s="29" t="n">
        <v>60000</v>
      </c>
      <c r="J5195" s="29" t="n">
        <v>51000</v>
      </c>
      <c r="K5195" s="28" t="n">
        <v>9.5</v>
      </c>
      <c r="L5195" s="28" t="n">
        <v>120</v>
      </c>
      <c r="M5195" s="28" t="n">
        <v>2</v>
      </c>
    </row>
    <row r="5196" customFormat="false" ht="15" hidden="false" customHeight="false" outlineLevel="0" collapsed="false">
      <c r="A5196" s="27" t="n">
        <v>46027</v>
      </c>
      <c r="B5196" s="28" t="n">
        <v>2026</v>
      </c>
      <c r="C5196" s="28" t="s">
        <v>172</v>
      </c>
      <c r="D5196" s="28" t="s">
        <v>42</v>
      </c>
      <c r="E5196" s="28" t="s">
        <v>717</v>
      </c>
      <c r="F5196" s="28" t="s">
        <v>142</v>
      </c>
      <c r="G5196" s="28" t="s">
        <v>143</v>
      </c>
      <c r="H5196" s="28" t="s">
        <v>291</v>
      </c>
      <c r="I5196" s="29" t="n">
        <v>945000</v>
      </c>
      <c r="J5196" s="29" t="n">
        <v>708750</v>
      </c>
      <c r="K5196" s="28" t="n">
        <v>9.75</v>
      </c>
      <c r="L5196" s="28" t="n">
        <v>123</v>
      </c>
      <c r="M5196" s="28" t="n">
        <v>62</v>
      </c>
    </row>
    <row r="5197" customFormat="false" ht="15" hidden="false" customHeight="false" outlineLevel="0" collapsed="false">
      <c r="A5197" s="27" t="n">
        <v>46027</v>
      </c>
      <c r="B5197" s="28" t="n">
        <v>2026</v>
      </c>
      <c r="C5197" s="28" t="s">
        <v>318</v>
      </c>
      <c r="D5197" s="28" t="s">
        <v>44</v>
      </c>
      <c r="E5197" s="28" t="s">
        <v>863</v>
      </c>
      <c r="F5197" s="28" t="s">
        <v>147</v>
      </c>
      <c r="G5197" s="28" t="s">
        <v>143</v>
      </c>
      <c r="H5197" s="28" t="s">
        <v>626</v>
      </c>
      <c r="I5197" s="29" t="n">
        <v>60000</v>
      </c>
      <c r="J5197" s="29" t="n">
        <v>30000</v>
      </c>
      <c r="K5197" s="28" t="n">
        <v>8.79</v>
      </c>
      <c r="L5197" s="28" t="n">
        <v>84</v>
      </c>
      <c r="M5197" s="28" t="n">
        <v>1</v>
      </c>
    </row>
    <row r="5198" customFormat="false" ht="15" hidden="false" customHeight="false" outlineLevel="0" collapsed="false">
      <c r="A5198" s="27" t="n">
        <v>46028</v>
      </c>
      <c r="B5198" s="28" t="n">
        <v>2026</v>
      </c>
      <c r="C5198" s="28" t="s">
        <v>163</v>
      </c>
      <c r="D5198" s="28" t="s">
        <v>51</v>
      </c>
      <c r="E5198" s="28" t="s">
        <v>800</v>
      </c>
      <c r="F5198" s="28" t="s">
        <v>147</v>
      </c>
      <c r="G5198" s="28" t="s">
        <v>143</v>
      </c>
      <c r="H5198" s="28" t="s">
        <v>159</v>
      </c>
      <c r="I5198" s="29" t="n">
        <v>30000</v>
      </c>
      <c r="J5198" s="29" t="n">
        <v>15000</v>
      </c>
      <c r="K5198" s="28" t="n">
        <v>10.5</v>
      </c>
      <c r="L5198" s="28" t="n">
        <v>60</v>
      </c>
      <c r="M5198" s="28" t="n">
        <v>5</v>
      </c>
    </row>
    <row r="5199" customFormat="false" ht="15" hidden="false" customHeight="false" outlineLevel="0" collapsed="false">
      <c r="A5199" s="27" t="n">
        <v>46028</v>
      </c>
      <c r="B5199" s="28" t="n">
        <v>2026</v>
      </c>
      <c r="C5199" s="28" t="s">
        <v>203</v>
      </c>
      <c r="D5199" s="28" t="s">
        <v>44</v>
      </c>
      <c r="E5199" s="28" t="s">
        <v>730</v>
      </c>
      <c r="F5199" s="28" t="s">
        <v>142</v>
      </c>
      <c r="G5199" s="28" t="s">
        <v>148</v>
      </c>
      <c r="H5199" s="28" t="s">
        <v>269</v>
      </c>
      <c r="I5199" s="29" t="n">
        <v>150000</v>
      </c>
      <c r="J5199" s="29" t="n">
        <v>127500</v>
      </c>
      <c r="K5199" s="28" t="n">
        <v>9.5</v>
      </c>
      <c r="L5199" s="28" t="n">
        <v>120</v>
      </c>
      <c r="M5199" s="28" t="n">
        <v>2</v>
      </c>
    </row>
    <row r="5200" customFormat="false" ht="15" hidden="false" customHeight="false" outlineLevel="0" collapsed="false">
      <c r="A5200" s="27" t="n">
        <v>46028</v>
      </c>
      <c r="B5200" s="28" t="n">
        <v>2026</v>
      </c>
      <c r="C5200" s="28" t="s">
        <v>316</v>
      </c>
      <c r="D5200" s="28" t="s">
        <v>51</v>
      </c>
      <c r="E5200" s="28" t="s">
        <v>779</v>
      </c>
      <c r="F5200" s="28" t="s">
        <v>142</v>
      </c>
      <c r="G5200" s="28" t="s">
        <v>148</v>
      </c>
      <c r="H5200" s="28" t="s">
        <v>144</v>
      </c>
      <c r="I5200" s="29" t="n">
        <v>350000</v>
      </c>
      <c r="J5200" s="29" t="n">
        <v>262500</v>
      </c>
      <c r="K5200" s="28" t="n">
        <v>8.24</v>
      </c>
      <c r="L5200" s="28" t="n">
        <v>120</v>
      </c>
      <c r="M5200" s="28" t="n">
        <v>2</v>
      </c>
    </row>
    <row r="5201" customFormat="false" ht="15" hidden="false" customHeight="false" outlineLevel="0" collapsed="false">
      <c r="A5201" s="27" t="n">
        <v>46029</v>
      </c>
      <c r="B5201" s="28" t="n">
        <v>2026</v>
      </c>
      <c r="C5201" s="28" t="s">
        <v>140</v>
      </c>
      <c r="D5201" s="28" t="s">
        <v>44</v>
      </c>
      <c r="E5201" s="28" t="s">
        <v>751</v>
      </c>
      <c r="F5201" s="28" t="s">
        <v>142</v>
      </c>
      <c r="G5201" s="28" t="s">
        <v>148</v>
      </c>
      <c r="H5201" s="28" t="s">
        <v>281</v>
      </c>
      <c r="I5201" s="29" t="n">
        <v>560500</v>
      </c>
      <c r="J5201" s="29" t="n">
        <v>420375</v>
      </c>
      <c r="K5201" s="28" t="n">
        <v>9</v>
      </c>
      <c r="L5201" s="28" t="n">
        <v>300</v>
      </c>
      <c r="M5201" s="28" t="n">
        <v>10</v>
      </c>
    </row>
    <row r="5202" customFormat="false" ht="15" hidden="false" customHeight="false" outlineLevel="0" collapsed="false">
      <c r="A5202" s="27" t="n">
        <v>46029</v>
      </c>
      <c r="B5202" s="28" t="n">
        <v>2026</v>
      </c>
      <c r="C5202" s="28" t="s">
        <v>201</v>
      </c>
      <c r="D5202" s="28" t="s">
        <v>44</v>
      </c>
      <c r="E5202" s="28" t="s">
        <v>759</v>
      </c>
      <c r="F5202" s="28" t="s">
        <v>147</v>
      </c>
      <c r="G5202" s="28" t="s">
        <v>148</v>
      </c>
      <c r="H5202" s="28" t="s">
        <v>404</v>
      </c>
      <c r="I5202" s="29" t="n">
        <v>400000</v>
      </c>
      <c r="J5202" s="29" t="n">
        <v>200000</v>
      </c>
      <c r="K5202" s="28" t="n">
        <v>9.75</v>
      </c>
      <c r="L5202" s="28" t="n">
        <v>120</v>
      </c>
      <c r="M5202" s="28" t="n">
        <v>16</v>
      </c>
    </row>
    <row r="5203" customFormat="false" ht="15" hidden="false" customHeight="false" outlineLevel="0" collapsed="false">
      <c r="A5203" s="27" t="n">
        <v>46030</v>
      </c>
      <c r="B5203" s="28" t="n">
        <v>2026</v>
      </c>
      <c r="C5203" s="28" t="s">
        <v>172</v>
      </c>
      <c r="D5203" s="28" t="s">
        <v>51</v>
      </c>
      <c r="E5203" s="28" t="s">
        <v>779</v>
      </c>
      <c r="F5203" s="28" t="s">
        <v>142</v>
      </c>
      <c r="G5203" s="28" t="s">
        <v>152</v>
      </c>
      <c r="H5203" s="28" t="s">
        <v>144</v>
      </c>
      <c r="I5203" s="29" t="n">
        <v>1240000</v>
      </c>
      <c r="J5203" s="29" t="n">
        <v>930000</v>
      </c>
      <c r="K5203" s="28" t="n">
        <v>8.25</v>
      </c>
      <c r="L5203" s="28" t="n">
        <v>120</v>
      </c>
      <c r="M5203" s="28" t="n">
        <v>16</v>
      </c>
    </row>
    <row r="5204" customFormat="false" ht="15" hidden="false" customHeight="false" outlineLevel="0" collapsed="false">
      <c r="A5204" s="27" t="n">
        <v>46030</v>
      </c>
      <c r="B5204" s="28" t="n">
        <v>2026</v>
      </c>
      <c r="C5204" s="28" t="s">
        <v>172</v>
      </c>
      <c r="D5204" s="28" t="s">
        <v>48</v>
      </c>
      <c r="E5204" s="28" t="s">
        <v>210</v>
      </c>
      <c r="F5204" s="28" t="s">
        <v>147</v>
      </c>
      <c r="G5204" s="28" t="s">
        <v>148</v>
      </c>
      <c r="H5204" s="28" t="s">
        <v>159</v>
      </c>
      <c r="I5204" s="29" t="n">
        <v>250000</v>
      </c>
      <c r="J5204" s="29" t="n">
        <v>125000</v>
      </c>
      <c r="K5204" s="28" t="n">
        <v>11.25</v>
      </c>
      <c r="L5204" s="28" t="n">
        <v>120</v>
      </c>
      <c r="M5204" s="28" t="n">
        <v>18</v>
      </c>
    </row>
    <row r="5205" customFormat="false" ht="15" hidden="false" customHeight="false" outlineLevel="0" collapsed="false">
      <c r="A5205" s="27" t="n">
        <v>46030</v>
      </c>
      <c r="B5205" s="28" t="n">
        <v>2026</v>
      </c>
      <c r="C5205" s="28" t="s">
        <v>257</v>
      </c>
      <c r="D5205" s="28" t="s">
        <v>44</v>
      </c>
      <c r="E5205" s="28" t="s">
        <v>729</v>
      </c>
      <c r="F5205" s="28" t="s">
        <v>147</v>
      </c>
      <c r="G5205" s="28" t="s">
        <v>148</v>
      </c>
      <c r="H5205" s="28" t="s">
        <v>396</v>
      </c>
      <c r="I5205" s="29" t="n">
        <v>105100</v>
      </c>
      <c r="J5205" s="29" t="n">
        <v>52550</v>
      </c>
      <c r="K5205" s="28" t="n">
        <v>7.25</v>
      </c>
      <c r="L5205" s="28" t="n">
        <v>72</v>
      </c>
      <c r="M5205" s="28" t="n">
        <v>10</v>
      </c>
    </row>
    <row r="5206" customFormat="false" ht="15" hidden="false" customHeight="false" outlineLevel="0" collapsed="false">
      <c r="A5206" s="27" t="n">
        <v>46030</v>
      </c>
      <c r="B5206" s="28" t="n">
        <v>2026</v>
      </c>
      <c r="C5206" s="28" t="s">
        <v>344</v>
      </c>
      <c r="D5206" s="28" t="s">
        <v>43</v>
      </c>
      <c r="E5206" s="28" t="s">
        <v>846</v>
      </c>
      <c r="F5206" s="28" t="s">
        <v>147</v>
      </c>
      <c r="G5206" s="28" t="s">
        <v>441</v>
      </c>
      <c r="H5206" s="28" t="s">
        <v>159</v>
      </c>
      <c r="I5206" s="29" t="n">
        <v>25000</v>
      </c>
      <c r="J5206" s="29" t="n">
        <v>12500</v>
      </c>
      <c r="K5206" s="28" t="n">
        <v>13.25</v>
      </c>
      <c r="L5206" s="28" t="n">
        <v>120</v>
      </c>
      <c r="M5206" s="28" t="n">
        <v>3</v>
      </c>
    </row>
    <row r="5207" customFormat="false" ht="15" hidden="false" customHeight="false" outlineLevel="0" collapsed="false">
      <c r="A5207" s="27" t="n">
        <v>46031</v>
      </c>
      <c r="B5207" s="28" t="n">
        <v>2026</v>
      </c>
      <c r="C5207" s="28" t="s">
        <v>172</v>
      </c>
      <c r="D5207" s="28" t="s">
        <v>42</v>
      </c>
      <c r="E5207" s="28" t="s">
        <v>717</v>
      </c>
      <c r="F5207" s="28" t="s">
        <v>142</v>
      </c>
      <c r="G5207" s="28" t="s">
        <v>152</v>
      </c>
      <c r="H5207" s="28" t="s">
        <v>149</v>
      </c>
      <c r="I5207" s="29" t="n">
        <v>525000</v>
      </c>
      <c r="J5207" s="29" t="n">
        <v>393750</v>
      </c>
      <c r="K5207" s="28" t="n">
        <v>8.75</v>
      </c>
      <c r="L5207" s="28" t="n">
        <v>120</v>
      </c>
      <c r="M5207" s="28" t="n">
        <v>10</v>
      </c>
    </row>
    <row r="5208" customFormat="false" ht="15" hidden="false" customHeight="false" outlineLevel="0" collapsed="false">
      <c r="A5208" s="27" t="n">
        <v>46031</v>
      </c>
      <c r="B5208" s="28" t="n">
        <v>2026</v>
      </c>
      <c r="C5208" s="28" t="s">
        <v>235</v>
      </c>
      <c r="D5208" s="28" t="s">
        <v>46</v>
      </c>
      <c r="E5208" s="28" t="s">
        <v>813</v>
      </c>
      <c r="F5208" s="28" t="s">
        <v>142</v>
      </c>
      <c r="G5208" s="28" t="s">
        <v>148</v>
      </c>
      <c r="H5208" s="28" t="s">
        <v>1063</v>
      </c>
      <c r="I5208" s="29" t="n">
        <v>150000</v>
      </c>
      <c r="J5208" s="29" t="n">
        <v>127500</v>
      </c>
      <c r="K5208" s="28" t="n">
        <v>9.5</v>
      </c>
      <c r="L5208" s="28" t="n">
        <v>120</v>
      </c>
      <c r="M5208" s="28" t="n">
        <v>7</v>
      </c>
    </row>
    <row r="5209" customFormat="false" ht="15" hidden="false" customHeight="false" outlineLevel="0" collapsed="false">
      <c r="A5209" s="27" t="n">
        <v>46034</v>
      </c>
      <c r="B5209" s="28" t="n">
        <v>2026</v>
      </c>
      <c r="C5209" s="28" t="s">
        <v>175</v>
      </c>
      <c r="D5209" s="28" t="s">
        <v>43</v>
      </c>
      <c r="E5209" s="28" t="s">
        <v>899</v>
      </c>
      <c r="F5209" s="28" t="s">
        <v>142</v>
      </c>
      <c r="G5209" s="28" t="s">
        <v>143</v>
      </c>
      <c r="H5209" s="28" t="s">
        <v>669</v>
      </c>
      <c r="I5209" s="29" t="n">
        <v>654000</v>
      </c>
      <c r="J5209" s="29" t="n">
        <v>490500</v>
      </c>
      <c r="K5209" s="28" t="n">
        <v>9.5</v>
      </c>
      <c r="L5209" s="28" t="n">
        <v>123</v>
      </c>
      <c r="M5209" s="28" t="n">
        <v>8</v>
      </c>
    </row>
    <row r="5210" customFormat="false" ht="15" hidden="false" customHeight="false" outlineLevel="0" collapsed="false">
      <c r="A5210" s="27" t="n">
        <v>46034</v>
      </c>
      <c r="B5210" s="28" t="n">
        <v>2026</v>
      </c>
      <c r="C5210" s="28" t="s">
        <v>460</v>
      </c>
      <c r="D5210" s="28" t="s">
        <v>47</v>
      </c>
      <c r="E5210" s="28" t="s">
        <v>900</v>
      </c>
      <c r="F5210" s="28" t="s">
        <v>142</v>
      </c>
      <c r="G5210" s="28" t="s">
        <v>148</v>
      </c>
      <c r="H5210" s="28" t="s">
        <v>211</v>
      </c>
      <c r="I5210" s="29" t="n">
        <v>585000</v>
      </c>
      <c r="J5210" s="29" t="n">
        <v>438750</v>
      </c>
      <c r="K5210" s="28" t="n">
        <v>9</v>
      </c>
      <c r="L5210" s="28" t="n">
        <v>120</v>
      </c>
      <c r="M5210" s="28" t="n">
        <v>2</v>
      </c>
    </row>
    <row r="5211" customFormat="false" ht="15" hidden="false" customHeight="false" outlineLevel="0" collapsed="false">
      <c r="A5211" s="27" t="n">
        <v>46035</v>
      </c>
      <c r="B5211" s="28" t="n">
        <v>2026</v>
      </c>
      <c r="C5211" s="28" t="s">
        <v>145</v>
      </c>
      <c r="D5211" s="28" t="s">
        <v>42</v>
      </c>
      <c r="E5211" s="28" t="s">
        <v>753</v>
      </c>
      <c r="F5211" s="28" t="s">
        <v>142</v>
      </c>
      <c r="G5211" s="28" t="s">
        <v>441</v>
      </c>
      <c r="H5211" s="28" t="s">
        <v>149</v>
      </c>
      <c r="I5211" s="29" t="n">
        <v>1995000</v>
      </c>
      <c r="J5211" s="29" t="n">
        <v>1496250</v>
      </c>
      <c r="K5211" s="28" t="n">
        <v>7.75</v>
      </c>
      <c r="L5211" s="28" t="n">
        <v>300</v>
      </c>
      <c r="M5211" s="28" t="n">
        <v>8</v>
      </c>
    </row>
    <row r="5212" customFormat="false" ht="15" hidden="false" customHeight="false" outlineLevel="0" collapsed="false">
      <c r="A5212" s="27" t="n">
        <v>46036</v>
      </c>
      <c r="B5212" s="28" t="n">
        <v>2026</v>
      </c>
      <c r="C5212" s="28" t="s">
        <v>172</v>
      </c>
      <c r="D5212" s="28" t="s">
        <v>51</v>
      </c>
      <c r="E5212" s="28" t="s">
        <v>800</v>
      </c>
      <c r="F5212" s="28" t="s">
        <v>142</v>
      </c>
      <c r="G5212" s="28" t="s">
        <v>148</v>
      </c>
      <c r="H5212" s="28" t="s">
        <v>1001</v>
      </c>
      <c r="I5212" s="29" t="n">
        <v>350000</v>
      </c>
      <c r="J5212" s="29" t="n">
        <v>262500</v>
      </c>
      <c r="K5212" s="28" t="n">
        <v>10</v>
      </c>
      <c r="L5212" s="28" t="n">
        <v>120</v>
      </c>
      <c r="M5212" s="28" t="n">
        <v>0</v>
      </c>
    </row>
    <row r="5213" customFormat="false" ht="15" hidden="false" customHeight="false" outlineLevel="0" collapsed="false">
      <c r="A5213" s="27" t="n">
        <v>46036</v>
      </c>
      <c r="B5213" s="28" t="n">
        <v>2026</v>
      </c>
      <c r="C5213" s="28" t="s">
        <v>206</v>
      </c>
      <c r="D5213" s="28" t="s">
        <v>48</v>
      </c>
      <c r="E5213" s="28" t="s">
        <v>712</v>
      </c>
      <c r="F5213" s="28" t="s">
        <v>147</v>
      </c>
      <c r="G5213" s="28" t="s">
        <v>441</v>
      </c>
      <c r="H5213" s="28" t="s">
        <v>191</v>
      </c>
      <c r="I5213" s="29" t="n">
        <v>10000</v>
      </c>
      <c r="J5213" s="29" t="n">
        <v>5000</v>
      </c>
      <c r="K5213" s="28" t="n">
        <v>11.15</v>
      </c>
      <c r="L5213" s="28" t="n">
        <v>120</v>
      </c>
      <c r="M5213" s="28" t="n">
        <v>0</v>
      </c>
    </row>
    <row r="5214" customFormat="false" ht="15" hidden="false" customHeight="false" outlineLevel="0" collapsed="false">
      <c r="A5214" s="27" t="n">
        <v>46036</v>
      </c>
      <c r="B5214" s="28" t="n">
        <v>2026</v>
      </c>
      <c r="C5214" s="28" t="s">
        <v>172</v>
      </c>
      <c r="D5214" s="28" t="s">
        <v>45</v>
      </c>
      <c r="E5214" s="28" t="s">
        <v>798</v>
      </c>
      <c r="F5214" s="28" t="s">
        <v>142</v>
      </c>
      <c r="G5214" s="28" t="s">
        <v>441</v>
      </c>
      <c r="H5214" s="28" t="s">
        <v>205</v>
      </c>
      <c r="I5214" s="29" t="n">
        <v>393200</v>
      </c>
      <c r="J5214" s="29" t="n">
        <v>294900</v>
      </c>
      <c r="K5214" s="28" t="n">
        <v>7.32</v>
      </c>
      <c r="L5214" s="28" t="n">
        <v>120</v>
      </c>
      <c r="M5214" s="28" t="n">
        <v>2</v>
      </c>
    </row>
    <row r="5215" customFormat="false" ht="15" hidden="false" customHeight="false" outlineLevel="0" collapsed="false">
      <c r="A5215" s="27" t="n">
        <v>46036</v>
      </c>
      <c r="B5215" s="28" t="n">
        <v>2026</v>
      </c>
      <c r="C5215" s="28" t="s">
        <v>172</v>
      </c>
      <c r="D5215" s="28" t="s">
        <v>56</v>
      </c>
      <c r="E5215" s="28" t="s">
        <v>772</v>
      </c>
      <c r="F5215" s="28" t="s">
        <v>142</v>
      </c>
      <c r="G5215" s="28" t="s">
        <v>143</v>
      </c>
      <c r="H5215" s="28" t="s">
        <v>211</v>
      </c>
      <c r="I5215" s="29" t="n">
        <v>436000</v>
      </c>
      <c r="J5215" s="29" t="n">
        <v>327000</v>
      </c>
      <c r="K5215" s="28" t="n">
        <v>9.25</v>
      </c>
      <c r="L5215" s="28" t="n">
        <v>120</v>
      </c>
      <c r="M5215" s="28" t="n">
        <v>4</v>
      </c>
    </row>
    <row r="5216" customFormat="false" ht="15" hidden="false" customHeight="false" outlineLevel="0" collapsed="false">
      <c r="A5216" s="27" t="n">
        <v>46036</v>
      </c>
      <c r="B5216" s="28" t="n">
        <v>2026</v>
      </c>
      <c r="C5216" s="28" t="s">
        <v>145</v>
      </c>
      <c r="D5216" s="28" t="s">
        <v>48</v>
      </c>
      <c r="E5216" s="28" t="s">
        <v>304</v>
      </c>
      <c r="F5216" s="28" t="s">
        <v>147</v>
      </c>
      <c r="G5216" s="28" t="s">
        <v>148</v>
      </c>
      <c r="H5216" s="28" t="s">
        <v>159</v>
      </c>
      <c r="I5216" s="29" t="n">
        <v>95000</v>
      </c>
      <c r="J5216" s="29" t="n">
        <v>47500</v>
      </c>
      <c r="K5216" s="28" t="n">
        <v>10.5</v>
      </c>
      <c r="L5216" s="28" t="n">
        <v>120</v>
      </c>
      <c r="M5216" s="28" t="n">
        <v>4</v>
      </c>
    </row>
    <row r="5217" customFormat="false" ht="15" hidden="false" customHeight="false" outlineLevel="0" collapsed="false">
      <c r="A5217" s="27" t="n">
        <v>46036</v>
      </c>
      <c r="B5217" s="28" t="n">
        <v>2026</v>
      </c>
      <c r="C5217" s="28" t="s">
        <v>172</v>
      </c>
      <c r="D5217" s="28" t="s">
        <v>56</v>
      </c>
      <c r="E5217" s="28" t="s">
        <v>772</v>
      </c>
      <c r="F5217" s="28" t="s">
        <v>147</v>
      </c>
      <c r="G5217" s="28" t="s">
        <v>143</v>
      </c>
      <c r="H5217" s="28" t="s">
        <v>211</v>
      </c>
      <c r="I5217" s="29" t="n">
        <v>50000</v>
      </c>
      <c r="J5217" s="29" t="n">
        <v>25000</v>
      </c>
      <c r="K5217" s="28" t="n">
        <v>9.25</v>
      </c>
      <c r="L5217" s="28" t="n">
        <v>120</v>
      </c>
      <c r="M5217" s="28" t="n">
        <v>4</v>
      </c>
    </row>
    <row r="5218" customFormat="false" ht="15" hidden="false" customHeight="false" outlineLevel="0" collapsed="false">
      <c r="A5218" s="27" t="n">
        <v>46037</v>
      </c>
      <c r="B5218" s="28" t="n">
        <v>2026</v>
      </c>
      <c r="C5218" s="28" t="s">
        <v>423</v>
      </c>
      <c r="D5218" s="28" t="s">
        <v>43</v>
      </c>
      <c r="E5218" s="28" t="s">
        <v>837</v>
      </c>
      <c r="F5218" s="28" t="s">
        <v>142</v>
      </c>
      <c r="G5218" s="28" t="s">
        <v>143</v>
      </c>
      <c r="H5218" s="28" t="s">
        <v>287</v>
      </c>
      <c r="I5218" s="29" t="n">
        <v>150000</v>
      </c>
      <c r="J5218" s="29" t="n">
        <v>127500</v>
      </c>
      <c r="K5218" s="28" t="n">
        <v>9.75</v>
      </c>
      <c r="L5218" s="28" t="n">
        <v>120</v>
      </c>
      <c r="M5218" s="28" t="n">
        <v>2</v>
      </c>
    </row>
    <row r="5219" customFormat="false" ht="15" hidden="false" customHeight="false" outlineLevel="0" collapsed="false">
      <c r="A5219" s="27" t="n">
        <v>46037</v>
      </c>
      <c r="B5219" s="28" t="n">
        <v>2026</v>
      </c>
      <c r="C5219" s="28" t="s">
        <v>213</v>
      </c>
      <c r="D5219" s="28" t="s">
        <v>46</v>
      </c>
      <c r="E5219" s="28" t="s">
        <v>770</v>
      </c>
      <c r="F5219" s="28" t="s">
        <v>147</v>
      </c>
      <c r="G5219" s="28" t="s">
        <v>148</v>
      </c>
      <c r="H5219" s="28" t="s">
        <v>246</v>
      </c>
      <c r="I5219" s="29" t="n">
        <v>150700</v>
      </c>
      <c r="J5219" s="29" t="n">
        <v>75350</v>
      </c>
      <c r="K5219" s="28" t="n">
        <v>7.5</v>
      </c>
      <c r="L5219" s="28" t="n">
        <v>120</v>
      </c>
      <c r="M5219" s="28" t="n">
        <v>0</v>
      </c>
    </row>
    <row r="5220" customFormat="false" ht="15" hidden="false" customHeight="false" outlineLevel="0" collapsed="false">
      <c r="A5220" s="27" t="n">
        <v>46038</v>
      </c>
      <c r="B5220" s="28" t="n">
        <v>2026</v>
      </c>
      <c r="C5220" s="28" t="s">
        <v>310</v>
      </c>
      <c r="D5220" s="28" t="s">
        <v>46</v>
      </c>
      <c r="E5220" s="28" t="s">
        <v>706</v>
      </c>
      <c r="F5220" s="28" t="s">
        <v>142</v>
      </c>
      <c r="G5220" s="28" t="s">
        <v>152</v>
      </c>
      <c r="H5220" s="28" t="s">
        <v>144</v>
      </c>
      <c r="I5220" s="29" t="n">
        <v>2850000</v>
      </c>
      <c r="J5220" s="29" t="n">
        <v>2137500</v>
      </c>
      <c r="K5220" s="28" t="n">
        <v>7.88</v>
      </c>
      <c r="L5220" s="28" t="n">
        <v>300</v>
      </c>
      <c r="M5220" s="28" t="n">
        <v>8</v>
      </c>
    </row>
    <row r="5221" customFormat="false" ht="15" hidden="false" customHeight="false" outlineLevel="0" collapsed="false">
      <c r="A5221" s="27" t="n">
        <v>46038</v>
      </c>
      <c r="B5221" s="28" t="n">
        <v>2026</v>
      </c>
      <c r="C5221" s="28" t="s">
        <v>206</v>
      </c>
      <c r="D5221" s="28" t="s">
        <v>46</v>
      </c>
      <c r="E5221" s="28" t="s">
        <v>927</v>
      </c>
      <c r="F5221" s="28" t="s">
        <v>147</v>
      </c>
      <c r="G5221" s="28" t="s">
        <v>148</v>
      </c>
      <c r="H5221" s="28" t="s">
        <v>605</v>
      </c>
      <c r="I5221" s="29" t="n">
        <v>150000</v>
      </c>
      <c r="J5221" s="29" t="n">
        <v>75000</v>
      </c>
      <c r="K5221" s="28" t="n">
        <v>9.5</v>
      </c>
      <c r="L5221" s="28" t="n">
        <v>120</v>
      </c>
      <c r="M5221" s="28" t="n">
        <v>2</v>
      </c>
    </row>
    <row r="5222" customFormat="false" ht="15" hidden="false" customHeight="false" outlineLevel="0" collapsed="false">
      <c r="A5222" s="27" t="n">
        <v>46038</v>
      </c>
      <c r="B5222" s="28" t="n">
        <v>2026</v>
      </c>
      <c r="C5222" s="28" t="s">
        <v>203</v>
      </c>
      <c r="D5222" s="28" t="s">
        <v>50</v>
      </c>
      <c r="E5222" s="28" t="s">
        <v>193</v>
      </c>
      <c r="F5222" s="28" t="s">
        <v>142</v>
      </c>
      <c r="G5222" s="28" t="s">
        <v>143</v>
      </c>
      <c r="H5222" s="28" t="s">
        <v>419</v>
      </c>
      <c r="I5222" s="29" t="n">
        <v>620000</v>
      </c>
      <c r="J5222" s="29" t="n">
        <v>465000</v>
      </c>
      <c r="K5222" s="28" t="n">
        <v>9.25</v>
      </c>
      <c r="L5222" s="28" t="n">
        <v>120</v>
      </c>
      <c r="M5222" s="28" t="n">
        <v>6</v>
      </c>
    </row>
    <row r="5223" customFormat="false" ht="15" hidden="false" customHeight="false" outlineLevel="0" collapsed="false">
      <c r="A5223" s="27" t="n">
        <v>46038</v>
      </c>
      <c r="B5223" s="28" t="n">
        <v>2026</v>
      </c>
      <c r="C5223" s="28" t="s">
        <v>677</v>
      </c>
      <c r="D5223" s="28" t="s">
        <v>47</v>
      </c>
      <c r="E5223" s="28" t="s">
        <v>1178</v>
      </c>
      <c r="F5223" s="28" t="s">
        <v>147</v>
      </c>
      <c r="G5223" s="28" t="s">
        <v>148</v>
      </c>
      <c r="H5223" s="28" t="s">
        <v>396</v>
      </c>
      <c r="I5223" s="29" t="n">
        <v>300000</v>
      </c>
      <c r="J5223" s="29" t="n">
        <v>150000</v>
      </c>
      <c r="K5223" s="28" t="n">
        <v>7.75</v>
      </c>
      <c r="L5223" s="28" t="n">
        <v>72</v>
      </c>
      <c r="M5223" s="28" t="n">
        <v>28</v>
      </c>
    </row>
    <row r="5224" customFormat="false" ht="15" hidden="false" customHeight="false" outlineLevel="0" collapsed="false">
      <c r="A5224" s="27" t="n">
        <v>46038</v>
      </c>
      <c r="B5224" s="28" t="n">
        <v>2026</v>
      </c>
      <c r="C5224" s="28" t="s">
        <v>196</v>
      </c>
      <c r="D5224" s="28" t="s">
        <v>48</v>
      </c>
      <c r="E5224" s="28" t="s">
        <v>304</v>
      </c>
      <c r="F5224" s="28" t="s">
        <v>147</v>
      </c>
      <c r="G5224" s="28" t="s">
        <v>441</v>
      </c>
      <c r="H5224" s="28" t="s">
        <v>159</v>
      </c>
      <c r="I5224" s="29" t="n">
        <v>70000</v>
      </c>
      <c r="J5224" s="29" t="n">
        <v>35000</v>
      </c>
      <c r="K5224" s="28" t="n">
        <v>11.25</v>
      </c>
      <c r="L5224" s="28" t="n">
        <v>120</v>
      </c>
      <c r="M5224" s="28" t="n">
        <v>5</v>
      </c>
    </row>
    <row r="5225" customFormat="false" ht="15" hidden="false" customHeight="false" outlineLevel="0" collapsed="false">
      <c r="A5225" s="27" t="n">
        <v>46038</v>
      </c>
      <c r="B5225" s="28" t="n">
        <v>2026</v>
      </c>
      <c r="C5225" s="28" t="s">
        <v>160</v>
      </c>
      <c r="D5225" s="28" t="s">
        <v>42</v>
      </c>
      <c r="E5225" s="28" t="s">
        <v>753</v>
      </c>
      <c r="F5225" s="28" t="s">
        <v>142</v>
      </c>
      <c r="G5225" s="28" t="s">
        <v>148</v>
      </c>
      <c r="H5225" s="28" t="s">
        <v>1060</v>
      </c>
      <c r="I5225" s="29" t="n">
        <v>662000</v>
      </c>
      <c r="J5225" s="29" t="n">
        <v>496500</v>
      </c>
      <c r="K5225" s="28" t="n">
        <v>9.5</v>
      </c>
      <c r="L5225" s="28" t="n">
        <v>120</v>
      </c>
      <c r="M5225" s="28" t="n">
        <v>12</v>
      </c>
    </row>
    <row r="5226" customFormat="false" ht="15" hidden="false" customHeight="false" outlineLevel="0" collapsed="false">
      <c r="A5226" s="27" t="n">
        <v>46038</v>
      </c>
      <c r="B5226" s="28" t="n">
        <v>2026</v>
      </c>
      <c r="C5226" s="28" t="s">
        <v>887</v>
      </c>
      <c r="D5226" s="28" t="s">
        <v>42</v>
      </c>
      <c r="E5226" s="28" t="s">
        <v>1179</v>
      </c>
      <c r="F5226" s="28" t="s">
        <v>142</v>
      </c>
      <c r="G5226" s="28" t="s">
        <v>152</v>
      </c>
      <c r="H5226" s="28" t="s">
        <v>413</v>
      </c>
      <c r="I5226" s="29" t="n">
        <v>150000</v>
      </c>
      <c r="J5226" s="29" t="n">
        <v>127500</v>
      </c>
      <c r="K5226" s="28" t="n">
        <v>8</v>
      </c>
      <c r="L5226" s="28" t="n">
        <v>120</v>
      </c>
      <c r="M5226" s="28" t="n">
        <v>5</v>
      </c>
    </row>
    <row r="5227" customFormat="false" ht="15" hidden="false" customHeight="false" outlineLevel="0" collapsed="false">
      <c r="A5227" s="27" t="n">
        <v>46038</v>
      </c>
      <c r="B5227" s="28" t="n">
        <v>2026</v>
      </c>
      <c r="C5227" s="28" t="s">
        <v>172</v>
      </c>
      <c r="D5227" s="28" t="s">
        <v>42</v>
      </c>
      <c r="E5227" s="28" t="s">
        <v>717</v>
      </c>
      <c r="F5227" s="28" t="s">
        <v>142</v>
      </c>
      <c r="G5227" s="28" t="s">
        <v>143</v>
      </c>
      <c r="H5227" s="28" t="s">
        <v>215</v>
      </c>
      <c r="I5227" s="29" t="n">
        <v>730000</v>
      </c>
      <c r="J5227" s="29" t="n">
        <v>547500</v>
      </c>
      <c r="K5227" s="28" t="n">
        <v>8.5</v>
      </c>
      <c r="L5227" s="28" t="n">
        <v>120</v>
      </c>
      <c r="M5227" s="28" t="n">
        <v>26</v>
      </c>
    </row>
    <row r="5228" customFormat="false" ht="15" hidden="false" customHeight="false" outlineLevel="0" collapsed="false">
      <c r="A5228" s="27" t="n">
        <v>46038</v>
      </c>
      <c r="B5228" s="28" t="n">
        <v>2026</v>
      </c>
      <c r="C5228" s="28" t="s">
        <v>379</v>
      </c>
      <c r="D5228" s="28" t="s">
        <v>44</v>
      </c>
      <c r="E5228" s="28" t="s">
        <v>729</v>
      </c>
      <c r="F5228" s="28" t="s">
        <v>147</v>
      </c>
      <c r="G5228" s="28" t="s">
        <v>156</v>
      </c>
      <c r="H5228" s="28" t="s">
        <v>396</v>
      </c>
      <c r="I5228" s="29" t="n">
        <v>100000</v>
      </c>
      <c r="J5228" s="29" t="n">
        <v>50000</v>
      </c>
      <c r="K5228" s="28" t="n">
        <v>7.5</v>
      </c>
      <c r="L5228" s="28" t="n">
        <v>48</v>
      </c>
      <c r="M5228" s="28" t="n">
        <v>0</v>
      </c>
    </row>
    <row r="5229" customFormat="false" ht="15" hidden="false" customHeight="false" outlineLevel="0" collapsed="false">
      <c r="A5229" s="27" t="n">
        <v>46038</v>
      </c>
      <c r="B5229" s="28" t="n">
        <v>2026</v>
      </c>
      <c r="C5229" s="28" t="s">
        <v>206</v>
      </c>
      <c r="D5229" s="28" t="s">
        <v>46</v>
      </c>
      <c r="E5229" s="28" t="s">
        <v>927</v>
      </c>
      <c r="F5229" s="28" t="s">
        <v>147</v>
      </c>
      <c r="G5229" s="28" t="s">
        <v>148</v>
      </c>
      <c r="H5229" s="28" t="s">
        <v>605</v>
      </c>
      <c r="I5229" s="29" t="n">
        <v>150000</v>
      </c>
      <c r="J5229" s="29" t="n">
        <v>75000</v>
      </c>
      <c r="K5229" s="28" t="n">
        <v>9.5</v>
      </c>
      <c r="L5229" s="28" t="n">
        <v>120</v>
      </c>
      <c r="M5229" s="28" t="n">
        <v>2</v>
      </c>
    </row>
    <row r="5230" customFormat="false" ht="15" hidden="false" customHeight="false" outlineLevel="0" collapsed="false">
      <c r="A5230" s="27" t="n">
        <v>46043</v>
      </c>
      <c r="B5230" s="28" t="n">
        <v>2026</v>
      </c>
      <c r="C5230" s="28" t="s">
        <v>508</v>
      </c>
      <c r="D5230" s="28" t="s">
        <v>50</v>
      </c>
      <c r="E5230" s="28" t="s">
        <v>711</v>
      </c>
      <c r="F5230" s="28" t="s">
        <v>142</v>
      </c>
      <c r="G5230" s="28" t="s">
        <v>152</v>
      </c>
      <c r="H5230" s="28" t="s">
        <v>144</v>
      </c>
      <c r="I5230" s="29" t="n">
        <v>875000</v>
      </c>
      <c r="J5230" s="29" t="n">
        <v>656250</v>
      </c>
      <c r="K5230" s="28" t="n">
        <v>8.25</v>
      </c>
      <c r="L5230" s="28" t="n">
        <v>120</v>
      </c>
      <c r="M5230" s="28" t="n">
        <v>47</v>
      </c>
    </row>
    <row r="5231" customFormat="false" ht="15" hidden="false" customHeight="false" outlineLevel="0" collapsed="false">
      <c r="A5231" s="27" t="n">
        <v>46043</v>
      </c>
      <c r="B5231" s="28" t="n">
        <v>2026</v>
      </c>
      <c r="C5231" s="28" t="s">
        <v>175</v>
      </c>
      <c r="D5231" s="28" t="s">
        <v>44</v>
      </c>
      <c r="E5231" s="28" t="s">
        <v>730</v>
      </c>
      <c r="F5231" s="28" t="s">
        <v>147</v>
      </c>
      <c r="G5231" s="28" t="s">
        <v>441</v>
      </c>
      <c r="H5231" s="28" t="s">
        <v>291</v>
      </c>
      <c r="I5231" s="29" t="n">
        <v>50000</v>
      </c>
      <c r="J5231" s="29" t="n">
        <v>25000</v>
      </c>
      <c r="K5231" s="28" t="n">
        <v>9.25</v>
      </c>
      <c r="L5231" s="28" t="n">
        <v>120</v>
      </c>
      <c r="M5231" s="28" t="n">
        <v>34</v>
      </c>
    </row>
    <row r="5232" customFormat="false" ht="15" hidden="false" customHeight="false" outlineLevel="0" collapsed="false">
      <c r="A5232" s="27" t="n">
        <v>46043</v>
      </c>
      <c r="B5232" s="28" t="n">
        <v>2026</v>
      </c>
      <c r="C5232" s="28" t="s">
        <v>172</v>
      </c>
      <c r="D5232" s="28" t="s">
        <v>48</v>
      </c>
      <c r="E5232" s="28" t="s">
        <v>362</v>
      </c>
      <c r="F5232" s="28" t="s">
        <v>142</v>
      </c>
      <c r="G5232" s="28" t="s">
        <v>148</v>
      </c>
      <c r="H5232" s="28" t="s">
        <v>799</v>
      </c>
      <c r="I5232" s="29" t="n">
        <v>150000</v>
      </c>
      <c r="J5232" s="29" t="n">
        <v>127500</v>
      </c>
      <c r="K5232" s="28" t="n">
        <v>9.5</v>
      </c>
      <c r="L5232" s="28" t="n">
        <v>120</v>
      </c>
      <c r="M5232" s="28" t="n">
        <v>15</v>
      </c>
    </row>
    <row r="5233" customFormat="false" ht="15" hidden="false" customHeight="false" outlineLevel="0" collapsed="false">
      <c r="A5233" s="27" t="n">
        <v>46043</v>
      </c>
      <c r="B5233" s="28" t="n">
        <v>2026</v>
      </c>
      <c r="C5233" s="28" t="s">
        <v>890</v>
      </c>
      <c r="D5233" s="28" t="s">
        <v>47</v>
      </c>
      <c r="E5233" s="28" t="s">
        <v>1180</v>
      </c>
      <c r="F5233" s="28" t="s">
        <v>142</v>
      </c>
      <c r="G5233" s="28" t="s">
        <v>148</v>
      </c>
      <c r="H5233" s="28" t="s">
        <v>619</v>
      </c>
      <c r="I5233" s="29" t="n">
        <v>552500</v>
      </c>
      <c r="J5233" s="29" t="n">
        <v>414375</v>
      </c>
      <c r="K5233" s="28" t="n">
        <v>9.5</v>
      </c>
      <c r="L5233" s="28" t="n">
        <v>300</v>
      </c>
      <c r="M5233" s="28" t="n">
        <v>3</v>
      </c>
    </row>
    <row r="5234" customFormat="false" ht="15" hidden="false" customHeight="false" outlineLevel="0" collapsed="false">
      <c r="A5234" s="27" t="n">
        <v>46043</v>
      </c>
      <c r="B5234" s="28" t="n">
        <v>2026</v>
      </c>
      <c r="C5234" s="28" t="s">
        <v>160</v>
      </c>
      <c r="D5234" s="28" t="s">
        <v>57</v>
      </c>
      <c r="E5234" s="28" t="s">
        <v>728</v>
      </c>
      <c r="F5234" s="28" t="s">
        <v>147</v>
      </c>
      <c r="G5234" s="28" t="s">
        <v>143</v>
      </c>
      <c r="H5234" s="28" t="s">
        <v>953</v>
      </c>
      <c r="I5234" s="29" t="n">
        <v>50000</v>
      </c>
      <c r="J5234" s="29" t="n">
        <v>25000</v>
      </c>
      <c r="K5234" s="28" t="n">
        <v>13.25</v>
      </c>
      <c r="L5234" s="28" t="n">
        <v>120</v>
      </c>
      <c r="M5234" s="28" t="n">
        <v>6</v>
      </c>
    </row>
    <row r="5235" customFormat="false" ht="15" hidden="false" customHeight="false" outlineLevel="0" collapsed="false">
      <c r="A5235" s="27" t="n">
        <v>46043</v>
      </c>
      <c r="B5235" s="28" t="n">
        <v>2026</v>
      </c>
      <c r="C5235" s="28" t="s">
        <v>163</v>
      </c>
      <c r="D5235" s="28" t="s">
        <v>44</v>
      </c>
      <c r="E5235" s="28" t="s">
        <v>729</v>
      </c>
      <c r="F5235" s="28" t="s">
        <v>142</v>
      </c>
      <c r="G5235" s="28" t="s">
        <v>143</v>
      </c>
      <c r="H5235" s="28" t="s">
        <v>291</v>
      </c>
      <c r="I5235" s="29" t="n">
        <v>53000</v>
      </c>
      <c r="J5235" s="29" t="n">
        <v>45050</v>
      </c>
      <c r="K5235" s="28" t="n">
        <v>9.75</v>
      </c>
      <c r="L5235" s="28" t="n">
        <v>120</v>
      </c>
      <c r="M5235" s="28" t="n">
        <v>2</v>
      </c>
    </row>
    <row r="5236" customFormat="false" ht="15" hidden="false" customHeight="false" outlineLevel="0" collapsed="false">
      <c r="A5236" s="27" t="n">
        <v>46043</v>
      </c>
      <c r="B5236" s="28" t="n">
        <v>2026</v>
      </c>
      <c r="C5236" s="28" t="s">
        <v>169</v>
      </c>
      <c r="D5236" s="28" t="s">
        <v>51</v>
      </c>
      <c r="E5236" s="28" t="s">
        <v>936</v>
      </c>
      <c r="F5236" s="28" t="s">
        <v>142</v>
      </c>
      <c r="G5236" s="28" t="s">
        <v>148</v>
      </c>
      <c r="H5236" s="28" t="s">
        <v>275</v>
      </c>
      <c r="I5236" s="29" t="n">
        <v>343000</v>
      </c>
      <c r="J5236" s="29" t="n">
        <v>240100</v>
      </c>
      <c r="K5236" s="28" t="n">
        <v>9.5</v>
      </c>
      <c r="L5236" s="28" t="n">
        <v>120</v>
      </c>
      <c r="M5236" s="28" t="n">
        <v>20</v>
      </c>
    </row>
    <row r="5237" customFormat="false" ht="15" hidden="false" customHeight="false" outlineLevel="0" collapsed="false">
      <c r="A5237" s="27" t="n">
        <v>46043</v>
      </c>
      <c r="B5237" s="28" t="n">
        <v>2026</v>
      </c>
      <c r="C5237" s="28" t="s">
        <v>175</v>
      </c>
      <c r="D5237" s="28" t="s">
        <v>44</v>
      </c>
      <c r="E5237" s="28" t="s">
        <v>730</v>
      </c>
      <c r="F5237" s="28" t="s">
        <v>142</v>
      </c>
      <c r="G5237" s="28" t="s">
        <v>143</v>
      </c>
      <c r="H5237" s="28" t="s">
        <v>291</v>
      </c>
      <c r="I5237" s="29" t="n">
        <v>630000</v>
      </c>
      <c r="J5237" s="29" t="n">
        <v>472500</v>
      </c>
      <c r="K5237" s="28" t="n">
        <v>9.25</v>
      </c>
      <c r="L5237" s="28" t="n">
        <v>126</v>
      </c>
      <c r="M5237" s="28" t="n">
        <v>34</v>
      </c>
    </row>
    <row r="5238" customFormat="false" ht="15" hidden="false" customHeight="false" outlineLevel="0" collapsed="false">
      <c r="A5238" s="27" t="n">
        <v>46043</v>
      </c>
      <c r="B5238" s="28" t="n">
        <v>2026</v>
      </c>
      <c r="C5238" s="28" t="s">
        <v>230</v>
      </c>
      <c r="D5238" s="28" t="s">
        <v>46</v>
      </c>
      <c r="E5238" s="28" t="s">
        <v>806</v>
      </c>
      <c r="F5238" s="28" t="s">
        <v>147</v>
      </c>
      <c r="G5238" s="28" t="s">
        <v>148</v>
      </c>
      <c r="H5238" s="28" t="s">
        <v>165</v>
      </c>
      <c r="I5238" s="29" t="n">
        <v>350000</v>
      </c>
      <c r="J5238" s="29" t="n">
        <v>175000</v>
      </c>
      <c r="K5238" s="28" t="n">
        <v>8.25</v>
      </c>
      <c r="L5238" s="28" t="n">
        <v>120</v>
      </c>
      <c r="M5238" s="28" t="n">
        <v>12</v>
      </c>
    </row>
    <row r="5239" customFormat="false" ht="15" hidden="false" customHeight="false" outlineLevel="0" collapsed="false">
      <c r="A5239" s="27" t="n">
        <v>46044</v>
      </c>
      <c r="B5239" s="28" t="n">
        <v>2026</v>
      </c>
      <c r="C5239" s="28" t="s">
        <v>353</v>
      </c>
      <c r="D5239" s="28" t="s">
        <v>43</v>
      </c>
      <c r="E5239" s="28" t="s">
        <v>757</v>
      </c>
      <c r="F5239" s="28" t="s">
        <v>147</v>
      </c>
      <c r="G5239" s="28" t="s">
        <v>143</v>
      </c>
      <c r="H5239" s="28" t="s">
        <v>281</v>
      </c>
      <c r="I5239" s="29" t="n">
        <v>156000</v>
      </c>
      <c r="J5239" s="29" t="n">
        <v>78000</v>
      </c>
      <c r="K5239" s="28" t="n">
        <v>8.25</v>
      </c>
      <c r="L5239" s="28" t="n">
        <v>84</v>
      </c>
      <c r="M5239" s="28" t="n">
        <v>3</v>
      </c>
    </row>
    <row r="5240" customFormat="false" ht="15" hidden="false" customHeight="false" outlineLevel="0" collapsed="false">
      <c r="A5240" s="27" t="n">
        <v>46044</v>
      </c>
      <c r="B5240" s="28" t="n">
        <v>2026</v>
      </c>
      <c r="C5240" s="28" t="s">
        <v>160</v>
      </c>
      <c r="D5240" s="28" t="s">
        <v>45</v>
      </c>
      <c r="E5240" s="28" t="s">
        <v>745</v>
      </c>
      <c r="F5240" s="28" t="s">
        <v>142</v>
      </c>
      <c r="G5240" s="28" t="s">
        <v>152</v>
      </c>
      <c r="H5240" s="28" t="s">
        <v>1060</v>
      </c>
      <c r="I5240" s="29" t="n">
        <v>4325000</v>
      </c>
      <c r="J5240" s="29" t="n">
        <v>3243750</v>
      </c>
      <c r="K5240" s="28" t="n">
        <v>9.5</v>
      </c>
      <c r="L5240" s="28" t="n">
        <v>120</v>
      </c>
      <c r="M5240" s="28" t="n">
        <v>21</v>
      </c>
    </row>
    <row r="5241" customFormat="false" ht="15" hidden="false" customHeight="false" outlineLevel="0" collapsed="false">
      <c r="A5241" s="27" t="n">
        <v>46044</v>
      </c>
      <c r="B5241" s="28" t="n">
        <v>2026</v>
      </c>
      <c r="C5241" s="28" t="s">
        <v>344</v>
      </c>
      <c r="D5241" s="28" t="s">
        <v>50</v>
      </c>
      <c r="E5241" s="28" t="s">
        <v>951</v>
      </c>
      <c r="F5241" s="28" t="s">
        <v>142</v>
      </c>
      <c r="G5241" s="28" t="s">
        <v>441</v>
      </c>
      <c r="H5241" s="28" t="s">
        <v>275</v>
      </c>
      <c r="I5241" s="29" t="n">
        <v>150000</v>
      </c>
      <c r="J5241" s="29" t="n">
        <v>120000</v>
      </c>
      <c r="K5241" s="28" t="n">
        <v>9.5</v>
      </c>
      <c r="L5241" s="28" t="n">
        <v>120</v>
      </c>
      <c r="M5241" s="28" t="n">
        <v>4</v>
      </c>
    </row>
    <row r="5242" customFormat="false" ht="15" hidden="false" customHeight="false" outlineLevel="0" collapsed="false">
      <c r="A5242" s="27" t="n">
        <v>46044</v>
      </c>
      <c r="B5242" s="28" t="n">
        <v>2026</v>
      </c>
      <c r="C5242" s="28" t="s">
        <v>344</v>
      </c>
      <c r="D5242" s="28" t="s">
        <v>45</v>
      </c>
      <c r="E5242" s="28" t="s">
        <v>222</v>
      </c>
      <c r="F5242" s="28" t="s">
        <v>147</v>
      </c>
      <c r="G5242" s="28" t="s">
        <v>148</v>
      </c>
      <c r="H5242" s="28" t="s">
        <v>159</v>
      </c>
      <c r="I5242" s="29" t="n">
        <v>25000</v>
      </c>
      <c r="J5242" s="29" t="n">
        <v>12500</v>
      </c>
      <c r="K5242" s="28" t="n">
        <v>13.25</v>
      </c>
      <c r="L5242" s="28" t="n">
        <v>120</v>
      </c>
      <c r="M5242" s="28" t="n">
        <v>0</v>
      </c>
    </row>
    <row r="5243" customFormat="false" ht="15" hidden="false" customHeight="false" outlineLevel="0" collapsed="false">
      <c r="A5243" s="27" t="n">
        <v>46044</v>
      </c>
      <c r="B5243" s="28" t="n">
        <v>2026</v>
      </c>
      <c r="C5243" s="28" t="s">
        <v>172</v>
      </c>
      <c r="D5243" s="28" t="s">
        <v>48</v>
      </c>
      <c r="E5243" s="28" t="s">
        <v>362</v>
      </c>
      <c r="F5243" s="28" t="s">
        <v>147</v>
      </c>
      <c r="G5243" s="28" t="s">
        <v>148</v>
      </c>
      <c r="H5243" s="28" t="s">
        <v>799</v>
      </c>
      <c r="I5243" s="29" t="n">
        <v>200000</v>
      </c>
      <c r="J5243" s="29" t="n">
        <v>100000</v>
      </c>
      <c r="K5243" s="28" t="n">
        <v>9.5</v>
      </c>
      <c r="L5243" s="28" t="n">
        <v>120</v>
      </c>
      <c r="M5243" s="28" t="n">
        <v>15</v>
      </c>
    </row>
    <row r="5244" customFormat="false" ht="15" hidden="false" customHeight="false" outlineLevel="0" collapsed="false">
      <c r="A5244" s="27" t="n">
        <v>46044</v>
      </c>
      <c r="B5244" s="28" t="n">
        <v>2026</v>
      </c>
      <c r="C5244" s="28" t="s">
        <v>344</v>
      </c>
      <c r="D5244" s="28" t="s">
        <v>42</v>
      </c>
      <c r="E5244" s="28" t="s">
        <v>753</v>
      </c>
      <c r="F5244" s="28" t="s">
        <v>142</v>
      </c>
      <c r="G5244" s="28" t="s">
        <v>143</v>
      </c>
      <c r="H5244" s="28" t="s">
        <v>1131</v>
      </c>
      <c r="I5244" s="29" t="n">
        <v>2320000</v>
      </c>
      <c r="J5244" s="29" t="n">
        <v>1740000</v>
      </c>
      <c r="K5244" s="28" t="n">
        <v>8.25</v>
      </c>
      <c r="L5244" s="28" t="n">
        <v>308</v>
      </c>
      <c r="M5244" s="28" t="n">
        <v>32</v>
      </c>
    </row>
    <row r="5245" customFormat="false" ht="15" hidden="false" customHeight="false" outlineLevel="0" collapsed="false">
      <c r="A5245" s="27" t="n">
        <v>46045</v>
      </c>
      <c r="B5245" s="28" t="n">
        <v>2026</v>
      </c>
      <c r="C5245" s="28" t="s">
        <v>172</v>
      </c>
      <c r="D5245" s="28" t="s">
        <v>50</v>
      </c>
      <c r="E5245" s="28" t="s">
        <v>951</v>
      </c>
      <c r="F5245" s="28" t="s">
        <v>147</v>
      </c>
      <c r="G5245" s="28" t="s">
        <v>143</v>
      </c>
      <c r="H5245" s="28" t="s">
        <v>159</v>
      </c>
      <c r="I5245" s="29" t="n">
        <v>25000</v>
      </c>
      <c r="J5245" s="29" t="n">
        <v>12500</v>
      </c>
      <c r="K5245" s="28" t="n">
        <v>8.75</v>
      </c>
      <c r="L5245" s="28" t="n">
        <v>120</v>
      </c>
      <c r="M5245" s="28" t="n">
        <v>4</v>
      </c>
    </row>
    <row r="5246" customFormat="false" ht="15" hidden="false" customHeight="false" outlineLevel="0" collapsed="false">
      <c r="A5246" s="27" t="n">
        <v>46045</v>
      </c>
      <c r="B5246" s="28" t="n">
        <v>2026</v>
      </c>
      <c r="C5246" s="28" t="s">
        <v>201</v>
      </c>
      <c r="D5246" s="28" t="s">
        <v>46</v>
      </c>
      <c r="E5246" s="28" t="s">
        <v>702</v>
      </c>
      <c r="F5246" s="28" t="s">
        <v>194</v>
      </c>
      <c r="G5246" s="28" t="s">
        <v>148</v>
      </c>
      <c r="H5246" s="28" t="s">
        <v>862</v>
      </c>
      <c r="I5246" s="29" t="n">
        <v>370000</v>
      </c>
      <c r="J5246" s="29" t="n">
        <v>277500</v>
      </c>
      <c r="K5246" s="28" t="n">
        <v>8.75</v>
      </c>
      <c r="L5246" s="28" t="n">
        <v>300</v>
      </c>
      <c r="M5246" s="28" t="n">
        <v>3</v>
      </c>
    </row>
    <row r="5247" customFormat="false" ht="15" hidden="false" customHeight="false" outlineLevel="0" collapsed="false">
      <c r="A5247" s="27" t="n">
        <v>46045</v>
      </c>
      <c r="B5247" s="28" t="n">
        <v>2026</v>
      </c>
      <c r="C5247" s="28" t="s">
        <v>292</v>
      </c>
      <c r="D5247" s="28" t="s">
        <v>48</v>
      </c>
      <c r="E5247" s="28" t="s">
        <v>736</v>
      </c>
      <c r="F5247" s="28" t="s">
        <v>147</v>
      </c>
      <c r="G5247" s="28" t="s">
        <v>148</v>
      </c>
      <c r="H5247" s="28" t="s">
        <v>953</v>
      </c>
      <c r="I5247" s="29" t="n">
        <v>50000</v>
      </c>
      <c r="J5247" s="29" t="n">
        <v>25000</v>
      </c>
      <c r="K5247" s="28" t="n">
        <v>13.25</v>
      </c>
      <c r="L5247" s="28" t="n">
        <v>120</v>
      </c>
      <c r="M5247" s="28" t="n">
        <v>42</v>
      </c>
    </row>
    <row r="5248" customFormat="false" ht="15" hidden="false" customHeight="false" outlineLevel="0" collapsed="false">
      <c r="A5248" s="27" t="n">
        <v>46045</v>
      </c>
      <c r="B5248" s="28" t="n">
        <v>2026</v>
      </c>
      <c r="C5248" s="28" t="s">
        <v>235</v>
      </c>
      <c r="D5248" s="28" t="s">
        <v>45</v>
      </c>
      <c r="E5248" s="28" t="s">
        <v>1152</v>
      </c>
      <c r="F5248" s="28" t="s">
        <v>142</v>
      </c>
      <c r="G5248" s="28" t="s">
        <v>148</v>
      </c>
      <c r="H5248" s="28" t="s">
        <v>1150</v>
      </c>
      <c r="I5248" s="29" t="n">
        <v>350000</v>
      </c>
      <c r="J5248" s="29" t="n">
        <v>262500</v>
      </c>
      <c r="K5248" s="28" t="n">
        <v>9.75</v>
      </c>
      <c r="L5248" s="28" t="n">
        <v>120</v>
      </c>
      <c r="M5248" s="28" t="n">
        <v>2</v>
      </c>
    </row>
    <row r="5249" customFormat="false" ht="15" hidden="false" customHeight="false" outlineLevel="0" collapsed="false">
      <c r="A5249" s="27" t="n">
        <v>46045</v>
      </c>
      <c r="B5249" s="28" t="n">
        <v>2026</v>
      </c>
      <c r="C5249" s="28" t="s">
        <v>175</v>
      </c>
      <c r="D5249" s="28" t="s">
        <v>43</v>
      </c>
      <c r="E5249" s="28" t="s">
        <v>952</v>
      </c>
      <c r="F5249" s="28" t="s">
        <v>142</v>
      </c>
      <c r="G5249" s="28" t="s">
        <v>441</v>
      </c>
      <c r="H5249" s="28" t="s">
        <v>451</v>
      </c>
      <c r="I5249" s="29" t="n">
        <v>1200000</v>
      </c>
      <c r="J5249" s="29" t="n">
        <v>900000</v>
      </c>
      <c r="K5249" s="28" t="n">
        <v>8</v>
      </c>
      <c r="L5249" s="28" t="n">
        <v>120</v>
      </c>
      <c r="M5249" s="28" t="n">
        <v>40</v>
      </c>
    </row>
    <row r="5250" customFormat="false" ht="15" hidden="false" customHeight="false" outlineLevel="0" collapsed="false">
      <c r="A5250" s="27" t="n">
        <v>46045</v>
      </c>
      <c r="B5250" s="28" t="n">
        <v>2026</v>
      </c>
      <c r="C5250" s="28" t="s">
        <v>172</v>
      </c>
      <c r="D5250" s="28" t="s">
        <v>50</v>
      </c>
      <c r="E5250" s="28" t="s">
        <v>951</v>
      </c>
      <c r="F5250" s="28" t="s">
        <v>142</v>
      </c>
      <c r="G5250" s="28" t="s">
        <v>143</v>
      </c>
      <c r="H5250" s="28" t="s">
        <v>159</v>
      </c>
      <c r="I5250" s="29" t="n">
        <v>344000</v>
      </c>
      <c r="J5250" s="29" t="n">
        <v>258000</v>
      </c>
      <c r="K5250" s="28" t="n">
        <v>8.75</v>
      </c>
      <c r="L5250" s="28" t="n">
        <v>120</v>
      </c>
      <c r="M5250" s="28" t="n">
        <v>2</v>
      </c>
    </row>
    <row r="5251" customFormat="false" ht="15" hidden="false" customHeight="false" outlineLevel="0" collapsed="false">
      <c r="A5251" s="27" t="n">
        <v>46045</v>
      </c>
      <c r="B5251" s="28" t="n">
        <v>2026</v>
      </c>
      <c r="C5251" s="28" t="s">
        <v>508</v>
      </c>
      <c r="D5251" s="28" t="s">
        <v>50</v>
      </c>
      <c r="E5251" s="28" t="s">
        <v>711</v>
      </c>
      <c r="F5251" s="28" t="s">
        <v>147</v>
      </c>
      <c r="G5251" s="28" t="s">
        <v>148</v>
      </c>
      <c r="H5251" s="28" t="s">
        <v>144</v>
      </c>
      <c r="I5251" s="29" t="n">
        <v>350000</v>
      </c>
      <c r="J5251" s="29" t="n">
        <v>175000</v>
      </c>
      <c r="K5251" s="28" t="n">
        <v>8.25</v>
      </c>
      <c r="L5251" s="28" t="n">
        <v>120</v>
      </c>
      <c r="M5251" s="28" t="n">
        <v>47</v>
      </c>
    </row>
    <row r="5252" customFormat="false" ht="15" hidden="false" customHeight="false" outlineLevel="0" collapsed="false">
      <c r="A5252" s="27" t="n">
        <v>46048</v>
      </c>
      <c r="B5252" s="28" t="n">
        <v>2026</v>
      </c>
      <c r="C5252" s="28" t="s">
        <v>198</v>
      </c>
      <c r="D5252" s="28" t="s">
        <v>42</v>
      </c>
      <c r="E5252" s="28" t="s">
        <v>753</v>
      </c>
      <c r="F5252" s="28" t="s">
        <v>147</v>
      </c>
      <c r="G5252" s="28" t="s">
        <v>148</v>
      </c>
      <c r="H5252" s="28" t="s">
        <v>251</v>
      </c>
      <c r="I5252" s="29" t="n">
        <v>250000</v>
      </c>
      <c r="J5252" s="29" t="n">
        <v>125000</v>
      </c>
      <c r="K5252" s="28" t="n">
        <v>7.75</v>
      </c>
      <c r="L5252" s="28" t="n">
        <v>60</v>
      </c>
      <c r="M5252" s="28" t="n">
        <v>60</v>
      </c>
    </row>
    <row r="5253" customFormat="false" ht="15" hidden="false" customHeight="false" outlineLevel="0" collapsed="false">
      <c r="A5253" s="27" t="n">
        <v>46048</v>
      </c>
      <c r="B5253" s="28" t="n">
        <v>2026</v>
      </c>
      <c r="C5253" s="28" t="s">
        <v>344</v>
      </c>
      <c r="D5253" s="28" t="s">
        <v>45</v>
      </c>
      <c r="E5253" s="28" t="s">
        <v>356</v>
      </c>
      <c r="F5253" s="28" t="s">
        <v>147</v>
      </c>
      <c r="G5253" s="28" t="s">
        <v>148</v>
      </c>
      <c r="H5253" s="28" t="s">
        <v>953</v>
      </c>
      <c r="I5253" s="29" t="n">
        <v>25000</v>
      </c>
      <c r="J5253" s="29" t="n">
        <v>12500</v>
      </c>
      <c r="K5253" s="28" t="n">
        <v>13.25</v>
      </c>
      <c r="L5253" s="28" t="n">
        <v>120</v>
      </c>
      <c r="M5253" s="28" t="n">
        <v>5</v>
      </c>
    </row>
    <row r="5254" customFormat="false" ht="15" hidden="false" customHeight="false" outlineLevel="0" collapsed="false">
      <c r="A5254" s="27" t="n">
        <v>46048</v>
      </c>
      <c r="B5254" s="28" t="n">
        <v>2026</v>
      </c>
      <c r="C5254" s="28" t="s">
        <v>344</v>
      </c>
      <c r="D5254" s="28" t="s">
        <v>45</v>
      </c>
      <c r="E5254" s="28" t="s">
        <v>356</v>
      </c>
      <c r="F5254" s="28" t="s">
        <v>142</v>
      </c>
      <c r="G5254" s="28" t="s">
        <v>148</v>
      </c>
      <c r="H5254" s="28" t="s">
        <v>953</v>
      </c>
      <c r="I5254" s="29" t="n">
        <v>200000</v>
      </c>
      <c r="J5254" s="29" t="n">
        <v>150000</v>
      </c>
      <c r="K5254" s="28" t="n">
        <v>9.75</v>
      </c>
      <c r="L5254" s="28" t="n">
        <v>120</v>
      </c>
      <c r="M5254" s="28" t="n">
        <v>5</v>
      </c>
    </row>
    <row r="5255" customFormat="false" ht="15" hidden="false" customHeight="false" outlineLevel="0" collapsed="false">
      <c r="A5255" s="27" t="n">
        <v>46048</v>
      </c>
      <c r="B5255" s="28" t="n">
        <v>2026</v>
      </c>
      <c r="C5255" s="28" t="s">
        <v>206</v>
      </c>
      <c r="D5255" s="28" t="s">
        <v>57</v>
      </c>
      <c r="E5255" s="28" t="s">
        <v>1181</v>
      </c>
      <c r="F5255" s="28" t="s">
        <v>147</v>
      </c>
      <c r="G5255" s="28" t="s">
        <v>441</v>
      </c>
      <c r="H5255" s="28" t="s">
        <v>159</v>
      </c>
      <c r="I5255" s="29" t="n">
        <v>100000</v>
      </c>
      <c r="J5255" s="29" t="n">
        <v>50000</v>
      </c>
      <c r="K5255" s="28" t="n">
        <v>9.24</v>
      </c>
      <c r="L5255" s="28" t="n">
        <v>60</v>
      </c>
      <c r="M5255" s="28" t="n">
        <v>2</v>
      </c>
    </row>
    <row r="5256" customFormat="false" ht="15" hidden="false" customHeight="false" outlineLevel="0" collapsed="false">
      <c r="A5256" s="27" t="n">
        <v>46048</v>
      </c>
      <c r="B5256" s="28" t="n">
        <v>2026</v>
      </c>
      <c r="C5256" s="28" t="s">
        <v>183</v>
      </c>
      <c r="D5256" s="28" t="s">
        <v>46</v>
      </c>
      <c r="E5256" s="28" t="s">
        <v>813</v>
      </c>
      <c r="F5256" s="28" t="s">
        <v>147</v>
      </c>
      <c r="G5256" s="28" t="s">
        <v>441</v>
      </c>
      <c r="H5256" s="28" t="s">
        <v>159</v>
      </c>
      <c r="I5256" s="29" t="n">
        <v>25000</v>
      </c>
      <c r="J5256" s="29" t="n">
        <v>12500</v>
      </c>
      <c r="K5256" s="28" t="n">
        <v>13.25</v>
      </c>
      <c r="L5256" s="28" t="n">
        <v>120</v>
      </c>
      <c r="M5256" s="28" t="n">
        <v>2</v>
      </c>
    </row>
    <row r="5257" customFormat="false" ht="15" hidden="false" customHeight="false" outlineLevel="0" collapsed="false">
      <c r="A5257" s="27" t="n">
        <v>46049</v>
      </c>
      <c r="B5257" s="28" t="n">
        <v>2026</v>
      </c>
      <c r="C5257" s="28" t="s">
        <v>353</v>
      </c>
      <c r="D5257" s="28" t="s">
        <v>44</v>
      </c>
      <c r="E5257" s="28" t="s">
        <v>729</v>
      </c>
      <c r="F5257" s="28" t="s">
        <v>142</v>
      </c>
      <c r="G5257" s="28" t="s">
        <v>143</v>
      </c>
      <c r="H5257" s="28" t="s">
        <v>1072</v>
      </c>
      <c r="I5257" s="29" t="n">
        <v>1061400</v>
      </c>
      <c r="J5257" s="29" t="n">
        <v>796050</v>
      </c>
      <c r="K5257" s="28" t="n">
        <v>6.75</v>
      </c>
      <c r="L5257" s="28" t="n">
        <v>300</v>
      </c>
      <c r="M5257" s="28" t="n">
        <v>9</v>
      </c>
    </row>
    <row r="5258" customFormat="false" ht="15" hidden="false" customHeight="false" outlineLevel="0" collapsed="false">
      <c r="A5258" s="27" t="n">
        <v>46049</v>
      </c>
      <c r="B5258" s="28" t="n">
        <v>2026</v>
      </c>
      <c r="C5258" s="28" t="s">
        <v>394</v>
      </c>
      <c r="D5258" s="28" t="s">
        <v>42</v>
      </c>
      <c r="E5258" s="28" t="s">
        <v>705</v>
      </c>
      <c r="F5258" s="28" t="s">
        <v>142</v>
      </c>
      <c r="G5258" s="28" t="s">
        <v>152</v>
      </c>
      <c r="H5258" s="28" t="s">
        <v>1156</v>
      </c>
      <c r="I5258" s="29" t="n">
        <v>550000</v>
      </c>
      <c r="J5258" s="29" t="n">
        <v>412500</v>
      </c>
      <c r="K5258" s="28" t="n">
        <v>7.75</v>
      </c>
      <c r="L5258" s="28" t="n">
        <v>300</v>
      </c>
      <c r="M5258" s="28" t="n">
        <v>9</v>
      </c>
    </row>
    <row r="5259" customFormat="false" ht="15" hidden="false" customHeight="false" outlineLevel="0" collapsed="false">
      <c r="A5259" s="27" t="n">
        <v>46049</v>
      </c>
      <c r="B5259" s="28" t="n">
        <v>2026</v>
      </c>
      <c r="C5259" s="28" t="s">
        <v>300</v>
      </c>
      <c r="D5259" s="28" t="s">
        <v>43</v>
      </c>
      <c r="E5259" s="28" t="s">
        <v>732</v>
      </c>
      <c r="F5259" s="28" t="s">
        <v>142</v>
      </c>
      <c r="G5259" s="28" t="s">
        <v>148</v>
      </c>
      <c r="H5259" s="28" t="s">
        <v>937</v>
      </c>
      <c r="I5259" s="29" t="n">
        <v>167700</v>
      </c>
      <c r="J5259" s="29" t="n">
        <v>125775</v>
      </c>
      <c r="K5259" s="28" t="n">
        <v>11.25</v>
      </c>
      <c r="L5259" s="28" t="n">
        <v>120</v>
      </c>
      <c r="M5259" s="28" t="n">
        <v>6</v>
      </c>
    </row>
    <row r="5260" customFormat="false" ht="15" hidden="false" customHeight="false" outlineLevel="0" collapsed="false">
      <c r="A5260" s="27" t="n">
        <v>46049</v>
      </c>
      <c r="B5260" s="28" t="n">
        <v>2026</v>
      </c>
      <c r="C5260" s="28" t="s">
        <v>198</v>
      </c>
      <c r="D5260" s="28" t="s">
        <v>47</v>
      </c>
      <c r="E5260" s="28" t="s">
        <v>1182</v>
      </c>
      <c r="F5260" s="28" t="s">
        <v>142</v>
      </c>
      <c r="G5260" s="28" t="s">
        <v>152</v>
      </c>
      <c r="H5260" s="28" t="s">
        <v>211</v>
      </c>
      <c r="I5260" s="29" t="n">
        <v>1455500</v>
      </c>
      <c r="J5260" s="29" t="n">
        <v>1091625</v>
      </c>
      <c r="K5260" s="28" t="n">
        <v>8.15</v>
      </c>
      <c r="L5260" s="28" t="n">
        <v>120</v>
      </c>
      <c r="M5260" s="28" t="n">
        <v>23</v>
      </c>
    </row>
    <row r="5261" customFormat="false" ht="15" hidden="false" customHeight="false" outlineLevel="0" collapsed="false">
      <c r="A5261" s="27" t="n">
        <v>46049</v>
      </c>
      <c r="B5261" s="28" t="n">
        <v>2026</v>
      </c>
      <c r="C5261" s="28" t="s">
        <v>172</v>
      </c>
      <c r="D5261" s="28" t="s">
        <v>46</v>
      </c>
      <c r="E5261" s="28" t="s">
        <v>702</v>
      </c>
      <c r="F5261" s="28" t="s">
        <v>142</v>
      </c>
      <c r="G5261" s="28" t="s">
        <v>143</v>
      </c>
      <c r="H5261" s="28" t="s">
        <v>269</v>
      </c>
      <c r="I5261" s="29" t="n">
        <v>1029500</v>
      </c>
      <c r="J5261" s="29" t="n">
        <v>772125</v>
      </c>
      <c r="K5261" s="28" t="n">
        <v>9</v>
      </c>
      <c r="L5261" s="28" t="n">
        <v>129</v>
      </c>
      <c r="M5261" s="28" t="n">
        <v>40</v>
      </c>
    </row>
    <row r="5262" customFormat="false" ht="15" hidden="false" customHeight="false" outlineLevel="0" collapsed="false">
      <c r="A5262" s="27" t="n">
        <v>46049</v>
      </c>
      <c r="B5262" s="28" t="n">
        <v>2026</v>
      </c>
      <c r="C5262" s="28" t="s">
        <v>172</v>
      </c>
      <c r="D5262" s="28" t="s">
        <v>45</v>
      </c>
      <c r="E5262" s="28" t="s">
        <v>480</v>
      </c>
      <c r="F5262" s="28" t="s">
        <v>142</v>
      </c>
      <c r="G5262" s="28" t="s">
        <v>148</v>
      </c>
      <c r="H5262" s="28" t="s">
        <v>621</v>
      </c>
      <c r="I5262" s="29" t="n">
        <v>5000000</v>
      </c>
      <c r="J5262" s="29" t="n">
        <v>3750000</v>
      </c>
      <c r="K5262" s="28" t="n">
        <v>9</v>
      </c>
      <c r="L5262" s="28" t="n">
        <v>120</v>
      </c>
      <c r="M5262" s="28" t="n">
        <v>100</v>
      </c>
    </row>
    <row r="5263" customFormat="false" ht="15" hidden="false" customHeight="false" outlineLevel="0" collapsed="false">
      <c r="A5263" s="27" t="n">
        <v>46049</v>
      </c>
      <c r="B5263" s="28" t="n">
        <v>2026</v>
      </c>
      <c r="C5263" s="28" t="s">
        <v>209</v>
      </c>
      <c r="D5263" s="28" t="s">
        <v>45</v>
      </c>
      <c r="E5263" s="28" t="s">
        <v>222</v>
      </c>
      <c r="F5263" s="28" t="s">
        <v>142</v>
      </c>
      <c r="G5263" s="28" t="s">
        <v>148</v>
      </c>
      <c r="H5263" s="28" t="s">
        <v>771</v>
      </c>
      <c r="I5263" s="29" t="n">
        <v>200000</v>
      </c>
      <c r="J5263" s="29" t="n">
        <v>150000</v>
      </c>
      <c r="K5263" s="28" t="n">
        <v>9.5</v>
      </c>
      <c r="L5263" s="28" t="n">
        <v>120</v>
      </c>
      <c r="M5263" s="28" t="n">
        <v>5</v>
      </c>
    </row>
    <row r="5264" customFormat="false" ht="15" hidden="false" customHeight="false" outlineLevel="0" collapsed="false">
      <c r="A5264" s="27" t="n">
        <v>46049</v>
      </c>
      <c r="B5264" s="28" t="n">
        <v>2026</v>
      </c>
      <c r="C5264" s="28" t="s">
        <v>169</v>
      </c>
      <c r="D5264" s="28" t="s">
        <v>47</v>
      </c>
      <c r="E5264" s="28" t="s">
        <v>623</v>
      </c>
      <c r="F5264" s="28" t="s">
        <v>142</v>
      </c>
      <c r="G5264" s="28" t="s">
        <v>441</v>
      </c>
      <c r="H5264" s="28" t="s">
        <v>431</v>
      </c>
      <c r="I5264" s="29" t="n">
        <v>555000</v>
      </c>
      <c r="J5264" s="29" t="n">
        <v>416250</v>
      </c>
      <c r="K5264" s="28" t="n">
        <v>9.5</v>
      </c>
      <c r="L5264" s="28" t="n">
        <v>120</v>
      </c>
      <c r="M5264" s="28" t="n">
        <v>6</v>
      </c>
    </row>
    <row r="5265" customFormat="false" ht="15" hidden="false" customHeight="false" outlineLevel="0" collapsed="false">
      <c r="A5265" s="27" t="n">
        <v>46049</v>
      </c>
      <c r="B5265" s="28" t="n">
        <v>2026</v>
      </c>
      <c r="C5265" s="28" t="s">
        <v>160</v>
      </c>
      <c r="D5265" s="28" t="s">
        <v>51</v>
      </c>
      <c r="E5265" s="28" t="s">
        <v>1046</v>
      </c>
      <c r="F5265" s="28" t="s">
        <v>147</v>
      </c>
      <c r="G5265" s="28" t="s">
        <v>143</v>
      </c>
      <c r="H5265" s="28" t="s">
        <v>159</v>
      </c>
      <c r="I5265" s="29" t="n">
        <v>15000</v>
      </c>
      <c r="J5265" s="29" t="n">
        <v>7500</v>
      </c>
      <c r="K5265" s="28" t="n">
        <v>9</v>
      </c>
      <c r="L5265" s="28" t="n">
        <v>120</v>
      </c>
      <c r="M5265" s="28" t="n">
        <v>0</v>
      </c>
    </row>
    <row r="5266" customFormat="false" ht="15" hidden="false" customHeight="false" outlineLevel="0" collapsed="false">
      <c r="A5266" s="27" t="n">
        <v>46049</v>
      </c>
      <c r="B5266" s="28" t="n">
        <v>2026</v>
      </c>
      <c r="C5266" s="28" t="s">
        <v>160</v>
      </c>
      <c r="D5266" s="28" t="s">
        <v>51</v>
      </c>
      <c r="E5266" s="28" t="s">
        <v>1046</v>
      </c>
      <c r="F5266" s="28" t="s">
        <v>147</v>
      </c>
      <c r="G5266" s="28" t="s">
        <v>143</v>
      </c>
      <c r="H5266" s="28" t="s">
        <v>159</v>
      </c>
      <c r="I5266" s="29" t="n">
        <v>185000</v>
      </c>
      <c r="J5266" s="29" t="n">
        <v>92500</v>
      </c>
      <c r="K5266" s="28" t="n">
        <v>9.25</v>
      </c>
      <c r="L5266" s="28" t="n">
        <v>60</v>
      </c>
      <c r="M5266" s="28" t="n">
        <v>0</v>
      </c>
    </row>
    <row r="5267" customFormat="false" ht="15" hidden="false" customHeight="false" outlineLevel="0" collapsed="false">
      <c r="A5267" s="27" t="n">
        <v>46049</v>
      </c>
      <c r="B5267" s="28" t="n">
        <v>2026</v>
      </c>
      <c r="C5267" s="28" t="s">
        <v>169</v>
      </c>
      <c r="D5267" s="28" t="s">
        <v>45</v>
      </c>
      <c r="E5267" s="28" t="s">
        <v>222</v>
      </c>
      <c r="F5267" s="28" t="s">
        <v>147</v>
      </c>
      <c r="G5267" s="28" t="s">
        <v>148</v>
      </c>
      <c r="H5267" s="28" t="s">
        <v>187</v>
      </c>
      <c r="I5267" s="29" t="n">
        <v>251000</v>
      </c>
      <c r="J5267" s="29" t="n">
        <v>125500</v>
      </c>
      <c r="K5267" s="28" t="n">
        <v>3.5</v>
      </c>
      <c r="L5267" s="28" t="n">
        <v>120</v>
      </c>
      <c r="M5267" s="28" t="n">
        <v>11</v>
      </c>
    </row>
    <row r="5268" customFormat="false" ht="15" hidden="false" customHeight="false" outlineLevel="0" collapsed="false">
      <c r="A5268" s="27" t="n">
        <v>46049</v>
      </c>
      <c r="B5268" s="28" t="n">
        <v>2026</v>
      </c>
      <c r="C5268" s="28" t="s">
        <v>172</v>
      </c>
      <c r="D5268" s="28" t="s">
        <v>42</v>
      </c>
      <c r="E5268" s="28" t="s">
        <v>705</v>
      </c>
      <c r="F5268" s="28" t="s">
        <v>147</v>
      </c>
      <c r="G5268" s="28" t="s">
        <v>148</v>
      </c>
      <c r="H5268" s="28" t="s">
        <v>205</v>
      </c>
      <c r="I5268" s="29" t="n">
        <v>60000</v>
      </c>
      <c r="J5268" s="29" t="n">
        <v>30000</v>
      </c>
      <c r="K5268" s="28" t="n">
        <v>9.75</v>
      </c>
      <c r="L5268" s="28" t="n">
        <v>120</v>
      </c>
      <c r="M5268" s="28" t="n">
        <v>0</v>
      </c>
    </row>
    <row r="5269" customFormat="false" ht="15" hidden="false" customHeight="false" outlineLevel="0" collapsed="false">
      <c r="A5269" s="27" t="n">
        <v>46049</v>
      </c>
      <c r="B5269" s="28" t="n">
        <v>2026</v>
      </c>
      <c r="C5269" s="28" t="s">
        <v>198</v>
      </c>
      <c r="D5269" s="28" t="s">
        <v>47</v>
      </c>
      <c r="E5269" s="28" t="s">
        <v>1182</v>
      </c>
      <c r="F5269" s="28" t="s">
        <v>147</v>
      </c>
      <c r="G5269" s="28" t="s">
        <v>152</v>
      </c>
      <c r="H5269" s="28" t="s">
        <v>211</v>
      </c>
      <c r="I5269" s="29" t="n">
        <v>200000</v>
      </c>
      <c r="J5269" s="29" t="n">
        <v>100000</v>
      </c>
      <c r="K5269" s="28" t="n">
        <v>8.5</v>
      </c>
      <c r="L5269" s="28" t="n">
        <v>120</v>
      </c>
      <c r="M5269" s="28" t="n">
        <v>23</v>
      </c>
    </row>
    <row r="5270" customFormat="false" ht="15" hidden="false" customHeight="false" outlineLevel="0" collapsed="false">
      <c r="A5270" s="27" t="n">
        <v>46050</v>
      </c>
      <c r="B5270" s="28" t="n">
        <v>2026</v>
      </c>
      <c r="C5270" s="28" t="s">
        <v>145</v>
      </c>
      <c r="D5270" s="28" t="s">
        <v>43</v>
      </c>
      <c r="E5270" s="28" t="s">
        <v>952</v>
      </c>
      <c r="F5270" s="28" t="s">
        <v>142</v>
      </c>
      <c r="G5270" s="28" t="s">
        <v>441</v>
      </c>
      <c r="H5270" s="28" t="s">
        <v>208</v>
      </c>
      <c r="I5270" s="29" t="n">
        <v>1817000</v>
      </c>
      <c r="J5270" s="29" t="n">
        <v>1362750</v>
      </c>
      <c r="K5270" s="28" t="n">
        <v>9.25</v>
      </c>
      <c r="L5270" s="28" t="n">
        <v>126</v>
      </c>
      <c r="M5270" s="28" t="n">
        <v>26</v>
      </c>
    </row>
    <row r="5271" customFormat="false" ht="15" hidden="false" customHeight="false" outlineLevel="0" collapsed="false">
      <c r="A5271" s="27" t="n">
        <v>46050</v>
      </c>
      <c r="B5271" s="28" t="n">
        <v>2026</v>
      </c>
      <c r="C5271" s="28" t="s">
        <v>160</v>
      </c>
      <c r="D5271" s="28" t="s">
        <v>46</v>
      </c>
      <c r="E5271" s="28" t="s">
        <v>770</v>
      </c>
      <c r="F5271" s="28" t="s">
        <v>142</v>
      </c>
      <c r="G5271" s="28" t="s">
        <v>143</v>
      </c>
      <c r="H5271" s="28" t="s">
        <v>211</v>
      </c>
      <c r="I5271" s="29" t="n">
        <v>349200</v>
      </c>
      <c r="J5271" s="29" t="n">
        <v>261900</v>
      </c>
      <c r="K5271" s="28" t="n">
        <v>9.5</v>
      </c>
      <c r="L5271" s="28" t="n">
        <v>120</v>
      </c>
      <c r="M5271" s="28" t="n">
        <v>2</v>
      </c>
    </row>
    <row r="5272" customFormat="false" ht="15" hidden="false" customHeight="false" outlineLevel="0" collapsed="false">
      <c r="A5272" s="27" t="n">
        <v>46050</v>
      </c>
      <c r="B5272" s="28" t="n">
        <v>2026</v>
      </c>
      <c r="C5272" s="28" t="s">
        <v>522</v>
      </c>
      <c r="D5272" s="28" t="s">
        <v>52</v>
      </c>
      <c r="E5272" s="28" t="s">
        <v>599</v>
      </c>
      <c r="F5272" s="28" t="s">
        <v>142</v>
      </c>
      <c r="G5272" s="28" t="s">
        <v>152</v>
      </c>
      <c r="H5272" s="28" t="s">
        <v>334</v>
      </c>
      <c r="I5272" s="29" t="n">
        <v>627000</v>
      </c>
      <c r="J5272" s="29" t="n">
        <v>470250</v>
      </c>
      <c r="K5272" s="28" t="n">
        <v>8.75</v>
      </c>
      <c r="L5272" s="28" t="n">
        <v>120</v>
      </c>
      <c r="M5272" s="28" t="n">
        <v>12</v>
      </c>
    </row>
    <row r="5273" customFormat="false" ht="15" hidden="false" customHeight="false" outlineLevel="0" collapsed="false">
      <c r="A5273" s="27" t="n">
        <v>46050</v>
      </c>
      <c r="B5273" s="28" t="n">
        <v>2026</v>
      </c>
      <c r="C5273" s="28" t="s">
        <v>160</v>
      </c>
      <c r="D5273" s="28" t="s">
        <v>46</v>
      </c>
      <c r="E5273" s="28" t="s">
        <v>770</v>
      </c>
      <c r="F5273" s="28" t="s">
        <v>147</v>
      </c>
      <c r="G5273" s="28" t="s">
        <v>143</v>
      </c>
      <c r="H5273" s="28" t="s">
        <v>211</v>
      </c>
      <c r="I5273" s="29" t="n">
        <v>25000</v>
      </c>
      <c r="J5273" s="29" t="n">
        <v>12500</v>
      </c>
      <c r="K5273" s="28" t="n">
        <v>9.5</v>
      </c>
      <c r="L5273" s="28" t="n">
        <v>120</v>
      </c>
      <c r="M5273" s="28" t="n">
        <v>2</v>
      </c>
    </row>
    <row r="5274" customFormat="false" ht="15" hidden="false" customHeight="false" outlineLevel="0" collapsed="false">
      <c r="A5274" s="27" t="n">
        <v>46050</v>
      </c>
      <c r="B5274" s="28" t="n">
        <v>2026</v>
      </c>
      <c r="C5274" s="28" t="s">
        <v>172</v>
      </c>
      <c r="D5274" s="28" t="s">
        <v>42</v>
      </c>
      <c r="E5274" s="28" t="s">
        <v>753</v>
      </c>
      <c r="F5274" s="28" t="s">
        <v>142</v>
      </c>
      <c r="G5274" s="28" t="s">
        <v>143</v>
      </c>
      <c r="H5274" s="28" t="s">
        <v>159</v>
      </c>
      <c r="I5274" s="29" t="n">
        <v>200000</v>
      </c>
      <c r="J5274" s="29" t="n">
        <v>150000</v>
      </c>
      <c r="K5274" s="28" t="n">
        <v>7.75</v>
      </c>
      <c r="L5274" s="28" t="n">
        <v>120</v>
      </c>
      <c r="M5274" s="28" t="n">
        <v>7</v>
      </c>
    </row>
    <row r="5275" customFormat="false" ht="15" hidden="false" customHeight="false" outlineLevel="0" collapsed="false">
      <c r="A5275" s="27" t="n">
        <v>46051</v>
      </c>
      <c r="B5275" s="28" t="n">
        <v>2026</v>
      </c>
      <c r="C5275" s="28" t="s">
        <v>172</v>
      </c>
      <c r="D5275" s="28" t="s">
        <v>42</v>
      </c>
      <c r="E5275" s="28" t="s">
        <v>784</v>
      </c>
      <c r="F5275" s="28" t="s">
        <v>142</v>
      </c>
      <c r="G5275" s="28" t="s">
        <v>152</v>
      </c>
      <c r="H5275" s="28" t="s">
        <v>827</v>
      </c>
      <c r="I5275" s="29" t="n">
        <v>862500</v>
      </c>
      <c r="J5275" s="29" t="n">
        <v>646875</v>
      </c>
      <c r="K5275" s="28" t="n">
        <v>9.25</v>
      </c>
      <c r="L5275" s="28" t="n">
        <v>120</v>
      </c>
      <c r="M5275" s="28" t="n">
        <v>14</v>
      </c>
    </row>
    <row r="5276" customFormat="false" ht="15" hidden="false" customHeight="false" outlineLevel="0" collapsed="false">
      <c r="A5276" s="27" t="n">
        <v>46051</v>
      </c>
      <c r="B5276" s="28" t="n">
        <v>2026</v>
      </c>
      <c r="C5276" s="28" t="s">
        <v>488</v>
      </c>
      <c r="D5276" s="28" t="s">
        <v>42</v>
      </c>
      <c r="E5276" s="28" t="s">
        <v>717</v>
      </c>
      <c r="F5276" s="28" t="s">
        <v>142</v>
      </c>
      <c r="G5276" s="28" t="s">
        <v>143</v>
      </c>
      <c r="H5276" s="28" t="s">
        <v>374</v>
      </c>
      <c r="I5276" s="29" t="n">
        <v>2679000</v>
      </c>
      <c r="J5276" s="29" t="n">
        <v>2009250</v>
      </c>
      <c r="K5276" s="28" t="n">
        <v>8.5</v>
      </c>
      <c r="L5276" s="28" t="n">
        <v>306</v>
      </c>
      <c r="M5276" s="28" t="n">
        <v>80</v>
      </c>
    </row>
    <row r="5277" customFormat="false" ht="15" hidden="false" customHeight="false" outlineLevel="0" collapsed="false">
      <c r="A5277" s="27" t="n">
        <v>46051</v>
      </c>
      <c r="B5277" s="28" t="n">
        <v>2026</v>
      </c>
      <c r="C5277" s="28" t="s">
        <v>172</v>
      </c>
      <c r="D5277" s="28" t="s">
        <v>42</v>
      </c>
      <c r="E5277" s="28" t="s">
        <v>784</v>
      </c>
      <c r="F5277" s="28" t="s">
        <v>142</v>
      </c>
      <c r="G5277" s="28" t="s">
        <v>143</v>
      </c>
      <c r="H5277" s="28" t="s">
        <v>669</v>
      </c>
      <c r="I5277" s="29" t="n">
        <v>515000</v>
      </c>
      <c r="J5277" s="29" t="n">
        <v>386250</v>
      </c>
      <c r="K5277" s="28" t="n">
        <v>9.75</v>
      </c>
      <c r="L5277" s="28" t="n">
        <v>121</v>
      </c>
      <c r="M5277" s="28" t="n">
        <v>16</v>
      </c>
    </row>
    <row r="5278" customFormat="false" ht="15" hidden="false" customHeight="false" outlineLevel="0" collapsed="false">
      <c r="A5278" s="27" t="n">
        <v>46051</v>
      </c>
      <c r="B5278" s="28" t="n">
        <v>2026</v>
      </c>
      <c r="C5278" s="28" t="s">
        <v>549</v>
      </c>
      <c r="D5278" s="28" t="s">
        <v>51</v>
      </c>
      <c r="E5278" s="28" t="s">
        <v>800</v>
      </c>
      <c r="F5278" s="28" t="s">
        <v>142</v>
      </c>
      <c r="G5278" s="28" t="s">
        <v>143</v>
      </c>
      <c r="H5278" s="28" t="s">
        <v>621</v>
      </c>
      <c r="I5278" s="29" t="n">
        <v>349900</v>
      </c>
      <c r="J5278" s="29" t="n">
        <v>262425</v>
      </c>
      <c r="K5278" s="28" t="n">
        <v>9.5</v>
      </c>
      <c r="L5278" s="28" t="n">
        <v>132</v>
      </c>
      <c r="M5278" s="28" t="n">
        <v>4</v>
      </c>
    </row>
    <row r="5279" customFormat="false" ht="15" hidden="false" customHeight="false" outlineLevel="0" collapsed="false">
      <c r="A5279" s="27" t="n">
        <v>46051</v>
      </c>
      <c r="B5279" s="28" t="n">
        <v>2026</v>
      </c>
      <c r="C5279" s="28" t="s">
        <v>558</v>
      </c>
      <c r="D5279" s="28" t="s">
        <v>42</v>
      </c>
      <c r="E5279" s="28" t="s">
        <v>1151</v>
      </c>
      <c r="F5279" s="28" t="s">
        <v>142</v>
      </c>
      <c r="G5279" s="28" t="s">
        <v>143</v>
      </c>
      <c r="H5279" s="28" t="s">
        <v>382</v>
      </c>
      <c r="I5279" s="29" t="n">
        <v>702900</v>
      </c>
      <c r="J5279" s="29" t="n">
        <v>527175</v>
      </c>
      <c r="K5279" s="28" t="n">
        <v>9.5</v>
      </c>
      <c r="L5279" s="28" t="n">
        <v>304</v>
      </c>
      <c r="M5279" s="28" t="n">
        <v>7</v>
      </c>
    </row>
    <row r="5280" customFormat="false" ht="15" hidden="false" customHeight="false" outlineLevel="0" collapsed="false">
      <c r="A5280" s="27" t="n">
        <v>46051</v>
      </c>
      <c r="B5280" s="28" t="n">
        <v>2026</v>
      </c>
      <c r="C5280" s="28" t="s">
        <v>172</v>
      </c>
      <c r="D5280" s="28" t="s">
        <v>50</v>
      </c>
      <c r="E5280" s="28" t="s">
        <v>1183</v>
      </c>
      <c r="F5280" s="28" t="s">
        <v>142</v>
      </c>
      <c r="G5280" s="28" t="s">
        <v>148</v>
      </c>
      <c r="H5280" s="28" t="s">
        <v>953</v>
      </c>
      <c r="I5280" s="29" t="n">
        <v>5000000</v>
      </c>
      <c r="J5280" s="29" t="n">
        <v>3750000</v>
      </c>
      <c r="K5280" s="28" t="n">
        <v>9.75</v>
      </c>
      <c r="L5280" s="28" t="n">
        <v>120</v>
      </c>
      <c r="M5280" s="28" t="n">
        <v>60</v>
      </c>
    </row>
    <row r="5281" customFormat="false" ht="15" hidden="false" customHeight="false" outlineLevel="0" collapsed="false">
      <c r="A5281" s="27" t="n">
        <v>46051</v>
      </c>
      <c r="B5281" s="28" t="n">
        <v>2026</v>
      </c>
      <c r="C5281" s="28" t="s">
        <v>163</v>
      </c>
      <c r="D5281" s="28" t="s">
        <v>45</v>
      </c>
      <c r="E5281" s="28" t="s">
        <v>713</v>
      </c>
      <c r="F5281" s="28" t="s">
        <v>142</v>
      </c>
      <c r="G5281" s="28" t="s">
        <v>148</v>
      </c>
      <c r="H5281" s="28" t="s">
        <v>269</v>
      </c>
      <c r="I5281" s="29" t="n">
        <v>150000</v>
      </c>
      <c r="J5281" s="29" t="n">
        <v>127500</v>
      </c>
      <c r="K5281" s="28" t="n">
        <v>9.5</v>
      </c>
      <c r="L5281" s="28" t="n">
        <v>120</v>
      </c>
      <c r="M5281" s="28" t="n">
        <v>5</v>
      </c>
    </row>
    <row r="5282" customFormat="false" ht="15" hidden="false" customHeight="false" outlineLevel="0" collapsed="false">
      <c r="A5282" s="27" t="n">
        <v>46051</v>
      </c>
      <c r="B5282" s="28" t="n">
        <v>2026</v>
      </c>
      <c r="C5282" s="28" t="s">
        <v>387</v>
      </c>
      <c r="D5282" s="28" t="s">
        <v>48</v>
      </c>
      <c r="E5282" s="28" t="s">
        <v>765</v>
      </c>
      <c r="F5282" s="28" t="s">
        <v>142</v>
      </c>
      <c r="G5282" s="28" t="s">
        <v>148</v>
      </c>
      <c r="H5282" s="28" t="s">
        <v>372</v>
      </c>
      <c r="I5282" s="29" t="n">
        <v>800000</v>
      </c>
      <c r="J5282" s="29" t="n">
        <v>600000</v>
      </c>
      <c r="K5282" s="28" t="n">
        <v>8.75</v>
      </c>
      <c r="L5282" s="28" t="n">
        <v>121</v>
      </c>
      <c r="M5282" s="28" t="n">
        <v>42</v>
      </c>
    </row>
    <row r="5283" customFormat="false" ht="15" hidden="false" customHeight="false" outlineLevel="0" collapsed="false">
      <c r="A5283" s="27" t="n">
        <v>46051</v>
      </c>
      <c r="B5283" s="28" t="n">
        <v>2026</v>
      </c>
      <c r="C5283" s="28" t="s">
        <v>166</v>
      </c>
      <c r="D5283" s="28" t="s">
        <v>42</v>
      </c>
      <c r="E5283" s="28" t="s">
        <v>784</v>
      </c>
      <c r="F5283" s="28" t="s">
        <v>142</v>
      </c>
      <c r="G5283" s="28" t="s">
        <v>152</v>
      </c>
      <c r="H5283" s="28" t="s">
        <v>827</v>
      </c>
      <c r="I5283" s="29" t="n">
        <v>576500</v>
      </c>
      <c r="J5283" s="29" t="n">
        <v>432375</v>
      </c>
      <c r="K5283" s="28" t="n">
        <v>9.25</v>
      </c>
      <c r="L5283" s="28" t="n">
        <v>120</v>
      </c>
      <c r="M5283" s="28" t="n">
        <v>14</v>
      </c>
    </row>
    <row r="5284" customFormat="false" ht="15" hidden="false" customHeight="false" outlineLevel="0" collapsed="false">
      <c r="A5284" s="27" t="n">
        <v>46051</v>
      </c>
      <c r="B5284" s="28" t="n">
        <v>2026</v>
      </c>
      <c r="C5284" s="28" t="s">
        <v>166</v>
      </c>
      <c r="D5284" s="28" t="s">
        <v>44</v>
      </c>
      <c r="E5284" s="28" t="s">
        <v>897</v>
      </c>
      <c r="F5284" s="28" t="s">
        <v>142</v>
      </c>
      <c r="G5284" s="28" t="s">
        <v>143</v>
      </c>
      <c r="H5284" s="28" t="s">
        <v>287</v>
      </c>
      <c r="I5284" s="29" t="n">
        <v>150000</v>
      </c>
      <c r="J5284" s="29" t="n">
        <v>127500</v>
      </c>
      <c r="K5284" s="28" t="n">
        <v>9.75</v>
      </c>
      <c r="L5284" s="28" t="n">
        <v>120</v>
      </c>
      <c r="M5284" s="28" t="n">
        <v>3</v>
      </c>
    </row>
    <row r="5285" customFormat="false" ht="15" hidden="false" customHeight="false" outlineLevel="0" collapsed="false">
      <c r="A5285" s="27" t="n">
        <v>46051</v>
      </c>
      <c r="B5285" s="28" t="n">
        <v>2026</v>
      </c>
      <c r="C5285" s="28" t="s">
        <v>332</v>
      </c>
      <c r="D5285" s="28" t="s">
        <v>50</v>
      </c>
      <c r="E5285" s="28" t="s">
        <v>193</v>
      </c>
      <c r="F5285" s="28" t="s">
        <v>147</v>
      </c>
      <c r="G5285" s="28" t="s">
        <v>148</v>
      </c>
      <c r="H5285" s="28" t="s">
        <v>205</v>
      </c>
      <c r="I5285" s="29" t="n">
        <v>250000</v>
      </c>
      <c r="J5285" s="29" t="n">
        <v>125000</v>
      </c>
      <c r="K5285" s="28" t="n">
        <v>9.75</v>
      </c>
      <c r="L5285" s="28" t="n">
        <v>120</v>
      </c>
      <c r="M5285" s="28" t="n">
        <v>31</v>
      </c>
    </row>
    <row r="5286" customFormat="false" ht="15" hidden="false" customHeight="false" outlineLevel="0" collapsed="false">
      <c r="A5286" s="27" t="n">
        <v>46051</v>
      </c>
      <c r="B5286" s="28" t="n">
        <v>2026</v>
      </c>
      <c r="C5286" s="28" t="s">
        <v>169</v>
      </c>
      <c r="D5286" s="28" t="s">
        <v>43</v>
      </c>
      <c r="E5286" s="28" t="s">
        <v>916</v>
      </c>
      <c r="F5286" s="28" t="s">
        <v>142</v>
      </c>
      <c r="G5286" s="28" t="s">
        <v>148</v>
      </c>
      <c r="H5286" s="28" t="s">
        <v>372</v>
      </c>
      <c r="I5286" s="29" t="n">
        <v>40000</v>
      </c>
      <c r="J5286" s="29" t="n">
        <v>34000</v>
      </c>
      <c r="K5286" s="28" t="n">
        <v>9.5</v>
      </c>
      <c r="L5286" s="28" t="n">
        <v>60</v>
      </c>
      <c r="M5286" s="28" t="n">
        <v>1</v>
      </c>
    </row>
    <row r="5287" customFormat="false" ht="15" hidden="false" customHeight="false" outlineLevel="0" collapsed="false">
      <c r="A5287" s="27" t="n">
        <v>46052</v>
      </c>
      <c r="B5287" s="28" t="n">
        <v>2026</v>
      </c>
      <c r="C5287" s="28" t="s">
        <v>172</v>
      </c>
      <c r="D5287" s="28" t="s">
        <v>48</v>
      </c>
      <c r="E5287" s="28" t="s">
        <v>815</v>
      </c>
      <c r="F5287" s="28" t="s">
        <v>147</v>
      </c>
      <c r="G5287" s="28" t="s">
        <v>148</v>
      </c>
      <c r="H5287" s="28" t="s">
        <v>953</v>
      </c>
      <c r="I5287" s="29" t="n">
        <v>50000</v>
      </c>
      <c r="J5287" s="29" t="n">
        <v>25000</v>
      </c>
      <c r="K5287" s="28" t="n">
        <v>13.2</v>
      </c>
      <c r="L5287" s="28" t="n">
        <v>120</v>
      </c>
      <c r="M5287" s="28" t="n">
        <v>3</v>
      </c>
    </row>
    <row r="5288" customFormat="false" ht="15" hidden="false" customHeight="false" outlineLevel="0" collapsed="false">
      <c r="A5288" s="27" t="n">
        <v>46052</v>
      </c>
      <c r="B5288" s="28" t="n">
        <v>2026</v>
      </c>
      <c r="C5288" s="28" t="s">
        <v>163</v>
      </c>
      <c r="D5288" s="28" t="s">
        <v>46</v>
      </c>
      <c r="E5288" s="28" t="s">
        <v>770</v>
      </c>
      <c r="F5288" s="28" t="s">
        <v>142</v>
      </c>
      <c r="G5288" s="28" t="s">
        <v>143</v>
      </c>
      <c r="H5288" s="28" t="s">
        <v>211</v>
      </c>
      <c r="I5288" s="29" t="n">
        <v>483000</v>
      </c>
      <c r="J5288" s="29" t="n">
        <v>362250</v>
      </c>
      <c r="K5288" s="28" t="n">
        <v>9.22</v>
      </c>
      <c r="L5288" s="28" t="n">
        <v>120</v>
      </c>
      <c r="M5288" s="28" t="n">
        <v>3</v>
      </c>
    </row>
    <row r="5289" customFormat="false" ht="15" hidden="false" customHeight="false" outlineLevel="0" collapsed="false">
      <c r="A5289" s="27" t="n">
        <v>46052</v>
      </c>
      <c r="B5289" s="28" t="n">
        <v>2026</v>
      </c>
      <c r="C5289" s="28" t="s">
        <v>160</v>
      </c>
      <c r="D5289" s="28" t="s">
        <v>44</v>
      </c>
      <c r="E5289" s="28" t="s">
        <v>167</v>
      </c>
      <c r="F5289" s="28" t="s">
        <v>147</v>
      </c>
      <c r="G5289" s="28" t="s">
        <v>143</v>
      </c>
      <c r="H5289" s="28" t="s">
        <v>1184</v>
      </c>
      <c r="I5289" s="29" t="n">
        <v>50000</v>
      </c>
      <c r="J5289" s="29" t="n">
        <v>25000</v>
      </c>
      <c r="K5289" s="28" t="n">
        <v>9.75</v>
      </c>
      <c r="L5289" s="28" t="n">
        <v>120</v>
      </c>
      <c r="M5289" s="28" t="n">
        <v>7</v>
      </c>
    </row>
    <row r="5290" customFormat="false" ht="15" hidden="false" customHeight="false" outlineLevel="0" collapsed="false">
      <c r="A5290" s="27" t="n">
        <v>46052</v>
      </c>
      <c r="B5290" s="28" t="n">
        <v>2026</v>
      </c>
      <c r="C5290" s="28" t="s">
        <v>145</v>
      </c>
      <c r="D5290" s="28" t="s">
        <v>57</v>
      </c>
      <c r="E5290" s="28" t="s">
        <v>985</v>
      </c>
      <c r="F5290" s="28" t="s">
        <v>147</v>
      </c>
      <c r="G5290" s="28" t="s">
        <v>148</v>
      </c>
      <c r="H5290" s="28" t="s">
        <v>205</v>
      </c>
      <c r="I5290" s="29" t="n">
        <v>50000</v>
      </c>
      <c r="J5290" s="29" t="n">
        <v>25000</v>
      </c>
      <c r="K5290" s="28" t="n">
        <v>9.75</v>
      </c>
      <c r="L5290" s="28" t="n">
        <v>120</v>
      </c>
      <c r="M5290" s="28" t="n">
        <v>0</v>
      </c>
    </row>
    <row r="5291" customFormat="false" ht="15" hidden="false" customHeight="false" outlineLevel="0" collapsed="false">
      <c r="A5291" s="27" t="n">
        <v>46052</v>
      </c>
      <c r="B5291" s="28" t="n">
        <v>2026</v>
      </c>
      <c r="C5291" s="28" t="s">
        <v>252</v>
      </c>
      <c r="D5291" s="28" t="s">
        <v>53</v>
      </c>
      <c r="E5291" s="28" t="s">
        <v>1102</v>
      </c>
      <c r="F5291" s="28" t="s">
        <v>147</v>
      </c>
      <c r="G5291" s="28" t="s">
        <v>143</v>
      </c>
      <c r="H5291" s="28" t="s">
        <v>1072</v>
      </c>
      <c r="I5291" s="29" t="n">
        <v>250000</v>
      </c>
      <c r="J5291" s="29" t="n">
        <v>125000</v>
      </c>
      <c r="K5291" s="28" t="n">
        <v>9</v>
      </c>
      <c r="L5291" s="28" t="n">
        <v>120</v>
      </c>
      <c r="M5291" s="28" t="n">
        <v>8</v>
      </c>
    </row>
    <row r="5292" customFormat="false" ht="15" hidden="false" customHeight="false" outlineLevel="0" collapsed="false">
      <c r="A5292" s="27" t="n">
        <v>46052</v>
      </c>
      <c r="B5292" s="28" t="n">
        <v>2026</v>
      </c>
      <c r="C5292" s="28" t="s">
        <v>344</v>
      </c>
      <c r="D5292" s="28" t="s">
        <v>42</v>
      </c>
      <c r="E5292" s="28" t="s">
        <v>753</v>
      </c>
      <c r="F5292" s="28" t="s">
        <v>142</v>
      </c>
      <c r="G5292" s="28" t="s">
        <v>143</v>
      </c>
      <c r="H5292" s="28" t="s">
        <v>372</v>
      </c>
      <c r="I5292" s="29" t="n">
        <v>200000</v>
      </c>
      <c r="J5292" s="29" t="n">
        <v>150000</v>
      </c>
      <c r="K5292" s="28" t="n">
        <v>8.75</v>
      </c>
      <c r="L5292" s="28" t="n">
        <v>120</v>
      </c>
      <c r="M5292" s="28" t="n">
        <v>17</v>
      </c>
    </row>
    <row r="5293" customFormat="false" ht="15" hidden="false" customHeight="false" outlineLevel="0" collapsed="false">
      <c r="A5293" s="27" t="n">
        <v>46052</v>
      </c>
      <c r="B5293" s="28" t="n">
        <v>2026</v>
      </c>
      <c r="C5293" s="28" t="s">
        <v>203</v>
      </c>
      <c r="D5293" s="28" t="s">
        <v>45</v>
      </c>
      <c r="E5293" s="28" t="s">
        <v>912</v>
      </c>
      <c r="F5293" s="28" t="s">
        <v>142</v>
      </c>
      <c r="G5293" s="28" t="s">
        <v>148</v>
      </c>
      <c r="H5293" s="28" t="s">
        <v>269</v>
      </c>
      <c r="I5293" s="29" t="n">
        <v>150000</v>
      </c>
      <c r="J5293" s="29" t="n">
        <v>127500</v>
      </c>
      <c r="K5293" s="28" t="n">
        <v>11.75</v>
      </c>
      <c r="L5293" s="28" t="n">
        <v>120</v>
      </c>
      <c r="M5293" s="28" t="n">
        <v>1</v>
      </c>
    </row>
    <row r="5294" customFormat="false" ht="15" hidden="false" customHeight="false" outlineLevel="0" collapsed="false">
      <c r="A5294" s="27" t="n">
        <v>46052</v>
      </c>
      <c r="B5294" s="28" t="n">
        <v>2026</v>
      </c>
      <c r="C5294" s="28" t="s">
        <v>292</v>
      </c>
      <c r="D5294" s="28" t="s">
        <v>45</v>
      </c>
      <c r="E5294" s="28" t="s">
        <v>835</v>
      </c>
      <c r="F5294" s="28" t="s">
        <v>194</v>
      </c>
      <c r="G5294" s="28" t="s">
        <v>148</v>
      </c>
      <c r="H5294" s="28" t="s">
        <v>351</v>
      </c>
      <c r="I5294" s="29" t="n">
        <v>150000</v>
      </c>
      <c r="J5294" s="29" t="n">
        <v>127500</v>
      </c>
      <c r="K5294" s="28" t="n">
        <v>8.09</v>
      </c>
      <c r="L5294" s="28" t="n">
        <v>120</v>
      </c>
      <c r="M5294" s="28" t="n">
        <v>2</v>
      </c>
    </row>
    <row r="5295" customFormat="false" ht="15" hidden="false" customHeight="false" outlineLevel="0" collapsed="false">
      <c r="A5295" s="27" t="n">
        <v>46052</v>
      </c>
      <c r="B5295" s="28" t="n">
        <v>2026</v>
      </c>
      <c r="C5295" s="28" t="s">
        <v>169</v>
      </c>
      <c r="D5295" s="28" t="s">
        <v>42</v>
      </c>
      <c r="E5295" s="28" t="s">
        <v>753</v>
      </c>
      <c r="F5295" s="28" t="s">
        <v>142</v>
      </c>
      <c r="G5295" s="28" t="s">
        <v>148</v>
      </c>
      <c r="H5295" s="28" t="s">
        <v>579</v>
      </c>
      <c r="I5295" s="29" t="n">
        <v>150000</v>
      </c>
      <c r="J5295" s="29" t="n">
        <v>127500</v>
      </c>
      <c r="K5295" s="28" t="n">
        <v>9.75</v>
      </c>
      <c r="L5295" s="28" t="n">
        <v>120</v>
      </c>
      <c r="M5295" s="28" t="n">
        <v>7</v>
      </c>
    </row>
    <row r="5296" customFormat="false" ht="15" hidden="false" customHeight="false" outlineLevel="0" collapsed="false">
      <c r="A5296" s="27" t="n">
        <v>46052</v>
      </c>
      <c r="B5296" s="28" t="n">
        <v>2026</v>
      </c>
      <c r="C5296" s="28" t="s">
        <v>252</v>
      </c>
      <c r="D5296" s="28" t="s">
        <v>53</v>
      </c>
      <c r="E5296" s="28" t="s">
        <v>1102</v>
      </c>
      <c r="F5296" s="28" t="s">
        <v>142</v>
      </c>
      <c r="G5296" s="28" t="s">
        <v>143</v>
      </c>
      <c r="H5296" s="28" t="s">
        <v>1072</v>
      </c>
      <c r="I5296" s="29" t="n">
        <v>2985000</v>
      </c>
      <c r="J5296" s="29" t="n">
        <v>2238750</v>
      </c>
      <c r="K5296" s="28" t="n">
        <v>9</v>
      </c>
      <c r="L5296" s="28" t="n">
        <v>120</v>
      </c>
      <c r="M5296" s="28" t="n">
        <v>8</v>
      </c>
    </row>
    <row r="5297" customFormat="false" ht="15" hidden="false" customHeight="false" outlineLevel="0" collapsed="false">
      <c r="A5297" s="27" t="n">
        <v>46052</v>
      </c>
      <c r="B5297" s="28" t="n">
        <v>2026</v>
      </c>
      <c r="C5297" s="28" t="s">
        <v>163</v>
      </c>
      <c r="D5297" s="28" t="s">
        <v>46</v>
      </c>
      <c r="E5297" s="28" t="s">
        <v>770</v>
      </c>
      <c r="F5297" s="28" t="s">
        <v>147</v>
      </c>
      <c r="G5297" s="28" t="s">
        <v>143</v>
      </c>
      <c r="H5297" s="28" t="s">
        <v>211</v>
      </c>
      <c r="I5297" s="29" t="n">
        <v>50000</v>
      </c>
      <c r="J5297" s="29" t="n">
        <v>25000</v>
      </c>
      <c r="K5297" s="28" t="n">
        <v>9.25</v>
      </c>
      <c r="L5297" s="28" t="n">
        <v>120</v>
      </c>
      <c r="M5297" s="28" t="n">
        <v>3</v>
      </c>
    </row>
    <row r="5298" customFormat="false" ht="15" hidden="false" customHeight="false" outlineLevel="0" collapsed="false">
      <c r="A5298" s="27" t="n">
        <v>46057</v>
      </c>
      <c r="B5298" s="28" t="n">
        <v>2026</v>
      </c>
      <c r="C5298" s="28" t="s">
        <v>172</v>
      </c>
      <c r="D5298" s="28" t="s">
        <v>48</v>
      </c>
      <c r="E5298" s="28" t="s">
        <v>815</v>
      </c>
      <c r="F5298" s="28" t="s">
        <v>142</v>
      </c>
      <c r="G5298" s="28" t="s">
        <v>148</v>
      </c>
      <c r="H5298" s="28" t="s">
        <v>953</v>
      </c>
      <c r="I5298" s="29" t="n">
        <v>150000</v>
      </c>
      <c r="J5298" s="29" t="n">
        <v>127500</v>
      </c>
      <c r="K5298" s="28" t="n">
        <v>9.75</v>
      </c>
      <c r="L5298" s="28" t="n">
        <v>120</v>
      </c>
      <c r="M5298" s="28" t="n">
        <v>3</v>
      </c>
    </row>
    <row r="5299" customFormat="false" ht="15" hidden="false" customHeight="false" outlineLevel="0" collapsed="false">
      <c r="A5299" s="27" t="n">
        <v>46057</v>
      </c>
      <c r="B5299" s="28" t="n">
        <v>2026</v>
      </c>
      <c r="C5299" s="28" t="s">
        <v>640</v>
      </c>
      <c r="D5299" s="28" t="s">
        <v>54</v>
      </c>
      <c r="E5299" s="28" t="s">
        <v>993</v>
      </c>
      <c r="F5299" s="28" t="s">
        <v>142</v>
      </c>
      <c r="G5299" s="28" t="s">
        <v>148</v>
      </c>
      <c r="H5299" s="28" t="s">
        <v>501</v>
      </c>
      <c r="I5299" s="29" t="n">
        <v>350000</v>
      </c>
      <c r="J5299" s="29" t="n">
        <v>262500</v>
      </c>
      <c r="K5299" s="28" t="n">
        <v>9.5</v>
      </c>
      <c r="L5299" s="28" t="n">
        <v>120</v>
      </c>
      <c r="M5299" s="28" t="n">
        <v>2</v>
      </c>
    </row>
    <row r="5300" customFormat="false" ht="15" hidden="false" customHeight="false" outlineLevel="0" collapsed="false">
      <c r="A5300" s="27" t="n">
        <v>46057</v>
      </c>
      <c r="B5300" s="28" t="n">
        <v>2026</v>
      </c>
      <c r="C5300" s="28" t="s">
        <v>175</v>
      </c>
      <c r="D5300" s="28" t="s">
        <v>46</v>
      </c>
      <c r="E5300" s="28" t="s">
        <v>741</v>
      </c>
      <c r="F5300" s="28" t="s">
        <v>147</v>
      </c>
      <c r="G5300" s="28" t="s">
        <v>148</v>
      </c>
      <c r="H5300" s="28" t="s">
        <v>248</v>
      </c>
      <c r="I5300" s="29" t="n">
        <v>200000</v>
      </c>
      <c r="J5300" s="29" t="n">
        <v>100000</v>
      </c>
      <c r="K5300" s="28" t="n">
        <v>8.75</v>
      </c>
      <c r="L5300" s="28" t="n">
        <v>120</v>
      </c>
      <c r="M5300" s="28" t="n">
        <v>25</v>
      </c>
    </row>
    <row r="5301" customFormat="false" ht="15" hidden="false" customHeight="false" outlineLevel="0" collapsed="false">
      <c r="A5301" s="27" t="n">
        <v>46057</v>
      </c>
      <c r="B5301" s="28" t="n">
        <v>2026</v>
      </c>
      <c r="C5301" s="28" t="s">
        <v>166</v>
      </c>
      <c r="D5301" s="28" t="s">
        <v>51</v>
      </c>
      <c r="E5301" s="28" t="s">
        <v>800</v>
      </c>
      <c r="F5301" s="28" t="s">
        <v>147</v>
      </c>
      <c r="G5301" s="28" t="s">
        <v>143</v>
      </c>
      <c r="H5301" s="28" t="s">
        <v>211</v>
      </c>
      <c r="I5301" s="29" t="n">
        <v>50000</v>
      </c>
      <c r="J5301" s="29" t="n">
        <v>25000</v>
      </c>
      <c r="K5301" s="28" t="n">
        <v>9.25</v>
      </c>
      <c r="L5301" s="28" t="n">
        <v>120</v>
      </c>
      <c r="M5301" s="28" t="n">
        <v>5</v>
      </c>
    </row>
    <row r="5302" customFormat="false" ht="15" hidden="false" customHeight="false" outlineLevel="0" collapsed="false">
      <c r="A5302" s="27" t="n">
        <v>46057</v>
      </c>
      <c r="B5302" s="28" t="n">
        <v>2026</v>
      </c>
      <c r="C5302" s="28" t="s">
        <v>163</v>
      </c>
      <c r="D5302" s="28" t="s">
        <v>42</v>
      </c>
      <c r="E5302" s="28" t="s">
        <v>753</v>
      </c>
      <c r="F5302" s="28" t="s">
        <v>142</v>
      </c>
      <c r="G5302" s="28" t="s">
        <v>148</v>
      </c>
      <c r="H5302" s="28" t="s">
        <v>771</v>
      </c>
      <c r="I5302" s="29" t="n">
        <v>100000</v>
      </c>
      <c r="J5302" s="29" t="n">
        <v>85000</v>
      </c>
      <c r="K5302" s="28" t="n">
        <v>9.5</v>
      </c>
      <c r="L5302" s="28" t="n">
        <v>120</v>
      </c>
      <c r="M5302" s="28" t="n">
        <v>8</v>
      </c>
    </row>
    <row r="5303" customFormat="false" ht="15" hidden="false" customHeight="false" outlineLevel="0" collapsed="false">
      <c r="A5303" s="27" t="n">
        <v>46057</v>
      </c>
      <c r="B5303" s="28" t="n">
        <v>2026</v>
      </c>
      <c r="C5303" s="28" t="s">
        <v>243</v>
      </c>
      <c r="D5303" s="28" t="s">
        <v>44</v>
      </c>
      <c r="E5303" s="28" t="s">
        <v>783</v>
      </c>
      <c r="F5303" s="28" t="s">
        <v>142</v>
      </c>
      <c r="G5303" s="28" t="s">
        <v>148</v>
      </c>
      <c r="H5303" s="28" t="s">
        <v>771</v>
      </c>
      <c r="I5303" s="29" t="n">
        <v>350000</v>
      </c>
      <c r="J5303" s="29" t="n">
        <v>262500</v>
      </c>
      <c r="K5303" s="28" t="n">
        <v>9.5</v>
      </c>
      <c r="L5303" s="28" t="n">
        <v>120</v>
      </c>
      <c r="M5303" s="28" t="n">
        <v>52</v>
      </c>
    </row>
    <row r="5304" customFormat="false" ht="15" hidden="false" customHeight="false" outlineLevel="0" collapsed="false">
      <c r="A5304" s="27" t="n">
        <v>46057</v>
      </c>
      <c r="B5304" s="28" t="n">
        <v>2026</v>
      </c>
      <c r="C5304" s="28" t="s">
        <v>166</v>
      </c>
      <c r="D5304" s="28" t="s">
        <v>51</v>
      </c>
      <c r="E5304" s="28" t="s">
        <v>800</v>
      </c>
      <c r="F5304" s="28" t="s">
        <v>142</v>
      </c>
      <c r="G5304" s="28" t="s">
        <v>143</v>
      </c>
      <c r="H5304" s="28" t="s">
        <v>211</v>
      </c>
      <c r="I5304" s="29" t="n">
        <v>333000</v>
      </c>
      <c r="J5304" s="29" t="n">
        <v>249750</v>
      </c>
      <c r="K5304" s="28" t="n">
        <v>9.25</v>
      </c>
      <c r="L5304" s="28" t="n">
        <v>120</v>
      </c>
      <c r="M5304" s="28" t="n">
        <v>5</v>
      </c>
    </row>
    <row r="5305" customFormat="false" ht="15" hidden="false" customHeight="false" outlineLevel="0" collapsed="false">
      <c r="A5305" s="27" t="n">
        <v>46058</v>
      </c>
      <c r="B5305" s="28" t="n">
        <v>2026</v>
      </c>
      <c r="C5305" s="28" t="s">
        <v>196</v>
      </c>
      <c r="D5305" s="28" t="s">
        <v>48</v>
      </c>
      <c r="E5305" s="28" t="s">
        <v>304</v>
      </c>
      <c r="F5305" s="28" t="s">
        <v>147</v>
      </c>
      <c r="G5305" s="28" t="s">
        <v>441</v>
      </c>
      <c r="H5305" s="28" t="s">
        <v>159</v>
      </c>
      <c r="I5305" s="29" t="n">
        <v>100000</v>
      </c>
      <c r="J5305" s="29" t="n">
        <v>50000</v>
      </c>
      <c r="K5305" s="28" t="n">
        <v>9.75</v>
      </c>
      <c r="L5305" s="28" t="n">
        <v>84</v>
      </c>
      <c r="M5305" s="28" t="n">
        <v>0</v>
      </c>
    </row>
    <row r="5306" customFormat="false" ht="15" hidden="false" customHeight="false" outlineLevel="0" collapsed="false">
      <c r="A5306" s="27" t="n">
        <v>46058</v>
      </c>
      <c r="B5306" s="28" t="n">
        <v>2026</v>
      </c>
      <c r="C5306" s="28" t="s">
        <v>160</v>
      </c>
      <c r="D5306" s="28" t="s">
        <v>50</v>
      </c>
      <c r="E5306" s="28" t="s">
        <v>724</v>
      </c>
      <c r="F5306" s="28" t="s">
        <v>147</v>
      </c>
      <c r="G5306" s="28" t="s">
        <v>148</v>
      </c>
      <c r="H5306" s="28" t="s">
        <v>281</v>
      </c>
      <c r="I5306" s="29" t="n">
        <v>101000</v>
      </c>
      <c r="J5306" s="29" t="n">
        <v>50500</v>
      </c>
      <c r="K5306" s="28" t="n">
        <v>8.75</v>
      </c>
      <c r="L5306" s="28" t="n">
        <v>24</v>
      </c>
      <c r="M5306" s="28" t="n">
        <v>28</v>
      </c>
    </row>
    <row r="5307" customFormat="false" ht="15" hidden="false" customHeight="false" outlineLevel="0" collapsed="false">
      <c r="A5307" s="27" t="n">
        <v>46058</v>
      </c>
      <c r="B5307" s="28" t="n">
        <v>2026</v>
      </c>
      <c r="C5307" s="28" t="s">
        <v>172</v>
      </c>
      <c r="D5307" s="28" t="s">
        <v>48</v>
      </c>
      <c r="E5307" s="28" t="s">
        <v>765</v>
      </c>
      <c r="F5307" s="28" t="s">
        <v>147</v>
      </c>
      <c r="G5307" s="28" t="s">
        <v>148</v>
      </c>
      <c r="H5307" s="28" t="s">
        <v>159</v>
      </c>
      <c r="I5307" s="29" t="n">
        <v>110400</v>
      </c>
      <c r="J5307" s="29" t="n">
        <v>55200</v>
      </c>
      <c r="K5307" s="28" t="n">
        <v>9.25</v>
      </c>
      <c r="L5307" s="28" t="n">
        <v>60</v>
      </c>
      <c r="M5307" s="28" t="n">
        <v>16</v>
      </c>
    </row>
    <row r="5308" customFormat="false" ht="15" hidden="false" customHeight="false" outlineLevel="0" collapsed="false">
      <c r="A5308" s="27" t="n">
        <v>46058</v>
      </c>
      <c r="B5308" s="28" t="n">
        <v>2026</v>
      </c>
      <c r="C5308" s="28" t="s">
        <v>172</v>
      </c>
      <c r="D5308" s="28" t="s">
        <v>48</v>
      </c>
      <c r="E5308" s="28" t="s">
        <v>765</v>
      </c>
      <c r="F5308" s="28" t="s">
        <v>147</v>
      </c>
      <c r="G5308" s="28" t="s">
        <v>148</v>
      </c>
      <c r="H5308" s="28" t="s">
        <v>159</v>
      </c>
      <c r="I5308" s="29" t="n">
        <v>250000</v>
      </c>
      <c r="J5308" s="29" t="n">
        <v>125000</v>
      </c>
      <c r="K5308" s="28" t="n">
        <v>9.25</v>
      </c>
      <c r="L5308" s="28" t="n">
        <v>120</v>
      </c>
      <c r="M5308" s="28" t="n">
        <v>16</v>
      </c>
    </row>
    <row r="5309" customFormat="false" ht="15" hidden="false" customHeight="false" outlineLevel="0" collapsed="false">
      <c r="A5309" s="27" t="n">
        <v>46059</v>
      </c>
      <c r="B5309" s="28" t="n">
        <v>2026</v>
      </c>
      <c r="C5309" s="28" t="s">
        <v>198</v>
      </c>
      <c r="D5309" s="28" t="s">
        <v>48</v>
      </c>
      <c r="E5309" s="28" t="s">
        <v>362</v>
      </c>
      <c r="F5309" s="28" t="s">
        <v>142</v>
      </c>
      <c r="G5309" s="28" t="s">
        <v>441</v>
      </c>
      <c r="H5309" s="28" t="s">
        <v>227</v>
      </c>
      <c r="I5309" s="29" t="n">
        <v>225000</v>
      </c>
      <c r="J5309" s="29" t="n">
        <v>168750</v>
      </c>
      <c r="K5309" s="28" t="n">
        <v>9.25</v>
      </c>
      <c r="L5309" s="28" t="n">
        <v>120</v>
      </c>
      <c r="M5309" s="28" t="n">
        <v>2</v>
      </c>
    </row>
    <row r="5310" customFormat="false" ht="15" hidden="false" customHeight="false" outlineLevel="0" collapsed="false">
      <c r="A5310" s="27" t="n">
        <v>46059</v>
      </c>
      <c r="B5310" s="28" t="n">
        <v>2026</v>
      </c>
      <c r="C5310" s="28" t="s">
        <v>206</v>
      </c>
      <c r="D5310" s="28" t="s">
        <v>45</v>
      </c>
      <c r="E5310" s="28" t="s">
        <v>874</v>
      </c>
      <c r="F5310" s="28" t="s">
        <v>147</v>
      </c>
      <c r="G5310" s="28" t="s">
        <v>148</v>
      </c>
      <c r="H5310" s="28" t="s">
        <v>159</v>
      </c>
      <c r="I5310" s="29" t="n">
        <v>140000</v>
      </c>
      <c r="J5310" s="29" t="n">
        <v>70000</v>
      </c>
      <c r="K5310" s="28" t="n">
        <v>9.75</v>
      </c>
      <c r="L5310" s="28" t="n">
        <v>120</v>
      </c>
      <c r="M5310" s="28" t="n">
        <v>9</v>
      </c>
    </row>
    <row r="5311" customFormat="false" ht="15" hidden="false" customHeight="false" outlineLevel="0" collapsed="false">
      <c r="A5311" s="27" t="n">
        <v>46059</v>
      </c>
      <c r="B5311" s="28" t="n">
        <v>2026</v>
      </c>
      <c r="C5311" s="28" t="s">
        <v>292</v>
      </c>
      <c r="D5311" s="28" t="s">
        <v>48</v>
      </c>
      <c r="E5311" s="28" t="s">
        <v>736</v>
      </c>
      <c r="F5311" s="28" t="s">
        <v>142</v>
      </c>
      <c r="G5311" s="28" t="s">
        <v>148</v>
      </c>
      <c r="H5311" s="28" t="s">
        <v>953</v>
      </c>
      <c r="I5311" s="29" t="n">
        <v>750000</v>
      </c>
      <c r="J5311" s="29" t="n">
        <v>562500</v>
      </c>
      <c r="K5311" s="28" t="n">
        <v>9.75</v>
      </c>
      <c r="L5311" s="28" t="n">
        <v>120</v>
      </c>
      <c r="M5311" s="28" t="n">
        <v>42</v>
      </c>
    </row>
    <row r="5312" customFormat="false" ht="15" hidden="false" customHeight="false" outlineLevel="0" collapsed="false">
      <c r="A5312" s="27" t="n">
        <v>46061</v>
      </c>
      <c r="B5312" s="28" t="n">
        <v>2026</v>
      </c>
      <c r="C5312" s="28" t="s">
        <v>172</v>
      </c>
      <c r="D5312" s="28" t="s">
        <v>43</v>
      </c>
      <c r="E5312" s="28" t="s">
        <v>967</v>
      </c>
      <c r="F5312" s="28" t="s">
        <v>142</v>
      </c>
      <c r="G5312" s="28" t="s">
        <v>148</v>
      </c>
      <c r="H5312" s="28" t="s">
        <v>269</v>
      </c>
      <c r="I5312" s="29" t="n">
        <v>100000</v>
      </c>
      <c r="J5312" s="29" t="n">
        <v>85000</v>
      </c>
      <c r="K5312" s="28" t="n">
        <v>9.5</v>
      </c>
      <c r="L5312" s="28" t="n">
        <v>120</v>
      </c>
      <c r="M5312" s="28" t="n">
        <v>1</v>
      </c>
    </row>
    <row r="5313" customFormat="false" ht="15" hidden="false" customHeight="false" outlineLevel="0" collapsed="false">
      <c r="A5313" s="27" t="n">
        <v>46062</v>
      </c>
      <c r="B5313" s="28" t="n">
        <v>2026</v>
      </c>
      <c r="C5313" s="28" t="s">
        <v>169</v>
      </c>
      <c r="D5313" s="28" t="s">
        <v>47</v>
      </c>
      <c r="E5313" s="28" t="s">
        <v>1185</v>
      </c>
      <c r="F5313" s="28" t="s">
        <v>142</v>
      </c>
      <c r="G5313" s="28" t="s">
        <v>143</v>
      </c>
      <c r="H5313" s="28" t="s">
        <v>314</v>
      </c>
      <c r="I5313" s="29" t="n">
        <v>2004000</v>
      </c>
      <c r="J5313" s="29" t="n">
        <v>1503000</v>
      </c>
      <c r="K5313" s="28" t="n">
        <v>9.25</v>
      </c>
      <c r="L5313" s="28" t="n">
        <v>312</v>
      </c>
      <c r="M5313" s="28" t="n">
        <v>8</v>
      </c>
    </row>
    <row r="5314" customFormat="false" ht="15" hidden="false" customHeight="false" outlineLevel="0" collapsed="false">
      <c r="A5314" s="27" t="n">
        <v>46064</v>
      </c>
      <c r="B5314" s="28" t="n">
        <v>2026</v>
      </c>
      <c r="C5314" s="28" t="s">
        <v>312</v>
      </c>
      <c r="D5314" s="28" t="s">
        <v>48</v>
      </c>
      <c r="E5314" s="28" t="s">
        <v>704</v>
      </c>
      <c r="F5314" s="28" t="s">
        <v>142</v>
      </c>
      <c r="G5314" s="28" t="s">
        <v>148</v>
      </c>
      <c r="H5314" s="28" t="s">
        <v>269</v>
      </c>
      <c r="I5314" s="29" t="n">
        <v>150000</v>
      </c>
      <c r="J5314" s="29" t="n">
        <v>127500</v>
      </c>
      <c r="K5314" s="28" t="n">
        <v>9.5</v>
      </c>
      <c r="L5314" s="28" t="n">
        <v>120</v>
      </c>
      <c r="M5314" s="28" t="n">
        <v>3</v>
      </c>
    </row>
    <row r="5315" customFormat="false" ht="15" hidden="false" customHeight="false" outlineLevel="0" collapsed="false">
      <c r="A5315" s="27" t="n">
        <v>46064</v>
      </c>
      <c r="B5315" s="28" t="n">
        <v>2026</v>
      </c>
      <c r="C5315" s="28" t="s">
        <v>196</v>
      </c>
      <c r="D5315" s="28" t="s">
        <v>48</v>
      </c>
      <c r="E5315" s="28" t="s">
        <v>210</v>
      </c>
      <c r="F5315" s="28" t="s">
        <v>142</v>
      </c>
      <c r="G5315" s="28" t="s">
        <v>148</v>
      </c>
      <c r="H5315" s="28" t="s">
        <v>179</v>
      </c>
      <c r="I5315" s="29" t="n">
        <v>250000</v>
      </c>
      <c r="J5315" s="29" t="n">
        <v>187500</v>
      </c>
      <c r="K5315" s="28" t="n">
        <v>9.5</v>
      </c>
      <c r="L5315" s="28" t="n">
        <v>48</v>
      </c>
      <c r="M5315" s="28" t="n">
        <v>4</v>
      </c>
    </row>
    <row r="5316" customFormat="false" ht="15" hidden="false" customHeight="false" outlineLevel="0" collapsed="false">
      <c r="A5316" s="27" t="n">
        <v>46064</v>
      </c>
      <c r="B5316" s="28" t="n">
        <v>2026</v>
      </c>
      <c r="C5316" s="28" t="s">
        <v>169</v>
      </c>
      <c r="D5316" s="28" t="s">
        <v>48</v>
      </c>
      <c r="E5316" s="28" t="s">
        <v>362</v>
      </c>
      <c r="F5316" s="28" t="s">
        <v>147</v>
      </c>
      <c r="G5316" s="28" t="s">
        <v>148</v>
      </c>
      <c r="H5316" s="28" t="s">
        <v>205</v>
      </c>
      <c r="I5316" s="29" t="n">
        <v>180000</v>
      </c>
      <c r="J5316" s="29" t="n">
        <v>90000</v>
      </c>
      <c r="K5316" s="28" t="n">
        <v>9.75</v>
      </c>
      <c r="L5316" s="28" t="n">
        <v>120</v>
      </c>
      <c r="M5316" s="28" t="n">
        <v>42</v>
      </c>
    </row>
    <row r="5317" customFormat="false" ht="15" hidden="false" customHeight="false" outlineLevel="0" collapsed="false">
      <c r="A5317" s="27" t="n">
        <v>46064</v>
      </c>
      <c r="B5317" s="28" t="n">
        <v>2026</v>
      </c>
      <c r="C5317" s="28" t="s">
        <v>160</v>
      </c>
      <c r="D5317" s="28" t="s">
        <v>44</v>
      </c>
      <c r="E5317" s="28" t="s">
        <v>923</v>
      </c>
      <c r="F5317" s="28" t="s">
        <v>147</v>
      </c>
      <c r="G5317" s="28" t="s">
        <v>148</v>
      </c>
      <c r="H5317" s="28" t="s">
        <v>208</v>
      </c>
      <c r="I5317" s="29" t="n">
        <v>400000</v>
      </c>
      <c r="J5317" s="29" t="n">
        <v>200000</v>
      </c>
      <c r="K5317" s="28" t="n">
        <v>9</v>
      </c>
      <c r="L5317" s="28" t="n">
        <v>120</v>
      </c>
      <c r="M5317" s="28" t="n">
        <v>15</v>
      </c>
    </row>
    <row r="5318" customFormat="false" ht="15" hidden="false" customHeight="false" outlineLevel="0" collapsed="false">
      <c r="A5318" s="27" t="n">
        <v>46065</v>
      </c>
      <c r="B5318" s="28" t="n">
        <v>2026</v>
      </c>
      <c r="C5318" s="28" t="s">
        <v>172</v>
      </c>
      <c r="D5318" s="28" t="s">
        <v>45</v>
      </c>
      <c r="E5318" s="28" t="s">
        <v>708</v>
      </c>
      <c r="F5318" s="28" t="s">
        <v>147</v>
      </c>
      <c r="G5318" s="28" t="s">
        <v>148</v>
      </c>
      <c r="H5318" s="28" t="s">
        <v>159</v>
      </c>
      <c r="I5318" s="29" t="n">
        <v>100000</v>
      </c>
      <c r="J5318" s="29" t="n">
        <v>50000</v>
      </c>
      <c r="K5318" s="28" t="n">
        <v>9.75</v>
      </c>
      <c r="L5318" s="28" t="n">
        <v>120</v>
      </c>
      <c r="M5318" s="28" t="n">
        <v>16</v>
      </c>
    </row>
    <row r="5319" customFormat="false" ht="15" hidden="false" customHeight="false" outlineLevel="0" collapsed="false">
      <c r="A5319" s="27" t="n">
        <v>46065</v>
      </c>
      <c r="B5319" s="28" t="n">
        <v>2026</v>
      </c>
      <c r="C5319" s="28" t="s">
        <v>423</v>
      </c>
      <c r="D5319" s="28" t="s">
        <v>44</v>
      </c>
      <c r="E5319" s="28" t="s">
        <v>167</v>
      </c>
      <c r="F5319" s="28" t="s">
        <v>142</v>
      </c>
      <c r="G5319" s="28" t="s">
        <v>148</v>
      </c>
      <c r="H5319" s="28" t="s">
        <v>771</v>
      </c>
      <c r="I5319" s="29" t="n">
        <v>250000</v>
      </c>
      <c r="J5319" s="29" t="n">
        <v>212500</v>
      </c>
      <c r="K5319" s="28" t="n">
        <v>9.5</v>
      </c>
      <c r="L5319" s="28" t="n">
        <v>120</v>
      </c>
      <c r="M5319" s="28" t="n">
        <v>10</v>
      </c>
    </row>
    <row r="5320" customFormat="false" ht="15" hidden="false" customHeight="false" outlineLevel="0" collapsed="false">
      <c r="A5320" s="27" t="n">
        <v>46065</v>
      </c>
      <c r="B5320" s="28" t="n">
        <v>2026</v>
      </c>
      <c r="C5320" s="28" t="s">
        <v>160</v>
      </c>
      <c r="D5320" s="28" t="s">
        <v>44</v>
      </c>
      <c r="E5320" s="28" t="s">
        <v>923</v>
      </c>
      <c r="F5320" s="28" t="s">
        <v>142</v>
      </c>
      <c r="G5320" s="28" t="s">
        <v>148</v>
      </c>
      <c r="H5320" s="28" t="s">
        <v>208</v>
      </c>
      <c r="I5320" s="29" t="n">
        <v>555500</v>
      </c>
      <c r="J5320" s="29" t="n">
        <v>416625</v>
      </c>
      <c r="K5320" s="28" t="n">
        <v>9.5</v>
      </c>
      <c r="L5320" s="28" t="n">
        <v>120</v>
      </c>
      <c r="M5320" s="28" t="n">
        <v>15</v>
      </c>
    </row>
    <row r="5321" customFormat="false" ht="15" hidden="false" customHeight="false" outlineLevel="0" collapsed="false">
      <c r="A5321" s="27" t="n">
        <v>46065</v>
      </c>
      <c r="B5321" s="28" t="n">
        <v>2026</v>
      </c>
      <c r="C5321" s="28" t="s">
        <v>384</v>
      </c>
      <c r="D5321" s="28" t="s">
        <v>42</v>
      </c>
      <c r="E5321" s="28" t="s">
        <v>717</v>
      </c>
      <c r="F5321" s="28" t="s">
        <v>147</v>
      </c>
      <c r="G5321" s="28" t="s">
        <v>143</v>
      </c>
      <c r="H5321" s="28" t="s">
        <v>159</v>
      </c>
      <c r="I5321" s="29" t="n">
        <v>150000</v>
      </c>
      <c r="J5321" s="29" t="n">
        <v>75000</v>
      </c>
      <c r="K5321" s="28" t="n">
        <v>8.5</v>
      </c>
      <c r="L5321" s="28" t="n">
        <v>120</v>
      </c>
      <c r="M5321" s="28" t="n">
        <v>25</v>
      </c>
    </row>
    <row r="5322" customFormat="false" ht="15" hidden="false" customHeight="false" outlineLevel="0" collapsed="false">
      <c r="A5322" s="27" t="n">
        <v>46065</v>
      </c>
      <c r="B5322" s="28" t="n">
        <v>2026</v>
      </c>
      <c r="C5322" s="28" t="s">
        <v>169</v>
      </c>
      <c r="D5322" s="28" t="s">
        <v>56</v>
      </c>
      <c r="E5322" s="28" t="s">
        <v>772</v>
      </c>
      <c r="F5322" s="28" t="s">
        <v>142</v>
      </c>
      <c r="G5322" s="28" t="s">
        <v>143</v>
      </c>
      <c r="H5322" s="28" t="s">
        <v>1134</v>
      </c>
      <c r="I5322" s="29" t="n">
        <v>472700</v>
      </c>
      <c r="J5322" s="29" t="n">
        <v>354525</v>
      </c>
      <c r="K5322" s="28" t="n">
        <v>9.5</v>
      </c>
      <c r="L5322" s="28" t="n">
        <v>123</v>
      </c>
      <c r="M5322" s="28" t="n">
        <v>2</v>
      </c>
    </row>
    <row r="5323" customFormat="false" ht="15" hidden="false" customHeight="false" outlineLevel="0" collapsed="false">
      <c r="A5323" s="27" t="n">
        <v>46066</v>
      </c>
      <c r="B5323" s="28" t="n">
        <v>2026</v>
      </c>
      <c r="C5323" s="28" t="s">
        <v>198</v>
      </c>
      <c r="D5323" s="28" t="s">
        <v>46</v>
      </c>
      <c r="E5323" s="28" t="s">
        <v>727</v>
      </c>
      <c r="F5323" s="28" t="s">
        <v>142</v>
      </c>
      <c r="G5323" s="28" t="s">
        <v>148</v>
      </c>
      <c r="H5323" s="28" t="s">
        <v>269</v>
      </c>
      <c r="I5323" s="29" t="n">
        <v>150000</v>
      </c>
      <c r="J5323" s="29" t="n">
        <v>127500</v>
      </c>
      <c r="K5323" s="28" t="n">
        <v>9.5</v>
      </c>
      <c r="L5323" s="28" t="n">
        <v>120</v>
      </c>
      <c r="M5323" s="28" t="n">
        <v>15</v>
      </c>
    </row>
    <row r="5324" customFormat="false" ht="15" hidden="false" customHeight="false" outlineLevel="0" collapsed="false">
      <c r="A5324" s="27" t="n">
        <v>46066</v>
      </c>
      <c r="B5324" s="28" t="n">
        <v>2026</v>
      </c>
      <c r="C5324" s="28" t="s">
        <v>172</v>
      </c>
      <c r="D5324" s="28" t="s">
        <v>42</v>
      </c>
      <c r="E5324" s="28" t="s">
        <v>717</v>
      </c>
      <c r="F5324" s="28" t="s">
        <v>147</v>
      </c>
      <c r="G5324" s="28" t="s">
        <v>152</v>
      </c>
      <c r="H5324" s="28" t="s">
        <v>144</v>
      </c>
      <c r="I5324" s="29" t="n">
        <v>500000</v>
      </c>
      <c r="J5324" s="29" t="n">
        <v>250000</v>
      </c>
      <c r="K5324" s="28" t="n">
        <v>8.65</v>
      </c>
      <c r="L5324" s="28" t="n">
        <v>120</v>
      </c>
      <c r="M5324" s="28" t="n">
        <v>5</v>
      </c>
    </row>
    <row r="5325" customFormat="false" ht="15" hidden="false" customHeight="false" outlineLevel="0" collapsed="false">
      <c r="A5325" s="27" t="n">
        <v>46066</v>
      </c>
      <c r="B5325" s="28" t="n">
        <v>2026</v>
      </c>
      <c r="C5325" s="28" t="s">
        <v>201</v>
      </c>
      <c r="D5325" s="28" t="s">
        <v>47</v>
      </c>
      <c r="E5325" s="28" t="s">
        <v>901</v>
      </c>
      <c r="F5325" s="28" t="s">
        <v>142</v>
      </c>
      <c r="G5325" s="28" t="s">
        <v>148</v>
      </c>
      <c r="H5325" s="28" t="s">
        <v>771</v>
      </c>
      <c r="I5325" s="29" t="n">
        <v>157500</v>
      </c>
      <c r="J5325" s="29" t="n">
        <v>133875</v>
      </c>
      <c r="K5325" s="28" t="n">
        <v>9.75</v>
      </c>
      <c r="L5325" s="28" t="n">
        <v>120</v>
      </c>
      <c r="M5325" s="28" t="n">
        <v>5</v>
      </c>
    </row>
    <row r="5326" customFormat="false" ht="15" hidden="false" customHeight="false" outlineLevel="0" collapsed="false">
      <c r="A5326" s="27" t="n">
        <v>46070</v>
      </c>
      <c r="B5326" s="28" t="n">
        <v>2026</v>
      </c>
      <c r="C5326" s="28" t="s">
        <v>303</v>
      </c>
      <c r="D5326" s="28" t="s">
        <v>42</v>
      </c>
      <c r="E5326" s="28" t="s">
        <v>753</v>
      </c>
      <c r="F5326" s="28" t="s">
        <v>142</v>
      </c>
      <c r="G5326" s="28" t="s">
        <v>148</v>
      </c>
      <c r="H5326" s="28" t="s">
        <v>953</v>
      </c>
      <c r="I5326" s="29" t="n">
        <v>100000</v>
      </c>
      <c r="J5326" s="29" t="n">
        <v>85000</v>
      </c>
      <c r="K5326" s="28" t="n">
        <v>9.75</v>
      </c>
      <c r="L5326" s="28" t="n">
        <v>120</v>
      </c>
      <c r="M5326" s="28" t="n">
        <v>5</v>
      </c>
    </row>
    <row r="5327" customFormat="false" ht="15" hidden="false" customHeight="false" outlineLevel="0" collapsed="false">
      <c r="A5327" s="27" t="n">
        <v>46070</v>
      </c>
      <c r="B5327" s="28" t="n">
        <v>2026</v>
      </c>
      <c r="C5327" s="28" t="s">
        <v>169</v>
      </c>
      <c r="D5327" s="28" t="s">
        <v>51</v>
      </c>
      <c r="E5327" s="28" t="s">
        <v>779</v>
      </c>
      <c r="F5327" s="28" t="s">
        <v>147</v>
      </c>
      <c r="G5327" s="28" t="s">
        <v>441</v>
      </c>
      <c r="H5327" s="28" t="s">
        <v>159</v>
      </c>
      <c r="I5327" s="29" t="n">
        <v>150000</v>
      </c>
      <c r="J5327" s="29" t="n">
        <v>75000</v>
      </c>
      <c r="K5327" s="28" t="n">
        <v>9</v>
      </c>
      <c r="L5327" s="28" t="n">
        <v>120</v>
      </c>
      <c r="M5327" s="28" t="n">
        <v>4</v>
      </c>
    </row>
    <row r="5328" customFormat="false" ht="15" hidden="false" customHeight="false" outlineLevel="0" collapsed="false">
      <c r="A5328" s="27" t="n">
        <v>46070</v>
      </c>
      <c r="B5328" s="28" t="n">
        <v>2026</v>
      </c>
      <c r="C5328" s="28" t="s">
        <v>169</v>
      </c>
      <c r="D5328" s="28" t="s">
        <v>48</v>
      </c>
      <c r="E5328" s="28" t="s">
        <v>765</v>
      </c>
      <c r="F5328" s="28" t="s">
        <v>142</v>
      </c>
      <c r="G5328" s="28" t="s">
        <v>148</v>
      </c>
      <c r="H5328" s="28" t="s">
        <v>372</v>
      </c>
      <c r="I5328" s="29" t="n">
        <v>350000</v>
      </c>
      <c r="J5328" s="29" t="n">
        <v>262500</v>
      </c>
      <c r="K5328" s="28" t="n">
        <v>9.5</v>
      </c>
      <c r="L5328" s="28" t="n">
        <v>120</v>
      </c>
      <c r="M5328" s="28" t="n">
        <v>2</v>
      </c>
    </row>
    <row r="5329" customFormat="false" ht="15" hidden="false" customHeight="false" outlineLevel="0" collapsed="false">
      <c r="A5329" s="27" t="n">
        <v>46070</v>
      </c>
      <c r="B5329" s="28" t="n">
        <v>2026</v>
      </c>
      <c r="C5329" s="28" t="s">
        <v>169</v>
      </c>
      <c r="D5329" s="28" t="s">
        <v>50</v>
      </c>
      <c r="E5329" s="28" t="s">
        <v>389</v>
      </c>
      <c r="F5329" s="28" t="s">
        <v>142</v>
      </c>
      <c r="G5329" s="28" t="s">
        <v>143</v>
      </c>
      <c r="H5329" s="28" t="s">
        <v>278</v>
      </c>
      <c r="I5329" s="29" t="n">
        <v>220000</v>
      </c>
      <c r="J5329" s="29" t="n">
        <v>165000</v>
      </c>
      <c r="K5329" s="28" t="n">
        <v>9.5</v>
      </c>
      <c r="L5329" s="28" t="n">
        <v>120</v>
      </c>
      <c r="M5329" s="28" t="n">
        <v>6</v>
      </c>
    </row>
    <row r="5330" customFormat="false" ht="15" hidden="false" customHeight="false" outlineLevel="0" collapsed="false">
      <c r="A5330" s="27" t="n">
        <v>46071</v>
      </c>
      <c r="B5330" s="28" t="n">
        <v>2026</v>
      </c>
      <c r="C5330" s="28" t="s">
        <v>203</v>
      </c>
      <c r="D5330" s="28" t="s">
        <v>45</v>
      </c>
      <c r="E5330" s="28" t="s">
        <v>1048</v>
      </c>
      <c r="F5330" s="28" t="s">
        <v>142</v>
      </c>
      <c r="G5330" s="28" t="s">
        <v>143</v>
      </c>
      <c r="H5330" s="28" t="s">
        <v>469</v>
      </c>
      <c r="I5330" s="29" t="n">
        <v>492300</v>
      </c>
      <c r="J5330" s="29" t="n">
        <v>369225</v>
      </c>
      <c r="K5330" s="28" t="n">
        <v>7.25</v>
      </c>
      <c r="L5330" s="28" t="n">
        <v>119</v>
      </c>
      <c r="M5330" s="28" t="n">
        <v>4</v>
      </c>
    </row>
    <row r="5331" customFormat="false" ht="15" hidden="false" customHeight="false" outlineLevel="0" collapsed="false">
      <c r="A5331" s="27" t="n">
        <v>46071</v>
      </c>
      <c r="B5331" s="28" t="n">
        <v>2026</v>
      </c>
      <c r="C5331" s="28" t="s">
        <v>166</v>
      </c>
      <c r="D5331" s="28" t="s">
        <v>46</v>
      </c>
      <c r="E5331" s="28" t="s">
        <v>770</v>
      </c>
      <c r="F5331" s="28" t="s">
        <v>147</v>
      </c>
      <c r="G5331" s="28" t="s">
        <v>152</v>
      </c>
      <c r="H5331" s="28" t="s">
        <v>211</v>
      </c>
      <c r="I5331" s="29" t="n">
        <v>50000</v>
      </c>
      <c r="J5331" s="29" t="n">
        <v>25000</v>
      </c>
      <c r="K5331" s="28" t="n">
        <v>9.25</v>
      </c>
      <c r="L5331" s="28" t="n">
        <v>120</v>
      </c>
      <c r="M5331" s="28" t="n">
        <v>21</v>
      </c>
    </row>
    <row r="5332" customFormat="false" ht="15" hidden="false" customHeight="false" outlineLevel="0" collapsed="false">
      <c r="A5332" s="27" t="n">
        <v>46071</v>
      </c>
      <c r="B5332" s="28" t="n">
        <v>2026</v>
      </c>
      <c r="C5332" s="28" t="s">
        <v>166</v>
      </c>
      <c r="D5332" s="28" t="s">
        <v>46</v>
      </c>
      <c r="E5332" s="28" t="s">
        <v>770</v>
      </c>
      <c r="F5332" s="28" t="s">
        <v>142</v>
      </c>
      <c r="G5332" s="28" t="s">
        <v>152</v>
      </c>
      <c r="H5332" s="28" t="s">
        <v>211</v>
      </c>
      <c r="I5332" s="29" t="n">
        <v>374200</v>
      </c>
      <c r="J5332" s="29" t="n">
        <v>280650</v>
      </c>
      <c r="K5332" s="28" t="n">
        <v>9.25</v>
      </c>
      <c r="L5332" s="28" t="n">
        <v>120</v>
      </c>
      <c r="M5332" s="28" t="n">
        <v>21</v>
      </c>
    </row>
    <row r="5333" customFormat="false" ht="15" hidden="false" customHeight="false" outlineLevel="0" collapsed="false">
      <c r="A5333" s="27" t="n">
        <v>46072</v>
      </c>
      <c r="B5333" s="28" t="n">
        <v>2026</v>
      </c>
      <c r="C5333" s="28" t="s">
        <v>172</v>
      </c>
      <c r="D5333" s="28" t="s">
        <v>51</v>
      </c>
      <c r="E5333" s="28" t="s">
        <v>800</v>
      </c>
      <c r="F5333" s="28" t="s">
        <v>142</v>
      </c>
      <c r="G5333" s="28" t="s">
        <v>143</v>
      </c>
      <c r="H5333" s="28" t="s">
        <v>278</v>
      </c>
      <c r="I5333" s="29" t="n">
        <v>5000000</v>
      </c>
      <c r="J5333" s="29" t="n">
        <v>3750000</v>
      </c>
      <c r="K5333" s="28" t="n">
        <v>9</v>
      </c>
      <c r="L5333" s="28" t="n">
        <v>129</v>
      </c>
      <c r="M5333" s="28" t="n">
        <v>65</v>
      </c>
    </row>
    <row r="5334" customFormat="false" ht="15" hidden="false" customHeight="false" outlineLevel="0" collapsed="false">
      <c r="A5334" s="27" t="n">
        <v>46072</v>
      </c>
      <c r="B5334" s="28" t="n">
        <v>2026</v>
      </c>
      <c r="C5334" s="28" t="s">
        <v>303</v>
      </c>
      <c r="D5334" s="28" t="s">
        <v>42</v>
      </c>
      <c r="E5334" s="28" t="s">
        <v>784</v>
      </c>
      <c r="F5334" s="28" t="s">
        <v>142</v>
      </c>
      <c r="G5334" s="28" t="s">
        <v>148</v>
      </c>
      <c r="H5334" s="28" t="s">
        <v>771</v>
      </c>
      <c r="I5334" s="29" t="n">
        <v>125000</v>
      </c>
      <c r="J5334" s="29" t="n">
        <v>106250</v>
      </c>
      <c r="K5334" s="28" t="n">
        <v>9.5</v>
      </c>
      <c r="L5334" s="28" t="n">
        <v>120</v>
      </c>
      <c r="M5334" s="28" t="n">
        <v>12</v>
      </c>
    </row>
    <row r="5335" customFormat="false" ht="15" hidden="false" customHeight="false" outlineLevel="0" collapsed="false">
      <c r="A5335" s="27" t="n">
        <v>46072</v>
      </c>
      <c r="B5335" s="28" t="n">
        <v>2026</v>
      </c>
      <c r="C5335" s="28" t="s">
        <v>169</v>
      </c>
      <c r="D5335" s="28" t="s">
        <v>42</v>
      </c>
      <c r="E5335" s="28" t="s">
        <v>717</v>
      </c>
      <c r="F5335" s="28" t="s">
        <v>147</v>
      </c>
      <c r="G5335" s="28" t="s">
        <v>148</v>
      </c>
      <c r="H5335" s="28" t="s">
        <v>159</v>
      </c>
      <c r="I5335" s="29" t="n">
        <v>130000</v>
      </c>
      <c r="J5335" s="29" t="n">
        <v>65000</v>
      </c>
      <c r="K5335" s="28" t="n">
        <v>8.75</v>
      </c>
      <c r="L5335" s="28" t="n">
        <v>120</v>
      </c>
      <c r="M5335" s="28" t="n">
        <v>10</v>
      </c>
    </row>
    <row r="5336" customFormat="false" ht="15" hidden="false" customHeight="false" outlineLevel="0" collapsed="false">
      <c r="A5336" s="27" t="n">
        <v>46073</v>
      </c>
      <c r="B5336" s="28" t="n">
        <v>2026</v>
      </c>
      <c r="C5336" s="28" t="s">
        <v>172</v>
      </c>
      <c r="D5336" s="28" t="s">
        <v>44</v>
      </c>
      <c r="E5336" s="28" t="s">
        <v>755</v>
      </c>
      <c r="F5336" s="28" t="s">
        <v>147</v>
      </c>
      <c r="G5336" s="28" t="s">
        <v>148</v>
      </c>
      <c r="H5336" s="28" t="s">
        <v>953</v>
      </c>
      <c r="I5336" s="29" t="n">
        <v>50000</v>
      </c>
      <c r="J5336" s="29" t="n">
        <v>25000</v>
      </c>
      <c r="K5336" s="28" t="n">
        <v>13.25</v>
      </c>
      <c r="L5336" s="28" t="n">
        <v>120</v>
      </c>
      <c r="M5336" s="28" t="n">
        <v>3</v>
      </c>
    </row>
    <row r="5337" customFormat="false" ht="15" hidden="false" customHeight="false" outlineLevel="0" collapsed="false">
      <c r="A5337" s="27" t="n">
        <v>46073</v>
      </c>
      <c r="B5337" s="28" t="n">
        <v>2026</v>
      </c>
      <c r="C5337" s="28" t="s">
        <v>163</v>
      </c>
      <c r="D5337" s="28" t="s">
        <v>48</v>
      </c>
      <c r="E5337" s="28" t="s">
        <v>304</v>
      </c>
      <c r="F5337" s="28" t="s">
        <v>142</v>
      </c>
      <c r="G5337" s="28" t="s">
        <v>148</v>
      </c>
      <c r="H5337" s="28" t="s">
        <v>953</v>
      </c>
      <c r="I5337" s="29" t="n">
        <v>55000</v>
      </c>
      <c r="J5337" s="29" t="n">
        <v>46750</v>
      </c>
      <c r="K5337" s="28" t="n">
        <v>9.75</v>
      </c>
      <c r="L5337" s="28" t="n">
        <v>120</v>
      </c>
      <c r="M5337" s="28" t="n">
        <v>6</v>
      </c>
    </row>
    <row r="5338" customFormat="false" ht="15" hidden="false" customHeight="false" outlineLevel="0" collapsed="false">
      <c r="A5338" s="27" t="n">
        <v>46073</v>
      </c>
      <c r="B5338" s="28" t="n">
        <v>2026</v>
      </c>
      <c r="C5338" s="28" t="s">
        <v>172</v>
      </c>
      <c r="D5338" s="28" t="s">
        <v>44</v>
      </c>
      <c r="E5338" s="28" t="s">
        <v>755</v>
      </c>
      <c r="F5338" s="28" t="s">
        <v>142</v>
      </c>
      <c r="G5338" s="28" t="s">
        <v>148</v>
      </c>
      <c r="H5338" s="28" t="s">
        <v>953</v>
      </c>
      <c r="I5338" s="29" t="n">
        <v>950000</v>
      </c>
      <c r="J5338" s="29" t="n">
        <v>712500</v>
      </c>
      <c r="K5338" s="28" t="n">
        <v>9.75</v>
      </c>
      <c r="L5338" s="28" t="n">
        <v>120</v>
      </c>
      <c r="M5338" s="28" t="n">
        <v>3</v>
      </c>
    </row>
    <row r="5339" customFormat="false" ht="15" hidden="false" customHeight="false" outlineLevel="0" collapsed="false">
      <c r="A5339" s="27" t="n">
        <v>46076</v>
      </c>
      <c r="B5339" s="28" t="n">
        <v>2026</v>
      </c>
      <c r="C5339" s="28" t="s">
        <v>303</v>
      </c>
      <c r="D5339" s="28" t="s">
        <v>42</v>
      </c>
      <c r="E5339" s="28" t="s">
        <v>753</v>
      </c>
      <c r="F5339" s="28" t="s">
        <v>147</v>
      </c>
      <c r="G5339" s="28" t="s">
        <v>148</v>
      </c>
      <c r="H5339" s="28" t="s">
        <v>953</v>
      </c>
      <c r="I5339" s="29" t="n">
        <v>25000</v>
      </c>
      <c r="J5339" s="29" t="n">
        <v>12500</v>
      </c>
      <c r="K5339" s="28" t="n">
        <v>13.25</v>
      </c>
      <c r="L5339" s="28" t="n">
        <v>120</v>
      </c>
      <c r="M5339" s="28" t="n">
        <v>5</v>
      </c>
    </row>
    <row r="5340" customFormat="false" ht="15" hidden="false" customHeight="false" outlineLevel="0" collapsed="false">
      <c r="A5340" s="27" t="n">
        <v>46076</v>
      </c>
      <c r="B5340" s="28" t="n">
        <v>2026</v>
      </c>
      <c r="C5340" s="28" t="s">
        <v>160</v>
      </c>
      <c r="D5340" s="28" t="s">
        <v>50</v>
      </c>
      <c r="E5340" s="28" t="s">
        <v>724</v>
      </c>
      <c r="F5340" s="28" t="s">
        <v>142</v>
      </c>
      <c r="G5340" s="28" t="s">
        <v>148</v>
      </c>
      <c r="H5340" s="28" t="s">
        <v>281</v>
      </c>
      <c r="I5340" s="29" t="n">
        <v>1393200</v>
      </c>
      <c r="J5340" s="29" t="n">
        <v>1044900</v>
      </c>
      <c r="K5340" s="28" t="n">
        <v>8.75</v>
      </c>
      <c r="L5340" s="28" t="n">
        <v>120</v>
      </c>
      <c r="M5340" s="28" t="n">
        <v>28</v>
      </c>
    </row>
    <row r="5341" customFormat="false" ht="15" hidden="false" customHeight="false" outlineLevel="0" collapsed="false">
      <c r="A5341" s="27" t="n">
        <v>46076</v>
      </c>
      <c r="B5341" s="28" t="n">
        <v>2026</v>
      </c>
      <c r="C5341" s="28" t="s">
        <v>163</v>
      </c>
      <c r="D5341" s="28" t="s">
        <v>47</v>
      </c>
      <c r="E5341" s="28" t="s">
        <v>284</v>
      </c>
      <c r="F5341" s="28" t="s">
        <v>142</v>
      </c>
      <c r="G5341" s="28" t="s">
        <v>441</v>
      </c>
      <c r="H5341" s="28" t="s">
        <v>1186</v>
      </c>
      <c r="I5341" s="29" t="n">
        <v>1320000</v>
      </c>
      <c r="J5341" s="29" t="n">
        <v>990000</v>
      </c>
      <c r="K5341" s="28" t="n">
        <v>9</v>
      </c>
      <c r="L5341" s="28" t="n">
        <v>300</v>
      </c>
      <c r="M5341" s="28" t="n">
        <v>16</v>
      </c>
    </row>
    <row r="5342" customFormat="false" ht="15" hidden="false" customHeight="false" outlineLevel="0" collapsed="false">
      <c r="A5342" s="27" t="n">
        <v>46076</v>
      </c>
      <c r="B5342" s="28" t="n">
        <v>2026</v>
      </c>
      <c r="C5342" s="28" t="s">
        <v>166</v>
      </c>
      <c r="D5342" s="28" t="s">
        <v>46</v>
      </c>
      <c r="E5342" s="28" t="s">
        <v>702</v>
      </c>
      <c r="F5342" s="28" t="s">
        <v>142</v>
      </c>
      <c r="G5342" s="28" t="s">
        <v>152</v>
      </c>
      <c r="H5342" s="28" t="s">
        <v>486</v>
      </c>
      <c r="I5342" s="29" t="n">
        <v>3160500</v>
      </c>
      <c r="J5342" s="29" t="n">
        <v>2370375</v>
      </c>
      <c r="K5342" s="28" t="n">
        <v>8.2</v>
      </c>
      <c r="L5342" s="28" t="n">
        <v>192</v>
      </c>
      <c r="M5342" s="28" t="n">
        <v>5</v>
      </c>
    </row>
    <row r="5343" customFormat="false" ht="15" hidden="false" customHeight="false" outlineLevel="0" collapsed="false">
      <c r="A5343" s="27" t="n">
        <v>46077</v>
      </c>
      <c r="B5343" s="28" t="n">
        <v>2026</v>
      </c>
      <c r="C5343" s="28" t="s">
        <v>321</v>
      </c>
      <c r="D5343" s="28" t="s">
        <v>52</v>
      </c>
      <c r="E5343" s="28" t="s">
        <v>720</v>
      </c>
      <c r="F5343" s="28" t="s">
        <v>147</v>
      </c>
      <c r="G5343" s="28" t="s">
        <v>148</v>
      </c>
      <c r="H5343" s="28" t="s">
        <v>159</v>
      </c>
      <c r="I5343" s="29" t="n">
        <v>80000</v>
      </c>
      <c r="J5343" s="29" t="n">
        <v>40000</v>
      </c>
      <c r="K5343" s="28" t="n">
        <v>10</v>
      </c>
      <c r="L5343" s="28" t="n">
        <v>60</v>
      </c>
      <c r="M5343" s="28" t="n">
        <v>2</v>
      </c>
    </row>
    <row r="5344" customFormat="false" ht="15" hidden="false" customHeight="false" outlineLevel="0" collapsed="false">
      <c r="A5344" s="27" t="n">
        <v>46077</v>
      </c>
      <c r="B5344" s="28" t="n">
        <v>2026</v>
      </c>
      <c r="C5344" s="28" t="s">
        <v>166</v>
      </c>
      <c r="D5344" s="28" t="s">
        <v>42</v>
      </c>
      <c r="E5344" s="28" t="s">
        <v>784</v>
      </c>
      <c r="F5344" s="28" t="s">
        <v>147</v>
      </c>
      <c r="G5344" s="28" t="s">
        <v>143</v>
      </c>
      <c r="H5344" s="28" t="s">
        <v>251</v>
      </c>
      <c r="I5344" s="29" t="n">
        <v>315000</v>
      </c>
      <c r="J5344" s="29" t="n">
        <v>157500</v>
      </c>
      <c r="K5344" s="28" t="n">
        <v>8.25</v>
      </c>
      <c r="L5344" s="28" t="n">
        <v>120</v>
      </c>
      <c r="M5344" s="28" t="n">
        <v>14</v>
      </c>
    </row>
    <row r="5345" customFormat="false" ht="15" hidden="false" customHeight="false" outlineLevel="0" collapsed="false">
      <c r="A5345" s="27" t="n">
        <v>46077</v>
      </c>
      <c r="B5345" s="28" t="n">
        <v>2026</v>
      </c>
      <c r="C5345" s="28" t="s">
        <v>172</v>
      </c>
      <c r="D5345" s="28" t="s">
        <v>44</v>
      </c>
      <c r="E5345" s="28" t="s">
        <v>730</v>
      </c>
      <c r="F5345" s="28" t="s">
        <v>142</v>
      </c>
      <c r="G5345" s="28" t="s">
        <v>152</v>
      </c>
      <c r="H5345" s="28" t="s">
        <v>144</v>
      </c>
      <c r="I5345" s="29" t="n">
        <v>1975000</v>
      </c>
      <c r="J5345" s="29" t="n">
        <v>1481250</v>
      </c>
      <c r="K5345" s="28" t="n">
        <v>7.35</v>
      </c>
      <c r="L5345" s="28" t="n">
        <v>120</v>
      </c>
      <c r="M5345" s="28" t="n">
        <v>18</v>
      </c>
    </row>
    <row r="5346" customFormat="false" ht="15" hidden="false" customHeight="false" outlineLevel="0" collapsed="false">
      <c r="A5346" s="27" t="n">
        <v>46077</v>
      </c>
      <c r="B5346" s="28" t="n">
        <v>2026</v>
      </c>
      <c r="C5346" s="28" t="s">
        <v>172</v>
      </c>
      <c r="D5346" s="28" t="s">
        <v>45</v>
      </c>
      <c r="E5346" s="28" t="s">
        <v>222</v>
      </c>
      <c r="F5346" s="28" t="s">
        <v>147</v>
      </c>
      <c r="G5346" s="28" t="s">
        <v>148</v>
      </c>
      <c r="H5346" s="28" t="s">
        <v>159</v>
      </c>
      <c r="I5346" s="29" t="n">
        <v>35000</v>
      </c>
      <c r="J5346" s="29" t="n">
        <v>17500</v>
      </c>
      <c r="K5346" s="28" t="n">
        <v>13.25</v>
      </c>
      <c r="L5346" s="28" t="n">
        <v>120</v>
      </c>
      <c r="M5346" s="28" t="n">
        <v>21</v>
      </c>
    </row>
    <row r="5347" customFormat="false" ht="15" hidden="false" customHeight="false" outlineLevel="0" collapsed="false">
      <c r="A5347" s="27" t="n">
        <v>46077</v>
      </c>
      <c r="B5347" s="28" t="n">
        <v>2026</v>
      </c>
      <c r="C5347" s="28" t="s">
        <v>166</v>
      </c>
      <c r="D5347" s="28" t="s">
        <v>46</v>
      </c>
      <c r="E5347" s="28" t="s">
        <v>807</v>
      </c>
      <c r="F5347" s="28" t="s">
        <v>142</v>
      </c>
      <c r="G5347" s="28" t="s">
        <v>143</v>
      </c>
      <c r="H5347" s="28" t="s">
        <v>159</v>
      </c>
      <c r="I5347" s="29" t="n">
        <v>350000</v>
      </c>
      <c r="J5347" s="29" t="n">
        <v>262500</v>
      </c>
      <c r="K5347" s="28" t="n">
        <v>8.25</v>
      </c>
      <c r="L5347" s="28" t="n">
        <v>120</v>
      </c>
      <c r="M5347" s="28" t="n">
        <v>2</v>
      </c>
    </row>
    <row r="5348" customFormat="false" ht="15" hidden="false" customHeight="false" outlineLevel="0" collapsed="false">
      <c r="A5348" s="27" t="n">
        <v>46078</v>
      </c>
      <c r="B5348" s="28" t="n">
        <v>2026</v>
      </c>
      <c r="C5348" s="28" t="s">
        <v>172</v>
      </c>
      <c r="D5348" s="28" t="s">
        <v>51</v>
      </c>
      <c r="E5348" s="28" t="s">
        <v>800</v>
      </c>
      <c r="F5348" s="28" t="s">
        <v>142</v>
      </c>
      <c r="G5348" s="28" t="s">
        <v>143</v>
      </c>
      <c r="H5348" s="28" t="s">
        <v>605</v>
      </c>
      <c r="I5348" s="29" t="n">
        <v>350000</v>
      </c>
      <c r="J5348" s="29" t="n">
        <v>262500</v>
      </c>
      <c r="K5348" s="28" t="n">
        <v>9.5</v>
      </c>
      <c r="L5348" s="28" t="n">
        <v>126</v>
      </c>
      <c r="M5348" s="28" t="n">
        <v>14</v>
      </c>
    </row>
    <row r="5349" customFormat="false" ht="15" hidden="false" customHeight="false" outlineLevel="0" collapsed="false">
      <c r="A5349" s="27" t="n">
        <v>46078</v>
      </c>
      <c r="B5349" s="28" t="n">
        <v>2026</v>
      </c>
      <c r="C5349" s="28" t="s">
        <v>198</v>
      </c>
      <c r="D5349" s="28" t="s">
        <v>42</v>
      </c>
      <c r="E5349" s="28" t="s">
        <v>784</v>
      </c>
      <c r="F5349" s="28" t="s">
        <v>147</v>
      </c>
      <c r="G5349" s="28" t="s">
        <v>441</v>
      </c>
      <c r="H5349" s="28" t="s">
        <v>159</v>
      </c>
      <c r="I5349" s="29" t="n">
        <v>15000</v>
      </c>
      <c r="J5349" s="29" t="n">
        <v>7500</v>
      </c>
      <c r="K5349" s="28" t="n">
        <v>13.25</v>
      </c>
      <c r="L5349" s="28" t="n">
        <v>120</v>
      </c>
      <c r="M5349" s="28" t="n">
        <v>5</v>
      </c>
    </row>
    <row r="5350" customFormat="false" ht="15" hidden="false" customHeight="false" outlineLevel="0" collapsed="false">
      <c r="A5350" s="27" t="n">
        <v>46078</v>
      </c>
      <c r="B5350" s="28" t="n">
        <v>2026</v>
      </c>
      <c r="C5350" s="28" t="s">
        <v>163</v>
      </c>
      <c r="D5350" s="28" t="s">
        <v>42</v>
      </c>
      <c r="E5350" s="28" t="s">
        <v>753</v>
      </c>
      <c r="F5350" s="28" t="s">
        <v>147</v>
      </c>
      <c r="G5350" s="28" t="s">
        <v>148</v>
      </c>
      <c r="H5350" s="28" t="s">
        <v>953</v>
      </c>
      <c r="I5350" s="29" t="n">
        <v>50000</v>
      </c>
      <c r="J5350" s="29" t="n">
        <v>25000</v>
      </c>
      <c r="K5350" s="28" t="n">
        <v>13.25</v>
      </c>
      <c r="L5350" s="28" t="n">
        <v>120</v>
      </c>
      <c r="M5350" s="28" t="n">
        <v>10</v>
      </c>
    </row>
    <row r="5351" customFormat="false" ht="15" hidden="false" customHeight="false" outlineLevel="0" collapsed="false">
      <c r="A5351" s="27" t="n">
        <v>46078</v>
      </c>
      <c r="B5351" s="28" t="n">
        <v>2026</v>
      </c>
      <c r="C5351" s="28" t="s">
        <v>243</v>
      </c>
      <c r="D5351" s="28" t="s">
        <v>45</v>
      </c>
      <c r="E5351" s="28" t="s">
        <v>824</v>
      </c>
      <c r="F5351" s="28" t="s">
        <v>147</v>
      </c>
      <c r="G5351" s="28" t="s">
        <v>148</v>
      </c>
      <c r="H5351" s="28" t="s">
        <v>645</v>
      </c>
      <c r="I5351" s="29" t="n">
        <v>450000</v>
      </c>
      <c r="J5351" s="29" t="n">
        <v>225000</v>
      </c>
      <c r="K5351" s="28" t="n">
        <v>8.25</v>
      </c>
      <c r="L5351" s="28" t="n">
        <v>96</v>
      </c>
      <c r="M5351" s="28" t="n">
        <v>29</v>
      </c>
    </row>
    <row r="5352" customFormat="false" ht="15" hidden="false" customHeight="false" outlineLevel="0" collapsed="false">
      <c r="A5352" s="27" t="n">
        <v>46078</v>
      </c>
      <c r="B5352" s="28" t="n">
        <v>2026</v>
      </c>
      <c r="C5352" s="28" t="s">
        <v>172</v>
      </c>
      <c r="D5352" s="28" t="s">
        <v>48</v>
      </c>
      <c r="E5352" s="28" t="s">
        <v>815</v>
      </c>
      <c r="F5352" s="28" t="s">
        <v>142</v>
      </c>
      <c r="G5352" s="28" t="s">
        <v>148</v>
      </c>
      <c r="H5352" s="28" t="s">
        <v>771</v>
      </c>
      <c r="I5352" s="29" t="n">
        <v>140000</v>
      </c>
      <c r="J5352" s="29" t="n">
        <v>119000</v>
      </c>
      <c r="K5352" s="28" t="n">
        <v>9.5</v>
      </c>
      <c r="L5352" s="28" t="n">
        <v>121</v>
      </c>
      <c r="M5352" s="28" t="n">
        <v>20</v>
      </c>
    </row>
    <row r="5353" customFormat="false" ht="15" hidden="false" customHeight="false" outlineLevel="0" collapsed="false">
      <c r="A5353" s="27" t="n">
        <v>46078</v>
      </c>
      <c r="B5353" s="28" t="n">
        <v>2026</v>
      </c>
      <c r="C5353" s="28" t="s">
        <v>384</v>
      </c>
      <c r="D5353" s="28" t="s">
        <v>56</v>
      </c>
      <c r="E5353" s="28" t="s">
        <v>772</v>
      </c>
      <c r="F5353" s="28" t="s">
        <v>147</v>
      </c>
      <c r="G5353" s="28" t="s">
        <v>143</v>
      </c>
      <c r="H5353" s="28" t="s">
        <v>211</v>
      </c>
      <c r="I5353" s="29" t="n">
        <v>50000</v>
      </c>
      <c r="J5353" s="29" t="n">
        <v>25000</v>
      </c>
      <c r="K5353" s="28" t="n">
        <v>9.25</v>
      </c>
      <c r="L5353" s="28" t="n">
        <v>120</v>
      </c>
      <c r="M5353" s="28" t="n">
        <v>6</v>
      </c>
    </row>
    <row r="5354" customFormat="false" ht="15" hidden="false" customHeight="false" outlineLevel="0" collapsed="false">
      <c r="A5354" s="27" t="n">
        <v>46078</v>
      </c>
      <c r="B5354" s="28" t="n">
        <v>2026</v>
      </c>
      <c r="C5354" s="28" t="s">
        <v>384</v>
      </c>
      <c r="D5354" s="28" t="s">
        <v>56</v>
      </c>
      <c r="E5354" s="28" t="s">
        <v>772</v>
      </c>
      <c r="F5354" s="28" t="s">
        <v>142</v>
      </c>
      <c r="G5354" s="28" t="s">
        <v>143</v>
      </c>
      <c r="H5354" s="28" t="s">
        <v>211</v>
      </c>
      <c r="I5354" s="29" t="n">
        <v>584000</v>
      </c>
      <c r="J5354" s="29" t="n">
        <v>438000</v>
      </c>
      <c r="K5354" s="28" t="n">
        <v>9.25</v>
      </c>
      <c r="L5354" s="28" t="n">
        <v>120</v>
      </c>
      <c r="M5354" s="28" t="n">
        <v>6</v>
      </c>
    </row>
    <row r="5355" customFormat="false" ht="15" hidden="false" customHeight="false" outlineLevel="0" collapsed="false">
      <c r="A5355" s="27" t="n">
        <v>46078</v>
      </c>
      <c r="B5355" s="28" t="n">
        <v>2026</v>
      </c>
      <c r="C5355" s="28" t="s">
        <v>243</v>
      </c>
      <c r="D5355" s="28" t="s">
        <v>45</v>
      </c>
      <c r="E5355" s="28" t="s">
        <v>824</v>
      </c>
      <c r="F5355" s="28" t="s">
        <v>142</v>
      </c>
      <c r="G5355" s="28" t="s">
        <v>148</v>
      </c>
      <c r="H5355" s="28" t="s">
        <v>645</v>
      </c>
      <c r="I5355" s="29" t="n">
        <v>500000</v>
      </c>
      <c r="J5355" s="29" t="n">
        <v>375000</v>
      </c>
      <c r="K5355" s="28" t="n">
        <v>8</v>
      </c>
      <c r="L5355" s="28" t="n">
        <v>84</v>
      </c>
      <c r="M5355" s="28" t="n">
        <v>29</v>
      </c>
    </row>
    <row r="5356" customFormat="false" ht="15" hidden="false" customHeight="false" outlineLevel="0" collapsed="false">
      <c r="A5356" s="27" t="n">
        <v>46078</v>
      </c>
      <c r="B5356" s="28" t="n">
        <v>2026</v>
      </c>
      <c r="C5356" s="28" t="s">
        <v>198</v>
      </c>
      <c r="D5356" s="28" t="s">
        <v>42</v>
      </c>
      <c r="E5356" s="28" t="s">
        <v>784</v>
      </c>
      <c r="F5356" s="28" t="s">
        <v>147</v>
      </c>
      <c r="G5356" s="28" t="s">
        <v>441</v>
      </c>
      <c r="H5356" s="28" t="s">
        <v>159</v>
      </c>
      <c r="I5356" s="29" t="n">
        <v>70000</v>
      </c>
      <c r="J5356" s="29" t="n">
        <v>35000</v>
      </c>
      <c r="K5356" s="28" t="n">
        <v>9.75</v>
      </c>
      <c r="L5356" s="28" t="n">
        <v>60</v>
      </c>
      <c r="M5356" s="28" t="n">
        <v>5</v>
      </c>
    </row>
    <row r="5357" customFormat="false" ht="15" hidden="false" customHeight="false" outlineLevel="0" collapsed="false">
      <c r="A5357" s="27" t="n">
        <v>46078</v>
      </c>
      <c r="B5357" s="28" t="n">
        <v>2026</v>
      </c>
      <c r="C5357" s="28" t="s">
        <v>303</v>
      </c>
      <c r="D5357" s="28" t="s">
        <v>47</v>
      </c>
      <c r="E5357" s="28" t="s">
        <v>921</v>
      </c>
      <c r="F5357" s="28" t="s">
        <v>142</v>
      </c>
      <c r="G5357" s="28" t="s">
        <v>152</v>
      </c>
      <c r="H5357" s="28" t="s">
        <v>827</v>
      </c>
      <c r="I5357" s="29" t="n">
        <v>450000</v>
      </c>
      <c r="J5357" s="29" t="n">
        <v>337500</v>
      </c>
      <c r="K5357" s="28" t="n">
        <v>8.75</v>
      </c>
      <c r="L5357" s="28" t="n">
        <v>300</v>
      </c>
      <c r="M5357" s="28" t="n">
        <v>5</v>
      </c>
    </row>
    <row r="5358" customFormat="false" ht="15" hidden="false" customHeight="false" outlineLevel="0" collapsed="false">
      <c r="A5358" s="27" t="n">
        <v>46079</v>
      </c>
      <c r="B5358" s="28" t="n">
        <v>2026</v>
      </c>
      <c r="C5358" s="28" t="s">
        <v>418</v>
      </c>
      <c r="D5358" s="28" t="s">
        <v>57</v>
      </c>
      <c r="E5358" s="28" t="s">
        <v>985</v>
      </c>
      <c r="F5358" s="28" t="s">
        <v>142</v>
      </c>
      <c r="G5358" s="28" t="s">
        <v>148</v>
      </c>
      <c r="H5358" s="28" t="s">
        <v>1150</v>
      </c>
      <c r="I5358" s="29" t="n">
        <v>150000</v>
      </c>
      <c r="J5358" s="29" t="n">
        <v>127500</v>
      </c>
      <c r="K5358" s="28" t="n">
        <v>11.25</v>
      </c>
      <c r="L5358" s="28" t="n">
        <v>120</v>
      </c>
      <c r="M5358" s="28" t="n">
        <v>4</v>
      </c>
    </row>
    <row r="5359" customFormat="false" ht="15" hidden="false" customHeight="false" outlineLevel="0" collapsed="false">
      <c r="A5359" s="27" t="n">
        <v>46079</v>
      </c>
      <c r="B5359" s="28" t="n">
        <v>2026</v>
      </c>
      <c r="C5359" s="28" t="s">
        <v>216</v>
      </c>
      <c r="D5359" s="28" t="s">
        <v>45</v>
      </c>
      <c r="E5359" s="28" t="s">
        <v>864</v>
      </c>
      <c r="F5359" s="28" t="s">
        <v>142</v>
      </c>
      <c r="G5359" s="28" t="s">
        <v>148</v>
      </c>
      <c r="H5359" s="28" t="s">
        <v>1150</v>
      </c>
      <c r="I5359" s="29" t="n">
        <v>150000</v>
      </c>
      <c r="J5359" s="29" t="n">
        <v>127500</v>
      </c>
      <c r="K5359" s="28" t="n">
        <v>11.25</v>
      </c>
      <c r="L5359" s="28" t="n">
        <v>120</v>
      </c>
      <c r="M5359" s="28" t="n">
        <v>0</v>
      </c>
    </row>
    <row r="5360" customFormat="false" ht="15" hidden="false" customHeight="false" outlineLevel="0" collapsed="false">
      <c r="A5360" s="27" t="n">
        <v>46079</v>
      </c>
      <c r="B5360" s="28" t="n">
        <v>2026</v>
      </c>
      <c r="C5360" s="28" t="s">
        <v>375</v>
      </c>
      <c r="D5360" s="28" t="s">
        <v>44</v>
      </c>
      <c r="E5360" s="28" t="s">
        <v>730</v>
      </c>
      <c r="F5360" s="28" t="s">
        <v>142</v>
      </c>
      <c r="G5360" s="28" t="s">
        <v>148</v>
      </c>
      <c r="H5360" s="28" t="s">
        <v>1150</v>
      </c>
      <c r="I5360" s="29" t="n">
        <v>75000</v>
      </c>
      <c r="J5360" s="29" t="n">
        <v>63750</v>
      </c>
      <c r="K5360" s="28" t="n">
        <v>11.25</v>
      </c>
      <c r="L5360" s="28" t="n">
        <v>120</v>
      </c>
      <c r="M5360" s="28" t="n">
        <v>12</v>
      </c>
    </row>
    <row r="5361" customFormat="false" ht="15" hidden="false" customHeight="false" outlineLevel="0" collapsed="false">
      <c r="A5361" s="27" t="n">
        <v>46079</v>
      </c>
      <c r="B5361" s="28" t="n">
        <v>2026</v>
      </c>
      <c r="C5361" s="28" t="s">
        <v>216</v>
      </c>
      <c r="D5361" s="28" t="s">
        <v>50</v>
      </c>
      <c r="E5361" s="28" t="s">
        <v>193</v>
      </c>
      <c r="F5361" s="28" t="s">
        <v>142</v>
      </c>
      <c r="G5361" s="28" t="s">
        <v>148</v>
      </c>
      <c r="H5361" s="28" t="s">
        <v>953</v>
      </c>
      <c r="I5361" s="29" t="n">
        <v>125000</v>
      </c>
      <c r="J5361" s="29" t="n">
        <v>106250</v>
      </c>
      <c r="K5361" s="28" t="n">
        <v>9.75</v>
      </c>
      <c r="L5361" s="28" t="n">
        <v>120</v>
      </c>
      <c r="M5361" s="28" t="n">
        <v>14</v>
      </c>
    </row>
    <row r="5362" customFormat="false" ht="15" hidden="false" customHeight="false" outlineLevel="0" collapsed="false">
      <c r="A5362" s="27" t="n">
        <v>46079</v>
      </c>
      <c r="B5362" s="28" t="n">
        <v>2026</v>
      </c>
      <c r="C5362" s="28" t="s">
        <v>172</v>
      </c>
      <c r="D5362" s="28" t="s">
        <v>43</v>
      </c>
      <c r="E5362" s="28" t="s">
        <v>952</v>
      </c>
      <c r="F5362" s="28" t="s">
        <v>142</v>
      </c>
      <c r="G5362" s="28" t="s">
        <v>148</v>
      </c>
      <c r="H5362" s="28" t="s">
        <v>470</v>
      </c>
      <c r="I5362" s="29" t="n">
        <v>50000</v>
      </c>
      <c r="J5362" s="29" t="n">
        <v>42500</v>
      </c>
      <c r="K5362" s="28" t="n">
        <v>8.25</v>
      </c>
      <c r="L5362" s="28" t="n">
        <v>84</v>
      </c>
      <c r="M5362" s="28" t="n">
        <v>4</v>
      </c>
    </row>
    <row r="5363" customFormat="false" ht="15" hidden="false" customHeight="false" outlineLevel="0" collapsed="false">
      <c r="A5363" s="27" t="n">
        <v>46079</v>
      </c>
      <c r="B5363" s="28" t="n">
        <v>2026</v>
      </c>
      <c r="C5363" s="28" t="s">
        <v>172</v>
      </c>
      <c r="D5363" s="28" t="s">
        <v>45</v>
      </c>
      <c r="E5363" s="28" t="s">
        <v>708</v>
      </c>
      <c r="F5363" s="28" t="s">
        <v>147</v>
      </c>
      <c r="G5363" s="28" t="s">
        <v>441</v>
      </c>
      <c r="H5363" s="28" t="s">
        <v>205</v>
      </c>
      <c r="I5363" s="29" t="n">
        <v>35000</v>
      </c>
      <c r="J5363" s="29" t="n">
        <v>17500</v>
      </c>
      <c r="K5363" s="28" t="n">
        <v>12.25</v>
      </c>
      <c r="L5363" s="28" t="n">
        <v>120</v>
      </c>
      <c r="M5363" s="28" t="n">
        <v>0</v>
      </c>
    </row>
    <row r="5364" customFormat="false" ht="15" hidden="false" customHeight="false" outlineLevel="0" collapsed="false">
      <c r="A5364" s="27" t="n">
        <v>46079</v>
      </c>
      <c r="B5364" s="28" t="n">
        <v>2026</v>
      </c>
      <c r="C5364" s="28" t="s">
        <v>169</v>
      </c>
      <c r="D5364" s="28" t="s">
        <v>49</v>
      </c>
      <c r="E5364" s="28" t="s">
        <v>744</v>
      </c>
      <c r="F5364" s="28" t="s">
        <v>142</v>
      </c>
      <c r="G5364" s="28" t="s">
        <v>148</v>
      </c>
      <c r="H5364" s="28" t="s">
        <v>771</v>
      </c>
      <c r="I5364" s="29" t="n">
        <v>100000</v>
      </c>
      <c r="J5364" s="29" t="n">
        <v>85000</v>
      </c>
      <c r="K5364" s="28" t="n">
        <v>9.5</v>
      </c>
      <c r="L5364" s="28" t="n">
        <v>120</v>
      </c>
      <c r="M5364" s="28" t="n">
        <v>1</v>
      </c>
    </row>
    <row r="5365" customFormat="false" ht="15" hidden="false" customHeight="false" outlineLevel="0" collapsed="false">
      <c r="A5365" s="27" t="n">
        <v>46079</v>
      </c>
      <c r="B5365" s="28" t="n">
        <v>2026</v>
      </c>
      <c r="C5365" s="28" t="s">
        <v>172</v>
      </c>
      <c r="D5365" s="28" t="s">
        <v>51</v>
      </c>
      <c r="E5365" s="28" t="s">
        <v>800</v>
      </c>
      <c r="F5365" s="28" t="s">
        <v>147</v>
      </c>
      <c r="G5365" s="28" t="s">
        <v>143</v>
      </c>
      <c r="H5365" s="28" t="s">
        <v>605</v>
      </c>
      <c r="I5365" s="29" t="n">
        <v>150000</v>
      </c>
      <c r="J5365" s="29" t="n">
        <v>75000</v>
      </c>
      <c r="K5365" s="28" t="n">
        <v>9.5</v>
      </c>
      <c r="L5365" s="28" t="n">
        <v>120</v>
      </c>
      <c r="M5365" s="28" t="n">
        <v>14</v>
      </c>
    </row>
    <row r="5366" customFormat="false" ht="15" hidden="false" customHeight="false" outlineLevel="0" collapsed="false">
      <c r="A5366" s="27" t="n">
        <v>46079</v>
      </c>
      <c r="B5366" s="28" t="n">
        <v>2026</v>
      </c>
      <c r="C5366" s="28" t="s">
        <v>196</v>
      </c>
      <c r="D5366" s="28" t="s">
        <v>56</v>
      </c>
      <c r="E5366" s="28" t="s">
        <v>772</v>
      </c>
      <c r="F5366" s="28" t="s">
        <v>142</v>
      </c>
      <c r="G5366" s="28" t="s">
        <v>148</v>
      </c>
      <c r="H5366" s="28" t="s">
        <v>953</v>
      </c>
      <c r="I5366" s="29" t="n">
        <v>300000</v>
      </c>
      <c r="J5366" s="29" t="n">
        <v>225000</v>
      </c>
      <c r="K5366" s="28" t="n">
        <v>9.75</v>
      </c>
      <c r="L5366" s="28" t="n">
        <v>120</v>
      </c>
      <c r="M5366" s="28" t="n">
        <v>6</v>
      </c>
    </row>
    <row r="5367" customFormat="false" ht="15" hidden="false" customHeight="false" outlineLevel="0" collapsed="false">
      <c r="A5367" s="27" t="n">
        <v>46079</v>
      </c>
      <c r="B5367" s="28" t="n">
        <v>2026</v>
      </c>
      <c r="C5367" s="28" t="s">
        <v>169</v>
      </c>
      <c r="D5367" s="28" t="s">
        <v>56</v>
      </c>
      <c r="E5367" s="28" t="s">
        <v>758</v>
      </c>
      <c r="F5367" s="28" t="s">
        <v>142</v>
      </c>
      <c r="G5367" s="28" t="s">
        <v>148</v>
      </c>
      <c r="H5367" s="28" t="s">
        <v>1150</v>
      </c>
      <c r="I5367" s="29" t="n">
        <v>150000</v>
      </c>
      <c r="J5367" s="29" t="n">
        <v>127500</v>
      </c>
      <c r="K5367" s="28" t="n">
        <v>11.25</v>
      </c>
      <c r="L5367" s="28" t="n">
        <v>120</v>
      </c>
      <c r="M5367" s="28" t="n">
        <v>0</v>
      </c>
    </row>
    <row r="5368" customFormat="false" ht="15" hidden="false" customHeight="false" outlineLevel="0" collapsed="false">
      <c r="A5368" s="27" t="n">
        <v>46080</v>
      </c>
      <c r="B5368" s="28" t="n">
        <v>2026</v>
      </c>
      <c r="C5368" s="28" t="s">
        <v>169</v>
      </c>
      <c r="D5368" s="28" t="s">
        <v>45</v>
      </c>
      <c r="E5368" s="28" t="s">
        <v>222</v>
      </c>
      <c r="F5368" s="28" t="s">
        <v>147</v>
      </c>
      <c r="G5368" s="28" t="s">
        <v>148</v>
      </c>
      <c r="H5368" s="28" t="s">
        <v>159</v>
      </c>
      <c r="I5368" s="29" t="n">
        <v>25000</v>
      </c>
      <c r="J5368" s="29" t="n">
        <v>12500</v>
      </c>
      <c r="K5368" s="28" t="n">
        <v>13.25</v>
      </c>
      <c r="L5368" s="28" t="n">
        <v>120</v>
      </c>
      <c r="M5368" s="28" t="n">
        <v>3</v>
      </c>
    </row>
    <row r="5369" customFormat="false" ht="15" hidden="false" customHeight="false" outlineLevel="0" collapsed="false">
      <c r="A5369" s="27" t="n">
        <v>46080</v>
      </c>
      <c r="B5369" s="28" t="n">
        <v>2026</v>
      </c>
      <c r="C5369" s="28" t="s">
        <v>349</v>
      </c>
      <c r="D5369" s="28" t="s">
        <v>44</v>
      </c>
      <c r="E5369" s="28" t="s">
        <v>783</v>
      </c>
      <c r="F5369" s="28" t="s">
        <v>147</v>
      </c>
      <c r="G5369" s="28" t="s">
        <v>152</v>
      </c>
      <c r="H5369" s="28" t="s">
        <v>351</v>
      </c>
      <c r="I5369" s="29" t="n">
        <v>20000</v>
      </c>
      <c r="J5369" s="29" t="n">
        <v>10000</v>
      </c>
      <c r="K5369" s="28" t="n">
        <v>7.75</v>
      </c>
      <c r="L5369" s="28" t="n">
        <v>120</v>
      </c>
      <c r="M5369" s="28" t="n">
        <v>2</v>
      </c>
    </row>
    <row r="5370" customFormat="false" ht="15" hidden="false" customHeight="false" outlineLevel="0" collapsed="false">
      <c r="A5370" s="27" t="n">
        <v>46080</v>
      </c>
      <c r="B5370" s="28" t="n">
        <v>2026</v>
      </c>
      <c r="C5370" s="28" t="s">
        <v>172</v>
      </c>
      <c r="D5370" s="28" t="s">
        <v>46</v>
      </c>
      <c r="E5370" s="28" t="s">
        <v>770</v>
      </c>
      <c r="F5370" s="28" t="s">
        <v>142</v>
      </c>
      <c r="G5370" s="28" t="s">
        <v>143</v>
      </c>
      <c r="H5370" s="28" t="s">
        <v>211</v>
      </c>
      <c r="I5370" s="29" t="n">
        <v>83600</v>
      </c>
      <c r="J5370" s="29" t="n">
        <v>62700</v>
      </c>
      <c r="K5370" s="28" t="n">
        <v>3.15</v>
      </c>
      <c r="L5370" s="28" t="n">
        <v>120</v>
      </c>
      <c r="M5370" s="28" t="n">
        <v>1</v>
      </c>
    </row>
    <row r="5371" customFormat="false" ht="15" hidden="false" customHeight="false" outlineLevel="0" collapsed="false">
      <c r="A5371" s="27" t="n">
        <v>46080</v>
      </c>
      <c r="B5371" s="28" t="n">
        <v>2026</v>
      </c>
      <c r="C5371" s="28" t="s">
        <v>163</v>
      </c>
      <c r="D5371" s="28" t="s">
        <v>48</v>
      </c>
      <c r="E5371" s="28" t="s">
        <v>304</v>
      </c>
      <c r="F5371" s="28" t="s">
        <v>147</v>
      </c>
      <c r="G5371" s="28" t="s">
        <v>148</v>
      </c>
      <c r="H5371" s="28" t="s">
        <v>953</v>
      </c>
      <c r="I5371" s="29" t="n">
        <v>25000</v>
      </c>
      <c r="J5371" s="29" t="n">
        <v>12500</v>
      </c>
      <c r="K5371" s="28" t="n">
        <v>13.25</v>
      </c>
      <c r="L5371" s="28" t="n">
        <v>120</v>
      </c>
      <c r="M5371" s="28" t="n">
        <v>6</v>
      </c>
    </row>
    <row r="5372" customFormat="false" ht="15" hidden="false" customHeight="false" outlineLevel="0" collapsed="false">
      <c r="A5372" s="27" t="n">
        <v>46080</v>
      </c>
      <c r="B5372" s="28" t="n">
        <v>2026</v>
      </c>
      <c r="C5372" s="28" t="s">
        <v>252</v>
      </c>
      <c r="D5372" s="28" t="s">
        <v>49</v>
      </c>
      <c r="E5372" s="28" t="s">
        <v>994</v>
      </c>
      <c r="F5372" s="28" t="s">
        <v>142</v>
      </c>
      <c r="G5372" s="28" t="s">
        <v>148</v>
      </c>
      <c r="H5372" s="28" t="s">
        <v>579</v>
      </c>
      <c r="I5372" s="29" t="n">
        <v>150000</v>
      </c>
      <c r="J5372" s="29" t="n">
        <v>127500</v>
      </c>
      <c r="K5372" s="28" t="n">
        <v>10.25</v>
      </c>
      <c r="L5372" s="28" t="n">
        <v>120</v>
      </c>
      <c r="M5372" s="28" t="n">
        <v>3</v>
      </c>
    </row>
    <row r="5373" customFormat="false" ht="15" hidden="false" customHeight="false" outlineLevel="0" collapsed="false">
      <c r="A5373" s="27" t="n">
        <v>46081</v>
      </c>
      <c r="B5373" s="28" t="n">
        <v>2026</v>
      </c>
      <c r="C5373" s="28" t="s">
        <v>172</v>
      </c>
      <c r="D5373" s="28" t="s">
        <v>43</v>
      </c>
      <c r="E5373" s="28" t="s">
        <v>952</v>
      </c>
      <c r="F5373" s="28" t="s">
        <v>142</v>
      </c>
      <c r="G5373" s="28" t="s">
        <v>152</v>
      </c>
      <c r="H5373" s="28" t="s">
        <v>819</v>
      </c>
      <c r="I5373" s="29" t="n">
        <v>1500000</v>
      </c>
      <c r="J5373" s="29" t="n">
        <v>1125000</v>
      </c>
      <c r="K5373" s="28" t="n">
        <v>8.25</v>
      </c>
      <c r="L5373" s="28" t="n">
        <v>120</v>
      </c>
      <c r="M5373" s="28" t="n">
        <v>22</v>
      </c>
    </row>
    <row r="5374" customFormat="false" ht="15" hidden="false" customHeight="false" outlineLevel="0" collapsed="false">
      <c r="A5374" s="27" t="n">
        <v>46083</v>
      </c>
      <c r="B5374" s="28" t="n">
        <v>2026</v>
      </c>
      <c r="C5374" s="28" t="s">
        <v>172</v>
      </c>
      <c r="D5374" s="28" t="s">
        <v>43</v>
      </c>
      <c r="E5374" s="28" t="s">
        <v>837</v>
      </c>
      <c r="F5374" s="28" t="s">
        <v>142</v>
      </c>
      <c r="G5374" s="28" t="s">
        <v>143</v>
      </c>
      <c r="H5374" s="28" t="s">
        <v>287</v>
      </c>
      <c r="I5374" s="29" t="n">
        <v>140000</v>
      </c>
      <c r="J5374" s="29" t="n">
        <v>119000</v>
      </c>
      <c r="K5374" s="28" t="n">
        <v>9.75</v>
      </c>
      <c r="L5374" s="28" t="n">
        <v>120</v>
      </c>
      <c r="M5374" s="28" t="n">
        <v>2</v>
      </c>
    </row>
    <row r="5375" customFormat="false" ht="15" hidden="false" customHeight="false" outlineLevel="0" collapsed="false">
      <c r="A5375" s="27" t="n">
        <v>46083</v>
      </c>
      <c r="B5375" s="28" t="n">
        <v>2026</v>
      </c>
      <c r="C5375" s="28" t="s">
        <v>140</v>
      </c>
      <c r="D5375" s="28" t="s">
        <v>43</v>
      </c>
      <c r="E5375" s="28" t="s">
        <v>837</v>
      </c>
      <c r="F5375" s="28" t="s">
        <v>142</v>
      </c>
      <c r="G5375" s="28" t="s">
        <v>143</v>
      </c>
      <c r="H5375" s="28" t="s">
        <v>287</v>
      </c>
      <c r="I5375" s="29" t="n">
        <v>140000</v>
      </c>
      <c r="J5375" s="29" t="n">
        <v>119000</v>
      </c>
      <c r="K5375" s="28" t="n">
        <v>9.75</v>
      </c>
      <c r="L5375" s="28" t="n">
        <v>120</v>
      </c>
      <c r="M5375" s="28" t="n">
        <v>2</v>
      </c>
    </row>
    <row r="5376" customFormat="false" ht="15" hidden="false" customHeight="false" outlineLevel="0" collapsed="false">
      <c r="A5376" s="27" t="n">
        <v>46083</v>
      </c>
      <c r="B5376" s="28" t="n">
        <v>2026</v>
      </c>
      <c r="C5376" s="28" t="s">
        <v>738</v>
      </c>
      <c r="D5376" s="28" t="s">
        <v>48</v>
      </c>
      <c r="E5376" s="28" t="s">
        <v>277</v>
      </c>
      <c r="F5376" s="28" t="s">
        <v>142</v>
      </c>
      <c r="G5376" s="28" t="s">
        <v>148</v>
      </c>
      <c r="H5376" s="28" t="s">
        <v>592</v>
      </c>
      <c r="I5376" s="29" t="n">
        <v>1870000</v>
      </c>
      <c r="J5376" s="29" t="n">
        <v>1402500</v>
      </c>
      <c r="K5376" s="28" t="n">
        <v>7.6</v>
      </c>
      <c r="L5376" s="28" t="n">
        <v>300</v>
      </c>
      <c r="M5376" s="28" t="n">
        <v>15</v>
      </c>
    </row>
    <row r="5377" customFormat="false" ht="15" hidden="false" customHeight="false" outlineLevel="0" collapsed="false">
      <c r="A5377" s="27" t="n">
        <v>46083</v>
      </c>
      <c r="B5377" s="28" t="n">
        <v>2026</v>
      </c>
      <c r="C5377" s="28" t="s">
        <v>530</v>
      </c>
      <c r="D5377" s="28" t="s">
        <v>44</v>
      </c>
      <c r="E5377" s="28" t="s">
        <v>863</v>
      </c>
      <c r="F5377" s="28" t="s">
        <v>142</v>
      </c>
      <c r="G5377" s="28" t="s">
        <v>148</v>
      </c>
      <c r="H5377" s="28" t="s">
        <v>469</v>
      </c>
      <c r="I5377" s="29" t="n">
        <v>771000</v>
      </c>
      <c r="J5377" s="29" t="n">
        <v>578250</v>
      </c>
      <c r="K5377" s="28" t="n">
        <v>6.625</v>
      </c>
      <c r="L5377" s="28" t="n">
        <v>239</v>
      </c>
      <c r="M5377" s="28" t="n">
        <v>5</v>
      </c>
    </row>
    <row r="5378" customFormat="false" ht="15" hidden="false" customHeight="false" outlineLevel="0" collapsed="false">
      <c r="A5378" s="27" t="n">
        <v>46084</v>
      </c>
      <c r="B5378" s="28" t="n">
        <v>2026</v>
      </c>
      <c r="C5378" s="28" t="s">
        <v>166</v>
      </c>
      <c r="D5378" s="28" t="s">
        <v>52</v>
      </c>
      <c r="E5378" s="28" t="s">
        <v>894</v>
      </c>
      <c r="F5378" s="28" t="s">
        <v>147</v>
      </c>
      <c r="G5378" s="28" t="s">
        <v>143</v>
      </c>
      <c r="H5378" s="28" t="s">
        <v>159</v>
      </c>
      <c r="I5378" s="29" t="n">
        <v>21000</v>
      </c>
      <c r="J5378" s="29" t="n">
        <v>10500</v>
      </c>
      <c r="K5378" s="28" t="n">
        <v>10.49</v>
      </c>
      <c r="L5378" s="28" t="n">
        <v>60</v>
      </c>
      <c r="M5378" s="28" t="n">
        <v>3</v>
      </c>
    </row>
    <row r="5379" customFormat="false" ht="15" hidden="false" customHeight="false" outlineLevel="0" collapsed="false">
      <c r="A5379" s="27" t="n">
        <v>46084</v>
      </c>
      <c r="B5379" s="28" t="n">
        <v>2026</v>
      </c>
      <c r="C5379" s="28" t="s">
        <v>166</v>
      </c>
      <c r="D5379" s="28" t="s">
        <v>52</v>
      </c>
      <c r="E5379" s="28" t="s">
        <v>894</v>
      </c>
      <c r="F5379" s="28" t="s">
        <v>147</v>
      </c>
      <c r="G5379" s="28" t="s">
        <v>143</v>
      </c>
      <c r="H5379" s="28" t="s">
        <v>159</v>
      </c>
      <c r="I5379" s="29" t="n">
        <v>25000</v>
      </c>
      <c r="J5379" s="29" t="n">
        <v>12500</v>
      </c>
      <c r="K5379" s="28" t="n">
        <v>10.5</v>
      </c>
      <c r="L5379" s="28" t="n">
        <v>120</v>
      </c>
      <c r="M5379" s="28" t="n">
        <v>3</v>
      </c>
    </row>
    <row r="5380" customFormat="false" ht="15" hidden="false" customHeight="false" outlineLevel="0" collapsed="false">
      <c r="A5380" s="27" t="n">
        <v>46084</v>
      </c>
      <c r="B5380" s="28" t="n">
        <v>2026</v>
      </c>
      <c r="C5380" s="28" t="s">
        <v>411</v>
      </c>
      <c r="D5380" s="28" t="s">
        <v>55</v>
      </c>
      <c r="E5380" s="28" t="s">
        <v>1187</v>
      </c>
      <c r="F5380" s="28" t="s">
        <v>142</v>
      </c>
      <c r="G5380" s="28" t="s">
        <v>148</v>
      </c>
      <c r="H5380" s="28" t="s">
        <v>275</v>
      </c>
      <c r="I5380" s="29" t="n">
        <v>150000</v>
      </c>
      <c r="J5380" s="29" t="n">
        <v>120000</v>
      </c>
      <c r="K5380" s="28" t="n">
        <v>9.5</v>
      </c>
      <c r="L5380" s="28" t="n">
        <v>120</v>
      </c>
      <c r="M5380" s="28" t="n">
        <v>3</v>
      </c>
    </row>
    <row r="5381" customFormat="false" ht="15" hidden="false" customHeight="false" outlineLevel="0" collapsed="false">
      <c r="A5381" s="27" t="n">
        <v>46085</v>
      </c>
      <c r="B5381" s="28" t="n">
        <v>2026</v>
      </c>
      <c r="C5381" s="28" t="s">
        <v>172</v>
      </c>
      <c r="D5381" s="28" t="s">
        <v>45</v>
      </c>
      <c r="E5381" s="28" t="s">
        <v>798</v>
      </c>
      <c r="F5381" s="28" t="s">
        <v>147</v>
      </c>
      <c r="G5381" s="28" t="s">
        <v>143</v>
      </c>
      <c r="H5381" s="28" t="s">
        <v>211</v>
      </c>
      <c r="I5381" s="29" t="n">
        <v>50000</v>
      </c>
      <c r="J5381" s="29" t="n">
        <v>25000</v>
      </c>
      <c r="K5381" s="28" t="n">
        <v>9.75</v>
      </c>
      <c r="L5381" s="28" t="n">
        <v>120</v>
      </c>
      <c r="M5381" s="28" t="n">
        <v>3</v>
      </c>
    </row>
    <row r="5382" customFormat="false" ht="15" hidden="false" customHeight="false" outlineLevel="0" collapsed="false">
      <c r="A5382" s="27" t="n">
        <v>46085</v>
      </c>
      <c r="B5382" s="28" t="n">
        <v>2026</v>
      </c>
      <c r="C5382" s="28" t="s">
        <v>201</v>
      </c>
      <c r="D5382" s="28" t="s">
        <v>46</v>
      </c>
      <c r="E5382" s="28" t="s">
        <v>746</v>
      </c>
      <c r="F5382" s="28" t="s">
        <v>142</v>
      </c>
      <c r="G5382" s="28" t="s">
        <v>143</v>
      </c>
      <c r="H5382" s="28" t="s">
        <v>693</v>
      </c>
      <c r="I5382" s="29" t="n">
        <v>150000</v>
      </c>
      <c r="J5382" s="29" t="n">
        <v>127500</v>
      </c>
      <c r="K5382" s="28" t="n">
        <v>10.25</v>
      </c>
      <c r="L5382" s="28" t="n">
        <v>120</v>
      </c>
      <c r="M5382" s="28" t="n">
        <v>0</v>
      </c>
    </row>
    <row r="5383" customFormat="false" ht="15" hidden="false" customHeight="false" outlineLevel="0" collapsed="false">
      <c r="A5383" s="27" t="n">
        <v>46085</v>
      </c>
      <c r="B5383" s="28" t="n">
        <v>2026</v>
      </c>
      <c r="C5383" s="28" t="s">
        <v>172</v>
      </c>
      <c r="D5383" s="28" t="s">
        <v>48</v>
      </c>
      <c r="E5383" s="28" t="s">
        <v>342</v>
      </c>
      <c r="F5383" s="28" t="s">
        <v>147</v>
      </c>
      <c r="G5383" s="28" t="s">
        <v>148</v>
      </c>
      <c r="H5383" s="28" t="s">
        <v>159</v>
      </c>
      <c r="I5383" s="29" t="n">
        <v>65000</v>
      </c>
      <c r="J5383" s="29" t="n">
        <v>32500</v>
      </c>
      <c r="K5383" s="28" t="n">
        <v>9.99</v>
      </c>
      <c r="L5383" s="28" t="n">
        <v>60</v>
      </c>
      <c r="M5383" s="28" t="n">
        <v>3</v>
      </c>
    </row>
    <row r="5384" customFormat="false" ht="15" hidden="false" customHeight="false" outlineLevel="0" collapsed="false">
      <c r="A5384" s="27" t="n">
        <v>46085</v>
      </c>
      <c r="B5384" s="28" t="n">
        <v>2026</v>
      </c>
      <c r="C5384" s="28" t="s">
        <v>518</v>
      </c>
      <c r="D5384" s="28" t="s">
        <v>52</v>
      </c>
      <c r="E5384" s="28" t="s">
        <v>599</v>
      </c>
      <c r="F5384" s="28" t="s">
        <v>142</v>
      </c>
      <c r="G5384" s="28" t="s">
        <v>152</v>
      </c>
      <c r="H5384" s="28" t="s">
        <v>275</v>
      </c>
      <c r="I5384" s="29" t="n">
        <v>490500</v>
      </c>
      <c r="J5384" s="29" t="n">
        <v>367875</v>
      </c>
      <c r="K5384" s="28" t="n">
        <v>9</v>
      </c>
      <c r="L5384" s="28" t="n">
        <v>120</v>
      </c>
      <c r="M5384" s="28" t="n">
        <v>38</v>
      </c>
    </row>
    <row r="5385" customFormat="false" ht="15" hidden="false" customHeight="false" outlineLevel="0" collapsed="false">
      <c r="A5385" s="27" t="n">
        <v>46085</v>
      </c>
      <c r="B5385" s="28" t="n">
        <v>2026</v>
      </c>
      <c r="C5385" s="28" t="s">
        <v>172</v>
      </c>
      <c r="D5385" s="28" t="s">
        <v>45</v>
      </c>
      <c r="E5385" s="28" t="s">
        <v>798</v>
      </c>
      <c r="F5385" s="28" t="s">
        <v>142</v>
      </c>
      <c r="G5385" s="28" t="s">
        <v>143</v>
      </c>
      <c r="H5385" s="28" t="s">
        <v>211</v>
      </c>
      <c r="I5385" s="29" t="n">
        <v>226000</v>
      </c>
      <c r="J5385" s="29" t="n">
        <v>169500</v>
      </c>
      <c r="K5385" s="28" t="n">
        <v>9.75</v>
      </c>
      <c r="L5385" s="28" t="n">
        <v>120</v>
      </c>
      <c r="M5385" s="28" t="n">
        <v>3</v>
      </c>
    </row>
    <row r="5386" customFormat="false" ht="15" hidden="false" customHeight="false" outlineLevel="0" collapsed="false">
      <c r="A5386" s="27" t="n">
        <v>46085</v>
      </c>
      <c r="B5386" s="28" t="n">
        <v>2026</v>
      </c>
      <c r="C5386" s="28" t="s">
        <v>169</v>
      </c>
      <c r="D5386" s="28" t="s">
        <v>48</v>
      </c>
      <c r="E5386" s="28" t="s">
        <v>346</v>
      </c>
      <c r="F5386" s="28" t="s">
        <v>147</v>
      </c>
      <c r="G5386" s="28" t="s">
        <v>148</v>
      </c>
      <c r="H5386" s="28" t="s">
        <v>953</v>
      </c>
      <c r="I5386" s="29" t="n">
        <v>19000</v>
      </c>
      <c r="J5386" s="29" t="n">
        <v>9500</v>
      </c>
      <c r="K5386" s="28" t="n">
        <v>13.25</v>
      </c>
      <c r="L5386" s="28" t="n">
        <v>120</v>
      </c>
      <c r="M5386" s="28" t="n">
        <v>1</v>
      </c>
    </row>
    <row r="5387" customFormat="false" ht="15" hidden="false" customHeight="false" outlineLevel="0" collapsed="false">
      <c r="A5387" s="27" t="n">
        <v>46086</v>
      </c>
      <c r="B5387" s="28" t="n">
        <v>2026</v>
      </c>
      <c r="C5387" s="28" t="s">
        <v>198</v>
      </c>
      <c r="D5387" s="28" t="s">
        <v>52</v>
      </c>
      <c r="E5387" s="28" t="s">
        <v>599</v>
      </c>
      <c r="F5387" s="28" t="s">
        <v>142</v>
      </c>
      <c r="G5387" s="28" t="s">
        <v>441</v>
      </c>
      <c r="H5387" s="28" t="s">
        <v>168</v>
      </c>
      <c r="I5387" s="29" t="n">
        <v>1836500</v>
      </c>
      <c r="J5387" s="29" t="n">
        <v>1377375</v>
      </c>
      <c r="K5387" s="28" t="n">
        <v>7.93</v>
      </c>
      <c r="L5387" s="28" t="n">
        <v>120</v>
      </c>
      <c r="M5387" s="28" t="n">
        <v>90</v>
      </c>
    </row>
    <row r="5388" customFormat="false" ht="15" hidden="false" customHeight="false" outlineLevel="0" collapsed="false">
      <c r="A5388" s="27" t="n">
        <v>46086</v>
      </c>
      <c r="B5388" s="28" t="n">
        <v>2026</v>
      </c>
      <c r="C5388" s="28" t="s">
        <v>216</v>
      </c>
      <c r="D5388" s="28" t="s">
        <v>50</v>
      </c>
      <c r="E5388" s="28" t="s">
        <v>193</v>
      </c>
      <c r="F5388" s="28" t="s">
        <v>147</v>
      </c>
      <c r="G5388" s="28" t="s">
        <v>148</v>
      </c>
      <c r="H5388" s="28" t="s">
        <v>953</v>
      </c>
      <c r="I5388" s="29" t="n">
        <v>25000</v>
      </c>
      <c r="J5388" s="29" t="n">
        <v>12500</v>
      </c>
      <c r="K5388" s="28" t="n">
        <v>13.25</v>
      </c>
      <c r="L5388" s="28" t="n">
        <v>120</v>
      </c>
      <c r="M5388" s="28" t="n">
        <v>14</v>
      </c>
    </row>
    <row r="5389" customFormat="false" ht="15" hidden="false" customHeight="false" outlineLevel="0" collapsed="false">
      <c r="A5389" s="27" t="n">
        <v>46086</v>
      </c>
      <c r="B5389" s="28" t="n">
        <v>2026</v>
      </c>
      <c r="C5389" s="28" t="s">
        <v>163</v>
      </c>
      <c r="D5389" s="28" t="s">
        <v>51</v>
      </c>
      <c r="E5389" s="28" t="s">
        <v>773</v>
      </c>
      <c r="F5389" s="28" t="s">
        <v>142</v>
      </c>
      <c r="G5389" s="28" t="s">
        <v>143</v>
      </c>
      <c r="H5389" s="28" t="s">
        <v>215</v>
      </c>
      <c r="I5389" s="29" t="n">
        <v>5000000</v>
      </c>
      <c r="J5389" s="29" t="n">
        <v>3750000</v>
      </c>
      <c r="K5389" s="28" t="n">
        <v>7.75</v>
      </c>
      <c r="L5389" s="28" t="n">
        <v>300</v>
      </c>
      <c r="M5389" s="28" t="n">
        <v>70</v>
      </c>
    </row>
    <row r="5390" customFormat="false" ht="15" hidden="false" customHeight="false" outlineLevel="0" collapsed="false">
      <c r="A5390" s="27" t="n">
        <v>46086</v>
      </c>
      <c r="B5390" s="28" t="n">
        <v>2026</v>
      </c>
      <c r="C5390" s="28" t="s">
        <v>172</v>
      </c>
      <c r="D5390" s="28" t="s">
        <v>48</v>
      </c>
      <c r="E5390" s="28" t="s">
        <v>736</v>
      </c>
      <c r="F5390" s="28" t="s">
        <v>147</v>
      </c>
      <c r="G5390" s="28" t="s">
        <v>148</v>
      </c>
      <c r="H5390" s="28" t="s">
        <v>428</v>
      </c>
      <c r="I5390" s="29" t="n">
        <v>167000</v>
      </c>
      <c r="J5390" s="29" t="n">
        <v>83500</v>
      </c>
      <c r="K5390" s="28" t="n">
        <v>12.05</v>
      </c>
      <c r="L5390" s="28" t="n">
        <v>120</v>
      </c>
      <c r="M5390" s="28" t="n">
        <v>4</v>
      </c>
    </row>
    <row r="5391" customFormat="false" ht="15" hidden="false" customHeight="false" outlineLevel="0" collapsed="false">
      <c r="A5391" s="27" t="n">
        <v>46086</v>
      </c>
      <c r="B5391" s="28" t="n">
        <v>2026</v>
      </c>
      <c r="C5391" s="28" t="s">
        <v>172</v>
      </c>
      <c r="D5391" s="28" t="s">
        <v>46</v>
      </c>
      <c r="E5391" s="28" t="s">
        <v>904</v>
      </c>
      <c r="F5391" s="28" t="s">
        <v>142</v>
      </c>
      <c r="G5391" s="28" t="s">
        <v>148</v>
      </c>
      <c r="H5391" s="28" t="s">
        <v>953</v>
      </c>
      <c r="I5391" s="29" t="n">
        <v>125000</v>
      </c>
      <c r="J5391" s="29" t="n">
        <v>106250</v>
      </c>
      <c r="K5391" s="28" t="n">
        <v>9.75</v>
      </c>
      <c r="L5391" s="28" t="n">
        <v>120</v>
      </c>
      <c r="M5391" s="28" t="n">
        <v>6</v>
      </c>
    </row>
    <row r="5392" customFormat="false" ht="15" hidden="false" customHeight="false" outlineLevel="0" collapsed="false">
      <c r="A5392" s="27" t="n">
        <v>46087</v>
      </c>
      <c r="B5392" s="28" t="n">
        <v>2026</v>
      </c>
      <c r="C5392" s="28" t="s">
        <v>206</v>
      </c>
      <c r="D5392" s="28" t="s">
        <v>56</v>
      </c>
      <c r="E5392" s="28" t="s">
        <v>722</v>
      </c>
      <c r="F5392" s="28" t="s">
        <v>142</v>
      </c>
      <c r="G5392" s="28" t="s">
        <v>148</v>
      </c>
      <c r="H5392" s="28" t="s">
        <v>314</v>
      </c>
      <c r="I5392" s="29" t="n">
        <v>4595000</v>
      </c>
      <c r="J5392" s="29" t="n">
        <v>3446250</v>
      </c>
      <c r="K5392" s="28" t="n">
        <v>9</v>
      </c>
      <c r="L5392" s="28" t="n">
        <v>129</v>
      </c>
      <c r="M5392" s="28" t="n">
        <v>52</v>
      </c>
    </row>
    <row r="5393" customFormat="false" ht="15" hidden="false" customHeight="false" outlineLevel="0" collapsed="false">
      <c r="A5393" s="27" t="n">
        <v>46087</v>
      </c>
      <c r="B5393" s="28" t="n">
        <v>2026</v>
      </c>
      <c r="C5393" s="28" t="s">
        <v>316</v>
      </c>
      <c r="D5393" s="28" t="s">
        <v>48</v>
      </c>
      <c r="E5393" s="28" t="s">
        <v>1090</v>
      </c>
      <c r="F5393" s="28" t="s">
        <v>194</v>
      </c>
      <c r="G5393" s="28" t="s">
        <v>143</v>
      </c>
      <c r="H5393" s="28" t="s">
        <v>195</v>
      </c>
      <c r="I5393" s="29" t="n">
        <v>102000</v>
      </c>
      <c r="J5393" s="29" t="n">
        <v>86700</v>
      </c>
      <c r="K5393" s="28" t="n">
        <v>7.75</v>
      </c>
      <c r="L5393" s="28" t="n">
        <v>120</v>
      </c>
      <c r="M5393" s="28" t="n">
        <v>2</v>
      </c>
    </row>
    <row r="5394" customFormat="false" ht="15" hidden="false" customHeight="false" outlineLevel="0" collapsed="false">
      <c r="A5394" s="27" t="n">
        <v>46087</v>
      </c>
      <c r="B5394" s="28" t="n">
        <v>2026</v>
      </c>
      <c r="C5394" s="28" t="s">
        <v>166</v>
      </c>
      <c r="D5394" s="28" t="s">
        <v>47</v>
      </c>
      <c r="E5394" s="28" t="s">
        <v>865</v>
      </c>
      <c r="F5394" s="28" t="s">
        <v>147</v>
      </c>
      <c r="G5394" s="28" t="s">
        <v>441</v>
      </c>
      <c r="H5394" s="28" t="s">
        <v>159</v>
      </c>
      <c r="I5394" s="29" t="n">
        <v>175000</v>
      </c>
      <c r="J5394" s="29" t="n">
        <v>87500</v>
      </c>
      <c r="K5394" s="28" t="n">
        <v>10.25</v>
      </c>
      <c r="L5394" s="28" t="n">
        <v>120</v>
      </c>
      <c r="M5394" s="28" t="n">
        <v>3</v>
      </c>
    </row>
    <row r="5395" customFormat="false" ht="15" hidden="false" customHeight="false" outlineLevel="0" collapsed="false">
      <c r="A5395" s="27" t="n">
        <v>46087</v>
      </c>
      <c r="B5395" s="28" t="n">
        <v>2026</v>
      </c>
      <c r="C5395" s="28" t="s">
        <v>166</v>
      </c>
      <c r="D5395" s="28" t="s">
        <v>47</v>
      </c>
      <c r="E5395" s="28" t="s">
        <v>865</v>
      </c>
      <c r="F5395" s="28" t="s">
        <v>147</v>
      </c>
      <c r="G5395" s="28" t="s">
        <v>441</v>
      </c>
      <c r="H5395" s="28" t="s">
        <v>159</v>
      </c>
      <c r="I5395" s="29" t="n">
        <v>25000</v>
      </c>
      <c r="J5395" s="29" t="n">
        <v>12500</v>
      </c>
      <c r="K5395" s="28" t="n">
        <v>10.5</v>
      </c>
      <c r="L5395" s="28" t="n">
        <v>120</v>
      </c>
      <c r="M5395" s="28" t="n">
        <v>3</v>
      </c>
    </row>
    <row r="5396" customFormat="false" ht="15" hidden="false" customHeight="false" outlineLevel="0" collapsed="false">
      <c r="A5396" s="27" t="n">
        <v>46087</v>
      </c>
      <c r="B5396" s="28" t="n">
        <v>2026</v>
      </c>
      <c r="C5396" s="28" t="s">
        <v>571</v>
      </c>
      <c r="D5396" s="28" t="s">
        <v>45</v>
      </c>
      <c r="E5396" s="28" t="s">
        <v>824</v>
      </c>
      <c r="F5396" s="28" t="s">
        <v>194</v>
      </c>
      <c r="G5396" s="28" t="s">
        <v>441</v>
      </c>
      <c r="H5396" s="28" t="s">
        <v>266</v>
      </c>
      <c r="I5396" s="29" t="n">
        <v>25000</v>
      </c>
      <c r="J5396" s="29" t="n">
        <v>21250</v>
      </c>
      <c r="K5396" s="28" t="n">
        <v>8.5</v>
      </c>
      <c r="L5396" s="28" t="n">
        <v>60</v>
      </c>
      <c r="M5396" s="28" t="n">
        <v>2</v>
      </c>
    </row>
    <row r="5397" customFormat="false" ht="15" hidden="false" customHeight="false" outlineLevel="0" collapsed="false">
      <c r="A5397" s="27" t="n">
        <v>46090</v>
      </c>
      <c r="B5397" s="28" t="n">
        <v>2026</v>
      </c>
      <c r="C5397" s="28" t="s">
        <v>349</v>
      </c>
      <c r="D5397" s="28" t="s">
        <v>44</v>
      </c>
      <c r="E5397" s="28" t="s">
        <v>783</v>
      </c>
      <c r="F5397" s="28" t="s">
        <v>194</v>
      </c>
      <c r="G5397" s="28" t="s">
        <v>152</v>
      </c>
      <c r="H5397" s="28" t="s">
        <v>351</v>
      </c>
      <c r="I5397" s="29" t="n">
        <v>100000</v>
      </c>
      <c r="J5397" s="29" t="n">
        <v>85000</v>
      </c>
      <c r="K5397" s="28" t="n">
        <v>9.14</v>
      </c>
      <c r="L5397" s="28" t="n">
        <v>120</v>
      </c>
      <c r="M5397" s="28" t="n">
        <v>2</v>
      </c>
    </row>
    <row r="5398" customFormat="false" ht="15" hidden="false" customHeight="false" outlineLevel="0" collapsed="false">
      <c r="A5398" s="27" t="n">
        <v>46091</v>
      </c>
      <c r="B5398" s="28" t="n">
        <v>2026</v>
      </c>
      <c r="C5398" s="28" t="s">
        <v>344</v>
      </c>
      <c r="D5398" s="28" t="s">
        <v>44</v>
      </c>
      <c r="E5398" s="28" t="s">
        <v>730</v>
      </c>
      <c r="F5398" s="28" t="s">
        <v>142</v>
      </c>
      <c r="G5398" s="28" t="s">
        <v>143</v>
      </c>
      <c r="H5398" s="28" t="s">
        <v>153</v>
      </c>
      <c r="I5398" s="29" t="n">
        <v>5000000</v>
      </c>
      <c r="J5398" s="29" t="n">
        <v>3750000</v>
      </c>
      <c r="K5398" s="28" t="n">
        <v>7.5</v>
      </c>
      <c r="L5398" s="28" t="n">
        <v>300</v>
      </c>
      <c r="M5398" s="28" t="n">
        <v>25</v>
      </c>
    </row>
    <row r="5399" customFormat="false" ht="15" hidden="false" customHeight="false" outlineLevel="0" collapsed="false">
      <c r="A5399" s="27" t="n">
        <v>46091</v>
      </c>
      <c r="B5399" s="28" t="n">
        <v>2026</v>
      </c>
      <c r="C5399" s="28" t="s">
        <v>206</v>
      </c>
      <c r="D5399" s="28" t="s">
        <v>56</v>
      </c>
      <c r="E5399" s="28" t="s">
        <v>722</v>
      </c>
      <c r="F5399" s="28" t="s">
        <v>147</v>
      </c>
      <c r="G5399" s="28" t="s">
        <v>148</v>
      </c>
      <c r="H5399" s="28" t="s">
        <v>314</v>
      </c>
      <c r="I5399" s="29" t="n">
        <v>150000</v>
      </c>
      <c r="J5399" s="29" t="n">
        <v>75000</v>
      </c>
      <c r="K5399" s="28" t="n">
        <v>9</v>
      </c>
      <c r="L5399" s="28" t="n">
        <v>120</v>
      </c>
      <c r="M5399" s="28" t="n">
        <v>52</v>
      </c>
    </row>
    <row r="5400" customFormat="false" ht="15" hidden="false" customHeight="false" outlineLevel="0" collapsed="false">
      <c r="A5400" s="27" t="n">
        <v>46091</v>
      </c>
      <c r="B5400" s="28" t="n">
        <v>2026</v>
      </c>
      <c r="C5400" s="28" t="s">
        <v>172</v>
      </c>
      <c r="D5400" s="28" t="s">
        <v>48</v>
      </c>
      <c r="E5400" s="28" t="s">
        <v>736</v>
      </c>
      <c r="F5400" s="28" t="s">
        <v>147</v>
      </c>
      <c r="G5400" s="28" t="s">
        <v>148</v>
      </c>
      <c r="H5400" s="28" t="s">
        <v>205</v>
      </c>
      <c r="I5400" s="29" t="n">
        <v>185000</v>
      </c>
      <c r="J5400" s="29" t="n">
        <v>92500</v>
      </c>
      <c r="K5400" s="28" t="n">
        <v>10.55</v>
      </c>
      <c r="L5400" s="28" t="n">
        <v>120</v>
      </c>
      <c r="M5400" s="28" t="n">
        <v>4</v>
      </c>
    </row>
    <row r="5401" customFormat="false" ht="15" hidden="false" customHeight="false" outlineLevel="0" collapsed="false">
      <c r="A5401" s="27" t="n">
        <v>46092</v>
      </c>
      <c r="B5401" s="28" t="n">
        <v>2026</v>
      </c>
      <c r="C5401" s="28" t="s">
        <v>163</v>
      </c>
      <c r="D5401" s="28" t="s">
        <v>47</v>
      </c>
      <c r="E5401" s="28" t="s">
        <v>284</v>
      </c>
      <c r="F5401" s="28" t="s">
        <v>147</v>
      </c>
      <c r="G5401" s="28" t="s">
        <v>441</v>
      </c>
      <c r="H5401" s="28" t="s">
        <v>1186</v>
      </c>
      <c r="I5401" s="29" t="n">
        <v>130000</v>
      </c>
      <c r="J5401" s="29" t="n">
        <v>65000</v>
      </c>
      <c r="K5401" s="28" t="n">
        <v>9</v>
      </c>
      <c r="L5401" s="28" t="n">
        <v>120</v>
      </c>
      <c r="M5401" s="28" t="n">
        <v>16</v>
      </c>
    </row>
    <row r="5402" customFormat="false" ht="15" hidden="false" customHeight="false" outlineLevel="0" collapsed="false">
      <c r="A5402" s="27" t="n">
        <v>46092</v>
      </c>
      <c r="B5402" s="28" t="n">
        <v>2026</v>
      </c>
      <c r="C5402" s="28" t="s">
        <v>201</v>
      </c>
      <c r="D5402" s="28" t="s">
        <v>52</v>
      </c>
      <c r="E5402" s="28" t="s">
        <v>720</v>
      </c>
      <c r="F5402" s="28" t="s">
        <v>147</v>
      </c>
      <c r="G5402" s="28" t="s">
        <v>441</v>
      </c>
      <c r="H5402" s="28" t="s">
        <v>159</v>
      </c>
      <c r="I5402" s="29" t="n">
        <v>25000</v>
      </c>
      <c r="J5402" s="29" t="n">
        <v>12500</v>
      </c>
      <c r="K5402" s="28" t="n">
        <v>13.25</v>
      </c>
      <c r="L5402" s="28" t="n">
        <v>120</v>
      </c>
      <c r="M5402" s="28" t="n">
        <v>2</v>
      </c>
    </row>
    <row r="5403" customFormat="false" ht="15" hidden="false" customHeight="false" outlineLevel="0" collapsed="false">
      <c r="A5403" s="27" t="n">
        <v>46092</v>
      </c>
      <c r="B5403" s="28" t="n">
        <v>2026</v>
      </c>
      <c r="C5403" s="28" t="s">
        <v>235</v>
      </c>
      <c r="D5403" s="28" t="s">
        <v>42</v>
      </c>
      <c r="E5403" s="28" t="s">
        <v>753</v>
      </c>
      <c r="F5403" s="28" t="s">
        <v>142</v>
      </c>
      <c r="G5403" s="28" t="s">
        <v>152</v>
      </c>
      <c r="H5403" s="28" t="s">
        <v>953</v>
      </c>
      <c r="I5403" s="29" t="n">
        <v>150000</v>
      </c>
      <c r="J5403" s="29" t="n">
        <v>127500</v>
      </c>
      <c r="K5403" s="28" t="n">
        <v>9.75</v>
      </c>
      <c r="L5403" s="28" t="n">
        <v>120</v>
      </c>
      <c r="M5403" s="28" t="n">
        <v>26</v>
      </c>
    </row>
    <row r="5404" customFormat="false" ht="15" hidden="false" customHeight="false" outlineLevel="0" collapsed="false">
      <c r="A5404" s="27" t="n">
        <v>46094</v>
      </c>
      <c r="B5404" s="28" t="n">
        <v>2026</v>
      </c>
      <c r="C5404" s="28" t="s">
        <v>206</v>
      </c>
      <c r="D5404" s="28" t="s">
        <v>48</v>
      </c>
      <c r="E5404" s="28" t="s">
        <v>346</v>
      </c>
      <c r="F5404" s="28" t="s">
        <v>142</v>
      </c>
      <c r="G5404" s="28" t="s">
        <v>148</v>
      </c>
      <c r="H5404" s="28" t="s">
        <v>1150</v>
      </c>
      <c r="I5404" s="29" t="n">
        <v>85000</v>
      </c>
      <c r="J5404" s="29" t="n">
        <v>72250</v>
      </c>
      <c r="K5404" s="28" t="n">
        <v>12.5</v>
      </c>
      <c r="L5404" s="28" t="n">
        <v>120</v>
      </c>
      <c r="M5404" s="28" t="n">
        <v>5</v>
      </c>
    </row>
    <row r="5405" customFormat="false" ht="15" hidden="false" customHeight="false" outlineLevel="0" collapsed="false">
      <c r="A5405" s="27" t="n">
        <v>46094</v>
      </c>
      <c r="B5405" s="28" t="n">
        <v>2026</v>
      </c>
      <c r="C5405" s="28" t="s">
        <v>353</v>
      </c>
      <c r="D5405" s="28" t="s">
        <v>43</v>
      </c>
      <c r="E5405" s="28" t="s">
        <v>1088</v>
      </c>
      <c r="F5405" s="28" t="s">
        <v>142</v>
      </c>
      <c r="G5405" s="28" t="s">
        <v>148</v>
      </c>
      <c r="H5405" s="28" t="s">
        <v>953</v>
      </c>
      <c r="I5405" s="29" t="n">
        <v>250000</v>
      </c>
      <c r="J5405" s="29" t="n">
        <v>187500</v>
      </c>
      <c r="K5405" s="28" t="n">
        <v>9.75</v>
      </c>
      <c r="L5405" s="28" t="n">
        <v>120</v>
      </c>
      <c r="M5405" s="28" t="n">
        <v>3</v>
      </c>
    </row>
    <row r="5406" customFormat="false" ht="15" hidden="false" customHeight="false" outlineLevel="0" collapsed="false">
      <c r="A5406" s="27" t="n">
        <v>46094</v>
      </c>
      <c r="B5406" s="28" t="n">
        <v>2026</v>
      </c>
      <c r="C5406" s="28" t="s">
        <v>172</v>
      </c>
      <c r="D5406" s="28" t="s">
        <v>51</v>
      </c>
      <c r="E5406" s="28" t="s">
        <v>800</v>
      </c>
      <c r="F5406" s="28" t="s">
        <v>142</v>
      </c>
      <c r="G5406" s="28" t="s">
        <v>143</v>
      </c>
      <c r="H5406" s="28" t="s">
        <v>980</v>
      </c>
      <c r="I5406" s="29" t="n">
        <v>2900000</v>
      </c>
      <c r="J5406" s="29" t="n">
        <v>2175000</v>
      </c>
      <c r="K5406" s="28" t="n">
        <v>9</v>
      </c>
      <c r="L5406" s="28" t="n">
        <v>120</v>
      </c>
      <c r="M5406" s="28" t="n">
        <v>30</v>
      </c>
    </row>
    <row r="5407" customFormat="false" ht="15" hidden="false" customHeight="false" outlineLevel="0" collapsed="false">
      <c r="A5407" s="27" t="n">
        <v>46094</v>
      </c>
      <c r="B5407" s="28" t="n">
        <v>2026</v>
      </c>
      <c r="C5407" s="28" t="s">
        <v>344</v>
      </c>
      <c r="D5407" s="28" t="s">
        <v>48</v>
      </c>
      <c r="E5407" s="28" t="s">
        <v>704</v>
      </c>
      <c r="F5407" s="28" t="s">
        <v>147</v>
      </c>
      <c r="G5407" s="28" t="s">
        <v>143</v>
      </c>
      <c r="H5407" s="28" t="s">
        <v>159</v>
      </c>
      <c r="I5407" s="29" t="n">
        <v>25000</v>
      </c>
      <c r="J5407" s="29" t="n">
        <v>12500</v>
      </c>
      <c r="K5407" s="28" t="n">
        <v>11.74</v>
      </c>
      <c r="L5407" s="28" t="n">
        <v>60</v>
      </c>
      <c r="M5407" s="28" t="n">
        <v>2</v>
      </c>
    </row>
    <row r="5408" customFormat="false" ht="15" hidden="false" customHeight="false" outlineLevel="0" collapsed="false">
      <c r="A5408" s="27" t="n">
        <v>46094</v>
      </c>
      <c r="B5408" s="28" t="n">
        <v>2026</v>
      </c>
      <c r="C5408" s="28" t="s">
        <v>206</v>
      </c>
      <c r="D5408" s="28" t="s">
        <v>48</v>
      </c>
      <c r="E5408" s="28" t="s">
        <v>228</v>
      </c>
      <c r="F5408" s="28" t="s">
        <v>147</v>
      </c>
      <c r="G5408" s="28" t="s">
        <v>148</v>
      </c>
      <c r="H5408" s="28" t="s">
        <v>314</v>
      </c>
      <c r="I5408" s="29" t="n">
        <v>500000</v>
      </c>
      <c r="J5408" s="29" t="n">
        <v>250000</v>
      </c>
      <c r="K5408" s="28" t="n">
        <v>8.25</v>
      </c>
      <c r="L5408" s="28" t="n">
        <v>120</v>
      </c>
      <c r="M5408" s="28" t="n">
        <v>33</v>
      </c>
    </row>
    <row r="5409" customFormat="false" ht="15" hidden="false" customHeight="false" outlineLevel="0" collapsed="false">
      <c r="A5409" s="27" t="n">
        <v>46097</v>
      </c>
      <c r="B5409" s="28" t="n">
        <v>2026</v>
      </c>
      <c r="C5409" s="28" t="s">
        <v>318</v>
      </c>
      <c r="D5409" s="28" t="s">
        <v>43</v>
      </c>
      <c r="E5409" s="28" t="s">
        <v>942</v>
      </c>
      <c r="F5409" s="28" t="s">
        <v>194</v>
      </c>
      <c r="G5409" s="28" t="s">
        <v>143</v>
      </c>
      <c r="H5409" s="28" t="s">
        <v>351</v>
      </c>
      <c r="I5409" s="29" t="n">
        <v>92000</v>
      </c>
      <c r="J5409" s="29" t="n">
        <v>78200</v>
      </c>
      <c r="K5409" s="28" t="n">
        <v>9.29</v>
      </c>
      <c r="L5409" s="28" t="n">
        <v>90</v>
      </c>
      <c r="M5409" s="28" t="n">
        <v>3</v>
      </c>
    </row>
    <row r="5410" customFormat="false" ht="15" hidden="false" customHeight="false" outlineLevel="0" collapsed="false">
      <c r="A5410" s="27" t="n">
        <v>46099</v>
      </c>
      <c r="B5410" s="28" t="n">
        <v>2026</v>
      </c>
      <c r="C5410" s="28" t="s">
        <v>169</v>
      </c>
      <c r="D5410" s="28" t="s">
        <v>45</v>
      </c>
      <c r="E5410" s="28" t="s">
        <v>222</v>
      </c>
      <c r="F5410" s="28" t="s">
        <v>142</v>
      </c>
      <c r="G5410" s="28" t="s">
        <v>152</v>
      </c>
      <c r="H5410" s="28" t="s">
        <v>211</v>
      </c>
      <c r="I5410" s="29" t="n">
        <v>4220500</v>
      </c>
      <c r="J5410" s="29" t="n">
        <v>3165375</v>
      </c>
      <c r="K5410" s="28" t="n">
        <v>8.15</v>
      </c>
      <c r="L5410" s="28" t="n">
        <v>204</v>
      </c>
      <c r="M5410" s="28" t="n">
        <v>15</v>
      </c>
    </row>
    <row r="5411" customFormat="false" ht="15" hidden="false" customHeight="false" outlineLevel="0" collapsed="false">
      <c r="A5411" s="27" t="n">
        <v>46099</v>
      </c>
      <c r="B5411" s="28" t="n">
        <v>2026</v>
      </c>
      <c r="C5411" s="28" t="s">
        <v>175</v>
      </c>
      <c r="D5411" s="28" t="s">
        <v>43</v>
      </c>
      <c r="E5411" s="28" t="s">
        <v>757</v>
      </c>
      <c r="F5411" s="28" t="s">
        <v>147</v>
      </c>
      <c r="G5411" s="28" t="s">
        <v>148</v>
      </c>
      <c r="H5411" s="28" t="s">
        <v>159</v>
      </c>
      <c r="I5411" s="29" t="n">
        <v>40000</v>
      </c>
      <c r="J5411" s="29" t="n">
        <v>20000</v>
      </c>
      <c r="K5411" s="28" t="n">
        <v>10.5</v>
      </c>
      <c r="L5411" s="28" t="n">
        <v>120</v>
      </c>
      <c r="M5411" s="28" t="n">
        <v>2</v>
      </c>
    </row>
    <row r="5412" customFormat="false" ht="15" hidden="false" customHeight="false" outlineLevel="0" collapsed="false">
      <c r="A5412" s="27" t="n">
        <v>46099</v>
      </c>
      <c r="B5412" s="28" t="n">
        <v>2026</v>
      </c>
      <c r="C5412" s="28" t="s">
        <v>568</v>
      </c>
      <c r="D5412" s="28" t="s">
        <v>43</v>
      </c>
      <c r="E5412" s="28" t="s">
        <v>1148</v>
      </c>
      <c r="F5412" s="28" t="s">
        <v>147</v>
      </c>
      <c r="G5412" s="28" t="s">
        <v>148</v>
      </c>
      <c r="H5412" s="28" t="s">
        <v>404</v>
      </c>
      <c r="I5412" s="29" t="n">
        <v>400000</v>
      </c>
      <c r="J5412" s="29" t="n">
        <v>200000</v>
      </c>
      <c r="K5412" s="28" t="n">
        <v>9.75</v>
      </c>
      <c r="L5412" s="28" t="n">
        <v>120</v>
      </c>
      <c r="M5412" s="28" t="n">
        <v>6</v>
      </c>
    </row>
    <row r="5413" customFormat="false" ht="15" hidden="false" customHeight="false" outlineLevel="0" collapsed="false">
      <c r="A5413" s="27" t="n">
        <v>46100</v>
      </c>
      <c r="B5413" s="28" t="n">
        <v>2026</v>
      </c>
      <c r="C5413" s="28" t="s">
        <v>140</v>
      </c>
      <c r="D5413" s="28" t="s">
        <v>51</v>
      </c>
      <c r="E5413" s="28" t="s">
        <v>779</v>
      </c>
      <c r="F5413" s="28" t="s">
        <v>142</v>
      </c>
      <c r="G5413" s="28" t="s">
        <v>143</v>
      </c>
      <c r="H5413" s="28" t="s">
        <v>227</v>
      </c>
      <c r="I5413" s="29" t="n">
        <v>1050000</v>
      </c>
      <c r="J5413" s="29" t="n">
        <v>787500</v>
      </c>
      <c r="K5413" s="28" t="n">
        <v>9.25</v>
      </c>
      <c r="L5413" s="28" t="n">
        <v>126</v>
      </c>
      <c r="M5413" s="28" t="n">
        <v>9</v>
      </c>
    </row>
    <row r="5414" customFormat="false" ht="15" hidden="false" customHeight="false" outlineLevel="0" collapsed="false">
      <c r="A5414" s="27" t="n">
        <v>46100</v>
      </c>
      <c r="B5414" s="28" t="n">
        <v>2026</v>
      </c>
      <c r="C5414" s="28" t="s">
        <v>163</v>
      </c>
      <c r="D5414" s="28" t="s">
        <v>46</v>
      </c>
      <c r="E5414" s="28" t="s">
        <v>727</v>
      </c>
      <c r="F5414" s="28" t="s">
        <v>142</v>
      </c>
      <c r="G5414" s="28" t="s">
        <v>148</v>
      </c>
      <c r="H5414" s="28" t="s">
        <v>969</v>
      </c>
      <c r="I5414" s="29" t="n">
        <v>3873400</v>
      </c>
      <c r="J5414" s="29" t="n">
        <v>2905050</v>
      </c>
      <c r="K5414" s="28" t="n">
        <v>8.5</v>
      </c>
      <c r="L5414" s="28" t="n">
        <v>120</v>
      </c>
      <c r="M5414" s="28" t="n">
        <v>175</v>
      </c>
    </row>
    <row r="5415" customFormat="false" ht="15" hidden="false" customHeight="false" outlineLevel="0" collapsed="false">
      <c r="A5415" s="27" t="n">
        <v>46100</v>
      </c>
      <c r="B5415" s="28" t="n">
        <v>2026</v>
      </c>
      <c r="C5415" s="28" t="s">
        <v>387</v>
      </c>
      <c r="D5415" s="28" t="s">
        <v>51</v>
      </c>
      <c r="E5415" s="28" t="s">
        <v>800</v>
      </c>
      <c r="F5415" s="28" t="s">
        <v>142</v>
      </c>
      <c r="G5415" s="28" t="s">
        <v>148</v>
      </c>
      <c r="H5415" s="28" t="s">
        <v>771</v>
      </c>
      <c r="I5415" s="29" t="n">
        <v>80600</v>
      </c>
      <c r="J5415" s="29" t="n">
        <v>68510</v>
      </c>
      <c r="K5415" s="28" t="n">
        <v>9.5</v>
      </c>
      <c r="L5415" s="28" t="n">
        <v>120</v>
      </c>
      <c r="M5415" s="28" t="n">
        <v>2</v>
      </c>
    </row>
    <row r="5416" customFormat="false" ht="15" hidden="false" customHeight="false" outlineLevel="0" collapsed="false">
      <c r="A5416" s="27" t="n">
        <v>46100</v>
      </c>
      <c r="B5416" s="28" t="n">
        <v>2026</v>
      </c>
      <c r="C5416" s="28" t="s">
        <v>344</v>
      </c>
      <c r="D5416" s="28" t="s">
        <v>47</v>
      </c>
      <c r="E5416" s="28" t="s">
        <v>760</v>
      </c>
      <c r="F5416" s="28" t="s">
        <v>142</v>
      </c>
      <c r="G5416" s="28" t="s">
        <v>143</v>
      </c>
      <c r="H5416" s="28" t="s">
        <v>372</v>
      </c>
      <c r="I5416" s="29" t="n">
        <v>675700</v>
      </c>
      <c r="J5416" s="29" t="n">
        <v>506775</v>
      </c>
      <c r="K5416" s="28" t="n">
        <v>8.5</v>
      </c>
      <c r="L5416" s="28" t="n">
        <v>122</v>
      </c>
      <c r="M5416" s="28" t="n">
        <v>33</v>
      </c>
    </row>
    <row r="5417" customFormat="false" ht="15" hidden="false" customHeight="false" outlineLevel="0" collapsed="false">
      <c r="A5417" s="27" t="n">
        <v>46101</v>
      </c>
      <c r="B5417" s="28" t="n">
        <v>2026</v>
      </c>
      <c r="C5417" s="28" t="s">
        <v>145</v>
      </c>
      <c r="D5417" s="28" t="s">
        <v>45</v>
      </c>
      <c r="E5417" s="28" t="s">
        <v>874</v>
      </c>
      <c r="F5417" s="28" t="s">
        <v>142</v>
      </c>
      <c r="G5417" s="28" t="s">
        <v>148</v>
      </c>
      <c r="H5417" s="28" t="s">
        <v>771</v>
      </c>
      <c r="I5417" s="29" t="n">
        <v>350000</v>
      </c>
      <c r="J5417" s="29" t="n">
        <v>262500</v>
      </c>
      <c r="K5417" s="28" t="n">
        <v>9.5</v>
      </c>
      <c r="L5417" s="28" t="n">
        <v>120</v>
      </c>
      <c r="M5417" s="28" t="n">
        <v>5</v>
      </c>
    </row>
    <row r="5418" customFormat="false" ht="15" hidden="false" customHeight="false" outlineLevel="0" collapsed="false">
      <c r="A5418" s="27" t="n">
        <v>46101</v>
      </c>
      <c r="B5418" s="28" t="n">
        <v>2026</v>
      </c>
      <c r="C5418" s="28" t="s">
        <v>203</v>
      </c>
      <c r="D5418" s="28" t="s">
        <v>46</v>
      </c>
      <c r="E5418" s="28" t="s">
        <v>727</v>
      </c>
      <c r="F5418" s="28" t="s">
        <v>142</v>
      </c>
      <c r="G5418" s="28" t="s">
        <v>148</v>
      </c>
      <c r="H5418" s="28" t="s">
        <v>937</v>
      </c>
      <c r="I5418" s="29" t="n">
        <v>75000</v>
      </c>
      <c r="J5418" s="29" t="n">
        <v>63750</v>
      </c>
      <c r="K5418" s="28" t="n">
        <v>11.75</v>
      </c>
      <c r="L5418" s="28" t="n">
        <v>120</v>
      </c>
      <c r="M5418" s="28" t="n">
        <v>7</v>
      </c>
    </row>
    <row r="5419" customFormat="false" ht="15" hidden="false" customHeight="false" outlineLevel="0" collapsed="false">
      <c r="A5419" s="27" t="n">
        <v>46101</v>
      </c>
      <c r="B5419" s="28" t="n">
        <v>2026</v>
      </c>
      <c r="C5419" s="28" t="s">
        <v>140</v>
      </c>
      <c r="D5419" s="28" t="s">
        <v>45</v>
      </c>
      <c r="E5419" s="28" t="s">
        <v>740</v>
      </c>
      <c r="F5419" s="28" t="s">
        <v>142</v>
      </c>
      <c r="G5419" s="28" t="s">
        <v>148</v>
      </c>
      <c r="H5419" s="28" t="s">
        <v>1150</v>
      </c>
      <c r="I5419" s="29" t="n">
        <v>200000</v>
      </c>
      <c r="J5419" s="29" t="n">
        <v>150000</v>
      </c>
      <c r="K5419" s="28" t="n">
        <v>9.75</v>
      </c>
      <c r="L5419" s="28" t="n">
        <v>120</v>
      </c>
      <c r="M5419" s="28" t="n">
        <v>0</v>
      </c>
    </row>
    <row r="5420" customFormat="false" ht="15" hidden="false" customHeight="false" outlineLevel="0" collapsed="false">
      <c r="A5420" s="27" t="n">
        <v>46101</v>
      </c>
      <c r="B5420" s="28" t="n">
        <v>2026</v>
      </c>
      <c r="C5420" s="28" t="s">
        <v>387</v>
      </c>
      <c r="D5420" s="28" t="s">
        <v>47</v>
      </c>
      <c r="E5420" s="28" t="s">
        <v>1086</v>
      </c>
      <c r="F5420" s="28" t="s">
        <v>142</v>
      </c>
      <c r="G5420" s="28" t="s">
        <v>152</v>
      </c>
      <c r="H5420" s="28" t="s">
        <v>987</v>
      </c>
      <c r="I5420" s="29" t="n">
        <v>3280000</v>
      </c>
      <c r="J5420" s="29" t="n">
        <v>2460000</v>
      </c>
      <c r="K5420" s="28" t="n">
        <v>9.5</v>
      </c>
      <c r="L5420" s="28" t="n">
        <v>120</v>
      </c>
      <c r="M5420" s="28" t="n">
        <v>11</v>
      </c>
    </row>
    <row r="5421" customFormat="false" ht="15" hidden="false" customHeight="false" outlineLevel="0" collapsed="false">
      <c r="A5421" s="27" t="n">
        <v>46101</v>
      </c>
      <c r="B5421" s="28" t="n">
        <v>2026</v>
      </c>
      <c r="C5421" s="28" t="s">
        <v>423</v>
      </c>
      <c r="D5421" s="28" t="s">
        <v>47</v>
      </c>
      <c r="E5421" s="28" t="s">
        <v>1025</v>
      </c>
      <c r="F5421" s="28" t="s">
        <v>147</v>
      </c>
      <c r="G5421" s="28" t="s">
        <v>143</v>
      </c>
      <c r="H5421" s="28" t="s">
        <v>159</v>
      </c>
      <c r="I5421" s="29" t="n">
        <v>100000</v>
      </c>
      <c r="J5421" s="29" t="n">
        <v>50000</v>
      </c>
      <c r="K5421" s="28" t="n">
        <v>9.75</v>
      </c>
      <c r="L5421" s="28" t="n">
        <v>84</v>
      </c>
      <c r="M5421" s="28" t="n">
        <v>5</v>
      </c>
    </row>
    <row r="5422" customFormat="false" ht="15" hidden="false" customHeight="false" outlineLevel="0" collapsed="false">
      <c r="A5422" s="27" t="n">
        <v>46101</v>
      </c>
      <c r="B5422" s="28" t="n">
        <v>2026</v>
      </c>
      <c r="C5422" s="28" t="s">
        <v>235</v>
      </c>
      <c r="D5422" s="28" t="s">
        <v>42</v>
      </c>
      <c r="E5422" s="28" t="s">
        <v>753</v>
      </c>
      <c r="F5422" s="28" t="s">
        <v>147</v>
      </c>
      <c r="G5422" s="28" t="s">
        <v>152</v>
      </c>
      <c r="H5422" s="28" t="s">
        <v>953</v>
      </c>
      <c r="I5422" s="29" t="n">
        <v>25000</v>
      </c>
      <c r="J5422" s="29" t="n">
        <v>12500</v>
      </c>
      <c r="K5422" s="28" t="n">
        <v>13.25</v>
      </c>
      <c r="L5422" s="28" t="n">
        <v>120</v>
      </c>
      <c r="M5422" s="28" t="n">
        <v>26</v>
      </c>
    </row>
    <row r="5423" customFormat="false" ht="15" hidden="false" customHeight="false" outlineLevel="0" collapsed="false">
      <c r="A5423" s="27" t="n">
        <v>46101</v>
      </c>
      <c r="B5423" s="28" t="n">
        <v>2026</v>
      </c>
      <c r="C5423" s="28" t="s">
        <v>172</v>
      </c>
      <c r="D5423" s="28" t="s">
        <v>45</v>
      </c>
      <c r="E5423" s="28" t="s">
        <v>708</v>
      </c>
      <c r="F5423" s="28" t="s">
        <v>142</v>
      </c>
      <c r="G5423" s="28" t="s">
        <v>152</v>
      </c>
      <c r="H5423" s="28" t="s">
        <v>382</v>
      </c>
      <c r="I5423" s="29" t="n">
        <v>441700</v>
      </c>
      <c r="J5423" s="29" t="n">
        <v>331275</v>
      </c>
      <c r="K5423" s="28" t="n">
        <v>9.5</v>
      </c>
      <c r="L5423" s="28" t="n">
        <v>120</v>
      </c>
      <c r="M5423" s="28" t="n">
        <v>10</v>
      </c>
    </row>
    <row r="5424" customFormat="false" ht="15" hidden="false" customHeight="false" outlineLevel="0" collapsed="false">
      <c r="A5424" s="27" t="n">
        <v>46104</v>
      </c>
      <c r="B5424" s="28" t="n">
        <v>2026</v>
      </c>
      <c r="C5424" s="28" t="s">
        <v>160</v>
      </c>
      <c r="D5424" s="28" t="s">
        <v>44</v>
      </c>
      <c r="E5424" s="28" t="s">
        <v>729</v>
      </c>
      <c r="F5424" s="28" t="s">
        <v>147</v>
      </c>
      <c r="G5424" s="28" t="s">
        <v>148</v>
      </c>
      <c r="H5424" s="28" t="s">
        <v>574</v>
      </c>
      <c r="I5424" s="29" t="n">
        <v>100000</v>
      </c>
      <c r="J5424" s="29" t="n">
        <v>50000</v>
      </c>
      <c r="K5424" s="28" t="n">
        <v>8.5</v>
      </c>
      <c r="L5424" s="28" t="n">
        <v>120</v>
      </c>
      <c r="M5424" s="28" t="n">
        <v>9</v>
      </c>
    </row>
    <row r="5425" customFormat="false" ht="15" hidden="false" customHeight="false" outlineLevel="0" collapsed="false">
      <c r="A5425" s="27" t="n">
        <v>46104</v>
      </c>
      <c r="B5425" s="28" t="n">
        <v>2026</v>
      </c>
      <c r="C5425" s="28" t="s">
        <v>203</v>
      </c>
      <c r="D5425" s="28" t="s">
        <v>44</v>
      </c>
      <c r="E5425" s="28" t="s">
        <v>764</v>
      </c>
      <c r="F5425" s="28" t="s">
        <v>142</v>
      </c>
      <c r="G5425" s="28" t="s">
        <v>143</v>
      </c>
      <c r="H5425" s="28" t="s">
        <v>1031</v>
      </c>
      <c r="I5425" s="29" t="n">
        <v>250000</v>
      </c>
      <c r="J5425" s="29" t="n">
        <v>187500</v>
      </c>
      <c r="K5425" s="28" t="n">
        <v>8.25</v>
      </c>
      <c r="L5425" s="28" t="n">
        <v>120</v>
      </c>
      <c r="M5425" s="28" t="n">
        <v>7</v>
      </c>
    </row>
    <row r="5426" customFormat="false" ht="15" hidden="false" customHeight="false" outlineLevel="0" collapsed="false">
      <c r="A5426" s="27" t="n">
        <v>46104</v>
      </c>
      <c r="B5426" s="28" t="n">
        <v>2026</v>
      </c>
      <c r="C5426" s="28" t="s">
        <v>549</v>
      </c>
      <c r="D5426" s="28" t="s">
        <v>43</v>
      </c>
      <c r="E5426" s="28" t="s">
        <v>942</v>
      </c>
      <c r="F5426" s="28" t="s">
        <v>147</v>
      </c>
      <c r="G5426" s="28" t="s">
        <v>148</v>
      </c>
      <c r="H5426" s="28" t="s">
        <v>953</v>
      </c>
      <c r="I5426" s="29" t="n">
        <v>50000</v>
      </c>
      <c r="J5426" s="29" t="n">
        <v>25000</v>
      </c>
      <c r="K5426" s="28" t="n">
        <v>13.25</v>
      </c>
      <c r="L5426" s="28" t="n">
        <v>120</v>
      </c>
      <c r="M5426" s="28" t="n">
        <v>4</v>
      </c>
    </row>
    <row r="5427" customFormat="false" ht="15" hidden="false" customHeight="false" outlineLevel="0" collapsed="false">
      <c r="A5427" s="27" t="n">
        <v>46105</v>
      </c>
      <c r="B5427" s="28" t="n">
        <v>2026</v>
      </c>
      <c r="C5427" s="28" t="s">
        <v>203</v>
      </c>
      <c r="D5427" s="28" t="s">
        <v>44</v>
      </c>
      <c r="E5427" s="28" t="s">
        <v>730</v>
      </c>
      <c r="F5427" s="28" t="s">
        <v>142</v>
      </c>
      <c r="G5427" s="28" t="s">
        <v>143</v>
      </c>
      <c r="H5427" s="28" t="s">
        <v>413</v>
      </c>
      <c r="I5427" s="29" t="n">
        <v>775000</v>
      </c>
      <c r="J5427" s="29" t="n">
        <v>581250</v>
      </c>
      <c r="K5427" s="28" t="n">
        <v>8</v>
      </c>
      <c r="L5427" s="28" t="n">
        <v>120</v>
      </c>
      <c r="M5427" s="28" t="n">
        <v>12</v>
      </c>
    </row>
    <row r="5428" customFormat="false" ht="15" hidden="false" customHeight="false" outlineLevel="0" collapsed="false">
      <c r="A5428" s="27" t="n">
        <v>46105</v>
      </c>
      <c r="B5428" s="28" t="n">
        <v>2026</v>
      </c>
      <c r="C5428" s="28" t="s">
        <v>488</v>
      </c>
      <c r="D5428" s="28" t="s">
        <v>46</v>
      </c>
      <c r="E5428" s="28" t="s">
        <v>813</v>
      </c>
      <c r="F5428" s="28" t="s">
        <v>142</v>
      </c>
      <c r="G5428" s="28" t="s">
        <v>143</v>
      </c>
      <c r="H5428" s="28" t="s">
        <v>382</v>
      </c>
      <c r="I5428" s="29" t="n">
        <v>505300</v>
      </c>
      <c r="J5428" s="29" t="n">
        <v>378975</v>
      </c>
      <c r="K5428" s="28" t="n">
        <v>9.5</v>
      </c>
      <c r="L5428" s="28" t="n">
        <v>124</v>
      </c>
      <c r="M5428" s="28" t="n">
        <v>8</v>
      </c>
    </row>
    <row r="5429" customFormat="false" ht="15" hidden="false" customHeight="false" outlineLevel="0" collapsed="false">
      <c r="A5429" s="27" t="n">
        <v>46105</v>
      </c>
      <c r="B5429" s="28" t="n">
        <v>2026</v>
      </c>
      <c r="C5429" s="28" t="s">
        <v>160</v>
      </c>
      <c r="D5429" s="28" t="s">
        <v>44</v>
      </c>
      <c r="E5429" s="28" t="s">
        <v>783</v>
      </c>
      <c r="F5429" s="28" t="s">
        <v>142</v>
      </c>
      <c r="G5429" s="28" t="s">
        <v>148</v>
      </c>
      <c r="H5429" s="28" t="s">
        <v>275</v>
      </c>
      <c r="I5429" s="29" t="n">
        <v>15000</v>
      </c>
      <c r="J5429" s="29" t="n">
        <v>12000</v>
      </c>
      <c r="K5429" s="28" t="n">
        <v>13.25</v>
      </c>
      <c r="L5429" s="28" t="n">
        <v>120</v>
      </c>
      <c r="M5429" s="28" t="n">
        <v>5</v>
      </c>
    </row>
    <row r="5430" customFormat="false" ht="15" hidden="false" customHeight="false" outlineLevel="0" collapsed="false">
      <c r="A5430" s="27" t="n">
        <v>46105</v>
      </c>
      <c r="B5430" s="28" t="n">
        <v>2026</v>
      </c>
      <c r="C5430" s="28" t="s">
        <v>160</v>
      </c>
      <c r="D5430" s="28" t="s">
        <v>44</v>
      </c>
      <c r="E5430" s="28" t="s">
        <v>1051</v>
      </c>
      <c r="F5430" s="28" t="s">
        <v>142</v>
      </c>
      <c r="G5430" s="28" t="s">
        <v>143</v>
      </c>
      <c r="H5430" s="28" t="s">
        <v>693</v>
      </c>
      <c r="I5430" s="29" t="n">
        <v>45000</v>
      </c>
      <c r="J5430" s="29" t="n">
        <v>38250</v>
      </c>
      <c r="K5430" s="28" t="n">
        <v>9.75</v>
      </c>
      <c r="L5430" s="28" t="n">
        <v>120</v>
      </c>
      <c r="M5430" s="28" t="n">
        <v>2</v>
      </c>
    </row>
    <row r="5431" customFormat="false" ht="15" hidden="false" customHeight="false" outlineLevel="0" collapsed="false">
      <c r="A5431" s="27" t="n">
        <v>46105</v>
      </c>
      <c r="B5431" s="28" t="n">
        <v>2026</v>
      </c>
      <c r="C5431" s="28" t="s">
        <v>172</v>
      </c>
      <c r="D5431" s="28" t="s">
        <v>48</v>
      </c>
      <c r="E5431" s="28" t="s">
        <v>362</v>
      </c>
      <c r="F5431" s="28" t="s">
        <v>147</v>
      </c>
      <c r="G5431" s="28" t="s">
        <v>143</v>
      </c>
      <c r="H5431" s="28" t="s">
        <v>605</v>
      </c>
      <c r="I5431" s="29" t="n">
        <v>100000</v>
      </c>
      <c r="J5431" s="29" t="n">
        <v>50000</v>
      </c>
      <c r="K5431" s="28" t="n">
        <v>9.75</v>
      </c>
      <c r="L5431" s="28" t="n">
        <v>120</v>
      </c>
      <c r="M5431" s="28" t="n">
        <v>2</v>
      </c>
    </row>
    <row r="5432" customFormat="false" ht="15" hidden="false" customHeight="false" outlineLevel="0" collapsed="false">
      <c r="A5432" s="27" t="n">
        <v>46105</v>
      </c>
      <c r="B5432" s="28" t="n">
        <v>2026</v>
      </c>
      <c r="C5432" s="28" t="s">
        <v>421</v>
      </c>
      <c r="D5432" s="28" t="s">
        <v>50</v>
      </c>
      <c r="E5432" s="28" t="s">
        <v>1097</v>
      </c>
      <c r="F5432" s="28" t="s">
        <v>147</v>
      </c>
      <c r="G5432" s="28" t="s">
        <v>148</v>
      </c>
      <c r="H5432" s="28" t="s">
        <v>291</v>
      </c>
      <c r="I5432" s="29" t="n">
        <v>50000</v>
      </c>
      <c r="J5432" s="29" t="n">
        <v>25000</v>
      </c>
      <c r="K5432" s="28" t="n">
        <v>9</v>
      </c>
      <c r="L5432" s="28" t="n">
        <v>120</v>
      </c>
      <c r="M5432" s="28" t="n">
        <v>13</v>
      </c>
    </row>
    <row r="5433" customFormat="false" ht="15" hidden="false" customHeight="false" outlineLevel="0" collapsed="false">
      <c r="A5433" s="27" t="n">
        <v>46105</v>
      </c>
      <c r="B5433" s="28" t="n">
        <v>2026</v>
      </c>
      <c r="C5433" s="28" t="s">
        <v>169</v>
      </c>
      <c r="D5433" s="28" t="s">
        <v>42</v>
      </c>
      <c r="E5433" s="28" t="s">
        <v>717</v>
      </c>
      <c r="F5433" s="28" t="s">
        <v>147</v>
      </c>
      <c r="G5433" s="28" t="s">
        <v>148</v>
      </c>
      <c r="H5433" s="28" t="s">
        <v>159</v>
      </c>
      <c r="I5433" s="29" t="n">
        <v>200000</v>
      </c>
      <c r="J5433" s="29" t="n">
        <v>100000</v>
      </c>
      <c r="K5433" s="28" t="n">
        <v>9.75</v>
      </c>
      <c r="L5433" s="28" t="n">
        <v>120</v>
      </c>
      <c r="M5433" s="28" t="n">
        <v>6</v>
      </c>
    </row>
    <row r="5434" customFormat="false" ht="15" hidden="false" customHeight="false" outlineLevel="0" collapsed="false">
      <c r="A5434" s="27" t="n">
        <v>46105</v>
      </c>
      <c r="B5434" s="28" t="n">
        <v>2026</v>
      </c>
      <c r="C5434" s="28" t="s">
        <v>421</v>
      </c>
      <c r="D5434" s="28" t="s">
        <v>50</v>
      </c>
      <c r="E5434" s="28" t="s">
        <v>1097</v>
      </c>
      <c r="F5434" s="28" t="s">
        <v>142</v>
      </c>
      <c r="G5434" s="28" t="s">
        <v>148</v>
      </c>
      <c r="H5434" s="28" t="s">
        <v>291</v>
      </c>
      <c r="I5434" s="29" t="n">
        <v>539000</v>
      </c>
      <c r="J5434" s="29" t="n">
        <v>404250</v>
      </c>
      <c r="K5434" s="28" t="n">
        <v>9</v>
      </c>
      <c r="L5434" s="28" t="n">
        <v>120</v>
      </c>
      <c r="M5434" s="28" t="n">
        <v>13</v>
      </c>
    </row>
    <row r="5435" customFormat="false" ht="15" hidden="false" customHeight="false" outlineLevel="0" collapsed="false">
      <c r="A5435" s="27" t="n">
        <v>46106</v>
      </c>
      <c r="B5435" s="28" t="n">
        <v>2026</v>
      </c>
      <c r="C5435" s="28" t="s">
        <v>206</v>
      </c>
      <c r="D5435" s="28" t="s">
        <v>43</v>
      </c>
      <c r="E5435" s="28" t="s">
        <v>916</v>
      </c>
      <c r="F5435" s="28" t="s">
        <v>142</v>
      </c>
      <c r="G5435" s="28" t="s">
        <v>441</v>
      </c>
      <c r="H5435" s="28" t="s">
        <v>953</v>
      </c>
      <c r="I5435" s="29" t="n">
        <v>150000</v>
      </c>
      <c r="J5435" s="29" t="n">
        <v>127500</v>
      </c>
      <c r="K5435" s="28" t="n">
        <v>9.75</v>
      </c>
      <c r="L5435" s="28" t="n">
        <v>120</v>
      </c>
      <c r="M5435" s="28" t="n">
        <v>14</v>
      </c>
    </row>
    <row r="5436" customFormat="false" ht="15" hidden="false" customHeight="false" outlineLevel="0" collapsed="false">
      <c r="A5436" s="27" t="n">
        <v>46106</v>
      </c>
      <c r="B5436" s="28" t="n">
        <v>2026</v>
      </c>
      <c r="C5436" s="28" t="s">
        <v>316</v>
      </c>
      <c r="D5436" s="28" t="s">
        <v>45</v>
      </c>
      <c r="E5436" s="28" t="s">
        <v>740</v>
      </c>
      <c r="F5436" s="28" t="s">
        <v>147</v>
      </c>
      <c r="G5436" s="28" t="s">
        <v>143</v>
      </c>
      <c r="H5436" s="28" t="s">
        <v>396</v>
      </c>
      <c r="I5436" s="29" t="n">
        <v>60000</v>
      </c>
      <c r="J5436" s="29" t="n">
        <v>30000</v>
      </c>
      <c r="K5436" s="28" t="n">
        <v>7</v>
      </c>
      <c r="L5436" s="28" t="n">
        <v>60</v>
      </c>
      <c r="M5436" s="28" t="n">
        <v>5</v>
      </c>
    </row>
    <row r="5437" customFormat="false" ht="15" hidden="false" customHeight="false" outlineLevel="0" collapsed="false">
      <c r="A5437" s="27" t="n">
        <v>46106</v>
      </c>
      <c r="B5437" s="28" t="n">
        <v>2026</v>
      </c>
      <c r="C5437" s="28" t="s">
        <v>169</v>
      </c>
      <c r="D5437" s="28" t="s">
        <v>45</v>
      </c>
      <c r="E5437" s="28" t="s">
        <v>222</v>
      </c>
      <c r="F5437" s="28" t="s">
        <v>147</v>
      </c>
      <c r="G5437" s="28" t="s">
        <v>152</v>
      </c>
      <c r="H5437" s="28" t="s">
        <v>211</v>
      </c>
      <c r="I5437" s="29" t="n">
        <v>300000</v>
      </c>
      <c r="J5437" s="29" t="n">
        <v>150000</v>
      </c>
      <c r="K5437" s="28" t="n">
        <v>8.5</v>
      </c>
      <c r="L5437" s="28" t="n">
        <v>120</v>
      </c>
      <c r="M5437" s="28" t="n">
        <v>15</v>
      </c>
    </row>
    <row r="5438" customFormat="false" ht="15" hidden="false" customHeight="false" outlineLevel="0" collapsed="false">
      <c r="A5438" s="27" t="n">
        <v>46107</v>
      </c>
      <c r="B5438" s="28" t="n">
        <v>2026</v>
      </c>
      <c r="C5438" s="28" t="s">
        <v>198</v>
      </c>
      <c r="D5438" s="28" t="s">
        <v>42</v>
      </c>
      <c r="E5438" s="28" t="s">
        <v>717</v>
      </c>
      <c r="F5438" s="28" t="s">
        <v>142</v>
      </c>
      <c r="G5438" s="28" t="s">
        <v>148</v>
      </c>
      <c r="H5438" s="28" t="s">
        <v>275</v>
      </c>
      <c r="I5438" s="29" t="n">
        <v>123500</v>
      </c>
      <c r="J5438" s="29" t="n">
        <v>98800</v>
      </c>
      <c r="K5438" s="28" t="n">
        <v>9.5</v>
      </c>
      <c r="L5438" s="28" t="n">
        <v>120</v>
      </c>
      <c r="M5438" s="28" t="n">
        <v>0</v>
      </c>
    </row>
    <row r="5439" customFormat="false" ht="15" hidden="false" customHeight="false" outlineLevel="0" collapsed="false">
      <c r="A5439" s="27" t="n">
        <v>46107</v>
      </c>
      <c r="B5439" s="28" t="n">
        <v>2026</v>
      </c>
      <c r="C5439" s="28" t="s">
        <v>510</v>
      </c>
      <c r="D5439" s="28" t="s">
        <v>50</v>
      </c>
      <c r="E5439" s="28" t="s">
        <v>193</v>
      </c>
      <c r="F5439" s="28" t="s">
        <v>194</v>
      </c>
      <c r="G5439" s="28" t="s">
        <v>148</v>
      </c>
      <c r="H5439" s="28" t="s">
        <v>266</v>
      </c>
      <c r="I5439" s="29" t="n">
        <v>45700</v>
      </c>
      <c r="J5439" s="29" t="n">
        <v>38845</v>
      </c>
      <c r="K5439" s="28" t="n">
        <v>7.5</v>
      </c>
      <c r="L5439" s="28" t="n">
        <v>60</v>
      </c>
      <c r="M5439" s="28" t="n">
        <v>3</v>
      </c>
    </row>
    <row r="5440" customFormat="false" ht="15" hidden="false" customHeight="false" outlineLevel="0" collapsed="false">
      <c r="A5440" s="27" t="n">
        <v>46107</v>
      </c>
      <c r="B5440" s="28" t="n">
        <v>2026</v>
      </c>
      <c r="C5440" s="28" t="s">
        <v>249</v>
      </c>
      <c r="D5440" s="28" t="s">
        <v>45</v>
      </c>
      <c r="E5440" s="28" t="s">
        <v>480</v>
      </c>
      <c r="F5440" s="28" t="s">
        <v>142</v>
      </c>
      <c r="G5440" s="28" t="s">
        <v>148</v>
      </c>
      <c r="H5440" s="28" t="s">
        <v>937</v>
      </c>
      <c r="I5440" s="29" t="n">
        <v>150000</v>
      </c>
      <c r="J5440" s="29" t="n">
        <v>127500</v>
      </c>
      <c r="K5440" s="28" t="n">
        <v>12.25</v>
      </c>
      <c r="L5440" s="28" t="n">
        <v>120</v>
      </c>
      <c r="M5440" s="28" t="n">
        <v>11</v>
      </c>
    </row>
    <row r="5441" customFormat="false" ht="15" hidden="false" customHeight="false" outlineLevel="0" collapsed="false">
      <c r="A5441" s="27" t="n">
        <v>46108</v>
      </c>
      <c r="B5441" s="28" t="n">
        <v>2026</v>
      </c>
      <c r="C5441" s="28" t="s">
        <v>198</v>
      </c>
      <c r="D5441" s="28" t="s">
        <v>46</v>
      </c>
      <c r="E5441" s="28" t="s">
        <v>930</v>
      </c>
      <c r="F5441" s="28" t="s">
        <v>142</v>
      </c>
      <c r="G5441" s="28" t="s">
        <v>148</v>
      </c>
      <c r="H5441" s="28" t="s">
        <v>937</v>
      </c>
      <c r="I5441" s="29" t="n">
        <v>100000</v>
      </c>
      <c r="J5441" s="29" t="n">
        <v>85000</v>
      </c>
      <c r="K5441" s="28" t="n">
        <v>11.25</v>
      </c>
      <c r="L5441" s="28" t="n">
        <v>120</v>
      </c>
      <c r="M5441" s="28" t="n">
        <v>14</v>
      </c>
    </row>
    <row r="5442" customFormat="false" ht="15" hidden="false" customHeight="false" outlineLevel="0" collapsed="false">
      <c r="A5442" s="27" t="n">
        <v>46108</v>
      </c>
      <c r="B5442" s="28" t="n">
        <v>2026</v>
      </c>
      <c r="C5442" s="28" t="s">
        <v>203</v>
      </c>
      <c r="D5442" s="28" t="s">
        <v>42</v>
      </c>
      <c r="E5442" s="28" t="s">
        <v>705</v>
      </c>
      <c r="F5442" s="28" t="s">
        <v>142</v>
      </c>
      <c r="G5442" s="28" t="s">
        <v>441</v>
      </c>
      <c r="H5442" s="28" t="s">
        <v>819</v>
      </c>
      <c r="I5442" s="29" t="n">
        <v>5000000</v>
      </c>
      <c r="J5442" s="29" t="n">
        <v>3750000</v>
      </c>
      <c r="K5442" s="28" t="n">
        <v>8</v>
      </c>
      <c r="L5442" s="28" t="n">
        <v>300</v>
      </c>
      <c r="M5442" s="28" t="n">
        <v>18</v>
      </c>
    </row>
    <row r="5443" customFormat="false" ht="15" hidden="false" customHeight="false" outlineLevel="0" collapsed="false">
      <c r="A5443" s="27" t="n">
        <v>46108</v>
      </c>
      <c r="B5443" s="28" t="n">
        <v>2026</v>
      </c>
      <c r="C5443" s="28" t="s">
        <v>887</v>
      </c>
      <c r="D5443" s="28" t="s">
        <v>52</v>
      </c>
      <c r="E5443" s="28" t="s">
        <v>850</v>
      </c>
      <c r="F5443" s="28" t="s">
        <v>147</v>
      </c>
      <c r="G5443" s="28" t="s">
        <v>148</v>
      </c>
      <c r="H5443" s="28" t="s">
        <v>234</v>
      </c>
      <c r="I5443" s="29" t="n">
        <v>265000</v>
      </c>
      <c r="J5443" s="29" t="n">
        <v>132500</v>
      </c>
      <c r="K5443" s="28" t="n">
        <v>6.75</v>
      </c>
      <c r="L5443" s="28" t="n">
        <v>252</v>
      </c>
      <c r="M5443" s="28" t="n">
        <v>4</v>
      </c>
    </row>
    <row r="5444" customFormat="false" ht="15" hidden="false" customHeight="false" outlineLevel="0" collapsed="false">
      <c r="A5444" s="27" t="n">
        <v>46108</v>
      </c>
      <c r="B5444" s="28" t="n">
        <v>2026</v>
      </c>
      <c r="C5444" s="28" t="s">
        <v>357</v>
      </c>
      <c r="D5444" s="28" t="s">
        <v>45</v>
      </c>
      <c r="E5444" s="28" t="s">
        <v>713</v>
      </c>
      <c r="F5444" s="28" t="s">
        <v>142</v>
      </c>
      <c r="G5444" s="28" t="s">
        <v>148</v>
      </c>
      <c r="H5444" s="28" t="s">
        <v>579</v>
      </c>
      <c r="I5444" s="29" t="n">
        <v>244000</v>
      </c>
      <c r="J5444" s="29" t="n">
        <v>183000</v>
      </c>
      <c r="K5444" s="28" t="n">
        <v>9.5</v>
      </c>
      <c r="L5444" s="28" t="n">
        <v>120</v>
      </c>
      <c r="M5444" s="28" t="n">
        <v>3</v>
      </c>
    </row>
    <row r="5445" customFormat="false" ht="15" hidden="false" customHeight="false" outlineLevel="0" collapsed="false">
      <c r="A5445" s="27" t="n">
        <v>46112</v>
      </c>
      <c r="B5445" s="28" t="n">
        <v>2026</v>
      </c>
      <c r="C5445" s="28" t="s">
        <v>169</v>
      </c>
      <c r="D5445" s="28" t="s">
        <v>56</v>
      </c>
      <c r="E5445" s="28" t="s">
        <v>772</v>
      </c>
      <c r="F5445" s="28" t="s">
        <v>142</v>
      </c>
      <c r="G5445" s="28" t="s">
        <v>441</v>
      </c>
      <c r="H5445" s="28" t="s">
        <v>506</v>
      </c>
      <c r="I5445" s="29" t="n">
        <v>935000</v>
      </c>
      <c r="J5445" s="29" t="n">
        <v>701250</v>
      </c>
      <c r="K5445" s="28" t="n">
        <v>8.5</v>
      </c>
      <c r="L5445" s="28" t="n">
        <v>300</v>
      </c>
      <c r="M5445" s="28" t="n">
        <v>7</v>
      </c>
    </row>
    <row r="5446" customFormat="false" ht="15" hidden="false" customHeight="false" outlineLevel="0" collapsed="false">
      <c r="A5446" s="27" t="n">
        <v>46112</v>
      </c>
      <c r="B5446" s="28" t="n">
        <v>2026</v>
      </c>
      <c r="C5446" s="28" t="s">
        <v>166</v>
      </c>
      <c r="D5446" s="28" t="s">
        <v>42</v>
      </c>
      <c r="E5446" s="28" t="s">
        <v>753</v>
      </c>
      <c r="F5446" s="28" t="s">
        <v>142</v>
      </c>
      <c r="G5446" s="28" t="s">
        <v>143</v>
      </c>
      <c r="H5446" s="28" t="s">
        <v>413</v>
      </c>
      <c r="I5446" s="29" t="n">
        <v>126000</v>
      </c>
      <c r="J5446" s="29" t="n">
        <v>107100</v>
      </c>
      <c r="K5446" s="28" t="n">
        <v>9</v>
      </c>
      <c r="L5446" s="28" t="n">
        <v>120</v>
      </c>
      <c r="M5446" s="28" t="n">
        <v>83</v>
      </c>
    </row>
    <row r="5447" customFormat="false" ht="15" hidden="false" customHeight="false" outlineLevel="0" collapsed="false">
      <c r="A5447" s="27" t="n">
        <v>46112</v>
      </c>
      <c r="B5447" s="28" t="n">
        <v>2026</v>
      </c>
      <c r="C5447" s="28" t="s">
        <v>172</v>
      </c>
      <c r="D5447" s="28" t="s">
        <v>48</v>
      </c>
      <c r="E5447" s="28" t="s">
        <v>362</v>
      </c>
      <c r="F5447" s="28" t="s">
        <v>194</v>
      </c>
      <c r="G5447" s="28" t="s">
        <v>148</v>
      </c>
      <c r="H5447" s="28" t="s">
        <v>1139</v>
      </c>
      <c r="I5447" s="29" t="n">
        <v>3900000</v>
      </c>
      <c r="J5447" s="29" t="n">
        <v>2925000</v>
      </c>
      <c r="K5447" s="28" t="n">
        <v>9.75</v>
      </c>
      <c r="L5447" s="28" t="n">
        <v>120</v>
      </c>
      <c r="M5447" s="28" t="n">
        <v>14</v>
      </c>
    </row>
    <row r="5448" customFormat="false" ht="15" hidden="false" customHeight="false" outlineLevel="0" collapsed="false">
      <c r="A5448" s="27" t="n">
        <v>46112</v>
      </c>
      <c r="B5448" s="28" t="n">
        <v>2026</v>
      </c>
      <c r="C5448" s="28" t="s">
        <v>384</v>
      </c>
      <c r="D5448" s="28" t="s">
        <v>49</v>
      </c>
      <c r="E5448" s="28" t="s">
        <v>994</v>
      </c>
      <c r="F5448" s="28" t="s">
        <v>147</v>
      </c>
      <c r="G5448" s="28" t="s">
        <v>148</v>
      </c>
      <c r="H5448" s="28" t="s">
        <v>1188</v>
      </c>
      <c r="I5448" s="29" t="n">
        <v>500000</v>
      </c>
      <c r="J5448" s="29" t="n">
        <v>250000</v>
      </c>
      <c r="K5448" s="28" t="n">
        <v>7.75</v>
      </c>
      <c r="L5448" s="28" t="n">
        <v>120</v>
      </c>
      <c r="M5448" s="28" t="n">
        <v>5</v>
      </c>
    </row>
    <row r="5449" customFormat="false" ht="15" hidden="false" customHeight="false" outlineLevel="0" collapsed="false">
      <c r="A5449" s="27" t="n">
        <v>46112</v>
      </c>
      <c r="B5449" s="28" t="n">
        <v>2026</v>
      </c>
      <c r="C5449" s="28" t="s">
        <v>163</v>
      </c>
      <c r="D5449" s="28" t="s">
        <v>45</v>
      </c>
      <c r="E5449" s="28" t="s">
        <v>611</v>
      </c>
      <c r="F5449" s="28" t="s">
        <v>142</v>
      </c>
      <c r="G5449" s="28" t="s">
        <v>143</v>
      </c>
      <c r="H5449" s="28" t="s">
        <v>187</v>
      </c>
      <c r="I5449" s="29" t="n">
        <v>995000</v>
      </c>
      <c r="J5449" s="29" t="n">
        <v>746250</v>
      </c>
      <c r="K5449" s="28" t="n">
        <v>6.47</v>
      </c>
      <c r="L5449" s="28" t="n">
        <v>120</v>
      </c>
      <c r="M5449" s="28" t="n">
        <v>5</v>
      </c>
    </row>
    <row r="5450" customFormat="false" ht="15" hidden="false" customHeight="false" outlineLevel="0" collapsed="false">
      <c r="A5450" s="27" t="n">
        <v>46112</v>
      </c>
      <c r="B5450" s="28" t="n">
        <v>2026</v>
      </c>
      <c r="C5450" s="28" t="s">
        <v>272</v>
      </c>
      <c r="D5450" s="28" t="s">
        <v>56</v>
      </c>
      <c r="E5450" s="28" t="s">
        <v>772</v>
      </c>
      <c r="F5450" s="28" t="s">
        <v>142</v>
      </c>
      <c r="G5450" s="28" t="s">
        <v>148</v>
      </c>
      <c r="H5450" s="28" t="s">
        <v>1026</v>
      </c>
      <c r="I5450" s="29" t="n">
        <v>719500</v>
      </c>
      <c r="J5450" s="29" t="n">
        <v>539625</v>
      </c>
      <c r="K5450" s="28" t="n">
        <v>9.75</v>
      </c>
      <c r="L5450" s="28" t="n">
        <v>126</v>
      </c>
      <c r="M5450" s="28" t="n">
        <v>25</v>
      </c>
    </row>
    <row r="5451" customFormat="false" ht="15" hidden="false" customHeight="false" outlineLevel="0" collapsed="false">
      <c r="A5451" s="27" t="n">
        <v>46112</v>
      </c>
      <c r="B5451" s="28" t="n">
        <v>2026</v>
      </c>
      <c r="C5451" s="28" t="s">
        <v>140</v>
      </c>
      <c r="D5451" s="28" t="s">
        <v>43</v>
      </c>
      <c r="E5451" s="28" t="s">
        <v>787</v>
      </c>
      <c r="F5451" s="28" t="s">
        <v>142</v>
      </c>
      <c r="G5451" s="28" t="s">
        <v>143</v>
      </c>
      <c r="H5451" s="28" t="s">
        <v>287</v>
      </c>
      <c r="I5451" s="29" t="n">
        <v>150000</v>
      </c>
      <c r="J5451" s="29" t="n">
        <v>127500</v>
      </c>
      <c r="K5451" s="28" t="n">
        <v>9.75</v>
      </c>
      <c r="L5451" s="28" t="n">
        <v>120</v>
      </c>
      <c r="M5451" s="28" t="n">
        <v>3</v>
      </c>
    </row>
    <row r="5452" customFormat="false" ht="15" hidden="false" customHeight="false" outlineLevel="0" collapsed="false">
      <c r="A5452" s="27" t="n">
        <v>46113</v>
      </c>
      <c r="B5452" s="28" t="n">
        <v>2026</v>
      </c>
      <c r="C5452" s="28" t="s">
        <v>172</v>
      </c>
      <c r="D5452" s="28" t="s">
        <v>44</v>
      </c>
      <c r="E5452" s="28" t="s">
        <v>920</v>
      </c>
      <c r="F5452" s="28" t="s">
        <v>142</v>
      </c>
      <c r="G5452" s="28" t="s">
        <v>152</v>
      </c>
      <c r="H5452" s="28" t="s">
        <v>144</v>
      </c>
      <c r="I5452" s="29" t="n">
        <v>325000</v>
      </c>
      <c r="J5452" s="29" t="n">
        <v>243750</v>
      </c>
      <c r="K5452" s="28" t="n">
        <v>10.24</v>
      </c>
      <c r="L5452" s="28" t="n">
        <v>120</v>
      </c>
      <c r="M5452" s="28" t="n">
        <v>13</v>
      </c>
    </row>
    <row r="5453" customFormat="false" ht="15" hidden="false" customHeight="false" outlineLevel="0" collapsed="false">
      <c r="A5453" s="27" t="n">
        <v>46113</v>
      </c>
      <c r="B5453" s="28" t="n">
        <v>2026</v>
      </c>
      <c r="C5453" s="28" t="s">
        <v>316</v>
      </c>
      <c r="D5453" s="28" t="s">
        <v>48</v>
      </c>
      <c r="E5453" s="28" t="s">
        <v>304</v>
      </c>
      <c r="F5453" s="28" t="s">
        <v>147</v>
      </c>
      <c r="G5453" s="28" t="s">
        <v>143</v>
      </c>
      <c r="H5453" s="28" t="s">
        <v>159</v>
      </c>
      <c r="I5453" s="29" t="n">
        <v>200000</v>
      </c>
      <c r="J5453" s="29" t="n">
        <v>100000</v>
      </c>
      <c r="K5453" s="28" t="n">
        <v>9.5</v>
      </c>
      <c r="L5453" s="28" t="n">
        <v>84</v>
      </c>
      <c r="M5453" s="28" t="n">
        <v>0</v>
      </c>
    </row>
    <row r="5454" customFormat="false" ht="15" hidden="false" customHeight="false" outlineLevel="0" collapsed="false">
      <c r="A5454" s="27" t="n">
        <v>46114</v>
      </c>
      <c r="B5454" s="28" t="n">
        <v>2026</v>
      </c>
      <c r="C5454" s="28" t="s">
        <v>140</v>
      </c>
      <c r="D5454" s="28" t="s">
        <v>42</v>
      </c>
      <c r="E5454" s="28" t="s">
        <v>717</v>
      </c>
      <c r="F5454" s="28" t="s">
        <v>142</v>
      </c>
      <c r="G5454" s="28" t="s">
        <v>148</v>
      </c>
      <c r="H5454" s="28" t="s">
        <v>953</v>
      </c>
      <c r="I5454" s="29" t="n">
        <v>55000</v>
      </c>
      <c r="J5454" s="29" t="n">
        <v>46750</v>
      </c>
      <c r="K5454" s="28" t="n">
        <v>9.75</v>
      </c>
      <c r="L5454" s="28" t="n">
        <v>120</v>
      </c>
      <c r="M5454" s="28" t="n">
        <v>24</v>
      </c>
    </row>
    <row r="5455" customFormat="false" ht="15" hidden="false" customHeight="false" outlineLevel="0" collapsed="false">
      <c r="A5455" s="27" t="n">
        <v>46115</v>
      </c>
      <c r="B5455" s="28" t="n">
        <v>2026</v>
      </c>
      <c r="C5455" s="28" t="s">
        <v>154</v>
      </c>
      <c r="D5455" s="28" t="s">
        <v>42</v>
      </c>
      <c r="E5455" s="28" t="s">
        <v>753</v>
      </c>
      <c r="F5455" s="28" t="s">
        <v>142</v>
      </c>
      <c r="G5455" s="28" t="s">
        <v>143</v>
      </c>
      <c r="H5455" s="28" t="s">
        <v>168</v>
      </c>
      <c r="I5455" s="29" t="n">
        <v>550500</v>
      </c>
      <c r="J5455" s="29" t="n">
        <v>412875</v>
      </c>
      <c r="K5455" s="28" t="n">
        <v>7.52</v>
      </c>
      <c r="L5455" s="28" t="n">
        <v>126</v>
      </c>
      <c r="M5455" s="28" t="n">
        <v>1</v>
      </c>
    </row>
    <row r="5456" customFormat="false" ht="15" hidden="false" customHeight="false" outlineLevel="0" collapsed="false">
      <c r="A5456" s="27" t="n">
        <v>46115</v>
      </c>
      <c r="B5456" s="28" t="n">
        <v>2026</v>
      </c>
      <c r="C5456" s="28" t="s">
        <v>166</v>
      </c>
      <c r="D5456" s="28" t="s">
        <v>48</v>
      </c>
      <c r="E5456" s="28" t="s">
        <v>905</v>
      </c>
      <c r="F5456" s="28" t="s">
        <v>142</v>
      </c>
      <c r="G5456" s="28" t="s">
        <v>148</v>
      </c>
      <c r="H5456" s="28" t="s">
        <v>667</v>
      </c>
      <c r="I5456" s="29" t="n">
        <v>914000</v>
      </c>
      <c r="J5456" s="29" t="n">
        <v>685500</v>
      </c>
      <c r="K5456" s="28" t="n">
        <v>6.75</v>
      </c>
      <c r="L5456" s="28" t="n">
        <v>120</v>
      </c>
      <c r="M5456" s="28" t="n">
        <v>29</v>
      </c>
    </row>
    <row r="5457" customFormat="false" ht="15" hidden="false" customHeight="false" outlineLevel="0" collapsed="false">
      <c r="A5457" s="27" t="n">
        <v>46118</v>
      </c>
      <c r="B5457" s="28" t="n">
        <v>2026</v>
      </c>
      <c r="C5457" s="28" t="s">
        <v>321</v>
      </c>
      <c r="D5457" s="28" t="s">
        <v>50</v>
      </c>
      <c r="E5457" s="28" t="s">
        <v>951</v>
      </c>
      <c r="F5457" s="28" t="s">
        <v>147</v>
      </c>
      <c r="G5457" s="28" t="s">
        <v>143</v>
      </c>
      <c r="H5457" s="28" t="s">
        <v>159</v>
      </c>
      <c r="I5457" s="29" t="n">
        <v>210000</v>
      </c>
      <c r="J5457" s="29" t="n">
        <v>105000</v>
      </c>
      <c r="K5457" s="28" t="n">
        <v>9.25</v>
      </c>
      <c r="L5457" s="28" t="n">
        <v>120</v>
      </c>
      <c r="M5457" s="28" t="n">
        <v>2</v>
      </c>
    </row>
    <row r="5458" customFormat="false" ht="15" hidden="false" customHeight="false" outlineLevel="0" collapsed="false">
      <c r="A5458" s="27" t="n">
        <v>46118</v>
      </c>
      <c r="B5458" s="28" t="n">
        <v>2026</v>
      </c>
      <c r="C5458" s="28" t="s">
        <v>353</v>
      </c>
      <c r="D5458" s="28" t="s">
        <v>51</v>
      </c>
      <c r="E5458" s="28" t="s">
        <v>773</v>
      </c>
      <c r="F5458" s="28" t="s">
        <v>142</v>
      </c>
      <c r="G5458" s="28" t="s">
        <v>148</v>
      </c>
      <c r="H5458" s="28" t="s">
        <v>179</v>
      </c>
      <c r="I5458" s="29" t="n">
        <v>817000</v>
      </c>
      <c r="J5458" s="29" t="n">
        <v>612750</v>
      </c>
      <c r="K5458" s="28" t="n">
        <v>9.25</v>
      </c>
      <c r="L5458" s="28" t="n">
        <v>300</v>
      </c>
      <c r="M5458" s="28" t="n">
        <v>20</v>
      </c>
    </row>
    <row r="5459" customFormat="false" ht="15" hidden="false" customHeight="false" outlineLevel="0" collapsed="false">
      <c r="A5459" s="27" t="n">
        <v>46119</v>
      </c>
      <c r="B5459" s="28" t="n">
        <v>2026</v>
      </c>
      <c r="C5459" s="28" t="s">
        <v>166</v>
      </c>
      <c r="D5459" s="28" t="s">
        <v>56</v>
      </c>
      <c r="E5459" s="28" t="s">
        <v>772</v>
      </c>
      <c r="F5459" s="28" t="s">
        <v>142</v>
      </c>
      <c r="G5459" s="28" t="s">
        <v>143</v>
      </c>
      <c r="H5459" s="28" t="s">
        <v>693</v>
      </c>
      <c r="I5459" s="29" t="n">
        <v>125000</v>
      </c>
      <c r="J5459" s="29" t="n">
        <v>106250</v>
      </c>
      <c r="K5459" s="28" t="n">
        <v>9.75</v>
      </c>
      <c r="L5459" s="28" t="n">
        <v>120</v>
      </c>
      <c r="M5459" s="28" t="n">
        <v>3</v>
      </c>
    </row>
    <row r="5460" customFormat="false" ht="15" hidden="false" customHeight="false" outlineLevel="0" collapsed="false">
      <c r="A5460" s="27" t="n">
        <v>46119</v>
      </c>
      <c r="B5460" s="28" t="n">
        <v>2026</v>
      </c>
      <c r="C5460" s="28" t="s">
        <v>201</v>
      </c>
      <c r="D5460" s="28" t="s">
        <v>44</v>
      </c>
      <c r="E5460" s="28" t="s">
        <v>783</v>
      </c>
      <c r="F5460" s="28" t="s">
        <v>142</v>
      </c>
      <c r="G5460" s="28" t="s">
        <v>152</v>
      </c>
      <c r="H5460" s="28" t="s">
        <v>404</v>
      </c>
      <c r="I5460" s="29" t="n">
        <v>1050000</v>
      </c>
      <c r="J5460" s="29" t="n">
        <v>787500</v>
      </c>
      <c r="K5460" s="28" t="n">
        <v>8.5</v>
      </c>
      <c r="L5460" s="28" t="n">
        <v>300</v>
      </c>
      <c r="M5460" s="28" t="n">
        <v>21</v>
      </c>
    </row>
    <row r="5461" customFormat="false" ht="15" hidden="false" customHeight="false" outlineLevel="0" collapsed="false">
      <c r="A5461" s="27" t="n">
        <v>46119</v>
      </c>
      <c r="B5461" s="28" t="n">
        <v>2026</v>
      </c>
      <c r="C5461" s="28" t="s">
        <v>160</v>
      </c>
      <c r="D5461" s="28" t="s">
        <v>42</v>
      </c>
      <c r="E5461" s="28" t="s">
        <v>717</v>
      </c>
      <c r="F5461" s="28" t="s">
        <v>142</v>
      </c>
      <c r="G5461" s="28" t="s">
        <v>148</v>
      </c>
      <c r="H5461" s="28" t="s">
        <v>953</v>
      </c>
      <c r="I5461" s="29" t="n">
        <v>100000</v>
      </c>
      <c r="J5461" s="29" t="n">
        <v>85000</v>
      </c>
      <c r="K5461" s="28" t="n">
        <v>9.75</v>
      </c>
      <c r="L5461" s="28" t="n">
        <v>120</v>
      </c>
      <c r="M5461" s="28" t="n">
        <v>12</v>
      </c>
    </row>
    <row r="5462" customFormat="false" ht="15" hidden="false" customHeight="false" outlineLevel="0" collapsed="false">
      <c r="A5462" s="27" t="n">
        <v>46120</v>
      </c>
      <c r="B5462" s="28" t="n">
        <v>2026</v>
      </c>
      <c r="C5462" s="28" t="s">
        <v>172</v>
      </c>
      <c r="D5462" s="28" t="s">
        <v>48</v>
      </c>
      <c r="E5462" s="28" t="s">
        <v>765</v>
      </c>
      <c r="F5462" s="28" t="s">
        <v>194</v>
      </c>
      <c r="G5462" s="28" t="s">
        <v>148</v>
      </c>
      <c r="H5462" s="28" t="s">
        <v>1168</v>
      </c>
      <c r="I5462" s="29" t="n">
        <v>350000</v>
      </c>
      <c r="J5462" s="29" t="n">
        <v>262500</v>
      </c>
      <c r="K5462" s="28" t="n">
        <v>9</v>
      </c>
      <c r="L5462" s="28" t="n">
        <v>120</v>
      </c>
      <c r="M5462" s="28" t="n">
        <v>29</v>
      </c>
    </row>
    <row r="5463" customFormat="false" ht="15" hidden="false" customHeight="false" outlineLevel="0" collapsed="false">
      <c r="A5463" s="27" t="n">
        <v>46120</v>
      </c>
      <c r="B5463" s="28" t="n">
        <v>2026</v>
      </c>
      <c r="C5463" s="28" t="s">
        <v>169</v>
      </c>
      <c r="D5463" s="28" t="s">
        <v>48</v>
      </c>
      <c r="E5463" s="28" t="s">
        <v>765</v>
      </c>
      <c r="F5463" s="28" t="s">
        <v>147</v>
      </c>
      <c r="G5463" s="28" t="s">
        <v>148</v>
      </c>
      <c r="H5463" s="28" t="s">
        <v>159</v>
      </c>
      <c r="I5463" s="29" t="n">
        <v>25000</v>
      </c>
      <c r="J5463" s="29" t="n">
        <v>12500</v>
      </c>
      <c r="K5463" s="28" t="n">
        <v>13.25</v>
      </c>
      <c r="L5463" s="28" t="n">
        <v>120</v>
      </c>
      <c r="M5463" s="28" t="n">
        <v>2</v>
      </c>
    </row>
    <row r="5464" customFormat="false" ht="15" hidden="false" customHeight="false" outlineLevel="0" collapsed="false">
      <c r="A5464" s="27" t="n">
        <v>46120</v>
      </c>
      <c r="B5464" s="28" t="n">
        <v>2026</v>
      </c>
      <c r="C5464" s="28" t="s">
        <v>169</v>
      </c>
      <c r="D5464" s="28" t="s">
        <v>57</v>
      </c>
      <c r="E5464" s="28" t="s">
        <v>728</v>
      </c>
      <c r="F5464" s="28" t="s">
        <v>147</v>
      </c>
      <c r="G5464" s="28" t="s">
        <v>148</v>
      </c>
      <c r="H5464" s="28" t="s">
        <v>159</v>
      </c>
      <c r="I5464" s="29" t="n">
        <v>40000</v>
      </c>
      <c r="J5464" s="29" t="n">
        <v>20000</v>
      </c>
      <c r="K5464" s="28" t="n">
        <v>13.25</v>
      </c>
      <c r="L5464" s="28" t="n">
        <v>120</v>
      </c>
      <c r="M5464" s="28" t="n">
        <v>2</v>
      </c>
    </row>
    <row r="5465" customFormat="false" ht="15" hidden="false" customHeight="false" outlineLevel="0" collapsed="false">
      <c r="A5465" s="27" t="n">
        <v>46120</v>
      </c>
      <c r="B5465" s="28" t="n">
        <v>2026</v>
      </c>
      <c r="C5465" s="28" t="s">
        <v>172</v>
      </c>
      <c r="D5465" s="28" t="s">
        <v>42</v>
      </c>
      <c r="E5465" s="28" t="s">
        <v>784</v>
      </c>
      <c r="F5465" s="28" t="s">
        <v>142</v>
      </c>
      <c r="G5465" s="28" t="s">
        <v>143</v>
      </c>
      <c r="H5465" s="28" t="s">
        <v>953</v>
      </c>
      <c r="I5465" s="29" t="n">
        <v>200000</v>
      </c>
      <c r="J5465" s="29" t="n">
        <v>150000</v>
      </c>
      <c r="K5465" s="28" t="n">
        <v>9.75</v>
      </c>
      <c r="L5465" s="28" t="n">
        <v>120</v>
      </c>
      <c r="M5465" s="28" t="n">
        <v>20</v>
      </c>
    </row>
    <row r="5466" customFormat="false" ht="15" hidden="false" customHeight="false" outlineLevel="0" collapsed="false">
      <c r="A5466" s="27" t="n">
        <v>46120</v>
      </c>
      <c r="B5466" s="28" t="n">
        <v>2026</v>
      </c>
      <c r="C5466" s="28" t="s">
        <v>140</v>
      </c>
      <c r="D5466" s="28" t="s">
        <v>44</v>
      </c>
      <c r="E5466" s="28" t="s">
        <v>920</v>
      </c>
      <c r="F5466" s="28" t="s">
        <v>142</v>
      </c>
      <c r="G5466" s="28" t="s">
        <v>143</v>
      </c>
      <c r="H5466" s="28" t="s">
        <v>144</v>
      </c>
      <c r="I5466" s="29" t="n">
        <v>158000</v>
      </c>
      <c r="J5466" s="29" t="n">
        <v>118500</v>
      </c>
      <c r="K5466" s="28" t="n">
        <v>11.25</v>
      </c>
      <c r="L5466" s="28" t="n">
        <v>120</v>
      </c>
      <c r="M5466" s="28" t="n">
        <v>13</v>
      </c>
    </row>
    <row r="5467" customFormat="false" ht="15" hidden="false" customHeight="false" outlineLevel="0" collapsed="false">
      <c r="A5467" s="27" t="n">
        <v>46121</v>
      </c>
      <c r="B5467" s="28" t="n">
        <v>2026</v>
      </c>
      <c r="C5467" s="28" t="s">
        <v>172</v>
      </c>
      <c r="D5467" s="28" t="s">
        <v>47</v>
      </c>
      <c r="E5467" s="28" t="s">
        <v>707</v>
      </c>
      <c r="F5467" s="28" t="s">
        <v>147</v>
      </c>
      <c r="G5467" s="28" t="s">
        <v>148</v>
      </c>
      <c r="H5467" s="28" t="s">
        <v>159</v>
      </c>
      <c r="I5467" s="29" t="n">
        <v>40000</v>
      </c>
      <c r="J5467" s="29" t="n">
        <v>20000</v>
      </c>
      <c r="K5467" s="28" t="n">
        <v>9.75</v>
      </c>
      <c r="L5467" s="28" t="n">
        <v>120</v>
      </c>
      <c r="M5467" s="28" t="n">
        <v>5</v>
      </c>
    </row>
    <row r="5468" customFormat="false" ht="15" hidden="false" customHeight="false" outlineLevel="0" collapsed="false">
      <c r="A5468" s="27" t="n">
        <v>46121</v>
      </c>
      <c r="B5468" s="28" t="n">
        <v>2026</v>
      </c>
      <c r="C5468" s="28" t="s">
        <v>166</v>
      </c>
      <c r="D5468" s="28" t="s">
        <v>45</v>
      </c>
      <c r="E5468" s="28" t="s">
        <v>708</v>
      </c>
      <c r="F5468" s="28" t="s">
        <v>142</v>
      </c>
      <c r="G5468" s="28" t="s">
        <v>148</v>
      </c>
      <c r="H5468" s="28" t="s">
        <v>144</v>
      </c>
      <c r="I5468" s="29" t="n">
        <v>350000</v>
      </c>
      <c r="J5468" s="29" t="n">
        <v>262500</v>
      </c>
      <c r="K5468" s="28" t="n">
        <v>9.75</v>
      </c>
      <c r="L5468" s="28" t="n">
        <v>120</v>
      </c>
      <c r="M5468" s="28" t="n">
        <v>8</v>
      </c>
    </row>
    <row r="5469" customFormat="false" ht="15" hidden="false" customHeight="false" outlineLevel="0" collapsed="false">
      <c r="A5469" s="27" t="n">
        <v>46121</v>
      </c>
      <c r="B5469" s="28" t="n">
        <v>2026</v>
      </c>
      <c r="C5469" s="28" t="s">
        <v>203</v>
      </c>
      <c r="D5469" s="28" t="s">
        <v>48</v>
      </c>
      <c r="E5469" s="28" t="s">
        <v>210</v>
      </c>
      <c r="F5469" s="28" t="s">
        <v>142</v>
      </c>
      <c r="G5469" s="28" t="s">
        <v>148</v>
      </c>
      <c r="H5469" s="28" t="s">
        <v>1150</v>
      </c>
      <c r="I5469" s="29" t="n">
        <v>150000</v>
      </c>
      <c r="J5469" s="29" t="n">
        <v>127500</v>
      </c>
      <c r="K5469" s="28" t="n">
        <v>11.25</v>
      </c>
      <c r="L5469" s="28" t="n">
        <v>120</v>
      </c>
      <c r="M5469" s="28" t="n">
        <v>1</v>
      </c>
    </row>
    <row r="5470" customFormat="false" ht="15" hidden="false" customHeight="false" outlineLevel="0" collapsed="false">
      <c r="A5470" s="27" t="n">
        <v>46121</v>
      </c>
      <c r="B5470" s="28" t="n">
        <v>2026</v>
      </c>
      <c r="C5470" s="28" t="s">
        <v>172</v>
      </c>
      <c r="D5470" s="28" t="s">
        <v>47</v>
      </c>
      <c r="E5470" s="28" t="s">
        <v>707</v>
      </c>
      <c r="F5470" s="28" t="s">
        <v>147</v>
      </c>
      <c r="G5470" s="28" t="s">
        <v>148</v>
      </c>
      <c r="H5470" s="28" t="s">
        <v>159</v>
      </c>
      <c r="I5470" s="29" t="n">
        <v>250000</v>
      </c>
      <c r="J5470" s="29" t="n">
        <v>125000</v>
      </c>
      <c r="K5470" s="28" t="n">
        <v>8.75</v>
      </c>
      <c r="L5470" s="28" t="n">
        <v>120</v>
      </c>
      <c r="M5470" s="28" t="n">
        <v>5</v>
      </c>
    </row>
    <row r="5471" customFormat="false" ht="15" hidden="false" customHeight="false" outlineLevel="0" collapsed="false">
      <c r="A5471" s="27" t="n">
        <v>46121</v>
      </c>
      <c r="B5471" s="28" t="n">
        <v>2026</v>
      </c>
      <c r="C5471" s="28" t="s">
        <v>257</v>
      </c>
      <c r="D5471" s="28" t="s">
        <v>54</v>
      </c>
      <c r="E5471" s="28" t="s">
        <v>791</v>
      </c>
      <c r="F5471" s="28" t="s">
        <v>142</v>
      </c>
      <c r="G5471" s="28" t="s">
        <v>148</v>
      </c>
      <c r="H5471" s="28" t="s">
        <v>404</v>
      </c>
      <c r="I5471" s="29" t="n">
        <v>1910000</v>
      </c>
      <c r="J5471" s="29" t="n">
        <v>1432500</v>
      </c>
      <c r="K5471" s="28" t="n">
        <v>9</v>
      </c>
      <c r="L5471" s="28" t="n">
        <v>149</v>
      </c>
      <c r="M5471" s="28" t="n">
        <v>8</v>
      </c>
    </row>
    <row r="5472" customFormat="false" ht="15" hidden="false" customHeight="false" outlineLevel="0" collapsed="false">
      <c r="A5472" s="27" t="n">
        <v>46121</v>
      </c>
      <c r="B5472" s="28" t="n">
        <v>2026</v>
      </c>
      <c r="C5472" s="28" t="s">
        <v>198</v>
      </c>
      <c r="D5472" s="28" t="s">
        <v>43</v>
      </c>
      <c r="E5472" s="28" t="s">
        <v>952</v>
      </c>
      <c r="F5472" s="28" t="s">
        <v>147</v>
      </c>
      <c r="G5472" s="28" t="s">
        <v>441</v>
      </c>
      <c r="H5472" s="28" t="s">
        <v>159</v>
      </c>
      <c r="I5472" s="29" t="n">
        <v>250000</v>
      </c>
      <c r="J5472" s="29" t="n">
        <v>125000</v>
      </c>
      <c r="K5472" s="28" t="n">
        <v>9.25</v>
      </c>
      <c r="L5472" s="28" t="n">
        <v>84</v>
      </c>
      <c r="M5472" s="28" t="n">
        <v>4</v>
      </c>
    </row>
    <row r="5473" customFormat="false" ht="15" hidden="false" customHeight="false" outlineLevel="0" collapsed="false">
      <c r="A5473" s="27" t="n">
        <v>46121</v>
      </c>
      <c r="B5473" s="28" t="n">
        <v>2026</v>
      </c>
      <c r="C5473" s="28" t="s">
        <v>887</v>
      </c>
      <c r="D5473" s="28" t="s">
        <v>44</v>
      </c>
      <c r="E5473" s="28" t="s">
        <v>783</v>
      </c>
      <c r="F5473" s="28" t="s">
        <v>142</v>
      </c>
      <c r="G5473" s="28" t="s">
        <v>441</v>
      </c>
      <c r="H5473" s="28" t="s">
        <v>1031</v>
      </c>
      <c r="I5473" s="29" t="n">
        <v>400000</v>
      </c>
      <c r="J5473" s="29" t="n">
        <v>300000</v>
      </c>
      <c r="K5473" s="28" t="n">
        <v>7.625</v>
      </c>
      <c r="L5473" s="28" t="n">
        <v>300</v>
      </c>
      <c r="M5473" s="28" t="n">
        <v>8</v>
      </c>
    </row>
    <row r="5474" customFormat="false" ht="15" hidden="false" customHeight="false" outlineLevel="0" collapsed="false">
      <c r="A5474" s="27" t="n">
        <v>46122</v>
      </c>
      <c r="B5474" s="28" t="n">
        <v>2026</v>
      </c>
      <c r="C5474" s="28" t="s">
        <v>272</v>
      </c>
      <c r="D5474" s="28" t="s">
        <v>44</v>
      </c>
      <c r="E5474" s="28" t="s">
        <v>982</v>
      </c>
      <c r="F5474" s="28" t="s">
        <v>142</v>
      </c>
      <c r="G5474" s="28" t="s">
        <v>148</v>
      </c>
      <c r="H5474" s="28" t="s">
        <v>1150</v>
      </c>
      <c r="I5474" s="29" t="n">
        <v>150000</v>
      </c>
      <c r="J5474" s="29" t="n">
        <v>127500</v>
      </c>
      <c r="K5474" s="28" t="n">
        <v>12.5</v>
      </c>
      <c r="L5474" s="28" t="n">
        <v>120</v>
      </c>
      <c r="M5474" s="28" t="n">
        <v>1</v>
      </c>
    </row>
    <row r="5475" customFormat="false" ht="15" hidden="false" customHeight="false" outlineLevel="0" collapsed="false">
      <c r="A5475" s="27" t="n">
        <v>46122</v>
      </c>
      <c r="B5475" s="28" t="n">
        <v>2026</v>
      </c>
      <c r="C5475" s="28" t="s">
        <v>160</v>
      </c>
      <c r="D5475" s="28" t="s">
        <v>44</v>
      </c>
      <c r="E5475" s="28" t="s">
        <v>730</v>
      </c>
      <c r="F5475" s="28" t="s">
        <v>147</v>
      </c>
      <c r="G5475" s="28" t="s">
        <v>148</v>
      </c>
      <c r="H5475" s="28" t="s">
        <v>953</v>
      </c>
      <c r="I5475" s="29" t="n">
        <v>25000</v>
      </c>
      <c r="J5475" s="29" t="n">
        <v>12500</v>
      </c>
      <c r="K5475" s="28" t="n">
        <v>13.25</v>
      </c>
      <c r="L5475" s="28" t="n">
        <v>120</v>
      </c>
      <c r="M5475" s="28" t="n">
        <v>12</v>
      </c>
    </row>
    <row r="5476" customFormat="false" ht="15" hidden="false" customHeight="false" outlineLevel="0" collapsed="false">
      <c r="A5476" s="27" t="n">
        <v>46124</v>
      </c>
      <c r="B5476" s="28" t="n">
        <v>2026</v>
      </c>
      <c r="C5476" s="28" t="s">
        <v>522</v>
      </c>
      <c r="D5476" s="28" t="s">
        <v>50</v>
      </c>
      <c r="E5476" s="28" t="s">
        <v>389</v>
      </c>
      <c r="F5476" s="28" t="s">
        <v>142</v>
      </c>
      <c r="G5476" s="28" t="s">
        <v>143</v>
      </c>
      <c r="H5476" s="28" t="s">
        <v>287</v>
      </c>
      <c r="I5476" s="29" t="n">
        <v>200000</v>
      </c>
      <c r="J5476" s="29" t="n">
        <v>150000</v>
      </c>
      <c r="K5476" s="28" t="n">
        <v>9.75</v>
      </c>
      <c r="L5476" s="28" t="n">
        <v>120</v>
      </c>
      <c r="M5476" s="28" t="n">
        <v>2</v>
      </c>
    </row>
    <row r="5477" customFormat="false" ht="15" hidden="false" customHeight="false" outlineLevel="0" collapsed="false">
      <c r="A5477" s="27" t="n">
        <v>46124</v>
      </c>
      <c r="B5477" s="28" t="n">
        <v>2026</v>
      </c>
      <c r="C5477" s="28" t="s">
        <v>166</v>
      </c>
      <c r="D5477" s="28" t="s">
        <v>48</v>
      </c>
      <c r="E5477" s="28" t="s">
        <v>815</v>
      </c>
      <c r="F5477" s="28" t="s">
        <v>142</v>
      </c>
      <c r="G5477" s="28" t="s">
        <v>148</v>
      </c>
      <c r="H5477" s="28" t="s">
        <v>953</v>
      </c>
      <c r="I5477" s="29" t="n">
        <v>100000</v>
      </c>
      <c r="J5477" s="29" t="n">
        <v>85000</v>
      </c>
      <c r="K5477" s="28" t="n">
        <v>9.75</v>
      </c>
      <c r="L5477" s="28" t="n">
        <v>120</v>
      </c>
      <c r="M5477" s="28" t="n">
        <v>4</v>
      </c>
    </row>
    <row r="5478" customFormat="false" ht="15" hidden="false" customHeight="false" outlineLevel="0" collapsed="false">
      <c r="A5478" s="27" t="n">
        <v>46126</v>
      </c>
      <c r="B5478" s="28" t="n">
        <v>2026</v>
      </c>
      <c r="C5478" s="28" t="s">
        <v>172</v>
      </c>
      <c r="D5478" s="28" t="s">
        <v>42</v>
      </c>
      <c r="E5478" s="28" t="s">
        <v>784</v>
      </c>
      <c r="F5478" s="28" t="s">
        <v>147</v>
      </c>
      <c r="G5478" s="28" t="s">
        <v>143</v>
      </c>
      <c r="H5478" s="28" t="s">
        <v>953</v>
      </c>
      <c r="I5478" s="29" t="n">
        <v>25000</v>
      </c>
      <c r="J5478" s="29" t="n">
        <v>12500</v>
      </c>
      <c r="K5478" s="28" t="n">
        <v>13.25</v>
      </c>
      <c r="L5478" s="28" t="n">
        <v>120</v>
      </c>
      <c r="M5478" s="28" t="n">
        <v>20</v>
      </c>
    </row>
    <row r="5479" customFormat="false" ht="15" hidden="false" customHeight="false" outlineLevel="0" collapsed="false">
      <c r="A5479" s="27" t="n">
        <v>46126</v>
      </c>
      <c r="B5479" s="28" t="n">
        <v>2026</v>
      </c>
      <c r="C5479" s="28" t="s">
        <v>175</v>
      </c>
      <c r="D5479" s="28" t="s">
        <v>44</v>
      </c>
      <c r="E5479" s="28" t="s">
        <v>920</v>
      </c>
      <c r="F5479" s="28" t="s">
        <v>142</v>
      </c>
      <c r="G5479" s="28" t="s">
        <v>143</v>
      </c>
      <c r="H5479" s="28" t="s">
        <v>287</v>
      </c>
      <c r="I5479" s="29" t="n">
        <v>150000</v>
      </c>
      <c r="J5479" s="29" t="n">
        <v>127500</v>
      </c>
      <c r="K5479" s="28" t="n">
        <v>9.75</v>
      </c>
      <c r="L5479" s="28" t="n">
        <v>120</v>
      </c>
      <c r="M5479" s="28" t="n">
        <v>3</v>
      </c>
    </row>
    <row r="5480" customFormat="false" ht="15" hidden="false" customHeight="false" outlineLevel="0" collapsed="false">
      <c r="A5480" s="27" t="n">
        <v>46126</v>
      </c>
      <c r="B5480" s="28" t="n">
        <v>2026</v>
      </c>
      <c r="C5480" s="28" t="s">
        <v>530</v>
      </c>
      <c r="D5480" s="28" t="s">
        <v>48</v>
      </c>
      <c r="E5480" s="28" t="s">
        <v>704</v>
      </c>
      <c r="F5480" s="28" t="s">
        <v>142</v>
      </c>
      <c r="G5480" s="28" t="s">
        <v>148</v>
      </c>
      <c r="H5480" s="28" t="s">
        <v>1001</v>
      </c>
      <c r="I5480" s="29" t="n">
        <v>350000</v>
      </c>
      <c r="J5480" s="29" t="n">
        <v>262500</v>
      </c>
      <c r="K5480" s="28" t="n">
        <v>11.25</v>
      </c>
      <c r="L5480" s="28" t="n">
        <v>120</v>
      </c>
      <c r="M5480" s="28" t="n">
        <v>2</v>
      </c>
    </row>
    <row r="5481" customFormat="false" ht="15" hidden="false" customHeight="false" outlineLevel="0" collapsed="false">
      <c r="A5481" s="27" t="n">
        <v>46126</v>
      </c>
      <c r="B5481" s="28" t="n">
        <v>2026</v>
      </c>
      <c r="C5481" s="28" t="s">
        <v>303</v>
      </c>
      <c r="D5481" s="28" t="s">
        <v>42</v>
      </c>
      <c r="E5481" s="28" t="s">
        <v>717</v>
      </c>
      <c r="F5481" s="28" t="s">
        <v>142</v>
      </c>
      <c r="G5481" s="28" t="s">
        <v>156</v>
      </c>
      <c r="H5481" s="28" t="s">
        <v>227</v>
      </c>
      <c r="I5481" s="29" t="n">
        <v>820000</v>
      </c>
      <c r="J5481" s="29" t="n">
        <v>615000</v>
      </c>
      <c r="K5481" s="28" t="n">
        <v>9</v>
      </c>
      <c r="L5481" s="28" t="n">
        <v>126</v>
      </c>
      <c r="M5481" s="28" t="n">
        <v>26</v>
      </c>
    </row>
    <row r="5482" customFormat="false" ht="15" hidden="false" customHeight="false" outlineLevel="0" collapsed="false">
      <c r="A5482" s="27" t="n">
        <v>46126</v>
      </c>
      <c r="B5482" s="28" t="n">
        <v>2026</v>
      </c>
      <c r="C5482" s="28" t="s">
        <v>145</v>
      </c>
      <c r="D5482" s="28" t="s">
        <v>42</v>
      </c>
      <c r="E5482" s="28" t="s">
        <v>753</v>
      </c>
      <c r="F5482" s="28" t="s">
        <v>147</v>
      </c>
      <c r="G5482" s="28" t="s">
        <v>441</v>
      </c>
      <c r="H5482" s="28" t="s">
        <v>159</v>
      </c>
      <c r="I5482" s="29" t="n">
        <v>120000</v>
      </c>
      <c r="J5482" s="29" t="n">
        <v>60000</v>
      </c>
      <c r="K5482" s="28" t="n">
        <v>8.5</v>
      </c>
      <c r="L5482" s="28" t="n">
        <v>120</v>
      </c>
      <c r="M5482" s="28" t="n">
        <v>15</v>
      </c>
    </row>
    <row r="5483" customFormat="false" ht="15" hidden="false" customHeight="false" outlineLevel="0" collapsed="false">
      <c r="A5483" s="27" t="n">
        <v>46126</v>
      </c>
      <c r="B5483" s="28" t="n">
        <v>2026</v>
      </c>
      <c r="C5483" s="28" t="s">
        <v>203</v>
      </c>
      <c r="D5483" s="28" t="s">
        <v>45</v>
      </c>
      <c r="E5483" s="28" t="s">
        <v>906</v>
      </c>
      <c r="F5483" s="28" t="s">
        <v>142</v>
      </c>
      <c r="G5483" s="28" t="s">
        <v>143</v>
      </c>
      <c r="H5483" s="28" t="s">
        <v>1117</v>
      </c>
      <c r="I5483" s="29" t="n">
        <v>411000</v>
      </c>
      <c r="J5483" s="29" t="n">
        <v>308250</v>
      </c>
      <c r="K5483" s="28" t="n">
        <v>9.5</v>
      </c>
      <c r="L5483" s="28" t="n">
        <v>120</v>
      </c>
      <c r="M5483" s="28" t="n">
        <v>10</v>
      </c>
    </row>
    <row r="5484" customFormat="false" ht="15" hidden="false" customHeight="false" outlineLevel="0" collapsed="false">
      <c r="A5484" s="27" t="n">
        <v>46129</v>
      </c>
      <c r="B5484" s="28" t="n">
        <v>2026</v>
      </c>
      <c r="C5484" s="28" t="s">
        <v>504</v>
      </c>
      <c r="D5484" s="28" t="s">
        <v>50</v>
      </c>
      <c r="E5484" s="28" t="s">
        <v>724</v>
      </c>
      <c r="F5484" s="28" t="s">
        <v>142</v>
      </c>
      <c r="G5484" s="28" t="s">
        <v>152</v>
      </c>
      <c r="H5484" s="28" t="s">
        <v>987</v>
      </c>
      <c r="I5484" s="29" t="n">
        <v>460000</v>
      </c>
      <c r="J5484" s="29" t="n">
        <v>345000</v>
      </c>
      <c r="K5484" s="28" t="n">
        <v>9.5</v>
      </c>
      <c r="L5484" s="28" t="n">
        <v>120</v>
      </c>
      <c r="M5484" s="28" t="n">
        <v>12</v>
      </c>
    </row>
    <row r="5485" customFormat="false" ht="15" hidden="false" customHeight="false" outlineLevel="0" collapsed="false">
      <c r="A5485" s="27" t="n">
        <v>46129</v>
      </c>
      <c r="B5485" s="28" t="n">
        <v>2026</v>
      </c>
      <c r="C5485" s="28" t="s">
        <v>300</v>
      </c>
      <c r="D5485" s="28" t="s">
        <v>43</v>
      </c>
      <c r="E5485" s="28" t="s">
        <v>1189</v>
      </c>
      <c r="F5485" s="28" t="s">
        <v>142</v>
      </c>
      <c r="G5485" s="28" t="s">
        <v>152</v>
      </c>
      <c r="H5485" s="28" t="s">
        <v>404</v>
      </c>
      <c r="I5485" s="29" t="n">
        <v>510000</v>
      </c>
      <c r="J5485" s="29" t="n">
        <v>382500</v>
      </c>
      <c r="K5485" s="28" t="n">
        <v>9.25</v>
      </c>
      <c r="L5485" s="28" t="n">
        <v>300</v>
      </c>
      <c r="M5485" s="28" t="n">
        <v>2</v>
      </c>
    </row>
    <row r="5486" customFormat="false" ht="15" hidden="false" customHeight="false" outlineLevel="0" collapsed="false">
      <c r="A5486" s="27" t="n">
        <v>46129</v>
      </c>
      <c r="B5486" s="28" t="n">
        <v>2026</v>
      </c>
      <c r="C5486" s="28" t="s">
        <v>608</v>
      </c>
      <c r="D5486" s="28" t="s">
        <v>45</v>
      </c>
      <c r="E5486" s="28" t="s">
        <v>293</v>
      </c>
      <c r="F5486" s="28" t="s">
        <v>147</v>
      </c>
      <c r="G5486" s="28" t="s">
        <v>441</v>
      </c>
      <c r="H5486" s="28" t="s">
        <v>621</v>
      </c>
      <c r="I5486" s="29" t="n">
        <v>200000</v>
      </c>
      <c r="J5486" s="29" t="n">
        <v>100000</v>
      </c>
      <c r="K5486" s="28" t="n">
        <v>9.5</v>
      </c>
      <c r="L5486" s="28" t="n">
        <v>120</v>
      </c>
      <c r="M5486" s="28" t="n">
        <v>17</v>
      </c>
    </row>
    <row r="5487" customFormat="false" ht="15" hidden="false" customHeight="false" outlineLevel="0" collapsed="false">
      <c r="A5487" s="27" t="n">
        <v>46129</v>
      </c>
      <c r="B5487" s="28" t="n">
        <v>2026</v>
      </c>
      <c r="C5487" s="28" t="s">
        <v>608</v>
      </c>
      <c r="D5487" s="28" t="s">
        <v>45</v>
      </c>
      <c r="E5487" s="28" t="s">
        <v>293</v>
      </c>
      <c r="F5487" s="28" t="s">
        <v>142</v>
      </c>
      <c r="G5487" s="28" t="s">
        <v>148</v>
      </c>
      <c r="H5487" s="28" t="s">
        <v>621</v>
      </c>
      <c r="I5487" s="29" t="n">
        <v>3435000</v>
      </c>
      <c r="J5487" s="29" t="n">
        <v>2576250</v>
      </c>
      <c r="K5487" s="28" t="n">
        <v>8.5</v>
      </c>
      <c r="L5487" s="28" t="n">
        <v>120</v>
      </c>
      <c r="M5487" s="28" t="n">
        <v>17</v>
      </c>
    </row>
    <row r="5488" customFormat="false" ht="15" hidden="false" customHeight="false" outlineLevel="0" collapsed="false">
      <c r="A5488" s="27" t="n">
        <v>46131</v>
      </c>
      <c r="B5488" s="28" t="n">
        <v>2026</v>
      </c>
      <c r="C5488" s="28" t="s">
        <v>272</v>
      </c>
      <c r="D5488" s="28" t="s">
        <v>42</v>
      </c>
      <c r="E5488" s="28" t="s">
        <v>717</v>
      </c>
      <c r="F5488" s="28" t="s">
        <v>142</v>
      </c>
      <c r="G5488" s="28" t="s">
        <v>441</v>
      </c>
      <c r="H5488" s="28" t="s">
        <v>208</v>
      </c>
      <c r="I5488" s="29" t="n">
        <v>190000</v>
      </c>
      <c r="J5488" s="29" t="n">
        <v>142500</v>
      </c>
      <c r="K5488" s="28" t="n">
        <v>9.5</v>
      </c>
      <c r="L5488" s="28" t="n">
        <v>120</v>
      </c>
      <c r="M5488" s="28" t="n">
        <v>2</v>
      </c>
    </row>
    <row r="5489" customFormat="false" ht="15" hidden="false" customHeight="false" outlineLevel="0" collapsed="false">
      <c r="A5489" s="27" t="n">
        <v>46131</v>
      </c>
      <c r="B5489" s="28" t="n">
        <v>2026</v>
      </c>
      <c r="C5489" s="28" t="s">
        <v>169</v>
      </c>
      <c r="D5489" s="28" t="s">
        <v>43</v>
      </c>
      <c r="E5489" s="28" t="s">
        <v>757</v>
      </c>
      <c r="F5489" s="28" t="s">
        <v>147</v>
      </c>
      <c r="G5489" s="28" t="s">
        <v>441</v>
      </c>
      <c r="H5489" s="28" t="s">
        <v>159</v>
      </c>
      <c r="I5489" s="29" t="n">
        <v>50000</v>
      </c>
      <c r="J5489" s="29" t="n">
        <v>25000</v>
      </c>
      <c r="K5489" s="28" t="n">
        <v>8.75</v>
      </c>
      <c r="L5489" s="28" t="n">
        <v>120</v>
      </c>
      <c r="M5489" s="28" t="n">
        <v>8</v>
      </c>
    </row>
    <row r="5490" customFormat="false" ht="15" hidden="false" customHeight="false" outlineLevel="0" collapsed="false">
      <c r="A5490" s="27" t="n">
        <v>46131</v>
      </c>
      <c r="B5490" s="28" t="n">
        <v>2026</v>
      </c>
      <c r="C5490" s="28" t="s">
        <v>387</v>
      </c>
      <c r="D5490" s="28" t="s">
        <v>47</v>
      </c>
      <c r="E5490" s="28" t="s">
        <v>1041</v>
      </c>
      <c r="F5490" s="28" t="s">
        <v>142</v>
      </c>
      <c r="G5490" s="28" t="s">
        <v>148</v>
      </c>
      <c r="H5490" s="28" t="s">
        <v>953</v>
      </c>
      <c r="I5490" s="29" t="n">
        <v>130000</v>
      </c>
      <c r="J5490" s="29" t="n">
        <v>110500</v>
      </c>
      <c r="K5490" s="28" t="n">
        <v>9.75</v>
      </c>
      <c r="L5490" s="28" t="n">
        <v>120</v>
      </c>
      <c r="M5490" s="28" t="n">
        <v>2</v>
      </c>
    </row>
    <row r="5491" customFormat="false" ht="15" hidden="false" customHeight="false" outlineLevel="0" collapsed="false">
      <c r="A5491" s="27" t="n">
        <v>46131</v>
      </c>
      <c r="B5491" s="28" t="n">
        <v>2026</v>
      </c>
      <c r="C5491" s="28" t="s">
        <v>169</v>
      </c>
      <c r="D5491" s="28" t="s">
        <v>43</v>
      </c>
      <c r="E5491" s="28" t="s">
        <v>757</v>
      </c>
      <c r="F5491" s="28" t="s">
        <v>142</v>
      </c>
      <c r="G5491" s="28" t="s">
        <v>441</v>
      </c>
      <c r="H5491" s="28" t="s">
        <v>159</v>
      </c>
      <c r="I5491" s="29" t="n">
        <v>365000</v>
      </c>
      <c r="J5491" s="29" t="n">
        <v>273750</v>
      </c>
      <c r="K5491" s="28" t="n">
        <v>8.75</v>
      </c>
      <c r="L5491" s="28" t="n">
        <v>120</v>
      </c>
      <c r="M5491" s="28" t="n">
        <v>8</v>
      </c>
    </row>
    <row r="5492" customFormat="false" ht="15" hidden="false" customHeight="false" outlineLevel="0" collapsed="false">
      <c r="A5492" s="27" t="n">
        <v>46132</v>
      </c>
      <c r="B5492" s="28" t="n">
        <v>2026</v>
      </c>
      <c r="C5492" s="28" t="s">
        <v>196</v>
      </c>
      <c r="D5492" s="28" t="s">
        <v>46</v>
      </c>
      <c r="E5492" s="28" t="s">
        <v>813</v>
      </c>
      <c r="F5492" s="28" t="s">
        <v>142</v>
      </c>
      <c r="G5492" s="28" t="s">
        <v>148</v>
      </c>
      <c r="H5492" s="28" t="s">
        <v>223</v>
      </c>
      <c r="I5492" s="29" t="n">
        <v>600000</v>
      </c>
      <c r="J5492" s="29" t="n">
        <v>450000</v>
      </c>
      <c r="K5492" s="28" t="n">
        <v>8.75</v>
      </c>
      <c r="L5492" s="28" t="n">
        <v>120</v>
      </c>
      <c r="M5492" s="28" t="n">
        <v>7</v>
      </c>
    </row>
    <row r="5493" customFormat="false" ht="15" hidden="false" customHeight="false" outlineLevel="0" collapsed="false">
      <c r="A5493" s="27" t="n">
        <v>46132</v>
      </c>
      <c r="B5493" s="28" t="n">
        <v>2026</v>
      </c>
      <c r="C5493" s="28" t="s">
        <v>160</v>
      </c>
      <c r="D5493" s="28" t="s">
        <v>51</v>
      </c>
      <c r="E5493" s="28" t="s">
        <v>1046</v>
      </c>
      <c r="F5493" s="28" t="s">
        <v>142</v>
      </c>
      <c r="G5493" s="28" t="s">
        <v>148</v>
      </c>
      <c r="H5493" s="28" t="s">
        <v>953</v>
      </c>
      <c r="I5493" s="29" t="n">
        <v>150000</v>
      </c>
      <c r="J5493" s="29" t="n">
        <v>127500</v>
      </c>
      <c r="K5493" s="28" t="n">
        <v>9.75</v>
      </c>
      <c r="L5493" s="28" t="n">
        <v>120</v>
      </c>
      <c r="M5493" s="28" t="n">
        <v>2</v>
      </c>
    </row>
    <row r="5494" customFormat="false" ht="15" hidden="false" customHeight="false" outlineLevel="0" collapsed="false">
      <c r="A5494" s="27" t="n">
        <v>46132</v>
      </c>
      <c r="B5494" s="28" t="n">
        <v>2026</v>
      </c>
      <c r="C5494" s="28" t="s">
        <v>196</v>
      </c>
      <c r="D5494" s="28" t="s">
        <v>48</v>
      </c>
      <c r="E5494" s="28" t="s">
        <v>362</v>
      </c>
      <c r="F5494" s="28" t="s">
        <v>147</v>
      </c>
      <c r="G5494" s="28" t="s">
        <v>148</v>
      </c>
      <c r="H5494" s="28" t="s">
        <v>187</v>
      </c>
      <c r="I5494" s="29" t="n">
        <v>400000</v>
      </c>
      <c r="J5494" s="29" t="n">
        <v>200000</v>
      </c>
      <c r="K5494" s="28" t="n">
        <v>9.75</v>
      </c>
      <c r="L5494" s="28" t="n">
        <v>120</v>
      </c>
      <c r="M5494" s="28" t="n">
        <v>6</v>
      </c>
    </row>
    <row r="5495" customFormat="false" ht="15" hidden="false" customHeight="false" outlineLevel="0" collapsed="false">
      <c r="A5495" s="27" t="n">
        <v>46132</v>
      </c>
      <c r="B5495" s="28" t="n">
        <v>2026</v>
      </c>
      <c r="C5495" s="28" t="s">
        <v>145</v>
      </c>
      <c r="D5495" s="28" t="s">
        <v>44</v>
      </c>
      <c r="E5495" s="28" t="s">
        <v>759</v>
      </c>
      <c r="F5495" s="28" t="s">
        <v>147</v>
      </c>
      <c r="G5495" s="28" t="s">
        <v>143</v>
      </c>
      <c r="H5495" s="28" t="s">
        <v>453</v>
      </c>
      <c r="I5495" s="29" t="n">
        <v>150000</v>
      </c>
      <c r="J5495" s="29" t="n">
        <v>75000</v>
      </c>
      <c r="K5495" s="28" t="n">
        <v>9.5</v>
      </c>
      <c r="L5495" s="28" t="n">
        <v>48</v>
      </c>
      <c r="M5495" s="28" t="n">
        <v>4</v>
      </c>
    </row>
    <row r="5496" customFormat="false" ht="15" hidden="false" customHeight="false" outlineLevel="0" collapsed="false">
      <c r="A5496" s="27" t="n">
        <v>46133</v>
      </c>
      <c r="B5496" s="28" t="n">
        <v>2026</v>
      </c>
      <c r="C5496" s="28" t="s">
        <v>235</v>
      </c>
      <c r="D5496" s="28" t="s">
        <v>50</v>
      </c>
      <c r="E5496" s="28" t="s">
        <v>951</v>
      </c>
      <c r="F5496" s="28" t="s">
        <v>142</v>
      </c>
      <c r="G5496" s="28" t="s">
        <v>148</v>
      </c>
      <c r="H5496" s="28" t="s">
        <v>162</v>
      </c>
      <c r="I5496" s="29" t="n">
        <v>414400</v>
      </c>
      <c r="J5496" s="29" t="n">
        <v>310800</v>
      </c>
      <c r="K5496" s="28" t="n">
        <v>6.82</v>
      </c>
      <c r="L5496" s="28" t="n">
        <v>120</v>
      </c>
      <c r="M5496" s="28" t="n">
        <v>4</v>
      </c>
    </row>
    <row r="5497" customFormat="false" ht="15" hidden="false" customHeight="false" outlineLevel="0" collapsed="false">
      <c r="A5497" s="27" t="n">
        <v>46133</v>
      </c>
      <c r="B5497" s="28" t="n">
        <v>2026</v>
      </c>
      <c r="C5497" s="28" t="s">
        <v>203</v>
      </c>
      <c r="D5497" s="28" t="s">
        <v>52</v>
      </c>
      <c r="E5497" s="28" t="s">
        <v>720</v>
      </c>
      <c r="F5497" s="28" t="s">
        <v>142</v>
      </c>
      <c r="G5497" s="28" t="s">
        <v>148</v>
      </c>
      <c r="H5497" s="28" t="s">
        <v>937</v>
      </c>
      <c r="I5497" s="29" t="n">
        <v>78000</v>
      </c>
      <c r="J5497" s="29" t="n">
        <v>66300</v>
      </c>
      <c r="K5497" s="28" t="n">
        <v>12.25</v>
      </c>
      <c r="L5497" s="28" t="n">
        <v>120</v>
      </c>
      <c r="M5497" s="28" t="n">
        <v>5</v>
      </c>
    </row>
    <row r="5498" customFormat="false" ht="15" hidden="false" customHeight="false" outlineLevel="0" collapsed="false">
      <c r="A5498" s="27" t="n">
        <v>46133</v>
      </c>
      <c r="B5498" s="28" t="n">
        <v>2026</v>
      </c>
      <c r="C5498" s="28" t="s">
        <v>166</v>
      </c>
      <c r="D5498" s="28" t="s">
        <v>48</v>
      </c>
      <c r="E5498" s="28" t="s">
        <v>815</v>
      </c>
      <c r="F5498" s="28" t="s">
        <v>147</v>
      </c>
      <c r="G5498" s="28" t="s">
        <v>148</v>
      </c>
      <c r="H5498" s="28" t="s">
        <v>953</v>
      </c>
      <c r="I5498" s="29" t="n">
        <v>25000</v>
      </c>
      <c r="J5498" s="29" t="n">
        <v>12500</v>
      </c>
      <c r="K5498" s="28" t="n">
        <v>13.25</v>
      </c>
      <c r="L5498" s="28" t="n">
        <v>120</v>
      </c>
      <c r="M5498" s="28" t="n">
        <v>4</v>
      </c>
    </row>
    <row r="5499" customFormat="false" ht="15" hidden="false" customHeight="false" outlineLevel="0" collapsed="false">
      <c r="A5499" s="27" t="n">
        <v>46133</v>
      </c>
      <c r="B5499" s="28" t="n">
        <v>2026</v>
      </c>
      <c r="C5499" s="28" t="s">
        <v>379</v>
      </c>
      <c r="D5499" s="28" t="s">
        <v>45</v>
      </c>
      <c r="E5499" s="28" t="s">
        <v>708</v>
      </c>
      <c r="F5499" s="28" t="s">
        <v>142</v>
      </c>
      <c r="G5499" s="28" t="s">
        <v>148</v>
      </c>
      <c r="H5499" s="28" t="s">
        <v>1001</v>
      </c>
      <c r="I5499" s="29" t="n">
        <v>300000</v>
      </c>
      <c r="J5499" s="29" t="n">
        <v>225000</v>
      </c>
      <c r="K5499" s="28" t="n">
        <v>9.75</v>
      </c>
      <c r="L5499" s="28" t="n">
        <v>120</v>
      </c>
      <c r="M5499" s="28" t="n">
        <v>0</v>
      </c>
    </row>
    <row r="5500" customFormat="false" ht="15" hidden="false" customHeight="false" outlineLevel="0" collapsed="false">
      <c r="A5500" s="27" t="n">
        <v>46133</v>
      </c>
      <c r="B5500" s="28" t="n">
        <v>2026</v>
      </c>
      <c r="C5500" s="28" t="s">
        <v>172</v>
      </c>
      <c r="D5500" s="28" t="s">
        <v>43</v>
      </c>
      <c r="E5500" s="28" t="s">
        <v>788</v>
      </c>
      <c r="F5500" s="28" t="s">
        <v>142</v>
      </c>
      <c r="G5500" s="28" t="s">
        <v>148</v>
      </c>
      <c r="H5500" s="28" t="s">
        <v>269</v>
      </c>
      <c r="I5500" s="29" t="n">
        <v>740000</v>
      </c>
      <c r="J5500" s="29" t="n">
        <v>555000</v>
      </c>
      <c r="K5500" s="28" t="n">
        <v>9.25</v>
      </c>
      <c r="L5500" s="28" t="n">
        <v>300</v>
      </c>
      <c r="M5500" s="28" t="n">
        <v>4</v>
      </c>
    </row>
    <row r="5501" customFormat="false" ht="15" hidden="false" customHeight="false" outlineLevel="0" collapsed="false">
      <c r="A5501" s="27" t="n">
        <v>46134</v>
      </c>
      <c r="B5501" s="28" t="n">
        <v>2026</v>
      </c>
      <c r="C5501" s="28" t="s">
        <v>172</v>
      </c>
      <c r="D5501" s="28" t="s">
        <v>45</v>
      </c>
      <c r="E5501" s="28" t="s">
        <v>222</v>
      </c>
      <c r="F5501" s="28" t="s">
        <v>147</v>
      </c>
      <c r="G5501" s="28" t="s">
        <v>148</v>
      </c>
      <c r="H5501" s="28" t="s">
        <v>159</v>
      </c>
      <c r="I5501" s="29" t="n">
        <v>106000</v>
      </c>
      <c r="J5501" s="29" t="n">
        <v>53000</v>
      </c>
      <c r="K5501" s="28" t="n">
        <v>8.25</v>
      </c>
      <c r="L5501" s="28" t="n">
        <v>60</v>
      </c>
      <c r="M5501" s="28" t="n">
        <v>24</v>
      </c>
    </row>
    <row r="5502" customFormat="false" ht="15" hidden="false" customHeight="false" outlineLevel="0" collapsed="false">
      <c r="A5502" s="27" t="n">
        <v>46134</v>
      </c>
      <c r="B5502" s="28" t="n">
        <v>2026</v>
      </c>
      <c r="C5502" s="28" t="s">
        <v>510</v>
      </c>
      <c r="D5502" s="28" t="s">
        <v>50</v>
      </c>
      <c r="E5502" s="28" t="s">
        <v>193</v>
      </c>
      <c r="F5502" s="28" t="s">
        <v>147</v>
      </c>
      <c r="G5502" s="28" t="s">
        <v>148</v>
      </c>
      <c r="H5502" s="28" t="s">
        <v>266</v>
      </c>
      <c r="I5502" s="29" t="n">
        <v>40000</v>
      </c>
      <c r="J5502" s="29" t="n">
        <v>20000</v>
      </c>
      <c r="K5502" s="28" t="n">
        <v>9.75</v>
      </c>
      <c r="L5502" s="28" t="n">
        <v>60</v>
      </c>
      <c r="M5502" s="28" t="n">
        <v>16</v>
      </c>
    </row>
    <row r="5503" customFormat="false" ht="15" hidden="false" customHeight="false" outlineLevel="0" collapsed="false">
      <c r="A5503" s="27" t="n">
        <v>46134</v>
      </c>
      <c r="B5503" s="28" t="n">
        <v>2026</v>
      </c>
      <c r="C5503" s="28" t="s">
        <v>303</v>
      </c>
      <c r="D5503" s="28" t="s">
        <v>46</v>
      </c>
      <c r="E5503" s="28" t="s">
        <v>702</v>
      </c>
      <c r="F5503" s="28" t="s">
        <v>142</v>
      </c>
      <c r="G5503" s="28" t="s">
        <v>148</v>
      </c>
      <c r="H5503" s="28" t="s">
        <v>227</v>
      </c>
      <c r="I5503" s="29" t="n">
        <v>465000</v>
      </c>
      <c r="J5503" s="29" t="n">
        <v>348750</v>
      </c>
      <c r="K5503" s="28" t="n">
        <v>9</v>
      </c>
      <c r="L5503" s="28" t="n">
        <v>125</v>
      </c>
      <c r="M5503" s="28" t="n">
        <v>8</v>
      </c>
    </row>
    <row r="5504" customFormat="false" ht="15" hidden="false" customHeight="false" outlineLevel="0" collapsed="false">
      <c r="A5504" s="27" t="n">
        <v>46134</v>
      </c>
      <c r="B5504" s="28" t="n">
        <v>2026</v>
      </c>
      <c r="C5504" s="28" t="s">
        <v>421</v>
      </c>
      <c r="D5504" s="28" t="s">
        <v>50</v>
      </c>
      <c r="E5504" s="28" t="s">
        <v>785</v>
      </c>
      <c r="F5504" s="28" t="s">
        <v>194</v>
      </c>
      <c r="G5504" s="28" t="s">
        <v>152</v>
      </c>
      <c r="H5504" s="28" t="s">
        <v>396</v>
      </c>
      <c r="I5504" s="29" t="n">
        <v>550000</v>
      </c>
      <c r="J5504" s="29" t="n">
        <v>412500</v>
      </c>
      <c r="K5504" s="28" t="n">
        <v>7.75</v>
      </c>
      <c r="L5504" s="28" t="n">
        <v>72</v>
      </c>
      <c r="M5504" s="28" t="n">
        <v>6</v>
      </c>
    </row>
    <row r="5505" customFormat="false" ht="15" hidden="false" customHeight="false" outlineLevel="0" collapsed="false">
      <c r="A5505" s="27" t="n">
        <v>46135</v>
      </c>
      <c r="B5505" s="28" t="n">
        <v>2026</v>
      </c>
      <c r="C5505" s="28" t="s">
        <v>169</v>
      </c>
      <c r="D5505" s="28" t="s">
        <v>52</v>
      </c>
      <c r="E5505" s="28" t="s">
        <v>961</v>
      </c>
      <c r="F5505" s="28" t="s">
        <v>142</v>
      </c>
      <c r="G5505" s="28" t="s">
        <v>148</v>
      </c>
      <c r="H5505" s="28" t="s">
        <v>456</v>
      </c>
      <c r="I5505" s="29" t="n">
        <v>150000</v>
      </c>
      <c r="J5505" s="29" t="n">
        <v>127500</v>
      </c>
      <c r="K5505" s="28" t="n">
        <v>9.75</v>
      </c>
      <c r="L5505" s="28" t="n">
        <v>120</v>
      </c>
      <c r="M5505" s="28" t="n">
        <v>7</v>
      </c>
    </row>
    <row r="5506" customFormat="false" ht="15" hidden="false" customHeight="false" outlineLevel="0" collapsed="false">
      <c r="A5506" s="27" t="n">
        <v>46135</v>
      </c>
      <c r="B5506" s="28" t="n">
        <v>2026</v>
      </c>
      <c r="C5506" s="28" t="s">
        <v>172</v>
      </c>
      <c r="D5506" s="28" t="s">
        <v>45</v>
      </c>
      <c r="E5506" s="28" t="s">
        <v>708</v>
      </c>
      <c r="F5506" s="28" t="s">
        <v>142</v>
      </c>
      <c r="G5506" s="28" t="s">
        <v>143</v>
      </c>
      <c r="H5506" s="28" t="s">
        <v>618</v>
      </c>
      <c r="I5506" s="29" t="n">
        <v>150000</v>
      </c>
      <c r="J5506" s="29" t="n">
        <v>127500</v>
      </c>
      <c r="K5506" s="28" t="n">
        <v>9.5</v>
      </c>
      <c r="L5506" s="28" t="n">
        <v>120</v>
      </c>
      <c r="M5506" s="28" t="n">
        <v>2</v>
      </c>
    </row>
    <row r="5507" customFormat="false" ht="15" hidden="false" customHeight="false" outlineLevel="0" collapsed="false">
      <c r="A5507" s="27" t="n">
        <v>46135</v>
      </c>
      <c r="B5507" s="28" t="n">
        <v>2026</v>
      </c>
      <c r="C5507" s="28" t="s">
        <v>172</v>
      </c>
      <c r="D5507" s="28" t="s">
        <v>43</v>
      </c>
      <c r="E5507" s="28" t="s">
        <v>924</v>
      </c>
      <c r="F5507" s="28" t="s">
        <v>142</v>
      </c>
      <c r="G5507" s="28" t="s">
        <v>152</v>
      </c>
      <c r="H5507" s="28" t="s">
        <v>211</v>
      </c>
      <c r="I5507" s="29" t="n">
        <v>4697000</v>
      </c>
      <c r="J5507" s="29" t="n">
        <v>3522750</v>
      </c>
      <c r="K5507" s="28" t="n">
        <v>6.99</v>
      </c>
      <c r="L5507" s="28" t="n">
        <v>204</v>
      </c>
      <c r="M5507" s="28" t="n">
        <v>12</v>
      </c>
    </row>
    <row r="5508" customFormat="false" ht="15" hidden="false" customHeight="false" outlineLevel="0" collapsed="false">
      <c r="A5508" s="27" t="n">
        <v>46135</v>
      </c>
      <c r="B5508" s="28" t="n">
        <v>2026</v>
      </c>
      <c r="C5508" s="28" t="s">
        <v>303</v>
      </c>
      <c r="D5508" s="28" t="s">
        <v>42</v>
      </c>
      <c r="E5508" s="28" t="s">
        <v>717</v>
      </c>
      <c r="F5508" s="28" t="s">
        <v>147</v>
      </c>
      <c r="G5508" s="28" t="s">
        <v>148</v>
      </c>
      <c r="H5508" s="28" t="s">
        <v>953</v>
      </c>
      <c r="I5508" s="29" t="n">
        <v>35000</v>
      </c>
      <c r="J5508" s="29" t="n">
        <v>17500</v>
      </c>
      <c r="K5508" s="28" t="n">
        <v>13.25</v>
      </c>
      <c r="L5508" s="28" t="n">
        <v>120</v>
      </c>
      <c r="M5508" s="28" t="n">
        <v>15</v>
      </c>
    </row>
    <row r="5509" customFormat="false" ht="15" hidden="false" customHeight="false" outlineLevel="0" collapsed="false">
      <c r="A5509" s="27" t="n">
        <v>46135</v>
      </c>
      <c r="B5509" s="28" t="n">
        <v>2026</v>
      </c>
      <c r="C5509" s="28" t="s">
        <v>172</v>
      </c>
      <c r="D5509" s="28" t="s">
        <v>43</v>
      </c>
      <c r="E5509" s="28" t="s">
        <v>924</v>
      </c>
      <c r="F5509" s="28" t="s">
        <v>147</v>
      </c>
      <c r="G5509" s="28" t="s">
        <v>152</v>
      </c>
      <c r="H5509" s="28" t="s">
        <v>211</v>
      </c>
      <c r="I5509" s="29" t="n">
        <v>250000</v>
      </c>
      <c r="J5509" s="29" t="n">
        <v>125000</v>
      </c>
      <c r="K5509" s="28" t="n">
        <v>9.25</v>
      </c>
      <c r="L5509" s="28" t="n">
        <v>120</v>
      </c>
      <c r="M5509" s="28" t="n">
        <v>12</v>
      </c>
    </row>
    <row r="5510" customFormat="false" ht="15" hidden="false" customHeight="false" outlineLevel="0" collapsed="false">
      <c r="A5510" s="27" t="n">
        <v>46136</v>
      </c>
      <c r="B5510" s="28" t="n">
        <v>2026</v>
      </c>
      <c r="C5510" s="28" t="s">
        <v>166</v>
      </c>
      <c r="D5510" s="28" t="s">
        <v>48</v>
      </c>
      <c r="E5510" s="28" t="s">
        <v>736</v>
      </c>
      <c r="F5510" s="28" t="s">
        <v>147</v>
      </c>
      <c r="G5510" s="28" t="s">
        <v>441</v>
      </c>
      <c r="H5510" s="28" t="s">
        <v>404</v>
      </c>
      <c r="I5510" s="29" t="n">
        <v>400000</v>
      </c>
      <c r="J5510" s="29" t="n">
        <v>200000</v>
      </c>
      <c r="K5510" s="28" t="n">
        <v>9.75</v>
      </c>
      <c r="L5510" s="28" t="n">
        <v>120</v>
      </c>
      <c r="M5510" s="28" t="n">
        <v>16</v>
      </c>
    </row>
    <row r="5511" customFormat="false" ht="15" hidden="false" customHeight="false" outlineLevel="0" collapsed="false">
      <c r="A5511" s="27" t="n">
        <v>46136</v>
      </c>
      <c r="B5511" s="28" t="n">
        <v>2026</v>
      </c>
      <c r="C5511" s="28" t="s">
        <v>312</v>
      </c>
      <c r="D5511" s="28" t="s">
        <v>43</v>
      </c>
      <c r="E5511" s="28" t="s">
        <v>749</v>
      </c>
      <c r="F5511" s="28" t="s">
        <v>147</v>
      </c>
      <c r="G5511" s="28" t="s">
        <v>148</v>
      </c>
      <c r="H5511" s="28" t="s">
        <v>396</v>
      </c>
      <c r="I5511" s="29" t="n">
        <v>100000</v>
      </c>
      <c r="J5511" s="29" t="n">
        <v>50000</v>
      </c>
      <c r="K5511" s="28" t="n">
        <v>7.25</v>
      </c>
      <c r="L5511" s="28" t="n">
        <v>72</v>
      </c>
      <c r="M5511" s="28" t="n">
        <v>12</v>
      </c>
    </row>
    <row r="5512" customFormat="false" ht="15" hidden="false" customHeight="false" outlineLevel="0" collapsed="false">
      <c r="A5512" s="27" t="n">
        <v>46136</v>
      </c>
      <c r="B5512" s="28" t="n">
        <v>2026</v>
      </c>
      <c r="C5512" s="28" t="s">
        <v>206</v>
      </c>
      <c r="D5512" s="28" t="s">
        <v>48</v>
      </c>
      <c r="E5512" s="28" t="s">
        <v>210</v>
      </c>
      <c r="F5512" s="28" t="s">
        <v>142</v>
      </c>
      <c r="G5512" s="28" t="s">
        <v>152</v>
      </c>
      <c r="H5512" s="28" t="s">
        <v>501</v>
      </c>
      <c r="I5512" s="29" t="n">
        <v>1995900</v>
      </c>
      <c r="J5512" s="29" t="n">
        <v>1496925</v>
      </c>
      <c r="K5512" s="28" t="n">
        <v>9</v>
      </c>
      <c r="L5512" s="28" t="n">
        <v>120</v>
      </c>
      <c r="M5512" s="28" t="n">
        <v>2</v>
      </c>
    </row>
    <row r="5513" customFormat="false" ht="15" hidden="false" customHeight="false" outlineLevel="0" collapsed="false">
      <c r="A5513" s="27" t="n">
        <v>46137</v>
      </c>
      <c r="B5513" s="28" t="n">
        <v>2026</v>
      </c>
      <c r="C5513" s="28" t="s">
        <v>140</v>
      </c>
      <c r="D5513" s="28" t="s">
        <v>43</v>
      </c>
      <c r="E5513" s="28" t="s">
        <v>922</v>
      </c>
      <c r="F5513" s="28" t="s">
        <v>142</v>
      </c>
      <c r="G5513" s="28" t="s">
        <v>148</v>
      </c>
      <c r="H5513" s="28" t="s">
        <v>953</v>
      </c>
      <c r="I5513" s="29" t="n">
        <v>150000</v>
      </c>
      <c r="J5513" s="29" t="n">
        <v>127500</v>
      </c>
      <c r="K5513" s="28" t="n">
        <v>9.75</v>
      </c>
      <c r="L5513" s="28" t="n">
        <v>120</v>
      </c>
      <c r="M5513" s="28" t="n">
        <v>2</v>
      </c>
    </row>
    <row r="5514" customFormat="false" ht="15" hidden="false" customHeight="false" outlineLevel="0" collapsed="false">
      <c r="A5514" s="27" t="n">
        <v>46139</v>
      </c>
      <c r="B5514" s="28" t="n">
        <v>2026</v>
      </c>
      <c r="C5514" s="28" t="s">
        <v>213</v>
      </c>
      <c r="D5514" s="28" t="s">
        <v>48</v>
      </c>
      <c r="E5514" s="28" t="s">
        <v>991</v>
      </c>
      <c r="F5514" s="28" t="s">
        <v>142</v>
      </c>
      <c r="G5514" s="28" t="s">
        <v>148</v>
      </c>
      <c r="H5514" s="28" t="s">
        <v>275</v>
      </c>
      <c r="I5514" s="29" t="n">
        <v>15000</v>
      </c>
      <c r="J5514" s="29" t="n">
        <v>12000</v>
      </c>
      <c r="K5514" s="28" t="n">
        <v>13.25</v>
      </c>
      <c r="L5514" s="28" t="n">
        <v>120</v>
      </c>
      <c r="M5514" s="28" t="n">
        <v>1</v>
      </c>
    </row>
    <row r="5515" customFormat="false" ht="15" hidden="false" customHeight="false" outlineLevel="0" collapsed="false">
      <c r="A5515" s="27" t="n">
        <v>46139</v>
      </c>
      <c r="B5515" s="28" t="n">
        <v>2026</v>
      </c>
      <c r="C5515" s="28" t="s">
        <v>243</v>
      </c>
      <c r="D5515" s="28" t="s">
        <v>46</v>
      </c>
      <c r="E5515" s="28" t="s">
        <v>813</v>
      </c>
      <c r="F5515" s="28" t="s">
        <v>147</v>
      </c>
      <c r="G5515" s="28" t="s">
        <v>152</v>
      </c>
      <c r="H5515" s="28" t="s">
        <v>144</v>
      </c>
      <c r="I5515" s="29" t="n">
        <v>140000</v>
      </c>
      <c r="J5515" s="29" t="n">
        <v>70000</v>
      </c>
      <c r="K5515" s="28" t="n">
        <v>8.75</v>
      </c>
      <c r="L5515" s="28" t="n">
        <v>120</v>
      </c>
      <c r="M5515" s="28" t="n">
        <v>7</v>
      </c>
    </row>
    <row r="5516" customFormat="false" ht="15" hidden="false" customHeight="false" outlineLevel="0" collapsed="false">
      <c r="A5516" s="27" t="n">
        <v>46139</v>
      </c>
      <c r="B5516" s="28" t="n">
        <v>2026</v>
      </c>
      <c r="C5516" s="28" t="s">
        <v>500</v>
      </c>
      <c r="D5516" s="28" t="s">
        <v>47</v>
      </c>
      <c r="E5516" s="28" t="s">
        <v>1025</v>
      </c>
      <c r="F5516" s="28" t="s">
        <v>142</v>
      </c>
      <c r="G5516" s="28" t="s">
        <v>148</v>
      </c>
      <c r="H5516" s="28" t="s">
        <v>953</v>
      </c>
      <c r="I5516" s="29" t="n">
        <v>350000</v>
      </c>
      <c r="J5516" s="29" t="n">
        <v>262500</v>
      </c>
      <c r="K5516" s="28" t="n">
        <v>9.75</v>
      </c>
      <c r="L5516" s="28" t="n">
        <v>120</v>
      </c>
      <c r="M5516" s="28" t="n">
        <v>17</v>
      </c>
    </row>
    <row r="5517" customFormat="false" ht="15" hidden="false" customHeight="false" outlineLevel="0" collapsed="false">
      <c r="A5517" s="27" t="n">
        <v>46139</v>
      </c>
      <c r="B5517" s="28" t="n">
        <v>2026</v>
      </c>
      <c r="C5517" s="28" t="s">
        <v>206</v>
      </c>
      <c r="D5517" s="28" t="s">
        <v>43</v>
      </c>
      <c r="E5517" s="28" t="s">
        <v>916</v>
      </c>
      <c r="F5517" s="28" t="s">
        <v>147</v>
      </c>
      <c r="G5517" s="28" t="s">
        <v>148</v>
      </c>
      <c r="H5517" s="28" t="s">
        <v>205</v>
      </c>
      <c r="I5517" s="29" t="n">
        <v>250000</v>
      </c>
      <c r="J5517" s="29" t="n">
        <v>125000</v>
      </c>
      <c r="K5517" s="28" t="n">
        <v>10.55</v>
      </c>
      <c r="L5517" s="28" t="n">
        <v>84</v>
      </c>
      <c r="M5517" s="28" t="n">
        <v>3</v>
      </c>
    </row>
    <row r="5518" customFormat="false" ht="15" hidden="false" customHeight="false" outlineLevel="0" collapsed="false">
      <c r="A5518" s="27" t="n">
        <v>46140</v>
      </c>
      <c r="B5518" s="28" t="n">
        <v>2026</v>
      </c>
      <c r="C5518" s="28" t="s">
        <v>172</v>
      </c>
      <c r="D5518" s="28" t="s">
        <v>44</v>
      </c>
      <c r="E5518" s="28" t="s">
        <v>729</v>
      </c>
      <c r="F5518" s="28" t="s">
        <v>142</v>
      </c>
      <c r="G5518" s="28" t="s">
        <v>143</v>
      </c>
      <c r="H5518" s="28" t="s">
        <v>501</v>
      </c>
      <c r="I5518" s="29" t="n">
        <v>450000</v>
      </c>
      <c r="J5518" s="29" t="n">
        <v>337500</v>
      </c>
      <c r="K5518" s="28" t="n">
        <v>9.5</v>
      </c>
      <c r="L5518" s="28" t="n">
        <v>120</v>
      </c>
      <c r="M5518" s="28" t="n">
        <v>7</v>
      </c>
    </row>
    <row r="5519" customFormat="false" ht="15" hidden="false" customHeight="false" outlineLevel="0" collapsed="false">
      <c r="A5519" s="27" t="n">
        <v>46140</v>
      </c>
      <c r="B5519" s="28" t="n">
        <v>2026</v>
      </c>
      <c r="C5519" s="28" t="s">
        <v>243</v>
      </c>
      <c r="D5519" s="28" t="s">
        <v>46</v>
      </c>
      <c r="E5519" s="28" t="s">
        <v>813</v>
      </c>
      <c r="F5519" s="28" t="s">
        <v>142</v>
      </c>
      <c r="G5519" s="28" t="s">
        <v>152</v>
      </c>
      <c r="H5519" s="28" t="s">
        <v>144</v>
      </c>
      <c r="I5519" s="29" t="n">
        <v>2150000</v>
      </c>
      <c r="J5519" s="29" t="n">
        <v>1612500</v>
      </c>
      <c r="K5519" s="28" t="n">
        <v>8.25</v>
      </c>
      <c r="L5519" s="28" t="n">
        <v>192</v>
      </c>
      <c r="M5519" s="28" t="n">
        <v>7</v>
      </c>
    </row>
    <row r="5520" customFormat="false" ht="15" hidden="false" customHeight="false" outlineLevel="0" collapsed="false">
      <c r="A5520" s="27" t="n">
        <v>46141</v>
      </c>
      <c r="B5520" s="28" t="n">
        <v>2026</v>
      </c>
      <c r="C5520" s="28" t="s">
        <v>169</v>
      </c>
      <c r="D5520" s="28" t="s">
        <v>42</v>
      </c>
      <c r="E5520" s="28" t="s">
        <v>753</v>
      </c>
      <c r="F5520" s="28" t="s">
        <v>142</v>
      </c>
      <c r="G5520" s="28" t="s">
        <v>148</v>
      </c>
      <c r="H5520" s="28" t="s">
        <v>953</v>
      </c>
      <c r="I5520" s="29" t="n">
        <v>350000</v>
      </c>
      <c r="J5520" s="29" t="n">
        <v>262500</v>
      </c>
      <c r="K5520" s="28" t="n">
        <v>9.75</v>
      </c>
      <c r="L5520" s="28" t="n">
        <v>120</v>
      </c>
      <c r="M5520" s="28" t="n">
        <v>16</v>
      </c>
    </row>
    <row r="5521" customFormat="false" ht="15" hidden="false" customHeight="false" outlineLevel="0" collapsed="false">
      <c r="A5521" s="27" t="n">
        <v>46142</v>
      </c>
      <c r="B5521" s="28" t="n">
        <v>2026</v>
      </c>
      <c r="C5521" s="28" t="s">
        <v>172</v>
      </c>
      <c r="D5521" s="28" t="s">
        <v>45</v>
      </c>
      <c r="E5521" s="28" t="s">
        <v>976</v>
      </c>
      <c r="F5521" s="28" t="s">
        <v>147</v>
      </c>
      <c r="G5521" s="28" t="s">
        <v>148</v>
      </c>
      <c r="H5521" s="28" t="s">
        <v>159</v>
      </c>
      <c r="I5521" s="29" t="n">
        <v>80000</v>
      </c>
      <c r="J5521" s="29" t="n">
        <v>40000</v>
      </c>
      <c r="K5521" s="28" t="n">
        <v>9.75</v>
      </c>
      <c r="L5521" s="28" t="n">
        <v>120</v>
      </c>
      <c r="M5521" s="28" t="n">
        <v>0</v>
      </c>
    </row>
    <row r="5522" customFormat="false" ht="15" hidden="false" customHeight="false" outlineLevel="0" collapsed="false">
      <c r="A5522" s="27" t="n">
        <v>46142</v>
      </c>
      <c r="B5522" s="28" t="n">
        <v>2026</v>
      </c>
      <c r="C5522" s="28" t="s">
        <v>344</v>
      </c>
      <c r="D5522" s="28" t="s">
        <v>45</v>
      </c>
      <c r="E5522" s="28" t="s">
        <v>611</v>
      </c>
      <c r="F5522" s="28" t="s">
        <v>142</v>
      </c>
      <c r="G5522" s="28" t="s">
        <v>441</v>
      </c>
      <c r="H5522" s="28" t="s">
        <v>1001</v>
      </c>
      <c r="I5522" s="29" t="n">
        <v>500000</v>
      </c>
      <c r="J5522" s="29" t="n">
        <v>375000</v>
      </c>
      <c r="K5522" s="28" t="n">
        <v>9.25</v>
      </c>
      <c r="L5522" s="28" t="n">
        <v>120</v>
      </c>
      <c r="M5522" s="28" t="n">
        <v>38</v>
      </c>
    </row>
    <row r="5523" customFormat="false" ht="15" hidden="false" customHeight="false" outlineLevel="0" collapsed="false">
      <c r="A5523" s="27" t="n">
        <v>46142</v>
      </c>
      <c r="B5523" s="28" t="n">
        <v>2026</v>
      </c>
      <c r="C5523" s="28" t="s">
        <v>169</v>
      </c>
      <c r="D5523" s="28" t="s">
        <v>45</v>
      </c>
      <c r="E5523" s="28" t="s">
        <v>1190</v>
      </c>
      <c r="F5523" s="28" t="s">
        <v>147</v>
      </c>
      <c r="G5523" s="28" t="s">
        <v>148</v>
      </c>
      <c r="H5523" s="28" t="s">
        <v>159</v>
      </c>
      <c r="I5523" s="29" t="n">
        <v>70000</v>
      </c>
      <c r="J5523" s="29" t="n">
        <v>35000</v>
      </c>
      <c r="K5523" s="28" t="n">
        <v>11.25</v>
      </c>
      <c r="L5523" s="28" t="n">
        <v>120</v>
      </c>
      <c r="M5523" s="28" t="n">
        <v>2</v>
      </c>
    </row>
    <row r="5524" customFormat="false" ht="15" hidden="false" customHeight="false" outlineLevel="0" collapsed="false">
      <c r="A5524" s="27" t="n">
        <v>46142</v>
      </c>
      <c r="B5524" s="28" t="n">
        <v>2026</v>
      </c>
      <c r="C5524" s="28" t="s">
        <v>169</v>
      </c>
      <c r="D5524" s="28" t="s">
        <v>45</v>
      </c>
      <c r="E5524" s="28" t="s">
        <v>1190</v>
      </c>
      <c r="F5524" s="28" t="s">
        <v>147</v>
      </c>
      <c r="G5524" s="28" t="s">
        <v>148</v>
      </c>
      <c r="H5524" s="28" t="s">
        <v>159</v>
      </c>
      <c r="I5524" s="29" t="n">
        <v>60000</v>
      </c>
      <c r="J5524" s="29" t="n">
        <v>30000</v>
      </c>
      <c r="K5524" s="28" t="n">
        <v>11.25</v>
      </c>
      <c r="L5524" s="28" t="n">
        <v>60</v>
      </c>
      <c r="M5524" s="28" t="n">
        <v>2</v>
      </c>
    </row>
    <row r="5525" customFormat="false" ht="15" hidden="false" customHeight="false" outlineLevel="0" collapsed="false">
      <c r="A5525" s="27" t="n">
        <v>46143</v>
      </c>
      <c r="B5525" s="28" t="n">
        <v>2026</v>
      </c>
      <c r="C5525" s="28" t="s">
        <v>163</v>
      </c>
      <c r="D5525" s="28" t="s">
        <v>42</v>
      </c>
      <c r="E5525" s="28" t="s">
        <v>784</v>
      </c>
      <c r="F5525" s="28" t="s">
        <v>142</v>
      </c>
      <c r="G5525" s="28" t="s">
        <v>143</v>
      </c>
      <c r="H5525" s="28" t="s">
        <v>536</v>
      </c>
      <c r="I5525" s="29" t="n">
        <v>580000</v>
      </c>
      <c r="J5525" s="29" t="n">
        <v>435000</v>
      </c>
      <c r="K5525" s="28" t="n">
        <v>8.75</v>
      </c>
      <c r="L5525" s="28" t="n">
        <v>126</v>
      </c>
      <c r="M5525" s="28" t="n">
        <v>8</v>
      </c>
    </row>
    <row r="5526" customFormat="false" ht="15" hidden="false" customHeight="false" outlineLevel="0" collapsed="false">
      <c r="A5526" s="27" t="n">
        <v>46143</v>
      </c>
      <c r="B5526" s="28" t="n">
        <v>2026</v>
      </c>
      <c r="C5526" s="28" t="s">
        <v>198</v>
      </c>
      <c r="D5526" s="28" t="s">
        <v>42</v>
      </c>
      <c r="E5526" s="28" t="s">
        <v>753</v>
      </c>
      <c r="F5526" s="28" t="s">
        <v>142</v>
      </c>
      <c r="G5526" s="28" t="s">
        <v>148</v>
      </c>
      <c r="H5526" s="28" t="s">
        <v>404</v>
      </c>
      <c r="I5526" s="29" t="n">
        <v>400000</v>
      </c>
      <c r="J5526" s="29" t="n">
        <v>300000</v>
      </c>
      <c r="K5526" s="28" t="n">
        <v>9.5</v>
      </c>
      <c r="L5526" s="28" t="n">
        <v>120</v>
      </c>
      <c r="M5526" s="28" t="n">
        <v>10</v>
      </c>
    </row>
    <row r="5527" customFormat="false" ht="15" hidden="false" customHeight="false" outlineLevel="0" collapsed="false">
      <c r="A5527" s="27" t="n">
        <v>46146</v>
      </c>
      <c r="B5527" s="28" t="n">
        <v>2026</v>
      </c>
      <c r="C5527" s="28" t="s">
        <v>172</v>
      </c>
      <c r="D5527" s="28" t="s">
        <v>42</v>
      </c>
      <c r="E5527" s="28" t="s">
        <v>717</v>
      </c>
      <c r="F5527" s="28" t="s">
        <v>142</v>
      </c>
      <c r="G5527" s="28" t="s">
        <v>148</v>
      </c>
      <c r="H5527" s="28" t="s">
        <v>953</v>
      </c>
      <c r="I5527" s="29" t="n">
        <v>250000</v>
      </c>
      <c r="J5527" s="29" t="n">
        <v>187500</v>
      </c>
      <c r="K5527" s="28" t="n">
        <v>9.75</v>
      </c>
      <c r="L5527" s="28" t="n">
        <v>120</v>
      </c>
      <c r="M5527" s="28" t="n">
        <v>2</v>
      </c>
    </row>
    <row r="5528" customFormat="false" ht="15" hidden="false" customHeight="false" outlineLevel="0" collapsed="false">
      <c r="A5528" s="27" t="n">
        <v>46146</v>
      </c>
      <c r="B5528" s="28" t="n">
        <v>2026</v>
      </c>
      <c r="C5528" s="28" t="s">
        <v>169</v>
      </c>
      <c r="D5528" s="28" t="s">
        <v>42</v>
      </c>
      <c r="E5528" s="28" t="s">
        <v>717</v>
      </c>
      <c r="F5528" s="28" t="s">
        <v>147</v>
      </c>
      <c r="G5528" s="28" t="s">
        <v>441</v>
      </c>
      <c r="H5528" s="28" t="s">
        <v>159</v>
      </c>
      <c r="I5528" s="29" t="n">
        <v>20000</v>
      </c>
      <c r="J5528" s="29" t="n">
        <v>10000</v>
      </c>
      <c r="K5528" s="28" t="n">
        <v>13.25</v>
      </c>
      <c r="L5528" s="28" t="n">
        <v>120</v>
      </c>
      <c r="M5528" s="28" t="n">
        <v>25</v>
      </c>
    </row>
    <row r="5529" customFormat="false" ht="15" hidden="false" customHeight="false" outlineLevel="0" collapsed="false">
      <c r="A5529" s="27" t="n">
        <v>46146</v>
      </c>
      <c r="B5529" s="28" t="n">
        <v>2026</v>
      </c>
      <c r="C5529" s="28" t="s">
        <v>172</v>
      </c>
      <c r="D5529" s="28" t="s">
        <v>45</v>
      </c>
      <c r="E5529" s="28" t="s">
        <v>708</v>
      </c>
      <c r="F5529" s="28" t="s">
        <v>147</v>
      </c>
      <c r="G5529" s="28" t="s">
        <v>148</v>
      </c>
      <c r="H5529" s="28" t="s">
        <v>159</v>
      </c>
      <c r="I5529" s="29" t="n">
        <v>50000</v>
      </c>
      <c r="J5529" s="29" t="n">
        <v>25000</v>
      </c>
      <c r="K5529" s="28" t="n">
        <v>10.49</v>
      </c>
      <c r="L5529" s="28" t="n">
        <v>60</v>
      </c>
      <c r="M5529" s="28" t="n">
        <v>2</v>
      </c>
    </row>
    <row r="5530" customFormat="false" ht="15" hidden="false" customHeight="false" outlineLevel="0" collapsed="false">
      <c r="A5530" s="27" t="n">
        <v>46147</v>
      </c>
      <c r="B5530" s="28" t="n">
        <v>2026</v>
      </c>
      <c r="C5530" s="28" t="s">
        <v>163</v>
      </c>
      <c r="D5530" s="28" t="s">
        <v>44</v>
      </c>
      <c r="E5530" s="28" t="s">
        <v>1191</v>
      </c>
      <c r="F5530" s="28" t="s">
        <v>142</v>
      </c>
      <c r="G5530" s="28" t="s">
        <v>148</v>
      </c>
      <c r="H5530" s="28" t="s">
        <v>950</v>
      </c>
      <c r="I5530" s="29" t="n">
        <v>496000</v>
      </c>
      <c r="J5530" s="29" t="n">
        <v>372000</v>
      </c>
      <c r="K5530" s="28" t="n">
        <v>9.75</v>
      </c>
      <c r="L5530" s="28" t="n">
        <v>300</v>
      </c>
      <c r="M5530" s="28" t="n">
        <v>32</v>
      </c>
    </row>
    <row r="5531" customFormat="false" ht="15" hidden="false" customHeight="false" outlineLevel="0" collapsed="false">
      <c r="A5531" s="27" t="n">
        <v>46147</v>
      </c>
      <c r="B5531" s="28" t="n">
        <v>2026</v>
      </c>
      <c r="C5531" s="28" t="s">
        <v>154</v>
      </c>
      <c r="D5531" s="28" t="s">
        <v>48</v>
      </c>
      <c r="E5531" s="28" t="s">
        <v>765</v>
      </c>
      <c r="F5531" s="28" t="s">
        <v>142</v>
      </c>
      <c r="G5531" s="28" t="s">
        <v>148</v>
      </c>
      <c r="H5531" s="28" t="s">
        <v>1177</v>
      </c>
      <c r="I5531" s="29" t="n">
        <v>50000</v>
      </c>
      <c r="J5531" s="29" t="n">
        <v>42500</v>
      </c>
      <c r="K5531" s="28" t="n">
        <v>9</v>
      </c>
      <c r="L5531" s="28" t="n">
        <v>120</v>
      </c>
      <c r="M5531" s="28" t="n">
        <v>0</v>
      </c>
    </row>
    <row r="5532" customFormat="false" ht="15" hidden="false" customHeight="false" outlineLevel="0" collapsed="false">
      <c r="A5532" s="27" t="n">
        <v>46148</v>
      </c>
      <c r="B5532" s="28" t="n">
        <v>2026</v>
      </c>
      <c r="C5532" s="28" t="s">
        <v>198</v>
      </c>
      <c r="D5532" s="28" t="s">
        <v>46</v>
      </c>
      <c r="E5532" s="28" t="s">
        <v>719</v>
      </c>
      <c r="F5532" s="28" t="s">
        <v>142</v>
      </c>
      <c r="G5532" s="28" t="s">
        <v>148</v>
      </c>
      <c r="H5532" s="28" t="s">
        <v>953</v>
      </c>
      <c r="I5532" s="29" t="n">
        <v>350000</v>
      </c>
      <c r="J5532" s="29" t="n">
        <v>297500</v>
      </c>
      <c r="K5532" s="28" t="n">
        <v>9.75</v>
      </c>
      <c r="L5532" s="28" t="n">
        <v>120</v>
      </c>
      <c r="M5532" s="28" t="n">
        <v>18</v>
      </c>
    </row>
    <row r="5533" customFormat="false" ht="15" hidden="false" customHeight="false" outlineLevel="0" collapsed="false">
      <c r="A5533" s="27" t="n">
        <v>46148</v>
      </c>
      <c r="B5533" s="28" t="n">
        <v>2026</v>
      </c>
      <c r="C5533" s="28" t="s">
        <v>206</v>
      </c>
      <c r="D5533" s="28" t="s">
        <v>44</v>
      </c>
      <c r="E5533" s="28" t="s">
        <v>730</v>
      </c>
      <c r="F5533" s="28" t="s">
        <v>142</v>
      </c>
      <c r="G5533" s="28" t="s">
        <v>152</v>
      </c>
      <c r="H5533" s="28" t="s">
        <v>483</v>
      </c>
      <c r="I5533" s="29" t="n">
        <v>471900</v>
      </c>
      <c r="J5533" s="29" t="n">
        <v>353925</v>
      </c>
      <c r="K5533" s="28" t="n">
        <v>9.25</v>
      </c>
      <c r="L5533" s="28" t="n">
        <v>120</v>
      </c>
      <c r="M5533" s="28" t="n">
        <v>4</v>
      </c>
    </row>
    <row r="5534" customFormat="false" ht="15" hidden="false" customHeight="false" outlineLevel="0" collapsed="false">
      <c r="A5534" s="27" t="n">
        <v>46148</v>
      </c>
      <c r="B5534" s="28" t="n">
        <v>2026</v>
      </c>
      <c r="C5534" s="28" t="s">
        <v>172</v>
      </c>
      <c r="D5534" s="28" t="s">
        <v>50</v>
      </c>
      <c r="E5534" s="28" t="s">
        <v>853</v>
      </c>
      <c r="F5534" s="28" t="s">
        <v>142</v>
      </c>
      <c r="G5534" s="28" t="s">
        <v>143</v>
      </c>
      <c r="H5534" s="28" t="s">
        <v>618</v>
      </c>
      <c r="I5534" s="29" t="n">
        <v>211500</v>
      </c>
      <c r="J5534" s="29" t="n">
        <v>158625</v>
      </c>
      <c r="K5534" s="28" t="n">
        <v>9.5</v>
      </c>
      <c r="L5534" s="28" t="n">
        <v>120</v>
      </c>
      <c r="M5534" s="28" t="n">
        <v>3</v>
      </c>
    </row>
    <row r="5535" customFormat="false" ht="15" hidden="false" customHeight="false" outlineLevel="0" collapsed="false">
      <c r="A5535" s="27" t="n">
        <v>46148</v>
      </c>
      <c r="B5535" s="28" t="n">
        <v>2026</v>
      </c>
      <c r="C5535" s="28" t="s">
        <v>203</v>
      </c>
      <c r="D5535" s="28" t="s">
        <v>45</v>
      </c>
      <c r="E5535" s="28" t="s">
        <v>740</v>
      </c>
      <c r="F5535" s="28" t="s">
        <v>147</v>
      </c>
      <c r="G5535" s="28" t="s">
        <v>148</v>
      </c>
      <c r="H5535" s="28" t="s">
        <v>428</v>
      </c>
      <c r="I5535" s="29" t="n">
        <v>200000</v>
      </c>
      <c r="J5535" s="29" t="n">
        <v>100000</v>
      </c>
      <c r="K5535" s="28" t="n">
        <v>9.3</v>
      </c>
      <c r="L5535" s="28" t="n">
        <v>120</v>
      </c>
      <c r="M5535" s="28" t="n">
        <v>0</v>
      </c>
    </row>
    <row r="5536" customFormat="false" ht="15" hidden="false" customHeight="false" outlineLevel="0" collapsed="false">
      <c r="A5536" s="27" t="n">
        <v>46148</v>
      </c>
      <c r="B5536" s="28" t="n">
        <v>2026</v>
      </c>
      <c r="C5536" s="28" t="s">
        <v>203</v>
      </c>
      <c r="D5536" s="28" t="s">
        <v>42</v>
      </c>
      <c r="E5536" s="28" t="s">
        <v>717</v>
      </c>
      <c r="F5536" s="28" t="s">
        <v>142</v>
      </c>
      <c r="G5536" s="28" t="s">
        <v>148</v>
      </c>
      <c r="H5536" s="28" t="s">
        <v>953</v>
      </c>
      <c r="I5536" s="29" t="n">
        <v>250000</v>
      </c>
      <c r="J5536" s="29" t="n">
        <v>187500</v>
      </c>
      <c r="K5536" s="28" t="n">
        <v>9.75</v>
      </c>
      <c r="L5536" s="28" t="n">
        <v>120</v>
      </c>
      <c r="M5536" s="28" t="n">
        <v>60</v>
      </c>
    </row>
    <row r="5537" customFormat="false" ht="15" hidden="false" customHeight="false" outlineLevel="0" collapsed="false">
      <c r="A5537" s="27" t="n">
        <v>46148</v>
      </c>
      <c r="B5537" s="28" t="n">
        <v>2026</v>
      </c>
      <c r="C5537" s="28" t="s">
        <v>235</v>
      </c>
      <c r="D5537" s="28" t="s">
        <v>44</v>
      </c>
      <c r="E5537" s="28" t="s">
        <v>982</v>
      </c>
      <c r="F5537" s="28" t="s">
        <v>147</v>
      </c>
      <c r="G5537" s="28" t="s">
        <v>148</v>
      </c>
      <c r="H5537" s="28" t="s">
        <v>159</v>
      </c>
      <c r="I5537" s="29" t="n">
        <v>95000</v>
      </c>
      <c r="J5537" s="29" t="n">
        <v>47500</v>
      </c>
      <c r="K5537" s="28" t="n">
        <v>10.49</v>
      </c>
      <c r="L5537" s="28" t="n">
        <v>60</v>
      </c>
      <c r="M5537" s="28" t="n">
        <v>12</v>
      </c>
    </row>
    <row r="5538" customFormat="false" ht="15" hidden="false" customHeight="false" outlineLevel="0" collapsed="false">
      <c r="A5538" s="27" t="n">
        <v>46149</v>
      </c>
      <c r="B5538" s="28" t="n">
        <v>2026</v>
      </c>
      <c r="C5538" s="28" t="s">
        <v>328</v>
      </c>
      <c r="D5538" s="28" t="s">
        <v>45</v>
      </c>
      <c r="E5538" s="28" t="s">
        <v>222</v>
      </c>
      <c r="F5538" s="28" t="s">
        <v>142</v>
      </c>
      <c r="G5538" s="28" t="s">
        <v>148</v>
      </c>
      <c r="H5538" s="28" t="s">
        <v>1031</v>
      </c>
      <c r="I5538" s="29" t="n">
        <v>675000</v>
      </c>
      <c r="J5538" s="29" t="n">
        <v>506250</v>
      </c>
      <c r="K5538" s="28" t="n">
        <v>7.75</v>
      </c>
      <c r="L5538" s="28" t="n">
        <v>300</v>
      </c>
      <c r="M5538" s="28" t="n">
        <v>3</v>
      </c>
    </row>
    <row r="5539" customFormat="false" ht="15" hidden="false" customHeight="false" outlineLevel="0" collapsed="false">
      <c r="A5539" s="27" t="n">
        <v>46149</v>
      </c>
      <c r="B5539" s="28" t="n">
        <v>2026</v>
      </c>
      <c r="C5539" s="28" t="s">
        <v>172</v>
      </c>
      <c r="D5539" s="28" t="s">
        <v>49</v>
      </c>
      <c r="E5539" s="28" t="s">
        <v>1192</v>
      </c>
      <c r="F5539" s="28" t="s">
        <v>147</v>
      </c>
      <c r="G5539" s="28" t="s">
        <v>148</v>
      </c>
      <c r="H5539" s="28" t="s">
        <v>428</v>
      </c>
      <c r="I5539" s="29" t="n">
        <v>80000</v>
      </c>
      <c r="J5539" s="29" t="n">
        <v>40000</v>
      </c>
      <c r="K5539" s="28" t="n">
        <v>12.75</v>
      </c>
      <c r="L5539" s="28" t="n">
        <v>120</v>
      </c>
      <c r="M5539" s="28" t="n">
        <v>3</v>
      </c>
    </row>
    <row r="5540" customFormat="false" ht="15" hidden="false" customHeight="false" outlineLevel="0" collapsed="false">
      <c r="A5540" s="27" t="n">
        <v>46150</v>
      </c>
      <c r="B5540" s="28" t="n">
        <v>2026</v>
      </c>
      <c r="C5540" s="28" t="s">
        <v>160</v>
      </c>
      <c r="D5540" s="28" t="s">
        <v>44</v>
      </c>
      <c r="E5540" s="28" t="s">
        <v>759</v>
      </c>
      <c r="F5540" s="28" t="s">
        <v>142</v>
      </c>
      <c r="G5540" s="28" t="s">
        <v>148</v>
      </c>
      <c r="H5540" s="28" t="s">
        <v>191</v>
      </c>
      <c r="I5540" s="29" t="n">
        <v>1300000</v>
      </c>
      <c r="J5540" s="29" t="n">
        <v>975000</v>
      </c>
      <c r="K5540" s="28" t="n">
        <v>6.5</v>
      </c>
      <c r="L5540" s="28" t="n">
        <v>246</v>
      </c>
      <c r="M5540" s="28" t="n">
        <v>7</v>
      </c>
    </row>
    <row r="5541" customFormat="false" ht="15" hidden="false" customHeight="false" outlineLevel="0" collapsed="false">
      <c r="A5541" s="27" t="n">
        <v>46150</v>
      </c>
      <c r="B5541" s="28" t="n">
        <v>2026</v>
      </c>
      <c r="C5541" s="28" t="s">
        <v>160</v>
      </c>
      <c r="D5541" s="28" t="s">
        <v>42</v>
      </c>
      <c r="E5541" s="28" t="s">
        <v>753</v>
      </c>
      <c r="F5541" s="28" t="s">
        <v>142</v>
      </c>
      <c r="G5541" s="28" t="s">
        <v>441</v>
      </c>
      <c r="H5541" s="28" t="s">
        <v>619</v>
      </c>
      <c r="I5541" s="29" t="n">
        <v>816000</v>
      </c>
      <c r="J5541" s="29" t="n">
        <v>612000</v>
      </c>
      <c r="K5541" s="28" t="n">
        <v>9.5</v>
      </c>
      <c r="L5541" s="28" t="n">
        <v>306</v>
      </c>
      <c r="M5541" s="28" t="n">
        <v>11</v>
      </c>
    </row>
    <row r="5542" customFormat="false" ht="15" hidden="false" customHeight="false" outlineLevel="0" collapsed="false">
      <c r="A5542" s="27" t="n">
        <v>46153</v>
      </c>
      <c r="B5542" s="28" t="n">
        <v>2026</v>
      </c>
      <c r="C5542" s="28" t="s">
        <v>172</v>
      </c>
      <c r="D5542" s="28" t="s">
        <v>51</v>
      </c>
      <c r="E5542" s="28" t="s">
        <v>779</v>
      </c>
      <c r="F5542" s="28" t="s">
        <v>142</v>
      </c>
      <c r="G5542" s="28" t="s">
        <v>143</v>
      </c>
      <c r="H5542" s="28" t="s">
        <v>227</v>
      </c>
      <c r="I5542" s="29" t="n">
        <v>762100</v>
      </c>
      <c r="J5542" s="29" t="n">
        <v>571575</v>
      </c>
      <c r="K5542" s="28" t="n">
        <v>8.75</v>
      </c>
      <c r="L5542" s="28" t="n">
        <v>132</v>
      </c>
      <c r="M5542" s="28" t="n">
        <v>2</v>
      </c>
    </row>
    <row r="5543" customFormat="false" ht="15" hidden="false" customHeight="false" outlineLevel="0" collapsed="false">
      <c r="A5543" s="27" t="n">
        <v>46153</v>
      </c>
      <c r="B5543" s="28" t="n">
        <v>2026</v>
      </c>
      <c r="C5543" s="28" t="s">
        <v>172</v>
      </c>
      <c r="D5543" s="28" t="s">
        <v>54</v>
      </c>
      <c r="E5543" s="28" t="s">
        <v>791</v>
      </c>
      <c r="F5543" s="28" t="s">
        <v>142</v>
      </c>
      <c r="G5543" s="28" t="s">
        <v>148</v>
      </c>
      <c r="H5543" s="28" t="s">
        <v>144</v>
      </c>
      <c r="I5543" s="29" t="n">
        <v>2400000</v>
      </c>
      <c r="J5543" s="29" t="n">
        <v>1800000</v>
      </c>
      <c r="K5543" s="28" t="n">
        <v>7.75</v>
      </c>
      <c r="L5543" s="28" t="n">
        <v>120</v>
      </c>
      <c r="M5543" s="28" t="n">
        <v>17</v>
      </c>
    </row>
    <row r="5544" customFormat="false" ht="15" hidden="false" customHeight="false" outlineLevel="0" collapsed="false">
      <c r="A5544" s="27" t="n">
        <v>46153</v>
      </c>
      <c r="B5544" s="28" t="n">
        <v>2026</v>
      </c>
      <c r="C5544" s="28" t="s">
        <v>203</v>
      </c>
      <c r="D5544" s="28" t="s">
        <v>44</v>
      </c>
      <c r="E5544" s="28" t="s">
        <v>783</v>
      </c>
      <c r="F5544" s="28" t="s">
        <v>142</v>
      </c>
      <c r="G5544" s="28" t="s">
        <v>148</v>
      </c>
      <c r="H5544" s="28" t="s">
        <v>619</v>
      </c>
      <c r="I5544" s="29" t="n">
        <v>637500</v>
      </c>
      <c r="J5544" s="29" t="n">
        <v>478125</v>
      </c>
      <c r="K5544" s="28" t="n">
        <v>8.75</v>
      </c>
      <c r="L5544" s="28" t="n">
        <v>300</v>
      </c>
      <c r="M5544" s="28" t="n">
        <v>10</v>
      </c>
    </row>
    <row r="5545" customFormat="false" ht="15" hidden="false" customHeight="false" outlineLevel="0" collapsed="false">
      <c r="A5545" s="27" t="n">
        <v>46153</v>
      </c>
      <c r="B5545" s="28" t="n">
        <v>2026</v>
      </c>
      <c r="C5545" s="28" t="s">
        <v>172</v>
      </c>
      <c r="D5545" s="28" t="s">
        <v>48</v>
      </c>
      <c r="E5545" s="28" t="s">
        <v>815</v>
      </c>
      <c r="F5545" s="28" t="s">
        <v>147</v>
      </c>
      <c r="G5545" s="28" t="s">
        <v>148</v>
      </c>
      <c r="H5545" s="28" t="s">
        <v>159</v>
      </c>
      <c r="I5545" s="29" t="n">
        <v>150000</v>
      </c>
      <c r="J5545" s="29" t="n">
        <v>75000</v>
      </c>
      <c r="K5545" s="28" t="n">
        <v>9.75</v>
      </c>
      <c r="L5545" s="28" t="n">
        <v>84</v>
      </c>
      <c r="M5545" s="28" t="n">
        <v>2</v>
      </c>
    </row>
    <row r="5546" customFormat="false" ht="15" hidden="false" customHeight="false" outlineLevel="0" collapsed="false">
      <c r="A5546" s="27" t="n">
        <v>46153</v>
      </c>
      <c r="B5546" s="28" t="n">
        <v>2026</v>
      </c>
      <c r="C5546" s="28" t="s">
        <v>172</v>
      </c>
      <c r="D5546" s="28" t="s">
        <v>48</v>
      </c>
      <c r="E5546" s="28" t="s">
        <v>815</v>
      </c>
      <c r="F5546" s="28" t="s">
        <v>147</v>
      </c>
      <c r="G5546" s="28" t="s">
        <v>148</v>
      </c>
      <c r="H5546" s="28" t="s">
        <v>159</v>
      </c>
      <c r="I5546" s="29" t="n">
        <v>5000</v>
      </c>
      <c r="J5546" s="29" t="n">
        <v>2500</v>
      </c>
      <c r="K5546" s="28" t="n">
        <v>13.25</v>
      </c>
      <c r="L5546" s="28" t="n">
        <v>120</v>
      </c>
      <c r="M5546" s="28" t="n">
        <v>2</v>
      </c>
    </row>
    <row r="5547" customFormat="false" ht="15" hidden="false" customHeight="false" outlineLevel="0" collapsed="false">
      <c r="A5547" s="27" t="n">
        <v>46154</v>
      </c>
      <c r="B5547" s="28" t="n">
        <v>2026</v>
      </c>
      <c r="C5547" s="28" t="s">
        <v>272</v>
      </c>
      <c r="D5547" s="28" t="s">
        <v>45</v>
      </c>
      <c r="E5547" s="28" t="s">
        <v>824</v>
      </c>
      <c r="F5547" s="28" t="s">
        <v>142</v>
      </c>
      <c r="G5547" s="28" t="s">
        <v>143</v>
      </c>
      <c r="H5547" s="28" t="s">
        <v>287</v>
      </c>
      <c r="I5547" s="29" t="n">
        <v>300000</v>
      </c>
      <c r="J5547" s="29" t="n">
        <v>225000</v>
      </c>
      <c r="K5547" s="28" t="n">
        <v>9.75</v>
      </c>
      <c r="L5547" s="28" t="n">
        <v>120</v>
      </c>
      <c r="M5547" s="28" t="n">
        <v>4</v>
      </c>
    </row>
    <row r="5548" customFormat="false" ht="15" hidden="false" customHeight="false" outlineLevel="0" collapsed="false">
      <c r="A5548" s="27" t="n">
        <v>46154</v>
      </c>
      <c r="B5548" s="28" t="n">
        <v>2026</v>
      </c>
      <c r="C5548" s="28" t="s">
        <v>166</v>
      </c>
      <c r="D5548" s="28" t="s">
        <v>42</v>
      </c>
      <c r="E5548" s="28" t="s">
        <v>753</v>
      </c>
      <c r="F5548" s="28" t="s">
        <v>147</v>
      </c>
      <c r="G5548" s="28" t="s">
        <v>441</v>
      </c>
      <c r="H5548" s="28" t="s">
        <v>159</v>
      </c>
      <c r="I5548" s="29" t="n">
        <v>250000</v>
      </c>
      <c r="J5548" s="29" t="n">
        <v>125000</v>
      </c>
      <c r="K5548" s="28" t="n">
        <v>2.25</v>
      </c>
      <c r="L5548" s="28" t="n">
        <v>84</v>
      </c>
      <c r="M5548" s="28" t="n">
        <v>14</v>
      </c>
    </row>
    <row r="5549" customFormat="false" ht="15" hidden="false" customHeight="false" outlineLevel="0" collapsed="false">
      <c r="A5549" s="27" t="n">
        <v>46154</v>
      </c>
      <c r="B5549" s="28" t="n">
        <v>2026</v>
      </c>
      <c r="C5549" s="28" t="s">
        <v>206</v>
      </c>
      <c r="D5549" s="28" t="s">
        <v>49</v>
      </c>
      <c r="E5549" s="28" t="s">
        <v>940</v>
      </c>
      <c r="F5549" s="28" t="s">
        <v>147</v>
      </c>
      <c r="G5549" s="28" t="s">
        <v>143</v>
      </c>
      <c r="H5549" s="28" t="s">
        <v>159</v>
      </c>
      <c r="I5549" s="29" t="n">
        <v>250000</v>
      </c>
      <c r="J5549" s="29" t="n">
        <v>125000</v>
      </c>
      <c r="K5549" s="28" t="n">
        <v>9</v>
      </c>
      <c r="L5549" s="28" t="n">
        <v>84</v>
      </c>
      <c r="M5549" s="28" t="n">
        <v>2</v>
      </c>
    </row>
    <row r="5550" customFormat="false" ht="15" hidden="false" customHeight="false" outlineLevel="0" collapsed="false">
      <c r="A5550" s="27" t="n">
        <v>46155</v>
      </c>
      <c r="B5550" s="28" t="n">
        <v>2026</v>
      </c>
      <c r="C5550" s="28" t="s">
        <v>163</v>
      </c>
      <c r="D5550" s="28" t="s">
        <v>42</v>
      </c>
      <c r="E5550" s="28" t="s">
        <v>753</v>
      </c>
      <c r="F5550" s="28" t="s">
        <v>142</v>
      </c>
      <c r="G5550" s="28" t="s">
        <v>143</v>
      </c>
      <c r="H5550" s="28" t="s">
        <v>211</v>
      </c>
      <c r="I5550" s="29" t="n">
        <v>887000</v>
      </c>
      <c r="J5550" s="29" t="n">
        <v>665250</v>
      </c>
      <c r="K5550" s="28" t="n">
        <v>9</v>
      </c>
      <c r="L5550" s="28" t="n">
        <v>120</v>
      </c>
      <c r="M5550" s="28" t="n">
        <v>2</v>
      </c>
    </row>
    <row r="5551" customFormat="false" ht="15" hidden="false" customHeight="false" outlineLevel="0" collapsed="false">
      <c r="A5551" s="27" t="n">
        <v>46155</v>
      </c>
      <c r="B5551" s="28" t="n">
        <v>2026</v>
      </c>
      <c r="C5551" s="28" t="s">
        <v>163</v>
      </c>
      <c r="D5551" s="28" t="s">
        <v>42</v>
      </c>
      <c r="E5551" s="28" t="s">
        <v>753</v>
      </c>
      <c r="F5551" s="28" t="s">
        <v>147</v>
      </c>
      <c r="G5551" s="28" t="s">
        <v>143</v>
      </c>
      <c r="H5551" s="28" t="s">
        <v>211</v>
      </c>
      <c r="I5551" s="29" t="n">
        <v>50000</v>
      </c>
      <c r="J5551" s="29" t="n">
        <v>25000</v>
      </c>
      <c r="K5551" s="28" t="n">
        <v>9</v>
      </c>
      <c r="L5551" s="28" t="n">
        <v>120</v>
      </c>
      <c r="M5551" s="28" t="n">
        <v>2</v>
      </c>
    </row>
    <row r="5552" customFormat="false" ht="15" hidden="false" customHeight="false" outlineLevel="0" collapsed="false">
      <c r="A5552" s="27" t="n">
        <v>46155</v>
      </c>
      <c r="B5552" s="28" t="n">
        <v>2026</v>
      </c>
      <c r="C5552" s="28" t="s">
        <v>423</v>
      </c>
      <c r="D5552" s="28" t="s">
        <v>55</v>
      </c>
      <c r="E5552" s="28" t="s">
        <v>1115</v>
      </c>
      <c r="F5552" s="28" t="s">
        <v>142</v>
      </c>
      <c r="G5552" s="28" t="s">
        <v>143</v>
      </c>
      <c r="H5552" s="28" t="s">
        <v>291</v>
      </c>
      <c r="I5552" s="29" t="n">
        <v>960000</v>
      </c>
      <c r="J5552" s="29" t="n">
        <v>720000</v>
      </c>
      <c r="K5552" s="28" t="n">
        <v>8.74</v>
      </c>
      <c r="L5552" s="28" t="n">
        <v>300</v>
      </c>
      <c r="M5552" s="28" t="n">
        <v>8</v>
      </c>
    </row>
    <row r="5553" customFormat="false" ht="15" hidden="false" customHeight="false" outlineLevel="0" collapsed="false">
      <c r="A5553" s="27" t="n">
        <v>46155</v>
      </c>
      <c r="B5553" s="28" t="n">
        <v>2026</v>
      </c>
      <c r="C5553" s="28" t="s">
        <v>423</v>
      </c>
      <c r="D5553" s="28" t="s">
        <v>55</v>
      </c>
      <c r="E5553" s="28" t="s">
        <v>1115</v>
      </c>
      <c r="F5553" s="28" t="s">
        <v>147</v>
      </c>
      <c r="G5553" s="28" t="s">
        <v>143</v>
      </c>
      <c r="H5553" s="28" t="s">
        <v>291</v>
      </c>
      <c r="I5553" s="29" t="n">
        <v>50000</v>
      </c>
      <c r="J5553" s="29" t="n">
        <v>25000</v>
      </c>
      <c r="K5553" s="28" t="n">
        <v>8.74</v>
      </c>
      <c r="L5553" s="28" t="n">
        <v>120</v>
      </c>
      <c r="M5553" s="28" t="n">
        <v>8</v>
      </c>
    </row>
    <row r="5554" customFormat="false" ht="15" hidden="false" customHeight="false" outlineLevel="0" collapsed="false">
      <c r="A5554" s="27" t="n">
        <v>46155</v>
      </c>
      <c r="B5554" s="28" t="n">
        <v>2026</v>
      </c>
      <c r="C5554" s="28" t="s">
        <v>196</v>
      </c>
      <c r="D5554" s="28" t="s">
        <v>50</v>
      </c>
      <c r="E5554" s="28" t="s">
        <v>724</v>
      </c>
      <c r="F5554" s="28" t="s">
        <v>194</v>
      </c>
      <c r="G5554" s="28" t="s">
        <v>148</v>
      </c>
      <c r="H5554" s="28" t="s">
        <v>681</v>
      </c>
      <c r="I5554" s="29" t="n">
        <v>1640000</v>
      </c>
      <c r="J5554" s="29" t="n">
        <v>1230000</v>
      </c>
      <c r="K5554" s="28" t="n">
        <v>9.5</v>
      </c>
      <c r="L5554" s="28" t="n">
        <v>120</v>
      </c>
      <c r="M5554" s="28" t="n">
        <v>155</v>
      </c>
    </row>
    <row r="5555" customFormat="false" ht="15" hidden="false" customHeight="false" outlineLevel="0" collapsed="false">
      <c r="A5555" s="27" t="n">
        <v>46156</v>
      </c>
      <c r="B5555" s="28" t="n">
        <v>2026</v>
      </c>
      <c r="C5555" s="28" t="s">
        <v>432</v>
      </c>
      <c r="D5555" s="28" t="s">
        <v>42</v>
      </c>
      <c r="E5555" s="28" t="s">
        <v>705</v>
      </c>
      <c r="F5555" s="28" t="s">
        <v>142</v>
      </c>
      <c r="G5555" s="28" t="s">
        <v>152</v>
      </c>
      <c r="H5555" s="28" t="s">
        <v>326</v>
      </c>
      <c r="I5555" s="29" t="n">
        <v>2555000</v>
      </c>
      <c r="J5555" s="29" t="n">
        <v>1916250</v>
      </c>
      <c r="K5555" s="28" t="n">
        <v>8</v>
      </c>
      <c r="L5555" s="28" t="n">
        <v>300</v>
      </c>
      <c r="M5555" s="28" t="n">
        <v>7</v>
      </c>
    </row>
    <row r="5556" customFormat="false" ht="15" hidden="false" customHeight="false" outlineLevel="0" collapsed="false">
      <c r="A5556" s="27" t="n">
        <v>46156</v>
      </c>
      <c r="B5556" s="28" t="n">
        <v>2026</v>
      </c>
      <c r="C5556" s="28" t="s">
        <v>500</v>
      </c>
      <c r="D5556" s="28" t="s">
        <v>42</v>
      </c>
      <c r="E5556" s="28" t="s">
        <v>705</v>
      </c>
      <c r="F5556" s="28" t="s">
        <v>142</v>
      </c>
      <c r="G5556" s="28" t="s">
        <v>441</v>
      </c>
      <c r="H5556" s="28" t="s">
        <v>1156</v>
      </c>
      <c r="I5556" s="29" t="n">
        <v>3380000</v>
      </c>
      <c r="J5556" s="29" t="n">
        <v>2535000</v>
      </c>
      <c r="K5556" s="28" t="n">
        <v>8</v>
      </c>
      <c r="L5556" s="28" t="n">
        <v>300</v>
      </c>
      <c r="M5556" s="28" t="n">
        <v>3</v>
      </c>
    </row>
    <row r="5557" customFormat="false" ht="15" hidden="false" customHeight="false" outlineLevel="0" collapsed="false">
      <c r="A5557" s="27" t="n">
        <v>46156</v>
      </c>
      <c r="B5557" s="28" t="n">
        <v>2026</v>
      </c>
      <c r="C5557" s="28" t="s">
        <v>198</v>
      </c>
      <c r="D5557" s="28" t="s">
        <v>42</v>
      </c>
      <c r="E5557" s="28" t="s">
        <v>753</v>
      </c>
      <c r="F5557" s="28" t="s">
        <v>142</v>
      </c>
      <c r="G5557" s="28" t="s">
        <v>148</v>
      </c>
      <c r="H5557" s="28" t="s">
        <v>438</v>
      </c>
      <c r="I5557" s="29" t="n">
        <v>525000</v>
      </c>
      <c r="J5557" s="29" t="n">
        <v>393750</v>
      </c>
      <c r="K5557" s="28" t="n">
        <v>9</v>
      </c>
      <c r="L5557" s="28" t="n">
        <v>120</v>
      </c>
      <c r="M5557" s="28" t="n">
        <v>13</v>
      </c>
    </row>
    <row r="5558" customFormat="false" ht="15" hidden="false" customHeight="false" outlineLevel="0" collapsed="false">
      <c r="A5558" s="27" t="n">
        <v>46156</v>
      </c>
      <c r="B5558" s="28" t="n">
        <v>2026</v>
      </c>
      <c r="C5558" s="28" t="s">
        <v>172</v>
      </c>
      <c r="D5558" s="28" t="s">
        <v>48</v>
      </c>
      <c r="E5558" s="28" t="s">
        <v>342</v>
      </c>
      <c r="F5558" s="28" t="s">
        <v>147</v>
      </c>
      <c r="G5558" s="28" t="s">
        <v>148</v>
      </c>
      <c r="H5558" s="28" t="s">
        <v>205</v>
      </c>
      <c r="I5558" s="29" t="n">
        <v>250000</v>
      </c>
      <c r="J5558" s="29" t="n">
        <v>125000</v>
      </c>
      <c r="K5558" s="28" t="n">
        <v>7.75</v>
      </c>
      <c r="L5558" s="28" t="n">
        <v>120</v>
      </c>
      <c r="M5558" s="28" t="n">
        <v>5</v>
      </c>
    </row>
    <row r="5559" customFormat="false" ht="15" hidden="false" customHeight="false" outlineLevel="0" collapsed="false">
      <c r="A5559" s="27" t="n">
        <v>46157</v>
      </c>
      <c r="B5559" s="28" t="n">
        <v>2026</v>
      </c>
      <c r="C5559" s="28" t="s">
        <v>169</v>
      </c>
      <c r="D5559" s="28" t="s">
        <v>42</v>
      </c>
      <c r="E5559" s="28" t="s">
        <v>717</v>
      </c>
      <c r="F5559" s="28" t="s">
        <v>142</v>
      </c>
      <c r="G5559" s="28" t="s">
        <v>441</v>
      </c>
      <c r="H5559" s="28" t="s">
        <v>771</v>
      </c>
      <c r="I5559" s="29" t="n">
        <v>320400</v>
      </c>
      <c r="J5559" s="29" t="n">
        <v>240300</v>
      </c>
      <c r="K5559" s="28" t="n">
        <v>9.75</v>
      </c>
      <c r="L5559" s="28" t="n">
        <v>120</v>
      </c>
      <c r="M5559" s="28" t="n">
        <v>5</v>
      </c>
    </row>
    <row r="5560" customFormat="false" ht="15" hidden="false" customHeight="false" outlineLevel="0" collapsed="false">
      <c r="A5560" s="27" t="n">
        <v>46157</v>
      </c>
      <c r="B5560" s="28" t="n">
        <v>2026</v>
      </c>
      <c r="C5560" s="28" t="s">
        <v>198</v>
      </c>
      <c r="D5560" s="28" t="s">
        <v>43</v>
      </c>
      <c r="E5560" s="28" t="s">
        <v>830</v>
      </c>
      <c r="F5560" s="28" t="s">
        <v>142</v>
      </c>
      <c r="G5560" s="28" t="s">
        <v>148</v>
      </c>
      <c r="H5560" s="28" t="s">
        <v>771</v>
      </c>
      <c r="I5560" s="29" t="n">
        <v>350000</v>
      </c>
      <c r="J5560" s="29" t="n">
        <v>262500</v>
      </c>
      <c r="K5560" s="28" t="n">
        <v>9.75</v>
      </c>
      <c r="L5560" s="28" t="n">
        <v>120</v>
      </c>
      <c r="M5560" s="28" t="n">
        <v>0</v>
      </c>
    </row>
    <row r="5561" customFormat="false" ht="15" hidden="false" customHeight="false" outlineLevel="0" collapsed="false">
      <c r="A5561" s="27" t="n">
        <v>46157</v>
      </c>
      <c r="B5561" s="28" t="n">
        <v>2026</v>
      </c>
      <c r="C5561" s="28" t="s">
        <v>183</v>
      </c>
      <c r="D5561" s="28" t="s">
        <v>44</v>
      </c>
      <c r="E5561" s="28" t="s">
        <v>729</v>
      </c>
      <c r="F5561" s="28" t="s">
        <v>142</v>
      </c>
      <c r="G5561" s="28" t="s">
        <v>143</v>
      </c>
      <c r="H5561" s="28" t="s">
        <v>144</v>
      </c>
      <c r="I5561" s="29" t="n">
        <v>300000</v>
      </c>
      <c r="J5561" s="29" t="n">
        <v>225000</v>
      </c>
      <c r="K5561" s="28" t="n">
        <v>9.99</v>
      </c>
      <c r="L5561" s="28" t="n">
        <v>120</v>
      </c>
      <c r="M5561" s="28" t="n">
        <v>5</v>
      </c>
    </row>
    <row r="5562" customFormat="false" ht="15" hidden="false" customHeight="false" outlineLevel="0" collapsed="false">
      <c r="A5562" s="27" t="n">
        <v>46157</v>
      </c>
      <c r="B5562" s="28" t="n">
        <v>2026</v>
      </c>
      <c r="C5562" s="28" t="s">
        <v>175</v>
      </c>
      <c r="D5562" s="28" t="s">
        <v>44</v>
      </c>
      <c r="E5562" s="28" t="s">
        <v>783</v>
      </c>
      <c r="F5562" s="28" t="s">
        <v>142</v>
      </c>
      <c r="G5562" s="28" t="s">
        <v>148</v>
      </c>
      <c r="H5562" s="28" t="s">
        <v>1001</v>
      </c>
      <c r="I5562" s="29" t="n">
        <v>250000</v>
      </c>
      <c r="J5562" s="29" t="n">
        <v>187500</v>
      </c>
      <c r="K5562" s="28" t="n">
        <v>9.75</v>
      </c>
      <c r="L5562" s="28" t="n">
        <v>120</v>
      </c>
      <c r="M5562" s="28" t="n">
        <v>3</v>
      </c>
    </row>
    <row r="5563" customFormat="false" ht="15" hidden="false" customHeight="false" outlineLevel="0" collapsed="false">
      <c r="A5563" s="27" t="n">
        <v>46160</v>
      </c>
      <c r="B5563" s="28" t="n">
        <v>2026</v>
      </c>
      <c r="C5563" s="28" t="s">
        <v>172</v>
      </c>
      <c r="D5563" s="28" t="s">
        <v>56</v>
      </c>
      <c r="E5563" s="28" t="s">
        <v>772</v>
      </c>
      <c r="F5563" s="28" t="s">
        <v>142</v>
      </c>
      <c r="G5563" s="28" t="s">
        <v>143</v>
      </c>
      <c r="H5563" s="28" t="s">
        <v>168</v>
      </c>
      <c r="I5563" s="29" t="n">
        <v>2026900</v>
      </c>
      <c r="J5563" s="29" t="n">
        <v>1520175</v>
      </c>
      <c r="K5563" s="28" t="n">
        <v>7.44</v>
      </c>
      <c r="L5563" s="28" t="n">
        <v>132</v>
      </c>
      <c r="M5563" s="28" t="n">
        <v>20</v>
      </c>
    </row>
    <row r="5564" customFormat="false" ht="15" hidden="false" customHeight="false" outlineLevel="0" collapsed="false">
      <c r="A5564" s="27" t="n">
        <v>46160</v>
      </c>
      <c r="B5564" s="28" t="n">
        <v>2026</v>
      </c>
      <c r="C5564" s="28" t="s">
        <v>272</v>
      </c>
      <c r="D5564" s="28" t="s">
        <v>45</v>
      </c>
      <c r="E5564" s="28" t="s">
        <v>480</v>
      </c>
      <c r="F5564" s="28" t="s">
        <v>147</v>
      </c>
      <c r="G5564" s="28" t="s">
        <v>148</v>
      </c>
      <c r="H5564" s="28" t="s">
        <v>953</v>
      </c>
      <c r="I5564" s="29" t="n">
        <v>75000</v>
      </c>
      <c r="J5564" s="29" t="n">
        <v>37500</v>
      </c>
      <c r="K5564" s="28" t="n">
        <v>9.75</v>
      </c>
      <c r="L5564" s="28" t="n">
        <v>120</v>
      </c>
      <c r="M5564" s="28" t="n">
        <v>14</v>
      </c>
    </row>
    <row r="5565" customFormat="false" ht="15" hidden="false" customHeight="false" outlineLevel="0" collapsed="false">
      <c r="A5565" s="27" t="n">
        <v>46160</v>
      </c>
      <c r="B5565" s="28" t="n">
        <v>2026</v>
      </c>
      <c r="C5565" s="28" t="s">
        <v>145</v>
      </c>
      <c r="D5565" s="28" t="s">
        <v>49</v>
      </c>
      <c r="E5565" s="28" t="s">
        <v>940</v>
      </c>
      <c r="F5565" s="28" t="s">
        <v>147</v>
      </c>
      <c r="G5565" s="28" t="s">
        <v>148</v>
      </c>
      <c r="H5565" s="28" t="s">
        <v>159</v>
      </c>
      <c r="I5565" s="29" t="n">
        <v>200000</v>
      </c>
      <c r="J5565" s="29" t="n">
        <v>100000</v>
      </c>
      <c r="K5565" s="28" t="n">
        <v>8.75</v>
      </c>
      <c r="L5565" s="28" t="n">
        <v>120</v>
      </c>
      <c r="M5565" s="28" t="n">
        <v>4</v>
      </c>
    </row>
    <row r="5566" customFormat="false" ht="15" hidden="false" customHeight="false" outlineLevel="0" collapsed="false">
      <c r="A5566" s="27" t="n">
        <v>46160</v>
      </c>
      <c r="B5566" s="28" t="n">
        <v>2026</v>
      </c>
      <c r="C5566" s="28" t="s">
        <v>183</v>
      </c>
      <c r="D5566" s="28" t="s">
        <v>46</v>
      </c>
      <c r="E5566" s="28" t="s">
        <v>719</v>
      </c>
      <c r="F5566" s="28" t="s">
        <v>142</v>
      </c>
      <c r="G5566" s="28" t="s">
        <v>148</v>
      </c>
      <c r="H5566" s="28" t="s">
        <v>771</v>
      </c>
      <c r="I5566" s="29" t="n">
        <v>116400</v>
      </c>
      <c r="J5566" s="29" t="n">
        <v>98940</v>
      </c>
      <c r="K5566" s="28" t="n">
        <v>9.75</v>
      </c>
      <c r="L5566" s="28" t="n">
        <v>120</v>
      </c>
      <c r="M5566" s="28" t="n">
        <v>0</v>
      </c>
    </row>
    <row r="5567" customFormat="false" ht="15" hidden="false" customHeight="false" outlineLevel="0" collapsed="false">
      <c r="A5567" s="27" t="n">
        <v>46160</v>
      </c>
      <c r="B5567" s="28" t="n">
        <v>2026</v>
      </c>
      <c r="C5567" s="28" t="s">
        <v>172</v>
      </c>
      <c r="D5567" s="28" t="s">
        <v>42</v>
      </c>
      <c r="E5567" s="28" t="s">
        <v>828</v>
      </c>
      <c r="F5567" s="28" t="s">
        <v>142</v>
      </c>
      <c r="G5567" s="28" t="s">
        <v>143</v>
      </c>
      <c r="H5567" s="28" t="s">
        <v>645</v>
      </c>
      <c r="I5567" s="29" t="n">
        <v>900000</v>
      </c>
      <c r="J5567" s="29" t="n">
        <v>675000</v>
      </c>
      <c r="K5567" s="28" t="n">
        <v>8.75</v>
      </c>
      <c r="L5567" s="28" t="n">
        <v>128</v>
      </c>
      <c r="M5567" s="28" t="n">
        <v>31</v>
      </c>
    </row>
    <row r="5568" customFormat="false" ht="15" hidden="false" customHeight="false" outlineLevel="0" collapsed="false">
      <c r="A5568" s="27" t="n">
        <v>46160</v>
      </c>
      <c r="B5568" s="28" t="n">
        <v>2026</v>
      </c>
      <c r="C5568" s="28" t="s">
        <v>249</v>
      </c>
      <c r="D5568" s="28" t="s">
        <v>50</v>
      </c>
      <c r="E5568" s="28" t="s">
        <v>853</v>
      </c>
      <c r="F5568" s="28" t="s">
        <v>142</v>
      </c>
      <c r="G5568" s="28" t="s">
        <v>148</v>
      </c>
      <c r="H5568" s="28" t="s">
        <v>1150</v>
      </c>
      <c r="I5568" s="29" t="n">
        <v>100000</v>
      </c>
      <c r="J5568" s="29" t="n">
        <v>85000</v>
      </c>
      <c r="K5568" s="28" t="n">
        <v>11.25</v>
      </c>
      <c r="L5568" s="28" t="n">
        <v>120</v>
      </c>
      <c r="M5568" s="28" t="n">
        <v>3</v>
      </c>
    </row>
    <row r="5569" customFormat="false" ht="15" hidden="false" customHeight="false" outlineLevel="0" collapsed="false">
      <c r="A5569" s="27" t="n">
        <v>46160</v>
      </c>
      <c r="B5569" s="28" t="n">
        <v>2026</v>
      </c>
      <c r="C5569" s="28" t="s">
        <v>303</v>
      </c>
      <c r="D5569" s="28" t="s">
        <v>51</v>
      </c>
      <c r="E5569" s="28" t="s">
        <v>800</v>
      </c>
      <c r="F5569" s="28" t="s">
        <v>142</v>
      </c>
      <c r="G5569" s="28" t="s">
        <v>143</v>
      </c>
      <c r="H5569" s="28" t="s">
        <v>1117</v>
      </c>
      <c r="I5569" s="29" t="n">
        <v>439000</v>
      </c>
      <c r="J5569" s="29" t="n">
        <v>329250</v>
      </c>
      <c r="K5569" s="28" t="n">
        <v>9.5</v>
      </c>
      <c r="L5569" s="28" t="n">
        <v>123</v>
      </c>
      <c r="M5569" s="28" t="n">
        <v>4</v>
      </c>
    </row>
    <row r="5570" customFormat="false" ht="15" hidden="false" customHeight="false" outlineLevel="0" collapsed="false">
      <c r="A5570" s="27" t="n">
        <v>46160</v>
      </c>
      <c r="B5570" s="28" t="n">
        <v>2026</v>
      </c>
      <c r="C5570" s="28" t="s">
        <v>160</v>
      </c>
      <c r="D5570" s="28" t="s">
        <v>46</v>
      </c>
      <c r="E5570" s="28" t="s">
        <v>702</v>
      </c>
      <c r="F5570" s="28" t="s">
        <v>142</v>
      </c>
      <c r="G5570" s="28" t="s">
        <v>152</v>
      </c>
      <c r="H5570" s="28" t="s">
        <v>669</v>
      </c>
      <c r="I5570" s="29" t="n">
        <v>472000</v>
      </c>
      <c r="J5570" s="29" t="n">
        <v>354000</v>
      </c>
      <c r="K5570" s="28" t="n">
        <v>9</v>
      </c>
      <c r="L5570" s="28" t="n">
        <v>120</v>
      </c>
      <c r="M5570" s="28" t="n">
        <v>14</v>
      </c>
    </row>
    <row r="5571" customFormat="false" ht="15" hidden="false" customHeight="false" outlineLevel="0" collapsed="false">
      <c r="A5571" s="27" t="n">
        <v>46160</v>
      </c>
      <c r="B5571" s="28" t="n">
        <v>2026</v>
      </c>
      <c r="C5571" s="28" t="s">
        <v>272</v>
      </c>
      <c r="D5571" s="28" t="s">
        <v>45</v>
      </c>
      <c r="E5571" s="28" t="s">
        <v>480</v>
      </c>
      <c r="F5571" s="28" t="s">
        <v>142</v>
      </c>
      <c r="G5571" s="28" t="s">
        <v>148</v>
      </c>
      <c r="H5571" s="28" t="s">
        <v>953</v>
      </c>
      <c r="I5571" s="29" t="n">
        <v>300000</v>
      </c>
      <c r="J5571" s="29" t="n">
        <v>225000</v>
      </c>
      <c r="K5571" s="28" t="n">
        <v>9.75</v>
      </c>
      <c r="L5571" s="28" t="n">
        <v>120</v>
      </c>
      <c r="M5571" s="28" t="n">
        <v>14</v>
      </c>
    </row>
    <row r="5572" customFormat="false" ht="15" hidden="false" customHeight="false" outlineLevel="0" collapsed="false">
      <c r="A5572" s="27" t="n">
        <v>46161</v>
      </c>
      <c r="B5572" s="28" t="n">
        <v>2026</v>
      </c>
      <c r="C5572" s="28" t="s">
        <v>169</v>
      </c>
      <c r="D5572" s="28" t="s">
        <v>47</v>
      </c>
      <c r="E5572" s="28" t="s">
        <v>776</v>
      </c>
      <c r="F5572" s="28" t="s">
        <v>142</v>
      </c>
      <c r="G5572" s="28" t="s">
        <v>152</v>
      </c>
      <c r="H5572" s="28" t="s">
        <v>457</v>
      </c>
      <c r="I5572" s="29" t="n">
        <v>3200000</v>
      </c>
      <c r="J5572" s="29" t="n">
        <v>2400000</v>
      </c>
      <c r="K5572" s="28" t="n">
        <v>8.75</v>
      </c>
      <c r="L5572" s="28" t="n">
        <v>300</v>
      </c>
      <c r="M5572" s="28" t="n">
        <v>15</v>
      </c>
    </row>
    <row r="5573" customFormat="false" ht="15" hidden="false" customHeight="false" outlineLevel="0" collapsed="false">
      <c r="A5573" s="27" t="n">
        <v>46161</v>
      </c>
      <c r="B5573" s="28" t="n">
        <v>2026</v>
      </c>
      <c r="C5573" s="28" t="s">
        <v>160</v>
      </c>
      <c r="D5573" s="28" t="s">
        <v>44</v>
      </c>
      <c r="E5573" s="28" t="s">
        <v>751</v>
      </c>
      <c r="F5573" s="28" t="s">
        <v>142</v>
      </c>
      <c r="G5573" s="28" t="s">
        <v>143</v>
      </c>
      <c r="H5573" s="28" t="s">
        <v>953</v>
      </c>
      <c r="I5573" s="29" t="n">
        <v>225000</v>
      </c>
      <c r="J5573" s="29" t="n">
        <v>168750</v>
      </c>
      <c r="K5573" s="28" t="n">
        <v>9.75</v>
      </c>
      <c r="L5573" s="28" t="n">
        <v>120</v>
      </c>
      <c r="M5573" s="28" t="n">
        <v>6</v>
      </c>
    </row>
    <row r="5574" customFormat="false" ht="15" hidden="false" customHeight="false" outlineLevel="0" collapsed="false">
      <c r="A5574" s="27" t="n">
        <v>46161</v>
      </c>
      <c r="B5574" s="28" t="n">
        <v>2026</v>
      </c>
      <c r="C5574" s="28" t="s">
        <v>140</v>
      </c>
      <c r="D5574" s="28" t="s">
        <v>48</v>
      </c>
      <c r="E5574" s="28" t="s">
        <v>304</v>
      </c>
      <c r="F5574" s="28" t="s">
        <v>142</v>
      </c>
      <c r="G5574" s="28" t="s">
        <v>148</v>
      </c>
      <c r="H5574" s="28" t="s">
        <v>1001</v>
      </c>
      <c r="I5574" s="29" t="n">
        <v>275000</v>
      </c>
      <c r="J5574" s="29" t="n">
        <v>206250</v>
      </c>
      <c r="K5574" s="28" t="n">
        <v>9.75</v>
      </c>
      <c r="L5574" s="28" t="n">
        <v>120</v>
      </c>
      <c r="M5574" s="28" t="n">
        <v>0</v>
      </c>
    </row>
    <row r="5575" customFormat="false" ht="15" hidden="false" customHeight="false" outlineLevel="0" collapsed="false">
      <c r="A5575" s="27" t="n">
        <v>46162</v>
      </c>
      <c r="B5575" s="28" t="n">
        <v>2026</v>
      </c>
      <c r="C5575" s="28" t="s">
        <v>172</v>
      </c>
      <c r="D5575" s="28" t="s">
        <v>56</v>
      </c>
      <c r="E5575" s="28" t="s">
        <v>207</v>
      </c>
      <c r="F5575" s="28" t="s">
        <v>147</v>
      </c>
      <c r="G5575" s="28" t="s">
        <v>148</v>
      </c>
      <c r="H5575" s="28" t="s">
        <v>205</v>
      </c>
      <c r="I5575" s="29" t="n">
        <v>200000</v>
      </c>
      <c r="J5575" s="29" t="n">
        <v>100000</v>
      </c>
      <c r="K5575" s="28" t="n">
        <v>8.74</v>
      </c>
      <c r="L5575" s="28" t="n">
        <v>120</v>
      </c>
      <c r="M5575" s="28" t="n">
        <v>100</v>
      </c>
    </row>
    <row r="5576" customFormat="false" ht="15" hidden="false" customHeight="false" outlineLevel="0" collapsed="false">
      <c r="A5576" s="27" t="n">
        <v>46162</v>
      </c>
      <c r="B5576" s="28" t="n">
        <v>2026</v>
      </c>
      <c r="C5576" s="28" t="s">
        <v>172</v>
      </c>
      <c r="D5576" s="28" t="s">
        <v>48</v>
      </c>
      <c r="E5576" s="28" t="s">
        <v>736</v>
      </c>
      <c r="F5576" s="28" t="s">
        <v>147</v>
      </c>
      <c r="G5576" s="28" t="s">
        <v>148</v>
      </c>
      <c r="H5576" s="28" t="s">
        <v>187</v>
      </c>
      <c r="I5576" s="29" t="n">
        <v>255300</v>
      </c>
      <c r="J5576" s="29" t="n">
        <v>127650</v>
      </c>
      <c r="K5576" s="28" t="n">
        <v>10.25</v>
      </c>
      <c r="L5576" s="28" t="n">
        <v>120</v>
      </c>
      <c r="M5576" s="28" t="n">
        <v>20</v>
      </c>
    </row>
    <row r="5577" customFormat="false" ht="15" hidden="false" customHeight="false" outlineLevel="0" collapsed="false">
      <c r="A5577" s="27" t="n">
        <v>46162</v>
      </c>
      <c r="B5577" s="28" t="n">
        <v>2026</v>
      </c>
      <c r="C5577" s="28" t="s">
        <v>300</v>
      </c>
      <c r="D5577" s="28" t="s">
        <v>45</v>
      </c>
      <c r="E5577" s="28" t="s">
        <v>713</v>
      </c>
      <c r="F5577" s="28" t="s">
        <v>142</v>
      </c>
      <c r="G5577" s="28" t="s">
        <v>148</v>
      </c>
      <c r="H5577" s="28" t="s">
        <v>771</v>
      </c>
      <c r="I5577" s="29" t="n">
        <v>350000</v>
      </c>
      <c r="J5577" s="29" t="n">
        <v>262500</v>
      </c>
      <c r="K5577" s="28" t="n">
        <v>9.75</v>
      </c>
      <c r="L5577" s="28" t="n">
        <v>120</v>
      </c>
      <c r="M5577" s="28" t="n">
        <v>8</v>
      </c>
    </row>
    <row r="5578" customFormat="false" ht="15" hidden="false" customHeight="false" outlineLevel="0" collapsed="false">
      <c r="A5578" s="27" t="n">
        <v>46163</v>
      </c>
      <c r="B5578" s="28" t="n">
        <v>2026</v>
      </c>
      <c r="C5578" s="28" t="s">
        <v>145</v>
      </c>
      <c r="D5578" s="28" t="s">
        <v>48</v>
      </c>
      <c r="E5578" s="28" t="s">
        <v>767</v>
      </c>
      <c r="F5578" s="28" t="s">
        <v>142</v>
      </c>
      <c r="G5578" s="28" t="s">
        <v>148</v>
      </c>
      <c r="H5578" s="28" t="s">
        <v>771</v>
      </c>
      <c r="I5578" s="29" t="n">
        <v>250000</v>
      </c>
      <c r="J5578" s="29" t="n">
        <v>187500</v>
      </c>
      <c r="K5578" s="28" t="n">
        <v>10</v>
      </c>
      <c r="L5578" s="28" t="n">
        <v>120</v>
      </c>
      <c r="M5578" s="28" t="n">
        <v>10</v>
      </c>
    </row>
    <row r="5579" customFormat="false" ht="15" hidden="false" customHeight="false" outlineLevel="0" collapsed="false">
      <c r="A5579" s="27" t="n">
        <v>46163</v>
      </c>
      <c r="B5579" s="28" t="n">
        <v>2026</v>
      </c>
      <c r="C5579" s="28" t="s">
        <v>160</v>
      </c>
      <c r="D5579" s="28" t="s">
        <v>49</v>
      </c>
      <c r="E5579" s="28" t="s">
        <v>1133</v>
      </c>
      <c r="F5579" s="28" t="s">
        <v>147</v>
      </c>
      <c r="G5579" s="28" t="s">
        <v>148</v>
      </c>
      <c r="H5579" s="28" t="s">
        <v>404</v>
      </c>
      <c r="I5579" s="29" t="n">
        <v>400000</v>
      </c>
      <c r="J5579" s="29" t="n">
        <v>200000</v>
      </c>
      <c r="K5579" s="28" t="n">
        <v>9.75</v>
      </c>
      <c r="L5579" s="28" t="n">
        <v>119</v>
      </c>
      <c r="M5579" s="28" t="n">
        <v>23</v>
      </c>
    </row>
    <row r="5580" customFormat="false" ht="15" hidden="false" customHeight="false" outlineLevel="0" collapsed="false">
      <c r="A5580" s="27" t="n">
        <v>46163</v>
      </c>
      <c r="B5580" s="28" t="n">
        <v>2026</v>
      </c>
      <c r="C5580" s="28" t="s">
        <v>172</v>
      </c>
      <c r="D5580" s="28" t="s">
        <v>42</v>
      </c>
      <c r="E5580" s="28" t="s">
        <v>717</v>
      </c>
      <c r="F5580" s="28" t="s">
        <v>142</v>
      </c>
      <c r="G5580" s="28" t="s">
        <v>143</v>
      </c>
      <c r="H5580" s="28" t="s">
        <v>592</v>
      </c>
      <c r="I5580" s="29" t="n">
        <v>300000</v>
      </c>
      <c r="J5580" s="29" t="n">
        <v>225000</v>
      </c>
      <c r="K5580" s="28" t="n">
        <v>9</v>
      </c>
      <c r="L5580" s="28" t="n">
        <v>120</v>
      </c>
      <c r="M5580" s="28" t="n">
        <v>8</v>
      </c>
    </row>
    <row r="5581" customFormat="false" ht="15" hidden="false" customHeight="false" outlineLevel="0" collapsed="false">
      <c r="A5581" s="27" t="n">
        <v>46163</v>
      </c>
      <c r="B5581" s="28" t="n">
        <v>2026</v>
      </c>
      <c r="C5581" s="28" t="s">
        <v>169</v>
      </c>
      <c r="D5581" s="28" t="s">
        <v>48</v>
      </c>
      <c r="E5581" s="28" t="s">
        <v>765</v>
      </c>
      <c r="F5581" s="28" t="s">
        <v>147</v>
      </c>
      <c r="G5581" s="28" t="s">
        <v>143</v>
      </c>
      <c r="H5581" s="28" t="s">
        <v>159</v>
      </c>
      <c r="I5581" s="29" t="n">
        <v>250000</v>
      </c>
      <c r="J5581" s="29" t="n">
        <v>125000</v>
      </c>
      <c r="K5581" s="28" t="n">
        <v>9</v>
      </c>
      <c r="L5581" s="28" t="n">
        <v>120</v>
      </c>
      <c r="M5581" s="28" t="n">
        <v>9</v>
      </c>
    </row>
    <row r="5582" customFormat="false" ht="15" hidden="false" customHeight="false" outlineLevel="0" collapsed="false">
      <c r="A5582" s="27" t="n">
        <v>46163</v>
      </c>
      <c r="B5582" s="28" t="n">
        <v>2026</v>
      </c>
      <c r="C5582" s="28" t="s">
        <v>163</v>
      </c>
      <c r="D5582" s="28" t="s">
        <v>53</v>
      </c>
      <c r="E5582" s="28" t="s">
        <v>718</v>
      </c>
      <c r="F5582" s="28" t="s">
        <v>142</v>
      </c>
      <c r="G5582" s="28" t="s">
        <v>148</v>
      </c>
      <c r="H5582" s="28" t="s">
        <v>144</v>
      </c>
      <c r="I5582" s="29" t="n">
        <v>300000</v>
      </c>
      <c r="J5582" s="29" t="n">
        <v>225000</v>
      </c>
      <c r="K5582" s="28" t="n">
        <v>10.24</v>
      </c>
      <c r="L5582" s="28" t="n">
        <v>120</v>
      </c>
      <c r="M5582" s="28" t="n">
        <v>6</v>
      </c>
    </row>
    <row r="5583" customFormat="false" ht="15" hidden="false" customHeight="false" outlineLevel="0" collapsed="false">
      <c r="A5583" s="27" t="n">
        <v>46163</v>
      </c>
      <c r="B5583" s="28" t="n">
        <v>2026</v>
      </c>
      <c r="C5583" s="28" t="s">
        <v>169</v>
      </c>
      <c r="D5583" s="28" t="s">
        <v>51</v>
      </c>
      <c r="E5583" s="28" t="s">
        <v>779</v>
      </c>
      <c r="F5583" s="28" t="s">
        <v>142</v>
      </c>
      <c r="G5583" s="28" t="s">
        <v>441</v>
      </c>
      <c r="H5583" s="28" t="s">
        <v>501</v>
      </c>
      <c r="I5583" s="29" t="n">
        <v>1708000</v>
      </c>
      <c r="J5583" s="29" t="n">
        <v>1281000</v>
      </c>
      <c r="K5583" s="28" t="n">
        <v>9.5</v>
      </c>
      <c r="L5583" s="28" t="n">
        <v>124</v>
      </c>
      <c r="M5583" s="28" t="n">
        <v>6</v>
      </c>
    </row>
    <row r="5584" customFormat="false" ht="15" hidden="false" customHeight="false" outlineLevel="0" collapsed="false">
      <c r="A5584" s="27" t="n">
        <v>46163</v>
      </c>
      <c r="B5584" s="28" t="n">
        <v>2026</v>
      </c>
      <c r="C5584" s="28" t="s">
        <v>292</v>
      </c>
      <c r="D5584" s="28" t="s">
        <v>51</v>
      </c>
      <c r="E5584" s="28" t="s">
        <v>800</v>
      </c>
      <c r="F5584" s="28" t="s">
        <v>142</v>
      </c>
      <c r="G5584" s="28" t="s">
        <v>143</v>
      </c>
      <c r="H5584" s="28" t="s">
        <v>523</v>
      </c>
      <c r="I5584" s="29" t="n">
        <v>1283000</v>
      </c>
      <c r="J5584" s="29" t="n">
        <v>962250</v>
      </c>
      <c r="K5584" s="28" t="n">
        <v>9.75</v>
      </c>
      <c r="L5584" s="28" t="n">
        <v>126</v>
      </c>
      <c r="M5584" s="28" t="n">
        <v>13</v>
      </c>
    </row>
    <row r="5585" customFormat="false" ht="15" hidden="false" customHeight="false" outlineLevel="0" collapsed="false">
      <c r="A5585" s="27" t="n">
        <v>46164</v>
      </c>
      <c r="B5585" s="28" t="n">
        <v>2026</v>
      </c>
      <c r="C5585" s="28" t="s">
        <v>206</v>
      </c>
      <c r="D5585" s="28" t="s">
        <v>48</v>
      </c>
      <c r="E5585" s="28" t="s">
        <v>815</v>
      </c>
      <c r="F5585" s="28" t="s">
        <v>142</v>
      </c>
      <c r="G5585" s="28" t="s">
        <v>148</v>
      </c>
      <c r="H5585" s="28" t="s">
        <v>953</v>
      </c>
      <c r="I5585" s="29" t="n">
        <v>350000</v>
      </c>
      <c r="J5585" s="29" t="n">
        <v>262500</v>
      </c>
      <c r="K5585" s="28" t="n">
        <v>9.75</v>
      </c>
      <c r="L5585" s="28" t="n">
        <v>120</v>
      </c>
      <c r="M5585" s="28" t="n">
        <v>5</v>
      </c>
    </row>
    <row r="5586" customFormat="false" ht="15" hidden="false" customHeight="false" outlineLevel="0" collapsed="false">
      <c r="A5586" s="27" t="n">
        <v>46164</v>
      </c>
      <c r="B5586" s="28" t="n">
        <v>2026</v>
      </c>
      <c r="C5586" s="28" t="s">
        <v>163</v>
      </c>
      <c r="D5586" s="28" t="s">
        <v>43</v>
      </c>
      <c r="E5586" s="28" t="s">
        <v>837</v>
      </c>
      <c r="F5586" s="28" t="s">
        <v>142</v>
      </c>
      <c r="G5586" s="28" t="s">
        <v>143</v>
      </c>
      <c r="H5586" s="28" t="s">
        <v>287</v>
      </c>
      <c r="I5586" s="29" t="n">
        <v>150000</v>
      </c>
      <c r="J5586" s="29" t="n">
        <v>127500</v>
      </c>
      <c r="K5586" s="28" t="n">
        <v>9.75</v>
      </c>
      <c r="L5586" s="28" t="n">
        <v>120</v>
      </c>
      <c r="M5586" s="28" t="n">
        <v>2</v>
      </c>
    </row>
    <row r="5587" customFormat="false" ht="15" hidden="false" customHeight="false" outlineLevel="0" collapsed="false">
      <c r="A5587" s="27" t="n">
        <v>46164</v>
      </c>
      <c r="B5587" s="28" t="n">
        <v>2026</v>
      </c>
      <c r="C5587" s="28" t="s">
        <v>201</v>
      </c>
      <c r="D5587" s="28" t="s">
        <v>48</v>
      </c>
      <c r="E5587" s="28" t="s">
        <v>342</v>
      </c>
      <c r="F5587" s="28" t="s">
        <v>147</v>
      </c>
      <c r="G5587" s="28" t="s">
        <v>441</v>
      </c>
      <c r="H5587" s="28" t="s">
        <v>159</v>
      </c>
      <c r="I5587" s="29" t="n">
        <v>153000</v>
      </c>
      <c r="J5587" s="29" t="n">
        <v>76500</v>
      </c>
      <c r="K5587" s="28" t="n">
        <v>7.75</v>
      </c>
      <c r="L5587" s="28" t="n">
        <v>126</v>
      </c>
      <c r="M5587" s="28" t="n">
        <v>1</v>
      </c>
    </row>
    <row r="5588" customFormat="false" ht="15" hidden="false" customHeight="false" outlineLevel="0" collapsed="false">
      <c r="A5588" s="27" t="n">
        <v>46164</v>
      </c>
      <c r="B5588" s="28" t="n">
        <v>2026</v>
      </c>
      <c r="C5588" s="28" t="s">
        <v>166</v>
      </c>
      <c r="D5588" s="28" t="s">
        <v>42</v>
      </c>
      <c r="E5588" s="28" t="s">
        <v>753</v>
      </c>
      <c r="F5588" s="28" t="s">
        <v>142</v>
      </c>
      <c r="G5588" s="28" t="s">
        <v>143</v>
      </c>
      <c r="H5588" s="28" t="s">
        <v>953</v>
      </c>
      <c r="I5588" s="29" t="n">
        <v>250000</v>
      </c>
      <c r="J5588" s="29" t="n">
        <v>187500</v>
      </c>
      <c r="K5588" s="28" t="n">
        <v>9.75</v>
      </c>
      <c r="L5588" s="28" t="n">
        <v>120</v>
      </c>
      <c r="M5588" s="28" t="n">
        <v>4</v>
      </c>
    </row>
    <row r="5589" customFormat="false" ht="15" hidden="false" customHeight="false" outlineLevel="0" collapsed="false">
      <c r="A5589" s="27" t="n">
        <v>46164</v>
      </c>
      <c r="B5589" s="28" t="n">
        <v>2026</v>
      </c>
      <c r="C5589" s="28" t="s">
        <v>201</v>
      </c>
      <c r="D5589" s="28" t="s">
        <v>48</v>
      </c>
      <c r="E5589" s="28" t="s">
        <v>342</v>
      </c>
      <c r="F5589" s="28" t="s">
        <v>147</v>
      </c>
      <c r="G5589" s="28" t="s">
        <v>441</v>
      </c>
      <c r="H5589" s="28" t="s">
        <v>159</v>
      </c>
      <c r="I5589" s="29" t="n">
        <v>150000</v>
      </c>
      <c r="J5589" s="29" t="n">
        <v>75000</v>
      </c>
      <c r="K5589" s="28" t="n">
        <v>7.75</v>
      </c>
      <c r="L5589" s="28" t="n">
        <v>120</v>
      </c>
      <c r="M5589" s="28" t="n">
        <v>1</v>
      </c>
    </row>
    <row r="5590" customFormat="false" ht="15" hidden="false" customHeight="false" outlineLevel="0" collapsed="false">
      <c r="A5590" s="27" t="n">
        <v>46169</v>
      </c>
      <c r="B5590" s="28" t="n">
        <v>2026</v>
      </c>
      <c r="C5590" s="28" t="s">
        <v>166</v>
      </c>
      <c r="D5590" s="28" t="s">
        <v>44</v>
      </c>
      <c r="E5590" s="28" t="s">
        <v>982</v>
      </c>
      <c r="F5590" s="28" t="s">
        <v>147</v>
      </c>
      <c r="G5590" s="28" t="s">
        <v>148</v>
      </c>
      <c r="H5590" s="28" t="s">
        <v>159</v>
      </c>
      <c r="I5590" s="29" t="n">
        <v>65000</v>
      </c>
      <c r="J5590" s="29" t="n">
        <v>32500</v>
      </c>
      <c r="K5590" s="28" t="n">
        <v>9.75</v>
      </c>
      <c r="L5590" s="28" t="n">
        <v>60</v>
      </c>
      <c r="M5590" s="28" t="n">
        <v>4</v>
      </c>
    </row>
    <row r="5591" customFormat="false" ht="15" hidden="false" customHeight="false" outlineLevel="0" collapsed="false">
      <c r="A5591" s="27" t="n">
        <v>46169</v>
      </c>
      <c r="B5591" s="28" t="n">
        <v>2026</v>
      </c>
      <c r="C5591" s="28" t="s">
        <v>172</v>
      </c>
      <c r="D5591" s="28" t="s">
        <v>43</v>
      </c>
      <c r="E5591" s="28" t="s">
        <v>732</v>
      </c>
      <c r="F5591" s="28" t="s">
        <v>142</v>
      </c>
      <c r="G5591" s="28" t="s">
        <v>148</v>
      </c>
      <c r="H5591" s="28" t="s">
        <v>771</v>
      </c>
      <c r="I5591" s="29" t="n">
        <v>100000</v>
      </c>
      <c r="J5591" s="29" t="n">
        <v>85000</v>
      </c>
      <c r="K5591" s="28" t="n">
        <v>11.5</v>
      </c>
      <c r="L5591" s="28" t="n">
        <v>120</v>
      </c>
      <c r="M5591" s="28" t="n">
        <v>10</v>
      </c>
    </row>
    <row r="5592" customFormat="false" ht="15" hidden="false" customHeight="false" outlineLevel="0" collapsed="false">
      <c r="A5592" s="27" t="n">
        <v>46169</v>
      </c>
      <c r="B5592" s="28" t="n">
        <v>2026</v>
      </c>
      <c r="C5592" s="28" t="s">
        <v>163</v>
      </c>
      <c r="D5592" s="28" t="s">
        <v>45</v>
      </c>
      <c r="E5592" s="28" t="s">
        <v>872</v>
      </c>
      <c r="F5592" s="28" t="s">
        <v>142</v>
      </c>
      <c r="G5592" s="28" t="s">
        <v>148</v>
      </c>
      <c r="H5592" s="28" t="s">
        <v>269</v>
      </c>
      <c r="I5592" s="29" t="n">
        <v>150000</v>
      </c>
      <c r="J5592" s="29" t="n">
        <v>127500</v>
      </c>
      <c r="K5592" s="28" t="n">
        <v>9.5</v>
      </c>
      <c r="L5592" s="28" t="n">
        <v>120</v>
      </c>
      <c r="M5592" s="28" t="n">
        <v>12</v>
      </c>
    </row>
    <row r="5593" customFormat="false" ht="15" hidden="false" customHeight="false" outlineLevel="0" collapsed="false">
      <c r="A5593" s="27" t="n">
        <v>46169</v>
      </c>
      <c r="B5593" s="28" t="n">
        <v>2026</v>
      </c>
      <c r="C5593" s="28" t="s">
        <v>160</v>
      </c>
      <c r="D5593" s="28" t="s">
        <v>43</v>
      </c>
      <c r="E5593" s="28" t="s">
        <v>1042</v>
      </c>
      <c r="F5593" s="28" t="s">
        <v>142</v>
      </c>
      <c r="G5593" s="28" t="s">
        <v>148</v>
      </c>
      <c r="H5593" s="28" t="s">
        <v>771</v>
      </c>
      <c r="I5593" s="29" t="n">
        <v>60000</v>
      </c>
      <c r="J5593" s="29" t="n">
        <v>51000</v>
      </c>
      <c r="K5593" s="28" t="n">
        <v>9.75</v>
      </c>
      <c r="L5593" s="28" t="n">
        <v>120</v>
      </c>
      <c r="M5593" s="28" t="n">
        <v>8</v>
      </c>
    </row>
    <row r="5594" customFormat="false" ht="15" hidden="false" customHeight="false" outlineLevel="0" collapsed="false">
      <c r="A5594" s="27" t="n">
        <v>46170</v>
      </c>
      <c r="B5594" s="28" t="n">
        <v>2026</v>
      </c>
      <c r="C5594" s="28" t="s">
        <v>169</v>
      </c>
      <c r="D5594" s="28" t="s">
        <v>51</v>
      </c>
      <c r="E5594" s="28" t="s">
        <v>779</v>
      </c>
      <c r="F5594" s="28" t="s">
        <v>142</v>
      </c>
      <c r="G5594" s="28" t="s">
        <v>148</v>
      </c>
      <c r="H5594" s="28" t="s">
        <v>144</v>
      </c>
      <c r="I5594" s="29" t="n">
        <v>250000</v>
      </c>
      <c r="J5594" s="29" t="n">
        <v>187500</v>
      </c>
      <c r="K5594" s="28" t="n">
        <v>9.24</v>
      </c>
      <c r="L5594" s="28" t="n">
        <v>120</v>
      </c>
      <c r="M5594" s="28" t="n">
        <v>13</v>
      </c>
    </row>
    <row r="5595" customFormat="false" ht="15" hidden="false" customHeight="false" outlineLevel="0" collapsed="false">
      <c r="A5595" s="27" t="n">
        <v>46170</v>
      </c>
      <c r="B5595" s="28" t="n">
        <v>2026</v>
      </c>
      <c r="C5595" s="28" t="s">
        <v>160</v>
      </c>
      <c r="D5595" s="28" t="s">
        <v>44</v>
      </c>
      <c r="E5595" s="28" t="s">
        <v>751</v>
      </c>
      <c r="F5595" s="28" t="s">
        <v>147</v>
      </c>
      <c r="G5595" s="28" t="s">
        <v>143</v>
      </c>
      <c r="H5595" s="28" t="s">
        <v>953</v>
      </c>
      <c r="I5595" s="29" t="n">
        <v>25000</v>
      </c>
      <c r="J5595" s="29" t="n">
        <v>12500</v>
      </c>
      <c r="K5595" s="28" t="n">
        <v>13.25</v>
      </c>
      <c r="L5595" s="28" t="n">
        <v>120</v>
      </c>
      <c r="M5595" s="28" t="n">
        <v>6</v>
      </c>
    </row>
    <row r="5596" customFormat="false" ht="15" hidden="false" customHeight="false" outlineLevel="0" collapsed="false">
      <c r="A5596" s="27" t="n">
        <v>46170</v>
      </c>
      <c r="B5596" s="28" t="n">
        <v>2026</v>
      </c>
      <c r="C5596" s="28" t="s">
        <v>172</v>
      </c>
      <c r="D5596" s="28" t="s">
        <v>48</v>
      </c>
      <c r="E5596" s="28" t="s">
        <v>277</v>
      </c>
      <c r="F5596" s="28" t="s">
        <v>142</v>
      </c>
      <c r="G5596" s="28" t="s">
        <v>148</v>
      </c>
      <c r="H5596" s="28" t="s">
        <v>162</v>
      </c>
      <c r="I5596" s="29" t="n">
        <v>662600</v>
      </c>
      <c r="J5596" s="29" t="n">
        <v>496950</v>
      </c>
      <c r="K5596" s="28" t="n">
        <v>5.66</v>
      </c>
      <c r="L5596" s="28" t="n">
        <v>120</v>
      </c>
      <c r="M5596" s="28" t="n">
        <v>1</v>
      </c>
    </row>
    <row r="5597" customFormat="false" ht="15" hidden="false" customHeight="false" outlineLevel="0" collapsed="false">
      <c r="A5597" s="27" t="n">
        <v>46170</v>
      </c>
      <c r="B5597" s="28" t="n">
        <v>2026</v>
      </c>
      <c r="C5597" s="28" t="s">
        <v>1140</v>
      </c>
      <c r="D5597" s="28" t="s">
        <v>57</v>
      </c>
      <c r="E5597" s="28" t="s">
        <v>1172</v>
      </c>
      <c r="F5597" s="28" t="s">
        <v>147</v>
      </c>
      <c r="G5597" s="28" t="s">
        <v>148</v>
      </c>
      <c r="H5597" s="28" t="s">
        <v>159</v>
      </c>
      <c r="I5597" s="29" t="n">
        <v>95000</v>
      </c>
      <c r="J5597" s="29" t="n">
        <v>47500</v>
      </c>
      <c r="K5597" s="28" t="n">
        <v>11.25</v>
      </c>
      <c r="L5597" s="28" t="n">
        <v>60</v>
      </c>
      <c r="M5597" s="28" t="n">
        <v>2</v>
      </c>
    </row>
    <row r="5598" customFormat="false" ht="15" hidden="false" customHeight="false" outlineLevel="0" collapsed="false">
      <c r="A5598" s="27" t="n">
        <v>46171</v>
      </c>
      <c r="B5598" s="28" t="n">
        <v>2026</v>
      </c>
      <c r="C5598" s="28" t="s">
        <v>203</v>
      </c>
      <c r="D5598" s="28" t="s">
        <v>44</v>
      </c>
      <c r="E5598" s="28" t="s">
        <v>167</v>
      </c>
      <c r="F5598" s="28" t="s">
        <v>147</v>
      </c>
      <c r="G5598" s="28" t="s">
        <v>143</v>
      </c>
      <c r="H5598" s="28" t="s">
        <v>159</v>
      </c>
      <c r="I5598" s="29" t="n">
        <v>75000</v>
      </c>
      <c r="J5598" s="29" t="n">
        <v>37500</v>
      </c>
      <c r="K5598" s="28" t="n">
        <v>8.99</v>
      </c>
      <c r="L5598" s="28" t="n">
        <v>60</v>
      </c>
      <c r="M5598" s="28" t="n">
        <v>6</v>
      </c>
    </row>
    <row r="5599" customFormat="false" ht="15" hidden="false" customHeight="false" outlineLevel="0" collapsed="false">
      <c r="A5599" s="27" t="n">
        <v>46171</v>
      </c>
      <c r="B5599" s="28" t="n">
        <v>2026</v>
      </c>
      <c r="C5599" s="28" t="s">
        <v>203</v>
      </c>
      <c r="D5599" s="28" t="s">
        <v>44</v>
      </c>
      <c r="E5599" s="28" t="s">
        <v>167</v>
      </c>
      <c r="F5599" s="28" t="s">
        <v>147</v>
      </c>
      <c r="G5599" s="28" t="s">
        <v>143</v>
      </c>
      <c r="H5599" s="28" t="s">
        <v>159</v>
      </c>
      <c r="I5599" s="29" t="n">
        <v>25000</v>
      </c>
      <c r="J5599" s="29" t="n">
        <v>12500</v>
      </c>
      <c r="K5599" s="28" t="n">
        <v>13.25</v>
      </c>
      <c r="L5599" s="28" t="n">
        <v>120</v>
      </c>
      <c r="M5599" s="28" t="n">
        <v>6</v>
      </c>
    </row>
    <row r="5600" customFormat="false" ht="15" hidden="false" customHeight="false" outlineLevel="0" collapsed="false">
      <c r="A5600" s="27" t="n">
        <v>46174</v>
      </c>
      <c r="B5600" s="28" t="n">
        <v>2026</v>
      </c>
      <c r="C5600" s="28" t="s">
        <v>172</v>
      </c>
      <c r="D5600" s="28" t="s">
        <v>48</v>
      </c>
      <c r="E5600" s="28" t="s">
        <v>210</v>
      </c>
      <c r="F5600" s="28" t="s">
        <v>142</v>
      </c>
      <c r="G5600" s="28" t="s">
        <v>152</v>
      </c>
      <c r="H5600" s="28" t="s">
        <v>211</v>
      </c>
      <c r="I5600" s="29" t="n">
        <v>1067400</v>
      </c>
      <c r="J5600" s="29" t="n">
        <v>800550</v>
      </c>
      <c r="K5600" s="28" t="n">
        <v>8.75</v>
      </c>
      <c r="L5600" s="28" t="n">
        <v>120</v>
      </c>
      <c r="M5600" s="28" t="n">
        <v>7</v>
      </c>
    </row>
    <row r="5601" customFormat="false" ht="15" hidden="false" customHeight="false" outlineLevel="0" collapsed="false">
      <c r="A5601" s="27" t="n">
        <v>46174</v>
      </c>
      <c r="B5601" s="28" t="n">
        <v>2026</v>
      </c>
      <c r="C5601" s="28" t="s">
        <v>172</v>
      </c>
      <c r="D5601" s="28" t="s">
        <v>48</v>
      </c>
      <c r="E5601" s="28" t="s">
        <v>210</v>
      </c>
      <c r="F5601" s="28" t="s">
        <v>147</v>
      </c>
      <c r="G5601" s="28" t="s">
        <v>152</v>
      </c>
      <c r="H5601" s="28" t="s">
        <v>211</v>
      </c>
      <c r="I5601" s="29" t="n">
        <v>50000</v>
      </c>
      <c r="J5601" s="29" t="n">
        <v>25000</v>
      </c>
      <c r="K5601" s="28" t="n">
        <v>8.75</v>
      </c>
      <c r="L5601" s="28" t="n">
        <v>120</v>
      </c>
      <c r="M5601" s="28" t="n">
        <v>7</v>
      </c>
    </row>
    <row r="5602" customFormat="false" ht="15" hidden="false" customHeight="false" outlineLevel="0" collapsed="false">
      <c r="A5602" s="27" t="n">
        <v>46175</v>
      </c>
      <c r="B5602" s="28" t="n">
        <v>2026</v>
      </c>
      <c r="C5602" s="28" t="s">
        <v>172</v>
      </c>
      <c r="D5602" s="28" t="s">
        <v>44</v>
      </c>
      <c r="E5602" s="28" t="s">
        <v>783</v>
      </c>
      <c r="F5602" s="28" t="s">
        <v>147</v>
      </c>
      <c r="G5602" s="28" t="s">
        <v>143</v>
      </c>
      <c r="H5602" s="28" t="s">
        <v>159</v>
      </c>
      <c r="I5602" s="29" t="n">
        <v>50000</v>
      </c>
      <c r="J5602" s="29" t="n">
        <v>25000</v>
      </c>
      <c r="K5602" s="28" t="n">
        <v>10.25</v>
      </c>
      <c r="L5602" s="28" t="n">
        <v>120</v>
      </c>
      <c r="M5602" s="28" t="n">
        <v>2</v>
      </c>
    </row>
    <row r="5603" customFormat="false" ht="15" hidden="false" customHeight="false" outlineLevel="0" collapsed="false">
      <c r="A5603" s="27" t="n">
        <v>46175</v>
      </c>
      <c r="B5603" s="28" t="n">
        <v>2026</v>
      </c>
      <c r="C5603" s="28" t="s">
        <v>140</v>
      </c>
      <c r="D5603" s="28" t="s">
        <v>50</v>
      </c>
      <c r="E5603" s="28" t="s">
        <v>389</v>
      </c>
      <c r="F5603" s="28" t="s">
        <v>147</v>
      </c>
      <c r="G5603" s="28" t="s">
        <v>143</v>
      </c>
      <c r="H5603" s="28" t="s">
        <v>1070</v>
      </c>
      <c r="I5603" s="29" t="n">
        <v>200000</v>
      </c>
      <c r="J5603" s="29" t="n">
        <v>100000</v>
      </c>
      <c r="K5603" s="28" t="n">
        <v>8.25</v>
      </c>
      <c r="L5603" s="28" t="n">
        <v>120</v>
      </c>
      <c r="M5603" s="28" t="n">
        <v>2</v>
      </c>
    </row>
    <row r="5604" customFormat="false" ht="15" hidden="false" customHeight="false" outlineLevel="0" collapsed="false">
      <c r="A5604" s="27" t="n">
        <v>46175</v>
      </c>
      <c r="B5604" s="28" t="n">
        <v>2026</v>
      </c>
      <c r="C5604" s="28" t="s">
        <v>349</v>
      </c>
      <c r="D5604" s="28" t="s">
        <v>42</v>
      </c>
      <c r="E5604" s="28" t="s">
        <v>705</v>
      </c>
      <c r="F5604" s="28" t="s">
        <v>142</v>
      </c>
      <c r="G5604" s="28" t="s">
        <v>152</v>
      </c>
      <c r="H5604" s="28" t="s">
        <v>1156</v>
      </c>
      <c r="I5604" s="29" t="n">
        <v>3000000</v>
      </c>
      <c r="J5604" s="29" t="n">
        <v>2250000</v>
      </c>
      <c r="K5604" s="28" t="n">
        <v>8</v>
      </c>
      <c r="L5604" s="28" t="n">
        <v>300</v>
      </c>
      <c r="M5604" s="28" t="n">
        <v>9</v>
      </c>
    </row>
    <row r="5605" customFormat="false" ht="15" hidden="false" customHeight="false" outlineLevel="0" collapsed="false">
      <c r="A5605" s="27" t="n">
        <v>46175</v>
      </c>
      <c r="B5605" s="28" t="n">
        <v>2026</v>
      </c>
      <c r="C5605" s="28" t="s">
        <v>172</v>
      </c>
      <c r="D5605" s="28" t="s">
        <v>48</v>
      </c>
      <c r="E5605" s="28" t="s">
        <v>925</v>
      </c>
      <c r="F5605" s="28" t="s">
        <v>194</v>
      </c>
      <c r="G5605" s="28" t="s">
        <v>152</v>
      </c>
      <c r="H5605" s="28" t="s">
        <v>1193</v>
      </c>
      <c r="I5605" s="29" t="n">
        <v>1000000</v>
      </c>
      <c r="J5605" s="29" t="n">
        <v>750000</v>
      </c>
      <c r="K5605" s="28" t="n">
        <v>8.75</v>
      </c>
      <c r="L5605" s="28" t="n">
        <v>120</v>
      </c>
      <c r="M5605" s="28" t="n">
        <v>8</v>
      </c>
    </row>
    <row r="5606" customFormat="false" ht="15" hidden="false" customHeight="false" outlineLevel="0" collapsed="false">
      <c r="A5606" s="27" t="n">
        <v>46175</v>
      </c>
      <c r="B5606" s="28" t="n">
        <v>2026</v>
      </c>
      <c r="C5606" s="28" t="s">
        <v>603</v>
      </c>
      <c r="D5606" s="28" t="s">
        <v>51</v>
      </c>
      <c r="E5606" s="28" t="s">
        <v>779</v>
      </c>
      <c r="F5606" s="28" t="s">
        <v>142</v>
      </c>
      <c r="G5606" s="28" t="s">
        <v>148</v>
      </c>
      <c r="H5606" s="28" t="s">
        <v>281</v>
      </c>
      <c r="I5606" s="29" t="n">
        <v>575000</v>
      </c>
      <c r="J5606" s="29" t="n">
        <v>431250</v>
      </c>
      <c r="K5606" s="28" t="n">
        <v>9.25</v>
      </c>
      <c r="L5606" s="28" t="n">
        <v>300</v>
      </c>
      <c r="M5606" s="28" t="n">
        <v>0</v>
      </c>
    </row>
    <row r="5607" customFormat="false" ht="15" hidden="false" customHeight="false" outlineLevel="0" collapsed="false">
      <c r="A5607" s="27" t="n">
        <v>46175</v>
      </c>
      <c r="B5607" s="28" t="n">
        <v>2026</v>
      </c>
      <c r="C5607" s="28" t="s">
        <v>160</v>
      </c>
      <c r="D5607" s="28" t="s">
        <v>44</v>
      </c>
      <c r="E5607" s="28" t="s">
        <v>920</v>
      </c>
      <c r="F5607" s="28" t="s">
        <v>142</v>
      </c>
      <c r="G5607" s="28" t="s">
        <v>143</v>
      </c>
      <c r="H5607" s="28" t="s">
        <v>144</v>
      </c>
      <c r="I5607" s="29" t="n">
        <v>250000</v>
      </c>
      <c r="J5607" s="29" t="n">
        <v>187500</v>
      </c>
      <c r="K5607" s="28" t="n">
        <v>9.5</v>
      </c>
      <c r="L5607" s="28" t="n">
        <v>120</v>
      </c>
      <c r="M5607" s="28" t="n">
        <v>2</v>
      </c>
    </row>
    <row r="5608" customFormat="false" ht="15" hidden="false" customHeight="false" outlineLevel="0" collapsed="false">
      <c r="A5608" s="27" t="n">
        <v>46175</v>
      </c>
      <c r="B5608" s="28" t="n">
        <v>2026</v>
      </c>
      <c r="C5608" s="28" t="s">
        <v>379</v>
      </c>
      <c r="D5608" s="28" t="s">
        <v>42</v>
      </c>
      <c r="E5608" s="28" t="s">
        <v>717</v>
      </c>
      <c r="F5608" s="28" t="s">
        <v>147</v>
      </c>
      <c r="G5608" s="28" t="s">
        <v>148</v>
      </c>
      <c r="H5608" s="28" t="s">
        <v>404</v>
      </c>
      <c r="I5608" s="29" t="n">
        <v>400000</v>
      </c>
      <c r="J5608" s="29" t="n">
        <v>200000</v>
      </c>
      <c r="K5608" s="28" t="n">
        <v>9.75</v>
      </c>
      <c r="L5608" s="28" t="n">
        <v>119</v>
      </c>
      <c r="M5608" s="28" t="n">
        <v>40</v>
      </c>
    </row>
    <row r="5609" customFormat="false" ht="15" hidden="false" customHeight="false" outlineLevel="0" collapsed="false">
      <c r="A5609" s="27" t="n">
        <v>46175</v>
      </c>
      <c r="B5609" s="28" t="n">
        <v>2026</v>
      </c>
      <c r="C5609" s="28" t="s">
        <v>145</v>
      </c>
      <c r="D5609" s="28" t="s">
        <v>43</v>
      </c>
      <c r="E5609" s="28" t="s">
        <v>788</v>
      </c>
      <c r="F5609" s="28" t="s">
        <v>142</v>
      </c>
      <c r="G5609" s="28" t="s">
        <v>148</v>
      </c>
      <c r="H5609" s="28" t="s">
        <v>579</v>
      </c>
      <c r="I5609" s="29" t="n">
        <v>106000</v>
      </c>
      <c r="J5609" s="29" t="n">
        <v>90100</v>
      </c>
      <c r="K5609" s="28" t="n">
        <v>10.5</v>
      </c>
      <c r="L5609" s="28" t="n">
        <v>120</v>
      </c>
      <c r="M5609" s="28" t="n">
        <v>3</v>
      </c>
    </row>
    <row r="5610" customFormat="false" ht="15" hidden="false" customHeight="false" outlineLevel="0" collapsed="false">
      <c r="A5610" s="27" t="n">
        <v>46175</v>
      </c>
      <c r="B5610" s="28" t="n">
        <v>2026</v>
      </c>
      <c r="C5610" s="28" t="s">
        <v>145</v>
      </c>
      <c r="D5610" s="28" t="s">
        <v>48</v>
      </c>
      <c r="E5610" s="28" t="s">
        <v>736</v>
      </c>
      <c r="F5610" s="28" t="s">
        <v>147</v>
      </c>
      <c r="G5610" s="28" t="s">
        <v>148</v>
      </c>
      <c r="H5610" s="28" t="s">
        <v>428</v>
      </c>
      <c r="I5610" s="29" t="n">
        <v>300000</v>
      </c>
      <c r="J5610" s="29" t="n">
        <v>150000</v>
      </c>
      <c r="K5610" s="28" t="n">
        <v>8.8</v>
      </c>
      <c r="L5610" s="28" t="n">
        <v>120</v>
      </c>
      <c r="M5610" s="28" t="n">
        <v>0</v>
      </c>
    </row>
    <row r="5611" customFormat="false" ht="15" hidden="false" customHeight="false" outlineLevel="0" collapsed="false">
      <c r="A5611" s="27" t="n">
        <v>46175</v>
      </c>
      <c r="B5611" s="28" t="n">
        <v>2026</v>
      </c>
      <c r="C5611" s="28" t="s">
        <v>172</v>
      </c>
      <c r="D5611" s="28" t="s">
        <v>53</v>
      </c>
      <c r="E5611" s="28" t="s">
        <v>868</v>
      </c>
      <c r="F5611" s="28" t="s">
        <v>147</v>
      </c>
      <c r="G5611" s="28" t="s">
        <v>143</v>
      </c>
      <c r="H5611" s="28" t="s">
        <v>159</v>
      </c>
      <c r="I5611" s="29" t="n">
        <v>349200</v>
      </c>
      <c r="J5611" s="29" t="n">
        <v>174600</v>
      </c>
      <c r="K5611" s="28" t="n">
        <v>9.75</v>
      </c>
      <c r="L5611" s="28" t="n">
        <v>300</v>
      </c>
      <c r="M5611" s="28" t="n">
        <v>2</v>
      </c>
    </row>
    <row r="5612" customFormat="false" ht="15" hidden="false" customHeight="false" outlineLevel="0" collapsed="false">
      <c r="A5612" s="27" t="n">
        <v>46175</v>
      </c>
      <c r="B5612" s="28" t="n">
        <v>2026</v>
      </c>
      <c r="C5612" s="28" t="s">
        <v>310</v>
      </c>
      <c r="D5612" s="28" t="s">
        <v>47</v>
      </c>
      <c r="E5612" s="28" t="s">
        <v>327</v>
      </c>
      <c r="F5612" s="28" t="s">
        <v>142</v>
      </c>
      <c r="G5612" s="28" t="s">
        <v>148</v>
      </c>
      <c r="H5612" s="28" t="s">
        <v>469</v>
      </c>
      <c r="I5612" s="29" t="n">
        <v>502400</v>
      </c>
      <c r="J5612" s="29" t="n">
        <v>376800</v>
      </c>
      <c r="K5612" s="28" t="n">
        <v>5.99</v>
      </c>
      <c r="L5612" s="28" t="n">
        <v>119</v>
      </c>
      <c r="M5612" s="28" t="n">
        <v>2</v>
      </c>
    </row>
    <row r="5613" customFormat="false" ht="15" hidden="false" customHeight="false" outlineLevel="0" collapsed="false">
      <c r="A5613" s="27" t="n">
        <v>46176</v>
      </c>
      <c r="B5613" s="28" t="n">
        <v>2026</v>
      </c>
      <c r="C5613" s="28" t="s">
        <v>238</v>
      </c>
      <c r="D5613" s="28" t="s">
        <v>50</v>
      </c>
      <c r="E5613" s="28" t="s">
        <v>193</v>
      </c>
      <c r="F5613" s="28" t="s">
        <v>142</v>
      </c>
      <c r="G5613" s="28" t="s">
        <v>143</v>
      </c>
      <c r="H5613" s="28" t="s">
        <v>291</v>
      </c>
      <c r="I5613" s="29" t="n">
        <v>625000</v>
      </c>
      <c r="J5613" s="29" t="n">
        <v>468750</v>
      </c>
      <c r="K5613" s="28" t="n">
        <v>9.25</v>
      </c>
      <c r="L5613" s="28" t="n">
        <v>120</v>
      </c>
      <c r="M5613" s="28" t="n">
        <v>2</v>
      </c>
    </row>
    <row r="5614" customFormat="false" ht="15" hidden="false" customHeight="false" outlineLevel="0" collapsed="false">
      <c r="A5614" s="27" t="n">
        <v>46176</v>
      </c>
      <c r="B5614" s="28" t="n">
        <v>2026</v>
      </c>
      <c r="C5614" s="28" t="s">
        <v>172</v>
      </c>
      <c r="D5614" s="28" t="s">
        <v>44</v>
      </c>
      <c r="E5614" s="28" t="s">
        <v>783</v>
      </c>
      <c r="F5614" s="28" t="s">
        <v>147</v>
      </c>
      <c r="G5614" s="28" t="s">
        <v>143</v>
      </c>
      <c r="H5614" s="28" t="s">
        <v>159</v>
      </c>
      <c r="I5614" s="29" t="n">
        <v>25000</v>
      </c>
      <c r="J5614" s="29" t="n">
        <v>12500</v>
      </c>
      <c r="K5614" s="28" t="n">
        <v>10.25</v>
      </c>
      <c r="L5614" s="28" t="n">
        <v>120</v>
      </c>
      <c r="M5614" s="28" t="n">
        <v>2</v>
      </c>
    </row>
    <row r="5615" customFormat="false" ht="15" hidden="false" customHeight="false" outlineLevel="0" collapsed="false">
      <c r="A5615" s="27" t="n">
        <v>46176</v>
      </c>
      <c r="B5615" s="28" t="n">
        <v>2026</v>
      </c>
      <c r="C5615" s="28" t="s">
        <v>169</v>
      </c>
      <c r="D5615" s="28" t="s">
        <v>43</v>
      </c>
      <c r="E5615" s="28" t="s">
        <v>858</v>
      </c>
      <c r="F5615" s="28" t="s">
        <v>142</v>
      </c>
      <c r="G5615" s="28" t="s">
        <v>143</v>
      </c>
      <c r="H5615" s="28" t="s">
        <v>144</v>
      </c>
      <c r="I5615" s="29" t="n">
        <v>250000</v>
      </c>
      <c r="J5615" s="29" t="n">
        <v>187500</v>
      </c>
      <c r="K5615" s="28" t="n">
        <v>10.24</v>
      </c>
      <c r="L5615" s="28" t="n">
        <v>120</v>
      </c>
      <c r="M5615" s="28" t="n">
        <v>7</v>
      </c>
    </row>
    <row r="5616" customFormat="false" ht="15" hidden="false" customHeight="false" outlineLevel="0" collapsed="false">
      <c r="A5616" s="27" t="n">
        <v>46178</v>
      </c>
      <c r="B5616" s="28" t="n">
        <v>2026</v>
      </c>
      <c r="C5616" s="28" t="s">
        <v>169</v>
      </c>
      <c r="D5616" s="28" t="s">
        <v>42</v>
      </c>
      <c r="E5616" s="28" t="s">
        <v>753</v>
      </c>
      <c r="F5616" s="28" t="s">
        <v>142</v>
      </c>
      <c r="G5616" s="28" t="s">
        <v>143</v>
      </c>
      <c r="H5616" s="28" t="s">
        <v>159</v>
      </c>
      <c r="I5616" s="29" t="n">
        <v>750000</v>
      </c>
      <c r="J5616" s="29" t="n">
        <v>562500</v>
      </c>
      <c r="K5616" s="28" t="n">
        <v>8.5</v>
      </c>
      <c r="L5616" s="28" t="n">
        <v>120</v>
      </c>
      <c r="M5616" s="28" t="n">
        <v>12</v>
      </c>
    </row>
    <row r="5617" customFormat="false" ht="15" hidden="false" customHeight="false" outlineLevel="0" collapsed="false">
      <c r="A5617" s="27" t="n">
        <v>46178</v>
      </c>
      <c r="B5617" s="28" t="n">
        <v>2026</v>
      </c>
      <c r="C5617" s="28" t="s">
        <v>203</v>
      </c>
      <c r="D5617" s="28" t="s">
        <v>45</v>
      </c>
      <c r="E5617" s="28" t="s">
        <v>480</v>
      </c>
      <c r="F5617" s="28" t="s">
        <v>142</v>
      </c>
      <c r="G5617" s="28" t="s">
        <v>148</v>
      </c>
      <c r="H5617" s="28" t="s">
        <v>953</v>
      </c>
      <c r="I5617" s="29" t="n">
        <v>100000</v>
      </c>
      <c r="J5617" s="29" t="n">
        <v>85000</v>
      </c>
      <c r="K5617" s="28" t="n">
        <v>9.75</v>
      </c>
      <c r="L5617" s="28" t="n">
        <v>120</v>
      </c>
      <c r="M5617" s="28" t="n">
        <v>8</v>
      </c>
    </row>
    <row r="5618" customFormat="false" ht="15" hidden="false" customHeight="false" outlineLevel="0" collapsed="false">
      <c r="A5618" s="27" t="n">
        <v>46178</v>
      </c>
      <c r="B5618" s="28" t="n">
        <v>2026</v>
      </c>
      <c r="C5618" s="28" t="s">
        <v>213</v>
      </c>
      <c r="D5618" s="28" t="s">
        <v>52</v>
      </c>
      <c r="E5618" s="28" t="s">
        <v>250</v>
      </c>
      <c r="F5618" s="28" t="s">
        <v>142</v>
      </c>
      <c r="G5618" s="28" t="s">
        <v>148</v>
      </c>
      <c r="H5618" s="28" t="s">
        <v>469</v>
      </c>
      <c r="I5618" s="29" t="n">
        <v>238100</v>
      </c>
      <c r="J5618" s="29" t="n">
        <v>178575</v>
      </c>
      <c r="K5618" s="28" t="n">
        <v>6.125</v>
      </c>
      <c r="L5618" s="28" t="n">
        <v>95</v>
      </c>
      <c r="M5618" s="28" t="n">
        <v>0</v>
      </c>
    </row>
    <row r="5619" customFormat="false" ht="15" hidden="false" customHeight="false" outlineLevel="0" collapsed="false">
      <c r="A5619" s="27" t="n">
        <v>46178</v>
      </c>
      <c r="B5619" s="28" t="n">
        <v>2026</v>
      </c>
      <c r="C5619" s="28" t="s">
        <v>213</v>
      </c>
      <c r="D5619" s="28" t="s">
        <v>44</v>
      </c>
      <c r="E5619" s="28" t="s">
        <v>755</v>
      </c>
      <c r="F5619" s="28" t="s">
        <v>142</v>
      </c>
      <c r="G5619" s="28" t="s">
        <v>148</v>
      </c>
      <c r="H5619" s="28" t="s">
        <v>144</v>
      </c>
      <c r="I5619" s="29" t="n">
        <v>2200000</v>
      </c>
      <c r="J5619" s="29" t="n">
        <v>1650000</v>
      </c>
      <c r="K5619" s="28" t="n">
        <v>8.75</v>
      </c>
      <c r="L5619" s="28" t="n">
        <v>120</v>
      </c>
      <c r="M5619" s="28" t="n">
        <v>37</v>
      </c>
    </row>
    <row r="5620" customFormat="false" ht="15" hidden="false" customHeight="false" outlineLevel="0" collapsed="false">
      <c r="A5620" s="27" t="n">
        <v>46178</v>
      </c>
      <c r="B5620" s="28" t="n">
        <v>2026</v>
      </c>
      <c r="C5620" s="28" t="s">
        <v>160</v>
      </c>
      <c r="D5620" s="28" t="s">
        <v>47</v>
      </c>
      <c r="E5620" s="28" t="s">
        <v>1194</v>
      </c>
      <c r="F5620" s="28" t="s">
        <v>147</v>
      </c>
      <c r="G5620" s="28" t="s">
        <v>152</v>
      </c>
      <c r="H5620" s="28" t="s">
        <v>469</v>
      </c>
      <c r="I5620" s="29" t="n">
        <v>100000</v>
      </c>
      <c r="J5620" s="29" t="n">
        <v>50000</v>
      </c>
      <c r="K5620" s="28" t="n">
        <v>7.25</v>
      </c>
      <c r="L5620" s="28" t="n">
        <v>120</v>
      </c>
      <c r="M5620" s="28" t="n">
        <v>5</v>
      </c>
    </row>
    <row r="5621" customFormat="false" ht="15" hidden="false" customHeight="false" outlineLevel="0" collapsed="false">
      <c r="A5621" s="27" t="n">
        <v>46178</v>
      </c>
      <c r="B5621" s="28" t="n">
        <v>2026</v>
      </c>
      <c r="C5621" s="28" t="s">
        <v>160</v>
      </c>
      <c r="D5621" s="28" t="s">
        <v>47</v>
      </c>
      <c r="E5621" s="28" t="s">
        <v>1194</v>
      </c>
      <c r="F5621" s="28" t="s">
        <v>142</v>
      </c>
      <c r="G5621" s="28" t="s">
        <v>152</v>
      </c>
      <c r="H5621" s="28" t="s">
        <v>469</v>
      </c>
      <c r="I5621" s="29" t="n">
        <v>680600</v>
      </c>
      <c r="J5621" s="29" t="n">
        <v>510450</v>
      </c>
      <c r="K5621" s="28" t="n">
        <v>7.25</v>
      </c>
      <c r="L5621" s="28" t="n">
        <v>120</v>
      </c>
      <c r="M5621" s="28" t="n">
        <v>5</v>
      </c>
    </row>
    <row r="5622" customFormat="false" ht="15" hidden="false" customHeight="false" outlineLevel="0" collapsed="false">
      <c r="A5622" s="27" t="n">
        <v>46181</v>
      </c>
      <c r="B5622" s="28" t="n">
        <v>2026</v>
      </c>
      <c r="C5622" s="28" t="s">
        <v>332</v>
      </c>
      <c r="D5622" s="28" t="s">
        <v>50</v>
      </c>
      <c r="E5622" s="28" t="s">
        <v>193</v>
      </c>
      <c r="F5622" s="28" t="s">
        <v>142</v>
      </c>
      <c r="G5622" s="28" t="s">
        <v>148</v>
      </c>
      <c r="H5622" s="28" t="s">
        <v>1150</v>
      </c>
      <c r="I5622" s="29" t="n">
        <v>150000</v>
      </c>
      <c r="J5622" s="29" t="n">
        <v>127500</v>
      </c>
      <c r="K5622" s="28" t="n">
        <v>11.5</v>
      </c>
      <c r="L5622" s="28" t="n">
        <v>120</v>
      </c>
      <c r="M5622" s="28" t="n">
        <v>0</v>
      </c>
    </row>
    <row r="5623" customFormat="false" ht="15" hidden="false" customHeight="false" outlineLevel="0" collapsed="false">
      <c r="A5623" s="27" t="n">
        <v>46181</v>
      </c>
      <c r="B5623" s="28" t="n">
        <v>2026</v>
      </c>
      <c r="C5623" s="28" t="s">
        <v>172</v>
      </c>
      <c r="D5623" s="28" t="s">
        <v>51</v>
      </c>
      <c r="E5623" s="28" t="s">
        <v>800</v>
      </c>
      <c r="F5623" s="28" t="s">
        <v>142</v>
      </c>
      <c r="G5623" s="28" t="s">
        <v>143</v>
      </c>
      <c r="H5623" s="28" t="s">
        <v>633</v>
      </c>
      <c r="I5623" s="29" t="n">
        <v>921000</v>
      </c>
      <c r="J5623" s="29" t="n">
        <v>690750</v>
      </c>
      <c r="K5623" s="28" t="n">
        <v>9.25</v>
      </c>
      <c r="L5623" s="28" t="n">
        <v>126</v>
      </c>
      <c r="M5623" s="28" t="n">
        <v>2</v>
      </c>
    </row>
    <row r="5624" customFormat="false" ht="15" hidden="false" customHeight="false" outlineLevel="0" collapsed="false">
      <c r="A5624" s="27" t="n">
        <v>46181</v>
      </c>
      <c r="B5624" s="28" t="n">
        <v>2026</v>
      </c>
      <c r="C5624" s="28" t="s">
        <v>166</v>
      </c>
      <c r="D5624" s="28" t="s">
        <v>48</v>
      </c>
      <c r="E5624" s="28" t="s">
        <v>840</v>
      </c>
      <c r="F5624" s="28" t="s">
        <v>142</v>
      </c>
      <c r="G5624" s="28" t="s">
        <v>148</v>
      </c>
      <c r="H5624" s="28" t="s">
        <v>1150</v>
      </c>
      <c r="I5624" s="29" t="n">
        <v>180000</v>
      </c>
      <c r="J5624" s="29" t="n">
        <v>135000</v>
      </c>
      <c r="K5624" s="28" t="n">
        <v>9.75</v>
      </c>
      <c r="L5624" s="28" t="n">
        <v>120</v>
      </c>
      <c r="M5624" s="28" t="n">
        <v>1</v>
      </c>
    </row>
    <row r="5625" customFormat="false" ht="15" hidden="false" customHeight="false" outlineLevel="0" collapsed="false">
      <c r="A5625" s="27" t="n">
        <v>46182</v>
      </c>
      <c r="B5625" s="28" t="n">
        <v>2026</v>
      </c>
      <c r="C5625" s="28" t="s">
        <v>160</v>
      </c>
      <c r="D5625" s="28" t="s">
        <v>43</v>
      </c>
      <c r="E5625" s="28" t="s">
        <v>789</v>
      </c>
      <c r="F5625" s="28" t="s">
        <v>147</v>
      </c>
      <c r="G5625" s="28" t="s">
        <v>441</v>
      </c>
      <c r="H5625" s="28" t="s">
        <v>159</v>
      </c>
      <c r="I5625" s="29" t="n">
        <v>25000</v>
      </c>
      <c r="J5625" s="29" t="n">
        <v>12500</v>
      </c>
      <c r="K5625" s="28" t="n">
        <v>13.25</v>
      </c>
      <c r="L5625" s="28" t="n">
        <v>120</v>
      </c>
      <c r="M5625" s="28" t="n">
        <v>0</v>
      </c>
    </row>
    <row r="5626" customFormat="false" ht="15" hidden="false" customHeight="false" outlineLevel="0" collapsed="false">
      <c r="A5626" s="27" t="n">
        <v>46182</v>
      </c>
      <c r="B5626" s="28" t="n">
        <v>2026</v>
      </c>
      <c r="C5626" s="28" t="s">
        <v>163</v>
      </c>
      <c r="D5626" s="28" t="s">
        <v>42</v>
      </c>
      <c r="E5626" s="28" t="s">
        <v>717</v>
      </c>
      <c r="F5626" s="28" t="s">
        <v>142</v>
      </c>
      <c r="G5626" s="28" t="s">
        <v>148</v>
      </c>
      <c r="H5626" s="28" t="s">
        <v>771</v>
      </c>
      <c r="I5626" s="29" t="n">
        <v>50000</v>
      </c>
      <c r="J5626" s="29" t="n">
        <v>42500</v>
      </c>
      <c r="K5626" s="28" t="n">
        <v>9.75</v>
      </c>
      <c r="L5626" s="28" t="n">
        <v>120</v>
      </c>
      <c r="M5626" s="28" t="n">
        <v>0</v>
      </c>
    </row>
    <row r="5627" customFormat="false" ht="15" hidden="false" customHeight="false" outlineLevel="0" collapsed="false">
      <c r="A5627" s="27" t="n">
        <v>46182</v>
      </c>
      <c r="B5627" s="28" t="n">
        <v>2026</v>
      </c>
      <c r="C5627" s="28" t="s">
        <v>160</v>
      </c>
      <c r="D5627" s="28" t="s">
        <v>43</v>
      </c>
      <c r="E5627" s="28" t="s">
        <v>789</v>
      </c>
      <c r="F5627" s="28" t="s">
        <v>147</v>
      </c>
      <c r="G5627" s="28" t="s">
        <v>441</v>
      </c>
      <c r="H5627" s="28" t="s">
        <v>159</v>
      </c>
      <c r="I5627" s="29" t="n">
        <v>75000</v>
      </c>
      <c r="J5627" s="29" t="n">
        <v>37500</v>
      </c>
      <c r="K5627" s="28" t="n">
        <v>9.49</v>
      </c>
      <c r="L5627" s="28" t="n">
        <v>60</v>
      </c>
      <c r="M5627" s="28" t="n">
        <v>0</v>
      </c>
    </row>
    <row r="5628" customFormat="false" ht="15" hidden="false" customHeight="false" outlineLevel="0" collapsed="false">
      <c r="A5628" s="27" t="n">
        <v>46183</v>
      </c>
      <c r="B5628" s="28" t="n">
        <v>2026</v>
      </c>
      <c r="C5628" s="28" t="s">
        <v>160</v>
      </c>
      <c r="D5628" s="28" t="s">
        <v>44</v>
      </c>
      <c r="E5628" s="28" t="s">
        <v>730</v>
      </c>
      <c r="F5628" s="28" t="s">
        <v>142</v>
      </c>
      <c r="G5628" s="28" t="s">
        <v>441</v>
      </c>
      <c r="H5628" s="28" t="s">
        <v>937</v>
      </c>
      <c r="I5628" s="29" t="n">
        <v>31000</v>
      </c>
      <c r="J5628" s="29" t="n">
        <v>26350</v>
      </c>
      <c r="K5628" s="28" t="n">
        <v>10.5</v>
      </c>
      <c r="L5628" s="28" t="n">
        <v>120</v>
      </c>
      <c r="M5628" s="28" t="n">
        <v>2</v>
      </c>
    </row>
    <row r="5629" customFormat="false" ht="15" hidden="false" customHeight="false" outlineLevel="0" collapsed="false">
      <c r="A5629" s="27" t="n">
        <v>46183</v>
      </c>
      <c r="B5629" s="28" t="n">
        <v>2026</v>
      </c>
      <c r="C5629" s="28" t="s">
        <v>169</v>
      </c>
      <c r="D5629" s="28" t="s">
        <v>47</v>
      </c>
      <c r="E5629" s="28" t="s">
        <v>1195</v>
      </c>
      <c r="F5629" s="28" t="s">
        <v>142</v>
      </c>
      <c r="G5629" s="28" t="s">
        <v>148</v>
      </c>
      <c r="H5629" s="28" t="s">
        <v>771</v>
      </c>
      <c r="I5629" s="29" t="n">
        <v>87500</v>
      </c>
      <c r="J5629" s="29" t="n">
        <v>74375</v>
      </c>
      <c r="K5629" s="28" t="n">
        <v>9.75</v>
      </c>
      <c r="L5629" s="28" t="n">
        <v>120</v>
      </c>
      <c r="M5629" s="28" t="n">
        <v>2</v>
      </c>
    </row>
    <row r="5630" customFormat="false" ht="15" hidden="false" customHeight="false" outlineLevel="0" collapsed="false">
      <c r="A5630" s="27" t="n">
        <v>46183</v>
      </c>
      <c r="B5630" s="28" t="n">
        <v>2026</v>
      </c>
      <c r="C5630" s="28" t="s">
        <v>252</v>
      </c>
      <c r="D5630" s="28" t="s">
        <v>50</v>
      </c>
      <c r="E5630" s="28" t="s">
        <v>724</v>
      </c>
      <c r="F5630" s="28" t="s">
        <v>142</v>
      </c>
      <c r="G5630" s="28" t="s">
        <v>143</v>
      </c>
      <c r="H5630" s="28" t="s">
        <v>287</v>
      </c>
      <c r="I5630" s="29" t="n">
        <v>150000</v>
      </c>
      <c r="J5630" s="29" t="n">
        <v>127500</v>
      </c>
      <c r="K5630" s="28" t="n">
        <v>9.75</v>
      </c>
      <c r="L5630" s="28" t="n">
        <v>120</v>
      </c>
      <c r="M5630" s="28" t="n">
        <v>2</v>
      </c>
    </row>
    <row r="5631" customFormat="false" ht="15" hidden="false" customHeight="false" outlineLevel="0" collapsed="false">
      <c r="A5631" s="27" t="n">
        <v>46183</v>
      </c>
      <c r="B5631" s="28" t="n">
        <v>2026</v>
      </c>
      <c r="C5631" s="28" t="s">
        <v>230</v>
      </c>
      <c r="D5631" s="28" t="s">
        <v>48</v>
      </c>
      <c r="E5631" s="28" t="s">
        <v>765</v>
      </c>
      <c r="F5631" s="28" t="s">
        <v>142</v>
      </c>
      <c r="G5631" s="28" t="s">
        <v>152</v>
      </c>
      <c r="H5631" s="28" t="s">
        <v>347</v>
      </c>
      <c r="I5631" s="29" t="n">
        <v>3667000</v>
      </c>
      <c r="J5631" s="29" t="n">
        <v>2750250</v>
      </c>
      <c r="K5631" s="28" t="n">
        <v>9.5</v>
      </c>
      <c r="L5631" s="28" t="n">
        <v>120</v>
      </c>
      <c r="M5631" s="28" t="n">
        <v>20</v>
      </c>
    </row>
    <row r="5632" customFormat="false" ht="15" hidden="false" customHeight="false" outlineLevel="0" collapsed="false">
      <c r="A5632" s="27" t="n">
        <v>46185</v>
      </c>
      <c r="B5632" s="28" t="n">
        <v>2026</v>
      </c>
      <c r="C5632" s="28" t="s">
        <v>166</v>
      </c>
      <c r="D5632" s="28" t="s">
        <v>42</v>
      </c>
      <c r="E5632" s="28" t="s">
        <v>753</v>
      </c>
      <c r="F5632" s="28" t="s">
        <v>147</v>
      </c>
      <c r="G5632" s="28" t="s">
        <v>143</v>
      </c>
      <c r="H5632" s="28" t="s">
        <v>953</v>
      </c>
      <c r="I5632" s="29" t="n">
        <v>50000</v>
      </c>
      <c r="J5632" s="29" t="n">
        <v>25000</v>
      </c>
      <c r="K5632" s="28" t="n">
        <v>13.25</v>
      </c>
      <c r="L5632" s="28" t="n">
        <v>120</v>
      </c>
      <c r="M5632" s="28" t="n">
        <v>4</v>
      </c>
    </row>
    <row r="5633" customFormat="false" ht="15" hidden="false" customHeight="false" outlineLevel="0" collapsed="false">
      <c r="A5633" s="27" t="n">
        <v>46185</v>
      </c>
      <c r="B5633" s="28" t="n">
        <v>2026</v>
      </c>
      <c r="C5633" s="28" t="s">
        <v>203</v>
      </c>
      <c r="D5633" s="28" t="s">
        <v>45</v>
      </c>
      <c r="E5633" s="28" t="s">
        <v>480</v>
      </c>
      <c r="F5633" s="28" t="s">
        <v>147</v>
      </c>
      <c r="G5633" s="28" t="s">
        <v>148</v>
      </c>
      <c r="H5633" s="28" t="s">
        <v>953</v>
      </c>
      <c r="I5633" s="29" t="n">
        <v>25000</v>
      </c>
      <c r="J5633" s="29" t="n">
        <v>12500</v>
      </c>
      <c r="K5633" s="28" t="n">
        <v>13.25</v>
      </c>
      <c r="L5633" s="28" t="n">
        <v>120</v>
      </c>
      <c r="M5633" s="28" t="n">
        <v>8</v>
      </c>
    </row>
    <row r="5634" customFormat="false" ht="15" hidden="false" customHeight="false" outlineLevel="0" collapsed="false">
      <c r="A5634" s="27" t="n">
        <v>46188</v>
      </c>
      <c r="B5634" s="28" t="n">
        <v>2026</v>
      </c>
      <c r="C5634" s="28" t="s">
        <v>510</v>
      </c>
      <c r="D5634" s="28" t="s">
        <v>42</v>
      </c>
      <c r="E5634" s="28" t="s">
        <v>705</v>
      </c>
      <c r="F5634" s="28" t="s">
        <v>142</v>
      </c>
      <c r="G5634" s="28" t="s">
        <v>152</v>
      </c>
      <c r="H5634" s="28" t="s">
        <v>1196</v>
      </c>
      <c r="I5634" s="29" t="n">
        <v>1066200</v>
      </c>
      <c r="J5634" s="29" t="n">
        <v>799650</v>
      </c>
      <c r="K5634" s="28" t="n">
        <v>8.75</v>
      </c>
      <c r="L5634" s="28" t="n">
        <v>300</v>
      </c>
      <c r="M5634" s="28" t="n">
        <v>2</v>
      </c>
    </row>
    <row r="5635" customFormat="false" ht="15" hidden="false" customHeight="false" outlineLevel="0" collapsed="false">
      <c r="A5635" s="27" t="n">
        <v>46188</v>
      </c>
      <c r="B5635" s="28" t="n">
        <v>2026</v>
      </c>
      <c r="C5635" s="28" t="s">
        <v>163</v>
      </c>
      <c r="D5635" s="28" t="s">
        <v>44</v>
      </c>
      <c r="E5635" s="28" t="s">
        <v>863</v>
      </c>
      <c r="F5635" s="28" t="s">
        <v>142</v>
      </c>
      <c r="G5635" s="28" t="s">
        <v>148</v>
      </c>
      <c r="H5635" s="28" t="s">
        <v>1197</v>
      </c>
      <c r="I5635" s="29" t="n">
        <v>1210000</v>
      </c>
      <c r="J5635" s="29" t="n">
        <v>907500</v>
      </c>
      <c r="K5635" s="28" t="n">
        <v>7.8</v>
      </c>
      <c r="L5635" s="28" t="n">
        <v>120</v>
      </c>
      <c r="M5635" s="28" t="n">
        <v>20</v>
      </c>
    </row>
    <row r="5636" customFormat="false" ht="15" hidden="false" customHeight="false" outlineLevel="0" collapsed="false">
      <c r="A5636" s="27" t="n">
        <v>46189</v>
      </c>
      <c r="B5636" s="28" t="n">
        <v>2026</v>
      </c>
      <c r="C5636" s="28" t="s">
        <v>169</v>
      </c>
      <c r="D5636" s="28" t="s">
        <v>45</v>
      </c>
      <c r="E5636" s="28" t="s">
        <v>708</v>
      </c>
      <c r="F5636" s="28" t="s">
        <v>147</v>
      </c>
      <c r="G5636" s="28" t="s">
        <v>148</v>
      </c>
      <c r="H5636" s="28" t="s">
        <v>667</v>
      </c>
      <c r="I5636" s="29" t="n">
        <v>30000</v>
      </c>
      <c r="J5636" s="29" t="n">
        <v>15000</v>
      </c>
      <c r="K5636" s="28" t="n">
        <v>8.49</v>
      </c>
      <c r="L5636" s="28" t="n">
        <v>60</v>
      </c>
      <c r="M5636" s="28" t="n">
        <v>1</v>
      </c>
    </row>
    <row r="5637" customFormat="false" ht="15" hidden="false" customHeight="false" outlineLevel="0" collapsed="false">
      <c r="A5637" s="27" t="n">
        <v>46189</v>
      </c>
      <c r="B5637" s="28" t="n">
        <v>2026</v>
      </c>
      <c r="C5637" s="28" t="s">
        <v>196</v>
      </c>
      <c r="D5637" s="28" t="s">
        <v>53</v>
      </c>
      <c r="E5637" s="28" t="s">
        <v>928</v>
      </c>
      <c r="F5637" s="28" t="s">
        <v>142</v>
      </c>
      <c r="G5637" s="28" t="s">
        <v>148</v>
      </c>
      <c r="H5637" s="28" t="s">
        <v>771</v>
      </c>
      <c r="I5637" s="29" t="n">
        <v>350000</v>
      </c>
      <c r="J5637" s="29" t="n">
        <v>262500</v>
      </c>
      <c r="K5637" s="28" t="n">
        <v>9.75</v>
      </c>
      <c r="L5637" s="28" t="n">
        <v>120</v>
      </c>
      <c r="M5637" s="28" t="n">
        <v>0</v>
      </c>
    </row>
    <row r="5638" customFormat="false" ht="15" hidden="false" customHeight="false" outlineLevel="0" collapsed="false">
      <c r="A5638" s="27" t="n">
        <v>46189</v>
      </c>
      <c r="B5638" s="28" t="n">
        <v>2026</v>
      </c>
      <c r="C5638" s="28" t="s">
        <v>243</v>
      </c>
      <c r="D5638" s="28" t="s">
        <v>52</v>
      </c>
      <c r="E5638" s="28" t="s">
        <v>599</v>
      </c>
      <c r="F5638" s="28" t="s">
        <v>142</v>
      </c>
      <c r="G5638" s="28" t="s">
        <v>143</v>
      </c>
      <c r="H5638" s="28" t="s">
        <v>438</v>
      </c>
      <c r="I5638" s="29" t="n">
        <v>1700000</v>
      </c>
      <c r="J5638" s="29" t="n">
        <v>1275000</v>
      </c>
      <c r="K5638" s="28" t="n">
        <v>8.75</v>
      </c>
      <c r="L5638" s="28" t="n">
        <v>120</v>
      </c>
      <c r="M5638" s="28" t="n">
        <v>25</v>
      </c>
    </row>
    <row r="5639" customFormat="false" ht="15" hidden="false" customHeight="false" outlineLevel="0" collapsed="false">
      <c r="A5639" s="27" t="n">
        <v>46189</v>
      </c>
      <c r="B5639" s="28" t="n">
        <v>2026</v>
      </c>
      <c r="C5639" s="28" t="s">
        <v>243</v>
      </c>
      <c r="D5639" s="28" t="s">
        <v>52</v>
      </c>
      <c r="E5639" s="28" t="s">
        <v>599</v>
      </c>
      <c r="F5639" s="28" t="s">
        <v>147</v>
      </c>
      <c r="G5639" s="28" t="s">
        <v>143</v>
      </c>
      <c r="H5639" s="28" t="s">
        <v>438</v>
      </c>
      <c r="I5639" s="29" t="n">
        <v>150000</v>
      </c>
      <c r="J5639" s="29" t="n">
        <v>75000</v>
      </c>
      <c r="K5639" s="28" t="n">
        <v>8.75</v>
      </c>
      <c r="L5639" s="28" t="n">
        <v>120</v>
      </c>
      <c r="M5639" s="28" t="n">
        <v>25</v>
      </c>
    </row>
    <row r="5640" customFormat="false" ht="15" hidden="false" customHeight="false" outlineLevel="0" collapsed="false">
      <c r="A5640" s="27" t="n">
        <v>46189</v>
      </c>
      <c r="B5640" s="28" t="n">
        <v>2026</v>
      </c>
      <c r="C5640" s="28" t="s">
        <v>172</v>
      </c>
      <c r="D5640" s="28" t="s">
        <v>46</v>
      </c>
      <c r="E5640" s="28" t="s">
        <v>1198</v>
      </c>
      <c r="F5640" s="28" t="s">
        <v>142</v>
      </c>
      <c r="G5640" s="28" t="s">
        <v>148</v>
      </c>
      <c r="H5640" s="28" t="s">
        <v>187</v>
      </c>
      <c r="I5640" s="29" t="n">
        <v>885600</v>
      </c>
      <c r="J5640" s="29" t="n">
        <v>664200</v>
      </c>
      <c r="K5640" s="28" t="n">
        <v>6.4</v>
      </c>
      <c r="L5640" s="28" t="n">
        <v>120</v>
      </c>
      <c r="M5640" s="28" t="n">
        <v>6</v>
      </c>
    </row>
    <row r="5641" customFormat="false" ht="15" hidden="false" customHeight="false" outlineLevel="0" collapsed="false">
      <c r="A5641" s="27" t="n">
        <v>46189</v>
      </c>
      <c r="B5641" s="28" t="n">
        <v>2026</v>
      </c>
      <c r="C5641" s="28" t="s">
        <v>499</v>
      </c>
      <c r="D5641" s="28" t="s">
        <v>52</v>
      </c>
      <c r="E5641" s="28" t="s">
        <v>715</v>
      </c>
      <c r="F5641" s="28" t="s">
        <v>142</v>
      </c>
      <c r="G5641" s="28" t="s">
        <v>148</v>
      </c>
      <c r="H5641" s="28" t="s">
        <v>937</v>
      </c>
      <c r="I5641" s="29" t="n">
        <v>300000</v>
      </c>
      <c r="J5641" s="29" t="n">
        <v>225000</v>
      </c>
      <c r="K5641" s="28" t="n">
        <v>10.25</v>
      </c>
      <c r="L5641" s="28" t="n">
        <v>120</v>
      </c>
      <c r="M5641" s="28" t="n">
        <v>2</v>
      </c>
    </row>
    <row r="5642" customFormat="false" ht="15" hidden="false" customHeight="false" outlineLevel="0" collapsed="false">
      <c r="A5642" s="27" t="n">
        <v>46190</v>
      </c>
      <c r="B5642" s="28" t="n">
        <v>2026</v>
      </c>
      <c r="C5642" s="28" t="s">
        <v>201</v>
      </c>
      <c r="D5642" s="28" t="s">
        <v>55</v>
      </c>
      <c r="E5642" s="28" t="s">
        <v>1166</v>
      </c>
      <c r="F5642" s="28" t="s">
        <v>142</v>
      </c>
      <c r="G5642" s="28" t="s">
        <v>148</v>
      </c>
      <c r="H5642" s="28" t="s">
        <v>953</v>
      </c>
      <c r="I5642" s="29" t="n">
        <v>355000</v>
      </c>
      <c r="J5642" s="29" t="n">
        <v>266250</v>
      </c>
      <c r="K5642" s="28" t="n">
        <v>9.75</v>
      </c>
      <c r="L5642" s="28" t="n">
        <v>300</v>
      </c>
      <c r="M5642" s="28" t="n">
        <v>9</v>
      </c>
    </row>
    <row r="5643" customFormat="false" ht="15" hidden="false" customHeight="false" outlineLevel="0" collapsed="false">
      <c r="A5643" s="27" t="n">
        <v>46190</v>
      </c>
      <c r="B5643" s="28" t="n">
        <v>2026</v>
      </c>
      <c r="C5643" s="28" t="s">
        <v>272</v>
      </c>
      <c r="D5643" s="28" t="s">
        <v>45</v>
      </c>
      <c r="E5643" s="28" t="s">
        <v>222</v>
      </c>
      <c r="F5643" s="28" t="s">
        <v>142</v>
      </c>
      <c r="G5643" s="28" t="s">
        <v>441</v>
      </c>
      <c r="H5643" s="28" t="s">
        <v>845</v>
      </c>
      <c r="I5643" s="29" t="n">
        <v>4800000</v>
      </c>
      <c r="J5643" s="29" t="n">
        <v>3600000</v>
      </c>
      <c r="K5643" s="28" t="n">
        <v>9.25</v>
      </c>
      <c r="L5643" s="28" t="n">
        <v>120</v>
      </c>
      <c r="M5643" s="28" t="n">
        <v>2</v>
      </c>
    </row>
    <row r="5644" customFormat="false" ht="15" hidden="false" customHeight="false" outlineLevel="0" collapsed="false">
      <c r="A5644" s="27" t="n">
        <v>46190</v>
      </c>
      <c r="B5644" s="28" t="n">
        <v>2026</v>
      </c>
      <c r="C5644" s="28" t="s">
        <v>175</v>
      </c>
      <c r="D5644" s="28" t="s">
        <v>46</v>
      </c>
      <c r="E5644" s="28" t="s">
        <v>727</v>
      </c>
      <c r="F5644" s="28" t="s">
        <v>142</v>
      </c>
      <c r="G5644" s="28" t="s">
        <v>148</v>
      </c>
      <c r="H5644" s="28" t="s">
        <v>162</v>
      </c>
      <c r="I5644" s="29" t="n">
        <v>780000</v>
      </c>
      <c r="J5644" s="29" t="n">
        <v>585000</v>
      </c>
      <c r="K5644" s="28" t="n">
        <v>6.37</v>
      </c>
      <c r="L5644" s="28" t="n">
        <v>96</v>
      </c>
      <c r="M5644" s="28" t="n">
        <v>27</v>
      </c>
    </row>
    <row r="5645" customFormat="false" ht="15" hidden="false" customHeight="false" outlineLevel="0" collapsed="false">
      <c r="A5645" s="27" t="n">
        <v>46190</v>
      </c>
      <c r="B5645" s="28" t="n">
        <v>2026</v>
      </c>
      <c r="C5645" s="28" t="s">
        <v>272</v>
      </c>
      <c r="D5645" s="28" t="s">
        <v>45</v>
      </c>
      <c r="E5645" s="28" t="s">
        <v>222</v>
      </c>
      <c r="F5645" s="28" t="s">
        <v>147</v>
      </c>
      <c r="G5645" s="28" t="s">
        <v>152</v>
      </c>
      <c r="H5645" s="28" t="s">
        <v>845</v>
      </c>
      <c r="I5645" s="29" t="n">
        <v>200000</v>
      </c>
      <c r="J5645" s="29" t="n">
        <v>100000</v>
      </c>
      <c r="K5645" s="28" t="n">
        <v>9.25</v>
      </c>
      <c r="L5645" s="28" t="n">
        <v>120</v>
      </c>
      <c r="M5645" s="28" t="n">
        <v>2</v>
      </c>
    </row>
    <row r="5646" customFormat="false" ht="15" hidden="false" customHeight="false" outlineLevel="0" collapsed="false">
      <c r="A5646" s="27" t="n">
        <v>46190</v>
      </c>
      <c r="B5646" s="28" t="n">
        <v>2026</v>
      </c>
      <c r="C5646" s="28" t="s">
        <v>324</v>
      </c>
      <c r="D5646" s="28" t="s">
        <v>46</v>
      </c>
      <c r="E5646" s="28" t="s">
        <v>813</v>
      </c>
      <c r="F5646" s="28" t="s">
        <v>142</v>
      </c>
      <c r="G5646" s="28" t="s">
        <v>148</v>
      </c>
      <c r="H5646" s="28" t="s">
        <v>469</v>
      </c>
      <c r="I5646" s="29" t="n">
        <v>534200</v>
      </c>
      <c r="J5646" s="29" t="n">
        <v>400650</v>
      </c>
      <c r="K5646" s="28" t="n">
        <v>6.33</v>
      </c>
      <c r="L5646" s="28" t="n">
        <v>300</v>
      </c>
      <c r="M5646" s="28" t="n">
        <v>5</v>
      </c>
    </row>
    <row r="5647" customFormat="false" ht="15" hidden="false" customHeight="false" outlineLevel="0" collapsed="false">
      <c r="A5647" s="27" t="n">
        <v>46190</v>
      </c>
      <c r="B5647" s="28" t="n">
        <v>2026</v>
      </c>
      <c r="C5647" s="28" t="s">
        <v>172</v>
      </c>
      <c r="D5647" s="28" t="s">
        <v>48</v>
      </c>
      <c r="E5647" s="28" t="s">
        <v>736</v>
      </c>
      <c r="F5647" s="28" t="s">
        <v>142</v>
      </c>
      <c r="G5647" s="28" t="s">
        <v>148</v>
      </c>
      <c r="H5647" s="28" t="s">
        <v>372</v>
      </c>
      <c r="I5647" s="29" t="n">
        <v>150000</v>
      </c>
      <c r="J5647" s="29" t="n">
        <v>75000</v>
      </c>
      <c r="K5647" s="28" t="n">
        <v>8.75</v>
      </c>
      <c r="L5647" s="28" t="n">
        <v>96</v>
      </c>
      <c r="M5647" s="28" t="n">
        <v>4</v>
      </c>
    </row>
    <row r="5648" customFormat="false" ht="15" hidden="false" customHeight="false" outlineLevel="0" collapsed="false">
      <c r="A5648" s="27" t="n">
        <v>46190</v>
      </c>
      <c r="B5648" s="28" t="n">
        <v>2026</v>
      </c>
      <c r="C5648" s="28" t="s">
        <v>172</v>
      </c>
      <c r="D5648" s="28" t="s">
        <v>48</v>
      </c>
      <c r="E5648" s="28" t="s">
        <v>736</v>
      </c>
      <c r="F5648" s="28" t="s">
        <v>142</v>
      </c>
      <c r="G5648" s="28" t="s">
        <v>148</v>
      </c>
      <c r="H5648" s="28" t="s">
        <v>372</v>
      </c>
      <c r="I5648" s="29" t="n">
        <v>150000</v>
      </c>
      <c r="J5648" s="29" t="n">
        <v>127500</v>
      </c>
      <c r="K5648" s="28" t="n">
        <v>9.5</v>
      </c>
      <c r="L5648" s="28" t="n">
        <v>120</v>
      </c>
      <c r="M5648" s="28" t="n">
        <v>4</v>
      </c>
    </row>
    <row r="5649" customFormat="false" ht="15" hidden="false" customHeight="false" outlineLevel="0" collapsed="false">
      <c r="A5649" s="27" t="n">
        <v>46191</v>
      </c>
      <c r="B5649" s="28" t="n">
        <v>2026</v>
      </c>
      <c r="C5649" s="28" t="s">
        <v>303</v>
      </c>
      <c r="D5649" s="28" t="s">
        <v>43</v>
      </c>
      <c r="E5649" s="28" t="s">
        <v>757</v>
      </c>
      <c r="F5649" s="28" t="s">
        <v>142</v>
      </c>
      <c r="G5649" s="28" t="s">
        <v>148</v>
      </c>
      <c r="H5649" s="28" t="s">
        <v>275</v>
      </c>
      <c r="I5649" s="29" t="n">
        <v>30000</v>
      </c>
      <c r="J5649" s="29" t="n">
        <v>24000</v>
      </c>
      <c r="K5649" s="28" t="n">
        <v>13.25</v>
      </c>
      <c r="L5649" s="28" t="n">
        <v>120</v>
      </c>
      <c r="M5649" s="28" t="n">
        <v>2</v>
      </c>
    </row>
    <row r="5650" customFormat="false" ht="15" hidden="false" customHeight="false" outlineLevel="0" collapsed="false">
      <c r="A5650" s="27" t="n">
        <v>46191</v>
      </c>
      <c r="B5650" s="28" t="n">
        <v>2026</v>
      </c>
      <c r="C5650" s="28" t="s">
        <v>169</v>
      </c>
      <c r="D5650" s="28" t="s">
        <v>42</v>
      </c>
      <c r="E5650" s="28" t="s">
        <v>784</v>
      </c>
      <c r="F5650" s="28" t="s">
        <v>142</v>
      </c>
      <c r="G5650" s="28" t="s">
        <v>148</v>
      </c>
      <c r="H5650" s="28" t="s">
        <v>953</v>
      </c>
      <c r="I5650" s="29" t="n">
        <v>225000</v>
      </c>
      <c r="J5650" s="29" t="n">
        <v>168750</v>
      </c>
      <c r="K5650" s="28" t="n">
        <v>9.75</v>
      </c>
      <c r="L5650" s="28" t="n">
        <v>300</v>
      </c>
      <c r="M5650" s="28" t="n">
        <v>8</v>
      </c>
    </row>
    <row r="5651" customFormat="false" ht="15" hidden="false" customHeight="false" outlineLevel="0" collapsed="false">
      <c r="A5651" s="27" t="n">
        <v>46191</v>
      </c>
      <c r="B5651" s="28" t="n">
        <v>2026</v>
      </c>
      <c r="C5651" s="28" t="s">
        <v>172</v>
      </c>
      <c r="D5651" s="28" t="s">
        <v>51</v>
      </c>
      <c r="E5651" s="28" t="s">
        <v>779</v>
      </c>
      <c r="F5651" s="28" t="s">
        <v>142</v>
      </c>
      <c r="G5651" s="28" t="s">
        <v>143</v>
      </c>
      <c r="H5651" s="28" t="s">
        <v>208</v>
      </c>
      <c r="I5651" s="29" t="n">
        <v>857900</v>
      </c>
      <c r="J5651" s="29" t="n">
        <v>643425</v>
      </c>
      <c r="K5651" s="28" t="n">
        <v>9.25</v>
      </c>
      <c r="L5651" s="28" t="n">
        <v>126</v>
      </c>
      <c r="M5651" s="28" t="n">
        <v>11</v>
      </c>
    </row>
    <row r="5652" customFormat="false" ht="15" hidden="false" customHeight="false" outlineLevel="0" collapsed="false">
      <c r="A5652" s="27" t="n">
        <v>46191</v>
      </c>
      <c r="B5652" s="28" t="n">
        <v>2026</v>
      </c>
      <c r="C5652" s="28" t="s">
        <v>375</v>
      </c>
      <c r="D5652" s="28" t="s">
        <v>42</v>
      </c>
      <c r="E5652" s="28" t="s">
        <v>705</v>
      </c>
      <c r="F5652" s="28" t="s">
        <v>142</v>
      </c>
      <c r="G5652" s="28" t="s">
        <v>148</v>
      </c>
      <c r="H5652" s="28" t="s">
        <v>334</v>
      </c>
      <c r="I5652" s="29" t="n">
        <v>2982000</v>
      </c>
      <c r="J5652" s="29" t="n">
        <v>2236500</v>
      </c>
      <c r="K5652" s="28" t="n">
        <v>8</v>
      </c>
      <c r="L5652" s="28" t="n">
        <v>300</v>
      </c>
      <c r="M5652" s="28" t="n">
        <v>16</v>
      </c>
    </row>
    <row r="5653" customFormat="false" ht="15" hidden="false" customHeight="false" outlineLevel="0" collapsed="false">
      <c r="A5653" s="27" t="n">
        <v>46191</v>
      </c>
      <c r="B5653" s="28" t="n">
        <v>2026</v>
      </c>
      <c r="C5653" s="28" t="s">
        <v>172</v>
      </c>
      <c r="D5653" s="28" t="s">
        <v>47</v>
      </c>
      <c r="E5653" s="28" t="s">
        <v>1107</v>
      </c>
      <c r="F5653" s="28" t="s">
        <v>142</v>
      </c>
      <c r="G5653" s="28" t="s">
        <v>148</v>
      </c>
      <c r="H5653" s="28" t="s">
        <v>771</v>
      </c>
      <c r="I5653" s="29" t="n">
        <v>350000</v>
      </c>
      <c r="J5653" s="29" t="n">
        <v>262500</v>
      </c>
      <c r="K5653" s="28" t="n">
        <v>9.75</v>
      </c>
      <c r="L5653" s="28" t="n">
        <v>120</v>
      </c>
      <c r="M5653" s="28" t="n">
        <v>35</v>
      </c>
    </row>
    <row r="5654" customFormat="false" ht="15" hidden="false" customHeight="false" outlineLevel="0" collapsed="false">
      <c r="A5654" s="27" t="n">
        <v>46195</v>
      </c>
      <c r="B5654" s="28" t="n">
        <v>2026</v>
      </c>
      <c r="C5654" s="28" t="s">
        <v>166</v>
      </c>
      <c r="D5654" s="28" t="s">
        <v>45</v>
      </c>
      <c r="E5654" s="28" t="s">
        <v>824</v>
      </c>
      <c r="F5654" s="28" t="s">
        <v>147</v>
      </c>
      <c r="G5654" s="28" t="s">
        <v>148</v>
      </c>
      <c r="H5654" s="28" t="s">
        <v>953</v>
      </c>
      <c r="I5654" s="29" t="n">
        <v>500000</v>
      </c>
      <c r="J5654" s="29" t="n">
        <v>250000</v>
      </c>
      <c r="K5654" s="28" t="n">
        <v>9.75</v>
      </c>
      <c r="L5654" s="28" t="n">
        <v>120</v>
      </c>
      <c r="M5654" s="28" t="n">
        <v>14</v>
      </c>
    </row>
    <row r="5655" customFormat="false" ht="15" hidden="false" customHeight="false" outlineLevel="0" collapsed="false">
      <c r="A5655" s="27" t="n">
        <v>46195</v>
      </c>
      <c r="B5655" s="28" t="n">
        <v>2026</v>
      </c>
      <c r="C5655" s="28" t="s">
        <v>243</v>
      </c>
      <c r="D5655" s="28" t="s">
        <v>43</v>
      </c>
      <c r="E5655" s="28" t="s">
        <v>871</v>
      </c>
      <c r="F5655" s="28" t="s">
        <v>142</v>
      </c>
      <c r="G5655" s="28" t="s">
        <v>148</v>
      </c>
      <c r="H5655" s="28" t="s">
        <v>771</v>
      </c>
      <c r="I5655" s="29" t="n">
        <v>35600</v>
      </c>
      <c r="J5655" s="29" t="n">
        <v>30260</v>
      </c>
      <c r="K5655" s="28" t="n">
        <v>9.75</v>
      </c>
      <c r="L5655" s="28" t="n">
        <v>120</v>
      </c>
      <c r="M5655" s="28" t="n">
        <v>1</v>
      </c>
    </row>
    <row r="5656" customFormat="false" ht="15" hidden="false" customHeight="false" outlineLevel="0" collapsed="false">
      <c r="A5656" s="27" t="n">
        <v>46195</v>
      </c>
      <c r="B5656" s="28" t="n">
        <v>2026</v>
      </c>
      <c r="C5656" s="28" t="s">
        <v>166</v>
      </c>
      <c r="D5656" s="28" t="s">
        <v>45</v>
      </c>
      <c r="E5656" s="28" t="s">
        <v>824</v>
      </c>
      <c r="F5656" s="28" t="s">
        <v>142</v>
      </c>
      <c r="G5656" s="28" t="s">
        <v>148</v>
      </c>
      <c r="H5656" s="28" t="s">
        <v>953</v>
      </c>
      <c r="I5656" s="29" t="n">
        <v>500000</v>
      </c>
      <c r="J5656" s="29" t="n">
        <v>375000</v>
      </c>
      <c r="K5656" s="28" t="n">
        <v>9.75</v>
      </c>
      <c r="L5656" s="28" t="n">
        <v>120</v>
      </c>
      <c r="M5656" s="28" t="n">
        <v>10</v>
      </c>
    </row>
    <row r="5657" customFormat="false" ht="15" hidden="false" customHeight="false" outlineLevel="0" collapsed="false">
      <c r="A5657" s="27" t="n">
        <v>46195</v>
      </c>
      <c r="B5657" s="28" t="n">
        <v>2026</v>
      </c>
      <c r="C5657" s="28" t="s">
        <v>675</v>
      </c>
      <c r="D5657" s="28" t="s">
        <v>42</v>
      </c>
      <c r="E5657" s="28" t="s">
        <v>717</v>
      </c>
      <c r="F5657" s="28" t="s">
        <v>142</v>
      </c>
      <c r="G5657" s="28" t="s">
        <v>143</v>
      </c>
      <c r="H5657" s="28" t="s">
        <v>819</v>
      </c>
      <c r="I5657" s="29" t="n">
        <v>400000</v>
      </c>
      <c r="J5657" s="29" t="n">
        <v>300000</v>
      </c>
      <c r="K5657" s="28" t="n">
        <v>8.5</v>
      </c>
      <c r="L5657" s="28" t="n">
        <v>300</v>
      </c>
      <c r="M5657" s="28" t="n">
        <v>6</v>
      </c>
    </row>
    <row r="5658" customFormat="false" ht="15" hidden="false" customHeight="false" outlineLevel="0" collapsed="false">
      <c r="A5658" s="27" t="n">
        <v>46195</v>
      </c>
      <c r="B5658" s="28" t="n">
        <v>2026</v>
      </c>
      <c r="C5658" s="28" t="s">
        <v>172</v>
      </c>
      <c r="D5658" s="28" t="s">
        <v>42</v>
      </c>
      <c r="E5658" s="28" t="s">
        <v>717</v>
      </c>
      <c r="F5658" s="28" t="s">
        <v>147</v>
      </c>
      <c r="G5658" s="28" t="s">
        <v>148</v>
      </c>
      <c r="H5658" s="28" t="s">
        <v>159</v>
      </c>
      <c r="I5658" s="29" t="n">
        <v>75000</v>
      </c>
      <c r="J5658" s="29" t="n">
        <v>37500</v>
      </c>
      <c r="K5658" s="28" t="n">
        <v>11.25</v>
      </c>
      <c r="L5658" s="28" t="n">
        <v>120</v>
      </c>
      <c r="M5658" s="28" t="n">
        <v>0</v>
      </c>
    </row>
    <row r="5659" customFormat="false" ht="15" hidden="false" customHeight="false" outlineLevel="0" collapsed="false">
      <c r="A5659" s="27" t="n">
        <v>46196</v>
      </c>
      <c r="B5659" s="28" t="n">
        <v>2026</v>
      </c>
      <c r="C5659" s="28" t="s">
        <v>172</v>
      </c>
      <c r="D5659" s="28" t="s">
        <v>48</v>
      </c>
      <c r="E5659" s="28" t="s">
        <v>704</v>
      </c>
      <c r="F5659" s="28" t="s">
        <v>142</v>
      </c>
      <c r="G5659" s="28" t="s">
        <v>152</v>
      </c>
      <c r="H5659" s="28" t="s">
        <v>144</v>
      </c>
      <c r="I5659" s="29" t="n">
        <v>635000</v>
      </c>
      <c r="J5659" s="29" t="n">
        <v>476250</v>
      </c>
      <c r="K5659" s="28" t="n">
        <v>8.75</v>
      </c>
      <c r="L5659" s="28" t="n">
        <v>120</v>
      </c>
      <c r="M5659" s="28" t="n">
        <v>2</v>
      </c>
    </row>
    <row r="5660" customFormat="false" ht="15" hidden="false" customHeight="false" outlineLevel="0" collapsed="false">
      <c r="A5660" s="27" t="n">
        <v>46196</v>
      </c>
      <c r="B5660" s="28" t="n">
        <v>2026</v>
      </c>
      <c r="C5660" s="28" t="s">
        <v>160</v>
      </c>
      <c r="D5660" s="28" t="s">
        <v>44</v>
      </c>
      <c r="E5660" s="28" t="s">
        <v>730</v>
      </c>
      <c r="F5660" s="28" t="s">
        <v>142</v>
      </c>
      <c r="G5660" s="28" t="s">
        <v>148</v>
      </c>
      <c r="H5660" s="28" t="s">
        <v>144</v>
      </c>
      <c r="I5660" s="29" t="n">
        <v>550000</v>
      </c>
      <c r="J5660" s="29" t="n">
        <v>412500</v>
      </c>
      <c r="K5660" s="28" t="n">
        <v>6.75</v>
      </c>
      <c r="L5660" s="28" t="n">
        <v>120</v>
      </c>
      <c r="M5660" s="28" t="n">
        <v>24</v>
      </c>
    </row>
    <row r="5661" customFormat="false" ht="15" hidden="false" customHeight="false" outlineLevel="0" collapsed="false">
      <c r="A5661" s="27" t="n">
        <v>46196</v>
      </c>
      <c r="B5661" s="28" t="n">
        <v>2026</v>
      </c>
      <c r="C5661" s="28" t="s">
        <v>166</v>
      </c>
      <c r="D5661" s="28" t="s">
        <v>46</v>
      </c>
      <c r="E5661" s="28" t="s">
        <v>813</v>
      </c>
      <c r="F5661" s="28" t="s">
        <v>142</v>
      </c>
      <c r="G5661" s="28" t="s">
        <v>152</v>
      </c>
      <c r="H5661" s="28" t="s">
        <v>144</v>
      </c>
      <c r="I5661" s="29" t="n">
        <v>500000</v>
      </c>
      <c r="J5661" s="29" t="n">
        <v>375000</v>
      </c>
      <c r="K5661" s="28" t="n">
        <v>7.75</v>
      </c>
      <c r="L5661" s="28" t="n">
        <v>120</v>
      </c>
      <c r="M5661" s="28" t="n">
        <v>5</v>
      </c>
    </row>
    <row r="5662" customFormat="false" ht="15" hidden="false" customHeight="false" outlineLevel="0" collapsed="false">
      <c r="A5662" s="27" t="n">
        <v>46196</v>
      </c>
      <c r="B5662" s="28" t="n">
        <v>2026</v>
      </c>
      <c r="C5662" s="28" t="s">
        <v>160</v>
      </c>
      <c r="D5662" s="28" t="s">
        <v>43</v>
      </c>
      <c r="E5662" s="28" t="s">
        <v>871</v>
      </c>
      <c r="F5662" s="28" t="s">
        <v>142</v>
      </c>
      <c r="G5662" s="28" t="s">
        <v>441</v>
      </c>
      <c r="H5662" s="28" t="s">
        <v>248</v>
      </c>
      <c r="I5662" s="29" t="n">
        <v>3259200</v>
      </c>
      <c r="J5662" s="29" t="n">
        <v>2444400</v>
      </c>
      <c r="K5662" s="28" t="n">
        <v>7.75</v>
      </c>
      <c r="L5662" s="28" t="n">
        <v>300</v>
      </c>
      <c r="M5662" s="28" t="n">
        <v>6</v>
      </c>
    </row>
    <row r="5663" customFormat="false" ht="15" hidden="false" customHeight="false" outlineLevel="0" collapsed="false">
      <c r="A5663" s="27" t="n">
        <v>46196</v>
      </c>
      <c r="B5663" s="28" t="n">
        <v>2026</v>
      </c>
      <c r="C5663" s="28" t="s">
        <v>201</v>
      </c>
      <c r="D5663" s="28" t="s">
        <v>50</v>
      </c>
      <c r="E5663" s="28" t="s">
        <v>389</v>
      </c>
      <c r="F5663" s="28" t="s">
        <v>142</v>
      </c>
      <c r="G5663" s="28" t="s">
        <v>148</v>
      </c>
      <c r="H5663" s="28" t="s">
        <v>275</v>
      </c>
      <c r="I5663" s="29" t="n">
        <v>220000</v>
      </c>
      <c r="J5663" s="29" t="n">
        <v>154000</v>
      </c>
      <c r="K5663" s="28" t="n">
        <v>8.5</v>
      </c>
      <c r="L5663" s="28" t="n">
        <v>120</v>
      </c>
      <c r="M5663" s="28" t="n">
        <v>4</v>
      </c>
    </row>
    <row r="5664" customFormat="false" ht="15" hidden="false" customHeight="false" outlineLevel="0" collapsed="false">
      <c r="A5664" s="27" t="n">
        <v>46196</v>
      </c>
      <c r="B5664" s="28" t="n">
        <v>2026</v>
      </c>
      <c r="C5664" s="28" t="s">
        <v>172</v>
      </c>
      <c r="D5664" s="28" t="s">
        <v>48</v>
      </c>
      <c r="E5664" s="28" t="s">
        <v>704</v>
      </c>
      <c r="F5664" s="28" t="s">
        <v>147</v>
      </c>
      <c r="G5664" s="28" t="s">
        <v>152</v>
      </c>
      <c r="H5664" s="28" t="s">
        <v>144</v>
      </c>
      <c r="I5664" s="29" t="n">
        <v>65000</v>
      </c>
      <c r="J5664" s="29" t="n">
        <v>32500</v>
      </c>
      <c r="K5664" s="28" t="n">
        <v>8.75</v>
      </c>
      <c r="L5664" s="28" t="n">
        <v>120</v>
      </c>
      <c r="M5664" s="28" t="n">
        <v>2</v>
      </c>
    </row>
    <row r="5665" customFormat="false" ht="15" hidden="false" customHeight="false" outlineLevel="0" collapsed="false">
      <c r="A5665" s="27" t="n">
        <v>46197</v>
      </c>
      <c r="B5665" s="28" t="n">
        <v>2026</v>
      </c>
      <c r="C5665" s="28" t="s">
        <v>738</v>
      </c>
      <c r="D5665" s="28" t="s">
        <v>46</v>
      </c>
      <c r="E5665" s="28" t="s">
        <v>813</v>
      </c>
      <c r="F5665" s="28" t="s">
        <v>147</v>
      </c>
      <c r="G5665" s="28" t="s">
        <v>148</v>
      </c>
      <c r="H5665" s="28" t="s">
        <v>159</v>
      </c>
      <c r="I5665" s="29" t="n">
        <v>250000</v>
      </c>
      <c r="J5665" s="29" t="n">
        <v>125000</v>
      </c>
      <c r="K5665" s="28" t="n">
        <v>9.75</v>
      </c>
      <c r="L5665" s="28" t="n">
        <v>84</v>
      </c>
      <c r="M5665" s="28" t="n">
        <v>2</v>
      </c>
    </row>
    <row r="5666" customFormat="false" ht="15" hidden="false" customHeight="false" outlineLevel="0" collapsed="false">
      <c r="A5666" s="27" t="n">
        <v>46197</v>
      </c>
      <c r="B5666" s="28" t="n">
        <v>2026</v>
      </c>
      <c r="C5666" s="28" t="s">
        <v>518</v>
      </c>
      <c r="D5666" s="28" t="s">
        <v>45</v>
      </c>
      <c r="E5666" s="28" t="s">
        <v>222</v>
      </c>
      <c r="F5666" s="28" t="s">
        <v>142</v>
      </c>
      <c r="G5666" s="28" t="s">
        <v>152</v>
      </c>
      <c r="H5666" s="28" t="s">
        <v>281</v>
      </c>
      <c r="I5666" s="29" t="n">
        <v>1000000</v>
      </c>
      <c r="J5666" s="29" t="n">
        <v>750000</v>
      </c>
      <c r="K5666" s="28" t="n">
        <v>9.5</v>
      </c>
      <c r="L5666" s="28" t="n">
        <v>120</v>
      </c>
      <c r="M5666" s="28" t="n">
        <v>11</v>
      </c>
    </row>
    <row r="5667" customFormat="false" ht="15" hidden="false" customHeight="false" outlineLevel="0" collapsed="false">
      <c r="A5667" s="27" t="n">
        <v>46197</v>
      </c>
      <c r="B5667" s="28" t="n">
        <v>2026</v>
      </c>
      <c r="C5667" s="28" t="s">
        <v>198</v>
      </c>
      <c r="D5667" s="28" t="s">
        <v>48</v>
      </c>
      <c r="E5667" s="28" t="s">
        <v>304</v>
      </c>
      <c r="F5667" s="28" t="s">
        <v>147</v>
      </c>
      <c r="G5667" s="28" t="s">
        <v>148</v>
      </c>
      <c r="H5667" s="28" t="s">
        <v>159</v>
      </c>
      <c r="I5667" s="29" t="n">
        <v>25000</v>
      </c>
      <c r="J5667" s="29" t="n">
        <v>12500</v>
      </c>
      <c r="K5667" s="28" t="n">
        <v>13.25</v>
      </c>
      <c r="L5667" s="28" t="n">
        <v>120</v>
      </c>
      <c r="M5667" s="28" t="n">
        <v>1</v>
      </c>
    </row>
    <row r="5668" customFormat="false" ht="15" hidden="false" customHeight="false" outlineLevel="0" collapsed="false">
      <c r="A5668" s="27" t="n">
        <v>46197</v>
      </c>
      <c r="B5668" s="28" t="n">
        <v>2026</v>
      </c>
      <c r="C5668" s="28" t="s">
        <v>169</v>
      </c>
      <c r="D5668" s="28" t="s">
        <v>46</v>
      </c>
      <c r="E5668" s="28" t="s">
        <v>727</v>
      </c>
      <c r="F5668" s="28" t="s">
        <v>142</v>
      </c>
      <c r="G5668" s="28" t="s">
        <v>148</v>
      </c>
      <c r="H5668" s="28" t="s">
        <v>506</v>
      </c>
      <c r="I5668" s="29" t="n">
        <v>888000</v>
      </c>
      <c r="J5668" s="29" t="n">
        <v>666000</v>
      </c>
      <c r="K5668" s="28" t="n">
        <v>9.5</v>
      </c>
      <c r="L5668" s="28" t="n">
        <v>300</v>
      </c>
      <c r="M5668" s="28" t="n">
        <v>8</v>
      </c>
    </row>
    <row r="5669" customFormat="false" ht="15" hidden="false" customHeight="false" outlineLevel="0" collapsed="false">
      <c r="A5669" s="27" t="n">
        <v>46197</v>
      </c>
      <c r="B5669" s="28" t="n">
        <v>2026</v>
      </c>
      <c r="C5669" s="28" t="s">
        <v>198</v>
      </c>
      <c r="D5669" s="28" t="s">
        <v>48</v>
      </c>
      <c r="E5669" s="28" t="s">
        <v>304</v>
      </c>
      <c r="F5669" s="28" t="s">
        <v>147</v>
      </c>
      <c r="G5669" s="28" t="s">
        <v>148</v>
      </c>
      <c r="H5669" s="28" t="s">
        <v>159</v>
      </c>
      <c r="I5669" s="29" t="n">
        <v>75000</v>
      </c>
      <c r="J5669" s="29" t="n">
        <v>37500</v>
      </c>
      <c r="K5669" s="28" t="n">
        <v>11.24</v>
      </c>
      <c r="L5669" s="28" t="n">
        <v>60</v>
      </c>
      <c r="M5669" s="28" t="n">
        <v>1</v>
      </c>
    </row>
    <row r="5670" customFormat="false" ht="15" hidden="false" customHeight="false" outlineLevel="0" collapsed="false">
      <c r="A5670" s="27" t="n">
        <v>46197</v>
      </c>
      <c r="B5670" s="28" t="n">
        <v>2026</v>
      </c>
      <c r="C5670" s="28" t="s">
        <v>213</v>
      </c>
      <c r="D5670" s="28" t="s">
        <v>52</v>
      </c>
      <c r="E5670" s="28" t="s">
        <v>250</v>
      </c>
      <c r="F5670" s="28" t="s">
        <v>142</v>
      </c>
      <c r="G5670" s="28" t="s">
        <v>148</v>
      </c>
      <c r="H5670" s="28" t="s">
        <v>469</v>
      </c>
      <c r="I5670" s="29" t="n">
        <v>104000</v>
      </c>
      <c r="J5670" s="29" t="n">
        <v>78000</v>
      </c>
      <c r="K5670" s="28" t="n">
        <v>6.125</v>
      </c>
      <c r="L5670" s="28" t="n">
        <v>95</v>
      </c>
      <c r="M5670" s="28" t="n">
        <v>0</v>
      </c>
    </row>
    <row r="5671" customFormat="false" ht="15" hidden="false" customHeight="false" outlineLevel="0" collapsed="false">
      <c r="A5671" s="27" t="n">
        <v>46198</v>
      </c>
      <c r="B5671" s="28" t="n">
        <v>2026</v>
      </c>
      <c r="C5671" s="28" t="s">
        <v>166</v>
      </c>
      <c r="D5671" s="28" t="s">
        <v>48</v>
      </c>
      <c r="E5671" s="28" t="s">
        <v>342</v>
      </c>
      <c r="F5671" s="28" t="s">
        <v>142</v>
      </c>
      <c r="G5671" s="28" t="s">
        <v>148</v>
      </c>
      <c r="H5671" s="28" t="s">
        <v>144</v>
      </c>
      <c r="I5671" s="29" t="n">
        <v>15000</v>
      </c>
      <c r="J5671" s="29" t="n">
        <v>12750</v>
      </c>
      <c r="K5671" s="28" t="n">
        <v>10.24</v>
      </c>
      <c r="L5671" s="28" t="n">
        <v>120</v>
      </c>
      <c r="M5671" s="28" t="n">
        <v>4</v>
      </c>
    </row>
    <row r="5672" customFormat="false" ht="15" hidden="false" customHeight="false" outlineLevel="0" collapsed="false">
      <c r="A5672" s="27" t="n">
        <v>46198</v>
      </c>
      <c r="B5672" s="28" t="n">
        <v>2026</v>
      </c>
      <c r="C5672" s="28" t="s">
        <v>235</v>
      </c>
      <c r="D5672" s="28" t="s">
        <v>48</v>
      </c>
      <c r="E5672" s="28" t="s">
        <v>362</v>
      </c>
      <c r="F5672" s="28" t="s">
        <v>142</v>
      </c>
      <c r="G5672" s="28" t="s">
        <v>152</v>
      </c>
      <c r="H5672" s="28" t="s">
        <v>223</v>
      </c>
      <c r="I5672" s="29" t="n">
        <v>5000000</v>
      </c>
      <c r="J5672" s="29" t="n">
        <v>3500000</v>
      </c>
      <c r="K5672" s="28" t="n">
        <v>9</v>
      </c>
      <c r="L5672" s="28" t="n">
        <v>120</v>
      </c>
      <c r="M5672" s="28" t="n">
        <v>6</v>
      </c>
    </row>
    <row r="5673" customFormat="false" ht="15" hidden="false" customHeight="false" outlineLevel="0" collapsed="false">
      <c r="A5673" s="27" t="n">
        <v>46198</v>
      </c>
      <c r="B5673" s="28" t="n">
        <v>2026</v>
      </c>
      <c r="C5673" s="28" t="s">
        <v>332</v>
      </c>
      <c r="D5673" s="28" t="s">
        <v>50</v>
      </c>
      <c r="E5673" s="28" t="s">
        <v>193</v>
      </c>
      <c r="F5673" s="28" t="s">
        <v>142</v>
      </c>
      <c r="G5673" s="28" t="s">
        <v>152</v>
      </c>
      <c r="H5673" s="28" t="s">
        <v>388</v>
      </c>
      <c r="I5673" s="29" t="n">
        <v>910000</v>
      </c>
      <c r="J5673" s="29" t="n">
        <v>682500</v>
      </c>
      <c r="K5673" s="28" t="n">
        <v>8.25</v>
      </c>
      <c r="L5673" s="28" t="n">
        <v>120</v>
      </c>
      <c r="M5673" s="28" t="n">
        <v>34</v>
      </c>
    </row>
    <row r="5674" customFormat="false" ht="15" hidden="false" customHeight="false" outlineLevel="0" collapsed="false">
      <c r="A5674" s="27" t="n">
        <v>46198</v>
      </c>
      <c r="B5674" s="28" t="n">
        <v>2026</v>
      </c>
      <c r="C5674" s="28" t="s">
        <v>166</v>
      </c>
      <c r="D5674" s="28" t="s">
        <v>44</v>
      </c>
      <c r="E5674" s="28" t="s">
        <v>751</v>
      </c>
      <c r="F5674" s="28" t="s">
        <v>142</v>
      </c>
      <c r="G5674" s="28" t="s">
        <v>441</v>
      </c>
      <c r="H5674" s="28" t="s">
        <v>438</v>
      </c>
      <c r="I5674" s="29" t="n">
        <v>500000</v>
      </c>
      <c r="J5674" s="29" t="n">
        <v>375000</v>
      </c>
      <c r="K5674" s="28" t="n">
        <v>9</v>
      </c>
      <c r="L5674" s="28" t="n">
        <v>129</v>
      </c>
      <c r="M5674" s="28" t="n">
        <v>5</v>
      </c>
    </row>
    <row r="5675" customFormat="false" ht="15" hidden="false" customHeight="false" outlineLevel="0" collapsed="false">
      <c r="A5675" s="27" t="n">
        <v>46199</v>
      </c>
      <c r="B5675" s="28" t="n">
        <v>2026</v>
      </c>
      <c r="C5675" s="28" t="s">
        <v>332</v>
      </c>
      <c r="D5675" s="28" t="s">
        <v>50</v>
      </c>
      <c r="E5675" s="28" t="s">
        <v>193</v>
      </c>
      <c r="F5675" s="28" t="s">
        <v>147</v>
      </c>
      <c r="G5675" s="28" t="s">
        <v>152</v>
      </c>
      <c r="H5675" s="28" t="s">
        <v>388</v>
      </c>
      <c r="I5675" s="29" t="n">
        <v>100000</v>
      </c>
      <c r="J5675" s="29" t="n">
        <v>50000</v>
      </c>
      <c r="K5675" s="28" t="n">
        <v>8.25</v>
      </c>
      <c r="L5675" s="28" t="n">
        <v>120</v>
      </c>
      <c r="M5675" s="28" t="n">
        <v>34</v>
      </c>
    </row>
    <row r="5676" customFormat="false" ht="15" hidden="false" customHeight="false" outlineLevel="0" collapsed="false">
      <c r="A5676" s="27" t="n">
        <v>46199</v>
      </c>
      <c r="B5676" s="28" t="n">
        <v>2026</v>
      </c>
      <c r="C5676" s="28" t="s">
        <v>163</v>
      </c>
      <c r="D5676" s="28" t="s">
        <v>44</v>
      </c>
      <c r="E5676" s="28" t="s">
        <v>730</v>
      </c>
      <c r="F5676" s="28" t="s">
        <v>142</v>
      </c>
      <c r="G5676" s="28" t="s">
        <v>143</v>
      </c>
      <c r="H5676" s="28" t="s">
        <v>1199</v>
      </c>
      <c r="I5676" s="29" t="n">
        <v>3340000</v>
      </c>
      <c r="J5676" s="29" t="n">
        <v>2505000</v>
      </c>
      <c r="K5676" s="28" t="n">
        <v>9.75</v>
      </c>
      <c r="L5676" s="28" t="n">
        <v>130</v>
      </c>
      <c r="M5676" s="28" t="n">
        <v>24</v>
      </c>
    </row>
    <row r="5677" customFormat="false" ht="15" hidden="false" customHeight="false" outlineLevel="0" collapsed="false">
      <c r="A5677" s="27" t="n">
        <v>46199</v>
      </c>
      <c r="B5677" s="28" t="n">
        <v>2026</v>
      </c>
      <c r="C5677" s="28" t="s">
        <v>198</v>
      </c>
      <c r="D5677" s="28" t="s">
        <v>45</v>
      </c>
      <c r="E5677" s="28" t="s">
        <v>222</v>
      </c>
      <c r="F5677" s="28" t="s">
        <v>142</v>
      </c>
      <c r="G5677" s="28" t="s">
        <v>148</v>
      </c>
      <c r="H5677" s="28" t="s">
        <v>1150</v>
      </c>
      <c r="I5677" s="29" t="n">
        <v>315000</v>
      </c>
      <c r="J5677" s="29" t="n">
        <v>236250</v>
      </c>
      <c r="K5677" s="28" t="n">
        <v>9.75</v>
      </c>
      <c r="L5677" s="28" t="n">
        <v>120</v>
      </c>
      <c r="M5677" s="28" t="n">
        <v>2</v>
      </c>
    </row>
    <row r="5678" customFormat="false" ht="15" hidden="false" customHeight="false" outlineLevel="0" collapsed="false">
      <c r="A5678" s="27" t="n">
        <v>46202</v>
      </c>
      <c r="B5678" s="28" t="n">
        <v>2026</v>
      </c>
      <c r="C5678" s="28" t="s">
        <v>312</v>
      </c>
      <c r="D5678" s="28" t="s">
        <v>51</v>
      </c>
      <c r="E5678" s="28" t="s">
        <v>779</v>
      </c>
      <c r="F5678" s="28" t="s">
        <v>142</v>
      </c>
      <c r="G5678" s="28" t="s">
        <v>148</v>
      </c>
      <c r="H5678" s="28" t="s">
        <v>771</v>
      </c>
      <c r="I5678" s="29" t="n">
        <v>45000</v>
      </c>
      <c r="J5678" s="29" t="n">
        <v>38250</v>
      </c>
      <c r="K5678" s="28" t="n">
        <v>9.75</v>
      </c>
      <c r="L5678" s="28" t="n">
        <v>120</v>
      </c>
      <c r="M5678" s="28" t="n">
        <v>2</v>
      </c>
    </row>
    <row r="5679" customFormat="false" ht="15" hidden="false" customHeight="false" outlineLevel="0" collapsed="false">
      <c r="A5679" s="27" t="n">
        <v>46202</v>
      </c>
      <c r="B5679" s="28" t="n">
        <v>2026</v>
      </c>
      <c r="C5679" s="28" t="s">
        <v>172</v>
      </c>
      <c r="D5679" s="28" t="s">
        <v>49</v>
      </c>
      <c r="E5679" s="28" t="s">
        <v>994</v>
      </c>
      <c r="F5679" s="28" t="s">
        <v>147</v>
      </c>
      <c r="G5679" s="28" t="s">
        <v>148</v>
      </c>
      <c r="H5679" s="28" t="s">
        <v>1014</v>
      </c>
      <c r="I5679" s="29" t="n">
        <v>150000</v>
      </c>
      <c r="J5679" s="29" t="n">
        <v>75000</v>
      </c>
      <c r="K5679" s="28" t="n">
        <v>10</v>
      </c>
      <c r="L5679" s="28" t="n">
        <v>84</v>
      </c>
      <c r="M5679" s="28" t="n">
        <v>0</v>
      </c>
    </row>
    <row r="5680" customFormat="false" ht="15" hidden="false" customHeight="false" outlineLevel="0" collapsed="false">
      <c r="A5680" s="27" t="n">
        <v>46202</v>
      </c>
      <c r="B5680" s="28" t="n">
        <v>2026</v>
      </c>
      <c r="C5680" s="28" t="s">
        <v>272</v>
      </c>
      <c r="D5680" s="28" t="s">
        <v>48</v>
      </c>
      <c r="E5680" s="28" t="s">
        <v>840</v>
      </c>
      <c r="F5680" s="28" t="s">
        <v>142</v>
      </c>
      <c r="G5680" s="28" t="s">
        <v>148</v>
      </c>
      <c r="H5680" s="28" t="s">
        <v>771</v>
      </c>
      <c r="I5680" s="29" t="n">
        <v>70000</v>
      </c>
      <c r="J5680" s="29" t="n">
        <v>59500</v>
      </c>
      <c r="K5680" s="28" t="n">
        <v>9.75</v>
      </c>
      <c r="L5680" s="28" t="n">
        <v>120</v>
      </c>
      <c r="M5680" s="28" t="n">
        <v>1</v>
      </c>
    </row>
    <row r="5681" customFormat="false" ht="15" hidden="false" customHeight="false" outlineLevel="0" collapsed="false">
      <c r="A5681" s="27" t="n">
        <v>46202</v>
      </c>
      <c r="B5681" s="28" t="n">
        <v>2026</v>
      </c>
      <c r="C5681" s="28" t="s">
        <v>163</v>
      </c>
      <c r="D5681" s="28" t="s">
        <v>44</v>
      </c>
      <c r="E5681" s="28" t="s">
        <v>729</v>
      </c>
      <c r="F5681" s="28" t="s">
        <v>147</v>
      </c>
      <c r="G5681" s="28" t="s">
        <v>148</v>
      </c>
      <c r="H5681" s="28" t="s">
        <v>428</v>
      </c>
      <c r="I5681" s="29" t="n">
        <v>200000</v>
      </c>
      <c r="J5681" s="29" t="n">
        <v>100000</v>
      </c>
      <c r="K5681" s="28" t="n">
        <v>11.55</v>
      </c>
      <c r="L5681" s="28" t="n">
        <v>120</v>
      </c>
      <c r="M5681" s="28" t="n">
        <v>8</v>
      </c>
    </row>
    <row r="5682" customFormat="false" ht="15" hidden="false" customHeight="false" outlineLevel="0" collapsed="false">
      <c r="A5682" s="27" t="n">
        <v>46202</v>
      </c>
      <c r="B5682" s="28" t="n">
        <v>2026</v>
      </c>
      <c r="C5682" s="28" t="s">
        <v>241</v>
      </c>
      <c r="D5682" s="28" t="s">
        <v>42</v>
      </c>
      <c r="E5682" s="28" t="s">
        <v>943</v>
      </c>
      <c r="F5682" s="28" t="s">
        <v>147</v>
      </c>
      <c r="G5682" s="28" t="s">
        <v>148</v>
      </c>
      <c r="H5682" s="28" t="s">
        <v>953</v>
      </c>
      <c r="I5682" s="29" t="n">
        <v>50000</v>
      </c>
      <c r="J5682" s="29" t="n">
        <v>25000</v>
      </c>
      <c r="K5682" s="28" t="n">
        <v>13.2</v>
      </c>
      <c r="L5682" s="28" t="n">
        <v>120</v>
      </c>
      <c r="M5682" s="28" t="n">
        <v>0</v>
      </c>
    </row>
    <row r="5683" customFormat="false" ht="15" hidden="false" customHeight="false" outlineLevel="0" collapsed="false">
      <c r="A5683" s="27" t="n">
        <v>46202</v>
      </c>
      <c r="B5683" s="28" t="n">
        <v>2026</v>
      </c>
      <c r="C5683" s="28" t="s">
        <v>249</v>
      </c>
      <c r="D5683" s="28" t="s">
        <v>42</v>
      </c>
      <c r="E5683" s="28" t="s">
        <v>753</v>
      </c>
      <c r="F5683" s="28" t="s">
        <v>142</v>
      </c>
      <c r="G5683" s="28" t="s">
        <v>441</v>
      </c>
      <c r="H5683" s="28" t="s">
        <v>314</v>
      </c>
      <c r="I5683" s="29" t="n">
        <v>852000</v>
      </c>
      <c r="J5683" s="29" t="n">
        <v>639000</v>
      </c>
      <c r="K5683" s="28" t="n">
        <v>8.5</v>
      </c>
      <c r="L5683" s="28" t="n">
        <v>120</v>
      </c>
      <c r="M5683" s="28" t="n">
        <v>20</v>
      </c>
    </row>
    <row r="5684" customFormat="false" ht="15" hidden="false" customHeight="false" outlineLevel="0" collapsed="false">
      <c r="A5684" s="27" t="n">
        <v>46202</v>
      </c>
      <c r="B5684" s="28" t="n">
        <v>2026</v>
      </c>
      <c r="C5684" s="28" t="s">
        <v>384</v>
      </c>
      <c r="D5684" s="28" t="s">
        <v>47</v>
      </c>
      <c r="E5684" s="28" t="s">
        <v>623</v>
      </c>
      <c r="F5684" s="28" t="s">
        <v>142</v>
      </c>
      <c r="G5684" s="28" t="s">
        <v>143</v>
      </c>
      <c r="H5684" s="28" t="s">
        <v>1184</v>
      </c>
      <c r="I5684" s="29" t="n">
        <v>727000</v>
      </c>
      <c r="J5684" s="29" t="n">
        <v>545250</v>
      </c>
      <c r="K5684" s="28" t="n">
        <v>7.75</v>
      </c>
      <c r="L5684" s="28" t="n">
        <v>120</v>
      </c>
      <c r="M5684" s="28" t="n">
        <v>9</v>
      </c>
    </row>
    <row r="5685" customFormat="false" ht="15" hidden="false" customHeight="false" outlineLevel="0" collapsed="false">
      <c r="A5685" s="27" t="n">
        <v>46202</v>
      </c>
      <c r="B5685" s="28" t="n">
        <v>2026</v>
      </c>
      <c r="C5685" s="28" t="s">
        <v>166</v>
      </c>
      <c r="D5685" s="28" t="s">
        <v>50</v>
      </c>
      <c r="E5685" s="28" t="s">
        <v>951</v>
      </c>
      <c r="F5685" s="28" t="s">
        <v>142</v>
      </c>
      <c r="G5685" s="28" t="s">
        <v>143</v>
      </c>
      <c r="H5685" s="28" t="s">
        <v>621</v>
      </c>
      <c r="I5685" s="29" t="n">
        <v>471700</v>
      </c>
      <c r="J5685" s="29" t="n">
        <v>353775</v>
      </c>
      <c r="K5685" s="28" t="n">
        <v>9</v>
      </c>
      <c r="L5685" s="28" t="n">
        <v>132</v>
      </c>
      <c r="M5685" s="28" t="n">
        <v>6</v>
      </c>
    </row>
    <row r="5686" customFormat="false" ht="15" hidden="false" customHeight="false" outlineLevel="0" collapsed="false">
      <c r="A5686" s="27" t="n">
        <v>46203</v>
      </c>
      <c r="B5686" s="28" t="n">
        <v>2026</v>
      </c>
      <c r="C5686" s="28" t="s">
        <v>166</v>
      </c>
      <c r="D5686" s="28" t="s">
        <v>48</v>
      </c>
      <c r="E5686" s="28" t="s">
        <v>210</v>
      </c>
      <c r="F5686" s="28" t="s">
        <v>147</v>
      </c>
      <c r="G5686" s="28" t="s">
        <v>441</v>
      </c>
      <c r="H5686" s="28" t="s">
        <v>159</v>
      </c>
      <c r="I5686" s="29" t="n">
        <v>140000</v>
      </c>
      <c r="J5686" s="29" t="n">
        <v>70000</v>
      </c>
      <c r="K5686" s="28" t="n">
        <v>10.5</v>
      </c>
      <c r="L5686" s="28" t="n">
        <v>120</v>
      </c>
      <c r="M5686" s="28" t="n">
        <v>3</v>
      </c>
    </row>
    <row r="5687" customFormat="false" ht="15" hidden="false" customHeight="false" outlineLevel="0" collapsed="false">
      <c r="A5687" s="27" t="n">
        <v>46203</v>
      </c>
      <c r="B5687" s="28" t="n">
        <v>2026</v>
      </c>
      <c r="C5687" s="28" t="s">
        <v>172</v>
      </c>
      <c r="D5687" s="28" t="s">
        <v>46</v>
      </c>
      <c r="E5687" s="28" t="s">
        <v>770</v>
      </c>
      <c r="F5687" s="28" t="s">
        <v>147</v>
      </c>
      <c r="G5687" s="28" t="s">
        <v>148</v>
      </c>
      <c r="H5687" s="28" t="s">
        <v>159</v>
      </c>
      <c r="I5687" s="29" t="n">
        <v>50000</v>
      </c>
      <c r="J5687" s="29" t="n">
        <v>25000</v>
      </c>
      <c r="K5687" s="28" t="n">
        <v>9.75</v>
      </c>
      <c r="L5687" s="28" t="n">
        <v>60</v>
      </c>
      <c r="M5687" s="28" t="n">
        <v>4</v>
      </c>
    </row>
    <row r="5688" customFormat="false" ht="15" hidden="false" customHeight="false" outlineLevel="0" collapsed="false">
      <c r="A5688" s="27" t="n">
        <v>46203</v>
      </c>
      <c r="B5688" s="28" t="n">
        <v>2026</v>
      </c>
      <c r="C5688" s="28" t="s">
        <v>230</v>
      </c>
      <c r="D5688" s="28" t="s">
        <v>49</v>
      </c>
      <c r="E5688" s="28" t="s">
        <v>809</v>
      </c>
      <c r="F5688" s="28" t="s">
        <v>142</v>
      </c>
      <c r="G5688" s="28" t="s">
        <v>148</v>
      </c>
      <c r="H5688" s="28" t="s">
        <v>619</v>
      </c>
      <c r="I5688" s="29" t="n">
        <v>1258000</v>
      </c>
      <c r="J5688" s="29" t="n">
        <v>943500</v>
      </c>
      <c r="K5688" s="28" t="n">
        <v>9.5</v>
      </c>
      <c r="L5688" s="28" t="n">
        <v>300</v>
      </c>
      <c r="M5688" s="28" t="n">
        <v>7</v>
      </c>
    </row>
    <row r="5689" customFormat="false" ht="15" hidden="false" customHeight="false" outlineLevel="0" collapsed="false">
      <c r="A5689" s="27" t="n">
        <v>46203</v>
      </c>
      <c r="B5689" s="28" t="n">
        <v>2026</v>
      </c>
      <c r="C5689" s="28" t="s">
        <v>183</v>
      </c>
      <c r="D5689" s="28" t="s">
        <v>44</v>
      </c>
      <c r="E5689" s="28" t="s">
        <v>783</v>
      </c>
      <c r="F5689" s="28" t="s">
        <v>142</v>
      </c>
      <c r="G5689" s="28" t="s">
        <v>441</v>
      </c>
      <c r="H5689" s="28" t="s">
        <v>144</v>
      </c>
      <c r="I5689" s="29" t="n">
        <v>80000</v>
      </c>
      <c r="J5689" s="29" t="n">
        <v>68000</v>
      </c>
      <c r="K5689" s="28" t="n">
        <v>10.24</v>
      </c>
      <c r="L5689" s="28" t="n">
        <v>120</v>
      </c>
      <c r="M5689" s="28" t="n">
        <v>8</v>
      </c>
    </row>
    <row r="5690" customFormat="false" ht="15" hidden="false" customHeight="false" outlineLevel="0" collapsed="false">
      <c r="A5690" s="27" t="n">
        <v>46203</v>
      </c>
      <c r="B5690" s="28" t="n">
        <v>2026</v>
      </c>
      <c r="C5690" s="28" t="s">
        <v>418</v>
      </c>
      <c r="D5690" s="28" t="s">
        <v>45</v>
      </c>
      <c r="E5690" s="28" t="s">
        <v>824</v>
      </c>
      <c r="F5690" s="28" t="s">
        <v>142</v>
      </c>
      <c r="G5690" s="28" t="s">
        <v>143</v>
      </c>
      <c r="H5690" s="28" t="s">
        <v>144</v>
      </c>
      <c r="I5690" s="29" t="n">
        <v>275000</v>
      </c>
      <c r="J5690" s="29" t="n">
        <v>206250</v>
      </c>
      <c r="K5690" s="28" t="n">
        <v>10.24</v>
      </c>
      <c r="L5690" s="28" t="n">
        <v>120</v>
      </c>
      <c r="M5690" s="28" t="n">
        <v>3</v>
      </c>
    </row>
  </sheetData>
  <autoFilter ref="A4:M56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1200</v>
      </c>
    </row>
    <row r="2" customFormat="false" ht="15" hidden="false" customHeight="false" outlineLevel="0" collapsed="false">
      <c r="A2" s="4" t="s">
        <v>1201</v>
      </c>
    </row>
    <row r="4" customFormat="false" ht="26.85" hidden="false" customHeight="false" outlineLevel="0" collapsed="false">
      <c r="A4" s="6" t="s">
        <v>24</v>
      </c>
      <c r="B4" s="6" t="s">
        <v>1202</v>
      </c>
      <c r="C4" s="6" t="s">
        <v>40</v>
      </c>
      <c r="D4" s="6" t="s">
        <v>25</v>
      </c>
      <c r="E4" s="6" t="s">
        <v>26</v>
      </c>
      <c r="F4" s="6" t="s">
        <v>1203</v>
      </c>
      <c r="G4" s="6" t="s">
        <v>28</v>
      </c>
    </row>
    <row r="5" customFormat="false" ht="15" hidden="false" customHeight="false" outlineLevel="0" collapsed="false">
      <c r="A5" s="28" t="n">
        <v>2020</v>
      </c>
      <c r="B5" s="28" t="s">
        <v>74</v>
      </c>
      <c r="C5" s="28" t="s">
        <v>42</v>
      </c>
      <c r="D5" s="28" t="n">
        <v>6</v>
      </c>
      <c r="E5" s="29" t="n">
        <v>3436300</v>
      </c>
      <c r="F5" s="30" t="n">
        <v>40.75</v>
      </c>
      <c r="G5" s="31" t="n">
        <f aca="false">IFERROR(F5/D5,0)</f>
        <v>6.79166666666667</v>
      </c>
    </row>
    <row r="6" customFormat="false" ht="15" hidden="false" customHeight="false" outlineLevel="0" collapsed="false">
      <c r="A6" s="28" t="n">
        <v>2020</v>
      </c>
      <c r="B6" s="28" t="s">
        <v>74</v>
      </c>
      <c r="C6" s="28" t="s">
        <v>50</v>
      </c>
      <c r="D6" s="28" t="n">
        <v>4</v>
      </c>
      <c r="E6" s="29" t="n">
        <v>2999500</v>
      </c>
      <c r="F6" s="30" t="n">
        <v>28.75</v>
      </c>
      <c r="G6" s="31" t="n">
        <f aca="false">IFERROR(F6/D6,0)</f>
        <v>7.1875</v>
      </c>
    </row>
    <row r="7" customFormat="false" ht="15" hidden="false" customHeight="false" outlineLevel="0" collapsed="false">
      <c r="A7" s="28" t="n">
        <v>2020</v>
      </c>
      <c r="B7" s="28" t="s">
        <v>74</v>
      </c>
      <c r="C7" s="28" t="s">
        <v>55</v>
      </c>
      <c r="D7" s="28" t="n">
        <v>4</v>
      </c>
      <c r="E7" s="29" t="n">
        <v>273000</v>
      </c>
      <c r="F7" s="30" t="n">
        <v>29</v>
      </c>
      <c r="G7" s="31" t="n">
        <f aca="false">IFERROR(F7/D7,0)</f>
        <v>7.25</v>
      </c>
    </row>
    <row r="8" customFormat="false" ht="15" hidden="false" customHeight="false" outlineLevel="0" collapsed="false">
      <c r="A8" s="28" t="n">
        <v>2020</v>
      </c>
      <c r="B8" s="28" t="s">
        <v>74</v>
      </c>
      <c r="C8" s="28" t="s">
        <v>51</v>
      </c>
      <c r="D8" s="28" t="n">
        <v>2</v>
      </c>
      <c r="E8" s="29" t="n">
        <v>2883300</v>
      </c>
      <c r="F8" s="30" t="n">
        <v>13</v>
      </c>
      <c r="G8" s="31" t="n">
        <f aca="false">IFERROR(F8/D8,0)</f>
        <v>6.5</v>
      </c>
    </row>
    <row r="9" customFormat="false" ht="15" hidden="false" customHeight="false" outlineLevel="0" collapsed="false">
      <c r="A9" s="28" t="n">
        <v>2020</v>
      </c>
      <c r="B9" s="28" t="s">
        <v>74</v>
      </c>
      <c r="C9" s="28" t="s">
        <v>45</v>
      </c>
      <c r="D9" s="28" t="n">
        <v>6</v>
      </c>
      <c r="E9" s="29" t="n">
        <v>698000</v>
      </c>
      <c r="F9" s="30" t="n">
        <v>45</v>
      </c>
      <c r="G9" s="31" t="n">
        <f aca="false">IFERROR(F9/D9,0)</f>
        <v>7.5</v>
      </c>
    </row>
    <row r="10" customFormat="false" ht="15" hidden="false" customHeight="false" outlineLevel="0" collapsed="false">
      <c r="A10" s="28" t="n">
        <v>2020</v>
      </c>
      <c r="B10" s="28" t="s">
        <v>74</v>
      </c>
      <c r="C10" s="28" t="s">
        <v>56</v>
      </c>
      <c r="D10" s="28" t="n">
        <v>3</v>
      </c>
      <c r="E10" s="29" t="n">
        <v>230000</v>
      </c>
      <c r="F10" s="30" t="n">
        <v>21.5</v>
      </c>
      <c r="G10" s="31" t="n">
        <f aca="false">IFERROR(F10/D10,0)</f>
        <v>7.16666666666667</v>
      </c>
    </row>
    <row r="11" customFormat="false" ht="15" hidden="false" customHeight="false" outlineLevel="0" collapsed="false">
      <c r="A11" s="28" t="n">
        <v>2020</v>
      </c>
      <c r="B11" s="28" t="s">
        <v>74</v>
      </c>
      <c r="C11" s="28" t="s">
        <v>54</v>
      </c>
      <c r="D11" s="28" t="n">
        <v>1</v>
      </c>
      <c r="E11" s="29" t="n">
        <v>1273600</v>
      </c>
      <c r="F11" s="30" t="n">
        <v>5.25</v>
      </c>
      <c r="G11" s="31" t="n">
        <f aca="false">IFERROR(F11/D11,0)</f>
        <v>5.25</v>
      </c>
    </row>
    <row r="12" customFormat="false" ht="15" hidden="false" customHeight="false" outlineLevel="0" collapsed="false">
      <c r="A12" s="28" t="n">
        <v>2020</v>
      </c>
      <c r="B12" s="28" t="s">
        <v>74</v>
      </c>
      <c r="C12" s="28" t="s">
        <v>44</v>
      </c>
      <c r="D12" s="28" t="n">
        <v>11</v>
      </c>
      <c r="E12" s="29" t="n">
        <v>2234100</v>
      </c>
      <c r="F12" s="30" t="n">
        <v>67.35</v>
      </c>
      <c r="G12" s="31" t="n">
        <f aca="false">IFERROR(F12/D12,0)</f>
        <v>6.12272727272727</v>
      </c>
    </row>
    <row r="13" customFormat="false" ht="15" hidden="false" customHeight="false" outlineLevel="0" collapsed="false">
      <c r="A13" s="28" t="n">
        <v>2020</v>
      </c>
      <c r="B13" s="28" t="s">
        <v>74</v>
      </c>
      <c r="C13" s="28" t="s">
        <v>47</v>
      </c>
      <c r="D13" s="28" t="n">
        <v>3</v>
      </c>
      <c r="E13" s="29" t="n">
        <v>1350500</v>
      </c>
      <c r="F13" s="30" t="n">
        <v>20.25</v>
      </c>
      <c r="G13" s="31" t="n">
        <f aca="false">IFERROR(F13/D13,0)</f>
        <v>6.75</v>
      </c>
    </row>
    <row r="14" customFormat="false" ht="15" hidden="false" customHeight="false" outlineLevel="0" collapsed="false">
      <c r="A14" s="28" t="n">
        <v>2020</v>
      </c>
      <c r="B14" s="28" t="s">
        <v>74</v>
      </c>
      <c r="C14" s="28" t="s">
        <v>46</v>
      </c>
      <c r="D14" s="28" t="n">
        <v>6</v>
      </c>
      <c r="E14" s="29" t="n">
        <v>4688600</v>
      </c>
      <c r="F14" s="30" t="n">
        <v>35.25</v>
      </c>
      <c r="G14" s="31" t="n">
        <f aca="false">IFERROR(F14/D14,0)</f>
        <v>5.875</v>
      </c>
    </row>
    <row r="15" customFormat="false" ht="15" hidden="false" customHeight="false" outlineLevel="0" collapsed="false">
      <c r="A15" s="28" t="n">
        <v>2020</v>
      </c>
      <c r="B15" s="28" t="s">
        <v>74</v>
      </c>
      <c r="C15" s="28" t="s">
        <v>48</v>
      </c>
      <c r="D15" s="28" t="n">
        <v>4</v>
      </c>
      <c r="E15" s="29" t="n">
        <v>590000</v>
      </c>
      <c r="F15" s="30" t="n">
        <v>25.5</v>
      </c>
      <c r="G15" s="31" t="n">
        <f aca="false">IFERROR(F15/D15,0)</f>
        <v>6.375</v>
      </c>
    </row>
    <row r="16" customFormat="false" ht="15" hidden="false" customHeight="false" outlineLevel="0" collapsed="false">
      <c r="A16" s="28" t="n">
        <v>2020</v>
      </c>
      <c r="B16" s="28" t="s">
        <v>74</v>
      </c>
      <c r="C16" s="28" t="s">
        <v>43</v>
      </c>
      <c r="D16" s="28" t="n">
        <v>11</v>
      </c>
      <c r="E16" s="29" t="n">
        <v>4413000</v>
      </c>
      <c r="F16" s="30" t="n">
        <v>89.75</v>
      </c>
      <c r="G16" s="31" t="n">
        <f aca="false">IFERROR(F16/D16,0)</f>
        <v>8.15909090909091</v>
      </c>
    </row>
    <row r="17" customFormat="false" ht="15" hidden="false" customHeight="false" outlineLevel="0" collapsed="false">
      <c r="A17" s="28" t="n">
        <v>2020</v>
      </c>
      <c r="B17" s="28" t="s">
        <v>74</v>
      </c>
      <c r="C17" s="28" t="s">
        <v>52</v>
      </c>
      <c r="D17" s="28" t="n">
        <v>2</v>
      </c>
      <c r="E17" s="29" t="n">
        <v>415000</v>
      </c>
      <c r="F17" s="30" t="n">
        <v>15.5</v>
      </c>
      <c r="G17" s="31" t="n">
        <f aca="false">IFERROR(F17/D17,0)</f>
        <v>7.75</v>
      </c>
    </row>
    <row r="18" customFormat="false" ht="15" hidden="false" customHeight="false" outlineLevel="0" collapsed="false">
      <c r="A18" s="28" t="n">
        <v>2020</v>
      </c>
      <c r="B18" s="28" t="s">
        <v>76</v>
      </c>
      <c r="C18" s="28" t="s">
        <v>42</v>
      </c>
      <c r="D18" s="28" t="n">
        <v>40</v>
      </c>
      <c r="E18" s="29" t="n">
        <v>35475500</v>
      </c>
      <c r="F18" s="30" t="n">
        <v>244.49</v>
      </c>
      <c r="G18" s="31" t="n">
        <f aca="false">IFERROR(F18/D18,0)</f>
        <v>6.11225</v>
      </c>
    </row>
    <row r="19" customFormat="false" ht="15" hidden="false" customHeight="false" outlineLevel="0" collapsed="false">
      <c r="A19" s="28" t="n">
        <v>2020</v>
      </c>
      <c r="B19" s="28" t="s">
        <v>76</v>
      </c>
      <c r="C19" s="28" t="s">
        <v>50</v>
      </c>
      <c r="D19" s="28" t="n">
        <v>17</v>
      </c>
      <c r="E19" s="29" t="n">
        <v>6480200</v>
      </c>
      <c r="F19" s="30" t="n">
        <v>108.29</v>
      </c>
      <c r="G19" s="31" t="n">
        <f aca="false">IFERROR(F19/D19,0)</f>
        <v>6.37</v>
      </c>
    </row>
    <row r="20" customFormat="false" ht="15" hidden="false" customHeight="false" outlineLevel="0" collapsed="false">
      <c r="A20" s="28" t="n">
        <v>2020</v>
      </c>
      <c r="B20" s="28" t="s">
        <v>76</v>
      </c>
      <c r="C20" s="28" t="s">
        <v>55</v>
      </c>
      <c r="D20" s="28" t="n">
        <v>13</v>
      </c>
      <c r="E20" s="29" t="n">
        <v>10974200</v>
      </c>
      <c r="F20" s="30" t="n">
        <v>78.17</v>
      </c>
      <c r="G20" s="31" t="n">
        <f aca="false">IFERROR(F20/D20,0)</f>
        <v>6.01307692307692</v>
      </c>
    </row>
    <row r="21" customFormat="false" ht="15" hidden="false" customHeight="false" outlineLevel="0" collapsed="false">
      <c r="A21" s="28" t="n">
        <v>2020</v>
      </c>
      <c r="B21" s="28" t="s">
        <v>76</v>
      </c>
      <c r="C21" s="28" t="s">
        <v>51</v>
      </c>
      <c r="D21" s="28" t="n">
        <v>10</v>
      </c>
      <c r="E21" s="29" t="n">
        <v>7499500</v>
      </c>
      <c r="F21" s="30" t="n">
        <v>68.24</v>
      </c>
      <c r="G21" s="31" t="n">
        <f aca="false">IFERROR(F21/D21,0)</f>
        <v>6.824</v>
      </c>
    </row>
    <row r="22" customFormat="false" ht="15" hidden="false" customHeight="false" outlineLevel="0" collapsed="false">
      <c r="A22" s="28" t="n">
        <v>2020</v>
      </c>
      <c r="B22" s="28" t="s">
        <v>76</v>
      </c>
      <c r="C22" s="28" t="s">
        <v>45</v>
      </c>
      <c r="D22" s="28" t="n">
        <v>14</v>
      </c>
      <c r="E22" s="29" t="n">
        <v>9304500</v>
      </c>
      <c r="F22" s="30" t="n">
        <v>103.15</v>
      </c>
      <c r="G22" s="31" t="n">
        <f aca="false">IFERROR(F22/D22,0)</f>
        <v>7.36785714285714</v>
      </c>
    </row>
    <row r="23" customFormat="false" ht="15" hidden="false" customHeight="false" outlineLevel="0" collapsed="false">
      <c r="A23" s="28" t="n">
        <v>2020</v>
      </c>
      <c r="B23" s="28" t="s">
        <v>76</v>
      </c>
      <c r="C23" s="28" t="s">
        <v>56</v>
      </c>
      <c r="D23" s="28" t="n">
        <v>2</v>
      </c>
      <c r="E23" s="29" t="n">
        <v>136000</v>
      </c>
      <c r="F23" s="30" t="n">
        <v>15.75</v>
      </c>
      <c r="G23" s="31" t="n">
        <f aca="false">IFERROR(F23/D23,0)</f>
        <v>7.875</v>
      </c>
    </row>
    <row r="24" customFormat="false" ht="15" hidden="false" customHeight="false" outlineLevel="0" collapsed="false">
      <c r="A24" s="28" t="n">
        <v>2020</v>
      </c>
      <c r="B24" s="28" t="s">
        <v>76</v>
      </c>
      <c r="C24" s="28" t="s">
        <v>54</v>
      </c>
      <c r="D24" s="28" t="n">
        <v>8</v>
      </c>
      <c r="E24" s="29" t="n">
        <v>8450200</v>
      </c>
      <c r="F24" s="30" t="n">
        <v>50.73</v>
      </c>
      <c r="G24" s="31" t="n">
        <f aca="false">IFERROR(F24/D24,0)</f>
        <v>6.34125</v>
      </c>
    </row>
    <row r="25" customFormat="false" ht="15" hidden="false" customHeight="false" outlineLevel="0" collapsed="false">
      <c r="A25" s="28" t="n">
        <v>2020</v>
      </c>
      <c r="B25" s="28" t="s">
        <v>76</v>
      </c>
      <c r="C25" s="28" t="s">
        <v>44</v>
      </c>
      <c r="D25" s="28" t="n">
        <v>19</v>
      </c>
      <c r="E25" s="29" t="n">
        <v>13507500</v>
      </c>
      <c r="F25" s="30" t="n">
        <v>115.35</v>
      </c>
      <c r="G25" s="31" t="n">
        <f aca="false">IFERROR(F25/D25,0)</f>
        <v>6.07105263157895</v>
      </c>
    </row>
    <row r="26" customFormat="false" ht="15" hidden="false" customHeight="false" outlineLevel="0" collapsed="false">
      <c r="A26" s="28" t="n">
        <v>2020</v>
      </c>
      <c r="B26" s="28" t="s">
        <v>76</v>
      </c>
      <c r="C26" s="28" t="s">
        <v>57</v>
      </c>
      <c r="D26" s="28" t="n">
        <v>3</v>
      </c>
      <c r="E26" s="29" t="n">
        <v>1569400</v>
      </c>
      <c r="F26" s="30" t="n">
        <v>17.65</v>
      </c>
      <c r="G26" s="31" t="n">
        <f aca="false">IFERROR(F26/D26,0)</f>
        <v>5.88333333333333</v>
      </c>
    </row>
    <row r="27" customFormat="false" ht="15" hidden="false" customHeight="false" outlineLevel="0" collapsed="false">
      <c r="A27" s="28" t="n">
        <v>2020</v>
      </c>
      <c r="B27" s="28" t="s">
        <v>76</v>
      </c>
      <c r="C27" s="28" t="s">
        <v>47</v>
      </c>
      <c r="D27" s="28" t="n">
        <v>12</v>
      </c>
      <c r="E27" s="29" t="n">
        <v>7728500</v>
      </c>
      <c r="F27" s="30" t="n">
        <v>76.1</v>
      </c>
      <c r="G27" s="31" t="n">
        <f aca="false">IFERROR(F27/D27,0)</f>
        <v>6.34166666666667</v>
      </c>
    </row>
    <row r="28" customFormat="false" ht="15" hidden="false" customHeight="false" outlineLevel="0" collapsed="false">
      <c r="A28" s="28" t="n">
        <v>2020</v>
      </c>
      <c r="B28" s="28" t="s">
        <v>76</v>
      </c>
      <c r="C28" s="28" t="s">
        <v>46</v>
      </c>
      <c r="D28" s="28" t="n">
        <v>22</v>
      </c>
      <c r="E28" s="29" t="n">
        <v>14847800</v>
      </c>
      <c r="F28" s="30" t="n">
        <v>147.25</v>
      </c>
      <c r="G28" s="31" t="n">
        <f aca="false">IFERROR(F28/D28,0)</f>
        <v>6.69318181818182</v>
      </c>
    </row>
    <row r="29" customFormat="false" ht="15" hidden="false" customHeight="false" outlineLevel="0" collapsed="false">
      <c r="A29" s="28" t="n">
        <v>2020</v>
      </c>
      <c r="B29" s="28" t="s">
        <v>76</v>
      </c>
      <c r="C29" s="28" t="s">
        <v>48</v>
      </c>
      <c r="D29" s="28" t="n">
        <v>15</v>
      </c>
      <c r="E29" s="29" t="n">
        <v>4340700</v>
      </c>
      <c r="F29" s="30" t="n">
        <v>104.75</v>
      </c>
      <c r="G29" s="31" t="n">
        <f aca="false">IFERROR(F29/D29,0)</f>
        <v>6.98333333333333</v>
      </c>
    </row>
    <row r="30" customFormat="false" ht="15" hidden="false" customHeight="false" outlineLevel="0" collapsed="false">
      <c r="A30" s="28" t="n">
        <v>2020</v>
      </c>
      <c r="B30" s="28" t="s">
        <v>76</v>
      </c>
      <c r="C30" s="28" t="s">
        <v>53</v>
      </c>
      <c r="D30" s="28" t="n">
        <v>3</v>
      </c>
      <c r="E30" s="29" t="n">
        <v>3145000</v>
      </c>
      <c r="F30" s="30" t="n">
        <v>20.75</v>
      </c>
      <c r="G30" s="31" t="n">
        <f aca="false">IFERROR(F30/D30,0)</f>
        <v>6.91666666666667</v>
      </c>
    </row>
    <row r="31" customFormat="false" ht="15" hidden="false" customHeight="false" outlineLevel="0" collapsed="false">
      <c r="A31" s="28" t="n">
        <v>2020</v>
      </c>
      <c r="B31" s="28" t="s">
        <v>76</v>
      </c>
      <c r="C31" s="28" t="s">
        <v>43</v>
      </c>
      <c r="D31" s="28" t="n">
        <v>42</v>
      </c>
      <c r="E31" s="29" t="n">
        <v>31218700</v>
      </c>
      <c r="F31" s="30" t="n">
        <v>266.3</v>
      </c>
      <c r="G31" s="31" t="n">
        <f aca="false">IFERROR(F31/D31,0)</f>
        <v>6.34047619047619</v>
      </c>
    </row>
    <row r="32" customFormat="false" ht="15" hidden="false" customHeight="false" outlineLevel="0" collapsed="false">
      <c r="A32" s="28" t="n">
        <v>2020</v>
      </c>
      <c r="B32" s="28" t="s">
        <v>76</v>
      </c>
      <c r="C32" s="28" t="s">
        <v>52</v>
      </c>
      <c r="D32" s="28" t="n">
        <v>14</v>
      </c>
      <c r="E32" s="29" t="n">
        <v>4996500</v>
      </c>
      <c r="F32" s="30" t="n">
        <v>99</v>
      </c>
      <c r="G32" s="31" t="n">
        <f aca="false">IFERROR(F32/D32,0)</f>
        <v>7.07142857142857</v>
      </c>
    </row>
    <row r="33" customFormat="false" ht="15" hidden="false" customHeight="false" outlineLevel="0" collapsed="false">
      <c r="A33" s="28" t="n">
        <v>2020</v>
      </c>
      <c r="B33" s="28" t="s">
        <v>76</v>
      </c>
      <c r="C33" s="28" t="s">
        <v>60</v>
      </c>
      <c r="D33" s="28" t="n">
        <v>2</v>
      </c>
      <c r="E33" s="29" t="n">
        <v>414000</v>
      </c>
      <c r="F33" s="30" t="n">
        <v>14.25</v>
      </c>
      <c r="G33" s="31" t="n">
        <f aca="false">IFERROR(F33/D33,0)</f>
        <v>7.125</v>
      </c>
    </row>
    <row r="34" customFormat="false" ht="15" hidden="false" customHeight="false" outlineLevel="0" collapsed="false">
      <c r="A34" s="28" t="n">
        <v>2020</v>
      </c>
      <c r="B34" s="28" t="s">
        <v>76</v>
      </c>
      <c r="C34" s="28" t="s">
        <v>49</v>
      </c>
      <c r="D34" s="28" t="n">
        <v>9</v>
      </c>
      <c r="E34" s="29" t="n">
        <v>4240500</v>
      </c>
      <c r="F34" s="30" t="n">
        <v>56.63</v>
      </c>
      <c r="G34" s="31" t="n">
        <f aca="false">IFERROR(F34/D34,0)</f>
        <v>6.29222222222222</v>
      </c>
    </row>
    <row r="35" customFormat="false" ht="15" hidden="false" customHeight="false" outlineLevel="0" collapsed="false">
      <c r="A35" s="28" t="n">
        <v>2020</v>
      </c>
      <c r="B35" s="28" t="s">
        <v>78</v>
      </c>
      <c r="C35" s="28" t="s">
        <v>42</v>
      </c>
      <c r="D35" s="28" t="n">
        <v>28</v>
      </c>
      <c r="E35" s="29" t="n">
        <v>12751200</v>
      </c>
      <c r="F35" s="30" t="n">
        <v>164.99</v>
      </c>
      <c r="G35" s="31" t="n">
        <f aca="false">IFERROR(F35/D35,0)</f>
        <v>5.8925</v>
      </c>
    </row>
    <row r="36" customFormat="false" ht="15" hidden="false" customHeight="false" outlineLevel="0" collapsed="false">
      <c r="A36" s="28" t="n">
        <v>2020</v>
      </c>
      <c r="B36" s="28" t="s">
        <v>78</v>
      </c>
      <c r="C36" s="28" t="s">
        <v>50</v>
      </c>
      <c r="D36" s="28" t="n">
        <v>8</v>
      </c>
      <c r="E36" s="29" t="n">
        <v>6619200</v>
      </c>
      <c r="F36" s="30" t="n">
        <v>46.1</v>
      </c>
      <c r="G36" s="31" t="n">
        <f aca="false">IFERROR(F36/D36,0)</f>
        <v>5.7625</v>
      </c>
    </row>
    <row r="37" customFormat="false" ht="15" hidden="false" customHeight="false" outlineLevel="0" collapsed="false">
      <c r="A37" s="28" t="n">
        <v>2020</v>
      </c>
      <c r="B37" s="28" t="s">
        <v>78</v>
      </c>
      <c r="C37" s="28" t="s">
        <v>55</v>
      </c>
      <c r="D37" s="28" t="n">
        <v>17</v>
      </c>
      <c r="E37" s="29" t="n">
        <v>14151200</v>
      </c>
      <c r="F37" s="30" t="n">
        <v>105.22</v>
      </c>
      <c r="G37" s="31" t="n">
        <f aca="false">IFERROR(F37/D37,0)</f>
        <v>6.18941176470588</v>
      </c>
    </row>
    <row r="38" customFormat="false" ht="15" hidden="false" customHeight="false" outlineLevel="0" collapsed="false">
      <c r="A38" s="28" t="n">
        <v>2020</v>
      </c>
      <c r="B38" s="28" t="s">
        <v>78</v>
      </c>
      <c r="C38" s="28" t="s">
        <v>51</v>
      </c>
      <c r="D38" s="28" t="n">
        <v>9</v>
      </c>
      <c r="E38" s="29" t="n">
        <v>5899100</v>
      </c>
      <c r="F38" s="30" t="n">
        <v>50.55</v>
      </c>
      <c r="G38" s="31" t="n">
        <f aca="false">IFERROR(F38/D38,0)</f>
        <v>5.61666666666667</v>
      </c>
    </row>
    <row r="39" customFormat="false" ht="15" hidden="false" customHeight="false" outlineLevel="0" collapsed="false">
      <c r="A39" s="28" t="n">
        <v>2020</v>
      </c>
      <c r="B39" s="28" t="s">
        <v>78</v>
      </c>
      <c r="C39" s="28" t="s">
        <v>45</v>
      </c>
      <c r="D39" s="28" t="n">
        <v>38</v>
      </c>
      <c r="E39" s="29" t="n">
        <v>5079200</v>
      </c>
      <c r="F39" s="30" t="n">
        <v>256.78</v>
      </c>
      <c r="G39" s="31" t="n">
        <f aca="false">IFERROR(F39/D39,0)</f>
        <v>6.75736842105263</v>
      </c>
    </row>
    <row r="40" customFormat="false" ht="15" hidden="false" customHeight="false" outlineLevel="0" collapsed="false">
      <c r="A40" s="28" t="n">
        <v>2020</v>
      </c>
      <c r="B40" s="28" t="s">
        <v>78</v>
      </c>
      <c r="C40" s="28" t="s">
        <v>56</v>
      </c>
      <c r="D40" s="28" t="n">
        <v>7</v>
      </c>
      <c r="E40" s="29" t="n">
        <v>1513800</v>
      </c>
      <c r="F40" s="30" t="n">
        <v>45.88</v>
      </c>
      <c r="G40" s="31" t="n">
        <f aca="false">IFERROR(F40/D40,0)</f>
        <v>6.55428571428571</v>
      </c>
    </row>
    <row r="41" customFormat="false" ht="15" hidden="false" customHeight="false" outlineLevel="0" collapsed="false">
      <c r="A41" s="28" t="n">
        <v>2020</v>
      </c>
      <c r="B41" s="28" t="s">
        <v>78</v>
      </c>
      <c r="C41" s="28" t="s">
        <v>54</v>
      </c>
      <c r="D41" s="28" t="n">
        <v>4</v>
      </c>
      <c r="E41" s="29" t="n">
        <v>328400</v>
      </c>
      <c r="F41" s="30" t="n">
        <v>25.5</v>
      </c>
      <c r="G41" s="31" t="n">
        <f aca="false">IFERROR(F41/D41,0)</f>
        <v>6.375</v>
      </c>
    </row>
    <row r="42" customFormat="false" ht="15" hidden="false" customHeight="false" outlineLevel="0" collapsed="false">
      <c r="A42" s="28" t="n">
        <v>2020</v>
      </c>
      <c r="B42" s="28" t="s">
        <v>78</v>
      </c>
      <c r="C42" s="28" t="s">
        <v>44</v>
      </c>
      <c r="D42" s="28" t="n">
        <v>15</v>
      </c>
      <c r="E42" s="29" t="n">
        <v>1588700</v>
      </c>
      <c r="F42" s="30" t="n">
        <v>93.04</v>
      </c>
      <c r="G42" s="31" t="n">
        <f aca="false">IFERROR(F42/D42,0)</f>
        <v>6.20266666666667</v>
      </c>
    </row>
    <row r="43" customFormat="false" ht="15" hidden="false" customHeight="false" outlineLevel="0" collapsed="false">
      <c r="A43" s="28" t="n">
        <v>2020</v>
      </c>
      <c r="B43" s="28" t="s">
        <v>78</v>
      </c>
      <c r="C43" s="28" t="s">
        <v>57</v>
      </c>
      <c r="D43" s="28" t="n">
        <v>3</v>
      </c>
      <c r="E43" s="29" t="n">
        <v>3724500</v>
      </c>
      <c r="F43" s="30" t="n">
        <v>17.5</v>
      </c>
      <c r="G43" s="31" t="n">
        <f aca="false">IFERROR(F43/D43,0)</f>
        <v>5.83333333333333</v>
      </c>
    </row>
    <row r="44" customFormat="false" ht="15" hidden="false" customHeight="false" outlineLevel="0" collapsed="false">
      <c r="A44" s="28" t="n">
        <v>2020</v>
      </c>
      <c r="B44" s="28" t="s">
        <v>78</v>
      </c>
      <c r="C44" s="28" t="s">
        <v>47</v>
      </c>
      <c r="D44" s="28" t="n">
        <v>21</v>
      </c>
      <c r="E44" s="29" t="n">
        <v>7719000</v>
      </c>
      <c r="F44" s="30" t="n">
        <v>114.13</v>
      </c>
      <c r="G44" s="31" t="n">
        <f aca="false">IFERROR(F44/D44,0)</f>
        <v>5.4347619047619</v>
      </c>
    </row>
    <row r="45" customFormat="false" ht="15" hidden="false" customHeight="false" outlineLevel="0" collapsed="false">
      <c r="A45" s="28" t="n">
        <v>2020</v>
      </c>
      <c r="B45" s="28" t="s">
        <v>78</v>
      </c>
      <c r="C45" s="28" t="s">
        <v>46</v>
      </c>
      <c r="D45" s="28" t="n">
        <v>24</v>
      </c>
      <c r="E45" s="29" t="n">
        <v>7616200</v>
      </c>
      <c r="F45" s="30" t="n">
        <v>153.565</v>
      </c>
      <c r="G45" s="31" t="n">
        <f aca="false">IFERROR(F45/D45,0)</f>
        <v>6.39854166666667</v>
      </c>
    </row>
    <row r="46" customFormat="false" ht="15" hidden="false" customHeight="false" outlineLevel="0" collapsed="false">
      <c r="A46" s="28" t="n">
        <v>2020</v>
      </c>
      <c r="B46" s="28" t="s">
        <v>78</v>
      </c>
      <c r="C46" s="28" t="s">
        <v>48</v>
      </c>
      <c r="D46" s="28" t="n">
        <v>18</v>
      </c>
      <c r="E46" s="29" t="n">
        <v>4872900</v>
      </c>
      <c r="F46" s="30" t="n">
        <v>95.99</v>
      </c>
      <c r="G46" s="31" t="n">
        <f aca="false">IFERROR(F46/D46,0)</f>
        <v>5.33277777777778</v>
      </c>
    </row>
    <row r="47" customFormat="false" ht="15" hidden="false" customHeight="false" outlineLevel="0" collapsed="false">
      <c r="A47" s="28" t="n">
        <v>2020</v>
      </c>
      <c r="B47" s="28" t="s">
        <v>78</v>
      </c>
      <c r="C47" s="28" t="s">
        <v>53</v>
      </c>
      <c r="D47" s="28" t="n">
        <v>4</v>
      </c>
      <c r="E47" s="29" t="n">
        <v>3328300</v>
      </c>
      <c r="F47" s="30" t="n">
        <v>24.25</v>
      </c>
      <c r="G47" s="31" t="n">
        <f aca="false">IFERROR(F47/D47,0)</f>
        <v>6.0625</v>
      </c>
    </row>
    <row r="48" customFormat="false" ht="15" hidden="false" customHeight="false" outlineLevel="0" collapsed="false">
      <c r="A48" s="28" t="n">
        <v>2020</v>
      </c>
      <c r="B48" s="28" t="s">
        <v>78</v>
      </c>
      <c r="C48" s="28" t="s">
        <v>43</v>
      </c>
      <c r="D48" s="28" t="n">
        <v>39</v>
      </c>
      <c r="E48" s="29" t="n">
        <v>14939000</v>
      </c>
      <c r="F48" s="30" t="n">
        <v>244.19</v>
      </c>
      <c r="G48" s="31" t="n">
        <f aca="false">IFERROR(F48/D48,0)</f>
        <v>6.26128205128205</v>
      </c>
    </row>
    <row r="49" customFormat="false" ht="15" hidden="false" customHeight="false" outlineLevel="0" collapsed="false">
      <c r="A49" s="28" t="n">
        <v>2020</v>
      </c>
      <c r="B49" s="28" t="s">
        <v>78</v>
      </c>
      <c r="C49" s="28" t="s">
        <v>52</v>
      </c>
      <c r="D49" s="28" t="n">
        <v>14</v>
      </c>
      <c r="E49" s="29" t="n">
        <v>4564900</v>
      </c>
      <c r="F49" s="30" t="n">
        <v>85.74</v>
      </c>
      <c r="G49" s="31" t="n">
        <f aca="false">IFERROR(F49/D49,0)</f>
        <v>6.12428571428571</v>
      </c>
    </row>
    <row r="50" customFormat="false" ht="15" hidden="false" customHeight="false" outlineLevel="0" collapsed="false">
      <c r="A50" s="28" t="n">
        <v>2020</v>
      </c>
      <c r="B50" s="28" t="s">
        <v>78</v>
      </c>
      <c r="C50" s="28" t="s">
        <v>60</v>
      </c>
      <c r="D50" s="28" t="n">
        <v>1</v>
      </c>
      <c r="E50" s="29" t="n">
        <v>14100</v>
      </c>
      <c r="F50" s="30" t="n">
        <v>2.75</v>
      </c>
      <c r="G50" s="31" t="n">
        <f aca="false">IFERROR(F50/D50,0)</f>
        <v>2.75</v>
      </c>
    </row>
    <row r="51" customFormat="false" ht="15" hidden="false" customHeight="false" outlineLevel="0" collapsed="false">
      <c r="A51" s="28" t="n">
        <v>2020</v>
      </c>
      <c r="B51" s="28" t="s">
        <v>78</v>
      </c>
      <c r="C51" s="28" t="s">
        <v>49</v>
      </c>
      <c r="D51" s="28" t="n">
        <v>6</v>
      </c>
      <c r="E51" s="29" t="n">
        <v>428200</v>
      </c>
      <c r="F51" s="30" t="n">
        <v>33</v>
      </c>
      <c r="G51" s="31" t="n">
        <f aca="false">IFERROR(F51/D51,0)</f>
        <v>5.5</v>
      </c>
    </row>
    <row r="52" customFormat="false" ht="15" hidden="false" customHeight="false" outlineLevel="0" collapsed="false">
      <c r="A52" s="28" t="n">
        <v>2020</v>
      </c>
      <c r="B52" s="28" t="s">
        <v>80</v>
      </c>
      <c r="C52" s="28" t="s">
        <v>42</v>
      </c>
      <c r="D52" s="28" t="n">
        <v>62</v>
      </c>
      <c r="E52" s="29" t="n">
        <v>57677500</v>
      </c>
      <c r="F52" s="30" t="n">
        <v>403.6</v>
      </c>
      <c r="G52" s="31" t="n">
        <f aca="false">IFERROR(F52/D52,0)</f>
        <v>6.50967741935484</v>
      </c>
    </row>
    <row r="53" customFormat="false" ht="15" hidden="false" customHeight="false" outlineLevel="0" collapsed="false">
      <c r="A53" s="28" t="n">
        <v>2020</v>
      </c>
      <c r="B53" s="28" t="s">
        <v>80</v>
      </c>
      <c r="C53" s="28" t="s">
        <v>50</v>
      </c>
      <c r="D53" s="28" t="n">
        <v>48</v>
      </c>
      <c r="E53" s="29" t="n">
        <v>23269200</v>
      </c>
      <c r="F53" s="30" t="n">
        <v>311.35</v>
      </c>
      <c r="G53" s="31" t="n">
        <f aca="false">IFERROR(F53/D53,0)</f>
        <v>6.48645833333333</v>
      </c>
    </row>
    <row r="54" customFormat="false" ht="15" hidden="false" customHeight="false" outlineLevel="0" collapsed="false">
      <c r="A54" s="28" t="n">
        <v>2020</v>
      </c>
      <c r="B54" s="28" t="s">
        <v>80</v>
      </c>
      <c r="C54" s="28" t="s">
        <v>51</v>
      </c>
      <c r="D54" s="28" t="n">
        <v>22</v>
      </c>
      <c r="E54" s="29" t="n">
        <v>15259300</v>
      </c>
      <c r="F54" s="30" t="n">
        <v>143.89</v>
      </c>
      <c r="G54" s="31" t="n">
        <f aca="false">IFERROR(F54/D54,0)</f>
        <v>6.54045454545455</v>
      </c>
    </row>
    <row r="55" customFormat="false" ht="15" hidden="false" customHeight="false" outlineLevel="0" collapsed="false">
      <c r="A55" s="28" t="n">
        <v>2020</v>
      </c>
      <c r="B55" s="28" t="s">
        <v>80</v>
      </c>
      <c r="C55" s="28" t="s">
        <v>45</v>
      </c>
      <c r="D55" s="28" t="n">
        <v>108</v>
      </c>
      <c r="E55" s="29" t="n">
        <v>49602200</v>
      </c>
      <c r="F55" s="30" t="n">
        <v>728.55</v>
      </c>
      <c r="G55" s="31" t="n">
        <f aca="false">IFERROR(F55/D55,0)</f>
        <v>6.74583333333333</v>
      </c>
    </row>
    <row r="56" customFormat="false" ht="15" hidden="false" customHeight="false" outlineLevel="0" collapsed="false">
      <c r="A56" s="28" t="n">
        <v>2020</v>
      </c>
      <c r="B56" s="28" t="s">
        <v>80</v>
      </c>
      <c r="C56" s="28" t="s">
        <v>56</v>
      </c>
      <c r="D56" s="28" t="n">
        <v>12</v>
      </c>
      <c r="E56" s="29" t="n">
        <v>9444000</v>
      </c>
      <c r="F56" s="30" t="n">
        <v>82.03</v>
      </c>
      <c r="G56" s="31" t="n">
        <f aca="false">IFERROR(F56/D56,0)</f>
        <v>6.83583333333333</v>
      </c>
    </row>
    <row r="57" customFormat="false" ht="15" hidden="false" customHeight="false" outlineLevel="0" collapsed="false">
      <c r="A57" s="28" t="n">
        <v>2020</v>
      </c>
      <c r="B57" s="28" t="s">
        <v>80</v>
      </c>
      <c r="C57" s="28" t="s">
        <v>54</v>
      </c>
      <c r="D57" s="28" t="n">
        <v>30</v>
      </c>
      <c r="E57" s="29" t="n">
        <v>11912300</v>
      </c>
      <c r="F57" s="30" t="n">
        <v>177.61</v>
      </c>
      <c r="G57" s="31" t="n">
        <f aca="false">IFERROR(F57/D57,0)</f>
        <v>5.92033333333333</v>
      </c>
    </row>
    <row r="58" customFormat="false" ht="15" hidden="false" customHeight="false" outlineLevel="0" collapsed="false">
      <c r="A58" s="28" t="n">
        <v>2020</v>
      </c>
      <c r="B58" s="28" t="s">
        <v>80</v>
      </c>
      <c r="C58" s="28" t="s">
        <v>44</v>
      </c>
      <c r="D58" s="28" t="n">
        <v>101</v>
      </c>
      <c r="E58" s="29" t="n">
        <v>70295000</v>
      </c>
      <c r="F58" s="30" t="n">
        <v>634.837</v>
      </c>
      <c r="G58" s="31" t="n">
        <f aca="false">IFERROR(F58/D58,0)</f>
        <v>6.28551485148515</v>
      </c>
    </row>
    <row r="59" customFormat="false" ht="15" hidden="false" customHeight="false" outlineLevel="0" collapsed="false">
      <c r="A59" s="28" t="n">
        <v>2020</v>
      </c>
      <c r="B59" s="28" t="s">
        <v>80</v>
      </c>
      <c r="C59" s="28" t="s">
        <v>57</v>
      </c>
      <c r="D59" s="28" t="n">
        <v>4</v>
      </c>
      <c r="E59" s="29" t="n">
        <v>5379200</v>
      </c>
      <c r="F59" s="30" t="n">
        <v>27.25</v>
      </c>
      <c r="G59" s="31" t="n">
        <f aca="false">IFERROR(F59/D59,0)</f>
        <v>6.8125</v>
      </c>
    </row>
    <row r="60" customFormat="false" ht="15" hidden="false" customHeight="false" outlineLevel="0" collapsed="false">
      <c r="A60" s="28" t="n">
        <v>2020</v>
      </c>
      <c r="B60" s="28" t="s">
        <v>80</v>
      </c>
      <c r="C60" s="28" t="s">
        <v>59</v>
      </c>
      <c r="D60" s="28" t="n">
        <v>1</v>
      </c>
      <c r="E60" s="29" t="n">
        <v>224100</v>
      </c>
      <c r="F60" s="30" t="n">
        <v>4.1</v>
      </c>
      <c r="G60" s="31" t="n">
        <f aca="false">IFERROR(F60/D60,0)</f>
        <v>4.1</v>
      </c>
    </row>
    <row r="61" customFormat="false" ht="15" hidden="false" customHeight="false" outlineLevel="0" collapsed="false">
      <c r="A61" s="28" t="n">
        <v>2020</v>
      </c>
      <c r="B61" s="28" t="s">
        <v>80</v>
      </c>
      <c r="C61" s="28" t="s">
        <v>47</v>
      </c>
      <c r="D61" s="28" t="n">
        <v>52</v>
      </c>
      <c r="E61" s="29" t="n">
        <v>42236900</v>
      </c>
      <c r="F61" s="30" t="n">
        <v>320.969</v>
      </c>
      <c r="G61" s="31" t="n">
        <f aca="false">IFERROR(F61/D61,0)</f>
        <v>6.17248076923077</v>
      </c>
    </row>
    <row r="62" customFormat="false" ht="15" hidden="false" customHeight="false" outlineLevel="0" collapsed="false">
      <c r="A62" s="28" t="n">
        <v>2020</v>
      </c>
      <c r="B62" s="28" t="s">
        <v>80</v>
      </c>
      <c r="C62" s="28" t="s">
        <v>46</v>
      </c>
      <c r="D62" s="28" t="n">
        <v>69</v>
      </c>
      <c r="E62" s="29" t="n">
        <v>42697500</v>
      </c>
      <c r="F62" s="30" t="n">
        <v>441.24</v>
      </c>
      <c r="G62" s="31" t="n">
        <f aca="false">IFERROR(F62/D62,0)</f>
        <v>6.39478260869565</v>
      </c>
    </row>
    <row r="63" customFormat="false" ht="15" hidden="false" customHeight="false" outlineLevel="0" collapsed="false">
      <c r="A63" s="28" t="n">
        <v>2020</v>
      </c>
      <c r="B63" s="28" t="s">
        <v>80</v>
      </c>
      <c r="C63" s="28" t="s">
        <v>48</v>
      </c>
      <c r="D63" s="28" t="n">
        <v>79</v>
      </c>
      <c r="E63" s="29" t="n">
        <v>37017500</v>
      </c>
      <c r="F63" s="30" t="n">
        <v>527.21</v>
      </c>
      <c r="G63" s="31" t="n">
        <f aca="false">IFERROR(F63/D63,0)</f>
        <v>6.67354430379747</v>
      </c>
    </row>
    <row r="64" customFormat="false" ht="15" hidden="false" customHeight="false" outlineLevel="0" collapsed="false">
      <c r="A64" s="28" t="n">
        <v>2020</v>
      </c>
      <c r="B64" s="28" t="s">
        <v>80</v>
      </c>
      <c r="C64" s="28" t="s">
        <v>53</v>
      </c>
      <c r="D64" s="28" t="n">
        <v>17</v>
      </c>
      <c r="E64" s="29" t="n">
        <v>16267200</v>
      </c>
      <c r="F64" s="30" t="n">
        <v>117.49</v>
      </c>
      <c r="G64" s="31" t="n">
        <f aca="false">IFERROR(F64/D64,0)</f>
        <v>6.91117647058824</v>
      </c>
    </row>
    <row r="65" customFormat="false" ht="15" hidden="false" customHeight="false" outlineLevel="0" collapsed="false">
      <c r="A65" s="28" t="n">
        <v>2020</v>
      </c>
      <c r="B65" s="28" t="s">
        <v>80</v>
      </c>
      <c r="C65" s="28" t="s">
        <v>43</v>
      </c>
      <c r="D65" s="28" t="n">
        <v>106</v>
      </c>
      <c r="E65" s="29" t="n">
        <v>82139700</v>
      </c>
      <c r="F65" s="30" t="n">
        <v>675.44</v>
      </c>
      <c r="G65" s="31" t="n">
        <f aca="false">IFERROR(F65/D65,0)</f>
        <v>6.37207547169811</v>
      </c>
    </row>
    <row r="66" customFormat="false" ht="15" hidden="false" customHeight="false" outlineLevel="0" collapsed="false">
      <c r="A66" s="28" t="n">
        <v>2020</v>
      </c>
      <c r="B66" s="28" t="s">
        <v>80</v>
      </c>
      <c r="C66" s="28" t="s">
        <v>52</v>
      </c>
      <c r="D66" s="28" t="n">
        <v>24</v>
      </c>
      <c r="E66" s="29" t="n">
        <v>6732300</v>
      </c>
      <c r="F66" s="30" t="n">
        <v>175.942</v>
      </c>
      <c r="G66" s="31" t="n">
        <f aca="false">IFERROR(F66/D66,0)</f>
        <v>7.33091666666667</v>
      </c>
    </row>
    <row r="67" customFormat="false" ht="15" hidden="false" customHeight="false" outlineLevel="0" collapsed="false">
      <c r="A67" s="28" t="n">
        <v>2020</v>
      </c>
      <c r="B67" s="28" t="s">
        <v>80</v>
      </c>
      <c r="C67" s="28" t="s">
        <v>60</v>
      </c>
      <c r="D67" s="28" t="n">
        <v>1</v>
      </c>
      <c r="E67" s="29" t="n">
        <v>1763000</v>
      </c>
      <c r="F67" s="30" t="n">
        <v>7.5</v>
      </c>
      <c r="G67" s="31" t="n">
        <f aca="false">IFERROR(F67/D67,0)</f>
        <v>7.5</v>
      </c>
    </row>
    <row r="68" customFormat="false" ht="15" hidden="false" customHeight="false" outlineLevel="0" collapsed="false">
      <c r="A68" s="28" t="n">
        <v>2020</v>
      </c>
      <c r="B68" s="28" t="s">
        <v>80</v>
      </c>
      <c r="C68" s="28" t="s">
        <v>49</v>
      </c>
      <c r="D68" s="28" t="n">
        <v>25</v>
      </c>
      <c r="E68" s="29" t="n">
        <v>21000100</v>
      </c>
      <c r="F68" s="30" t="n">
        <v>171.1</v>
      </c>
      <c r="G68" s="31" t="n">
        <f aca="false">IFERROR(F68/D68,0)</f>
        <v>6.844</v>
      </c>
    </row>
    <row r="69" customFormat="false" ht="15" hidden="false" customHeight="false" outlineLevel="0" collapsed="false">
      <c r="A69" s="28" t="n">
        <v>2020</v>
      </c>
      <c r="B69" s="28" t="s">
        <v>75</v>
      </c>
      <c r="C69" s="28" t="s">
        <v>42</v>
      </c>
      <c r="D69" s="28" t="n">
        <v>600</v>
      </c>
      <c r="E69" s="29" t="n">
        <v>492256900</v>
      </c>
      <c r="F69" s="30" t="n">
        <v>3884.188</v>
      </c>
      <c r="G69" s="31" t="n">
        <f aca="false">IFERROR(F69/D69,0)</f>
        <v>6.47364666666667</v>
      </c>
    </row>
    <row r="70" customFormat="false" ht="15" hidden="false" customHeight="false" outlineLevel="0" collapsed="false">
      <c r="A70" s="28" t="n">
        <v>2020</v>
      </c>
      <c r="B70" s="28" t="s">
        <v>75</v>
      </c>
      <c r="C70" s="28" t="s">
        <v>50</v>
      </c>
      <c r="D70" s="28" t="n">
        <v>155</v>
      </c>
      <c r="E70" s="29" t="n">
        <v>89742700</v>
      </c>
      <c r="F70" s="30" t="n">
        <v>1001.49</v>
      </c>
      <c r="G70" s="31" t="n">
        <f aca="false">IFERROR(F70/D70,0)</f>
        <v>6.46122580645161</v>
      </c>
    </row>
    <row r="71" customFormat="false" ht="15" hidden="false" customHeight="false" outlineLevel="0" collapsed="false">
      <c r="A71" s="28" t="n">
        <v>2020</v>
      </c>
      <c r="B71" s="28" t="s">
        <v>75</v>
      </c>
      <c r="C71" s="28" t="s">
        <v>55</v>
      </c>
      <c r="D71" s="28" t="n">
        <v>29</v>
      </c>
      <c r="E71" s="29" t="n">
        <v>15442700</v>
      </c>
      <c r="F71" s="30" t="n">
        <v>205.31</v>
      </c>
      <c r="G71" s="31" t="n">
        <f aca="false">IFERROR(F71/D71,0)</f>
        <v>7.07965517241379</v>
      </c>
    </row>
    <row r="72" customFormat="false" ht="15" hidden="false" customHeight="false" outlineLevel="0" collapsed="false">
      <c r="A72" s="28" t="n">
        <v>2020</v>
      </c>
      <c r="B72" s="28" t="s">
        <v>75</v>
      </c>
      <c r="C72" s="28" t="s">
        <v>51</v>
      </c>
      <c r="D72" s="28" t="n">
        <v>99</v>
      </c>
      <c r="E72" s="29" t="n">
        <v>59375200</v>
      </c>
      <c r="F72" s="30" t="n">
        <v>669.948</v>
      </c>
      <c r="G72" s="31" t="n">
        <f aca="false">IFERROR(F72/D72,0)</f>
        <v>6.76715151515152</v>
      </c>
    </row>
    <row r="73" customFormat="false" ht="15" hidden="false" customHeight="false" outlineLevel="0" collapsed="false">
      <c r="A73" s="28" t="n">
        <v>2020</v>
      </c>
      <c r="B73" s="28" t="s">
        <v>75</v>
      </c>
      <c r="C73" s="28" t="s">
        <v>45</v>
      </c>
      <c r="D73" s="28" t="n">
        <v>408</v>
      </c>
      <c r="E73" s="29" t="n">
        <v>189600300</v>
      </c>
      <c r="F73" s="30" t="n">
        <v>2770.408</v>
      </c>
      <c r="G73" s="31" t="n">
        <f aca="false">IFERROR(F73/D73,0)</f>
        <v>6.79021568627451</v>
      </c>
    </row>
    <row r="74" customFormat="false" ht="15" hidden="false" customHeight="false" outlineLevel="0" collapsed="false">
      <c r="A74" s="28" t="n">
        <v>2020</v>
      </c>
      <c r="B74" s="28" t="s">
        <v>75</v>
      </c>
      <c r="C74" s="28" t="s">
        <v>56</v>
      </c>
      <c r="D74" s="28" t="n">
        <v>54</v>
      </c>
      <c r="E74" s="29" t="n">
        <v>42688800</v>
      </c>
      <c r="F74" s="30" t="n">
        <v>358.16</v>
      </c>
      <c r="G74" s="31" t="n">
        <f aca="false">IFERROR(F74/D74,0)</f>
        <v>6.63259259259259</v>
      </c>
    </row>
    <row r="75" customFormat="false" ht="15" hidden="false" customHeight="false" outlineLevel="0" collapsed="false">
      <c r="A75" s="28" t="n">
        <v>2020</v>
      </c>
      <c r="B75" s="28" t="s">
        <v>75</v>
      </c>
      <c r="C75" s="28" t="s">
        <v>54</v>
      </c>
      <c r="D75" s="28" t="n">
        <v>95</v>
      </c>
      <c r="E75" s="29" t="n">
        <v>70147800</v>
      </c>
      <c r="F75" s="30" t="n">
        <v>577.089</v>
      </c>
      <c r="G75" s="31" t="n">
        <f aca="false">IFERROR(F75/D75,0)</f>
        <v>6.07462105263158</v>
      </c>
    </row>
    <row r="76" customFormat="false" ht="15" hidden="false" customHeight="false" outlineLevel="0" collapsed="false">
      <c r="A76" s="28" t="n">
        <v>2020</v>
      </c>
      <c r="B76" s="28" t="s">
        <v>75</v>
      </c>
      <c r="C76" s="28" t="s">
        <v>44</v>
      </c>
      <c r="D76" s="28" t="n">
        <v>436</v>
      </c>
      <c r="E76" s="29" t="n">
        <v>343357400</v>
      </c>
      <c r="F76" s="30" t="n">
        <v>2641.859</v>
      </c>
      <c r="G76" s="31" t="n">
        <f aca="false">IFERROR(F76/D76,0)</f>
        <v>6.05930963302752</v>
      </c>
    </row>
    <row r="77" customFormat="false" ht="15" hidden="false" customHeight="false" outlineLevel="0" collapsed="false">
      <c r="A77" s="28" t="n">
        <v>2020</v>
      </c>
      <c r="B77" s="28" t="s">
        <v>75</v>
      </c>
      <c r="C77" s="28" t="s">
        <v>57</v>
      </c>
      <c r="D77" s="28" t="n">
        <v>49</v>
      </c>
      <c r="E77" s="29" t="n">
        <v>21520000</v>
      </c>
      <c r="F77" s="30" t="n">
        <v>334.12</v>
      </c>
      <c r="G77" s="31" t="n">
        <f aca="false">IFERROR(F77/D77,0)</f>
        <v>6.81877551020408</v>
      </c>
    </row>
    <row r="78" customFormat="false" ht="15" hidden="false" customHeight="false" outlineLevel="0" collapsed="false">
      <c r="A78" s="28" t="n">
        <v>2020</v>
      </c>
      <c r="B78" s="28" t="s">
        <v>75</v>
      </c>
      <c r="C78" s="28" t="s">
        <v>59</v>
      </c>
      <c r="D78" s="28" t="n">
        <v>1</v>
      </c>
      <c r="E78" s="29" t="n">
        <v>640700</v>
      </c>
      <c r="F78" s="30" t="n">
        <v>6.25</v>
      </c>
      <c r="G78" s="31" t="n">
        <f aca="false">IFERROR(F78/D78,0)</f>
        <v>6.25</v>
      </c>
    </row>
    <row r="79" customFormat="false" ht="15" hidden="false" customHeight="false" outlineLevel="0" collapsed="false">
      <c r="A79" s="28" t="n">
        <v>2020</v>
      </c>
      <c r="B79" s="28" t="s">
        <v>75</v>
      </c>
      <c r="C79" s="28" t="s">
        <v>47</v>
      </c>
      <c r="D79" s="28" t="n">
        <v>273</v>
      </c>
      <c r="E79" s="29" t="n">
        <v>237824800</v>
      </c>
      <c r="F79" s="30" t="n">
        <v>1718.318</v>
      </c>
      <c r="G79" s="31" t="n">
        <f aca="false">IFERROR(F79/D79,0)</f>
        <v>6.29420512820513</v>
      </c>
    </row>
    <row r="80" customFormat="false" ht="15" hidden="false" customHeight="false" outlineLevel="0" collapsed="false">
      <c r="A80" s="28" t="n">
        <v>2020</v>
      </c>
      <c r="B80" s="28" t="s">
        <v>75</v>
      </c>
      <c r="C80" s="28" t="s">
        <v>46</v>
      </c>
      <c r="D80" s="28" t="n">
        <v>366</v>
      </c>
      <c r="E80" s="29" t="n">
        <v>290238100</v>
      </c>
      <c r="F80" s="30" t="n">
        <v>2316.178</v>
      </c>
      <c r="G80" s="31" t="n">
        <f aca="false">IFERROR(F80/D80,0)</f>
        <v>6.32835519125683</v>
      </c>
    </row>
    <row r="81" customFormat="false" ht="15" hidden="false" customHeight="false" outlineLevel="0" collapsed="false">
      <c r="A81" s="28" t="n">
        <v>2020</v>
      </c>
      <c r="B81" s="28" t="s">
        <v>75</v>
      </c>
      <c r="C81" s="28" t="s">
        <v>48</v>
      </c>
      <c r="D81" s="28" t="n">
        <v>459</v>
      </c>
      <c r="E81" s="29" t="n">
        <v>223785200</v>
      </c>
      <c r="F81" s="30" t="n">
        <v>3093.53</v>
      </c>
      <c r="G81" s="31" t="n">
        <f aca="false">IFERROR(F81/D81,0)</f>
        <v>6.73971677559913</v>
      </c>
    </row>
    <row r="82" customFormat="false" ht="15" hidden="false" customHeight="false" outlineLevel="0" collapsed="false">
      <c r="A82" s="28" t="n">
        <v>2020</v>
      </c>
      <c r="B82" s="28" t="s">
        <v>75</v>
      </c>
      <c r="C82" s="28" t="s">
        <v>53</v>
      </c>
      <c r="D82" s="28" t="n">
        <v>125</v>
      </c>
      <c r="E82" s="29" t="n">
        <v>95937800</v>
      </c>
      <c r="F82" s="30" t="n">
        <v>778.235</v>
      </c>
      <c r="G82" s="31" t="n">
        <f aca="false">IFERROR(F82/D82,0)</f>
        <v>6.22588</v>
      </c>
    </row>
    <row r="83" customFormat="false" ht="15" hidden="false" customHeight="false" outlineLevel="0" collapsed="false">
      <c r="A83" s="28" t="n">
        <v>2020</v>
      </c>
      <c r="B83" s="28" t="s">
        <v>75</v>
      </c>
      <c r="C83" s="28" t="s">
        <v>43</v>
      </c>
      <c r="D83" s="28" t="n">
        <v>681</v>
      </c>
      <c r="E83" s="29" t="n">
        <v>507244300</v>
      </c>
      <c r="F83" s="30" t="n">
        <v>4357.115</v>
      </c>
      <c r="G83" s="31" t="n">
        <f aca="false">IFERROR(F83/D83,0)</f>
        <v>6.39811306901615</v>
      </c>
    </row>
    <row r="84" customFormat="false" ht="15" hidden="false" customHeight="false" outlineLevel="0" collapsed="false">
      <c r="A84" s="28" t="n">
        <v>2020</v>
      </c>
      <c r="B84" s="28" t="s">
        <v>75</v>
      </c>
      <c r="C84" s="28" t="s">
        <v>52</v>
      </c>
      <c r="D84" s="28" t="n">
        <v>352</v>
      </c>
      <c r="E84" s="29" t="n">
        <v>125025400</v>
      </c>
      <c r="F84" s="30" t="n">
        <v>2136.485</v>
      </c>
      <c r="G84" s="31" t="n">
        <f aca="false">IFERROR(F84/D84,0)</f>
        <v>6.06955965909091</v>
      </c>
    </row>
    <row r="85" customFormat="false" ht="15" hidden="false" customHeight="false" outlineLevel="0" collapsed="false">
      <c r="A85" s="28" t="n">
        <v>2020</v>
      </c>
      <c r="B85" s="28" t="s">
        <v>75</v>
      </c>
      <c r="C85" s="28" t="s">
        <v>60</v>
      </c>
      <c r="D85" s="28" t="n">
        <v>7</v>
      </c>
      <c r="E85" s="29" t="n">
        <v>2200000</v>
      </c>
      <c r="F85" s="30" t="n">
        <v>45.84</v>
      </c>
      <c r="G85" s="31" t="n">
        <f aca="false">IFERROR(F85/D85,0)</f>
        <v>6.54857142857143</v>
      </c>
    </row>
    <row r="86" customFormat="false" ht="15" hidden="false" customHeight="false" outlineLevel="0" collapsed="false">
      <c r="A86" s="28" t="n">
        <v>2020</v>
      </c>
      <c r="B86" s="28" t="s">
        <v>75</v>
      </c>
      <c r="C86" s="28" t="s">
        <v>49</v>
      </c>
      <c r="D86" s="28" t="n">
        <v>286</v>
      </c>
      <c r="E86" s="29" t="n">
        <v>253130700</v>
      </c>
      <c r="F86" s="30" t="n">
        <v>1803.57</v>
      </c>
      <c r="G86" s="31" t="n">
        <f aca="false">IFERROR(F86/D86,0)</f>
        <v>6.30618881118881</v>
      </c>
    </row>
    <row r="87" customFormat="false" ht="15" hidden="false" customHeight="false" outlineLevel="0" collapsed="false">
      <c r="A87" s="28" t="n">
        <v>2020</v>
      </c>
      <c r="B87" s="28" t="s">
        <v>83</v>
      </c>
      <c r="C87" s="28" t="s">
        <v>42</v>
      </c>
      <c r="D87" s="28" t="n">
        <v>116</v>
      </c>
      <c r="E87" s="29" t="n">
        <v>107091100</v>
      </c>
      <c r="F87" s="30" t="n">
        <v>723.3</v>
      </c>
      <c r="G87" s="31" t="n">
        <f aca="false">IFERROR(F87/D87,0)</f>
        <v>6.23534482758621</v>
      </c>
    </row>
    <row r="88" customFormat="false" ht="15" hidden="false" customHeight="false" outlineLevel="0" collapsed="false">
      <c r="A88" s="28" t="n">
        <v>2020</v>
      </c>
      <c r="B88" s="28" t="s">
        <v>83</v>
      </c>
      <c r="C88" s="28" t="s">
        <v>50</v>
      </c>
      <c r="D88" s="28" t="n">
        <v>38</v>
      </c>
      <c r="E88" s="29" t="n">
        <v>31677600</v>
      </c>
      <c r="F88" s="30" t="n">
        <v>236.83</v>
      </c>
      <c r="G88" s="31" t="n">
        <f aca="false">IFERROR(F88/D88,0)</f>
        <v>6.23236842105263</v>
      </c>
    </row>
    <row r="89" customFormat="false" ht="15" hidden="false" customHeight="false" outlineLevel="0" collapsed="false">
      <c r="A89" s="28" t="n">
        <v>2020</v>
      </c>
      <c r="B89" s="28" t="s">
        <v>83</v>
      </c>
      <c r="C89" s="28" t="s">
        <v>55</v>
      </c>
      <c r="D89" s="28" t="n">
        <v>3</v>
      </c>
      <c r="E89" s="29" t="n">
        <v>510000</v>
      </c>
      <c r="F89" s="30" t="n">
        <v>22</v>
      </c>
      <c r="G89" s="31" t="n">
        <f aca="false">IFERROR(F89/D89,0)</f>
        <v>7.33333333333333</v>
      </c>
    </row>
    <row r="90" customFormat="false" ht="15" hidden="false" customHeight="false" outlineLevel="0" collapsed="false">
      <c r="A90" s="28" t="n">
        <v>2020</v>
      </c>
      <c r="B90" s="28" t="s">
        <v>83</v>
      </c>
      <c r="C90" s="28" t="s">
        <v>51</v>
      </c>
      <c r="D90" s="28" t="n">
        <v>40</v>
      </c>
      <c r="E90" s="29" t="n">
        <v>14696100</v>
      </c>
      <c r="F90" s="30" t="n">
        <v>261.61</v>
      </c>
      <c r="G90" s="31" t="n">
        <f aca="false">IFERROR(F90/D90,0)</f>
        <v>6.54025</v>
      </c>
    </row>
    <row r="91" customFormat="false" ht="15" hidden="false" customHeight="false" outlineLevel="0" collapsed="false">
      <c r="A91" s="28" t="n">
        <v>2020</v>
      </c>
      <c r="B91" s="28" t="s">
        <v>83</v>
      </c>
      <c r="C91" s="28" t="s">
        <v>45</v>
      </c>
      <c r="D91" s="28" t="n">
        <v>126</v>
      </c>
      <c r="E91" s="29" t="n">
        <v>76356900</v>
      </c>
      <c r="F91" s="30" t="n">
        <v>847.6</v>
      </c>
      <c r="G91" s="31" t="n">
        <f aca="false">IFERROR(F91/D91,0)</f>
        <v>6.72698412698413</v>
      </c>
    </row>
    <row r="92" customFormat="false" ht="15" hidden="false" customHeight="false" outlineLevel="0" collapsed="false">
      <c r="A92" s="28" t="n">
        <v>2020</v>
      </c>
      <c r="B92" s="28" t="s">
        <v>83</v>
      </c>
      <c r="C92" s="28" t="s">
        <v>56</v>
      </c>
      <c r="D92" s="28" t="n">
        <v>12</v>
      </c>
      <c r="E92" s="29" t="n">
        <v>2337900</v>
      </c>
      <c r="F92" s="30" t="n">
        <v>93</v>
      </c>
      <c r="G92" s="31" t="n">
        <f aca="false">IFERROR(F92/D92,0)</f>
        <v>7.75</v>
      </c>
    </row>
    <row r="93" customFormat="false" ht="15" hidden="false" customHeight="false" outlineLevel="0" collapsed="false">
      <c r="A93" s="28" t="n">
        <v>2020</v>
      </c>
      <c r="B93" s="28" t="s">
        <v>83</v>
      </c>
      <c r="C93" s="28" t="s">
        <v>54</v>
      </c>
      <c r="D93" s="28" t="n">
        <v>20</v>
      </c>
      <c r="E93" s="29" t="n">
        <v>9554800</v>
      </c>
      <c r="F93" s="30" t="n">
        <v>128.35</v>
      </c>
      <c r="G93" s="31" t="n">
        <f aca="false">IFERROR(F93/D93,0)</f>
        <v>6.4175</v>
      </c>
    </row>
    <row r="94" customFormat="false" ht="15" hidden="false" customHeight="false" outlineLevel="0" collapsed="false">
      <c r="A94" s="28" t="n">
        <v>2020</v>
      </c>
      <c r="B94" s="28" t="s">
        <v>83</v>
      </c>
      <c r="C94" s="28" t="s">
        <v>44</v>
      </c>
      <c r="D94" s="28" t="n">
        <v>87</v>
      </c>
      <c r="E94" s="29" t="n">
        <v>67944200</v>
      </c>
      <c r="F94" s="30" t="n">
        <v>526.93</v>
      </c>
      <c r="G94" s="31" t="n">
        <f aca="false">IFERROR(F94/D94,0)</f>
        <v>6.05666666666667</v>
      </c>
    </row>
    <row r="95" customFormat="false" ht="15" hidden="false" customHeight="false" outlineLevel="0" collapsed="false">
      <c r="A95" s="28" t="n">
        <v>2020</v>
      </c>
      <c r="B95" s="28" t="s">
        <v>83</v>
      </c>
      <c r="C95" s="28" t="s">
        <v>57</v>
      </c>
      <c r="D95" s="28" t="n">
        <v>11</v>
      </c>
      <c r="E95" s="29" t="n">
        <v>11697300</v>
      </c>
      <c r="F95" s="30" t="n">
        <v>69.99</v>
      </c>
      <c r="G95" s="31" t="n">
        <f aca="false">IFERROR(F95/D95,0)</f>
        <v>6.36272727272727</v>
      </c>
    </row>
    <row r="96" customFormat="false" ht="15" hidden="false" customHeight="false" outlineLevel="0" collapsed="false">
      <c r="A96" s="28" t="n">
        <v>2020</v>
      </c>
      <c r="B96" s="28" t="s">
        <v>83</v>
      </c>
      <c r="C96" s="28" t="s">
        <v>59</v>
      </c>
      <c r="D96" s="28" t="n">
        <v>2</v>
      </c>
      <c r="E96" s="29" t="n">
        <v>4457100</v>
      </c>
      <c r="F96" s="30" t="n">
        <v>8.75</v>
      </c>
      <c r="G96" s="31" t="n">
        <f aca="false">IFERROR(F96/D96,0)</f>
        <v>4.375</v>
      </c>
    </row>
    <row r="97" customFormat="false" ht="15" hidden="false" customHeight="false" outlineLevel="0" collapsed="false">
      <c r="A97" s="28" t="n">
        <v>2020</v>
      </c>
      <c r="B97" s="28" t="s">
        <v>83</v>
      </c>
      <c r="C97" s="28" t="s">
        <v>47</v>
      </c>
      <c r="D97" s="28" t="n">
        <v>62</v>
      </c>
      <c r="E97" s="29" t="n">
        <v>46463700</v>
      </c>
      <c r="F97" s="30" t="n">
        <v>388.2475</v>
      </c>
      <c r="G97" s="31" t="n">
        <f aca="false">IFERROR(F97/D97,0)</f>
        <v>6.2620564516129</v>
      </c>
    </row>
    <row r="98" customFormat="false" ht="15" hidden="false" customHeight="false" outlineLevel="0" collapsed="false">
      <c r="A98" s="28" t="n">
        <v>2020</v>
      </c>
      <c r="B98" s="28" t="s">
        <v>83</v>
      </c>
      <c r="C98" s="28" t="s">
        <v>58</v>
      </c>
      <c r="D98" s="28" t="n">
        <v>3</v>
      </c>
      <c r="E98" s="29" t="n">
        <v>2096700</v>
      </c>
      <c r="F98" s="30" t="n">
        <v>13.8</v>
      </c>
      <c r="G98" s="31" t="n">
        <f aca="false">IFERROR(F98/D98,0)</f>
        <v>4.6</v>
      </c>
    </row>
    <row r="99" customFormat="false" ht="15" hidden="false" customHeight="false" outlineLevel="0" collapsed="false">
      <c r="A99" s="28" t="n">
        <v>2020</v>
      </c>
      <c r="B99" s="28" t="s">
        <v>83</v>
      </c>
      <c r="C99" s="28" t="s">
        <v>46</v>
      </c>
      <c r="D99" s="28" t="n">
        <v>99</v>
      </c>
      <c r="E99" s="29" t="n">
        <v>57939400</v>
      </c>
      <c r="F99" s="30" t="n">
        <v>634.54</v>
      </c>
      <c r="G99" s="31" t="n">
        <f aca="false">IFERROR(F99/D99,0)</f>
        <v>6.40949494949495</v>
      </c>
    </row>
    <row r="100" customFormat="false" ht="15" hidden="false" customHeight="false" outlineLevel="0" collapsed="false">
      <c r="A100" s="28" t="n">
        <v>2020</v>
      </c>
      <c r="B100" s="28" t="s">
        <v>83</v>
      </c>
      <c r="C100" s="28" t="s">
        <v>48</v>
      </c>
      <c r="D100" s="28" t="n">
        <v>103</v>
      </c>
      <c r="E100" s="29" t="n">
        <v>43496500</v>
      </c>
      <c r="F100" s="30" t="n">
        <v>690.025</v>
      </c>
      <c r="G100" s="31" t="n">
        <f aca="false">IFERROR(F100/D100,0)</f>
        <v>6.69927184466019</v>
      </c>
    </row>
    <row r="101" customFormat="false" ht="15" hidden="false" customHeight="false" outlineLevel="0" collapsed="false">
      <c r="A101" s="28" t="n">
        <v>2020</v>
      </c>
      <c r="B101" s="28" t="s">
        <v>83</v>
      </c>
      <c r="C101" s="28" t="s">
        <v>53</v>
      </c>
      <c r="D101" s="28" t="n">
        <v>32</v>
      </c>
      <c r="E101" s="29" t="n">
        <v>25741300</v>
      </c>
      <c r="F101" s="30" t="n">
        <v>196.29</v>
      </c>
      <c r="G101" s="31" t="n">
        <f aca="false">IFERROR(F101/D101,0)</f>
        <v>6.1340625</v>
      </c>
    </row>
    <row r="102" customFormat="false" ht="15" hidden="false" customHeight="false" outlineLevel="0" collapsed="false">
      <c r="A102" s="28" t="n">
        <v>2020</v>
      </c>
      <c r="B102" s="28" t="s">
        <v>83</v>
      </c>
      <c r="C102" s="28" t="s">
        <v>43</v>
      </c>
      <c r="D102" s="28" t="n">
        <v>129</v>
      </c>
      <c r="E102" s="29" t="n">
        <v>81481300</v>
      </c>
      <c r="F102" s="30" t="n">
        <v>819.64</v>
      </c>
      <c r="G102" s="31" t="n">
        <f aca="false">IFERROR(F102/D102,0)</f>
        <v>6.3537984496124</v>
      </c>
    </row>
    <row r="103" customFormat="false" ht="15" hidden="false" customHeight="false" outlineLevel="0" collapsed="false">
      <c r="A103" s="28" t="n">
        <v>2020</v>
      </c>
      <c r="B103" s="28" t="s">
        <v>83</v>
      </c>
      <c r="C103" s="28" t="s">
        <v>52</v>
      </c>
      <c r="D103" s="28" t="n">
        <v>46</v>
      </c>
      <c r="E103" s="29" t="n">
        <v>14102900</v>
      </c>
      <c r="F103" s="30" t="n">
        <v>277.36</v>
      </c>
      <c r="G103" s="31" t="n">
        <f aca="false">IFERROR(F103/D103,0)</f>
        <v>6.02956521739131</v>
      </c>
    </row>
    <row r="104" customFormat="false" ht="15" hidden="false" customHeight="false" outlineLevel="0" collapsed="false">
      <c r="A104" s="28" t="n">
        <v>2020</v>
      </c>
      <c r="B104" s="28" t="s">
        <v>83</v>
      </c>
      <c r="C104" s="28" t="s">
        <v>60</v>
      </c>
      <c r="D104" s="28" t="n">
        <v>1</v>
      </c>
      <c r="E104" s="29" t="n">
        <v>50100</v>
      </c>
      <c r="F104" s="30" t="n">
        <v>6.49</v>
      </c>
      <c r="G104" s="31" t="n">
        <f aca="false">IFERROR(F104/D104,0)</f>
        <v>6.49</v>
      </c>
    </row>
    <row r="105" customFormat="false" ht="15" hidden="false" customHeight="false" outlineLevel="0" collapsed="false">
      <c r="A105" s="28" t="n">
        <v>2020</v>
      </c>
      <c r="B105" s="28" t="s">
        <v>83</v>
      </c>
      <c r="C105" s="28" t="s">
        <v>49</v>
      </c>
      <c r="D105" s="28" t="n">
        <v>28</v>
      </c>
      <c r="E105" s="29" t="n">
        <v>13148700</v>
      </c>
      <c r="F105" s="30" t="n">
        <v>178.63</v>
      </c>
      <c r="G105" s="31" t="n">
        <f aca="false">IFERROR(F105/D105,0)</f>
        <v>6.37964285714286</v>
      </c>
    </row>
    <row r="106" customFormat="false" ht="15" hidden="false" customHeight="false" outlineLevel="0" collapsed="false">
      <c r="A106" s="28" t="n">
        <v>2020</v>
      </c>
      <c r="B106" s="28" t="s">
        <v>85</v>
      </c>
      <c r="C106" s="28" t="s">
        <v>42</v>
      </c>
      <c r="D106" s="28" t="n">
        <v>34</v>
      </c>
      <c r="E106" s="29" t="n">
        <v>22326300</v>
      </c>
      <c r="F106" s="30" t="n">
        <v>239.94</v>
      </c>
      <c r="G106" s="31" t="n">
        <f aca="false">IFERROR(F106/D106,0)</f>
        <v>7.05705882352941</v>
      </c>
    </row>
    <row r="107" customFormat="false" ht="15" hidden="false" customHeight="false" outlineLevel="0" collapsed="false">
      <c r="A107" s="28" t="n">
        <v>2020</v>
      </c>
      <c r="B107" s="28" t="s">
        <v>85</v>
      </c>
      <c r="C107" s="28" t="s">
        <v>50</v>
      </c>
      <c r="D107" s="28" t="n">
        <v>27</v>
      </c>
      <c r="E107" s="29" t="n">
        <v>4803000</v>
      </c>
      <c r="F107" s="30" t="n">
        <v>203.35</v>
      </c>
      <c r="G107" s="31" t="n">
        <f aca="false">IFERROR(F107/D107,0)</f>
        <v>7.53148148148148</v>
      </c>
    </row>
    <row r="108" customFormat="false" ht="15" hidden="false" customHeight="false" outlineLevel="0" collapsed="false">
      <c r="A108" s="28" t="n">
        <v>2020</v>
      </c>
      <c r="B108" s="28" t="s">
        <v>85</v>
      </c>
      <c r="C108" s="28" t="s">
        <v>55</v>
      </c>
      <c r="D108" s="28" t="n">
        <v>2</v>
      </c>
      <c r="E108" s="29" t="n">
        <v>130000</v>
      </c>
      <c r="F108" s="30" t="n">
        <v>18</v>
      </c>
      <c r="G108" s="31" t="n">
        <f aca="false">IFERROR(F108/D108,0)</f>
        <v>9</v>
      </c>
    </row>
    <row r="109" customFormat="false" ht="15" hidden="false" customHeight="false" outlineLevel="0" collapsed="false">
      <c r="A109" s="28" t="n">
        <v>2020</v>
      </c>
      <c r="B109" s="28" t="s">
        <v>85</v>
      </c>
      <c r="C109" s="28" t="s">
        <v>51</v>
      </c>
      <c r="D109" s="28" t="n">
        <v>17</v>
      </c>
      <c r="E109" s="29" t="n">
        <v>7750600</v>
      </c>
      <c r="F109" s="30" t="n">
        <v>118.98</v>
      </c>
      <c r="G109" s="31" t="n">
        <f aca="false">IFERROR(F109/D109,0)</f>
        <v>6.99882352941177</v>
      </c>
    </row>
    <row r="110" customFormat="false" ht="15" hidden="false" customHeight="false" outlineLevel="0" collapsed="false">
      <c r="A110" s="28" t="n">
        <v>2020</v>
      </c>
      <c r="B110" s="28" t="s">
        <v>85</v>
      </c>
      <c r="C110" s="28" t="s">
        <v>45</v>
      </c>
      <c r="D110" s="28" t="n">
        <v>63</v>
      </c>
      <c r="E110" s="29" t="n">
        <v>12999700</v>
      </c>
      <c r="F110" s="30" t="n">
        <v>476.98</v>
      </c>
      <c r="G110" s="31" t="n">
        <f aca="false">IFERROR(F110/D110,0)</f>
        <v>7.57111111111111</v>
      </c>
    </row>
    <row r="111" customFormat="false" ht="15" hidden="false" customHeight="false" outlineLevel="0" collapsed="false">
      <c r="A111" s="28" t="n">
        <v>2020</v>
      </c>
      <c r="B111" s="28" t="s">
        <v>85</v>
      </c>
      <c r="C111" s="28" t="s">
        <v>56</v>
      </c>
      <c r="D111" s="28" t="n">
        <v>6</v>
      </c>
      <c r="E111" s="29" t="n">
        <v>1093200</v>
      </c>
      <c r="F111" s="30" t="n">
        <v>47.98</v>
      </c>
      <c r="G111" s="31" t="n">
        <f aca="false">IFERROR(F111/D111,0)</f>
        <v>7.99666666666667</v>
      </c>
    </row>
    <row r="112" customFormat="false" ht="15" hidden="false" customHeight="false" outlineLevel="0" collapsed="false">
      <c r="A112" s="28" t="n">
        <v>2020</v>
      </c>
      <c r="B112" s="28" t="s">
        <v>85</v>
      </c>
      <c r="C112" s="28" t="s">
        <v>54</v>
      </c>
      <c r="D112" s="28" t="n">
        <v>9</v>
      </c>
      <c r="E112" s="29" t="n">
        <v>7885000</v>
      </c>
      <c r="F112" s="30" t="n">
        <v>59.33</v>
      </c>
      <c r="G112" s="31" t="n">
        <f aca="false">IFERROR(F112/D112,0)</f>
        <v>6.59222222222222</v>
      </c>
    </row>
    <row r="113" customFormat="false" ht="15" hidden="false" customHeight="false" outlineLevel="0" collapsed="false">
      <c r="A113" s="28" t="n">
        <v>2020</v>
      </c>
      <c r="B113" s="28" t="s">
        <v>85</v>
      </c>
      <c r="C113" s="28" t="s">
        <v>44</v>
      </c>
      <c r="D113" s="28" t="n">
        <v>28</v>
      </c>
      <c r="E113" s="29" t="n">
        <v>8707100</v>
      </c>
      <c r="F113" s="30" t="n">
        <v>184.04</v>
      </c>
      <c r="G113" s="31" t="n">
        <f aca="false">IFERROR(F113/D113,0)</f>
        <v>6.57285714285714</v>
      </c>
    </row>
    <row r="114" customFormat="false" ht="15" hidden="false" customHeight="false" outlineLevel="0" collapsed="false">
      <c r="A114" s="28" t="n">
        <v>2020</v>
      </c>
      <c r="B114" s="28" t="s">
        <v>85</v>
      </c>
      <c r="C114" s="28" t="s">
        <v>57</v>
      </c>
      <c r="D114" s="28" t="n">
        <v>4</v>
      </c>
      <c r="E114" s="29" t="n">
        <v>550000</v>
      </c>
      <c r="F114" s="30" t="n">
        <v>29.83</v>
      </c>
      <c r="G114" s="31" t="n">
        <f aca="false">IFERROR(F114/D114,0)</f>
        <v>7.4575</v>
      </c>
    </row>
    <row r="115" customFormat="false" ht="15" hidden="false" customHeight="false" outlineLevel="0" collapsed="false">
      <c r="A115" s="28" t="n">
        <v>2020</v>
      </c>
      <c r="B115" s="28" t="s">
        <v>85</v>
      </c>
      <c r="C115" s="28" t="s">
        <v>47</v>
      </c>
      <c r="D115" s="28" t="n">
        <v>36</v>
      </c>
      <c r="E115" s="29" t="n">
        <v>13573000</v>
      </c>
      <c r="F115" s="30" t="n">
        <v>241.63</v>
      </c>
      <c r="G115" s="31" t="n">
        <f aca="false">IFERROR(F115/D115,0)</f>
        <v>6.71194444444445</v>
      </c>
    </row>
    <row r="116" customFormat="false" ht="15" hidden="false" customHeight="false" outlineLevel="0" collapsed="false">
      <c r="A116" s="28" t="n">
        <v>2020</v>
      </c>
      <c r="B116" s="28" t="s">
        <v>85</v>
      </c>
      <c r="C116" s="28" t="s">
        <v>46</v>
      </c>
      <c r="D116" s="28" t="n">
        <v>33</v>
      </c>
      <c r="E116" s="29" t="n">
        <v>11775900</v>
      </c>
      <c r="F116" s="30" t="n">
        <v>227.13</v>
      </c>
      <c r="G116" s="31" t="n">
        <f aca="false">IFERROR(F116/D116,0)</f>
        <v>6.88272727272727</v>
      </c>
    </row>
    <row r="117" customFormat="false" ht="15" hidden="false" customHeight="false" outlineLevel="0" collapsed="false">
      <c r="A117" s="28" t="n">
        <v>2020</v>
      </c>
      <c r="B117" s="28" t="s">
        <v>85</v>
      </c>
      <c r="C117" s="28" t="s">
        <v>48</v>
      </c>
      <c r="D117" s="28" t="n">
        <v>32</v>
      </c>
      <c r="E117" s="29" t="n">
        <v>13240100</v>
      </c>
      <c r="F117" s="30" t="n">
        <v>218.13</v>
      </c>
      <c r="G117" s="31" t="n">
        <f aca="false">IFERROR(F117/D117,0)</f>
        <v>6.8165625</v>
      </c>
    </row>
    <row r="118" customFormat="false" ht="15" hidden="false" customHeight="false" outlineLevel="0" collapsed="false">
      <c r="A118" s="28" t="n">
        <v>2020</v>
      </c>
      <c r="B118" s="28" t="s">
        <v>85</v>
      </c>
      <c r="C118" s="28" t="s">
        <v>53</v>
      </c>
      <c r="D118" s="28" t="n">
        <v>10</v>
      </c>
      <c r="E118" s="29" t="n">
        <v>1302600</v>
      </c>
      <c r="F118" s="30" t="n">
        <v>69.74</v>
      </c>
      <c r="G118" s="31" t="n">
        <f aca="false">IFERROR(F118/D118,0)</f>
        <v>6.974</v>
      </c>
    </row>
    <row r="119" customFormat="false" ht="15" hidden="false" customHeight="false" outlineLevel="0" collapsed="false">
      <c r="A119" s="28" t="n">
        <v>2020</v>
      </c>
      <c r="B119" s="28" t="s">
        <v>85</v>
      </c>
      <c r="C119" s="28" t="s">
        <v>43</v>
      </c>
      <c r="D119" s="28" t="n">
        <v>55</v>
      </c>
      <c r="E119" s="29" t="n">
        <v>27220200</v>
      </c>
      <c r="F119" s="30" t="n">
        <v>400.92</v>
      </c>
      <c r="G119" s="31" t="n">
        <f aca="false">IFERROR(F119/D119,0)</f>
        <v>7.28945454545455</v>
      </c>
    </row>
    <row r="120" customFormat="false" ht="15" hidden="false" customHeight="false" outlineLevel="0" collapsed="false">
      <c r="A120" s="28" t="n">
        <v>2020</v>
      </c>
      <c r="B120" s="28" t="s">
        <v>85</v>
      </c>
      <c r="C120" s="28" t="s">
        <v>52</v>
      </c>
      <c r="D120" s="28" t="n">
        <v>10</v>
      </c>
      <c r="E120" s="29" t="n">
        <v>3325000</v>
      </c>
      <c r="F120" s="30" t="n">
        <v>71.73</v>
      </c>
      <c r="G120" s="31" t="n">
        <f aca="false">IFERROR(F120/D120,0)</f>
        <v>7.173</v>
      </c>
    </row>
    <row r="121" customFormat="false" ht="15" hidden="false" customHeight="false" outlineLevel="0" collapsed="false">
      <c r="A121" s="28" t="n">
        <v>2020</v>
      </c>
      <c r="B121" s="28" t="s">
        <v>85</v>
      </c>
      <c r="C121" s="28" t="s">
        <v>60</v>
      </c>
      <c r="D121" s="28" t="n">
        <v>1</v>
      </c>
      <c r="E121" s="29" t="n">
        <v>1917000</v>
      </c>
      <c r="F121" s="30" t="n">
        <v>6.75</v>
      </c>
      <c r="G121" s="31" t="n">
        <f aca="false">IFERROR(F121/D121,0)</f>
        <v>6.75</v>
      </c>
    </row>
    <row r="122" customFormat="false" ht="15" hidden="false" customHeight="false" outlineLevel="0" collapsed="false">
      <c r="A122" s="28" t="n">
        <v>2020</v>
      </c>
      <c r="B122" s="28" t="s">
        <v>85</v>
      </c>
      <c r="C122" s="28" t="s">
        <v>49</v>
      </c>
      <c r="D122" s="28" t="n">
        <v>14</v>
      </c>
      <c r="E122" s="29" t="n">
        <v>5037200</v>
      </c>
      <c r="F122" s="30" t="n">
        <v>94.78</v>
      </c>
      <c r="G122" s="31" t="n">
        <f aca="false">IFERROR(F122/D122,0)</f>
        <v>6.77</v>
      </c>
    </row>
    <row r="123" customFormat="false" ht="15" hidden="false" customHeight="false" outlineLevel="0" collapsed="false">
      <c r="A123" s="28" t="n">
        <v>2020</v>
      </c>
      <c r="B123" s="28" t="s">
        <v>87</v>
      </c>
      <c r="C123" s="28" t="s">
        <v>42</v>
      </c>
      <c r="D123" s="28" t="n">
        <v>9</v>
      </c>
      <c r="E123" s="29" t="n">
        <v>4789000</v>
      </c>
      <c r="F123" s="30" t="n">
        <v>65.25</v>
      </c>
      <c r="G123" s="31" t="n">
        <f aca="false">IFERROR(F123/D123,0)</f>
        <v>7.25</v>
      </c>
    </row>
    <row r="124" customFormat="false" ht="15" hidden="false" customHeight="false" outlineLevel="0" collapsed="false">
      <c r="A124" s="28" t="n">
        <v>2020</v>
      </c>
      <c r="B124" s="28" t="s">
        <v>87</v>
      </c>
      <c r="C124" s="28" t="s">
        <v>50</v>
      </c>
      <c r="D124" s="28" t="n">
        <v>4</v>
      </c>
      <c r="E124" s="29" t="n">
        <v>651000</v>
      </c>
      <c r="F124" s="30" t="n">
        <v>25.25</v>
      </c>
      <c r="G124" s="31" t="n">
        <f aca="false">IFERROR(F124/D124,0)</f>
        <v>6.3125</v>
      </c>
    </row>
    <row r="125" customFormat="false" ht="15" hidden="false" customHeight="false" outlineLevel="0" collapsed="false">
      <c r="A125" s="28" t="n">
        <v>2020</v>
      </c>
      <c r="B125" s="28" t="s">
        <v>87</v>
      </c>
      <c r="C125" s="28" t="s">
        <v>51</v>
      </c>
      <c r="D125" s="28" t="n">
        <v>1</v>
      </c>
      <c r="E125" s="29" t="n">
        <v>950000</v>
      </c>
      <c r="F125" s="30" t="n">
        <v>6.75</v>
      </c>
      <c r="G125" s="31" t="n">
        <f aca="false">IFERROR(F125/D125,0)</f>
        <v>6.75</v>
      </c>
    </row>
    <row r="126" customFormat="false" ht="15" hidden="false" customHeight="false" outlineLevel="0" collapsed="false">
      <c r="A126" s="28" t="n">
        <v>2020</v>
      </c>
      <c r="B126" s="28" t="s">
        <v>87</v>
      </c>
      <c r="C126" s="28" t="s">
        <v>45</v>
      </c>
      <c r="D126" s="28" t="n">
        <v>8</v>
      </c>
      <c r="E126" s="29" t="n">
        <v>1121100</v>
      </c>
      <c r="F126" s="30" t="n">
        <v>67.53</v>
      </c>
      <c r="G126" s="31" t="n">
        <f aca="false">IFERROR(F126/D126,0)</f>
        <v>8.44125</v>
      </c>
    </row>
    <row r="127" customFormat="false" ht="15" hidden="false" customHeight="false" outlineLevel="0" collapsed="false">
      <c r="A127" s="28" t="n">
        <v>2020</v>
      </c>
      <c r="B127" s="28" t="s">
        <v>87</v>
      </c>
      <c r="C127" s="28" t="s">
        <v>56</v>
      </c>
      <c r="D127" s="28" t="n">
        <v>3</v>
      </c>
      <c r="E127" s="29" t="n">
        <v>634800</v>
      </c>
      <c r="F127" s="30" t="n">
        <v>21.95</v>
      </c>
      <c r="G127" s="31" t="n">
        <f aca="false">IFERROR(F127/D127,0)</f>
        <v>7.31666666666667</v>
      </c>
    </row>
    <row r="128" customFormat="false" ht="15" hidden="false" customHeight="false" outlineLevel="0" collapsed="false">
      <c r="A128" s="28" t="n">
        <v>2020</v>
      </c>
      <c r="B128" s="28" t="s">
        <v>87</v>
      </c>
      <c r="C128" s="28" t="s">
        <v>44</v>
      </c>
      <c r="D128" s="28" t="n">
        <v>5</v>
      </c>
      <c r="E128" s="29" t="n">
        <v>2620000</v>
      </c>
      <c r="F128" s="30" t="n">
        <v>38.5</v>
      </c>
      <c r="G128" s="31" t="n">
        <f aca="false">IFERROR(F128/D128,0)</f>
        <v>7.7</v>
      </c>
    </row>
    <row r="129" customFormat="false" ht="15" hidden="false" customHeight="false" outlineLevel="0" collapsed="false">
      <c r="A129" s="28" t="n">
        <v>2020</v>
      </c>
      <c r="B129" s="28" t="s">
        <v>87</v>
      </c>
      <c r="C129" s="28" t="s">
        <v>57</v>
      </c>
      <c r="D129" s="28" t="n">
        <v>1</v>
      </c>
      <c r="E129" s="29" t="n">
        <v>85000</v>
      </c>
      <c r="F129" s="30" t="n">
        <v>7.5</v>
      </c>
      <c r="G129" s="31" t="n">
        <f aca="false">IFERROR(F129/D129,0)</f>
        <v>7.5</v>
      </c>
    </row>
    <row r="130" customFormat="false" ht="15" hidden="false" customHeight="false" outlineLevel="0" collapsed="false">
      <c r="A130" s="28" t="n">
        <v>2020</v>
      </c>
      <c r="B130" s="28" t="s">
        <v>87</v>
      </c>
      <c r="C130" s="28" t="s">
        <v>46</v>
      </c>
      <c r="D130" s="28" t="n">
        <v>2</v>
      </c>
      <c r="E130" s="29" t="n">
        <v>485800</v>
      </c>
      <c r="F130" s="30" t="n">
        <v>12</v>
      </c>
      <c r="G130" s="31" t="n">
        <f aca="false">IFERROR(F130/D130,0)</f>
        <v>6</v>
      </c>
    </row>
    <row r="131" customFormat="false" ht="15" hidden="false" customHeight="false" outlineLevel="0" collapsed="false">
      <c r="A131" s="28" t="n">
        <v>2020</v>
      </c>
      <c r="B131" s="28" t="s">
        <v>87</v>
      </c>
      <c r="C131" s="28" t="s">
        <v>48</v>
      </c>
      <c r="D131" s="28" t="n">
        <v>11</v>
      </c>
      <c r="E131" s="29" t="n">
        <v>2087400</v>
      </c>
      <c r="F131" s="30" t="n">
        <v>71.5</v>
      </c>
      <c r="G131" s="31" t="n">
        <f aca="false">IFERROR(F131/D131,0)</f>
        <v>6.5</v>
      </c>
    </row>
    <row r="132" customFormat="false" ht="15" hidden="false" customHeight="false" outlineLevel="0" collapsed="false">
      <c r="A132" s="28" t="n">
        <v>2020</v>
      </c>
      <c r="B132" s="28" t="s">
        <v>87</v>
      </c>
      <c r="C132" s="28" t="s">
        <v>53</v>
      </c>
      <c r="D132" s="28" t="n">
        <v>1</v>
      </c>
      <c r="E132" s="29" t="n">
        <v>50000</v>
      </c>
      <c r="F132" s="30" t="n">
        <v>7.5</v>
      </c>
      <c r="G132" s="31" t="n">
        <f aca="false">IFERROR(F132/D132,0)</f>
        <v>7.5</v>
      </c>
    </row>
    <row r="133" customFormat="false" ht="15" hidden="false" customHeight="false" outlineLevel="0" collapsed="false">
      <c r="A133" s="28" t="n">
        <v>2020</v>
      </c>
      <c r="B133" s="28" t="s">
        <v>87</v>
      </c>
      <c r="C133" s="28" t="s">
        <v>43</v>
      </c>
      <c r="D133" s="28" t="n">
        <v>11</v>
      </c>
      <c r="E133" s="29" t="n">
        <v>3690900</v>
      </c>
      <c r="F133" s="30" t="n">
        <v>84.28</v>
      </c>
      <c r="G133" s="31" t="n">
        <f aca="false">IFERROR(F133/D133,0)</f>
        <v>7.66181818181818</v>
      </c>
    </row>
    <row r="134" customFormat="false" ht="15" hidden="false" customHeight="false" outlineLevel="0" collapsed="false">
      <c r="A134" s="28" t="n">
        <v>2020</v>
      </c>
      <c r="B134" s="28" t="s">
        <v>87</v>
      </c>
      <c r="C134" s="28" t="s">
        <v>52</v>
      </c>
      <c r="D134" s="28" t="n">
        <v>1</v>
      </c>
      <c r="E134" s="29" t="n">
        <v>150000</v>
      </c>
      <c r="F134" s="30" t="n">
        <v>6.25</v>
      </c>
      <c r="G134" s="31" t="n">
        <f aca="false">IFERROR(F134/D134,0)</f>
        <v>6.25</v>
      </c>
    </row>
    <row r="135" customFormat="false" ht="15" hidden="false" customHeight="false" outlineLevel="0" collapsed="false">
      <c r="A135" s="28" t="n">
        <v>2020</v>
      </c>
      <c r="B135" s="28" t="s">
        <v>87</v>
      </c>
      <c r="C135" s="28" t="s">
        <v>49</v>
      </c>
      <c r="D135" s="28" t="n">
        <v>1</v>
      </c>
      <c r="E135" s="29" t="n">
        <v>5000</v>
      </c>
      <c r="F135" s="30" t="n">
        <v>10.24</v>
      </c>
      <c r="G135" s="31" t="n">
        <f aca="false">IFERROR(F135/D135,0)</f>
        <v>10.24</v>
      </c>
    </row>
    <row r="136" customFormat="false" ht="15" hidden="false" customHeight="false" outlineLevel="0" collapsed="false">
      <c r="A136" s="28" t="n">
        <v>2020</v>
      </c>
      <c r="B136" s="28" t="s">
        <v>88</v>
      </c>
      <c r="C136" s="28" t="s">
        <v>42</v>
      </c>
      <c r="D136" s="28" t="n">
        <v>6</v>
      </c>
      <c r="E136" s="29" t="n">
        <v>2055500</v>
      </c>
      <c r="F136" s="30" t="n">
        <v>47.75</v>
      </c>
      <c r="G136" s="31" t="n">
        <f aca="false">IFERROR(F136/D136,0)</f>
        <v>7.95833333333333</v>
      </c>
    </row>
    <row r="137" customFormat="false" ht="15" hidden="false" customHeight="false" outlineLevel="0" collapsed="false">
      <c r="A137" s="28" t="n">
        <v>2020</v>
      </c>
      <c r="B137" s="28" t="s">
        <v>88</v>
      </c>
      <c r="C137" s="28" t="s">
        <v>50</v>
      </c>
      <c r="D137" s="28" t="n">
        <v>12</v>
      </c>
      <c r="E137" s="29" t="n">
        <v>4456400</v>
      </c>
      <c r="F137" s="30" t="n">
        <v>92.29</v>
      </c>
      <c r="G137" s="31" t="n">
        <f aca="false">IFERROR(F137/D137,0)</f>
        <v>7.69083333333333</v>
      </c>
    </row>
    <row r="138" customFormat="false" ht="15" hidden="false" customHeight="false" outlineLevel="0" collapsed="false">
      <c r="A138" s="28" t="n">
        <v>2020</v>
      </c>
      <c r="B138" s="28" t="s">
        <v>88</v>
      </c>
      <c r="C138" s="28" t="s">
        <v>55</v>
      </c>
      <c r="D138" s="28" t="n">
        <v>7</v>
      </c>
      <c r="E138" s="29" t="n">
        <v>2058400</v>
      </c>
      <c r="F138" s="30" t="n">
        <v>42.85</v>
      </c>
      <c r="G138" s="31" t="n">
        <f aca="false">IFERROR(F138/D138,0)</f>
        <v>6.12142857142857</v>
      </c>
    </row>
    <row r="139" customFormat="false" ht="15" hidden="false" customHeight="false" outlineLevel="0" collapsed="false">
      <c r="A139" s="28" t="n">
        <v>2020</v>
      </c>
      <c r="B139" s="28" t="s">
        <v>88</v>
      </c>
      <c r="C139" s="28" t="s">
        <v>51</v>
      </c>
      <c r="D139" s="28" t="n">
        <v>3</v>
      </c>
      <c r="E139" s="29" t="n">
        <v>366000</v>
      </c>
      <c r="F139" s="30" t="n">
        <v>28.5</v>
      </c>
      <c r="G139" s="31" t="n">
        <f aca="false">IFERROR(F139/D139,0)</f>
        <v>9.5</v>
      </c>
    </row>
    <row r="140" customFormat="false" ht="15" hidden="false" customHeight="false" outlineLevel="0" collapsed="false">
      <c r="A140" s="28" t="n">
        <v>2020</v>
      </c>
      <c r="B140" s="28" t="s">
        <v>88</v>
      </c>
      <c r="C140" s="28" t="s">
        <v>45</v>
      </c>
      <c r="D140" s="28" t="n">
        <v>11</v>
      </c>
      <c r="E140" s="29" t="n">
        <v>5587600</v>
      </c>
      <c r="F140" s="30" t="n">
        <v>98.73</v>
      </c>
      <c r="G140" s="31" t="n">
        <f aca="false">IFERROR(F140/D140,0)</f>
        <v>8.97545454545455</v>
      </c>
    </row>
    <row r="141" customFormat="false" ht="15" hidden="false" customHeight="false" outlineLevel="0" collapsed="false">
      <c r="A141" s="28" t="n">
        <v>2020</v>
      </c>
      <c r="B141" s="28" t="s">
        <v>88</v>
      </c>
      <c r="C141" s="28" t="s">
        <v>56</v>
      </c>
      <c r="D141" s="28" t="n">
        <v>4</v>
      </c>
      <c r="E141" s="29" t="n">
        <v>1688300</v>
      </c>
      <c r="F141" s="30" t="n">
        <v>24.55</v>
      </c>
      <c r="G141" s="31" t="n">
        <f aca="false">IFERROR(F141/D141,0)</f>
        <v>6.1375</v>
      </c>
    </row>
    <row r="142" customFormat="false" ht="15" hidden="false" customHeight="false" outlineLevel="0" collapsed="false">
      <c r="A142" s="28" t="n">
        <v>2020</v>
      </c>
      <c r="B142" s="28" t="s">
        <v>88</v>
      </c>
      <c r="C142" s="28" t="s">
        <v>54</v>
      </c>
      <c r="D142" s="28" t="n">
        <v>1</v>
      </c>
      <c r="E142" s="29" t="n">
        <v>375000</v>
      </c>
      <c r="F142" s="30" t="n">
        <v>5.74</v>
      </c>
      <c r="G142" s="31" t="n">
        <f aca="false">IFERROR(F142/D142,0)</f>
        <v>5.74</v>
      </c>
    </row>
    <row r="143" customFormat="false" ht="15" hidden="false" customHeight="false" outlineLevel="0" collapsed="false">
      <c r="A143" s="28" t="n">
        <v>2020</v>
      </c>
      <c r="B143" s="28" t="s">
        <v>88</v>
      </c>
      <c r="C143" s="28" t="s">
        <v>44</v>
      </c>
      <c r="D143" s="28" t="n">
        <v>7</v>
      </c>
      <c r="E143" s="29" t="n">
        <v>4907000</v>
      </c>
      <c r="F143" s="30" t="n">
        <v>53.54</v>
      </c>
      <c r="G143" s="31" t="n">
        <f aca="false">IFERROR(F143/D143,0)</f>
        <v>7.64857142857143</v>
      </c>
    </row>
    <row r="144" customFormat="false" ht="15" hidden="false" customHeight="false" outlineLevel="0" collapsed="false">
      <c r="A144" s="28" t="n">
        <v>2020</v>
      </c>
      <c r="B144" s="28" t="s">
        <v>88</v>
      </c>
      <c r="C144" s="28" t="s">
        <v>47</v>
      </c>
      <c r="D144" s="28" t="n">
        <v>6</v>
      </c>
      <c r="E144" s="29" t="n">
        <v>6001000</v>
      </c>
      <c r="F144" s="30" t="n">
        <v>35.5</v>
      </c>
      <c r="G144" s="31" t="n">
        <f aca="false">IFERROR(F144/D144,0)</f>
        <v>5.91666666666667</v>
      </c>
    </row>
    <row r="145" customFormat="false" ht="15" hidden="false" customHeight="false" outlineLevel="0" collapsed="false">
      <c r="A145" s="28" t="n">
        <v>2020</v>
      </c>
      <c r="B145" s="28" t="s">
        <v>88</v>
      </c>
      <c r="C145" s="28" t="s">
        <v>46</v>
      </c>
      <c r="D145" s="28" t="n">
        <v>9</v>
      </c>
      <c r="E145" s="29" t="n">
        <v>5010300</v>
      </c>
      <c r="F145" s="30" t="n">
        <v>73.13</v>
      </c>
      <c r="G145" s="31" t="n">
        <f aca="false">IFERROR(F145/D145,0)</f>
        <v>8.12555555555556</v>
      </c>
    </row>
    <row r="146" customFormat="false" ht="15" hidden="false" customHeight="false" outlineLevel="0" collapsed="false">
      <c r="A146" s="28" t="n">
        <v>2020</v>
      </c>
      <c r="B146" s="28" t="s">
        <v>88</v>
      </c>
      <c r="C146" s="28" t="s">
        <v>48</v>
      </c>
      <c r="D146" s="28" t="n">
        <v>12</v>
      </c>
      <c r="E146" s="29" t="n">
        <v>2667100</v>
      </c>
      <c r="F146" s="30" t="n">
        <v>90.78</v>
      </c>
      <c r="G146" s="31" t="n">
        <f aca="false">IFERROR(F146/D146,0)</f>
        <v>7.565</v>
      </c>
    </row>
    <row r="147" customFormat="false" ht="15" hidden="false" customHeight="false" outlineLevel="0" collapsed="false">
      <c r="A147" s="28" t="n">
        <v>2020</v>
      </c>
      <c r="B147" s="28" t="s">
        <v>88</v>
      </c>
      <c r="C147" s="28" t="s">
        <v>53</v>
      </c>
      <c r="D147" s="28" t="n">
        <v>4</v>
      </c>
      <c r="E147" s="29" t="n">
        <v>6429600</v>
      </c>
      <c r="F147" s="30" t="n">
        <v>27</v>
      </c>
      <c r="G147" s="31" t="n">
        <f aca="false">IFERROR(F147/D147,0)</f>
        <v>6.75</v>
      </c>
    </row>
    <row r="148" customFormat="false" ht="15" hidden="false" customHeight="false" outlineLevel="0" collapsed="false">
      <c r="A148" s="28" t="n">
        <v>2020</v>
      </c>
      <c r="B148" s="28" t="s">
        <v>88</v>
      </c>
      <c r="C148" s="28" t="s">
        <v>43</v>
      </c>
      <c r="D148" s="28" t="n">
        <v>23</v>
      </c>
      <c r="E148" s="29" t="n">
        <v>12886700</v>
      </c>
      <c r="F148" s="30" t="n">
        <v>166.02</v>
      </c>
      <c r="G148" s="31" t="n">
        <f aca="false">IFERROR(F148/D148,0)</f>
        <v>7.21826086956522</v>
      </c>
    </row>
    <row r="149" customFormat="false" ht="15" hidden="false" customHeight="false" outlineLevel="0" collapsed="false">
      <c r="A149" s="28" t="n">
        <v>2020</v>
      </c>
      <c r="B149" s="28" t="s">
        <v>88</v>
      </c>
      <c r="C149" s="28" t="s">
        <v>52</v>
      </c>
      <c r="D149" s="28" t="n">
        <v>7</v>
      </c>
      <c r="E149" s="29" t="n">
        <v>640200</v>
      </c>
      <c r="F149" s="30" t="n">
        <v>63.06</v>
      </c>
      <c r="G149" s="31" t="n">
        <f aca="false">IFERROR(F149/D149,0)</f>
        <v>9.00857142857143</v>
      </c>
    </row>
    <row r="150" customFormat="false" ht="15" hidden="false" customHeight="false" outlineLevel="0" collapsed="false">
      <c r="A150" s="28" t="n">
        <v>2020</v>
      </c>
      <c r="B150" s="28" t="s">
        <v>88</v>
      </c>
      <c r="C150" s="28" t="s">
        <v>49</v>
      </c>
      <c r="D150" s="28" t="n">
        <v>3</v>
      </c>
      <c r="E150" s="29" t="n">
        <v>425000</v>
      </c>
      <c r="F150" s="30" t="n">
        <v>23.4</v>
      </c>
      <c r="G150" s="31" t="n">
        <f aca="false">IFERROR(F150/D150,0)</f>
        <v>7.8</v>
      </c>
    </row>
    <row r="151" customFormat="false" ht="15" hidden="false" customHeight="false" outlineLevel="0" collapsed="false">
      <c r="A151" s="28" t="n">
        <v>2020</v>
      </c>
      <c r="B151" s="28" t="s">
        <v>79</v>
      </c>
      <c r="C151" s="28" t="s">
        <v>42</v>
      </c>
      <c r="D151" s="28" t="n">
        <v>197</v>
      </c>
      <c r="E151" s="29" t="n">
        <v>150304300</v>
      </c>
      <c r="F151" s="30" t="n">
        <v>1350.096</v>
      </c>
      <c r="G151" s="31" t="n">
        <f aca="false">IFERROR(F151/D151,0)</f>
        <v>6.85327918781726</v>
      </c>
    </row>
    <row r="152" customFormat="false" ht="15" hidden="false" customHeight="false" outlineLevel="0" collapsed="false">
      <c r="A152" s="28" t="n">
        <v>2020</v>
      </c>
      <c r="B152" s="28" t="s">
        <v>79</v>
      </c>
      <c r="C152" s="28" t="s">
        <v>50</v>
      </c>
      <c r="D152" s="28" t="n">
        <v>159</v>
      </c>
      <c r="E152" s="29" t="n">
        <v>62220100</v>
      </c>
      <c r="F152" s="30" t="n">
        <v>1116.01</v>
      </c>
      <c r="G152" s="31" t="n">
        <f aca="false">IFERROR(F152/D152,0)</f>
        <v>7.01893081761006</v>
      </c>
    </row>
    <row r="153" customFormat="false" ht="15" hidden="false" customHeight="false" outlineLevel="0" collapsed="false">
      <c r="A153" s="28" t="n">
        <v>2020</v>
      </c>
      <c r="B153" s="28" t="s">
        <v>79</v>
      </c>
      <c r="C153" s="28" t="s">
        <v>55</v>
      </c>
      <c r="D153" s="28" t="n">
        <v>11</v>
      </c>
      <c r="E153" s="29" t="n">
        <v>4511700</v>
      </c>
      <c r="F153" s="30" t="n">
        <v>80.02</v>
      </c>
      <c r="G153" s="31" t="n">
        <f aca="false">IFERROR(F153/D153,0)</f>
        <v>7.27454545454545</v>
      </c>
    </row>
    <row r="154" customFormat="false" ht="15" hidden="false" customHeight="false" outlineLevel="0" collapsed="false">
      <c r="A154" s="28" t="n">
        <v>2020</v>
      </c>
      <c r="B154" s="28" t="s">
        <v>79</v>
      </c>
      <c r="C154" s="28" t="s">
        <v>51</v>
      </c>
      <c r="D154" s="28" t="n">
        <v>82</v>
      </c>
      <c r="E154" s="29" t="n">
        <v>52168600</v>
      </c>
      <c r="F154" s="30" t="n">
        <v>553.96</v>
      </c>
      <c r="G154" s="31" t="n">
        <f aca="false">IFERROR(F154/D154,0)</f>
        <v>6.75560975609756</v>
      </c>
    </row>
    <row r="155" customFormat="false" ht="15" hidden="false" customHeight="false" outlineLevel="0" collapsed="false">
      <c r="A155" s="28" t="n">
        <v>2020</v>
      </c>
      <c r="B155" s="28" t="s">
        <v>79</v>
      </c>
      <c r="C155" s="28" t="s">
        <v>45</v>
      </c>
      <c r="D155" s="28" t="n">
        <v>241</v>
      </c>
      <c r="E155" s="29" t="n">
        <v>125924100</v>
      </c>
      <c r="F155" s="30" t="n">
        <v>1700.96</v>
      </c>
      <c r="G155" s="31" t="n">
        <f aca="false">IFERROR(F155/D155,0)</f>
        <v>7.05792531120332</v>
      </c>
    </row>
    <row r="156" customFormat="false" ht="15" hidden="false" customHeight="false" outlineLevel="0" collapsed="false">
      <c r="A156" s="28" t="n">
        <v>2020</v>
      </c>
      <c r="B156" s="28" t="s">
        <v>79</v>
      </c>
      <c r="C156" s="28" t="s">
        <v>56</v>
      </c>
      <c r="D156" s="28" t="n">
        <v>25</v>
      </c>
      <c r="E156" s="29" t="n">
        <v>15232800</v>
      </c>
      <c r="F156" s="30" t="n">
        <v>168.77</v>
      </c>
      <c r="G156" s="31" t="n">
        <f aca="false">IFERROR(F156/D156,0)</f>
        <v>6.7508</v>
      </c>
    </row>
    <row r="157" customFormat="false" ht="15" hidden="false" customHeight="false" outlineLevel="0" collapsed="false">
      <c r="A157" s="28" t="n">
        <v>2020</v>
      </c>
      <c r="B157" s="28" t="s">
        <v>79</v>
      </c>
      <c r="C157" s="28" t="s">
        <v>54</v>
      </c>
      <c r="D157" s="28" t="n">
        <v>75</v>
      </c>
      <c r="E157" s="29" t="n">
        <v>60616000</v>
      </c>
      <c r="F157" s="30" t="n">
        <v>498.3</v>
      </c>
      <c r="G157" s="31" t="n">
        <f aca="false">IFERROR(F157/D157,0)</f>
        <v>6.644</v>
      </c>
    </row>
    <row r="158" customFormat="false" ht="15" hidden="false" customHeight="false" outlineLevel="0" collapsed="false">
      <c r="A158" s="28" t="n">
        <v>2020</v>
      </c>
      <c r="B158" s="28" t="s">
        <v>79</v>
      </c>
      <c r="C158" s="28" t="s">
        <v>44</v>
      </c>
      <c r="D158" s="28" t="n">
        <v>212</v>
      </c>
      <c r="E158" s="29" t="n">
        <v>177417500</v>
      </c>
      <c r="F158" s="30" t="n">
        <v>1358.105</v>
      </c>
      <c r="G158" s="31" t="n">
        <f aca="false">IFERROR(F158/D158,0)</f>
        <v>6.40615566037736</v>
      </c>
    </row>
    <row r="159" customFormat="false" ht="15" hidden="false" customHeight="false" outlineLevel="0" collapsed="false">
      <c r="A159" s="28" t="n">
        <v>2020</v>
      </c>
      <c r="B159" s="28" t="s">
        <v>79</v>
      </c>
      <c r="C159" s="28" t="s">
        <v>57</v>
      </c>
      <c r="D159" s="28" t="n">
        <v>16</v>
      </c>
      <c r="E159" s="29" t="n">
        <v>11394800</v>
      </c>
      <c r="F159" s="30" t="n">
        <v>123.22</v>
      </c>
      <c r="G159" s="31" t="n">
        <f aca="false">IFERROR(F159/D159,0)</f>
        <v>7.70125</v>
      </c>
    </row>
    <row r="160" customFormat="false" ht="15" hidden="false" customHeight="false" outlineLevel="0" collapsed="false">
      <c r="A160" s="28" t="n">
        <v>2020</v>
      </c>
      <c r="B160" s="28" t="s">
        <v>79</v>
      </c>
      <c r="C160" s="28" t="s">
        <v>47</v>
      </c>
      <c r="D160" s="28" t="n">
        <v>132</v>
      </c>
      <c r="E160" s="29" t="n">
        <v>88279600</v>
      </c>
      <c r="F160" s="30" t="n">
        <v>882.48</v>
      </c>
      <c r="G160" s="31" t="n">
        <f aca="false">IFERROR(F160/D160,0)</f>
        <v>6.68545454545455</v>
      </c>
    </row>
    <row r="161" customFormat="false" ht="15" hidden="false" customHeight="false" outlineLevel="0" collapsed="false">
      <c r="A161" s="28" t="n">
        <v>2020</v>
      </c>
      <c r="B161" s="28" t="s">
        <v>79</v>
      </c>
      <c r="C161" s="28" t="s">
        <v>46</v>
      </c>
      <c r="D161" s="28" t="n">
        <v>200</v>
      </c>
      <c r="E161" s="29" t="n">
        <v>96054200</v>
      </c>
      <c r="F161" s="30" t="n">
        <v>1445.48</v>
      </c>
      <c r="G161" s="31" t="n">
        <f aca="false">IFERROR(F161/D161,0)</f>
        <v>7.2274</v>
      </c>
    </row>
    <row r="162" customFormat="false" ht="15" hidden="false" customHeight="false" outlineLevel="0" collapsed="false">
      <c r="A162" s="28" t="n">
        <v>2020</v>
      </c>
      <c r="B162" s="28" t="s">
        <v>79</v>
      </c>
      <c r="C162" s="28" t="s">
        <v>48</v>
      </c>
      <c r="D162" s="28" t="n">
        <v>197</v>
      </c>
      <c r="E162" s="29" t="n">
        <v>105170900</v>
      </c>
      <c r="F162" s="30" t="n">
        <v>1339.335</v>
      </c>
      <c r="G162" s="31" t="n">
        <f aca="false">IFERROR(F162/D162,0)</f>
        <v>6.79865482233503</v>
      </c>
    </row>
    <row r="163" customFormat="false" ht="15" hidden="false" customHeight="false" outlineLevel="0" collapsed="false">
      <c r="A163" s="28" t="n">
        <v>2020</v>
      </c>
      <c r="B163" s="28" t="s">
        <v>79</v>
      </c>
      <c r="C163" s="28" t="s">
        <v>61</v>
      </c>
      <c r="D163" s="28" t="n">
        <v>2</v>
      </c>
      <c r="E163" s="29" t="n">
        <v>1260200</v>
      </c>
      <c r="F163" s="30" t="n">
        <v>11.5</v>
      </c>
      <c r="G163" s="31" t="n">
        <f aca="false">IFERROR(F163/D163,0)</f>
        <v>5.75</v>
      </c>
    </row>
    <row r="164" customFormat="false" ht="15" hidden="false" customHeight="false" outlineLevel="0" collapsed="false">
      <c r="A164" s="28" t="n">
        <v>2020</v>
      </c>
      <c r="B164" s="28" t="s">
        <v>79</v>
      </c>
      <c r="C164" s="28" t="s">
        <v>53</v>
      </c>
      <c r="D164" s="28" t="n">
        <v>47</v>
      </c>
      <c r="E164" s="29" t="n">
        <v>27636800</v>
      </c>
      <c r="F164" s="30" t="n">
        <v>330.14</v>
      </c>
      <c r="G164" s="31" t="n">
        <f aca="false">IFERROR(F164/D164,0)</f>
        <v>7.02425531914894</v>
      </c>
    </row>
    <row r="165" customFormat="false" ht="15" hidden="false" customHeight="false" outlineLevel="0" collapsed="false">
      <c r="A165" s="28" t="n">
        <v>2020</v>
      </c>
      <c r="B165" s="28" t="s">
        <v>79</v>
      </c>
      <c r="C165" s="28" t="s">
        <v>43</v>
      </c>
      <c r="D165" s="28" t="n">
        <v>221</v>
      </c>
      <c r="E165" s="29" t="n">
        <v>130398600</v>
      </c>
      <c r="F165" s="30" t="n">
        <v>1547.367</v>
      </c>
      <c r="G165" s="31" t="n">
        <f aca="false">IFERROR(F165/D165,0)</f>
        <v>7.00166063348416</v>
      </c>
    </row>
    <row r="166" customFormat="false" ht="15" hidden="false" customHeight="false" outlineLevel="0" collapsed="false">
      <c r="A166" s="28" t="n">
        <v>2020</v>
      </c>
      <c r="B166" s="28" t="s">
        <v>79</v>
      </c>
      <c r="C166" s="28" t="s">
        <v>52</v>
      </c>
      <c r="D166" s="28" t="n">
        <v>108</v>
      </c>
      <c r="E166" s="29" t="n">
        <v>53855200</v>
      </c>
      <c r="F166" s="30" t="n">
        <v>864.745</v>
      </c>
      <c r="G166" s="31" t="n">
        <f aca="false">IFERROR(F166/D166,0)</f>
        <v>8.00689814814815</v>
      </c>
    </row>
    <row r="167" customFormat="false" ht="15" hidden="false" customHeight="false" outlineLevel="0" collapsed="false">
      <c r="A167" s="28" t="n">
        <v>2020</v>
      </c>
      <c r="B167" s="28" t="s">
        <v>79</v>
      </c>
      <c r="C167" s="28" t="s">
        <v>60</v>
      </c>
      <c r="D167" s="28" t="n">
        <v>3</v>
      </c>
      <c r="E167" s="29" t="n">
        <v>948600</v>
      </c>
      <c r="F167" s="30" t="n">
        <v>19.75</v>
      </c>
      <c r="G167" s="31" t="n">
        <f aca="false">IFERROR(F167/D167,0)</f>
        <v>6.58333333333333</v>
      </c>
    </row>
    <row r="168" customFormat="false" ht="15" hidden="false" customHeight="false" outlineLevel="0" collapsed="false">
      <c r="A168" s="28" t="n">
        <v>2020</v>
      </c>
      <c r="B168" s="28" t="s">
        <v>79</v>
      </c>
      <c r="C168" s="28" t="s">
        <v>49</v>
      </c>
      <c r="D168" s="28" t="n">
        <v>155</v>
      </c>
      <c r="E168" s="29" t="n">
        <v>134351300</v>
      </c>
      <c r="F168" s="30" t="n">
        <v>1060.63563</v>
      </c>
      <c r="G168" s="31" t="n">
        <f aca="false">IFERROR(F168/D168,0)</f>
        <v>6.84281051612903</v>
      </c>
    </row>
    <row r="169" customFormat="false" ht="15" hidden="false" customHeight="false" outlineLevel="0" collapsed="false">
      <c r="A169" s="28" t="n">
        <v>2020</v>
      </c>
      <c r="B169" s="28" t="s">
        <v>81</v>
      </c>
      <c r="C169" s="28" t="s">
        <v>42</v>
      </c>
      <c r="D169" s="28" t="n">
        <v>188</v>
      </c>
      <c r="E169" s="29" t="n">
        <v>194897500</v>
      </c>
      <c r="F169" s="30" t="n">
        <v>1139.44</v>
      </c>
      <c r="G169" s="31" t="n">
        <f aca="false">IFERROR(F169/D169,0)</f>
        <v>6.06085106382979</v>
      </c>
    </row>
    <row r="170" customFormat="false" ht="15" hidden="false" customHeight="false" outlineLevel="0" collapsed="false">
      <c r="A170" s="28" t="n">
        <v>2020</v>
      </c>
      <c r="B170" s="28" t="s">
        <v>81</v>
      </c>
      <c r="C170" s="28" t="s">
        <v>50</v>
      </c>
      <c r="D170" s="28" t="n">
        <v>67</v>
      </c>
      <c r="E170" s="29" t="n">
        <v>28407100</v>
      </c>
      <c r="F170" s="30" t="n">
        <v>448.23</v>
      </c>
      <c r="G170" s="31" t="n">
        <f aca="false">IFERROR(F170/D170,0)</f>
        <v>6.69</v>
      </c>
    </row>
    <row r="171" customFormat="false" ht="15" hidden="false" customHeight="false" outlineLevel="0" collapsed="false">
      <c r="A171" s="28" t="n">
        <v>2020</v>
      </c>
      <c r="B171" s="28" t="s">
        <v>81</v>
      </c>
      <c r="C171" s="28" t="s">
        <v>55</v>
      </c>
      <c r="D171" s="28" t="n">
        <v>28</v>
      </c>
      <c r="E171" s="29" t="n">
        <v>37630500</v>
      </c>
      <c r="F171" s="30" t="n">
        <v>148.29</v>
      </c>
      <c r="G171" s="31" t="n">
        <f aca="false">IFERROR(F171/D171,0)</f>
        <v>5.29607142857143</v>
      </c>
    </row>
    <row r="172" customFormat="false" ht="15" hidden="false" customHeight="false" outlineLevel="0" collapsed="false">
      <c r="A172" s="28" t="n">
        <v>2020</v>
      </c>
      <c r="B172" s="28" t="s">
        <v>81</v>
      </c>
      <c r="C172" s="28" t="s">
        <v>51</v>
      </c>
      <c r="D172" s="28" t="n">
        <v>37</v>
      </c>
      <c r="E172" s="29" t="n">
        <v>25191900</v>
      </c>
      <c r="F172" s="30" t="n">
        <v>255</v>
      </c>
      <c r="G172" s="31" t="n">
        <f aca="false">IFERROR(F172/D172,0)</f>
        <v>6.89189189189189</v>
      </c>
    </row>
    <row r="173" customFormat="false" ht="15" hidden="false" customHeight="false" outlineLevel="0" collapsed="false">
      <c r="A173" s="28" t="n">
        <v>2020</v>
      </c>
      <c r="B173" s="28" t="s">
        <v>81</v>
      </c>
      <c r="C173" s="28" t="s">
        <v>45</v>
      </c>
      <c r="D173" s="28" t="n">
        <v>72</v>
      </c>
      <c r="E173" s="29" t="n">
        <v>35140000</v>
      </c>
      <c r="F173" s="30" t="n">
        <v>488.045</v>
      </c>
      <c r="G173" s="31" t="n">
        <f aca="false">IFERROR(F173/D173,0)</f>
        <v>6.77840277777778</v>
      </c>
    </row>
    <row r="174" customFormat="false" ht="15" hidden="false" customHeight="false" outlineLevel="0" collapsed="false">
      <c r="A174" s="28" t="n">
        <v>2020</v>
      </c>
      <c r="B174" s="28" t="s">
        <v>81</v>
      </c>
      <c r="C174" s="28" t="s">
        <v>56</v>
      </c>
      <c r="D174" s="28" t="n">
        <v>14</v>
      </c>
      <c r="E174" s="29" t="n">
        <v>7567900</v>
      </c>
      <c r="F174" s="30" t="n">
        <v>87</v>
      </c>
      <c r="G174" s="31" t="n">
        <f aca="false">IFERROR(F174/D174,0)</f>
        <v>6.21428571428571</v>
      </c>
    </row>
    <row r="175" customFormat="false" ht="15" hidden="false" customHeight="false" outlineLevel="0" collapsed="false">
      <c r="A175" s="28" t="n">
        <v>2020</v>
      </c>
      <c r="B175" s="28" t="s">
        <v>81</v>
      </c>
      <c r="C175" s="28" t="s">
        <v>54</v>
      </c>
      <c r="D175" s="28" t="n">
        <v>16</v>
      </c>
      <c r="E175" s="29" t="n">
        <v>8573800</v>
      </c>
      <c r="F175" s="30" t="n">
        <v>101.23</v>
      </c>
      <c r="G175" s="31" t="n">
        <f aca="false">IFERROR(F175/D175,0)</f>
        <v>6.326875</v>
      </c>
    </row>
    <row r="176" customFormat="false" ht="15" hidden="false" customHeight="false" outlineLevel="0" collapsed="false">
      <c r="A176" s="28" t="n">
        <v>2020</v>
      </c>
      <c r="B176" s="28" t="s">
        <v>81</v>
      </c>
      <c r="C176" s="28" t="s">
        <v>44</v>
      </c>
      <c r="D176" s="28" t="n">
        <v>114</v>
      </c>
      <c r="E176" s="29" t="n">
        <v>100710400</v>
      </c>
      <c r="F176" s="30" t="n">
        <v>699.568</v>
      </c>
      <c r="G176" s="31" t="n">
        <f aca="false">IFERROR(F176/D176,0)</f>
        <v>6.13656140350877</v>
      </c>
    </row>
    <row r="177" customFormat="false" ht="15" hidden="false" customHeight="false" outlineLevel="0" collapsed="false">
      <c r="A177" s="28" t="n">
        <v>2020</v>
      </c>
      <c r="B177" s="28" t="s">
        <v>81</v>
      </c>
      <c r="C177" s="28" t="s">
        <v>57</v>
      </c>
      <c r="D177" s="28" t="n">
        <v>13</v>
      </c>
      <c r="E177" s="29" t="n">
        <v>2846600</v>
      </c>
      <c r="F177" s="30" t="n">
        <v>95.873</v>
      </c>
      <c r="G177" s="31" t="n">
        <f aca="false">IFERROR(F177/D177,0)</f>
        <v>7.37484615384615</v>
      </c>
    </row>
    <row r="178" customFormat="false" ht="15" hidden="false" customHeight="false" outlineLevel="0" collapsed="false">
      <c r="A178" s="28" t="n">
        <v>2020</v>
      </c>
      <c r="B178" s="28" t="s">
        <v>81</v>
      </c>
      <c r="C178" s="28" t="s">
        <v>59</v>
      </c>
      <c r="D178" s="28" t="n">
        <v>1</v>
      </c>
      <c r="E178" s="29" t="n">
        <v>1569000</v>
      </c>
      <c r="F178" s="30" t="n">
        <v>6.5</v>
      </c>
      <c r="G178" s="31" t="n">
        <f aca="false">IFERROR(F178/D178,0)</f>
        <v>6.5</v>
      </c>
    </row>
    <row r="179" customFormat="false" ht="15" hidden="false" customHeight="false" outlineLevel="0" collapsed="false">
      <c r="A179" s="28" t="n">
        <v>2020</v>
      </c>
      <c r="B179" s="28" t="s">
        <v>81</v>
      </c>
      <c r="C179" s="28" t="s">
        <v>47</v>
      </c>
      <c r="D179" s="28" t="n">
        <v>61</v>
      </c>
      <c r="E179" s="29" t="n">
        <v>48823600</v>
      </c>
      <c r="F179" s="30" t="n">
        <v>353.45</v>
      </c>
      <c r="G179" s="31" t="n">
        <f aca="false">IFERROR(F179/D179,0)</f>
        <v>5.79426229508197</v>
      </c>
    </row>
    <row r="180" customFormat="false" ht="15" hidden="false" customHeight="false" outlineLevel="0" collapsed="false">
      <c r="A180" s="28" t="n">
        <v>2020</v>
      </c>
      <c r="B180" s="28" t="s">
        <v>81</v>
      </c>
      <c r="C180" s="28" t="s">
        <v>46</v>
      </c>
      <c r="D180" s="28" t="n">
        <v>91</v>
      </c>
      <c r="E180" s="29" t="n">
        <v>64968100</v>
      </c>
      <c r="F180" s="30" t="n">
        <v>570.66</v>
      </c>
      <c r="G180" s="31" t="n">
        <f aca="false">IFERROR(F180/D180,0)</f>
        <v>6.27098901098901</v>
      </c>
    </row>
    <row r="181" customFormat="false" ht="15" hidden="false" customHeight="false" outlineLevel="0" collapsed="false">
      <c r="A181" s="28" t="n">
        <v>2020</v>
      </c>
      <c r="B181" s="28" t="s">
        <v>81</v>
      </c>
      <c r="C181" s="28" t="s">
        <v>48</v>
      </c>
      <c r="D181" s="28" t="n">
        <v>84</v>
      </c>
      <c r="E181" s="29" t="n">
        <v>39667700</v>
      </c>
      <c r="F181" s="30" t="n">
        <v>592.48</v>
      </c>
      <c r="G181" s="31" t="n">
        <f aca="false">IFERROR(F181/D181,0)</f>
        <v>7.05333333333333</v>
      </c>
    </row>
    <row r="182" customFormat="false" ht="15" hidden="false" customHeight="false" outlineLevel="0" collapsed="false">
      <c r="A182" s="28" t="n">
        <v>2020</v>
      </c>
      <c r="B182" s="28" t="s">
        <v>81</v>
      </c>
      <c r="C182" s="28" t="s">
        <v>53</v>
      </c>
      <c r="D182" s="28" t="n">
        <v>35</v>
      </c>
      <c r="E182" s="29" t="n">
        <v>30912200</v>
      </c>
      <c r="F182" s="30" t="n">
        <v>212.313</v>
      </c>
      <c r="G182" s="31" t="n">
        <f aca="false">IFERROR(F182/D182,0)</f>
        <v>6.06608571428571</v>
      </c>
    </row>
    <row r="183" customFormat="false" ht="15" hidden="false" customHeight="false" outlineLevel="0" collapsed="false">
      <c r="A183" s="28" t="n">
        <v>2020</v>
      </c>
      <c r="B183" s="28" t="s">
        <v>81</v>
      </c>
      <c r="C183" s="28" t="s">
        <v>43</v>
      </c>
      <c r="D183" s="28" t="n">
        <v>183</v>
      </c>
      <c r="E183" s="29" t="n">
        <v>209136400</v>
      </c>
      <c r="F183" s="30" t="n">
        <v>1106.175</v>
      </c>
      <c r="G183" s="31" t="n">
        <f aca="false">IFERROR(F183/D183,0)</f>
        <v>6.04467213114754</v>
      </c>
    </row>
    <row r="184" customFormat="false" ht="15" hidden="false" customHeight="false" outlineLevel="0" collapsed="false">
      <c r="A184" s="28" t="n">
        <v>2020</v>
      </c>
      <c r="B184" s="28" t="s">
        <v>81</v>
      </c>
      <c r="C184" s="28" t="s">
        <v>52</v>
      </c>
      <c r="D184" s="28" t="n">
        <v>26</v>
      </c>
      <c r="E184" s="29" t="n">
        <v>15928400</v>
      </c>
      <c r="F184" s="30" t="n">
        <v>188.5</v>
      </c>
      <c r="G184" s="31" t="n">
        <f aca="false">IFERROR(F184/D184,0)</f>
        <v>7.25</v>
      </c>
    </row>
    <row r="185" customFormat="false" ht="15" hidden="false" customHeight="false" outlineLevel="0" collapsed="false">
      <c r="A185" s="28" t="n">
        <v>2020</v>
      </c>
      <c r="B185" s="28" t="s">
        <v>81</v>
      </c>
      <c r="C185" s="28" t="s">
        <v>60</v>
      </c>
      <c r="D185" s="28" t="n">
        <v>1</v>
      </c>
      <c r="E185" s="29" t="n">
        <v>2644500</v>
      </c>
      <c r="F185" s="30" t="n">
        <v>5.25</v>
      </c>
      <c r="G185" s="31" t="n">
        <f aca="false">IFERROR(F185/D185,0)</f>
        <v>5.25</v>
      </c>
    </row>
    <row r="186" customFormat="false" ht="15" hidden="false" customHeight="false" outlineLevel="0" collapsed="false">
      <c r="A186" s="28" t="n">
        <v>2020</v>
      </c>
      <c r="B186" s="28" t="s">
        <v>81</v>
      </c>
      <c r="C186" s="28" t="s">
        <v>49</v>
      </c>
      <c r="D186" s="28" t="n">
        <v>51</v>
      </c>
      <c r="E186" s="29" t="n">
        <v>52712100</v>
      </c>
      <c r="F186" s="30" t="n">
        <v>320.31</v>
      </c>
      <c r="G186" s="31" t="n">
        <f aca="false">IFERROR(F186/D186,0)</f>
        <v>6.28058823529412</v>
      </c>
    </row>
    <row r="187" customFormat="false" ht="15" hidden="false" customHeight="false" outlineLevel="0" collapsed="false">
      <c r="A187" s="28" t="n">
        <v>2020</v>
      </c>
      <c r="B187" s="28" t="s">
        <v>92</v>
      </c>
      <c r="C187" s="28" t="s">
        <v>42</v>
      </c>
      <c r="D187" s="28" t="n">
        <v>1</v>
      </c>
      <c r="E187" s="29" t="n">
        <v>138000</v>
      </c>
      <c r="F187" s="30" t="n">
        <v>5.25</v>
      </c>
      <c r="G187" s="31" t="n">
        <f aca="false">IFERROR(F187/D187,0)</f>
        <v>5.25</v>
      </c>
    </row>
    <row r="188" customFormat="false" ht="15" hidden="false" customHeight="false" outlineLevel="0" collapsed="false">
      <c r="A188" s="28" t="n">
        <v>2020</v>
      </c>
      <c r="B188" s="28" t="s">
        <v>92</v>
      </c>
      <c r="C188" s="28" t="s">
        <v>45</v>
      </c>
      <c r="D188" s="28" t="n">
        <v>1</v>
      </c>
      <c r="E188" s="29" t="n">
        <v>203400</v>
      </c>
      <c r="F188" s="30" t="n">
        <v>6.75</v>
      </c>
      <c r="G188" s="31" t="n">
        <f aca="false">IFERROR(F188/D188,0)</f>
        <v>6.75</v>
      </c>
    </row>
    <row r="189" customFormat="false" ht="15" hidden="false" customHeight="false" outlineLevel="0" collapsed="false">
      <c r="A189" s="28" t="n">
        <v>2020</v>
      </c>
      <c r="B189" s="28" t="s">
        <v>92</v>
      </c>
      <c r="C189" s="28" t="s">
        <v>46</v>
      </c>
      <c r="D189" s="28" t="n">
        <v>2</v>
      </c>
      <c r="E189" s="29" t="n">
        <v>135100</v>
      </c>
      <c r="F189" s="30" t="n">
        <v>15</v>
      </c>
      <c r="G189" s="31" t="n">
        <f aca="false">IFERROR(F189/D189,0)</f>
        <v>7.5</v>
      </c>
    </row>
    <row r="190" customFormat="false" ht="15" hidden="false" customHeight="false" outlineLevel="0" collapsed="false">
      <c r="A190" s="28" t="n">
        <v>2020</v>
      </c>
      <c r="B190" s="28" t="s">
        <v>92</v>
      </c>
      <c r="C190" s="28" t="s">
        <v>48</v>
      </c>
      <c r="D190" s="28" t="n">
        <v>2</v>
      </c>
      <c r="E190" s="29" t="n">
        <v>45000</v>
      </c>
      <c r="F190" s="30" t="n">
        <v>15.75</v>
      </c>
      <c r="G190" s="31" t="n">
        <f aca="false">IFERROR(F190/D190,0)</f>
        <v>7.875</v>
      </c>
    </row>
    <row r="191" customFormat="false" ht="15" hidden="false" customHeight="false" outlineLevel="0" collapsed="false">
      <c r="A191" s="28" t="n">
        <v>2020</v>
      </c>
      <c r="B191" s="28" t="s">
        <v>92</v>
      </c>
      <c r="C191" s="28" t="s">
        <v>53</v>
      </c>
      <c r="D191" s="28" t="n">
        <v>1</v>
      </c>
      <c r="E191" s="29" t="n">
        <v>100000</v>
      </c>
      <c r="F191" s="30" t="n">
        <v>7</v>
      </c>
      <c r="G191" s="31" t="n">
        <f aca="false">IFERROR(F191/D191,0)</f>
        <v>7</v>
      </c>
    </row>
    <row r="192" customFormat="false" ht="15" hidden="false" customHeight="false" outlineLevel="0" collapsed="false">
      <c r="A192" s="28" t="n">
        <v>2020</v>
      </c>
      <c r="B192" s="28" t="s">
        <v>92</v>
      </c>
      <c r="C192" s="28" t="s">
        <v>49</v>
      </c>
      <c r="D192" s="28" t="n">
        <v>2</v>
      </c>
      <c r="E192" s="29" t="n">
        <v>904000</v>
      </c>
      <c r="F192" s="30" t="n">
        <v>13</v>
      </c>
      <c r="G192" s="31" t="n">
        <f aca="false">IFERROR(F192/D192,0)</f>
        <v>6.5</v>
      </c>
    </row>
    <row r="193" customFormat="false" ht="15" hidden="false" customHeight="false" outlineLevel="0" collapsed="false">
      <c r="A193" s="28" t="n">
        <v>2020</v>
      </c>
      <c r="B193" s="28" t="s">
        <v>94</v>
      </c>
      <c r="C193" s="28" t="s">
        <v>42</v>
      </c>
      <c r="D193" s="28" t="n">
        <v>13</v>
      </c>
      <c r="E193" s="29" t="n">
        <v>3308000</v>
      </c>
      <c r="F193" s="30" t="n">
        <v>87.25</v>
      </c>
      <c r="G193" s="31" t="n">
        <f aca="false">IFERROR(F193/D193,0)</f>
        <v>6.71153846153846</v>
      </c>
    </row>
    <row r="194" customFormat="false" ht="15" hidden="false" customHeight="false" outlineLevel="0" collapsed="false">
      <c r="A194" s="28" t="n">
        <v>2020</v>
      </c>
      <c r="B194" s="28" t="s">
        <v>94</v>
      </c>
      <c r="C194" s="28" t="s">
        <v>50</v>
      </c>
      <c r="D194" s="28" t="n">
        <v>5</v>
      </c>
      <c r="E194" s="29" t="n">
        <v>500000</v>
      </c>
      <c r="F194" s="30" t="n">
        <v>32.75</v>
      </c>
      <c r="G194" s="31" t="n">
        <f aca="false">IFERROR(F194/D194,0)</f>
        <v>6.55</v>
      </c>
    </row>
    <row r="195" customFormat="false" ht="15" hidden="false" customHeight="false" outlineLevel="0" collapsed="false">
      <c r="A195" s="28" t="n">
        <v>2020</v>
      </c>
      <c r="B195" s="28" t="s">
        <v>94</v>
      </c>
      <c r="C195" s="28" t="s">
        <v>51</v>
      </c>
      <c r="D195" s="28" t="n">
        <v>3</v>
      </c>
      <c r="E195" s="29" t="n">
        <v>840900</v>
      </c>
      <c r="F195" s="30" t="n">
        <v>22.5</v>
      </c>
      <c r="G195" s="31" t="n">
        <f aca="false">IFERROR(F195/D195,0)</f>
        <v>7.5</v>
      </c>
    </row>
    <row r="196" customFormat="false" ht="15" hidden="false" customHeight="false" outlineLevel="0" collapsed="false">
      <c r="A196" s="28" t="n">
        <v>2020</v>
      </c>
      <c r="B196" s="28" t="s">
        <v>94</v>
      </c>
      <c r="C196" s="28" t="s">
        <v>45</v>
      </c>
      <c r="D196" s="28" t="n">
        <v>15</v>
      </c>
      <c r="E196" s="29" t="n">
        <v>4471400</v>
      </c>
      <c r="F196" s="30" t="n">
        <v>108.5</v>
      </c>
      <c r="G196" s="31" t="n">
        <f aca="false">IFERROR(F196/D196,0)</f>
        <v>7.23333333333333</v>
      </c>
    </row>
    <row r="197" customFormat="false" ht="15" hidden="false" customHeight="false" outlineLevel="0" collapsed="false">
      <c r="A197" s="28" t="n">
        <v>2020</v>
      </c>
      <c r="B197" s="28" t="s">
        <v>94</v>
      </c>
      <c r="C197" s="28" t="s">
        <v>56</v>
      </c>
      <c r="D197" s="28" t="n">
        <v>3</v>
      </c>
      <c r="E197" s="29" t="n">
        <v>150000</v>
      </c>
      <c r="F197" s="30" t="n">
        <v>20.5</v>
      </c>
      <c r="G197" s="31" t="n">
        <f aca="false">IFERROR(F197/D197,0)</f>
        <v>6.83333333333333</v>
      </c>
    </row>
    <row r="198" customFormat="false" ht="15" hidden="false" customHeight="false" outlineLevel="0" collapsed="false">
      <c r="A198" s="28" t="n">
        <v>2020</v>
      </c>
      <c r="B198" s="28" t="s">
        <v>94</v>
      </c>
      <c r="C198" s="28" t="s">
        <v>54</v>
      </c>
      <c r="D198" s="28" t="n">
        <v>3</v>
      </c>
      <c r="E198" s="29" t="n">
        <v>876000</v>
      </c>
      <c r="F198" s="30" t="n">
        <v>21.25</v>
      </c>
      <c r="G198" s="31" t="n">
        <f aca="false">IFERROR(F198/D198,0)</f>
        <v>7.08333333333333</v>
      </c>
    </row>
    <row r="199" customFormat="false" ht="15" hidden="false" customHeight="false" outlineLevel="0" collapsed="false">
      <c r="A199" s="28" t="n">
        <v>2020</v>
      </c>
      <c r="B199" s="28" t="s">
        <v>94</v>
      </c>
      <c r="C199" s="28" t="s">
        <v>44</v>
      </c>
      <c r="D199" s="28" t="n">
        <v>3</v>
      </c>
      <c r="E199" s="29" t="n">
        <v>524000</v>
      </c>
      <c r="F199" s="30" t="n">
        <v>22.5</v>
      </c>
      <c r="G199" s="31" t="n">
        <f aca="false">IFERROR(F199/D199,0)</f>
        <v>7.5</v>
      </c>
    </row>
    <row r="200" customFormat="false" ht="15" hidden="false" customHeight="false" outlineLevel="0" collapsed="false">
      <c r="A200" s="28" t="n">
        <v>2020</v>
      </c>
      <c r="B200" s="28" t="s">
        <v>94</v>
      </c>
      <c r="C200" s="28" t="s">
        <v>47</v>
      </c>
      <c r="D200" s="28" t="n">
        <v>4</v>
      </c>
      <c r="E200" s="29" t="n">
        <v>205000</v>
      </c>
      <c r="F200" s="30" t="n">
        <v>35</v>
      </c>
      <c r="G200" s="31" t="n">
        <f aca="false">IFERROR(F200/D200,0)</f>
        <v>8.75</v>
      </c>
    </row>
    <row r="201" customFormat="false" ht="15" hidden="false" customHeight="false" outlineLevel="0" collapsed="false">
      <c r="A201" s="28" t="n">
        <v>2020</v>
      </c>
      <c r="B201" s="28" t="s">
        <v>94</v>
      </c>
      <c r="C201" s="28" t="s">
        <v>46</v>
      </c>
      <c r="D201" s="28" t="n">
        <v>4</v>
      </c>
      <c r="E201" s="29" t="n">
        <v>426000</v>
      </c>
      <c r="F201" s="30" t="n">
        <v>29</v>
      </c>
      <c r="G201" s="31" t="n">
        <f aca="false">IFERROR(F201/D201,0)</f>
        <v>7.25</v>
      </c>
    </row>
    <row r="202" customFormat="false" ht="15" hidden="false" customHeight="false" outlineLevel="0" collapsed="false">
      <c r="A202" s="28" t="n">
        <v>2020</v>
      </c>
      <c r="B202" s="28" t="s">
        <v>94</v>
      </c>
      <c r="C202" s="28" t="s">
        <v>48</v>
      </c>
      <c r="D202" s="28" t="n">
        <v>6</v>
      </c>
      <c r="E202" s="29" t="n">
        <v>510300</v>
      </c>
      <c r="F202" s="30" t="n">
        <v>43.25</v>
      </c>
      <c r="G202" s="31" t="n">
        <f aca="false">IFERROR(F202/D202,0)</f>
        <v>7.20833333333333</v>
      </c>
    </row>
    <row r="203" customFormat="false" ht="15" hidden="false" customHeight="false" outlineLevel="0" collapsed="false">
      <c r="A203" s="28" t="n">
        <v>2020</v>
      </c>
      <c r="B203" s="28" t="s">
        <v>94</v>
      </c>
      <c r="C203" s="28" t="s">
        <v>53</v>
      </c>
      <c r="D203" s="28" t="n">
        <v>1</v>
      </c>
      <c r="E203" s="29" t="n">
        <v>80000</v>
      </c>
      <c r="F203" s="30" t="n">
        <v>6.25</v>
      </c>
      <c r="G203" s="31" t="n">
        <f aca="false">IFERROR(F203/D203,0)</f>
        <v>6.25</v>
      </c>
    </row>
    <row r="204" customFormat="false" ht="15" hidden="false" customHeight="false" outlineLevel="0" collapsed="false">
      <c r="A204" s="28" t="n">
        <v>2020</v>
      </c>
      <c r="B204" s="28" t="s">
        <v>94</v>
      </c>
      <c r="C204" s="28" t="s">
        <v>43</v>
      </c>
      <c r="D204" s="28" t="n">
        <v>1</v>
      </c>
      <c r="E204" s="29" t="n">
        <v>40000</v>
      </c>
      <c r="F204" s="30" t="n">
        <v>7.25</v>
      </c>
      <c r="G204" s="31" t="n">
        <f aca="false">IFERROR(F204/D204,0)</f>
        <v>7.25</v>
      </c>
    </row>
    <row r="205" customFormat="false" ht="15" hidden="false" customHeight="false" outlineLevel="0" collapsed="false">
      <c r="A205" s="28" t="n">
        <v>2020</v>
      </c>
      <c r="B205" s="28" t="s">
        <v>94</v>
      </c>
      <c r="C205" s="28" t="s">
        <v>52</v>
      </c>
      <c r="D205" s="28" t="n">
        <v>4</v>
      </c>
      <c r="E205" s="29" t="n">
        <v>313800</v>
      </c>
      <c r="F205" s="30" t="n">
        <v>29.75</v>
      </c>
      <c r="G205" s="31" t="n">
        <f aca="false">IFERROR(F205/D205,0)</f>
        <v>7.4375</v>
      </c>
    </row>
    <row r="206" customFormat="false" ht="15" hidden="false" customHeight="false" outlineLevel="0" collapsed="false">
      <c r="A206" s="28" t="n">
        <v>2020</v>
      </c>
      <c r="B206" s="28" t="s">
        <v>94</v>
      </c>
      <c r="C206" s="28" t="s">
        <v>49</v>
      </c>
      <c r="D206" s="28" t="n">
        <v>1</v>
      </c>
      <c r="E206" s="29" t="n">
        <v>225000</v>
      </c>
      <c r="F206" s="30" t="n">
        <v>6</v>
      </c>
      <c r="G206" s="31" t="n">
        <f aca="false">IFERROR(F206/D206,0)</f>
        <v>6</v>
      </c>
    </row>
    <row r="207" customFormat="false" ht="15" hidden="false" customHeight="false" outlineLevel="0" collapsed="false">
      <c r="A207" s="28" t="n">
        <v>2020</v>
      </c>
      <c r="B207" s="28" t="s">
        <v>96</v>
      </c>
      <c r="C207" s="28" t="s">
        <v>42</v>
      </c>
      <c r="D207" s="28" t="n">
        <v>47</v>
      </c>
      <c r="E207" s="29" t="n">
        <v>26746900</v>
      </c>
      <c r="F207" s="30" t="n">
        <v>281.565</v>
      </c>
      <c r="G207" s="31" t="n">
        <f aca="false">IFERROR(F207/D207,0)</f>
        <v>5.99074468085106</v>
      </c>
    </row>
    <row r="208" customFormat="false" ht="15" hidden="false" customHeight="false" outlineLevel="0" collapsed="false">
      <c r="A208" s="28" t="n">
        <v>2020</v>
      </c>
      <c r="B208" s="28" t="s">
        <v>96</v>
      </c>
      <c r="C208" s="28" t="s">
        <v>50</v>
      </c>
      <c r="D208" s="28" t="n">
        <v>16</v>
      </c>
      <c r="E208" s="29" t="n">
        <v>5577900</v>
      </c>
      <c r="F208" s="30" t="n">
        <v>97.23</v>
      </c>
      <c r="G208" s="31" t="n">
        <f aca="false">IFERROR(F208/D208,0)</f>
        <v>6.076875</v>
      </c>
    </row>
    <row r="209" customFormat="false" ht="15" hidden="false" customHeight="false" outlineLevel="0" collapsed="false">
      <c r="A209" s="28" t="n">
        <v>2020</v>
      </c>
      <c r="B209" s="28" t="s">
        <v>96</v>
      </c>
      <c r="C209" s="28" t="s">
        <v>55</v>
      </c>
      <c r="D209" s="28" t="n">
        <v>4</v>
      </c>
      <c r="E209" s="29" t="n">
        <v>1274400</v>
      </c>
      <c r="F209" s="30" t="n">
        <v>22.29</v>
      </c>
      <c r="G209" s="31" t="n">
        <f aca="false">IFERROR(F209/D209,0)</f>
        <v>5.5725</v>
      </c>
    </row>
    <row r="210" customFormat="false" ht="15" hidden="false" customHeight="false" outlineLevel="0" collapsed="false">
      <c r="A210" s="28" t="n">
        <v>2020</v>
      </c>
      <c r="B210" s="28" t="s">
        <v>96</v>
      </c>
      <c r="C210" s="28" t="s">
        <v>51</v>
      </c>
      <c r="D210" s="28" t="n">
        <v>12</v>
      </c>
      <c r="E210" s="29" t="n">
        <v>4753600</v>
      </c>
      <c r="F210" s="30" t="n">
        <v>64.45</v>
      </c>
      <c r="G210" s="31" t="n">
        <f aca="false">IFERROR(F210/D210,0)</f>
        <v>5.37083333333333</v>
      </c>
    </row>
    <row r="211" customFormat="false" ht="15" hidden="false" customHeight="false" outlineLevel="0" collapsed="false">
      <c r="A211" s="28" t="n">
        <v>2020</v>
      </c>
      <c r="B211" s="28" t="s">
        <v>96</v>
      </c>
      <c r="C211" s="28" t="s">
        <v>45</v>
      </c>
      <c r="D211" s="28" t="n">
        <v>57</v>
      </c>
      <c r="E211" s="29" t="n">
        <v>23724800</v>
      </c>
      <c r="F211" s="30" t="n">
        <v>354.64</v>
      </c>
      <c r="G211" s="31" t="n">
        <f aca="false">IFERROR(F211/D211,0)</f>
        <v>6.22175438596491</v>
      </c>
    </row>
    <row r="212" customFormat="false" ht="15" hidden="false" customHeight="false" outlineLevel="0" collapsed="false">
      <c r="A212" s="28" t="n">
        <v>2020</v>
      </c>
      <c r="B212" s="28" t="s">
        <v>96</v>
      </c>
      <c r="C212" s="28" t="s">
        <v>56</v>
      </c>
      <c r="D212" s="28" t="n">
        <v>2</v>
      </c>
      <c r="E212" s="29" t="n">
        <v>2685700</v>
      </c>
      <c r="F212" s="30" t="n">
        <v>11</v>
      </c>
      <c r="G212" s="31" t="n">
        <f aca="false">IFERROR(F212/D212,0)</f>
        <v>5.5</v>
      </c>
    </row>
    <row r="213" customFormat="false" ht="15" hidden="false" customHeight="false" outlineLevel="0" collapsed="false">
      <c r="A213" s="28" t="n">
        <v>2020</v>
      </c>
      <c r="B213" s="28" t="s">
        <v>96</v>
      </c>
      <c r="C213" s="28" t="s">
        <v>54</v>
      </c>
      <c r="D213" s="28" t="n">
        <v>6</v>
      </c>
      <c r="E213" s="29" t="n">
        <v>2535800</v>
      </c>
      <c r="F213" s="30" t="n">
        <v>34.29</v>
      </c>
      <c r="G213" s="31" t="n">
        <f aca="false">IFERROR(F213/D213,0)</f>
        <v>5.715</v>
      </c>
    </row>
    <row r="214" customFormat="false" ht="15" hidden="false" customHeight="false" outlineLevel="0" collapsed="false">
      <c r="A214" s="28" t="n">
        <v>2020</v>
      </c>
      <c r="B214" s="28" t="s">
        <v>96</v>
      </c>
      <c r="C214" s="28" t="s">
        <v>44</v>
      </c>
      <c r="D214" s="28" t="n">
        <v>25</v>
      </c>
      <c r="E214" s="29" t="n">
        <v>3580200</v>
      </c>
      <c r="F214" s="30" t="n">
        <v>147.51</v>
      </c>
      <c r="G214" s="31" t="n">
        <f aca="false">IFERROR(F214/D214,0)</f>
        <v>5.9004</v>
      </c>
    </row>
    <row r="215" customFormat="false" ht="15" hidden="false" customHeight="false" outlineLevel="0" collapsed="false">
      <c r="A215" s="28" t="n">
        <v>2020</v>
      </c>
      <c r="B215" s="28" t="s">
        <v>96</v>
      </c>
      <c r="C215" s="28" t="s">
        <v>57</v>
      </c>
      <c r="D215" s="28" t="n">
        <v>1</v>
      </c>
      <c r="E215" s="29" t="n">
        <v>747600</v>
      </c>
      <c r="F215" s="30" t="n">
        <v>5.25</v>
      </c>
      <c r="G215" s="31" t="n">
        <f aca="false">IFERROR(F215/D215,0)</f>
        <v>5.25</v>
      </c>
    </row>
    <row r="216" customFormat="false" ht="15" hidden="false" customHeight="false" outlineLevel="0" collapsed="false">
      <c r="A216" s="28" t="n">
        <v>2020</v>
      </c>
      <c r="B216" s="28" t="s">
        <v>96</v>
      </c>
      <c r="C216" s="28" t="s">
        <v>59</v>
      </c>
      <c r="D216" s="28" t="n">
        <v>1</v>
      </c>
      <c r="E216" s="29" t="n">
        <v>595000</v>
      </c>
      <c r="F216" s="30" t="n">
        <v>5.5</v>
      </c>
      <c r="G216" s="31" t="n">
        <f aca="false">IFERROR(F216/D216,0)</f>
        <v>5.5</v>
      </c>
    </row>
    <row r="217" customFormat="false" ht="15" hidden="false" customHeight="false" outlineLevel="0" collapsed="false">
      <c r="A217" s="28" t="n">
        <v>2020</v>
      </c>
      <c r="B217" s="28" t="s">
        <v>96</v>
      </c>
      <c r="C217" s="28" t="s">
        <v>47</v>
      </c>
      <c r="D217" s="28" t="n">
        <v>28</v>
      </c>
      <c r="E217" s="29" t="n">
        <v>17447900</v>
      </c>
      <c r="F217" s="30" t="n">
        <v>169.84</v>
      </c>
      <c r="G217" s="31" t="n">
        <f aca="false">IFERROR(F217/D217,0)</f>
        <v>6.06571428571429</v>
      </c>
    </row>
    <row r="218" customFormat="false" ht="15" hidden="false" customHeight="false" outlineLevel="0" collapsed="false">
      <c r="A218" s="28" t="n">
        <v>2020</v>
      </c>
      <c r="B218" s="28" t="s">
        <v>96</v>
      </c>
      <c r="C218" s="28" t="s">
        <v>46</v>
      </c>
      <c r="D218" s="28" t="n">
        <v>21</v>
      </c>
      <c r="E218" s="29" t="n">
        <v>14430100</v>
      </c>
      <c r="F218" s="30" t="n">
        <v>124.43</v>
      </c>
      <c r="G218" s="31" t="n">
        <f aca="false">IFERROR(F218/D218,0)</f>
        <v>5.9252380952381</v>
      </c>
    </row>
    <row r="219" customFormat="false" ht="15" hidden="false" customHeight="false" outlineLevel="0" collapsed="false">
      <c r="A219" s="28" t="n">
        <v>2020</v>
      </c>
      <c r="B219" s="28" t="s">
        <v>96</v>
      </c>
      <c r="C219" s="28" t="s">
        <v>48</v>
      </c>
      <c r="D219" s="28" t="n">
        <v>16</v>
      </c>
      <c r="E219" s="29" t="n">
        <v>7884200</v>
      </c>
      <c r="F219" s="30" t="n">
        <v>104.725</v>
      </c>
      <c r="G219" s="31" t="n">
        <f aca="false">IFERROR(F219/D219,0)</f>
        <v>6.5453125</v>
      </c>
    </row>
    <row r="220" customFormat="false" ht="15" hidden="false" customHeight="false" outlineLevel="0" collapsed="false">
      <c r="A220" s="28" t="n">
        <v>2020</v>
      </c>
      <c r="B220" s="28" t="s">
        <v>96</v>
      </c>
      <c r="C220" s="28" t="s">
        <v>53</v>
      </c>
      <c r="D220" s="28" t="n">
        <v>7</v>
      </c>
      <c r="E220" s="29" t="n">
        <v>2585000</v>
      </c>
      <c r="F220" s="30" t="n">
        <v>41.99</v>
      </c>
      <c r="G220" s="31" t="n">
        <f aca="false">IFERROR(F220/D220,0)</f>
        <v>5.99857142857143</v>
      </c>
    </row>
    <row r="221" customFormat="false" ht="15" hidden="false" customHeight="false" outlineLevel="0" collapsed="false">
      <c r="A221" s="28" t="n">
        <v>2020</v>
      </c>
      <c r="B221" s="28" t="s">
        <v>96</v>
      </c>
      <c r="C221" s="28" t="s">
        <v>43</v>
      </c>
      <c r="D221" s="28" t="n">
        <v>44</v>
      </c>
      <c r="E221" s="29" t="n">
        <v>18262600</v>
      </c>
      <c r="F221" s="30" t="n">
        <v>256.841</v>
      </c>
      <c r="G221" s="31" t="n">
        <f aca="false">IFERROR(F221/D221,0)</f>
        <v>5.83729545454546</v>
      </c>
    </row>
    <row r="222" customFormat="false" ht="15" hidden="false" customHeight="false" outlineLevel="0" collapsed="false">
      <c r="A222" s="28" t="n">
        <v>2020</v>
      </c>
      <c r="B222" s="28" t="s">
        <v>96</v>
      </c>
      <c r="C222" s="28" t="s">
        <v>52</v>
      </c>
      <c r="D222" s="28" t="n">
        <v>14</v>
      </c>
      <c r="E222" s="29" t="n">
        <v>6853000</v>
      </c>
      <c r="F222" s="30" t="n">
        <v>78.4</v>
      </c>
      <c r="G222" s="31" t="n">
        <f aca="false">IFERROR(F222/D222,0)</f>
        <v>5.6</v>
      </c>
    </row>
    <row r="223" customFormat="false" ht="15" hidden="false" customHeight="false" outlineLevel="0" collapsed="false">
      <c r="A223" s="28" t="n">
        <v>2020</v>
      </c>
      <c r="B223" s="28" t="s">
        <v>96</v>
      </c>
      <c r="C223" s="28" t="s">
        <v>60</v>
      </c>
      <c r="D223" s="28" t="n">
        <v>1</v>
      </c>
      <c r="E223" s="29" t="n">
        <v>5000</v>
      </c>
      <c r="F223" s="30" t="n">
        <v>8.25</v>
      </c>
      <c r="G223" s="31" t="n">
        <f aca="false">IFERROR(F223/D223,0)</f>
        <v>8.25</v>
      </c>
    </row>
    <row r="224" customFormat="false" ht="15" hidden="false" customHeight="false" outlineLevel="0" collapsed="false">
      <c r="A224" s="28" t="n">
        <v>2020</v>
      </c>
      <c r="B224" s="28" t="s">
        <v>96</v>
      </c>
      <c r="C224" s="28" t="s">
        <v>49</v>
      </c>
      <c r="D224" s="28" t="n">
        <v>11</v>
      </c>
      <c r="E224" s="29" t="n">
        <v>12245600</v>
      </c>
      <c r="F224" s="30" t="n">
        <v>73.6</v>
      </c>
      <c r="G224" s="31" t="n">
        <f aca="false">IFERROR(F224/D224,0)</f>
        <v>6.69090909090909</v>
      </c>
    </row>
    <row r="225" customFormat="false" ht="15" hidden="false" customHeight="false" outlineLevel="0" collapsed="false">
      <c r="A225" s="28" t="n">
        <v>2020</v>
      </c>
      <c r="B225" s="28" t="s">
        <v>97</v>
      </c>
      <c r="C225" s="28" t="s">
        <v>42</v>
      </c>
      <c r="D225" s="28" t="n">
        <v>29</v>
      </c>
      <c r="E225" s="29" t="n">
        <v>17759500</v>
      </c>
      <c r="F225" s="30" t="n">
        <v>186.25</v>
      </c>
      <c r="G225" s="31" t="n">
        <f aca="false">IFERROR(F225/D225,0)</f>
        <v>6.42241379310345</v>
      </c>
    </row>
    <row r="226" customFormat="false" ht="15" hidden="false" customHeight="false" outlineLevel="0" collapsed="false">
      <c r="A226" s="28" t="n">
        <v>2020</v>
      </c>
      <c r="B226" s="28" t="s">
        <v>97</v>
      </c>
      <c r="C226" s="28" t="s">
        <v>50</v>
      </c>
      <c r="D226" s="28" t="n">
        <v>19</v>
      </c>
      <c r="E226" s="29" t="n">
        <v>5273100</v>
      </c>
      <c r="F226" s="30" t="n">
        <v>114.99</v>
      </c>
      <c r="G226" s="31" t="n">
        <f aca="false">IFERROR(F226/D226,0)</f>
        <v>6.0521052631579</v>
      </c>
    </row>
    <row r="227" customFormat="false" ht="15" hidden="false" customHeight="false" outlineLevel="0" collapsed="false">
      <c r="A227" s="28" t="n">
        <v>2020</v>
      </c>
      <c r="B227" s="28" t="s">
        <v>97</v>
      </c>
      <c r="C227" s="28" t="s">
        <v>55</v>
      </c>
      <c r="D227" s="28" t="n">
        <v>6</v>
      </c>
      <c r="E227" s="29" t="n">
        <v>4386000</v>
      </c>
      <c r="F227" s="30" t="n">
        <v>39.72</v>
      </c>
      <c r="G227" s="31" t="n">
        <f aca="false">IFERROR(F227/D227,0)</f>
        <v>6.62</v>
      </c>
    </row>
    <row r="228" customFormat="false" ht="15" hidden="false" customHeight="false" outlineLevel="0" collapsed="false">
      <c r="A228" s="28" t="n">
        <v>2020</v>
      </c>
      <c r="B228" s="28" t="s">
        <v>97</v>
      </c>
      <c r="C228" s="28" t="s">
        <v>51</v>
      </c>
      <c r="D228" s="28" t="n">
        <v>8</v>
      </c>
      <c r="E228" s="29" t="n">
        <v>851200</v>
      </c>
      <c r="F228" s="30" t="n">
        <v>57.78</v>
      </c>
      <c r="G228" s="31" t="n">
        <f aca="false">IFERROR(F228/D228,0)</f>
        <v>7.2225</v>
      </c>
    </row>
    <row r="229" customFormat="false" ht="15" hidden="false" customHeight="false" outlineLevel="0" collapsed="false">
      <c r="A229" s="28" t="n">
        <v>2020</v>
      </c>
      <c r="B229" s="28" t="s">
        <v>97</v>
      </c>
      <c r="C229" s="28" t="s">
        <v>45</v>
      </c>
      <c r="D229" s="28" t="n">
        <v>57</v>
      </c>
      <c r="E229" s="29" t="n">
        <v>7392200</v>
      </c>
      <c r="F229" s="30" t="n">
        <v>394.45</v>
      </c>
      <c r="G229" s="31" t="n">
        <f aca="false">IFERROR(F229/D229,0)</f>
        <v>6.92017543859649</v>
      </c>
    </row>
    <row r="230" customFormat="false" ht="15" hidden="false" customHeight="false" outlineLevel="0" collapsed="false">
      <c r="A230" s="28" t="n">
        <v>2020</v>
      </c>
      <c r="B230" s="28" t="s">
        <v>97</v>
      </c>
      <c r="C230" s="28" t="s">
        <v>56</v>
      </c>
      <c r="D230" s="28" t="n">
        <v>3</v>
      </c>
      <c r="E230" s="29" t="n">
        <v>1885000</v>
      </c>
      <c r="F230" s="30" t="n">
        <v>18</v>
      </c>
      <c r="G230" s="31" t="n">
        <f aca="false">IFERROR(F230/D230,0)</f>
        <v>6</v>
      </c>
    </row>
    <row r="231" customFormat="false" ht="15" hidden="false" customHeight="false" outlineLevel="0" collapsed="false">
      <c r="A231" s="28" t="n">
        <v>2020</v>
      </c>
      <c r="B231" s="28" t="s">
        <v>97</v>
      </c>
      <c r="C231" s="28" t="s">
        <v>54</v>
      </c>
      <c r="D231" s="28" t="n">
        <v>7</v>
      </c>
      <c r="E231" s="29" t="n">
        <v>3823700</v>
      </c>
      <c r="F231" s="30" t="n">
        <v>38.4</v>
      </c>
      <c r="G231" s="31" t="n">
        <f aca="false">IFERROR(F231/D231,0)</f>
        <v>5.48571428571429</v>
      </c>
    </row>
    <row r="232" customFormat="false" ht="15" hidden="false" customHeight="false" outlineLevel="0" collapsed="false">
      <c r="A232" s="28" t="n">
        <v>2020</v>
      </c>
      <c r="B232" s="28" t="s">
        <v>97</v>
      </c>
      <c r="C232" s="28" t="s">
        <v>44</v>
      </c>
      <c r="D232" s="28" t="n">
        <v>49</v>
      </c>
      <c r="E232" s="29" t="n">
        <v>24592900</v>
      </c>
      <c r="F232" s="30" t="n">
        <v>314.63</v>
      </c>
      <c r="G232" s="31" t="n">
        <f aca="false">IFERROR(F232/D232,0)</f>
        <v>6.42102040816327</v>
      </c>
    </row>
    <row r="233" customFormat="false" ht="15" hidden="false" customHeight="false" outlineLevel="0" collapsed="false">
      <c r="A233" s="28" t="n">
        <v>2020</v>
      </c>
      <c r="B233" s="28" t="s">
        <v>97</v>
      </c>
      <c r="C233" s="28" t="s">
        <v>57</v>
      </c>
      <c r="D233" s="28" t="n">
        <v>5</v>
      </c>
      <c r="E233" s="29" t="n">
        <v>3259700</v>
      </c>
      <c r="F233" s="30" t="n">
        <v>29.25</v>
      </c>
      <c r="G233" s="31" t="n">
        <f aca="false">IFERROR(F233/D233,0)</f>
        <v>5.85</v>
      </c>
    </row>
    <row r="234" customFormat="false" ht="15" hidden="false" customHeight="false" outlineLevel="0" collapsed="false">
      <c r="A234" s="28" t="n">
        <v>2020</v>
      </c>
      <c r="B234" s="28" t="s">
        <v>97</v>
      </c>
      <c r="C234" s="28" t="s">
        <v>59</v>
      </c>
      <c r="D234" s="28" t="n">
        <v>1</v>
      </c>
      <c r="E234" s="29" t="n">
        <v>898000</v>
      </c>
      <c r="F234" s="30" t="n">
        <v>7.5</v>
      </c>
      <c r="G234" s="31" t="n">
        <f aca="false">IFERROR(F234/D234,0)</f>
        <v>7.5</v>
      </c>
    </row>
    <row r="235" customFormat="false" ht="15" hidden="false" customHeight="false" outlineLevel="0" collapsed="false">
      <c r="A235" s="28" t="n">
        <v>2020</v>
      </c>
      <c r="B235" s="28" t="s">
        <v>97</v>
      </c>
      <c r="C235" s="28" t="s">
        <v>47</v>
      </c>
      <c r="D235" s="28" t="n">
        <v>30</v>
      </c>
      <c r="E235" s="29" t="n">
        <v>13264300</v>
      </c>
      <c r="F235" s="30" t="n">
        <v>183.89</v>
      </c>
      <c r="G235" s="31" t="n">
        <f aca="false">IFERROR(F235/D235,0)</f>
        <v>6.12966666666667</v>
      </c>
    </row>
    <row r="236" customFormat="false" ht="15" hidden="false" customHeight="false" outlineLevel="0" collapsed="false">
      <c r="A236" s="28" t="n">
        <v>2020</v>
      </c>
      <c r="B236" s="28" t="s">
        <v>97</v>
      </c>
      <c r="C236" s="28" t="s">
        <v>58</v>
      </c>
      <c r="D236" s="28" t="n">
        <v>1</v>
      </c>
      <c r="E236" s="29" t="n">
        <v>150000</v>
      </c>
      <c r="F236" s="30" t="n">
        <v>6.25</v>
      </c>
      <c r="G236" s="31" t="n">
        <f aca="false">IFERROR(F236/D236,0)</f>
        <v>6.25</v>
      </c>
    </row>
    <row r="237" customFormat="false" ht="15" hidden="false" customHeight="false" outlineLevel="0" collapsed="false">
      <c r="A237" s="28" t="n">
        <v>2020</v>
      </c>
      <c r="B237" s="28" t="s">
        <v>97</v>
      </c>
      <c r="C237" s="28" t="s">
        <v>46</v>
      </c>
      <c r="D237" s="28" t="n">
        <v>22</v>
      </c>
      <c r="E237" s="29" t="n">
        <v>8568200</v>
      </c>
      <c r="F237" s="30" t="n">
        <v>149.49</v>
      </c>
      <c r="G237" s="31" t="n">
        <f aca="false">IFERROR(F237/D237,0)</f>
        <v>6.795</v>
      </c>
    </row>
    <row r="238" customFormat="false" ht="15" hidden="false" customHeight="false" outlineLevel="0" collapsed="false">
      <c r="A238" s="28" t="n">
        <v>2020</v>
      </c>
      <c r="B238" s="28" t="s">
        <v>97</v>
      </c>
      <c r="C238" s="28" t="s">
        <v>48</v>
      </c>
      <c r="D238" s="28" t="n">
        <v>10</v>
      </c>
      <c r="E238" s="29" t="n">
        <v>2437800</v>
      </c>
      <c r="F238" s="30" t="n">
        <v>70.13</v>
      </c>
      <c r="G238" s="31" t="n">
        <f aca="false">IFERROR(F238/D238,0)</f>
        <v>7.013</v>
      </c>
    </row>
    <row r="239" customFormat="false" ht="15" hidden="false" customHeight="false" outlineLevel="0" collapsed="false">
      <c r="A239" s="28" t="n">
        <v>2020</v>
      </c>
      <c r="B239" s="28" t="s">
        <v>97</v>
      </c>
      <c r="C239" s="28" t="s">
        <v>53</v>
      </c>
      <c r="D239" s="28" t="n">
        <v>11</v>
      </c>
      <c r="E239" s="29" t="n">
        <v>1402100</v>
      </c>
      <c r="F239" s="30" t="n">
        <v>82.09</v>
      </c>
      <c r="G239" s="31" t="n">
        <f aca="false">IFERROR(F239/D239,0)</f>
        <v>7.46272727272727</v>
      </c>
    </row>
    <row r="240" customFormat="false" ht="15" hidden="false" customHeight="false" outlineLevel="0" collapsed="false">
      <c r="A240" s="28" t="n">
        <v>2020</v>
      </c>
      <c r="B240" s="28" t="s">
        <v>97</v>
      </c>
      <c r="C240" s="28" t="s">
        <v>43</v>
      </c>
      <c r="D240" s="28" t="n">
        <v>36</v>
      </c>
      <c r="E240" s="29" t="n">
        <v>11765300</v>
      </c>
      <c r="F240" s="30" t="n">
        <v>244.58</v>
      </c>
      <c r="G240" s="31" t="n">
        <f aca="false">IFERROR(F240/D240,0)</f>
        <v>6.79388888888889</v>
      </c>
    </row>
    <row r="241" customFormat="false" ht="15" hidden="false" customHeight="false" outlineLevel="0" collapsed="false">
      <c r="A241" s="28" t="n">
        <v>2020</v>
      </c>
      <c r="B241" s="28" t="s">
        <v>97</v>
      </c>
      <c r="C241" s="28" t="s">
        <v>52</v>
      </c>
      <c r="D241" s="28" t="n">
        <v>11</v>
      </c>
      <c r="E241" s="29" t="n">
        <v>1342800</v>
      </c>
      <c r="F241" s="30" t="n">
        <v>63.75</v>
      </c>
      <c r="G241" s="31" t="n">
        <f aca="false">IFERROR(F241/D241,0)</f>
        <v>5.79545454545455</v>
      </c>
    </row>
    <row r="242" customFormat="false" ht="15" hidden="false" customHeight="false" outlineLevel="0" collapsed="false">
      <c r="A242" s="28" t="n">
        <v>2020</v>
      </c>
      <c r="B242" s="28" t="s">
        <v>97</v>
      </c>
      <c r="C242" s="28" t="s">
        <v>49</v>
      </c>
      <c r="D242" s="28" t="n">
        <v>18</v>
      </c>
      <c r="E242" s="29" t="n">
        <v>4436000</v>
      </c>
      <c r="F242" s="30" t="n">
        <v>129.3</v>
      </c>
      <c r="G242" s="31" t="n">
        <f aca="false">IFERROR(F242/D242,0)</f>
        <v>7.18333333333333</v>
      </c>
    </row>
    <row r="243" customFormat="false" ht="15" hidden="false" customHeight="false" outlineLevel="0" collapsed="false">
      <c r="A243" s="28" t="n">
        <v>2020</v>
      </c>
      <c r="B243" s="28" t="s">
        <v>86</v>
      </c>
      <c r="C243" s="28" t="s">
        <v>42</v>
      </c>
      <c r="D243" s="28" t="n">
        <v>178</v>
      </c>
      <c r="E243" s="29" t="n">
        <v>157861600</v>
      </c>
      <c r="F243" s="30" t="n">
        <v>1107.59</v>
      </c>
      <c r="G243" s="31" t="n">
        <f aca="false">IFERROR(F243/D243,0)</f>
        <v>6.22241573033708</v>
      </c>
    </row>
    <row r="244" customFormat="false" ht="15" hidden="false" customHeight="false" outlineLevel="0" collapsed="false">
      <c r="A244" s="28" t="n">
        <v>2020</v>
      </c>
      <c r="B244" s="28" t="s">
        <v>86</v>
      </c>
      <c r="C244" s="28" t="s">
        <v>50</v>
      </c>
      <c r="D244" s="28" t="n">
        <v>49</v>
      </c>
      <c r="E244" s="29" t="n">
        <v>19052100</v>
      </c>
      <c r="F244" s="30" t="n">
        <v>299.39</v>
      </c>
      <c r="G244" s="31" t="n">
        <f aca="false">IFERROR(F244/D244,0)</f>
        <v>6.11</v>
      </c>
    </row>
    <row r="245" customFormat="false" ht="15" hidden="false" customHeight="false" outlineLevel="0" collapsed="false">
      <c r="A245" s="28" t="n">
        <v>2020</v>
      </c>
      <c r="B245" s="28" t="s">
        <v>86</v>
      </c>
      <c r="C245" s="28" t="s">
        <v>55</v>
      </c>
      <c r="D245" s="28" t="n">
        <v>1</v>
      </c>
      <c r="E245" s="29" t="n">
        <v>103000</v>
      </c>
      <c r="F245" s="30" t="n">
        <v>5.5</v>
      </c>
      <c r="G245" s="31" t="n">
        <f aca="false">IFERROR(F245/D245,0)</f>
        <v>5.5</v>
      </c>
    </row>
    <row r="246" customFormat="false" ht="15" hidden="false" customHeight="false" outlineLevel="0" collapsed="false">
      <c r="A246" s="28" t="n">
        <v>2020</v>
      </c>
      <c r="B246" s="28" t="s">
        <v>86</v>
      </c>
      <c r="C246" s="28" t="s">
        <v>51</v>
      </c>
      <c r="D246" s="28" t="n">
        <v>44</v>
      </c>
      <c r="E246" s="29" t="n">
        <v>17979600</v>
      </c>
      <c r="F246" s="30" t="n">
        <v>283.045</v>
      </c>
      <c r="G246" s="31" t="n">
        <f aca="false">IFERROR(F246/D246,0)</f>
        <v>6.43284090909091</v>
      </c>
    </row>
    <row r="247" customFormat="false" ht="15" hidden="false" customHeight="false" outlineLevel="0" collapsed="false">
      <c r="A247" s="28" t="n">
        <v>2020</v>
      </c>
      <c r="B247" s="28" t="s">
        <v>86</v>
      </c>
      <c r="C247" s="28" t="s">
        <v>45</v>
      </c>
      <c r="D247" s="28" t="n">
        <v>130</v>
      </c>
      <c r="E247" s="29" t="n">
        <v>43465300</v>
      </c>
      <c r="F247" s="30" t="n">
        <v>846.22</v>
      </c>
      <c r="G247" s="31" t="n">
        <f aca="false">IFERROR(F247/D247,0)</f>
        <v>6.50938461538462</v>
      </c>
    </row>
    <row r="248" customFormat="false" ht="15" hidden="false" customHeight="false" outlineLevel="0" collapsed="false">
      <c r="A248" s="28" t="n">
        <v>2020</v>
      </c>
      <c r="B248" s="28" t="s">
        <v>86</v>
      </c>
      <c r="C248" s="28" t="s">
        <v>56</v>
      </c>
      <c r="D248" s="28" t="n">
        <v>20</v>
      </c>
      <c r="E248" s="29" t="n">
        <v>14421600</v>
      </c>
      <c r="F248" s="30" t="n">
        <v>120.72</v>
      </c>
      <c r="G248" s="31" t="n">
        <f aca="false">IFERROR(F248/D248,0)</f>
        <v>6.036</v>
      </c>
    </row>
    <row r="249" customFormat="false" ht="15" hidden="false" customHeight="false" outlineLevel="0" collapsed="false">
      <c r="A249" s="28" t="n">
        <v>2020</v>
      </c>
      <c r="B249" s="28" t="s">
        <v>86</v>
      </c>
      <c r="C249" s="28" t="s">
        <v>54</v>
      </c>
      <c r="D249" s="28" t="n">
        <v>24</v>
      </c>
      <c r="E249" s="29" t="n">
        <v>12864500</v>
      </c>
      <c r="F249" s="30" t="n">
        <v>147.1</v>
      </c>
      <c r="G249" s="31" t="n">
        <f aca="false">IFERROR(F249/D249,0)</f>
        <v>6.12916666666667</v>
      </c>
    </row>
    <row r="250" customFormat="false" ht="15" hidden="false" customHeight="false" outlineLevel="0" collapsed="false">
      <c r="A250" s="28" t="n">
        <v>2020</v>
      </c>
      <c r="B250" s="28" t="s">
        <v>86</v>
      </c>
      <c r="C250" s="28" t="s">
        <v>44</v>
      </c>
      <c r="D250" s="28" t="n">
        <v>89</v>
      </c>
      <c r="E250" s="29" t="n">
        <v>58439700</v>
      </c>
      <c r="F250" s="30" t="n">
        <v>556.11</v>
      </c>
      <c r="G250" s="31" t="n">
        <f aca="false">IFERROR(F250/D250,0)</f>
        <v>6.24842696629214</v>
      </c>
    </row>
    <row r="251" customFormat="false" ht="15" hidden="false" customHeight="false" outlineLevel="0" collapsed="false">
      <c r="A251" s="28" t="n">
        <v>2020</v>
      </c>
      <c r="B251" s="28" t="s">
        <v>86</v>
      </c>
      <c r="C251" s="28" t="s">
        <v>57</v>
      </c>
      <c r="D251" s="28" t="n">
        <v>10</v>
      </c>
      <c r="E251" s="29" t="n">
        <v>1502900</v>
      </c>
      <c r="F251" s="30" t="n">
        <v>74.9</v>
      </c>
      <c r="G251" s="31" t="n">
        <f aca="false">IFERROR(F251/D251,0)</f>
        <v>7.49</v>
      </c>
    </row>
    <row r="252" customFormat="false" ht="15" hidden="false" customHeight="false" outlineLevel="0" collapsed="false">
      <c r="A252" s="28" t="n">
        <v>2020</v>
      </c>
      <c r="B252" s="28" t="s">
        <v>86</v>
      </c>
      <c r="C252" s="28" t="s">
        <v>47</v>
      </c>
      <c r="D252" s="28" t="n">
        <v>100</v>
      </c>
      <c r="E252" s="29" t="n">
        <v>87308900</v>
      </c>
      <c r="F252" s="30" t="n">
        <v>620.8</v>
      </c>
      <c r="G252" s="31" t="n">
        <f aca="false">IFERROR(F252/D252,0)</f>
        <v>6.208</v>
      </c>
    </row>
    <row r="253" customFormat="false" ht="15" hidden="false" customHeight="false" outlineLevel="0" collapsed="false">
      <c r="A253" s="28" t="n">
        <v>2020</v>
      </c>
      <c r="B253" s="28" t="s">
        <v>86</v>
      </c>
      <c r="C253" s="28" t="s">
        <v>46</v>
      </c>
      <c r="D253" s="28" t="n">
        <v>109</v>
      </c>
      <c r="E253" s="29" t="n">
        <v>69387600</v>
      </c>
      <c r="F253" s="30" t="n">
        <v>670.661</v>
      </c>
      <c r="G253" s="31" t="n">
        <f aca="false">IFERROR(F253/D253,0)</f>
        <v>6.15285321100918</v>
      </c>
    </row>
    <row r="254" customFormat="false" ht="15" hidden="false" customHeight="false" outlineLevel="0" collapsed="false">
      <c r="A254" s="28" t="n">
        <v>2020</v>
      </c>
      <c r="B254" s="28" t="s">
        <v>86</v>
      </c>
      <c r="C254" s="28" t="s">
        <v>48</v>
      </c>
      <c r="D254" s="28" t="n">
        <v>117</v>
      </c>
      <c r="E254" s="29" t="n">
        <v>44804200</v>
      </c>
      <c r="F254" s="30" t="n">
        <v>742.9</v>
      </c>
      <c r="G254" s="31" t="n">
        <f aca="false">IFERROR(F254/D254,0)</f>
        <v>6.34957264957265</v>
      </c>
    </row>
    <row r="255" customFormat="false" ht="15" hidden="false" customHeight="false" outlineLevel="0" collapsed="false">
      <c r="A255" s="28" t="n">
        <v>2020</v>
      </c>
      <c r="B255" s="28" t="s">
        <v>86</v>
      </c>
      <c r="C255" s="28" t="s">
        <v>53</v>
      </c>
      <c r="D255" s="28" t="n">
        <v>26</v>
      </c>
      <c r="E255" s="29" t="n">
        <v>19659900</v>
      </c>
      <c r="F255" s="30" t="n">
        <v>176.52</v>
      </c>
      <c r="G255" s="31" t="n">
        <f aca="false">IFERROR(F255/D255,0)</f>
        <v>6.78923076923077</v>
      </c>
    </row>
    <row r="256" customFormat="false" ht="15" hidden="false" customHeight="false" outlineLevel="0" collapsed="false">
      <c r="A256" s="28" t="n">
        <v>2020</v>
      </c>
      <c r="B256" s="28" t="s">
        <v>86</v>
      </c>
      <c r="C256" s="28" t="s">
        <v>43</v>
      </c>
      <c r="D256" s="28" t="n">
        <v>150</v>
      </c>
      <c r="E256" s="29" t="n">
        <v>107162800</v>
      </c>
      <c r="F256" s="30" t="n">
        <v>925.86</v>
      </c>
      <c r="G256" s="31" t="n">
        <f aca="false">IFERROR(F256/D256,0)</f>
        <v>6.1724</v>
      </c>
    </row>
    <row r="257" customFormat="false" ht="15" hidden="false" customHeight="false" outlineLevel="0" collapsed="false">
      <c r="A257" s="28" t="n">
        <v>2020</v>
      </c>
      <c r="B257" s="28" t="s">
        <v>86</v>
      </c>
      <c r="C257" s="28" t="s">
        <v>52</v>
      </c>
      <c r="D257" s="28" t="n">
        <v>134</v>
      </c>
      <c r="E257" s="29" t="n">
        <v>43169900</v>
      </c>
      <c r="F257" s="30" t="n">
        <v>830.99</v>
      </c>
      <c r="G257" s="31" t="n">
        <f aca="false">IFERROR(F257/D257,0)</f>
        <v>6.20141791044776</v>
      </c>
    </row>
    <row r="258" customFormat="false" ht="15" hidden="false" customHeight="false" outlineLevel="0" collapsed="false">
      <c r="A258" s="28" t="n">
        <v>2020</v>
      </c>
      <c r="B258" s="28" t="s">
        <v>86</v>
      </c>
      <c r="C258" s="28" t="s">
        <v>60</v>
      </c>
      <c r="D258" s="28" t="n">
        <v>1</v>
      </c>
      <c r="E258" s="29" t="n">
        <v>640000</v>
      </c>
      <c r="F258" s="30" t="n">
        <v>7.5</v>
      </c>
      <c r="G258" s="31" t="n">
        <f aca="false">IFERROR(F258/D258,0)</f>
        <v>7.5</v>
      </c>
    </row>
    <row r="259" customFormat="false" ht="15" hidden="false" customHeight="false" outlineLevel="0" collapsed="false">
      <c r="A259" s="28" t="n">
        <v>2020</v>
      </c>
      <c r="B259" s="28" t="s">
        <v>86</v>
      </c>
      <c r="C259" s="28" t="s">
        <v>49</v>
      </c>
      <c r="D259" s="28" t="n">
        <v>57</v>
      </c>
      <c r="E259" s="29" t="n">
        <v>63536100</v>
      </c>
      <c r="F259" s="30" t="n">
        <v>346.27</v>
      </c>
      <c r="G259" s="31" t="n">
        <f aca="false">IFERROR(F259/D259,0)</f>
        <v>6.07491228070175</v>
      </c>
    </row>
    <row r="260" customFormat="false" ht="15" hidden="false" customHeight="false" outlineLevel="0" collapsed="false">
      <c r="A260" s="28" t="n">
        <v>2020</v>
      </c>
      <c r="B260" s="28" t="s">
        <v>100</v>
      </c>
      <c r="C260" s="28" t="s">
        <v>42</v>
      </c>
      <c r="D260" s="28" t="n">
        <v>114</v>
      </c>
      <c r="E260" s="29" t="n">
        <v>89486100</v>
      </c>
      <c r="F260" s="30" t="n">
        <v>704.51</v>
      </c>
      <c r="G260" s="31" t="n">
        <f aca="false">IFERROR(F260/D260,0)</f>
        <v>6.17991228070175</v>
      </c>
    </row>
    <row r="261" customFormat="false" ht="15" hidden="false" customHeight="false" outlineLevel="0" collapsed="false">
      <c r="A261" s="28" t="n">
        <v>2020</v>
      </c>
      <c r="B261" s="28" t="s">
        <v>100</v>
      </c>
      <c r="C261" s="28" t="s">
        <v>50</v>
      </c>
      <c r="D261" s="28" t="n">
        <v>71</v>
      </c>
      <c r="E261" s="29" t="n">
        <v>29334400</v>
      </c>
      <c r="F261" s="30" t="n">
        <v>429.82</v>
      </c>
      <c r="G261" s="31" t="n">
        <f aca="false">IFERROR(F261/D261,0)</f>
        <v>6.05380281690141</v>
      </c>
    </row>
    <row r="262" customFormat="false" ht="15" hidden="false" customHeight="false" outlineLevel="0" collapsed="false">
      <c r="A262" s="28" t="n">
        <v>2020</v>
      </c>
      <c r="B262" s="28" t="s">
        <v>100</v>
      </c>
      <c r="C262" s="28" t="s">
        <v>55</v>
      </c>
      <c r="D262" s="28" t="n">
        <v>1</v>
      </c>
      <c r="E262" s="29" t="n">
        <v>167500</v>
      </c>
      <c r="F262" s="30" t="n">
        <v>6.75</v>
      </c>
      <c r="G262" s="31" t="n">
        <f aca="false">IFERROR(F262/D262,0)</f>
        <v>6.75</v>
      </c>
    </row>
    <row r="263" customFormat="false" ht="15" hidden="false" customHeight="false" outlineLevel="0" collapsed="false">
      <c r="A263" s="28" t="n">
        <v>2020</v>
      </c>
      <c r="B263" s="28" t="s">
        <v>100</v>
      </c>
      <c r="C263" s="28" t="s">
        <v>51</v>
      </c>
      <c r="D263" s="28" t="n">
        <v>38</v>
      </c>
      <c r="E263" s="29" t="n">
        <v>16734200</v>
      </c>
      <c r="F263" s="30" t="n">
        <v>245.32</v>
      </c>
      <c r="G263" s="31" t="n">
        <f aca="false">IFERROR(F263/D263,0)</f>
        <v>6.45578947368421</v>
      </c>
    </row>
    <row r="264" customFormat="false" ht="15" hidden="false" customHeight="false" outlineLevel="0" collapsed="false">
      <c r="A264" s="28" t="n">
        <v>2020</v>
      </c>
      <c r="B264" s="28" t="s">
        <v>100</v>
      </c>
      <c r="C264" s="28" t="s">
        <v>45</v>
      </c>
      <c r="D264" s="28" t="n">
        <v>83</v>
      </c>
      <c r="E264" s="29" t="n">
        <v>29947200</v>
      </c>
      <c r="F264" s="30" t="n">
        <v>516.505</v>
      </c>
      <c r="G264" s="31" t="n">
        <f aca="false">IFERROR(F264/D264,0)</f>
        <v>6.22295180722892</v>
      </c>
    </row>
    <row r="265" customFormat="false" ht="15" hidden="false" customHeight="false" outlineLevel="0" collapsed="false">
      <c r="A265" s="28" t="n">
        <v>2020</v>
      </c>
      <c r="B265" s="28" t="s">
        <v>100</v>
      </c>
      <c r="C265" s="28" t="s">
        <v>56</v>
      </c>
      <c r="D265" s="28" t="n">
        <v>13</v>
      </c>
      <c r="E265" s="29" t="n">
        <v>6158200</v>
      </c>
      <c r="F265" s="30" t="n">
        <v>76.05</v>
      </c>
      <c r="G265" s="31" t="n">
        <f aca="false">IFERROR(F265/D265,0)</f>
        <v>5.85</v>
      </c>
    </row>
    <row r="266" customFormat="false" ht="15" hidden="false" customHeight="false" outlineLevel="0" collapsed="false">
      <c r="A266" s="28" t="n">
        <v>2020</v>
      </c>
      <c r="B266" s="28" t="s">
        <v>100</v>
      </c>
      <c r="C266" s="28" t="s">
        <v>54</v>
      </c>
      <c r="D266" s="28" t="n">
        <v>24</v>
      </c>
      <c r="E266" s="29" t="n">
        <v>12388800</v>
      </c>
      <c r="F266" s="30" t="n">
        <v>159.07</v>
      </c>
      <c r="G266" s="31" t="n">
        <f aca="false">IFERROR(F266/D266,0)</f>
        <v>6.62791666666667</v>
      </c>
    </row>
    <row r="267" customFormat="false" ht="15" hidden="false" customHeight="false" outlineLevel="0" collapsed="false">
      <c r="A267" s="28" t="n">
        <v>2020</v>
      </c>
      <c r="B267" s="28" t="s">
        <v>100</v>
      </c>
      <c r="C267" s="28" t="s">
        <v>44</v>
      </c>
      <c r="D267" s="28" t="n">
        <v>41</v>
      </c>
      <c r="E267" s="29" t="n">
        <v>12557100</v>
      </c>
      <c r="F267" s="30" t="n">
        <v>230.96</v>
      </c>
      <c r="G267" s="31" t="n">
        <f aca="false">IFERROR(F267/D267,0)</f>
        <v>5.63317073170732</v>
      </c>
    </row>
    <row r="268" customFormat="false" ht="15" hidden="false" customHeight="false" outlineLevel="0" collapsed="false">
      <c r="A268" s="28" t="n">
        <v>2020</v>
      </c>
      <c r="B268" s="28" t="s">
        <v>100</v>
      </c>
      <c r="C268" s="28" t="s">
        <v>57</v>
      </c>
      <c r="D268" s="28" t="n">
        <v>7</v>
      </c>
      <c r="E268" s="29" t="n">
        <v>6595200</v>
      </c>
      <c r="F268" s="30" t="n">
        <v>38.2</v>
      </c>
      <c r="G268" s="31" t="n">
        <f aca="false">IFERROR(F268/D268,0)</f>
        <v>5.45714285714286</v>
      </c>
    </row>
    <row r="269" customFormat="false" ht="15" hidden="false" customHeight="false" outlineLevel="0" collapsed="false">
      <c r="A269" s="28" t="n">
        <v>2020</v>
      </c>
      <c r="B269" s="28" t="s">
        <v>100</v>
      </c>
      <c r="C269" s="28" t="s">
        <v>59</v>
      </c>
      <c r="D269" s="28" t="n">
        <v>1</v>
      </c>
      <c r="E269" s="29" t="n">
        <v>114000</v>
      </c>
      <c r="F269" s="30" t="n">
        <v>6</v>
      </c>
      <c r="G269" s="31" t="n">
        <f aca="false">IFERROR(F269/D269,0)</f>
        <v>6</v>
      </c>
    </row>
    <row r="270" customFormat="false" ht="15" hidden="false" customHeight="false" outlineLevel="0" collapsed="false">
      <c r="A270" s="28" t="n">
        <v>2020</v>
      </c>
      <c r="B270" s="28" t="s">
        <v>100</v>
      </c>
      <c r="C270" s="28" t="s">
        <v>47</v>
      </c>
      <c r="D270" s="28" t="n">
        <v>62</v>
      </c>
      <c r="E270" s="29" t="n">
        <v>44459300</v>
      </c>
      <c r="F270" s="30" t="n">
        <v>362.21</v>
      </c>
      <c r="G270" s="31" t="n">
        <f aca="false">IFERROR(F270/D270,0)</f>
        <v>5.84209677419355</v>
      </c>
    </row>
    <row r="271" customFormat="false" ht="15" hidden="false" customHeight="false" outlineLevel="0" collapsed="false">
      <c r="A271" s="28" t="n">
        <v>2020</v>
      </c>
      <c r="B271" s="28" t="s">
        <v>100</v>
      </c>
      <c r="C271" s="28" t="s">
        <v>46</v>
      </c>
      <c r="D271" s="28" t="n">
        <v>70</v>
      </c>
      <c r="E271" s="29" t="n">
        <v>42521400</v>
      </c>
      <c r="F271" s="30" t="n">
        <v>436.295</v>
      </c>
      <c r="G271" s="31" t="n">
        <f aca="false">IFERROR(F271/D271,0)</f>
        <v>6.23278571428572</v>
      </c>
    </row>
    <row r="272" customFormat="false" ht="15" hidden="false" customHeight="false" outlineLevel="0" collapsed="false">
      <c r="A272" s="28" t="n">
        <v>2020</v>
      </c>
      <c r="B272" s="28" t="s">
        <v>100</v>
      </c>
      <c r="C272" s="28" t="s">
        <v>48</v>
      </c>
      <c r="D272" s="28" t="n">
        <v>57</v>
      </c>
      <c r="E272" s="29" t="n">
        <v>24301500</v>
      </c>
      <c r="F272" s="30" t="n">
        <v>359.953</v>
      </c>
      <c r="G272" s="31" t="n">
        <f aca="false">IFERROR(F272/D272,0)</f>
        <v>6.3149649122807</v>
      </c>
    </row>
    <row r="273" customFormat="false" ht="15" hidden="false" customHeight="false" outlineLevel="0" collapsed="false">
      <c r="A273" s="28" t="n">
        <v>2020</v>
      </c>
      <c r="B273" s="28" t="s">
        <v>100</v>
      </c>
      <c r="C273" s="28" t="s">
        <v>53</v>
      </c>
      <c r="D273" s="28" t="n">
        <v>27</v>
      </c>
      <c r="E273" s="29" t="n">
        <v>16800100</v>
      </c>
      <c r="F273" s="30" t="n">
        <v>166.95</v>
      </c>
      <c r="G273" s="31" t="n">
        <f aca="false">IFERROR(F273/D273,0)</f>
        <v>6.18333333333333</v>
      </c>
    </row>
    <row r="274" customFormat="false" ht="15" hidden="false" customHeight="false" outlineLevel="0" collapsed="false">
      <c r="A274" s="28" t="n">
        <v>2020</v>
      </c>
      <c r="B274" s="28" t="s">
        <v>100</v>
      </c>
      <c r="C274" s="28" t="s">
        <v>43</v>
      </c>
      <c r="D274" s="28" t="n">
        <v>80</v>
      </c>
      <c r="E274" s="29" t="n">
        <v>45769600</v>
      </c>
      <c r="F274" s="30" t="n">
        <v>484.32</v>
      </c>
      <c r="G274" s="31" t="n">
        <f aca="false">IFERROR(F274/D274,0)</f>
        <v>6.054</v>
      </c>
    </row>
    <row r="275" customFormat="false" ht="15" hidden="false" customHeight="false" outlineLevel="0" collapsed="false">
      <c r="A275" s="28" t="n">
        <v>2020</v>
      </c>
      <c r="B275" s="28" t="s">
        <v>100</v>
      </c>
      <c r="C275" s="28" t="s">
        <v>52</v>
      </c>
      <c r="D275" s="28" t="n">
        <v>97</v>
      </c>
      <c r="E275" s="29" t="n">
        <v>12642000</v>
      </c>
      <c r="F275" s="30" t="n">
        <v>593.485</v>
      </c>
      <c r="G275" s="31" t="n">
        <f aca="false">IFERROR(F275/D275,0)</f>
        <v>6.11840206185567</v>
      </c>
    </row>
    <row r="276" customFormat="false" ht="15" hidden="false" customHeight="false" outlineLevel="0" collapsed="false">
      <c r="A276" s="28" t="n">
        <v>2020</v>
      </c>
      <c r="B276" s="28" t="s">
        <v>100</v>
      </c>
      <c r="C276" s="28" t="s">
        <v>60</v>
      </c>
      <c r="D276" s="28" t="n">
        <v>1</v>
      </c>
      <c r="E276" s="29" t="n">
        <v>250000</v>
      </c>
      <c r="F276" s="30" t="n">
        <v>8.75</v>
      </c>
      <c r="G276" s="31" t="n">
        <f aca="false">IFERROR(F276/D276,0)</f>
        <v>8.75</v>
      </c>
    </row>
    <row r="277" customFormat="false" ht="15" hidden="false" customHeight="false" outlineLevel="0" collapsed="false">
      <c r="A277" s="28" t="n">
        <v>2020</v>
      </c>
      <c r="B277" s="28" t="s">
        <v>100</v>
      </c>
      <c r="C277" s="28" t="s">
        <v>49</v>
      </c>
      <c r="D277" s="28" t="n">
        <v>28</v>
      </c>
      <c r="E277" s="29" t="n">
        <v>18542800</v>
      </c>
      <c r="F277" s="30" t="n">
        <v>172.15</v>
      </c>
      <c r="G277" s="31" t="n">
        <f aca="false">IFERROR(F277/D277,0)</f>
        <v>6.14821428571429</v>
      </c>
    </row>
    <row r="278" customFormat="false" ht="15" hidden="false" customHeight="false" outlineLevel="0" collapsed="false">
      <c r="A278" s="28" t="n">
        <v>2020</v>
      </c>
      <c r="B278" s="28" t="s">
        <v>101</v>
      </c>
      <c r="C278" s="28" t="s">
        <v>42</v>
      </c>
      <c r="D278" s="28" t="n">
        <v>47</v>
      </c>
      <c r="E278" s="29" t="n">
        <v>26384200</v>
      </c>
      <c r="F278" s="30" t="n">
        <v>286.95</v>
      </c>
      <c r="G278" s="31" t="n">
        <f aca="false">IFERROR(F278/D278,0)</f>
        <v>6.10531914893617</v>
      </c>
    </row>
    <row r="279" customFormat="false" ht="15" hidden="false" customHeight="false" outlineLevel="0" collapsed="false">
      <c r="A279" s="28" t="n">
        <v>2020</v>
      </c>
      <c r="B279" s="28" t="s">
        <v>101</v>
      </c>
      <c r="C279" s="28" t="s">
        <v>50</v>
      </c>
      <c r="D279" s="28" t="n">
        <v>20</v>
      </c>
      <c r="E279" s="29" t="n">
        <v>4217200</v>
      </c>
      <c r="F279" s="30" t="n">
        <v>118.6</v>
      </c>
      <c r="G279" s="31" t="n">
        <f aca="false">IFERROR(F279/D279,0)</f>
        <v>5.93</v>
      </c>
    </row>
    <row r="280" customFormat="false" ht="15" hidden="false" customHeight="false" outlineLevel="0" collapsed="false">
      <c r="A280" s="28" t="n">
        <v>2020</v>
      </c>
      <c r="B280" s="28" t="s">
        <v>101</v>
      </c>
      <c r="C280" s="28" t="s">
        <v>55</v>
      </c>
      <c r="D280" s="28" t="n">
        <v>4</v>
      </c>
      <c r="E280" s="29" t="n">
        <v>150000</v>
      </c>
      <c r="F280" s="30" t="n">
        <v>25.75</v>
      </c>
      <c r="G280" s="31" t="n">
        <f aca="false">IFERROR(F280/D280,0)</f>
        <v>6.4375</v>
      </c>
    </row>
    <row r="281" customFormat="false" ht="15" hidden="false" customHeight="false" outlineLevel="0" collapsed="false">
      <c r="A281" s="28" t="n">
        <v>2020</v>
      </c>
      <c r="B281" s="28" t="s">
        <v>101</v>
      </c>
      <c r="C281" s="28" t="s">
        <v>51</v>
      </c>
      <c r="D281" s="28" t="n">
        <v>15</v>
      </c>
      <c r="E281" s="29" t="n">
        <v>6170900</v>
      </c>
      <c r="F281" s="30" t="n">
        <v>79.58</v>
      </c>
      <c r="G281" s="31" t="n">
        <f aca="false">IFERROR(F281/D281,0)</f>
        <v>5.30533333333333</v>
      </c>
    </row>
    <row r="282" customFormat="false" ht="15" hidden="false" customHeight="false" outlineLevel="0" collapsed="false">
      <c r="A282" s="28" t="n">
        <v>2020</v>
      </c>
      <c r="B282" s="28" t="s">
        <v>101</v>
      </c>
      <c r="C282" s="28" t="s">
        <v>45</v>
      </c>
      <c r="D282" s="28" t="n">
        <v>39</v>
      </c>
      <c r="E282" s="29" t="n">
        <v>13821000</v>
      </c>
      <c r="F282" s="30" t="n">
        <v>244.57</v>
      </c>
      <c r="G282" s="31" t="n">
        <f aca="false">IFERROR(F282/D282,0)</f>
        <v>6.27102564102564</v>
      </c>
    </row>
    <row r="283" customFormat="false" ht="15" hidden="false" customHeight="false" outlineLevel="0" collapsed="false">
      <c r="A283" s="28" t="n">
        <v>2020</v>
      </c>
      <c r="B283" s="28" t="s">
        <v>101</v>
      </c>
      <c r="C283" s="28" t="s">
        <v>56</v>
      </c>
      <c r="D283" s="28" t="n">
        <v>3</v>
      </c>
      <c r="E283" s="29" t="n">
        <v>2535800</v>
      </c>
      <c r="F283" s="30" t="n">
        <v>17.75</v>
      </c>
      <c r="G283" s="31" t="n">
        <f aca="false">IFERROR(F283/D283,0)</f>
        <v>5.91666666666667</v>
      </c>
    </row>
    <row r="284" customFormat="false" ht="15" hidden="false" customHeight="false" outlineLevel="0" collapsed="false">
      <c r="A284" s="28" t="n">
        <v>2020</v>
      </c>
      <c r="B284" s="28" t="s">
        <v>101</v>
      </c>
      <c r="C284" s="28" t="s">
        <v>54</v>
      </c>
      <c r="D284" s="28" t="n">
        <v>15</v>
      </c>
      <c r="E284" s="29" t="n">
        <v>8390700</v>
      </c>
      <c r="F284" s="30" t="n">
        <v>97.4</v>
      </c>
      <c r="G284" s="31" t="n">
        <f aca="false">IFERROR(F284/D284,0)</f>
        <v>6.49333333333333</v>
      </c>
    </row>
    <row r="285" customFormat="false" ht="15" hidden="false" customHeight="false" outlineLevel="0" collapsed="false">
      <c r="A285" s="28" t="n">
        <v>2020</v>
      </c>
      <c r="B285" s="28" t="s">
        <v>101</v>
      </c>
      <c r="C285" s="28" t="s">
        <v>44</v>
      </c>
      <c r="D285" s="28" t="n">
        <v>37</v>
      </c>
      <c r="E285" s="29" t="n">
        <v>14594200</v>
      </c>
      <c r="F285" s="30" t="n">
        <v>210.82</v>
      </c>
      <c r="G285" s="31" t="n">
        <f aca="false">IFERROR(F285/D285,0)</f>
        <v>5.69783783783784</v>
      </c>
    </row>
    <row r="286" customFormat="false" ht="15" hidden="false" customHeight="false" outlineLevel="0" collapsed="false">
      <c r="A286" s="28" t="n">
        <v>2020</v>
      </c>
      <c r="B286" s="28" t="s">
        <v>101</v>
      </c>
      <c r="C286" s="28" t="s">
        <v>57</v>
      </c>
      <c r="D286" s="28" t="n">
        <v>3</v>
      </c>
      <c r="E286" s="29" t="n">
        <v>8131000</v>
      </c>
      <c r="F286" s="30" t="n">
        <v>13.75</v>
      </c>
      <c r="G286" s="31" t="n">
        <f aca="false">IFERROR(F286/D286,0)</f>
        <v>4.58333333333333</v>
      </c>
    </row>
    <row r="287" customFormat="false" ht="15" hidden="false" customHeight="false" outlineLevel="0" collapsed="false">
      <c r="A287" s="28" t="n">
        <v>2020</v>
      </c>
      <c r="B287" s="28" t="s">
        <v>101</v>
      </c>
      <c r="C287" s="28" t="s">
        <v>59</v>
      </c>
      <c r="D287" s="28" t="n">
        <v>1</v>
      </c>
      <c r="E287" s="29" t="n">
        <v>340000</v>
      </c>
      <c r="F287" s="30" t="n">
        <v>4.15</v>
      </c>
      <c r="G287" s="31" t="n">
        <f aca="false">IFERROR(F287/D287,0)</f>
        <v>4.15</v>
      </c>
    </row>
    <row r="288" customFormat="false" ht="15" hidden="false" customHeight="false" outlineLevel="0" collapsed="false">
      <c r="A288" s="28" t="n">
        <v>2020</v>
      </c>
      <c r="B288" s="28" t="s">
        <v>101</v>
      </c>
      <c r="C288" s="28" t="s">
        <v>47</v>
      </c>
      <c r="D288" s="28" t="n">
        <v>32</v>
      </c>
      <c r="E288" s="29" t="n">
        <v>15784800</v>
      </c>
      <c r="F288" s="30" t="n">
        <v>192.11</v>
      </c>
      <c r="G288" s="31" t="n">
        <f aca="false">IFERROR(F288/D288,0)</f>
        <v>6.0034375</v>
      </c>
    </row>
    <row r="289" customFormat="false" ht="15" hidden="false" customHeight="false" outlineLevel="0" collapsed="false">
      <c r="A289" s="28" t="n">
        <v>2020</v>
      </c>
      <c r="B289" s="28" t="s">
        <v>101</v>
      </c>
      <c r="C289" s="28" t="s">
        <v>58</v>
      </c>
      <c r="D289" s="28" t="n">
        <v>6</v>
      </c>
      <c r="E289" s="29" t="n">
        <v>2165300</v>
      </c>
      <c r="F289" s="30" t="n">
        <v>34</v>
      </c>
      <c r="G289" s="31" t="n">
        <f aca="false">IFERROR(F289/D289,0)</f>
        <v>5.66666666666667</v>
      </c>
    </row>
    <row r="290" customFormat="false" ht="15" hidden="false" customHeight="false" outlineLevel="0" collapsed="false">
      <c r="A290" s="28" t="n">
        <v>2020</v>
      </c>
      <c r="B290" s="28" t="s">
        <v>101</v>
      </c>
      <c r="C290" s="28" t="s">
        <v>46</v>
      </c>
      <c r="D290" s="28" t="n">
        <v>39</v>
      </c>
      <c r="E290" s="29" t="n">
        <v>14420900</v>
      </c>
      <c r="F290" s="30" t="n">
        <v>222.02</v>
      </c>
      <c r="G290" s="31" t="n">
        <f aca="false">IFERROR(F290/D290,0)</f>
        <v>5.69282051282051</v>
      </c>
    </row>
    <row r="291" customFormat="false" ht="15" hidden="false" customHeight="false" outlineLevel="0" collapsed="false">
      <c r="A291" s="28" t="n">
        <v>2020</v>
      </c>
      <c r="B291" s="28" t="s">
        <v>101</v>
      </c>
      <c r="C291" s="28" t="s">
        <v>48</v>
      </c>
      <c r="D291" s="28" t="n">
        <v>28</v>
      </c>
      <c r="E291" s="29" t="n">
        <v>16505600</v>
      </c>
      <c r="F291" s="30" t="n">
        <v>157.18</v>
      </c>
      <c r="G291" s="31" t="n">
        <f aca="false">IFERROR(F291/D291,0)</f>
        <v>5.61357142857143</v>
      </c>
    </row>
    <row r="292" customFormat="false" ht="15" hidden="false" customHeight="false" outlineLevel="0" collapsed="false">
      <c r="A292" s="28" t="n">
        <v>2020</v>
      </c>
      <c r="B292" s="28" t="s">
        <v>101</v>
      </c>
      <c r="C292" s="28" t="s">
        <v>53</v>
      </c>
      <c r="D292" s="28" t="n">
        <v>7</v>
      </c>
      <c r="E292" s="29" t="n">
        <v>1719700</v>
      </c>
      <c r="F292" s="30" t="n">
        <v>45.75</v>
      </c>
      <c r="G292" s="31" t="n">
        <f aca="false">IFERROR(F292/D292,0)</f>
        <v>6.53571428571429</v>
      </c>
    </row>
    <row r="293" customFormat="false" ht="15" hidden="false" customHeight="false" outlineLevel="0" collapsed="false">
      <c r="A293" s="28" t="n">
        <v>2020</v>
      </c>
      <c r="B293" s="28" t="s">
        <v>101</v>
      </c>
      <c r="C293" s="28" t="s">
        <v>43</v>
      </c>
      <c r="D293" s="28" t="n">
        <v>39</v>
      </c>
      <c r="E293" s="29" t="n">
        <v>16926900</v>
      </c>
      <c r="F293" s="30" t="n">
        <v>220.005</v>
      </c>
      <c r="G293" s="31" t="n">
        <f aca="false">IFERROR(F293/D293,0)</f>
        <v>5.64115384615385</v>
      </c>
    </row>
    <row r="294" customFormat="false" ht="15" hidden="false" customHeight="false" outlineLevel="0" collapsed="false">
      <c r="A294" s="28" t="n">
        <v>2020</v>
      </c>
      <c r="B294" s="28" t="s">
        <v>101</v>
      </c>
      <c r="C294" s="28" t="s">
        <v>52</v>
      </c>
      <c r="D294" s="28" t="n">
        <v>20</v>
      </c>
      <c r="E294" s="29" t="n">
        <v>6813300</v>
      </c>
      <c r="F294" s="30" t="n">
        <v>119.8</v>
      </c>
      <c r="G294" s="31" t="n">
        <f aca="false">IFERROR(F294/D294,0)</f>
        <v>5.99</v>
      </c>
    </row>
    <row r="295" customFormat="false" ht="15" hidden="false" customHeight="false" outlineLevel="0" collapsed="false">
      <c r="A295" s="28" t="n">
        <v>2020</v>
      </c>
      <c r="B295" s="28" t="s">
        <v>101</v>
      </c>
      <c r="C295" s="28" t="s">
        <v>60</v>
      </c>
      <c r="D295" s="28" t="n">
        <v>1</v>
      </c>
      <c r="E295" s="29" t="n">
        <v>242600</v>
      </c>
      <c r="F295" s="30" t="n">
        <v>5.25</v>
      </c>
      <c r="G295" s="31" t="n">
        <f aca="false">IFERROR(F295/D295,0)</f>
        <v>5.25</v>
      </c>
    </row>
    <row r="296" customFormat="false" ht="15" hidden="false" customHeight="false" outlineLevel="0" collapsed="false">
      <c r="A296" s="28" t="n">
        <v>2020</v>
      </c>
      <c r="B296" s="28" t="s">
        <v>101</v>
      </c>
      <c r="C296" s="28" t="s">
        <v>49</v>
      </c>
      <c r="D296" s="28" t="n">
        <v>16</v>
      </c>
      <c r="E296" s="29" t="n">
        <v>8917300</v>
      </c>
      <c r="F296" s="30" t="n">
        <v>85.83</v>
      </c>
      <c r="G296" s="31" t="n">
        <f aca="false">IFERROR(F296/D296,0)</f>
        <v>5.364375</v>
      </c>
    </row>
    <row r="297" customFormat="false" ht="15" hidden="false" customHeight="false" outlineLevel="0" collapsed="false">
      <c r="A297" s="28" t="n">
        <v>2020</v>
      </c>
      <c r="B297" s="28" t="s">
        <v>102</v>
      </c>
      <c r="C297" s="28" t="s">
        <v>42</v>
      </c>
      <c r="D297" s="28" t="n">
        <v>34</v>
      </c>
      <c r="E297" s="29" t="n">
        <v>22172100</v>
      </c>
      <c r="F297" s="30" t="n">
        <v>207.43</v>
      </c>
      <c r="G297" s="31" t="n">
        <f aca="false">IFERROR(F297/D297,0)</f>
        <v>6.10088235294118</v>
      </c>
    </row>
    <row r="298" customFormat="false" ht="15" hidden="false" customHeight="false" outlineLevel="0" collapsed="false">
      <c r="A298" s="28" t="n">
        <v>2020</v>
      </c>
      <c r="B298" s="28" t="s">
        <v>102</v>
      </c>
      <c r="C298" s="28" t="s">
        <v>50</v>
      </c>
      <c r="D298" s="28" t="n">
        <v>16</v>
      </c>
      <c r="E298" s="29" t="n">
        <v>1617500</v>
      </c>
      <c r="F298" s="30" t="n">
        <v>105.1</v>
      </c>
      <c r="G298" s="31" t="n">
        <f aca="false">IFERROR(F298/D298,0)</f>
        <v>6.56875</v>
      </c>
    </row>
    <row r="299" customFormat="false" ht="15" hidden="false" customHeight="false" outlineLevel="0" collapsed="false">
      <c r="A299" s="28" t="n">
        <v>2020</v>
      </c>
      <c r="B299" s="28" t="s">
        <v>102</v>
      </c>
      <c r="C299" s="28" t="s">
        <v>55</v>
      </c>
      <c r="D299" s="28" t="n">
        <v>8</v>
      </c>
      <c r="E299" s="29" t="n">
        <v>669600</v>
      </c>
      <c r="F299" s="30" t="n">
        <v>41.05</v>
      </c>
      <c r="G299" s="31" t="n">
        <f aca="false">IFERROR(F299/D299,0)</f>
        <v>5.13125</v>
      </c>
    </row>
    <row r="300" customFormat="false" ht="15" hidden="false" customHeight="false" outlineLevel="0" collapsed="false">
      <c r="A300" s="28" t="n">
        <v>2020</v>
      </c>
      <c r="B300" s="28" t="s">
        <v>102</v>
      </c>
      <c r="C300" s="28" t="s">
        <v>51</v>
      </c>
      <c r="D300" s="28" t="n">
        <v>2</v>
      </c>
      <c r="E300" s="29" t="n">
        <v>822600</v>
      </c>
      <c r="F300" s="30" t="n">
        <v>9.8</v>
      </c>
      <c r="G300" s="31" t="n">
        <f aca="false">IFERROR(F300/D300,0)</f>
        <v>4.9</v>
      </c>
    </row>
    <row r="301" customFormat="false" ht="15" hidden="false" customHeight="false" outlineLevel="0" collapsed="false">
      <c r="A301" s="28" t="n">
        <v>2020</v>
      </c>
      <c r="B301" s="28" t="s">
        <v>102</v>
      </c>
      <c r="C301" s="28" t="s">
        <v>45</v>
      </c>
      <c r="D301" s="28" t="n">
        <v>50</v>
      </c>
      <c r="E301" s="29" t="n">
        <v>8074600</v>
      </c>
      <c r="F301" s="30" t="n">
        <v>328.53</v>
      </c>
      <c r="G301" s="31" t="n">
        <f aca="false">IFERROR(F301/D301,0)</f>
        <v>6.5706</v>
      </c>
    </row>
    <row r="302" customFormat="false" ht="15" hidden="false" customHeight="false" outlineLevel="0" collapsed="false">
      <c r="A302" s="28" t="n">
        <v>2020</v>
      </c>
      <c r="B302" s="28" t="s">
        <v>102</v>
      </c>
      <c r="C302" s="28" t="s">
        <v>56</v>
      </c>
      <c r="D302" s="28" t="n">
        <v>5</v>
      </c>
      <c r="E302" s="29" t="n">
        <v>750800</v>
      </c>
      <c r="F302" s="30" t="n">
        <v>30.24</v>
      </c>
      <c r="G302" s="31" t="n">
        <f aca="false">IFERROR(F302/D302,0)</f>
        <v>6.048</v>
      </c>
    </row>
    <row r="303" customFormat="false" ht="15" hidden="false" customHeight="false" outlineLevel="0" collapsed="false">
      <c r="A303" s="28" t="n">
        <v>2020</v>
      </c>
      <c r="B303" s="28" t="s">
        <v>102</v>
      </c>
      <c r="C303" s="28" t="s">
        <v>54</v>
      </c>
      <c r="D303" s="28" t="n">
        <v>12</v>
      </c>
      <c r="E303" s="29" t="n">
        <v>6455700</v>
      </c>
      <c r="F303" s="30" t="n">
        <v>65.79</v>
      </c>
      <c r="G303" s="31" t="n">
        <f aca="false">IFERROR(F303/D303,0)</f>
        <v>5.4825</v>
      </c>
    </row>
    <row r="304" customFormat="false" ht="15" hidden="false" customHeight="false" outlineLevel="0" collapsed="false">
      <c r="A304" s="28" t="n">
        <v>2020</v>
      </c>
      <c r="B304" s="28" t="s">
        <v>102</v>
      </c>
      <c r="C304" s="28" t="s">
        <v>44</v>
      </c>
      <c r="D304" s="28" t="n">
        <v>23</v>
      </c>
      <c r="E304" s="29" t="n">
        <v>4931000</v>
      </c>
      <c r="F304" s="30" t="n">
        <v>137.67</v>
      </c>
      <c r="G304" s="31" t="n">
        <f aca="false">IFERROR(F304/D304,0)</f>
        <v>5.98565217391304</v>
      </c>
    </row>
    <row r="305" customFormat="false" ht="15" hidden="false" customHeight="false" outlineLevel="0" collapsed="false">
      <c r="A305" s="28" t="n">
        <v>2020</v>
      </c>
      <c r="B305" s="28" t="s">
        <v>102</v>
      </c>
      <c r="C305" s="28" t="s">
        <v>57</v>
      </c>
      <c r="D305" s="28" t="n">
        <v>6</v>
      </c>
      <c r="E305" s="29" t="n">
        <v>4764200</v>
      </c>
      <c r="F305" s="30" t="n">
        <v>33.47</v>
      </c>
      <c r="G305" s="31" t="n">
        <f aca="false">IFERROR(F305/D305,0)</f>
        <v>5.57833333333333</v>
      </c>
    </row>
    <row r="306" customFormat="false" ht="15" hidden="false" customHeight="false" outlineLevel="0" collapsed="false">
      <c r="A306" s="28" t="n">
        <v>2020</v>
      </c>
      <c r="B306" s="28" t="s">
        <v>102</v>
      </c>
      <c r="C306" s="28" t="s">
        <v>47</v>
      </c>
      <c r="D306" s="28" t="n">
        <v>24</v>
      </c>
      <c r="E306" s="29" t="n">
        <v>12917100</v>
      </c>
      <c r="F306" s="30" t="n">
        <v>125.75</v>
      </c>
      <c r="G306" s="31" t="n">
        <f aca="false">IFERROR(F306/D306,0)</f>
        <v>5.23958333333333</v>
      </c>
    </row>
    <row r="307" customFormat="false" ht="15" hidden="false" customHeight="false" outlineLevel="0" collapsed="false">
      <c r="A307" s="28" t="n">
        <v>2020</v>
      </c>
      <c r="B307" s="28" t="s">
        <v>102</v>
      </c>
      <c r="C307" s="28" t="s">
        <v>58</v>
      </c>
      <c r="D307" s="28" t="n">
        <v>2</v>
      </c>
      <c r="E307" s="29" t="n">
        <v>73500</v>
      </c>
      <c r="F307" s="30" t="n">
        <v>12</v>
      </c>
      <c r="G307" s="31" t="n">
        <f aca="false">IFERROR(F307/D307,0)</f>
        <v>6</v>
      </c>
    </row>
    <row r="308" customFormat="false" ht="15" hidden="false" customHeight="false" outlineLevel="0" collapsed="false">
      <c r="A308" s="28" t="n">
        <v>2020</v>
      </c>
      <c r="B308" s="28" t="s">
        <v>102</v>
      </c>
      <c r="C308" s="28" t="s">
        <v>46</v>
      </c>
      <c r="D308" s="28" t="n">
        <v>25</v>
      </c>
      <c r="E308" s="29" t="n">
        <v>14511700</v>
      </c>
      <c r="F308" s="30" t="n">
        <v>142.02</v>
      </c>
      <c r="G308" s="31" t="n">
        <f aca="false">IFERROR(F308/D308,0)</f>
        <v>5.6808</v>
      </c>
    </row>
    <row r="309" customFormat="false" ht="15" hidden="false" customHeight="false" outlineLevel="0" collapsed="false">
      <c r="A309" s="28" t="n">
        <v>2020</v>
      </c>
      <c r="B309" s="28" t="s">
        <v>102</v>
      </c>
      <c r="C309" s="28" t="s">
        <v>48</v>
      </c>
      <c r="D309" s="28" t="n">
        <v>24</v>
      </c>
      <c r="E309" s="29" t="n">
        <v>14574000</v>
      </c>
      <c r="F309" s="30" t="n">
        <v>136.09</v>
      </c>
      <c r="G309" s="31" t="n">
        <f aca="false">IFERROR(F309/D309,0)</f>
        <v>5.67041666666667</v>
      </c>
    </row>
    <row r="310" customFormat="false" ht="15" hidden="false" customHeight="false" outlineLevel="0" collapsed="false">
      <c r="A310" s="28" t="n">
        <v>2020</v>
      </c>
      <c r="B310" s="28" t="s">
        <v>102</v>
      </c>
      <c r="C310" s="28" t="s">
        <v>53</v>
      </c>
      <c r="D310" s="28" t="n">
        <v>6</v>
      </c>
      <c r="E310" s="29" t="n">
        <v>6665000</v>
      </c>
      <c r="F310" s="30" t="n">
        <v>41.5</v>
      </c>
      <c r="G310" s="31" t="n">
        <f aca="false">IFERROR(F310/D310,0)</f>
        <v>6.91666666666667</v>
      </c>
    </row>
    <row r="311" customFormat="false" ht="15" hidden="false" customHeight="false" outlineLevel="0" collapsed="false">
      <c r="A311" s="28" t="n">
        <v>2020</v>
      </c>
      <c r="B311" s="28" t="s">
        <v>102</v>
      </c>
      <c r="C311" s="28" t="s">
        <v>43</v>
      </c>
      <c r="D311" s="28" t="n">
        <v>32</v>
      </c>
      <c r="E311" s="29" t="n">
        <v>13846500</v>
      </c>
      <c r="F311" s="30" t="n">
        <v>200.9</v>
      </c>
      <c r="G311" s="31" t="n">
        <f aca="false">IFERROR(F311/D311,0)</f>
        <v>6.278125</v>
      </c>
    </row>
    <row r="312" customFormat="false" ht="15" hidden="false" customHeight="false" outlineLevel="0" collapsed="false">
      <c r="A312" s="28" t="n">
        <v>2020</v>
      </c>
      <c r="B312" s="28" t="s">
        <v>102</v>
      </c>
      <c r="C312" s="28" t="s">
        <v>52</v>
      </c>
      <c r="D312" s="28" t="n">
        <v>39</v>
      </c>
      <c r="E312" s="29" t="n">
        <v>11227900</v>
      </c>
      <c r="F312" s="30" t="n">
        <v>232.55</v>
      </c>
      <c r="G312" s="31" t="n">
        <f aca="false">IFERROR(F312/D312,0)</f>
        <v>5.96282051282051</v>
      </c>
    </row>
    <row r="313" customFormat="false" ht="15" hidden="false" customHeight="false" outlineLevel="0" collapsed="false">
      <c r="A313" s="28" t="n">
        <v>2020</v>
      </c>
      <c r="B313" s="28" t="s">
        <v>102</v>
      </c>
      <c r="C313" s="28" t="s">
        <v>49</v>
      </c>
      <c r="D313" s="28" t="n">
        <v>9</v>
      </c>
      <c r="E313" s="29" t="n">
        <v>2881500</v>
      </c>
      <c r="F313" s="30" t="n">
        <v>63.79</v>
      </c>
      <c r="G313" s="31" t="n">
        <f aca="false">IFERROR(F313/D313,0)</f>
        <v>7.08777777777778</v>
      </c>
    </row>
    <row r="314" customFormat="false" ht="15" hidden="false" customHeight="false" outlineLevel="0" collapsed="false">
      <c r="A314" s="28" t="n">
        <v>2020</v>
      </c>
      <c r="B314" s="28" t="s">
        <v>104</v>
      </c>
      <c r="C314" s="28" t="s">
        <v>42</v>
      </c>
      <c r="D314" s="28" t="n">
        <v>52</v>
      </c>
      <c r="E314" s="29" t="n">
        <v>55551100</v>
      </c>
      <c r="F314" s="30" t="n">
        <v>339.73</v>
      </c>
      <c r="G314" s="31" t="n">
        <f aca="false">IFERROR(F314/D314,0)</f>
        <v>6.53326923076923</v>
      </c>
    </row>
    <row r="315" customFormat="false" ht="15" hidden="false" customHeight="false" outlineLevel="0" collapsed="false">
      <c r="A315" s="28" t="n">
        <v>2020</v>
      </c>
      <c r="B315" s="28" t="s">
        <v>104</v>
      </c>
      <c r="C315" s="28" t="s">
        <v>50</v>
      </c>
      <c r="D315" s="28" t="n">
        <v>18</v>
      </c>
      <c r="E315" s="29" t="n">
        <v>5088300</v>
      </c>
      <c r="F315" s="30" t="n">
        <v>124.2</v>
      </c>
      <c r="G315" s="31" t="n">
        <f aca="false">IFERROR(F315/D315,0)</f>
        <v>6.9</v>
      </c>
    </row>
    <row r="316" customFormat="false" ht="15" hidden="false" customHeight="false" outlineLevel="0" collapsed="false">
      <c r="A316" s="28" t="n">
        <v>2020</v>
      </c>
      <c r="B316" s="28" t="s">
        <v>104</v>
      </c>
      <c r="C316" s="28" t="s">
        <v>55</v>
      </c>
      <c r="D316" s="28" t="n">
        <v>2</v>
      </c>
      <c r="E316" s="29" t="n">
        <v>6625000</v>
      </c>
      <c r="F316" s="30" t="n">
        <v>15</v>
      </c>
      <c r="G316" s="31" t="n">
        <f aca="false">IFERROR(F316/D316,0)</f>
        <v>7.5</v>
      </c>
    </row>
    <row r="317" customFormat="false" ht="15" hidden="false" customHeight="false" outlineLevel="0" collapsed="false">
      <c r="A317" s="28" t="n">
        <v>2020</v>
      </c>
      <c r="B317" s="28" t="s">
        <v>104</v>
      </c>
      <c r="C317" s="28" t="s">
        <v>51</v>
      </c>
      <c r="D317" s="28" t="n">
        <v>3</v>
      </c>
      <c r="E317" s="29" t="n">
        <v>711000</v>
      </c>
      <c r="F317" s="30" t="n">
        <v>22.433</v>
      </c>
      <c r="G317" s="31" t="n">
        <f aca="false">IFERROR(F317/D317,0)</f>
        <v>7.47766666666667</v>
      </c>
    </row>
    <row r="318" customFormat="false" ht="15" hidden="false" customHeight="false" outlineLevel="0" collapsed="false">
      <c r="A318" s="28" t="n">
        <v>2020</v>
      </c>
      <c r="B318" s="28" t="s">
        <v>104</v>
      </c>
      <c r="C318" s="28" t="s">
        <v>45</v>
      </c>
      <c r="D318" s="28" t="n">
        <v>22</v>
      </c>
      <c r="E318" s="29" t="n">
        <v>11275000</v>
      </c>
      <c r="F318" s="30" t="n">
        <v>146.5</v>
      </c>
      <c r="G318" s="31" t="n">
        <f aca="false">IFERROR(F318/D318,0)</f>
        <v>6.65909090909091</v>
      </c>
    </row>
    <row r="319" customFormat="false" ht="15" hidden="false" customHeight="false" outlineLevel="0" collapsed="false">
      <c r="A319" s="28" t="n">
        <v>2020</v>
      </c>
      <c r="B319" s="28" t="s">
        <v>104</v>
      </c>
      <c r="C319" s="28" t="s">
        <v>56</v>
      </c>
      <c r="D319" s="28" t="n">
        <v>4</v>
      </c>
      <c r="E319" s="29" t="n">
        <v>847300</v>
      </c>
      <c r="F319" s="30" t="n">
        <v>25.25</v>
      </c>
      <c r="G319" s="31" t="n">
        <f aca="false">IFERROR(F319/D319,0)</f>
        <v>6.3125</v>
      </c>
    </row>
    <row r="320" customFormat="false" ht="15" hidden="false" customHeight="false" outlineLevel="0" collapsed="false">
      <c r="A320" s="28" t="n">
        <v>2020</v>
      </c>
      <c r="B320" s="28" t="s">
        <v>104</v>
      </c>
      <c r="C320" s="28" t="s">
        <v>54</v>
      </c>
      <c r="D320" s="28" t="n">
        <v>14</v>
      </c>
      <c r="E320" s="29" t="n">
        <v>3878900</v>
      </c>
      <c r="F320" s="30" t="n">
        <v>88.48</v>
      </c>
      <c r="G320" s="31" t="n">
        <f aca="false">IFERROR(F320/D320,0)</f>
        <v>6.32</v>
      </c>
    </row>
    <row r="321" customFormat="false" ht="15" hidden="false" customHeight="false" outlineLevel="0" collapsed="false">
      <c r="A321" s="28" t="n">
        <v>2020</v>
      </c>
      <c r="B321" s="28" t="s">
        <v>104</v>
      </c>
      <c r="C321" s="28" t="s">
        <v>44</v>
      </c>
      <c r="D321" s="28" t="n">
        <v>29</v>
      </c>
      <c r="E321" s="29" t="n">
        <v>8574700</v>
      </c>
      <c r="F321" s="30" t="n">
        <v>191.5</v>
      </c>
      <c r="G321" s="31" t="n">
        <f aca="false">IFERROR(F321/D321,0)</f>
        <v>6.60344827586207</v>
      </c>
    </row>
    <row r="322" customFormat="false" ht="15" hidden="false" customHeight="false" outlineLevel="0" collapsed="false">
      <c r="A322" s="28" t="n">
        <v>2020</v>
      </c>
      <c r="B322" s="28" t="s">
        <v>104</v>
      </c>
      <c r="C322" s="28" t="s">
        <v>57</v>
      </c>
      <c r="D322" s="28" t="n">
        <v>3</v>
      </c>
      <c r="E322" s="29" t="n">
        <v>700000</v>
      </c>
      <c r="F322" s="30" t="n">
        <v>19.9</v>
      </c>
      <c r="G322" s="31" t="n">
        <f aca="false">IFERROR(F322/D322,0)</f>
        <v>6.63333333333333</v>
      </c>
    </row>
    <row r="323" customFormat="false" ht="15" hidden="false" customHeight="false" outlineLevel="0" collapsed="false">
      <c r="A323" s="28" t="n">
        <v>2020</v>
      </c>
      <c r="B323" s="28" t="s">
        <v>104</v>
      </c>
      <c r="C323" s="28" t="s">
        <v>47</v>
      </c>
      <c r="D323" s="28" t="n">
        <v>14</v>
      </c>
      <c r="E323" s="29" t="n">
        <v>13407100</v>
      </c>
      <c r="F323" s="30" t="n">
        <v>94.677</v>
      </c>
      <c r="G323" s="31" t="n">
        <f aca="false">IFERROR(F323/D323,0)</f>
        <v>6.76264285714286</v>
      </c>
    </row>
    <row r="324" customFormat="false" ht="15" hidden="false" customHeight="false" outlineLevel="0" collapsed="false">
      <c r="A324" s="28" t="n">
        <v>2020</v>
      </c>
      <c r="B324" s="28" t="s">
        <v>104</v>
      </c>
      <c r="C324" s="28" t="s">
        <v>58</v>
      </c>
      <c r="D324" s="28" t="n">
        <v>3</v>
      </c>
      <c r="E324" s="29" t="n">
        <v>4661000</v>
      </c>
      <c r="F324" s="30" t="n">
        <v>20.5</v>
      </c>
      <c r="G324" s="31" t="n">
        <f aca="false">IFERROR(F324/D324,0)</f>
        <v>6.83333333333333</v>
      </c>
    </row>
    <row r="325" customFormat="false" ht="15" hidden="false" customHeight="false" outlineLevel="0" collapsed="false">
      <c r="A325" s="28" t="n">
        <v>2020</v>
      </c>
      <c r="B325" s="28" t="s">
        <v>104</v>
      </c>
      <c r="C325" s="28" t="s">
        <v>46</v>
      </c>
      <c r="D325" s="28" t="n">
        <v>16</v>
      </c>
      <c r="E325" s="29" t="n">
        <v>7866300</v>
      </c>
      <c r="F325" s="30" t="n">
        <v>102.32</v>
      </c>
      <c r="G325" s="31" t="n">
        <f aca="false">IFERROR(F325/D325,0)</f>
        <v>6.395</v>
      </c>
    </row>
    <row r="326" customFormat="false" ht="15" hidden="false" customHeight="false" outlineLevel="0" collapsed="false">
      <c r="A326" s="28" t="n">
        <v>2020</v>
      </c>
      <c r="B326" s="28" t="s">
        <v>104</v>
      </c>
      <c r="C326" s="28" t="s">
        <v>48</v>
      </c>
      <c r="D326" s="28" t="n">
        <v>17</v>
      </c>
      <c r="E326" s="29" t="n">
        <v>10840300</v>
      </c>
      <c r="F326" s="30" t="n">
        <v>115.75</v>
      </c>
      <c r="G326" s="31" t="n">
        <f aca="false">IFERROR(F326/D326,0)</f>
        <v>6.80882352941176</v>
      </c>
    </row>
    <row r="327" customFormat="false" ht="15" hidden="false" customHeight="false" outlineLevel="0" collapsed="false">
      <c r="A327" s="28" t="n">
        <v>2020</v>
      </c>
      <c r="B327" s="28" t="s">
        <v>104</v>
      </c>
      <c r="C327" s="28" t="s">
        <v>53</v>
      </c>
      <c r="D327" s="28" t="n">
        <v>10</v>
      </c>
      <c r="E327" s="29" t="n">
        <v>6722300</v>
      </c>
      <c r="F327" s="30" t="n">
        <v>59</v>
      </c>
      <c r="G327" s="31" t="n">
        <f aca="false">IFERROR(F327/D327,0)</f>
        <v>5.9</v>
      </c>
    </row>
    <row r="328" customFormat="false" ht="15" hidden="false" customHeight="false" outlineLevel="0" collapsed="false">
      <c r="A328" s="28" t="n">
        <v>2020</v>
      </c>
      <c r="B328" s="28" t="s">
        <v>104</v>
      </c>
      <c r="C328" s="28" t="s">
        <v>43</v>
      </c>
      <c r="D328" s="28" t="n">
        <v>33</v>
      </c>
      <c r="E328" s="29" t="n">
        <v>29128800</v>
      </c>
      <c r="F328" s="30" t="n">
        <v>212.85</v>
      </c>
      <c r="G328" s="31" t="n">
        <f aca="false">IFERROR(F328/D328,0)</f>
        <v>6.45</v>
      </c>
    </row>
    <row r="329" customFormat="false" ht="15" hidden="false" customHeight="false" outlineLevel="0" collapsed="false">
      <c r="A329" s="28" t="n">
        <v>2020</v>
      </c>
      <c r="B329" s="28" t="s">
        <v>104</v>
      </c>
      <c r="C329" s="28" t="s">
        <v>52</v>
      </c>
      <c r="D329" s="28" t="n">
        <v>10</v>
      </c>
      <c r="E329" s="29" t="n">
        <v>6014800</v>
      </c>
      <c r="F329" s="30" t="n">
        <v>69.6</v>
      </c>
      <c r="G329" s="31" t="n">
        <f aca="false">IFERROR(F329/D329,0)</f>
        <v>6.96</v>
      </c>
    </row>
    <row r="330" customFormat="false" ht="15" hidden="false" customHeight="false" outlineLevel="0" collapsed="false">
      <c r="A330" s="28" t="n">
        <v>2020</v>
      </c>
      <c r="B330" s="28" t="s">
        <v>104</v>
      </c>
      <c r="C330" s="28" t="s">
        <v>49</v>
      </c>
      <c r="D330" s="28" t="n">
        <v>4</v>
      </c>
      <c r="E330" s="29" t="n">
        <v>1991100</v>
      </c>
      <c r="F330" s="30" t="n">
        <v>21.6</v>
      </c>
      <c r="G330" s="31" t="n">
        <f aca="false">IFERROR(F330/D330,0)</f>
        <v>5.4</v>
      </c>
    </row>
    <row r="331" customFormat="false" ht="15" hidden="false" customHeight="false" outlineLevel="0" collapsed="false">
      <c r="A331" s="28" t="n">
        <v>2020</v>
      </c>
      <c r="B331" s="28" t="s">
        <v>106</v>
      </c>
      <c r="C331" s="28" t="s">
        <v>42</v>
      </c>
      <c r="D331" s="28" t="n">
        <v>133</v>
      </c>
      <c r="E331" s="29" t="n">
        <v>28226000</v>
      </c>
      <c r="F331" s="30" t="n">
        <v>830.47</v>
      </c>
      <c r="G331" s="31" t="n">
        <f aca="false">IFERROR(F331/D331,0)</f>
        <v>6.24413533834587</v>
      </c>
    </row>
    <row r="332" customFormat="false" ht="15" hidden="false" customHeight="false" outlineLevel="0" collapsed="false">
      <c r="A332" s="28" t="n">
        <v>2020</v>
      </c>
      <c r="B332" s="28" t="s">
        <v>106</v>
      </c>
      <c r="C332" s="28" t="s">
        <v>50</v>
      </c>
      <c r="D332" s="28" t="n">
        <v>87</v>
      </c>
      <c r="E332" s="29" t="n">
        <v>9114300</v>
      </c>
      <c r="F332" s="30" t="n">
        <v>556.06</v>
      </c>
      <c r="G332" s="31" t="n">
        <f aca="false">IFERROR(F332/D332,0)</f>
        <v>6.39149425287356</v>
      </c>
    </row>
    <row r="333" customFormat="false" ht="15" hidden="false" customHeight="false" outlineLevel="0" collapsed="false">
      <c r="A333" s="28" t="n">
        <v>2020</v>
      </c>
      <c r="B333" s="28" t="s">
        <v>106</v>
      </c>
      <c r="C333" s="28" t="s">
        <v>55</v>
      </c>
      <c r="D333" s="28" t="n">
        <v>6</v>
      </c>
      <c r="E333" s="29" t="n">
        <v>5656500</v>
      </c>
      <c r="F333" s="30" t="n">
        <v>28.92</v>
      </c>
      <c r="G333" s="31" t="n">
        <f aca="false">IFERROR(F333/D333,0)</f>
        <v>4.82</v>
      </c>
    </row>
    <row r="334" customFormat="false" ht="15" hidden="false" customHeight="false" outlineLevel="0" collapsed="false">
      <c r="A334" s="28" t="n">
        <v>2020</v>
      </c>
      <c r="B334" s="28" t="s">
        <v>106</v>
      </c>
      <c r="C334" s="28" t="s">
        <v>51</v>
      </c>
      <c r="D334" s="28" t="n">
        <v>21</v>
      </c>
      <c r="E334" s="29" t="n">
        <v>3866200</v>
      </c>
      <c r="F334" s="30" t="n">
        <v>108.81</v>
      </c>
      <c r="G334" s="31" t="n">
        <f aca="false">IFERROR(F334/D334,0)</f>
        <v>5.18142857142857</v>
      </c>
    </row>
    <row r="335" customFormat="false" ht="15" hidden="false" customHeight="false" outlineLevel="0" collapsed="false">
      <c r="A335" s="28" t="n">
        <v>2020</v>
      </c>
      <c r="B335" s="28" t="s">
        <v>106</v>
      </c>
      <c r="C335" s="28" t="s">
        <v>45</v>
      </c>
      <c r="D335" s="28" t="n">
        <v>160</v>
      </c>
      <c r="E335" s="29" t="n">
        <v>19396500</v>
      </c>
      <c r="F335" s="30" t="n">
        <v>1072.48</v>
      </c>
      <c r="G335" s="31" t="n">
        <f aca="false">IFERROR(F335/D335,0)</f>
        <v>6.703</v>
      </c>
    </row>
    <row r="336" customFormat="false" ht="15" hidden="false" customHeight="false" outlineLevel="0" collapsed="false">
      <c r="A336" s="28" t="n">
        <v>2020</v>
      </c>
      <c r="B336" s="28" t="s">
        <v>106</v>
      </c>
      <c r="C336" s="28" t="s">
        <v>56</v>
      </c>
      <c r="D336" s="28" t="n">
        <v>13</v>
      </c>
      <c r="E336" s="29" t="n">
        <v>2868800</v>
      </c>
      <c r="F336" s="30" t="n">
        <v>80.49</v>
      </c>
      <c r="G336" s="31" t="n">
        <f aca="false">IFERROR(F336/D336,0)</f>
        <v>6.19153846153846</v>
      </c>
    </row>
    <row r="337" customFormat="false" ht="15" hidden="false" customHeight="false" outlineLevel="0" collapsed="false">
      <c r="A337" s="28" t="n">
        <v>2020</v>
      </c>
      <c r="B337" s="28" t="s">
        <v>106</v>
      </c>
      <c r="C337" s="28" t="s">
        <v>54</v>
      </c>
      <c r="D337" s="28" t="n">
        <v>19</v>
      </c>
      <c r="E337" s="29" t="n">
        <v>10331500</v>
      </c>
      <c r="F337" s="30" t="n">
        <v>119.88</v>
      </c>
      <c r="G337" s="31" t="n">
        <f aca="false">IFERROR(F337/D337,0)</f>
        <v>6.30947368421053</v>
      </c>
    </row>
    <row r="338" customFormat="false" ht="15" hidden="false" customHeight="false" outlineLevel="0" collapsed="false">
      <c r="A338" s="28" t="n">
        <v>2020</v>
      </c>
      <c r="B338" s="28" t="s">
        <v>106</v>
      </c>
      <c r="C338" s="28" t="s">
        <v>44</v>
      </c>
      <c r="D338" s="28" t="n">
        <v>66</v>
      </c>
      <c r="E338" s="29" t="n">
        <v>14103900</v>
      </c>
      <c r="F338" s="30" t="n">
        <v>385.85</v>
      </c>
      <c r="G338" s="31" t="n">
        <f aca="false">IFERROR(F338/D338,0)</f>
        <v>5.84621212121212</v>
      </c>
    </row>
    <row r="339" customFormat="false" ht="15" hidden="false" customHeight="false" outlineLevel="0" collapsed="false">
      <c r="A339" s="28" t="n">
        <v>2020</v>
      </c>
      <c r="B339" s="28" t="s">
        <v>106</v>
      </c>
      <c r="C339" s="28" t="s">
        <v>57</v>
      </c>
      <c r="D339" s="28" t="n">
        <v>6</v>
      </c>
      <c r="E339" s="29" t="n">
        <v>1827700</v>
      </c>
      <c r="F339" s="30" t="n">
        <v>30.28</v>
      </c>
      <c r="G339" s="31" t="n">
        <f aca="false">IFERROR(F339/D339,0)</f>
        <v>5.04666666666667</v>
      </c>
    </row>
    <row r="340" customFormat="false" ht="15" hidden="false" customHeight="false" outlineLevel="0" collapsed="false">
      <c r="A340" s="28" t="n">
        <v>2020</v>
      </c>
      <c r="B340" s="28" t="s">
        <v>106</v>
      </c>
      <c r="C340" s="28" t="s">
        <v>47</v>
      </c>
      <c r="D340" s="28" t="n">
        <v>57</v>
      </c>
      <c r="E340" s="29" t="n">
        <v>19529600</v>
      </c>
      <c r="F340" s="30" t="n">
        <v>348.635</v>
      </c>
      <c r="G340" s="31" t="n">
        <f aca="false">IFERROR(F340/D340,0)</f>
        <v>6.11640350877193</v>
      </c>
    </row>
    <row r="341" customFormat="false" ht="15" hidden="false" customHeight="false" outlineLevel="0" collapsed="false">
      <c r="A341" s="28" t="n">
        <v>2020</v>
      </c>
      <c r="B341" s="28" t="s">
        <v>106</v>
      </c>
      <c r="C341" s="28" t="s">
        <v>46</v>
      </c>
      <c r="D341" s="28" t="n">
        <v>119</v>
      </c>
      <c r="E341" s="29" t="n">
        <v>22698000</v>
      </c>
      <c r="F341" s="30" t="n">
        <v>742.96</v>
      </c>
      <c r="G341" s="31" t="n">
        <f aca="false">IFERROR(F341/D341,0)</f>
        <v>6.24336134453782</v>
      </c>
    </row>
    <row r="342" customFormat="false" ht="15" hidden="false" customHeight="false" outlineLevel="0" collapsed="false">
      <c r="A342" s="28" t="n">
        <v>2020</v>
      </c>
      <c r="B342" s="28" t="s">
        <v>106</v>
      </c>
      <c r="C342" s="28" t="s">
        <v>48</v>
      </c>
      <c r="D342" s="28" t="n">
        <v>103</v>
      </c>
      <c r="E342" s="29" t="n">
        <v>25774900</v>
      </c>
      <c r="F342" s="30" t="n">
        <v>610.84</v>
      </c>
      <c r="G342" s="31" t="n">
        <f aca="false">IFERROR(F342/D342,0)</f>
        <v>5.9304854368932</v>
      </c>
    </row>
    <row r="343" customFormat="false" ht="15" hidden="false" customHeight="false" outlineLevel="0" collapsed="false">
      <c r="A343" s="28" t="n">
        <v>2020</v>
      </c>
      <c r="B343" s="28" t="s">
        <v>106</v>
      </c>
      <c r="C343" s="28" t="s">
        <v>53</v>
      </c>
      <c r="D343" s="28" t="n">
        <v>18</v>
      </c>
      <c r="E343" s="29" t="n">
        <v>5539800</v>
      </c>
      <c r="F343" s="30" t="n">
        <v>113.97</v>
      </c>
      <c r="G343" s="31" t="n">
        <f aca="false">IFERROR(F343/D343,0)</f>
        <v>6.33166666666667</v>
      </c>
    </row>
    <row r="344" customFormat="false" ht="15" hidden="false" customHeight="false" outlineLevel="0" collapsed="false">
      <c r="A344" s="28" t="n">
        <v>2020</v>
      </c>
      <c r="B344" s="28" t="s">
        <v>106</v>
      </c>
      <c r="C344" s="28" t="s">
        <v>43</v>
      </c>
      <c r="D344" s="28" t="n">
        <v>116</v>
      </c>
      <c r="E344" s="29" t="n">
        <v>25529300</v>
      </c>
      <c r="F344" s="30" t="n">
        <v>765.3</v>
      </c>
      <c r="G344" s="31" t="n">
        <f aca="false">IFERROR(F344/D344,0)</f>
        <v>6.59741379310345</v>
      </c>
    </row>
    <row r="345" customFormat="false" ht="15" hidden="false" customHeight="false" outlineLevel="0" collapsed="false">
      <c r="A345" s="28" t="n">
        <v>2020</v>
      </c>
      <c r="B345" s="28" t="s">
        <v>106</v>
      </c>
      <c r="C345" s="28" t="s">
        <v>52</v>
      </c>
      <c r="D345" s="28" t="n">
        <v>26</v>
      </c>
      <c r="E345" s="29" t="n">
        <v>14915700</v>
      </c>
      <c r="F345" s="30" t="n">
        <v>165.2</v>
      </c>
      <c r="G345" s="31" t="n">
        <f aca="false">IFERROR(F345/D345,0)</f>
        <v>6.35384615384615</v>
      </c>
    </row>
    <row r="346" customFormat="false" ht="15" hidden="false" customHeight="false" outlineLevel="0" collapsed="false">
      <c r="A346" s="28" t="n">
        <v>2020</v>
      </c>
      <c r="B346" s="28" t="s">
        <v>106</v>
      </c>
      <c r="C346" s="28" t="s">
        <v>60</v>
      </c>
      <c r="D346" s="28" t="n">
        <v>6</v>
      </c>
      <c r="E346" s="29" t="n">
        <v>1743500</v>
      </c>
      <c r="F346" s="30" t="n">
        <v>42.72</v>
      </c>
      <c r="G346" s="31" t="n">
        <f aca="false">IFERROR(F346/D346,0)</f>
        <v>7.12</v>
      </c>
    </row>
    <row r="347" customFormat="false" ht="15" hidden="false" customHeight="false" outlineLevel="0" collapsed="false">
      <c r="A347" s="28" t="n">
        <v>2020</v>
      </c>
      <c r="B347" s="28" t="s">
        <v>106</v>
      </c>
      <c r="C347" s="28" t="s">
        <v>49</v>
      </c>
      <c r="D347" s="28" t="n">
        <v>37</v>
      </c>
      <c r="E347" s="29" t="n">
        <v>16527800</v>
      </c>
      <c r="F347" s="30" t="n">
        <v>224.33</v>
      </c>
      <c r="G347" s="31" t="n">
        <f aca="false">IFERROR(F347/D347,0)</f>
        <v>6.06297297297297</v>
      </c>
    </row>
    <row r="348" customFormat="false" ht="15" hidden="false" customHeight="false" outlineLevel="0" collapsed="false">
      <c r="A348" s="28" t="n">
        <v>2020</v>
      </c>
      <c r="B348" s="28" t="s">
        <v>107</v>
      </c>
      <c r="C348" s="28" t="s">
        <v>42</v>
      </c>
      <c r="D348" s="28" t="n">
        <v>56</v>
      </c>
      <c r="E348" s="29" t="n">
        <v>25791100</v>
      </c>
      <c r="F348" s="30" t="n">
        <v>406.52</v>
      </c>
      <c r="G348" s="31" t="n">
        <f aca="false">IFERROR(F348/D348,0)</f>
        <v>7.25928571428571</v>
      </c>
    </row>
    <row r="349" customFormat="false" ht="15" hidden="false" customHeight="false" outlineLevel="0" collapsed="false">
      <c r="A349" s="28" t="n">
        <v>2020</v>
      </c>
      <c r="B349" s="28" t="s">
        <v>107</v>
      </c>
      <c r="C349" s="28" t="s">
        <v>50</v>
      </c>
      <c r="D349" s="28" t="n">
        <v>34</v>
      </c>
      <c r="E349" s="29" t="n">
        <v>8593200</v>
      </c>
      <c r="F349" s="30" t="n">
        <v>273.93</v>
      </c>
      <c r="G349" s="31" t="n">
        <f aca="false">IFERROR(F349/D349,0)</f>
        <v>8.05676470588235</v>
      </c>
    </row>
    <row r="350" customFormat="false" ht="15" hidden="false" customHeight="false" outlineLevel="0" collapsed="false">
      <c r="A350" s="28" t="n">
        <v>2020</v>
      </c>
      <c r="B350" s="28" t="s">
        <v>107</v>
      </c>
      <c r="C350" s="28" t="s">
        <v>55</v>
      </c>
      <c r="D350" s="28" t="n">
        <v>1</v>
      </c>
      <c r="E350" s="29" t="n">
        <v>1260000</v>
      </c>
      <c r="F350" s="30" t="n">
        <v>7</v>
      </c>
      <c r="G350" s="31" t="n">
        <f aca="false">IFERROR(F350/D350,0)</f>
        <v>7</v>
      </c>
    </row>
    <row r="351" customFormat="false" ht="15" hidden="false" customHeight="false" outlineLevel="0" collapsed="false">
      <c r="A351" s="28" t="n">
        <v>2020</v>
      </c>
      <c r="B351" s="28" t="s">
        <v>107</v>
      </c>
      <c r="C351" s="28" t="s">
        <v>51</v>
      </c>
      <c r="D351" s="28" t="n">
        <v>25</v>
      </c>
      <c r="E351" s="29" t="n">
        <v>5805900</v>
      </c>
      <c r="F351" s="30" t="n">
        <v>192.14</v>
      </c>
      <c r="G351" s="31" t="n">
        <f aca="false">IFERROR(F351/D351,0)</f>
        <v>7.6856</v>
      </c>
    </row>
    <row r="352" customFormat="false" ht="15" hidden="false" customHeight="false" outlineLevel="0" collapsed="false">
      <c r="A352" s="28" t="n">
        <v>2020</v>
      </c>
      <c r="B352" s="28" t="s">
        <v>107</v>
      </c>
      <c r="C352" s="28" t="s">
        <v>45</v>
      </c>
      <c r="D352" s="28" t="n">
        <v>76</v>
      </c>
      <c r="E352" s="29" t="n">
        <v>16378200</v>
      </c>
      <c r="F352" s="30" t="n">
        <v>610.25</v>
      </c>
      <c r="G352" s="31" t="n">
        <f aca="false">IFERROR(F352/D352,0)</f>
        <v>8.0296052631579</v>
      </c>
    </row>
    <row r="353" customFormat="false" ht="15" hidden="false" customHeight="false" outlineLevel="0" collapsed="false">
      <c r="A353" s="28" t="n">
        <v>2020</v>
      </c>
      <c r="B353" s="28" t="s">
        <v>107</v>
      </c>
      <c r="C353" s="28" t="s">
        <v>56</v>
      </c>
      <c r="D353" s="28" t="n">
        <v>7</v>
      </c>
      <c r="E353" s="29" t="n">
        <v>1436500</v>
      </c>
      <c r="F353" s="30" t="n">
        <v>55.75</v>
      </c>
      <c r="G353" s="31" t="n">
        <f aca="false">IFERROR(F353/D353,0)</f>
        <v>7.96428571428571</v>
      </c>
    </row>
    <row r="354" customFormat="false" ht="15" hidden="false" customHeight="false" outlineLevel="0" collapsed="false">
      <c r="A354" s="28" t="n">
        <v>2020</v>
      </c>
      <c r="B354" s="28" t="s">
        <v>107</v>
      </c>
      <c r="C354" s="28" t="s">
        <v>54</v>
      </c>
      <c r="D354" s="28" t="n">
        <v>12</v>
      </c>
      <c r="E354" s="29" t="n">
        <v>3108500</v>
      </c>
      <c r="F354" s="30" t="n">
        <v>88.78</v>
      </c>
      <c r="G354" s="31" t="n">
        <f aca="false">IFERROR(F354/D354,0)</f>
        <v>7.39833333333333</v>
      </c>
    </row>
    <row r="355" customFormat="false" ht="15" hidden="false" customHeight="false" outlineLevel="0" collapsed="false">
      <c r="A355" s="28" t="n">
        <v>2020</v>
      </c>
      <c r="B355" s="28" t="s">
        <v>107</v>
      </c>
      <c r="C355" s="28" t="s">
        <v>44</v>
      </c>
      <c r="D355" s="28" t="n">
        <v>51</v>
      </c>
      <c r="E355" s="29" t="n">
        <v>25949300</v>
      </c>
      <c r="F355" s="30" t="n">
        <v>361.04</v>
      </c>
      <c r="G355" s="31" t="n">
        <f aca="false">IFERROR(F355/D355,0)</f>
        <v>7.07921568627451</v>
      </c>
    </row>
    <row r="356" customFormat="false" ht="15" hidden="false" customHeight="false" outlineLevel="0" collapsed="false">
      <c r="A356" s="28" t="n">
        <v>2020</v>
      </c>
      <c r="B356" s="28" t="s">
        <v>107</v>
      </c>
      <c r="C356" s="28" t="s">
        <v>57</v>
      </c>
      <c r="D356" s="28" t="n">
        <v>6</v>
      </c>
      <c r="E356" s="29" t="n">
        <v>3799100</v>
      </c>
      <c r="F356" s="30" t="n">
        <v>40.5</v>
      </c>
      <c r="G356" s="31" t="n">
        <f aca="false">IFERROR(F356/D356,0)</f>
        <v>6.75</v>
      </c>
    </row>
    <row r="357" customFormat="false" ht="15" hidden="false" customHeight="false" outlineLevel="0" collapsed="false">
      <c r="A357" s="28" t="n">
        <v>2020</v>
      </c>
      <c r="B357" s="28" t="s">
        <v>107</v>
      </c>
      <c r="C357" s="28" t="s">
        <v>47</v>
      </c>
      <c r="D357" s="28" t="n">
        <v>28</v>
      </c>
      <c r="E357" s="29" t="n">
        <v>10166900</v>
      </c>
      <c r="F357" s="30" t="n">
        <v>178.99</v>
      </c>
      <c r="G357" s="31" t="n">
        <f aca="false">IFERROR(F357/D357,0)</f>
        <v>6.3925</v>
      </c>
    </row>
    <row r="358" customFormat="false" ht="15" hidden="false" customHeight="false" outlineLevel="0" collapsed="false">
      <c r="A358" s="28" t="n">
        <v>2020</v>
      </c>
      <c r="B358" s="28" t="s">
        <v>107</v>
      </c>
      <c r="C358" s="28" t="s">
        <v>46</v>
      </c>
      <c r="D358" s="28" t="n">
        <v>57</v>
      </c>
      <c r="E358" s="29" t="n">
        <v>23333500</v>
      </c>
      <c r="F358" s="30" t="n">
        <v>430.4</v>
      </c>
      <c r="G358" s="31" t="n">
        <f aca="false">IFERROR(F358/D358,0)</f>
        <v>7.55087719298246</v>
      </c>
    </row>
    <row r="359" customFormat="false" ht="15" hidden="false" customHeight="false" outlineLevel="0" collapsed="false">
      <c r="A359" s="28" t="n">
        <v>2020</v>
      </c>
      <c r="B359" s="28" t="s">
        <v>107</v>
      </c>
      <c r="C359" s="28" t="s">
        <v>48</v>
      </c>
      <c r="D359" s="28" t="n">
        <v>68</v>
      </c>
      <c r="E359" s="29" t="n">
        <v>33257600</v>
      </c>
      <c r="F359" s="30" t="n">
        <v>499.86</v>
      </c>
      <c r="G359" s="31" t="n">
        <f aca="false">IFERROR(F359/D359,0)</f>
        <v>7.35088235294118</v>
      </c>
    </row>
    <row r="360" customFormat="false" ht="15" hidden="false" customHeight="false" outlineLevel="0" collapsed="false">
      <c r="A360" s="28" t="n">
        <v>2020</v>
      </c>
      <c r="B360" s="28" t="s">
        <v>107</v>
      </c>
      <c r="C360" s="28" t="s">
        <v>53</v>
      </c>
      <c r="D360" s="28" t="n">
        <v>11</v>
      </c>
      <c r="E360" s="29" t="n">
        <v>2900500</v>
      </c>
      <c r="F360" s="30" t="n">
        <v>84</v>
      </c>
      <c r="G360" s="31" t="n">
        <f aca="false">IFERROR(F360/D360,0)</f>
        <v>7.63636363636364</v>
      </c>
    </row>
    <row r="361" customFormat="false" ht="15" hidden="false" customHeight="false" outlineLevel="0" collapsed="false">
      <c r="A361" s="28" t="n">
        <v>2020</v>
      </c>
      <c r="B361" s="28" t="s">
        <v>107</v>
      </c>
      <c r="C361" s="28" t="s">
        <v>43</v>
      </c>
      <c r="D361" s="28" t="n">
        <v>59</v>
      </c>
      <c r="E361" s="29" t="n">
        <v>31559800</v>
      </c>
      <c r="F361" s="30" t="n">
        <v>422.03</v>
      </c>
      <c r="G361" s="31" t="n">
        <f aca="false">IFERROR(F361/D361,0)</f>
        <v>7.15305084745763</v>
      </c>
    </row>
    <row r="362" customFormat="false" ht="15" hidden="false" customHeight="false" outlineLevel="0" collapsed="false">
      <c r="A362" s="28" t="n">
        <v>2020</v>
      </c>
      <c r="B362" s="28" t="s">
        <v>107</v>
      </c>
      <c r="C362" s="28" t="s">
        <v>52</v>
      </c>
      <c r="D362" s="28" t="n">
        <v>25</v>
      </c>
      <c r="E362" s="29" t="n">
        <v>4410000</v>
      </c>
      <c r="F362" s="30" t="n">
        <v>202</v>
      </c>
      <c r="G362" s="31" t="n">
        <f aca="false">IFERROR(F362/D362,0)</f>
        <v>8.08</v>
      </c>
    </row>
    <row r="363" customFormat="false" ht="15" hidden="false" customHeight="false" outlineLevel="0" collapsed="false">
      <c r="A363" s="28" t="n">
        <v>2020</v>
      </c>
      <c r="B363" s="28" t="s">
        <v>107</v>
      </c>
      <c r="C363" s="28" t="s">
        <v>49</v>
      </c>
      <c r="D363" s="28" t="n">
        <v>22</v>
      </c>
      <c r="E363" s="29" t="n">
        <v>7940300</v>
      </c>
      <c r="F363" s="30" t="n">
        <v>166.74</v>
      </c>
      <c r="G363" s="31" t="n">
        <f aca="false">IFERROR(F363/D363,0)</f>
        <v>7.57909090909091</v>
      </c>
    </row>
    <row r="364" customFormat="false" ht="15" hidden="false" customHeight="false" outlineLevel="0" collapsed="false">
      <c r="A364" s="28" t="n">
        <v>2020</v>
      </c>
      <c r="B364" s="28" t="s">
        <v>109</v>
      </c>
      <c r="C364" s="28" t="s">
        <v>42</v>
      </c>
      <c r="D364" s="28" t="n">
        <v>21</v>
      </c>
      <c r="E364" s="29" t="n">
        <v>3919800</v>
      </c>
      <c r="F364" s="30" t="n">
        <v>123.135</v>
      </c>
      <c r="G364" s="31" t="n">
        <f aca="false">IFERROR(F364/D364,0)</f>
        <v>5.86357142857143</v>
      </c>
    </row>
    <row r="365" customFormat="false" ht="15" hidden="false" customHeight="false" outlineLevel="0" collapsed="false">
      <c r="A365" s="28" t="n">
        <v>2020</v>
      </c>
      <c r="B365" s="28" t="s">
        <v>109</v>
      </c>
      <c r="C365" s="28" t="s">
        <v>50</v>
      </c>
      <c r="D365" s="28" t="n">
        <v>5</v>
      </c>
      <c r="E365" s="29" t="n">
        <v>353200</v>
      </c>
      <c r="F365" s="30" t="n">
        <v>32.125</v>
      </c>
      <c r="G365" s="31" t="n">
        <f aca="false">IFERROR(F365/D365,0)</f>
        <v>6.425</v>
      </c>
    </row>
    <row r="366" customFormat="false" ht="15" hidden="false" customHeight="false" outlineLevel="0" collapsed="false">
      <c r="A366" s="28" t="n">
        <v>2020</v>
      </c>
      <c r="B366" s="28" t="s">
        <v>109</v>
      </c>
      <c r="C366" s="28" t="s">
        <v>55</v>
      </c>
      <c r="D366" s="28" t="n">
        <v>13</v>
      </c>
      <c r="E366" s="29" t="n">
        <v>2835400</v>
      </c>
      <c r="F366" s="30" t="n">
        <v>74.865</v>
      </c>
      <c r="G366" s="31" t="n">
        <f aca="false">IFERROR(F366/D366,0)</f>
        <v>5.75884615384615</v>
      </c>
    </row>
    <row r="367" customFormat="false" ht="15" hidden="false" customHeight="false" outlineLevel="0" collapsed="false">
      <c r="A367" s="28" t="n">
        <v>2020</v>
      </c>
      <c r="B367" s="28" t="s">
        <v>109</v>
      </c>
      <c r="C367" s="28" t="s">
        <v>51</v>
      </c>
      <c r="D367" s="28" t="n">
        <v>7</v>
      </c>
      <c r="E367" s="29" t="n">
        <v>2448900</v>
      </c>
      <c r="F367" s="30" t="n">
        <v>45.375</v>
      </c>
      <c r="G367" s="31" t="n">
        <f aca="false">IFERROR(F367/D367,0)</f>
        <v>6.48214285714286</v>
      </c>
    </row>
    <row r="368" customFormat="false" ht="15" hidden="false" customHeight="false" outlineLevel="0" collapsed="false">
      <c r="A368" s="28" t="n">
        <v>2020</v>
      </c>
      <c r="B368" s="28" t="s">
        <v>109</v>
      </c>
      <c r="C368" s="28" t="s">
        <v>45</v>
      </c>
      <c r="D368" s="28" t="n">
        <v>27</v>
      </c>
      <c r="E368" s="29" t="n">
        <v>5052100</v>
      </c>
      <c r="F368" s="30" t="n">
        <v>176.86</v>
      </c>
      <c r="G368" s="31" t="n">
        <f aca="false">IFERROR(F368/D368,0)</f>
        <v>6.55037037037037</v>
      </c>
    </row>
    <row r="369" customFormat="false" ht="15" hidden="false" customHeight="false" outlineLevel="0" collapsed="false">
      <c r="A369" s="28" t="n">
        <v>2020</v>
      </c>
      <c r="B369" s="28" t="s">
        <v>109</v>
      </c>
      <c r="C369" s="28" t="s">
        <v>56</v>
      </c>
      <c r="D369" s="28" t="n">
        <v>5</v>
      </c>
      <c r="E369" s="29" t="n">
        <v>443000</v>
      </c>
      <c r="F369" s="30" t="n">
        <v>34.365</v>
      </c>
      <c r="G369" s="31" t="n">
        <f aca="false">IFERROR(F369/D369,0)</f>
        <v>6.873</v>
      </c>
    </row>
    <row r="370" customFormat="false" ht="15" hidden="false" customHeight="false" outlineLevel="0" collapsed="false">
      <c r="A370" s="28" t="n">
        <v>2020</v>
      </c>
      <c r="B370" s="28" t="s">
        <v>109</v>
      </c>
      <c r="C370" s="28" t="s">
        <v>54</v>
      </c>
      <c r="D370" s="28" t="n">
        <v>4</v>
      </c>
      <c r="E370" s="29" t="n">
        <v>1295000</v>
      </c>
      <c r="F370" s="30" t="n">
        <v>25.5</v>
      </c>
      <c r="G370" s="31" t="n">
        <f aca="false">IFERROR(F370/D370,0)</f>
        <v>6.375</v>
      </c>
    </row>
    <row r="371" customFormat="false" ht="15" hidden="false" customHeight="false" outlineLevel="0" collapsed="false">
      <c r="A371" s="28" t="n">
        <v>2020</v>
      </c>
      <c r="B371" s="28" t="s">
        <v>109</v>
      </c>
      <c r="C371" s="28" t="s">
        <v>44</v>
      </c>
      <c r="D371" s="28" t="n">
        <v>18</v>
      </c>
      <c r="E371" s="29" t="n">
        <v>4444100</v>
      </c>
      <c r="F371" s="30" t="n">
        <v>94.315</v>
      </c>
      <c r="G371" s="31" t="n">
        <f aca="false">IFERROR(F371/D371,0)</f>
        <v>5.23972222222222</v>
      </c>
    </row>
    <row r="372" customFormat="false" ht="15" hidden="false" customHeight="false" outlineLevel="0" collapsed="false">
      <c r="A372" s="28" t="n">
        <v>2020</v>
      </c>
      <c r="B372" s="28" t="s">
        <v>109</v>
      </c>
      <c r="C372" s="28" t="s">
        <v>57</v>
      </c>
      <c r="D372" s="28" t="n">
        <v>1</v>
      </c>
      <c r="E372" s="29" t="n">
        <v>300000</v>
      </c>
      <c r="F372" s="30" t="n">
        <v>5.5</v>
      </c>
      <c r="G372" s="31" t="n">
        <f aca="false">IFERROR(F372/D372,0)</f>
        <v>5.5</v>
      </c>
    </row>
    <row r="373" customFormat="false" ht="15" hidden="false" customHeight="false" outlineLevel="0" collapsed="false">
      <c r="A373" s="28" t="n">
        <v>2020</v>
      </c>
      <c r="B373" s="28" t="s">
        <v>109</v>
      </c>
      <c r="C373" s="28" t="s">
        <v>47</v>
      </c>
      <c r="D373" s="28" t="n">
        <v>2</v>
      </c>
      <c r="E373" s="29" t="n">
        <v>181300</v>
      </c>
      <c r="F373" s="30" t="n">
        <v>9.1</v>
      </c>
      <c r="G373" s="31" t="n">
        <f aca="false">IFERROR(F373/D373,0)</f>
        <v>4.55</v>
      </c>
    </row>
    <row r="374" customFormat="false" ht="15" hidden="false" customHeight="false" outlineLevel="0" collapsed="false">
      <c r="A374" s="28" t="n">
        <v>2020</v>
      </c>
      <c r="B374" s="28" t="s">
        <v>109</v>
      </c>
      <c r="C374" s="28" t="s">
        <v>46</v>
      </c>
      <c r="D374" s="28" t="n">
        <v>14</v>
      </c>
      <c r="E374" s="29" t="n">
        <v>3236500</v>
      </c>
      <c r="F374" s="30" t="n">
        <v>83.895</v>
      </c>
      <c r="G374" s="31" t="n">
        <f aca="false">IFERROR(F374/D374,0)</f>
        <v>5.9925</v>
      </c>
    </row>
    <row r="375" customFormat="false" ht="15" hidden="false" customHeight="false" outlineLevel="0" collapsed="false">
      <c r="A375" s="28" t="n">
        <v>2020</v>
      </c>
      <c r="B375" s="28" t="s">
        <v>109</v>
      </c>
      <c r="C375" s="28" t="s">
        <v>48</v>
      </c>
      <c r="D375" s="28" t="n">
        <v>18</v>
      </c>
      <c r="E375" s="29" t="n">
        <v>2442000</v>
      </c>
      <c r="F375" s="30" t="n">
        <v>116.288</v>
      </c>
      <c r="G375" s="31" t="n">
        <f aca="false">IFERROR(F375/D375,0)</f>
        <v>6.46044444444445</v>
      </c>
    </row>
    <row r="376" customFormat="false" ht="15" hidden="false" customHeight="false" outlineLevel="0" collapsed="false">
      <c r="A376" s="28" t="n">
        <v>2020</v>
      </c>
      <c r="B376" s="28" t="s">
        <v>109</v>
      </c>
      <c r="C376" s="28" t="s">
        <v>53</v>
      </c>
      <c r="D376" s="28" t="n">
        <v>7</v>
      </c>
      <c r="E376" s="29" t="n">
        <v>1835900</v>
      </c>
      <c r="F376" s="30" t="n">
        <v>35.025</v>
      </c>
      <c r="G376" s="31" t="n">
        <f aca="false">IFERROR(F376/D376,0)</f>
        <v>5.00357142857143</v>
      </c>
    </row>
    <row r="377" customFormat="false" ht="15" hidden="false" customHeight="false" outlineLevel="0" collapsed="false">
      <c r="A377" s="28" t="n">
        <v>2020</v>
      </c>
      <c r="B377" s="28" t="s">
        <v>109</v>
      </c>
      <c r="C377" s="28" t="s">
        <v>43</v>
      </c>
      <c r="D377" s="28" t="n">
        <v>34</v>
      </c>
      <c r="E377" s="29" t="n">
        <v>6101700</v>
      </c>
      <c r="F377" s="30" t="n">
        <v>186.53</v>
      </c>
      <c r="G377" s="31" t="n">
        <f aca="false">IFERROR(F377/D377,0)</f>
        <v>5.48617647058824</v>
      </c>
    </row>
    <row r="378" customFormat="false" ht="15" hidden="false" customHeight="false" outlineLevel="0" collapsed="false">
      <c r="A378" s="28" t="n">
        <v>2020</v>
      </c>
      <c r="B378" s="28" t="s">
        <v>109</v>
      </c>
      <c r="C378" s="28" t="s">
        <v>52</v>
      </c>
      <c r="D378" s="28" t="n">
        <v>6</v>
      </c>
      <c r="E378" s="29" t="n">
        <v>325100</v>
      </c>
      <c r="F378" s="30" t="n">
        <v>42.78</v>
      </c>
      <c r="G378" s="31" t="n">
        <f aca="false">IFERROR(F378/D378,0)</f>
        <v>7.13</v>
      </c>
    </row>
    <row r="379" customFormat="false" ht="15" hidden="false" customHeight="false" outlineLevel="0" collapsed="false">
      <c r="A379" s="28" t="n">
        <v>2020</v>
      </c>
      <c r="B379" s="28" t="s">
        <v>109</v>
      </c>
      <c r="C379" s="28" t="s">
        <v>49</v>
      </c>
      <c r="D379" s="28" t="n">
        <v>3</v>
      </c>
      <c r="E379" s="29" t="n">
        <v>309000</v>
      </c>
      <c r="F379" s="30" t="n">
        <v>17.49</v>
      </c>
      <c r="G379" s="31" t="n">
        <f aca="false">IFERROR(F379/D379,0)</f>
        <v>5.83</v>
      </c>
    </row>
    <row r="380" customFormat="false" ht="15" hidden="false" customHeight="false" outlineLevel="0" collapsed="false">
      <c r="A380" s="28" t="n">
        <v>2020</v>
      </c>
      <c r="B380" s="28" t="s">
        <v>95</v>
      </c>
      <c r="C380" s="28" t="s">
        <v>42</v>
      </c>
      <c r="D380" s="28" t="n">
        <v>170</v>
      </c>
      <c r="E380" s="29" t="n">
        <v>90802900</v>
      </c>
      <c r="F380" s="30" t="n">
        <v>1034.05</v>
      </c>
      <c r="G380" s="31" t="n">
        <f aca="false">IFERROR(F380/D380,0)</f>
        <v>6.08264705882353</v>
      </c>
    </row>
    <row r="381" customFormat="false" ht="15" hidden="false" customHeight="false" outlineLevel="0" collapsed="false">
      <c r="A381" s="28" t="n">
        <v>2020</v>
      </c>
      <c r="B381" s="28" t="s">
        <v>95</v>
      </c>
      <c r="C381" s="28" t="s">
        <v>50</v>
      </c>
      <c r="D381" s="28" t="n">
        <v>76</v>
      </c>
      <c r="E381" s="29" t="n">
        <v>27944800</v>
      </c>
      <c r="F381" s="30" t="n">
        <v>480.34</v>
      </c>
      <c r="G381" s="31" t="n">
        <f aca="false">IFERROR(F381/D381,0)</f>
        <v>6.32026315789474</v>
      </c>
    </row>
    <row r="382" customFormat="false" ht="15" hidden="false" customHeight="false" outlineLevel="0" collapsed="false">
      <c r="A382" s="28" t="n">
        <v>2020</v>
      </c>
      <c r="B382" s="28" t="s">
        <v>95</v>
      </c>
      <c r="C382" s="28" t="s">
        <v>55</v>
      </c>
      <c r="D382" s="28" t="n">
        <v>15</v>
      </c>
      <c r="E382" s="29" t="n">
        <v>3290800</v>
      </c>
      <c r="F382" s="30" t="n">
        <v>96.468</v>
      </c>
      <c r="G382" s="31" t="n">
        <f aca="false">IFERROR(F382/D382,0)</f>
        <v>6.4312</v>
      </c>
    </row>
    <row r="383" customFormat="false" ht="15" hidden="false" customHeight="false" outlineLevel="0" collapsed="false">
      <c r="A383" s="28" t="n">
        <v>2020</v>
      </c>
      <c r="B383" s="28" t="s">
        <v>95</v>
      </c>
      <c r="C383" s="28" t="s">
        <v>51</v>
      </c>
      <c r="D383" s="28" t="n">
        <v>35</v>
      </c>
      <c r="E383" s="29" t="n">
        <v>10415800</v>
      </c>
      <c r="F383" s="30" t="n">
        <v>231.75</v>
      </c>
      <c r="G383" s="31" t="n">
        <f aca="false">IFERROR(F383/D383,0)</f>
        <v>6.62142857142857</v>
      </c>
    </row>
    <row r="384" customFormat="false" ht="15" hidden="false" customHeight="false" outlineLevel="0" collapsed="false">
      <c r="A384" s="28" t="n">
        <v>2020</v>
      </c>
      <c r="B384" s="28" t="s">
        <v>95</v>
      </c>
      <c r="C384" s="28" t="s">
        <v>45</v>
      </c>
      <c r="D384" s="28" t="n">
        <v>184</v>
      </c>
      <c r="E384" s="29" t="n">
        <v>48609400</v>
      </c>
      <c r="F384" s="30" t="n">
        <v>1070.28</v>
      </c>
      <c r="G384" s="31" t="n">
        <f aca="false">IFERROR(F384/D384,0)</f>
        <v>5.81673913043478</v>
      </c>
    </row>
    <row r="385" customFormat="false" ht="15" hidden="false" customHeight="false" outlineLevel="0" collapsed="false">
      <c r="A385" s="28" t="n">
        <v>2020</v>
      </c>
      <c r="B385" s="28" t="s">
        <v>95</v>
      </c>
      <c r="C385" s="28" t="s">
        <v>56</v>
      </c>
      <c r="D385" s="28" t="n">
        <v>17</v>
      </c>
      <c r="E385" s="29" t="n">
        <v>1902200</v>
      </c>
      <c r="F385" s="30" t="n">
        <v>107.63</v>
      </c>
      <c r="G385" s="31" t="n">
        <f aca="false">IFERROR(F385/D385,0)</f>
        <v>6.33117647058824</v>
      </c>
    </row>
    <row r="386" customFormat="false" ht="15" hidden="false" customHeight="false" outlineLevel="0" collapsed="false">
      <c r="A386" s="28" t="n">
        <v>2020</v>
      </c>
      <c r="B386" s="28" t="s">
        <v>95</v>
      </c>
      <c r="C386" s="28" t="s">
        <v>54</v>
      </c>
      <c r="D386" s="28" t="n">
        <v>31</v>
      </c>
      <c r="E386" s="29" t="n">
        <v>23537200</v>
      </c>
      <c r="F386" s="30" t="n">
        <v>175.4</v>
      </c>
      <c r="G386" s="31" t="n">
        <f aca="false">IFERROR(F386/D386,0)</f>
        <v>5.65806451612903</v>
      </c>
    </row>
    <row r="387" customFormat="false" ht="15" hidden="false" customHeight="false" outlineLevel="0" collapsed="false">
      <c r="A387" s="28" t="n">
        <v>2020</v>
      </c>
      <c r="B387" s="28" t="s">
        <v>95</v>
      </c>
      <c r="C387" s="28" t="s">
        <v>44</v>
      </c>
      <c r="D387" s="28" t="n">
        <v>82</v>
      </c>
      <c r="E387" s="29" t="n">
        <v>43105300</v>
      </c>
      <c r="F387" s="30" t="n">
        <v>503.63</v>
      </c>
      <c r="G387" s="31" t="n">
        <f aca="false">IFERROR(F387/D387,0)</f>
        <v>6.14182926829268</v>
      </c>
    </row>
    <row r="388" customFormat="false" ht="15" hidden="false" customHeight="false" outlineLevel="0" collapsed="false">
      <c r="A388" s="28" t="n">
        <v>2020</v>
      </c>
      <c r="B388" s="28" t="s">
        <v>95</v>
      </c>
      <c r="C388" s="28" t="s">
        <v>57</v>
      </c>
      <c r="D388" s="28" t="n">
        <v>5</v>
      </c>
      <c r="E388" s="29" t="n">
        <v>3606000</v>
      </c>
      <c r="F388" s="30" t="n">
        <v>29.75</v>
      </c>
      <c r="G388" s="31" t="n">
        <f aca="false">IFERROR(F388/D388,0)</f>
        <v>5.95</v>
      </c>
    </row>
    <row r="389" customFormat="false" ht="15" hidden="false" customHeight="false" outlineLevel="0" collapsed="false">
      <c r="A389" s="28" t="n">
        <v>2020</v>
      </c>
      <c r="B389" s="28" t="s">
        <v>95</v>
      </c>
      <c r="C389" s="28" t="s">
        <v>47</v>
      </c>
      <c r="D389" s="28" t="n">
        <v>106</v>
      </c>
      <c r="E389" s="29" t="n">
        <v>63007500</v>
      </c>
      <c r="F389" s="30" t="n">
        <v>627.62</v>
      </c>
      <c r="G389" s="31" t="n">
        <f aca="false">IFERROR(F389/D389,0)</f>
        <v>5.92094339622642</v>
      </c>
    </row>
    <row r="390" customFormat="false" ht="15" hidden="false" customHeight="false" outlineLevel="0" collapsed="false">
      <c r="A390" s="28" t="n">
        <v>2020</v>
      </c>
      <c r="B390" s="28" t="s">
        <v>95</v>
      </c>
      <c r="C390" s="28" t="s">
        <v>46</v>
      </c>
      <c r="D390" s="28" t="n">
        <v>124</v>
      </c>
      <c r="E390" s="29" t="n">
        <v>38268700</v>
      </c>
      <c r="F390" s="30" t="n">
        <v>782.12</v>
      </c>
      <c r="G390" s="31" t="n">
        <f aca="false">IFERROR(F390/D390,0)</f>
        <v>6.30741935483871</v>
      </c>
    </row>
    <row r="391" customFormat="false" ht="15" hidden="false" customHeight="false" outlineLevel="0" collapsed="false">
      <c r="A391" s="28" t="n">
        <v>2020</v>
      </c>
      <c r="B391" s="28" t="s">
        <v>95</v>
      </c>
      <c r="C391" s="28" t="s">
        <v>48</v>
      </c>
      <c r="D391" s="28" t="n">
        <v>85</v>
      </c>
      <c r="E391" s="29" t="n">
        <v>35500800</v>
      </c>
      <c r="F391" s="30" t="n">
        <v>516.85</v>
      </c>
      <c r="G391" s="31" t="n">
        <f aca="false">IFERROR(F391/D391,0)</f>
        <v>6.08058823529412</v>
      </c>
    </row>
    <row r="392" customFormat="false" ht="15" hidden="false" customHeight="false" outlineLevel="0" collapsed="false">
      <c r="A392" s="28" t="n">
        <v>2020</v>
      </c>
      <c r="B392" s="28" t="s">
        <v>95</v>
      </c>
      <c r="C392" s="28" t="s">
        <v>53</v>
      </c>
      <c r="D392" s="28" t="n">
        <v>31</v>
      </c>
      <c r="E392" s="29" t="n">
        <v>17710200</v>
      </c>
      <c r="F392" s="30" t="n">
        <v>181.69</v>
      </c>
      <c r="G392" s="31" t="n">
        <f aca="false">IFERROR(F392/D392,0)</f>
        <v>5.86096774193548</v>
      </c>
    </row>
    <row r="393" customFormat="false" ht="15" hidden="false" customHeight="false" outlineLevel="0" collapsed="false">
      <c r="A393" s="28" t="n">
        <v>2020</v>
      </c>
      <c r="B393" s="28" t="s">
        <v>95</v>
      </c>
      <c r="C393" s="28" t="s">
        <v>43</v>
      </c>
      <c r="D393" s="28" t="n">
        <v>197</v>
      </c>
      <c r="E393" s="29" t="n">
        <v>84658800</v>
      </c>
      <c r="F393" s="30" t="n">
        <v>1208.63</v>
      </c>
      <c r="G393" s="31" t="n">
        <f aca="false">IFERROR(F393/D393,0)</f>
        <v>6.13517766497462</v>
      </c>
    </row>
    <row r="394" customFormat="false" ht="15" hidden="false" customHeight="false" outlineLevel="0" collapsed="false">
      <c r="A394" s="28" t="n">
        <v>2020</v>
      </c>
      <c r="B394" s="28" t="s">
        <v>95</v>
      </c>
      <c r="C394" s="28" t="s">
        <v>52</v>
      </c>
      <c r="D394" s="28" t="n">
        <v>285</v>
      </c>
      <c r="E394" s="29" t="n">
        <v>36908300</v>
      </c>
      <c r="F394" s="30" t="n">
        <v>1616.94</v>
      </c>
      <c r="G394" s="31" t="n">
        <f aca="false">IFERROR(F394/D394,0)</f>
        <v>5.67347368421053</v>
      </c>
    </row>
    <row r="395" customFormat="false" ht="15" hidden="false" customHeight="false" outlineLevel="0" collapsed="false">
      <c r="A395" s="28" t="n">
        <v>2020</v>
      </c>
      <c r="B395" s="28" t="s">
        <v>95</v>
      </c>
      <c r="C395" s="28" t="s">
        <v>49</v>
      </c>
      <c r="D395" s="28" t="n">
        <v>38</v>
      </c>
      <c r="E395" s="29" t="n">
        <v>13131800</v>
      </c>
      <c r="F395" s="30" t="n">
        <v>231.395</v>
      </c>
      <c r="G395" s="31" t="n">
        <f aca="false">IFERROR(F395/D395,0)</f>
        <v>6.08934210526316</v>
      </c>
    </row>
    <row r="396" customFormat="false" ht="15" hidden="false" customHeight="false" outlineLevel="0" collapsed="false">
      <c r="A396" s="28" t="n">
        <v>2020</v>
      </c>
      <c r="B396" s="28" t="s">
        <v>98</v>
      </c>
      <c r="C396" s="28" t="s">
        <v>42</v>
      </c>
      <c r="D396" s="28" t="n">
        <v>123</v>
      </c>
      <c r="E396" s="29" t="n">
        <v>38736900</v>
      </c>
      <c r="F396" s="30" t="n">
        <v>754.11</v>
      </c>
      <c r="G396" s="31" t="n">
        <f aca="false">IFERROR(F396/D396,0)</f>
        <v>6.1309756097561</v>
      </c>
    </row>
    <row r="397" customFormat="false" ht="15" hidden="false" customHeight="false" outlineLevel="0" collapsed="false">
      <c r="A397" s="28" t="n">
        <v>2020</v>
      </c>
      <c r="B397" s="28" t="s">
        <v>98</v>
      </c>
      <c r="C397" s="28" t="s">
        <v>50</v>
      </c>
      <c r="D397" s="28" t="n">
        <v>92</v>
      </c>
      <c r="E397" s="29" t="n">
        <v>37976500</v>
      </c>
      <c r="F397" s="30" t="n">
        <v>550.87</v>
      </c>
      <c r="G397" s="31" t="n">
        <f aca="false">IFERROR(F397/D397,0)</f>
        <v>5.98771739130435</v>
      </c>
    </row>
    <row r="398" customFormat="false" ht="15" hidden="false" customHeight="false" outlineLevel="0" collapsed="false">
      <c r="A398" s="28" t="n">
        <v>2020</v>
      </c>
      <c r="B398" s="28" t="s">
        <v>98</v>
      </c>
      <c r="C398" s="28" t="s">
        <v>55</v>
      </c>
      <c r="D398" s="28" t="n">
        <v>45</v>
      </c>
      <c r="E398" s="29" t="n">
        <v>15820000</v>
      </c>
      <c r="F398" s="30" t="n">
        <v>241.265</v>
      </c>
      <c r="G398" s="31" t="n">
        <f aca="false">IFERROR(F398/D398,0)</f>
        <v>5.36144444444444</v>
      </c>
    </row>
    <row r="399" customFormat="false" ht="15" hidden="false" customHeight="false" outlineLevel="0" collapsed="false">
      <c r="A399" s="28" t="n">
        <v>2020</v>
      </c>
      <c r="B399" s="28" t="s">
        <v>98</v>
      </c>
      <c r="C399" s="28" t="s">
        <v>51</v>
      </c>
      <c r="D399" s="28" t="n">
        <v>33</v>
      </c>
      <c r="E399" s="29" t="n">
        <v>6644300</v>
      </c>
      <c r="F399" s="30" t="n">
        <v>202.44</v>
      </c>
      <c r="G399" s="31" t="n">
        <f aca="false">IFERROR(F399/D399,0)</f>
        <v>6.13454545454546</v>
      </c>
    </row>
    <row r="400" customFormat="false" ht="15" hidden="false" customHeight="false" outlineLevel="0" collapsed="false">
      <c r="A400" s="28" t="n">
        <v>2020</v>
      </c>
      <c r="B400" s="28" t="s">
        <v>98</v>
      </c>
      <c r="C400" s="28" t="s">
        <v>45</v>
      </c>
      <c r="D400" s="28" t="n">
        <v>171</v>
      </c>
      <c r="E400" s="29" t="n">
        <v>71933000</v>
      </c>
      <c r="F400" s="30" t="n">
        <v>1063.84</v>
      </c>
      <c r="G400" s="31" t="n">
        <f aca="false">IFERROR(F400/D400,0)</f>
        <v>6.2212865497076</v>
      </c>
    </row>
    <row r="401" customFormat="false" ht="15" hidden="false" customHeight="false" outlineLevel="0" collapsed="false">
      <c r="A401" s="28" t="n">
        <v>2020</v>
      </c>
      <c r="B401" s="28" t="s">
        <v>98</v>
      </c>
      <c r="C401" s="28" t="s">
        <v>56</v>
      </c>
      <c r="D401" s="28" t="n">
        <v>12</v>
      </c>
      <c r="E401" s="29" t="n">
        <v>5987500</v>
      </c>
      <c r="F401" s="30" t="n">
        <v>68.5</v>
      </c>
      <c r="G401" s="31" t="n">
        <f aca="false">IFERROR(F401/D401,0)</f>
        <v>5.70833333333333</v>
      </c>
    </row>
    <row r="402" customFormat="false" ht="15" hidden="false" customHeight="false" outlineLevel="0" collapsed="false">
      <c r="A402" s="28" t="n">
        <v>2020</v>
      </c>
      <c r="B402" s="28" t="s">
        <v>98</v>
      </c>
      <c r="C402" s="28" t="s">
        <v>54</v>
      </c>
      <c r="D402" s="28" t="n">
        <v>34</v>
      </c>
      <c r="E402" s="29" t="n">
        <v>14824500</v>
      </c>
      <c r="F402" s="30" t="n">
        <v>201.82</v>
      </c>
      <c r="G402" s="31" t="n">
        <f aca="false">IFERROR(F402/D402,0)</f>
        <v>5.93588235294118</v>
      </c>
    </row>
    <row r="403" customFormat="false" ht="15" hidden="false" customHeight="false" outlineLevel="0" collapsed="false">
      <c r="A403" s="28" t="n">
        <v>2020</v>
      </c>
      <c r="B403" s="28" t="s">
        <v>98</v>
      </c>
      <c r="C403" s="28" t="s">
        <v>44</v>
      </c>
      <c r="D403" s="28" t="n">
        <v>111</v>
      </c>
      <c r="E403" s="29" t="n">
        <v>40568800</v>
      </c>
      <c r="F403" s="30" t="n">
        <v>689.95</v>
      </c>
      <c r="G403" s="31" t="n">
        <f aca="false">IFERROR(F403/D403,0)</f>
        <v>6.21576576576577</v>
      </c>
    </row>
    <row r="404" customFormat="false" ht="15" hidden="false" customHeight="false" outlineLevel="0" collapsed="false">
      <c r="A404" s="28" t="n">
        <v>2020</v>
      </c>
      <c r="B404" s="28" t="s">
        <v>98</v>
      </c>
      <c r="C404" s="28" t="s">
        <v>57</v>
      </c>
      <c r="D404" s="28" t="n">
        <v>20</v>
      </c>
      <c r="E404" s="29" t="n">
        <v>4412500</v>
      </c>
      <c r="F404" s="30" t="n">
        <v>133.03</v>
      </c>
      <c r="G404" s="31" t="n">
        <f aca="false">IFERROR(F404/D404,0)</f>
        <v>6.6515</v>
      </c>
    </row>
    <row r="405" customFormat="false" ht="15" hidden="false" customHeight="false" outlineLevel="0" collapsed="false">
      <c r="A405" s="28" t="n">
        <v>2020</v>
      </c>
      <c r="B405" s="28" t="s">
        <v>98</v>
      </c>
      <c r="C405" s="28" t="s">
        <v>59</v>
      </c>
      <c r="D405" s="28" t="n">
        <v>2</v>
      </c>
      <c r="E405" s="29" t="n">
        <v>772000</v>
      </c>
      <c r="F405" s="30" t="n">
        <v>9.74</v>
      </c>
      <c r="G405" s="31" t="n">
        <f aca="false">IFERROR(F405/D405,0)</f>
        <v>4.87</v>
      </c>
    </row>
    <row r="406" customFormat="false" ht="15" hidden="false" customHeight="false" outlineLevel="0" collapsed="false">
      <c r="A406" s="28" t="n">
        <v>2020</v>
      </c>
      <c r="B406" s="28" t="s">
        <v>98</v>
      </c>
      <c r="C406" s="28" t="s">
        <v>47</v>
      </c>
      <c r="D406" s="28" t="n">
        <v>157</v>
      </c>
      <c r="E406" s="29" t="n">
        <v>105048200</v>
      </c>
      <c r="F406" s="30" t="n">
        <v>908.3</v>
      </c>
      <c r="G406" s="31" t="n">
        <f aca="false">IFERROR(F406/D406,0)</f>
        <v>5.78535031847134</v>
      </c>
    </row>
    <row r="407" customFormat="false" ht="15" hidden="false" customHeight="false" outlineLevel="0" collapsed="false">
      <c r="A407" s="28" t="n">
        <v>2020</v>
      </c>
      <c r="B407" s="28" t="s">
        <v>98</v>
      </c>
      <c r="C407" s="28" t="s">
        <v>58</v>
      </c>
      <c r="D407" s="28" t="n">
        <v>2</v>
      </c>
      <c r="E407" s="29" t="n">
        <v>195600</v>
      </c>
      <c r="F407" s="30" t="n">
        <v>13.5</v>
      </c>
      <c r="G407" s="31" t="n">
        <f aca="false">IFERROR(F407/D407,0)</f>
        <v>6.75</v>
      </c>
    </row>
    <row r="408" customFormat="false" ht="15" hidden="false" customHeight="false" outlineLevel="0" collapsed="false">
      <c r="A408" s="28" t="n">
        <v>2020</v>
      </c>
      <c r="B408" s="28" t="s">
        <v>98</v>
      </c>
      <c r="C408" s="28" t="s">
        <v>46</v>
      </c>
      <c r="D408" s="28" t="n">
        <v>114</v>
      </c>
      <c r="E408" s="29" t="n">
        <v>36445300</v>
      </c>
      <c r="F408" s="30" t="n">
        <v>693.649</v>
      </c>
      <c r="G408" s="31" t="n">
        <f aca="false">IFERROR(F408/D408,0)</f>
        <v>6.08464035087719</v>
      </c>
    </row>
    <row r="409" customFormat="false" ht="15" hidden="false" customHeight="false" outlineLevel="0" collapsed="false">
      <c r="A409" s="28" t="n">
        <v>2020</v>
      </c>
      <c r="B409" s="28" t="s">
        <v>98</v>
      </c>
      <c r="C409" s="28" t="s">
        <v>48</v>
      </c>
      <c r="D409" s="28" t="n">
        <v>117</v>
      </c>
      <c r="E409" s="29" t="n">
        <v>31038700</v>
      </c>
      <c r="F409" s="30" t="n">
        <v>758.23</v>
      </c>
      <c r="G409" s="31" t="n">
        <f aca="false">IFERROR(F409/D409,0)</f>
        <v>6.48059829059829</v>
      </c>
    </row>
    <row r="410" customFormat="false" ht="15" hidden="false" customHeight="false" outlineLevel="0" collapsed="false">
      <c r="A410" s="28" t="n">
        <v>2020</v>
      </c>
      <c r="B410" s="28" t="s">
        <v>98</v>
      </c>
      <c r="C410" s="28" t="s">
        <v>53</v>
      </c>
      <c r="D410" s="28" t="n">
        <v>28</v>
      </c>
      <c r="E410" s="29" t="n">
        <v>8757600</v>
      </c>
      <c r="F410" s="30" t="n">
        <v>166.58</v>
      </c>
      <c r="G410" s="31" t="n">
        <f aca="false">IFERROR(F410/D410,0)</f>
        <v>5.94928571428572</v>
      </c>
    </row>
    <row r="411" customFormat="false" ht="15" hidden="false" customHeight="false" outlineLevel="0" collapsed="false">
      <c r="A411" s="28" t="n">
        <v>2020</v>
      </c>
      <c r="B411" s="28" t="s">
        <v>98</v>
      </c>
      <c r="C411" s="28" t="s">
        <v>43</v>
      </c>
      <c r="D411" s="28" t="n">
        <v>159</v>
      </c>
      <c r="E411" s="29" t="n">
        <v>40274200</v>
      </c>
      <c r="F411" s="30" t="n">
        <v>943.02</v>
      </c>
      <c r="G411" s="31" t="n">
        <f aca="false">IFERROR(F411/D411,0)</f>
        <v>5.93094339622642</v>
      </c>
    </row>
    <row r="412" customFormat="false" ht="15" hidden="false" customHeight="false" outlineLevel="0" collapsed="false">
      <c r="A412" s="28" t="n">
        <v>2020</v>
      </c>
      <c r="B412" s="28" t="s">
        <v>98</v>
      </c>
      <c r="C412" s="28" t="s">
        <v>52</v>
      </c>
      <c r="D412" s="28" t="n">
        <v>99</v>
      </c>
      <c r="E412" s="29" t="n">
        <v>36430500</v>
      </c>
      <c r="F412" s="30" t="n">
        <v>592.32</v>
      </c>
      <c r="G412" s="31" t="n">
        <f aca="false">IFERROR(F412/D412,0)</f>
        <v>5.9830303030303</v>
      </c>
    </row>
    <row r="413" customFormat="false" ht="15" hidden="false" customHeight="false" outlineLevel="0" collapsed="false">
      <c r="A413" s="28" t="n">
        <v>2020</v>
      </c>
      <c r="B413" s="28" t="s">
        <v>98</v>
      </c>
      <c r="C413" s="28" t="s">
        <v>60</v>
      </c>
      <c r="D413" s="28" t="n">
        <v>5</v>
      </c>
      <c r="E413" s="29" t="n">
        <v>1724200</v>
      </c>
      <c r="F413" s="30" t="n">
        <v>27</v>
      </c>
      <c r="G413" s="31" t="n">
        <f aca="false">IFERROR(F413/D413,0)</f>
        <v>5.4</v>
      </c>
    </row>
    <row r="414" customFormat="false" ht="15" hidden="false" customHeight="false" outlineLevel="0" collapsed="false">
      <c r="A414" s="28" t="n">
        <v>2020</v>
      </c>
      <c r="B414" s="28" t="s">
        <v>98</v>
      </c>
      <c r="C414" s="28" t="s">
        <v>49</v>
      </c>
      <c r="D414" s="28" t="n">
        <v>77</v>
      </c>
      <c r="E414" s="29" t="n">
        <v>41327400</v>
      </c>
      <c r="F414" s="30" t="n">
        <v>458.194</v>
      </c>
      <c r="G414" s="31" t="n">
        <f aca="false">IFERROR(F414/D414,0)</f>
        <v>5.95057142857143</v>
      </c>
    </row>
    <row r="415" customFormat="false" ht="15" hidden="false" customHeight="false" outlineLevel="0" collapsed="false">
      <c r="A415" s="28" t="n">
        <v>2020</v>
      </c>
      <c r="B415" s="28" t="s">
        <v>103</v>
      </c>
      <c r="C415" s="28" t="s">
        <v>42</v>
      </c>
      <c r="D415" s="28" t="n">
        <v>84</v>
      </c>
      <c r="E415" s="29" t="n">
        <v>40788200</v>
      </c>
      <c r="F415" s="30" t="n">
        <v>533.41</v>
      </c>
      <c r="G415" s="31" t="n">
        <f aca="false">IFERROR(F415/D415,0)</f>
        <v>6.35011904761905</v>
      </c>
    </row>
    <row r="416" customFormat="false" ht="15" hidden="false" customHeight="false" outlineLevel="0" collapsed="false">
      <c r="A416" s="28" t="n">
        <v>2020</v>
      </c>
      <c r="B416" s="28" t="s">
        <v>103</v>
      </c>
      <c r="C416" s="28" t="s">
        <v>50</v>
      </c>
      <c r="D416" s="28" t="n">
        <v>41</v>
      </c>
      <c r="E416" s="29" t="n">
        <v>9869700</v>
      </c>
      <c r="F416" s="30" t="n">
        <v>252.22</v>
      </c>
      <c r="G416" s="31" t="n">
        <f aca="false">IFERROR(F416/D416,0)</f>
        <v>6.15170731707317</v>
      </c>
    </row>
    <row r="417" customFormat="false" ht="15" hidden="false" customHeight="false" outlineLevel="0" collapsed="false">
      <c r="A417" s="28" t="n">
        <v>2020</v>
      </c>
      <c r="B417" s="28" t="s">
        <v>103</v>
      </c>
      <c r="C417" s="28" t="s">
        <v>55</v>
      </c>
      <c r="D417" s="28" t="n">
        <v>12</v>
      </c>
      <c r="E417" s="29" t="n">
        <v>10250800</v>
      </c>
      <c r="F417" s="30" t="n">
        <v>72.18</v>
      </c>
      <c r="G417" s="31" t="n">
        <f aca="false">IFERROR(F417/D417,0)</f>
        <v>6.015</v>
      </c>
    </row>
    <row r="418" customFormat="false" ht="15" hidden="false" customHeight="false" outlineLevel="0" collapsed="false">
      <c r="A418" s="28" t="n">
        <v>2020</v>
      </c>
      <c r="B418" s="28" t="s">
        <v>103</v>
      </c>
      <c r="C418" s="28" t="s">
        <v>51</v>
      </c>
      <c r="D418" s="28" t="n">
        <v>25</v>
      </c>
      <c r="E418" s="29" t="n">
        <v>11149000</v>
      </c>
      <c r="F418" s="30" t="n">
        <v>164.66</v>
      </c>
      <c r="G418" s="31" t="n">
        <f aca="false">IFERROR(F418/D418,0)</f>
        <v>6.5864</v>
      </c>
    </row>
    <row r="419" customFormat="false" ht="15" hidden="false" customHeight="false" outlineLevel="0" collapsed="false">
      <c r="A419" s="28" t="n">
        <v>2020</v>
      </c>
      <c r="B419" s="28" t="s">
        <v>103</v>
      </c>
      <c r="C419" s="28" t="s">
        <v>45</v>
      </c>
      <c r="D419" s="28" t="n">
        <v>103</v>
      </c>
      <c r="E419" s="29" t="n">
        <v>20577100</v>
      </c>
      <c r="F419" s="30" t="n">
        <v>682.335</v>
      </c>
      <c r="G419" s="31" t="n">
        <f aca="false">IFERROR(F419/D419,0)</f>
        <v>6.62461165048544</v>
      </c>
    </row>
    <row r="420" customFormat="false" ht="15" hidden="false" customHeight="false" outlineLevel="0" collapsed="false">
      <c r="A420" s="28" t="n">
        <v>2020</v>
      </c>
      <c r="B420" s="28" t="s">
        <v>103</v>
      </c>
      <c r="C420" s="28" t="s">
        <v>56</v>
      </c>
      <c r="D420" s="28" t="n">
        <v>7</v>
      </c>
      <c r="E420" s="29" t="n">
        <v>1856000</v>
      </c>
      <c r="F420" s="30" t="n">
        <v>43.91</v>
      </c>
      <c r="G420" s="31" t="n">
        <f aca="false">IFERROR(F420/D420,0)</f>
        <v>6.27285714285714</v>
      </c>
    </row>
    <row r="421" customFormat="false" ht="15" hidden="false" customHeight="false" outlineLevel="0" collapsed="false">
      <c r="A421" s="28" t="n">
        <v>2020</v>
      </c>
      <c r="B421" s="28" t="s">
        <v>103</v>
      </c>
      <c r="C421" s="28" t="s">
        <v>54</v>
      </c>
      <c r="D421" s="28" t="n">
        <v>16</v>
      </c>
      <c r="E421" s="29" t="n">
        <v>6306700</v>
      </c>
      <c r="F421" s="30" t="n">
        <v>96.18</v>
      </c>
      <c r="G421" s="31" t="n">
        <f aca="false">IFERROR(F421/D421,0)</f>
        <v>6.01125</v>
      </c>
    </row>
    <row r="422" customFormat="false" ht="15" hidden="false" customHeight="false" outlineLevel="0" collapsed="false">
      <c r="A422" s="28" t="n">
        <v>2020</v>
      </c>
      <c r="B422" s="28" t="s">
        <v>103</v>
      </c>
      <c r="C422" s="28" t="s">
        <v>44</v>
      </c>
      <c r="D422" s="28" t="n">
        <v>46</v>
      </c>
      <c r="E422" s="29" t="n">
        <v>25596900</v>
      </c>
      <c r="F422" s="30" t="n">
        <v>270.06</v>
      </c>
      <c r="G422" s="31" t="n">
        <f aca="false">IFERROR(F422/D422,0)</f>
        <v>5.87086956521739</v>
      </c>
    </row>
    <row r="423" customFormat="false" ht="15" hidden="false" customHeight="false" outlineLevel="0" collapsed="false">
      <c r="A423" s="28" t="n">
        <v>2020</v>
      </c>
      <c r="B423" s="28" t="s">
        <v>103</v>
      </c>
      <c r="C423" s="28" t="s">
        <v>57</v>
      </c>
      <c r="D423" s="28" t="n">
        <v>9</v>
      </c>
      <c r="E423" s="29" t="n">
        <v>7122400</v>
      </c>
      <c r="F423" s="30" t="n">
        <v>57.5</v>
      </c>
      <c r="G423" s="31" t="n">
        <f aca="false">IFERROR(F423/D423,0)</f>
        <v>6.38888888888889</v>
      </c>
    </row>
    <row r="424" customFormat="false" ht="15" hidden="false" customHeight="false" outlineLevel="0" collapsed="false">
      <c r="A424" s="28" t="n">
        <v>2020</v>
      </c>
      <c r="B424" s="28" t="s">
        <v>103</v>
      </c>
      <c r="C424" s="28" t="s">
        <v>59</v>
      </c>
      <c r="D424" s="28" t="n">
        <v>1</v>
      </c>
      <c r="E424" s="29" t="n">
        <v>328500</v>
      </c>
      <c r="F424" s="30" t="n">
        <v>7.5</v>
      </c>
      <c r="G424" s="31" t="n">
        <f aca="false">IFERROR(F424/D424,0)</f>
        <v>7.5</v>
      </c>
    </row>
    <row r="425" customFormat="false" ht="15" hidden="false" customHeight="false" outlineLevel="0" collapsed="false">
      <c r="A425" s="28" t="n">
        <v>2020</v>
      </c>
      <c r="B425" s="28" t="s">
        <v>103</v>
      </c>
      <c r="C425" s="28" t="s">
        <v>47</v>
      </c>
      <c r="D425" s="28" t="n">
        <v>55</v>
      </c>
      <c r="E425" s="29" t="n">
        <v>48446200</v>
      </c>
      <c r="F425" s="30" t="n">
        <v>341.29</v>
      </c>
      <c r="G425" s="31" t="n">
        <f aca="false">IFERROR(F425/D425,0)</f>
        <v>6.20527272727273</v>
      </c>
    </row>
    <row r="426" customFormat="false" ht="15" hidden="false" customHeight="false" outlineLevel="0" collapsed="false">
      <c r="A426" s="28" t="n">
        <v>2020</v>
      </c>
      <c r="B426" s="28" t="s">
        <v>103</v>
      </c>
      <c r="C426" s="28" t="s">
        <v>46</v>
      </c>
      <c r="D426" s="28" t="n">
        <v>62</v>
      </c>
      <c r="E426" s="29" t="n">
        <v>17654000</v>
      </c>
      <c r="F426" s="30" t="n">
        <v>384.34</v>
      </c>
      <c r="G426" s="31" t="n">
        <f aca="false">IFERROR(F426/D426,0)</f>
        <v>6.19903225806452</v>
      </c>
    </row>
    <row r="427" customFormat="false" ht="15" hidden="false" customHeight="false" outlineLevel="0" collapsed="false">
      <c r="A427" s="28" t="n">
        <v>2020</v>
      </c>
      <c r="B427" s="28" t="s">
        <v>103</v>
      </c>
      <c r="C427" s="28" t="s">
        <v>48</v>
      </c>
      <c r="D427" s="28" t="n">
        <v>50</v>
      </c>
      <c r="E427" s="29" t="n">
        <v>20664000</v>
      </c>
      <c r="F427" s="30" t="n">
        <v>314.47</v>
      </c>
      <c r="G427" s="31" t="n">
        <f aca="false">IFERROR(F427/D427,0)</f>
        <v>6.2894</v>
      </c>
    </row>
    <row r="428" customFormat="false" ht="15" hidden="false" customHeight="false" outlineLevel="0" collapsed="false">
      <c r="A428" s="28" t="n">
        <v>2020</v>
      </c>
      <c r="B428" s="28" t="s">
        <v>103</v>
      </c>
      <c r="C428" s="28" t="s">
        <v>53</v>
      </c>
      <c r="D428" s="28" t="n">
        <v>20</v>
      </c>
      <c r="E428" s="29" t="n">
        <v>18345900</v>
      </c>
      <c r="F428" s="30" t="n">
        <v>127.42</v>
      </c>
      <c r="G428" s="31" t="n">
        <f aca="false">IFERROR(F428/D428,0)</f>
        <v>6.371</v>
      </c>
    </row>
    <row r="429" customFormat="false" ht="15" hidden="false" customHeight="false" outlineLevel="0" collapsed="false">
      <c r="A429" s="28" t="n">
        <v>2020</v>
      </c>
      <c r="B429" s="28" t="s">
        <v>103</v>
      </c>
      <c r="C429" s="28" t="s">
        <v>43</v>
      </c>
      <c r="D429" s="28" t="n">
        <v>77</v>
      </c>
      <c r="E429" s="29" t="n">
        <v>36097600</v>
      </c>
      <c r="F429" s="30" t="n">
        <v>480.859</v>
      </c>
      <c r="G429" s="31" t="n">
        <f aca="false">IFERROR(F429/D429,0)</f>
        <v>6.24492207792208</v>
      </c>
    </row>
    <row r="430" customFormat="false" ht="15" hidden="false" customHeight="false" outlineLevel="0" collapsed="false">
      <c r="A430" s="28" t="n">
        <v>2020</v>
      </c>
      <c r="B430" s="28" t="s">
        <v>103</v>
      </c>
      <c r="C430" s="28" t="s">
        <v>52</v>
      </c>
      <c r="D430" s="28" t="n">
        <v>44</v>
      </c>
      <c r="E430" s="29" t="n">
        <v>18558500</v>
      </c>
      <c r="F430" s="30" t="n">
        <v>268.285</v>
      </c>
      <c r="G430" s="31" t="n">
        <f aca="false">IFERROR(F430/D430,0)</f>
        <v>6.09738636363636</v>
      </c>
    </row>
    <row r="431" customFormat="false" ht="15" hidden="false" customHeight="false" outlineLevel="0" collapsed="false">
      <c r="A431" s="28" t="n">
        <v>2020</v>
      </c>
      <c r="B431" s="28" t="s">
        <v>103</v>
      </c>
      <c r="C431" s="28" t="s">
        <v>49</v>
      </c>
      <c r="D431" s="28" t="n">
        <v>27</v>
      </c>
      <c r="E431" s="29" t="n">
        <v>15697200</v>
      </c>
      <c r="F431" s="30" t="n">
        <v>172.3</v>
      </c>
      <c r="G431" s="31" t="n">
        <f aca="false">IFERROR(F431/D431,0)</f>
        <v>6.38148148148148</v>
      </c>
    </row>
    <row r="432" customFormat="false" ht="15" hidden="false" customHeight="false" outlineLevel="0" collapsed="false">
      <c r="A432" s="28" t="n">
        <v>2020</v>
      </c>
      <c r="B432" s="28" t="s">
        <v>113</v>
      </c>
      <c r="C432" s="28" t="s">
        <v>42</v>
      </c>
      <c r="D432" s="28" t="n">
        <v>51</v>
      </c>
      <c r="E432" s="29" t="n">
        <v>43663300</v>
      </c>
      <c r="F432" s="30" t="n">
        <v>293.03</v>
      </c>
      <c r="G432" s="31" t="n">
        <f aca="false">IFERROR(F432/D432,0)</f>
        <v>5.7456862745098</v>
      </c>
    </row>
    <row r="433" customFormat="false" ht="15" hidden="false" customHeight="false" outlineLevel="0" collapsed="false">
      <c r="A433" s="28" t="n">
        <v>2020</v>
      </c>
      <c r="B433" s="28" t="s">
        <v>113</v>
      </c>
      <c r="C433" s="28" t="s">
        <v>50</v>
      </c>
      <c r="D433" s="28" t="n">
        <v>12</v>
      </c>
      <c r="E433" s="29" t="n">
        <v>1118200</v>
      </c>
      <c r="F433" s="30" t="n">
        <v>81.45</v>
      </c>
      <c r="G433" s="31" t="n">
        <f aca="false">IFERROR(F433/D433,0)</f>
        <v>6.7875</v>
      </c>
    </row>
    <row r="434" customFormat="false" ht="15" hidden="false" customHeight="false" outlineLevel="0" collapsed="false">
      <c r="A434" s="28" t="n">
        <v>2020</v>
      </c>
      <c r="B434" s="28" t="s">
        <v>113</v>
      </c>
      <c r="C434" s="28" t="s">
        <v>55</v>
      </c>
      <c r="D434" s="28" t="n">
        <v>50</v>
      </c>
      <c r="E434" s="29" t="n">
        <v>18482400</v>
      </c>
      <c r="F434" s="30" t="n">
        <v>284.96</v>
      </c>
      <c r="G434" s="31" t="n">
        <f aca="false">IFERROR(F434/D434,0)</f>
        <v>5.6992</v>
      </c>
    </row>
    <row r="435" customFormat="false" ht="15" hidden="false" customHeight="false" outlineLevel="0" collapsed="false">
      <c r="A435" s="28" t="n">
        <v>2020</v>
      </c>
      <c r="B435" s="28" t="s">
        <v>113</v>
      </c>
      <c r="C435" s="28" t="s">
        <v>51</v>
      </c>
      <c r="D435" s="28" t="n">
        <v>3</v>
      </c>
      <c r="E435" s="29" t="n">
        <v>487600</v>
      </c>
      <c r="F435" s="30" t="n">
        <v>22.5</v>
      </c>
      <c r="G435" s="31" t="n">
        <f aca="false">IFERROR(F435/D435,0)</f>
        <v>7.5</v>
      </c>
    </row>
    <row r="436" customFormat="false" ht="15" hidden="false" customHeight="false" outlineLevel="0" collapsed="false">
      <c r="A436" s="28" t="n">
        <v>2020</v>
      </c>
      <c r="B436" s="28" t="s">
        <v>113</v>
      </c>
      <c r="C436" s="28" t="s">
        <v>45</v>
      </c>
      <c r="D436" s="28" t="n">
        <v>23</v>
      </c>
      <c r="E436" s="29" t="n">
        <v>6185600</v>
      </c>
      <c r="F436" s="30" t="n">
        <v>143.4</v>
      </c>
      <c r="G436" s="31" t="n">
        <f aca="false">IFERROR(F436/D436,0)</f>
        <v>6.23478260869565</v>
      </c>
    </row>
    <row r="437" customFormat="false" ht="15" hidden="false" customHeight="false" outlineLevel="0" collapsed="false">
      <c r="A437" s="28" t="n">
        <v>2020</v>
      </c>
      <c r="B437" s="28" t="s">
        <v>113</v>
      </c>
      <c r="C437" s="28" t="s">
        <v>56</v>
      </c>
      <c r="D437" s="28" t="n">
        <v>2</v>
      </c>
      <c r="E437" s="29" t="n">
        <v>241400</v>
      </c>
      <c r="F437" s="30" t="n">
        <v>13.5</v>
      </c>
      <c r="G437" s="31" t="n">
        <f aca="false">IFERROR(F437/D437,0)</f>
        <v>6.75</v>
      </c>
    </row>
    <row r="438" customFormat="false" ht="15" hidden="false" customHeight="false" outlineLevel="0" collapsed="false">
      <c r="A438" s="28" t="n">
        <v>2020</v>
      </c>
      <c r="B438" s="28" t="s">
        <v>113</v>
      </c>
      <c r="C438" s="28" t="s">
        <v>54</v>
      </c>
      <c r="D438" s="28" t="n">
        <v>3</v>
      </c>
      <c r="E438" s="29" t="n">
        <v>5977000</v>
      </c>
      <c r="F438" s="30" t="n">
        <v>16</v>
      </c>
      <c r="G438" s="31" t="n">
        <f aca="false">IFERROR(F438/D438,0)</f>
        <v>5.33333333333333</v>
      </c>
    </row>
    <row r="439" customFormat="false" ht="15" hidden="false" customHeight="false" outlineLevel="0" collapsed="false">
      <c r="A439" s="28" t="n">
        <v>2020</v>
      </c>
      <c r="B439" s="28" t="s">
        <v>113</v>
      </c>
      <c r="C439" s="28" t="s">
        <v>44</v>
      </c>
      <c r="D439" s="28" t="n">
        <v>17</v>
      </c>
      <c r="E439" s="29" t="n">
        <v>8323600</v>
      </c>
      <c r="F439" s="30" t="n">
        <v>97.85</v>
      </c>
      <c r="G439" s="31" t="n">
        <f aca="false">IFERROR(F439/D439,0)</f>
        <v>5.75588235294118</v>
      </c>
    </row>
    <row r="440" customFormat="false" ht="15" hidden="false" customHeight="false" outlineLevel="0" collapsed="false">
      <c r="A440" s="28" t="n">
        <v>2020</v>
      </c>
      <c r="B440" s="28" t="s">
        <v>113</v>
      </c>
      <c r="C440" s="28" t="s">
        <v>57</v>
      </c>
      <c r="D440" s="28" t="n">
        <v>1</v>
      </c>
      <c r="E440" s="29" t="n">
        <v>4945300</v>
      </c>
      <c r="F440" s="30" t="n">
        <v>6</v>
      </c>
      <c r="G440" s="31" t="n">
        <f aca="false">IFERROR(F440/D440,0)</f>
        <v>6</v>
      </c>
    </row>
    <row r="441" customFormat="false" ht="15" hidden="false" customHeight="false" outlineLevel="0" collapsed="false">
      <c r="A441" s="28" t="n">
        <v>2020</v>
      </c>
      <c r="B441" s="28" t="s">
        <v>113</v>
      </c>
      <c r="C441" s="28" t="s">
        <v>47</v>
      </c>
      <c r="D441" s="28" t="n">
        <v>12</v>
      </c>
      <c r="E441" s="29" t="n">
        <v>9441900</v>
      </c>
      <c r="F441" s="30" t="n">
        <v>72.04</v>
      </c>
      <c r="G441" s="31" t="n">
        <f aca="false">IFERROR(F441/D441,0)</f>
        <v>6.00333333333333</v>
      </c>
    </row>
    <row r="442" customFormat="false" ht="15" hidden="false" customHeight="false" outlineLevel="0" collapsed="false">
      <c r="A442" s="28" t="n">
        <v>2020</v>
      </c>
      <c r="B442" s="28" t="s">
        <v>113</v>
      </c>
      <c r="C442" s="28" t="s">
        <v>58</v>
      </c>
      <c r="D442" s="28" t="n">
        <v>1</v>
      </c>
      <c r="E442" s="29" t="n">
        <v>52500</v>
      </c>
      <c r="F442" s="30" t="n">
        <v>6.19</v>
      </c>
      <c r="G442" s="31" t="n">
        <f aca="false">IFERROR(F442/D442,0)</f>
        <v>6.19</v>
      </c>
    </row>
    <row r="443" customFormat="false" ht="15" hidden="false" customHeight="false" outlineLevel="0" collapsed="false">
      <c r="A443" s="28" t="n">
        <v>2020</v>
      </c>
      <c r="B443" s="28" t="s">
        <v>113</v>
      </c>
      <c r="C443" s="28" t="s">
        <v>46</v>
      </c>
      <c r="D443" s="28" t="n">
        <v>10</v>
      </c>
      <c r="E443" s="29" t="n">
        <v>1597800</v>
      </c>
      <c r="F443" s="30" t="n">
        <v>70.04</v>
      </c>
      <c r="G443" s="31" t="n">
        <f aca="false">IFERROR(F443/D443,0)</f>
        <v>7.004</v>
      </c>
    </row>
    <row r="444" customFormat="false" ht="15" hidden="false" customHeight="false" outlineLevel="0" collapsed="false">
      <c r="A444" s="28" t="n">
        <v>2020</v>
      </c>
      <c r="B444" s="28" t="s">
        <v>113</v>
      </c>
      <c r="C444" s="28" t="s">
        <v>48</v>
      </c>
      <c r="D444" s="28" t="n">
        <v>16</v>
      </c>
      <c r="E444" s="29" t="n">
        <v>2758600</v>
      </c>
      <c r="F444" s="30" t="n">
        <v>100.62</v>
      </c>
      <c r="G444" s="31" t="n">
        <f aca="false">IFERROR(F444/D444,0)</f>
        <v>6.28875</v>
      </c>
    </row>
    <row r="445" customFormat="false" ht="15" hidden="false" customHeight="false" outlineLevel="0" collapsed="false">
      <c r="A445" s="28" t="n">
        <v>2020</v>
      </c>
      <c r="B445" s="28" t="s">
        <v>113</v>
      </c>
      <c r="C445" s="28" t="s">
        <v>53</v>
      </c>
      <c r="D445" s="28" t="n">
        <v>5</v>
      </c>
      <c r="E445" s="29" t="n">
        <v>5219200</v>
      </c>
      <c r="F445" s="30" t="n">
        <v>24.03</v>
      </c>
      <c r="G445" s="31" t="n">
        <f aca="false">IFERROR(F445/D445,0)</f>
        <v>4.806</v>
      </c>
    </row>
    <row r="446" customFormat="false" ht="15" hidden="false" customHeight="false" outlineLevel="0" collapsed="false">
      <c r="A446" s="28" t="n">
        <v>2020</v>
      </c>
      <c r="B446" s="28" t="s">
        <v>113</v>
      </c>
      <c r="C446" s="28" t="s">
        <v>43</v>
      </c>
      <c r="D446" s="28" t="n">
        <v>31</v>
      </c>
      <c r="E446" s="29" t="n">
        <v>23744600</v>
      </c>
      <c r="F446" s="30" t="n">
        <v>185.14</v>
      </c>
      <c r="G446" s="31" t="n">
        <f aca="false">IFERROR(F446/D446,0)</f>
        <v>5.97225806451613</v>
      </c>
    </row>
    <row r="447" customFormat="false" ht="15" hidden="false" customHeight="false" outlineLevel="0" collapsed="false">
      <c r="A447" s="28" t="n">
        <v>2020</v>
      </c>
      <c r="B447" s="28" t="s">
        <v>113</v>
      </c>
      <c r="C447" s="28" t="s">
        <v>52</v>
      </c>
      <c r="D447" s="28" t="n">
        <v>19</v>
      </c>
      <c r="E447" s="29" t="n">
        <v>2889100</v>
      </c>
      <c r="F447" s="30" t="n">
        <v>119.6</v>
      </c>
      <c r="G447" s="31" t="n">
        <f aca="false">IFERROR(F447/D447,0)</f>
        <v>6.29473684210526</v>
      </c>
    </row>
    <row r="448" customFormat="false" ht="15" hidden="false" customHeight="false" outlineLevel="0" collapsed="false">
      <c r="A448" s="28" t="n">
        <v>2020</v>
      </c>
      <c r="B448" s="28" t="s">
        <v>113</v>
      </c>
      <c r="C448" s="28" t="s">
        <v>49</v>
      </c>
      <c r="D448" s="28" t="n">
        <v>11</v>
      </c>
      <c r="E448" s="29" t="n">
        <v>7879800</v>
      </c>
      <c r="F448" s="30" t="n">
        <v>62.06</v>
      </c>
      <c r="G448" s="31" t="n">
        <f aca="false">IFERROR(F448/D448,0)</f>
        <v>5.64181818181818</v>
      </c>
    </row>
    <row r="449" customFormat="false" ht="15" hidden="false" customHeight="false" outlineLevel="0" collapsed="false">
      <c r="A449" s="28" t="n">
        <v>2020</v>
      </c>
      <c r="B449" s="28" t="s">
        <v>115</v>
      </c>
      <c r="C449" s="28" t="s">
        <v>42</v>
      </c>
      <c r="D449" s="28" t="n">
        <v>20</v>
      </c>
      <c r="E449" s="29" t="n">
        <v>13818800</v>
      </c>
      <c r="F449" s="30" t="n">
        <v>115.2</v>
      </c>
      <c r="G449" s="31" t="n">
        <f aca="false">IFERROR(F449/D449,0)</f>
        <v>5.76</v>
      </c>
    </row>
    <row r="450" customFormat="false" ht="15" hidden="false" customHeight="false" outlineLevel="0" collapsed="false">
      <c r="A450" s="28" t="n">
        <v>2020</v>
      </c>
      <c r="B450" s="28" t="s">
        <v>115</v>
      </c>
      <c r="C450" s="28" t="s">
        <v>50</v>
      </c>
      <c r="D450" s="28" t="n">
        <v>6</v>
      </c>
      <c r="E450" s="29" t="n">
        <v>3357000</v>
      </c>
      <c r="F450" s="30" t="n">
        <v>34.7</v>
      </c>
      <c r="G450" s="31" t="n">
        <f aca="false">IFERROR(F450/D450,0)</f>
        <v>5.78333333333333</v>
      </c>
    </row>
    <row r="451" customFormat="false" ht="15" hidden="false" customHeight="false" outlineLevel="0" collapsed="false">
      <c r="A451" s="28" t="n">
        <v>2020</v>
      </c>
      <c r="B451" s="28" t="s">
        <v>115</v>
      </c>
      <c r="C451" s="28" t="s">
        <v>55</v>
      </c>
      <c r="D451" s="28" t="n">
        <v>6</v>
      </c>
      <c r="E451" s="29" t="n">
        <v>393500</v>
      </c>
      <c r="F451" s="30" t="n">
        <v>44.5</v>
      </c>
      <c r="G451" s="31" t="n">
        <f aca="false">IFERROR(F451/D451,0)</f>
        <v>7.41666666666667</v>
      </c>
    </row>
    <row r="452" customFormat="false" ht="15" hidden="false" customHeight="false" outlineLevel="0" collapsed="false">
      <c r="A452" s="28" t="n">
        <v>2020</v>
      </c>
      <c r="B452" s="28" t="s">
        <v>115</v>
      </c>
      <c r="C452" s="28" t="s">
        <v>51</v>
      </c>
      <c r="D452" s="28" t="n">
        <v>2</v>
      </c>
      <c r="E452" s="29" t="n">
        <v>2296500</v>
      </c>
      <c r="F452" s="30" t="n">
        <v>11.85</v>
      </c>
      <c r="G452" s="31" t="n">
        <f aca="false">IFERROR(F452/D452,0)</f>
        <v>5.925</v>
      </c>
    </row>
    <row r="453" customFormat="false" ht="15" hidden="false" customHeight="false" outlineLevel="0" collapsed="false">
      <c r="A453" s="28" t="n">
        <v>2020</v>
      </c>
      <c r="B453" s="28" t="s">
        <v>115</v>
      </c>
      <c r="C453" s="28" t="s">
        <v>45</v>
      </c>
      <c r="D453" s="28" t="n">
        <v>28</v>
      </c>
      <c r="E453" s="29" t="n">
        <v>5305300</v>
      </c>
      <c r="F453" s="30" t="n">
        <v>188.68</v>
      </c>
      <c r="G453" s="31" t="n">
        <f aca="false">IFERROR(F453/D453,0)</f>
        <v>6.73857142857143</v>
      </c>
    </row>
    <row r="454" customFormat="false" ht="15" hidden="false" customHeight="false" outlineLevel="0" collapsed="false">
      <c r="A454" s="28" t="n">
        <v>2020</v>
      </c>
      <c r="B454" s="28" t="s">
        <v>115</v>
      </c>
      <c r="C454" s="28" t="s">
        <v>56</v>
      </c>
      <c r="D454" s="28" t="n">
        <v>2</v>
      </c>
      <c r="E454" s="29" t="n">
        <v>771900</v>
      </c>
      <c r="F454" s="30" t="n">
        <v>13.95</v>
      </c>
      <c r="G454" s="31" t="n">
        <f aca="false">IFERROR(F454/D454,0)</f>
        <v>6.975</v>
      </c>
    </row>
    <row r="455" customFormat="false" ht="15" hidden="false" customHeight="false" outlineLevel="0" collapsed="false">
      <c r="A455" s="28" t="n">
        <v>2020</v>
      </c>
      <c r="B455" s="28" t="s">
        <v>115</v>
      </c>
      <c r="C455" s="28" t="s">
        <v>54</v>
      </c>
      <c r="D455" s="28" t="n">
        <v>5</v>
      </c>
      <c r="E455" s="29" t="n">
        <v>4040000</v>
      </c>
      <c r="F455" s="30" t="n">
        <v>32.54</v>
      </c>
      <c r="G455" s="31" t="n">
        <f aca="false">IFERROR(F455/D455,0)</f>
        <v>6.508</v>
      </c>
    </row>
    <row r="456" customFormat="false" ht="15" hidden="false" customHeight="false" outlineLevel="0" collapsed="false">
      <c r="A456" s="28" t="n">
        <v>2020</v>
      </c>
      <c r="B456" s="28" t="s">
        <v>115</v>
      </c>
      <c r="C456" s="28" t="s">
        <v>44</v>
      </c>
      <c r="D456" s="28" t="n">
        <v>16</v>
      </c>
      <c r="E456" s="29" t="n">
        <v>6540500</v>
      </c>
      <c r="F456" s="30" t="n">
        <v>99.84</v>
      </c>
      <c r="G456" s="31" t="n">
        <f aca="false">IFERROR(F456/D456,0)</f>
        <v>6.24</v>
      </c>
    </row>
    <row r="457" customFormat="false" ht="15" hidden="false" customHeight="false" outlineLevel="0" collapsed="false">
      <c r="A457" s="28" t="n">
        <v>2020</v>
      </c>
      <c r="B457" s="28" t="s">
        <v>115</v>
      </c>
      <c r="C457" s="28" t="s">
        <v>47</v>
      </c>
      <c r="D457" s="28" t="n">
        <v>8</v>
      </c>
      <c r="E457" s="29" t="n">
        <v>2699100</v>
      </c>
      <c r="F457" s="30" t="n">
        <v>53.93</v>
      </c>
      <c r="G457" s="31" t="n">
        <f aca="false">IFERROR(F457/D457,0)</f>
        <v>6.74125</v>
      </c>
    </row>
    <row r="458" customFormat="false" ht="15" hidden="false" customHeight="false" outlineLevel="0" collapsed="false">
      <c r="A458" s="28" t="n">
        <v>2020</v>
      </c>
      <c r="B458" s="28" t="s">
        <v>115</v>
      </c>
      <c r="C458" s="28" t="s">
        <v>58</v>
      </c>
      <c r="D458" s="28" t="n">
        <v>2</v>
      </c>
      <c r="E458" s="29" t="n">
        <v>541000</v>
      </c>
      <c r="F458" s="30" t="n">
        <v>10.75</v>
      </c>
      <c r="G458" s="31" t="n">
        <f aca="false">IFERROR(F458/D458,0)</f>
        <v>5.375</v>
      </c>
    </row>
    <row r="459" customFormat="false" ht="15" hidden="false" customHeight="false" outlineLevel="0" collapsed="false">
      <c r="A459" s="28" t="n">
        <v>2020</v>
      </c>
      <c r="B459" s="28" t="s">
        <v>115</v>
      </c>
      <c r="C459" s="28" t="s">
        <v>46</v>
      </c>
      <c r="D459" s="28" t="n">
        <v>18</v>
      </c>
      <c r="E459" s="29" t="n">
        <v>16732200</v>
      </c>
      <c r="F459" s="30" t="n">
        <v>111.49</v>
      </c>
      <c r="G459" s="31" t="n">
        <f aca="false">IFERROR(F459/D459,0)</f>
        <v>6.19388888888889</v>
      </c>
    </row>
    <row r="460" customFormat="false" ht="15" hidden="false" customHeight="false" outlineLevel="0" collapsed="false">
      <c r="A460" s="28" t="n">
        <v>2020</v>
      </c>
      <c r="B460" s="28" t="s">
        <v>115</v>
      </c>
      <c r="C460" s="28" t="s">
        <v>48</v>
      </c>
      <c r="D460" s="28" t="n">
        <v>13</v>
      </c>
      <c r="E460" s="29" t="n">
        <v>4786800</v>
      </c>
      <c r="F460" s="30" t="n">
        <v>88.43</v>
      </c>
      <c r="G460" s="31" t="n">
        <f aca="false">IFERROR(F460/D460,0)</f>
        <v>6.80230769230769</v>
      </c>
    </row>
    <row r="461" customFormat="false" ht="15" hidden="false" customHeight="false" outlineLevel="0" collapsed="false">
      <c r="A461" s="28" t="n">
        <v>2020</v>
      </c>
      <c r="B461" s="28" t="s">
        <v>115</v>
      </c>
      <c r="C461" s="28" t="s">
        <v>53</v>
      </c>
      <c r="D461" s="28" t="n">
        <v>5</v>
      </c>
      <c r="E461" s="29" t="n">
        <v>1405700</v>
      </c>
      <c r="F461" s="30" t="n">
        <v>33.74</v>
      </c>
      <c r="G461" s="31" t="n">
        <f aca="false">IFERROR(F461/D461,0)</f>
        <v>6.748</v>
      </c>
    </row>
    <row r="462" customFormat="false" ht="15" hidden="false" customHeight="false" outlineLevel="0" collapsed="false">
      <c r="A462" s="28" t="n">
        <v>2020</v>
      </c>
      <c r="B462" s="28" t="s">
        <v>115</v>
      </c>
      <c r="C462" s="28" t="s">
        <v>43</v>
      </c>
      <c r="D462" s="28" t="n">
        <v>17</v>
      </c>
      <c r="E462" s="29" t="n">
        <v>4529600</v>
      </c>
      <c r="F462" s="30" t="n">
        <v>109.45</v>
      </c>
      <c r="G462" s="31" t="n">
        <f aca="false">IFERROR(F462/D462,0)</f>
        <v>6.43823529411765</v>
      </c>
    </row>
    <row r="463" customFormat="false" ht="15" hidden="false" customHeight="false" outlineLevel="0" collapsed="false">
      <c r="A463" s="28" t="n">
        <v>2020</v>
      </c>
      <c r="B463" s="28" t="s">
        <v>115</v>
      </c>
      <c r="C463" s="28" t="s">
        <v>52</v>
      </c>
      <c r="D463" s="28" t="n">
        <v>11</v>
      </c>
      <c r="E463" s="29" t="n">
        <v>2129900</v>
      </c>
      <c r="F463" s="30" t="n">
        <v>67.88</v>
      </c>
      <c r="G463" s="31" t="n">
        <f aca="false">IFERROR(F463/D463,0)</f>
        <v>6.17090909090909</v>
      </c>
    </row>
    <row r="464" customFormat="false" ht="15" hidden="false" customHeight="false" outlineLevel="0" collapsed="false">
      <c r="A464" s="28" t="n">
        <v>2020</v>
      </c>
      <c r="B464" s="28" t="s">
        <v>115</v>
      </c>
      <c r="C464" s="28" t="s">
        <v>49</v>
      </c>
      <c r="D464" s="28" t="n">
        <v>6</v>
      </c>
      <c r="E464" s="29" t="n">
        <v>4015600</v>
      </c>
      <c r="F464" s="30" t="n">
        <v>40.19</v>
      </c>
      <c r="G464" s="31" t="n">
        <f aca="false">IFERROR(F464/D464,0)</f>
        <v>6.69833333333333</v>
      </c>
    </row>
    <row r="465" customFormat="false" ht="15" hidden="false" customHeight="false" outlineLevel="0" collapsed="false">
      <c r="A465" s="28" t="n">
        <v>2020</v>
      </c>
      <c r="B465" s="28" t="s">
        <v>90</v>
      </c>
      <c r="C465" s="28" t="s">
        <v>42</v>
      </c>
      <c r="D465" s="28" t="n">
        <v>129</v>
      </c>
      <c r="E465" s="29" t="n">
        <v>121474000</v>
      </c>
      <c r="F465" s="30" t="n">
        <v>843.69</v>
      </c>
      <c r="G465" s="31" t="n">
        <f aca="false">IFERROR(F465/D465,0)</f>
        <v>6.54023255813954</v>
      </c>
    </row>
    <row r="466" customFormat="false" ht="15" hidden="false" customHeight="false" outlineLevel="0" collapsed="false">
      <c r="A466" s="28" t="n">
        <v>2020</v>
      </c>
      <c r="B466" s="28" t="s">
        <v>90</v>
      </c>
      <c r="C466" s="28" t="s">
        <v>50</v>
      </c>
      <c r="D466" s="28" t="n">
        <v>48</v>
      </c>
      <c r="E466" s="29" t="n">
        <v>30609400</v>
      </c>
      <c r="F466" s="30" t="n">
        <v>311.45</v>
      </c>
      <c r="G466" s="31" t="n">
        <f aca="false">IFERROR(F466/D466,0)</f>
        <v>6.48854166666667</v>
      </c>
    </row>
    <row r="467" customFormat="false" ht="15" hidden="false" customHeight="false" outlineLevel="0" collapsed="false">
      <c r="A467" s="28" t="n">
        <v>2020</v>
      </c>
      <c r="B467" s="28" t="s">
        <v>90</v>
      </c>
      <c r="C467" s="28" t="s">
        <v>55</v>
      </c>
      <c r="D467" s="28" t="n">
        <v>16</v>
      </c>
      <c r="E467" s="29" t="n">
        <v>8501000</v>
      </c>
      <c r="F467" s="30" t="n">
        <v>106.65</v>
      </c>
      <c r="G467" s="31" t="n">
        <f aca="false">IFERROR(F467/D467,0)</f>
        <v>6.665625</v>
      </c>
    </row>
    <row r="468" customFormat="false" ht="15" hidden="false" customHeight="false" outlineLevel="0" collapsed="false">
      <c r="A468" s="28" t="n">
        <v>2020</v>
      </c>
      <c r="B468" s="28" t="s">
        <v>90</v>
      </c>
      <c r="C468" s="28" t="s">
        <v>51</v>
      </c>
      <c r="D468" s="28" t="n">
        <v>44</v>
      </c>
      <c r="E468" s="29" t="n">
        <v>19287200</v>
      </c>
      <c r="F468" s="30" t="n">
        <v>303.6</v>
      </c>
      <c r="G468" s="31" t="n">
        <f aca="false">IFERROR(F468/D468,0)</f>
        <v>6.9</v>
      </c>
    </row>
    <row r="469" customFormat="false" ht="15" hidden="false" customHeight="false" outlineLevel="0" collapsed="false">
      <c r="A469" s="28" t="n">
        <v>2020</v>
      </c>
      <c r="B469" s="28" t="s">
        <v>90</v>
      </c>
      <c r="C469" s="28" t="s">
        <v>45</v>
      </c>
      <c r="D469" s="28" t="n">
        <v>80</v>
      </c>
      <c r="E469" s="29" t="n">
        <v>50447700</v>
      </c>
      <c r="F469" s="30" t="n">
        <v>543.5</v>
      </c>
      <c r="G469" s="31" t="n">
        <f aca="false">IFERROR(F469/D469,0)</f>
        <v>6.79375</v>
      </c>
    </row>
    <row r="470" customFormat="false" ht="15" hidden="false" customHeight="false" outlineLevel="0" collapsed="false">
      <c r="A470" s="28" t="n">
        <v>2020</v>
      </c>
      <c r="B470" s="28" t="s">
        <v>90</v>
      </c>
      <c r="C470" s="28" t="s">
        <v>56</v>
      </c>
      <c r="D470" s="28" t="n">
        <v>6</v>
      </c>
      <c r="E470" s="29" t="n">
        <v>5016000</v>
      </c>
      <c r="F470" s="30" t="n">
        <v>40.25</v>
      </c>
      <c r="G470" s="31" t="n">
        <f aca="false">IFERROR(F470/D470,0)</f>
        <v>6.70833333333333</v>
      </c>
    </row>
    <row r="471" customFormat="false" ht="15" hidden="false" customHeight="false" outlineLevel="0" collapsed="false">
      <c r="A471" s="28" t="n">
        <v>2020</v>
      </c>
      <c r="B471" s="28" t="s">
        <v>90</v>
      </c>
      <c r="C471" s="28" t="s">
        <v>54</v>
      </c>
      <c r="D471" s="28" t="n">
        <v>22</v>
      </c>
      <c r="E471" s="29" t="n">
        <v>22039000</v>
      </c>
      <c r="F471" s="30" t="n">
        <v>134.33</v>
      </c>
      <c r="G471" s="31" t="n">
        <f aca="false">IFERROR(F471/D471,0)</f>
        <v>6.10590909090909</v>
      </c>
    </row>
    <row r="472" customFormat="false" ht="15" hidden="false" customHeight="false" outlineLevel="0" collapsed="false">
      <c r="A472" s="28" t="n">
        <v>2020</v>
      </c>
      <c r="B472" s="28" t="s">
        <v>90</v>
      </c>
      <c r="C472" s="28" t="s">
        <v>44</v>
      </c>
      <c r="D472" s="28" t="n">
        <v>68</v>
      </c>
      <c r="E472" s="29" t="n">
        <v>67938300</v>
      </c>
      <c r="F472" s="30" t="n">
        <v>408.15</v>
      </c>
      <c r="G472" s="31" t="n">
        <f aca="false">IFERROR(F472/D472,0)</f>
        <v>6.00220588235294</v>
      </c>
    </row>
    <row r="473" customFormat="false" ht="15" hidden="false" customHeight="false" outlineLevel="0" collapsed="false">
      <c r="A473" s="28" t="n">
        <v>2020</v>
      </c>
      <c r="B473" s="28" t="s">
        <v>90</v>
      </c>
      <c r="C473" s="28" t="s">
        <v>57</v>
      </c>
      <c r="D473" s="28" t="n">
        <v>11</v>
      </c>
      <c r="E473" s="29" t="n">
        <v>7216000</v>
      </c>
      <c r="F473" s="30" t="n">
        <v>75.68</v>
      </c>
      <c r="G473" s="31" t="n">
        <f aca="false">IFERROR(F473/D473,0)</f>
        <v>6.88</v>
      </c>
    </row>
    <row r="474" customFormat="false" ht="15" hidden="false" customHeight="false" outlineLevel="0" collapsed="false">
      <c r="A474" s="28" t="n">
        <v>2020</v>
      </c>
      <c r="B474" s="28" t="s">
        <v>90</v>
      </c>
      <c r="C474" s="28" t="s">
        <v>47</v>
      </c>
      <c r="D474" s="28" t="n">
        <v>75</v>
      </c>
      <c r="E474" s="29" t="n">
        <v>60042600</v>
      </c>
      <c r="F474" s="30" t="n">
        <v>481.92</v>
      </c>
      <c r="G474" s="31" t="n">
        <f aca="false">IFERROR(F474/D474,0)</f>
        <v>6.4256</v>
      </c>
    </row>
    <row r="475" customFormat="false" ht="15" hidden="false" customHeight="false" outlineLevel="0" collapsed="false">
      <c r="A475" s="28" t="n">
        <v>2020</v>
      </c>
      <c r="B475" s="28" t="s">
        <v>90</v>
      </c>
      <c r="C475" s="28" t="s">
        <v>58</v>
      </c>
      <c r="D475" s="28" t="n">
        <v>1</v>
      </c>
      <c r="E475" s="29" t="n">
        <v>1000000</v>
      </c>
      <c r="F475" s="30" t="n">
        <v>4</v>
      </c>
      <c r="G475" s="31" t="n">
        <f aca="false">IFERROR(F475/D475,0)</f>
        <v>4</v>
      </c>
    </row>
    <row r="476" customFormat="false" ht="15" hidden="false" customHeight="false" outlineLevel="0" collapsed="false">
      <c r="A476" s="28" t="n">
        <v>2020</v>
      </c>
      <c r="B476" s="28" t="s">
        <v>90</v>
      </c>
      <c r="C476" s="28" t="s">
        <v>46</v>
      </c>
      <c r="D476" s="28" t="n">
        <v>91</v>
      </c>
      <c r="E476" s="29" t="n">
        <v>68220400</v>
      </c>
      <c r="F476" s="30" t="n">
        <v>584.43</v>
      </c>
      <c r="G476" s="31" t="n">
        <f aca="false">IFERROR(F476/D476,0)</f>
        <v>6.42230769230769</v>
      </c>
    </row>
    <row r="477" customFormat="false" ht="15" hidden="false" customHeight="false" outlineLevel="0" collapsed="false">
      <c r="A477" s="28" t="n">
        <v>2020</v>
      </c>
      <c r="B477" s="28" t="s">
        <v>90</v>
      </c>
      <c r="C477" s="28" t="s">
        <v>48</v>
      </c>
      <c r="D477" s="28" t="n">
        <v>58</v>
      </c>
      <c r="E477" s="29" t="n">
        <v>46673800</v>
      </c>
      <c r="F477" s="30" t="n">
        <v>386.07</v>
      </c>
      <c r="G477" s="31" t="n">
        <f aca="false">IFERROR(F477/D477,0)</f>
        <v>6.65637931034483</v>
      </c>
    </row>
    <row r="478" customFormat="false" ht="15" hidden="false" customHeight="false" outlineLevel="0" collapsed="false">
      <c r="A478" s="28" t="n">
        <v>2020</v>
      </c>
      <c r="B478" s="28" t="s">
        <v>90</v>
      </c>
      <c r="C478" s="28" t="s">
        <v>53</v>
      </c>
      <c r="D478" s="28" t="n">
        <v>32</v>
      </c>
      <c r="E478" s="29" t="n">
        <v>43240200</v>
      </c>
      <c r="F478" s="30" t="n">
        <v>181.25</v>
      </c>
      <c r="G478" s="31" t="n">
        <f aca="false">IFERROR(F478/D478,0)</f>
        <v>5.6640625</v>
      </c>
    </row>
    <row r="479" customFormat="false" ht="15" hidden="false" customHeight="false" outlineLevel="0" collapsed="false">
      <c r="A479" s="28" t="n">
        <v>2020</v>
      </c>
      <c r="B479" s="28" t="s">
        <v>90</v>
      </c>
      <c r="C479" s="28" t="s">
        <v>43</v>
      </c>
      <c r="D479" s="28" t="n">
        <v>98</v>
      </c>
      <c r="E479" s="29" t="n">
        <v>67078900</v>
      </c>
      <c r="F479" s="30" t="n">
        <v>628.33</v>
      </c>
      <c r="G479" s="31" t="n">
        <f aca="false">IFERROR(F479/D479,0)</f>
        <v>6.4115306122449</v>
      </c>
    </row>
    <row r="480" customFormat="false" ht="15" hidden="false" customHeight="false" outlineLevel="0" collapsed="false">
      <c r="A480" s="28" t="n">
        <v>2020</v>
      </c>
      <c r="B480" s="28" t="s">
        <v>90</v>
      </c>
      <c r="C480" s="28" t="s">
        <v>52</v>
      </c>
      <c r="D480" s="28" t="n">
        <v>29</v>
      </c>
      <c r="E480" s="29" t="n">
        <v>13989500</v>
      </c>
      <c r="F480" s="30" t="n">
        <v>207.23</v>
      </c>
      <c r="G480" s="31" t="n">
        <f aca="false">IFERROR(F480/D480,0)</f>
        <v>7.14586206896552</v>
      </c>
    </row>
    <row r="481" customFormat="false" ht="15" hidden="false" customHeight="false" outlineLevel="0" collapsed="false">
      <c r="A481" s="28" t="n">
        <v>2020</v>
      </c>
      <c r="B481" s="28" t="s">
        <v>90</v>
      </c>
      <c r="C481" s="28" t="s">
        <v>60</v>
      </c>
      <c r="D481" s="28" t="n">
        <v>3</v>
      </c>
      <c r="E481" s="29" t="n">
        <v>2898000</v>
      </c>
      <c r="F481" s="30" t="n">
        <v>23.75</v>
      </c>
      <c r="G481" s="31" t="n">
        <f aca="false">IFERROR(F481/D481,0)</f>
        <v>7.91666666666667</v>
      </c>
    </row>
    <row r="482" customFormat="false" ht="15" hidden="false" customHeight="false" outlineLevel="0" collapsed="false">
      <c r="A482" s="28" t="n">
        <v>2020</v>
      </c>
      <c r="B482" s="28" t="s">
        <v>90</v>
      </c>
      <c r="C482" s="28" t="s">
        <v>49</v>
      </c>
      <c r="D482" s="28" t="n">
        <v>34</v>
      </c>
      <c r="E482" s="29" t="n">
        <v>30632800</v>
      </c>
      <c r="F482" s="30" t="n">
        <v>220.48</v>
      </c>
      <c r="G482" s="31" t="n">
        <f aca="false">IFERROR(F482/D482,0)</f>
        <v>6.48470588235294</v>
      </c>
    </row>
    <row r="483" customFormat="false" ht="15" hidden="false" customHeight="false" outlineLevel="0" collapsed="false">
      <c r="A483" s="28" t="n">
        <v>2020</v>
      </c>
      <c r="B483" s="28" t="s">
        <v>116</v>
      </c>
      <c r="C483" s="28" t="s">
        <v>42</v>
      </c>
      <c r="D483" s="28" t="n">
        <v>10</v>
      </c>
      <c r="E483" s="29" t="n">
        <v>6429300</v>
      </c>
      <c r="F483" s="30" t="n">
        <v>61.04</v>
      </c>
      <c r="G483" s="31" t="n">
        <f aca="false">IFERROR(F483/D483,0)</f>
        <v>6.104</v>
      </c>
    </row>
    <row r="484" customFormat="false" ht="15" hidden="false" customHeight="false" outlineLevel="0" collapsed="false">
      <c r="A484" s="28" t="n">
        <v>2020</v>
      </c>
      <c r="B484" s="28" t="s">
        <v>116</v>
      </c>
      <c r="C484" s="28" t="s">
        <v>50</v>
      </c>
      <c r="D484" s="28" t="n">
        <v>6</v>
      </c>
      <c r="E484" s="29" t="n">
        <v>603000</v>
      </c>
      <c r="F484" s="30" t="n">
        <v>32.4</v>
      </c>
      <c r="G484" s="31" t="n">
        <f aca="false">IFERROR(F484/D484,0)</f>
        <v>5.4</v>
      </c>
    </row>
    <row r="485" customFormat="false" ht="15" hidden="false" customHeight="false" outlineLevel="0" collapsed="false">
      <c r="A485" s="28" t="n">
        <v>2020</v>
      </c>
      <c r="B485" s="28" t="s">
        <v>116</v>
      </c>
      <c r="C485" s="28" t="s">
        <v>55</v>
      </c>
      <c r="D485" s="28" t="n">
        <v>8</v>
      </c>
      <c r="E485" s="29" t="n">
        <v>1857500</v>
      </c>
      <c r="F485" s="30" t="n">
        <v>42.97</v>
      </c>
      <c r="G485" s="31" t="n">
        <f aca="false">IFERROR(F485/D485,0)</f>
        <v>5.37125</v>
      </c>
    </row>
    <row r="486" customFormat="false" ht="15" hidden="false" customHeight="false" outlineLevel="0" collapsed="false">
      <c r="A486" s="28" t="n">
        <v>2020</v>
      </c>
      <c r="B486" s="28" t="s">
        <v>116</v>
      </c>
      <c r="C486" s="28" t="s">
        <v>51</v>
      </c>
      <c r="D486" s="28" t="n">
        <v>4</v>
      </c>
      <c r="E486" s="29" t="n">
        <v>1106900</v>
      </c>
      <c r="F486" s="30" t="n">
        <v>19.75</v>
      </c>
      <c r="G486" s="31" t="n">
        <f aca="false">IFERROR(F486/D486,0)</f>
        <v>4.9375</v>
      </c>
    </row>
    <row r="487" customFormat="false" ht="15" hidden="false" customHeight="false" outlineLevel="0" collapsed="false">
      <c r="A487" s="28" t="n">
        <v>2020</v>
      </c>
      <c r="B487" s="28" t="s">
        <v>116</v>
      </c>
      <c r="C487" s="28" t="s">
        <v>45</v>
      </c>
      <c r="D487" s="28" t="n">
        <v>23</v>
      </c>
      <c r="E487" s="29" t="n">
        <v>5621400</v>
      </c>
      <c r="F487" s="30" t="n">
        <v>131.67</v>
      </c>
      <c r="G487" s="31" t="n">
        <f aca="false">IFERROR(F487/D487,0)</f>
        <v>5.72478260869565</v>
      </c>
    </row>
    <row r="488" customFormat="false" ht="15" hidden="false" customHeight="false" outlineLevel="0" collapsed="false">
      <c r="A488" s="28" t="n">
        <v>2020</v>
      </c>
      <c r="B488" s="28" t="s">
        <v>116</v>
      </c>
      <c r="C488" s="28" t="s">
        <v>54</v>
      </c>
      <c r="D488" s="28" t="n">
        <v>2</v>
      </c>
      <c r="E488" s="29" t="n">
        <v>683700</v>
      </c>
      <c r="F488" s="30" t="n">
        <v>11.75</v>
      </c>
      <c r="G488" s="31" t="n">
        <f aca="false">IFERROR(F488/D488,0)</f>
        <v>5.875</v>
      </c>
    </row>
    <row r="489" customFormat="false" ht="15" hidden="false" customHeight="false" outlineLevel="0" collapsed="false">
      <c r="A489" s="28" t="n">
        <v>2020</v>
      </c>
      <c r="B489" s="28" t="s">
        <v>116</v>
      </c>
      <c r="C489" s="28" t="s">
        <v>44</v>
      </c>
      <c r="D489" s="28" t="n">
        <v>7</v>
      </c>
      <c r="E489" s="29" t="n">
        <v>519500</v>
      </c>
      <c r="F489" s="30" t="n">
        <v>39.75</v>
      </c>
      <c r="G489" s="31" t="n">
        <f aca="false">IFERROR(F489/D489,0)</f>
        <v>5.67857142857143</v>
      </c>
    </row>
    <row r="490" customFormat="false" ht="15" hidden="false" customHeight="false" outlineLevel="0" collapsed="false">
      <c r="A490" s="28" t="n">
        <v>2020</v>
      </c>
      <c r="B490" s="28" t="s">
        <v>116</v>
      </c>
      <c r="C490" s="28" t="s">
        <v>47</v>
      </c>
      <c r="D490" s="28" t="n">
        <v>6</v>
      </c>
      <c r="E490" s="29" t="n">
        <v>677600</v>
      </c>
      <c r="F490" s="30" t="n">
        <v>33.5</v>
      </c>
      <c r="G490" s="31" t="n">
        <f aca="false">IFERROR(F490/D490,0)</f>
        <v>5.58333333333333</v>
      </c>
    </row>
    <row r="491" customFormat="false" ht="15" hidden="false" customHeight="false" outlineLevel="0" collapsed="false">
      <c r="A491" s="28" t="n">
        <v>2020</v>
      </c>
      <c r="B491" s="28" t="s">
        <v>116</v>
      </c>
      <c r="C491" s="28" t="s">
        <v>58</v>
      </c>
      <c r="D491" s="28" t="n">
        <v>6</v>
      </c>
      <c r="E491" s="29" t="n">
        <v>6665300</v>
      </c>
      <c r="F491" s="30" t="n">
        <v>29.146</v>
      </c>
      <c r="G491" s="31" t="n">
        <f aca="false">IFERROR(F491/D491,0)</f>
        <v>4.85766666666667</v>
      </c>
    </row>
    <row r="492" customFormat="false" ht="15" hidden="false" customHeight="false" outlineLevel="0" collapsed="false">
      <c r="A492" s="28" t="n">
        <v>2020</v>
      </c>
      <c r="B492" s="28" t="s">
        <v>116</v>
      </c>
      <c r="C492" s="28" t="s">
        <v>46</v>
      </c>
      <c r="D492" s="28" t="n">
        <v>11</v>
      </c>
      <c r="E492" s="29" t="n">
        <v>2152200</v>
      </c>
      <c r="F492" s="30" t="n">
        <v>60.8</v>
      </c>
      <c r="G492" s="31" t="n">
        <f aca="false">IFERROR(F492/D492,0)</f>
        <v>5.52727272727273</v>
      </c>
    </row>
    <row r="493" customFormat="false" ht="15" hidden="false" customHeight="false" outlineLevel="0" collapsed="false">
      <c r="A493" s="28" t="n">
        <v>2020</v>
      </c>
      <c r="B493" s="28" t="s">
        <v>116</v>
      </c>
      <c r="C493" s="28" t="s">
        <v>48</v>
      </c>
      <c r="D493" s="28" t="n">
        <v>14</v>
      </c>
      <c r="E493" s="29" t="n">
        <v>1483200</v>
      </c>
      <c r="F493" s="30" t="n">
        <v>89.25</v>
      </c>
      <c r="G493" s="31" t="n">
        <f aca="false">IFERROR(F493/D493,0)</f>
        <v>6.375</v>
      </c>
    </row>
    <row r="494" customFormat="false" ht="15" hidden="false" customHeight="false" outlineLevel="0" collapsed="false">
      <c r="A494" s="28" t="n">
        <v>2020</v>
      </c>
      <c r="B494" s="28" t="s">
        <v>116</v>
      </c>
      <c r="C494" s="28" t="s">
        <v>53</v>
      </c>
      <c r="D494" s="28" t="n">
        <v>4</v>
      </c>
      <c r="E494" s="29" t="n">
        <v>1718100</v>
      </c>
      <c r="F494" s="30" t="n">
        <v>18.34</v>
      </c>
      <c r="G494" s="31" t="n">
        <f aca="false">IFERROR(F494/D494,0)</f>
        <v>4.585</v>
      </c>
    </row>
    <row r="495" customFormat="false" ht="15" hidden="false" customHeight="false" outlineLevel="0" collapsed="false">
      <c r="A495" s="28" t="n">
        <v>2020</v>
      </c>
      <c r="B495" s="28" t="s">
        <v>116</v>
      </c>
      <c r="C495" s="28" t="s">
        <v>43</v>
      </c>
      <c r="D495" s="28" t="n">
        <v>12</v>
      </c>
      <c r="E495" s="29" t="n">
        <v>4077500</v>
      </c>
      <c r="F495" s="30" t="n">
        <v>67.55</v>
      </c>
      <c r="G495" s="31" t="n">
        <f aca="false">IFERROR(F495/D495,0)</f>
        <v>5.62916666666667</v>
      </c>
    </row>
    <row r="496" customFormat="false" ht="15" hidden="false" customHeight="false" outlineLevel="0" collapsed="false">
      <c r="A496" s="28" t="n">
        <v>2020</v>
      </c>
      <c r="B496" s="28" t="s">
        <v>116</v>
      </c>
      <c r="C496" s="28" t="s">
        <v>52</v>
      </c>
      <c r="D496" s="28" t="n">
        <v>13</v>
      </c>
      <c r="E496" s="29" t="n">
        <v>3450700</v>
      </c>
      <c r="F496" s="30" t="n">
        <v>78.345</v>
      </c>
      <c r="G496" s="31" t="n">
        <f aca="false">IFERROR(F496/D496,0)</f>
        <v>6.02653846153846</v>
      </c>
    </row>
    <row r="497" customFormat="false" ht="15" hidden="false" customHeight="false" outlineLevel="0" collapsed="false">
      <c r="A497" s="28" t="n">
        <v>2020</v>
      </c>
      <c r="B497" s="28" t="s">
        <v>116</v>
      </c>
      <c r="C497" s="28" t="s">
        <v>49</v>
      </c>
      <c r="D497" s="28" t="n">
        <v>3</v>
      </c>
      <c r="E497" s="29" t="n">
        <v>822500</v>
      </c>
      <c r="F497" s="30" t="n">
        <v>14.19</v>
      </c>
      <c r="G497" s="31" t="n">
        <f aca="false">IFERROR(F497/D497,0)</f>
        <v>4.73</v>
      </c>
    </row>
    <row r="498" customFormat="false" ht="15" hidden="false" customHeight="false" outlineLevel="0" collapsed="false">
      <c r="A498" s="28" t="n">
        <v>2020</v>
      </c>
      <c r="B498" s="28" t="s">
        <v>117</v>
      </c>
      <c r="C498" s="28" t="s">
        <v>42</v>
      </c>
      <c r="D498" s="28" t="n">
        <v>26</v>
      </c>
      <c r="E498" s="29" t="n">
        <v>11237100</v>
      </c>
      <c r="F498" s="30" t="n">
        <v>143.949</v>
      </c>
      <c r="G498" s="31" t="n">
        <f aca="false">IFERROR(F498/D498,0)</f>
        <v>5.5365</v>
      </c>
    </row>
    <row r="499" customFormat="false" ht="15" hidden="false" customHeight="false" outlineLevel="0" collapsed="false">
      <c r="A499" s="28" t="n">
        <v>2020</v>
      </c>
      <c r="B499" s="28" t="s">
        <v>117</v>
      </c>
      <c r="C499" s="28" t="s">
        <v>50</v>
      </c>
      <c r="D499" s="28" t="n">
        <v>18</v>
      </c>
      <c r="E499" s="29" t="n">
        <v>9358100</v>
      </c>
      <c r="F499" s="30" t="n">
        <v>99.99</v>
      </c>
      <c r="G499" s="31" t="n">
        <f aca="false">IFERROR(F499/D499,0)</f>
        <v>5.555</v>
      </c>
    </row>
    <row r="500" customFormat="false" ht="15" hidden="false" customHeight="false" outlineLevel="0" collapsed="false">
      <c r="A500" s="28" t="n">
        <v>2020</v>
      </c>
      <c r="B500" s="28" t="s">
        <v>117</v>
      </c>
      <c r="C500" s="28" t="s">
        <v>55</v>
      </c>
      <c r="D500" s="28" t="n">
        <v>8</v>
      </c>
      <c r="E500" s="29" t="n">
        <v>10296700</v>
      </c>
      <c r="F500" s="30" t="n">
        <v>47.05</v>
      </c>
      <c r="G500" s="31" t="n">
        <f aca="false">IFERROR(F500/D500,0)</f>
        <v>5.88125</v>
      </c>
    </row>
    <row r="501" customFormat="false" ht="15" hidden="false" customHeight="false" outlineLevel="0" collapsed="false">
      <c r="A501" s="28" t="n">
        <v>2020</v>
      </c>
      <c r="B501" s="28" t="s">
        <v>117</v>
      </c>
      <c r="C501" s="28" t="s">
        <v>51</v>
      </c>
      <c r="D501" s="28" t="n">
        <v>7</v>
      </c>
      <c r="E501" s="29" t="n">
        <v>3143300</v>
      </c>
      <c r="F501" s="30" t="n">
        <v>32.22</v>
      </c>
      <c r="G501" s="31" t="n">
        <f aca="false">IFERROR(F501/D501,0)</f>
        <v>4.60285714285714</v>
      </c>
    </row>
    <row r="502" customFormat="false" ht="15" hidden="false" customHeight="false" outlineLevel="0" collapsed="false">
      <c r="A502" s="28" t="n">
        <v>2020</v>
      </c>
      <c r="B502" s="28" t="s">
        <v>117</v>
      </c>
      <c r="C502" s="28" t="s">
        <v>45</v>
      </c>
      <c r="D502" s="28" t="n">
        <v>29</v>
      </c>
      <c r="E502" s="29" t="n">
        <v>10190300</v>
      </c>
      <c r="F502" s="30" t="n">
        <v>185.87</v>
      </c>
      <c r="G502" s="31" t="n">
        <f aca="false">IFERROR(F502/D502,0)</f>
        <v>6.40931034482759</v>
      </c>
    </row>
    <row r="503" customFormat="false" ht="15" hidden="false" customHeight="false" outlineLevel="0" collapsed="false">
      <c r="A503" s="28" t="n">
        <v>2020</v>
      </c>
      <c r="B503" s="28" t="s">
        <v>117</v>
      </c>
      <c r="C503" s="28" t="s">
        <v>56</v>
      </c>
      <c r="D503" s="28" t="n">
        <v>3</v>
      </c>
      <c r="E503" s="29" t="n">
        <v>3033100</v>
      </c>
      <c r="F503" s="30" t="n">
        <v>16.8</v>
      </c>
      <c r="G503" s="31" t="n">
        <f aca="false">IFERROR(F503/D503,0)</f>
        <v>5.6</v>
      </c>
    </row>
    <row r="504" customFormat="false" ht="15" hidden="false" customHeight="false" outlineLevel="0" collapsed="false">
      <c r="A504" s="28" t="n">
        <v>2020</v>
      </c>
      <c r="B504" s="28" t="s">
        <v>117</v>
      </c>
      <c r="C504" s="28" t="s">
        <v>54</v>
      </c>
      <c r="D504" s="28" t="n">
        <v>2</v>
      </c>
      <c r="E504" s="29" t="n">
        <v>256500</v>
      </c>
      <c r="F504" s="30" t="n">
        <v>12.25</v>
      </c>
      <c r="G504" s="31" t="n">
        <f aca="false">IFERROR(F504/D504,0)</f>
        <v>6.125</v>
      </c>
    </row>
    <row r="505" customFormat="false" ht="15" hidden="false" customHeight="false" outlineLevel="0" collapsed="false">
      <c r="A505" s="28" t="n">
        <v>2020</v>
      </c>
      <c r="B505" s="28" t="s">
        <v>117</v>
      </c>
      <c r="C505" s="28" t="s">
        <v>44</v>
      </c>
      <c r="D505" s="28" t="n">
        <v>20</v>
      </c>
      <c r="E505" s="29" t="n">
        <v>9208500</v>
      </c>
      <c r="F505" s="30" t="n">
        <v>113.4</v>
      </c>
      <c r="G505" s="31" t="n">
        <f aca="false">IFERROR(F505/D505,0)</f>
        <v>5.67</v>
      </c>
    </row>
    <row r="506" customFormat="false" ht="15" hidden="false" customHeight="false" outlineLevel="0" collapsed="false">
      <c r="A506" s="28" t="n">
        <v>2020</v>
      </c>
      <c r="B506" s="28" t="s">
        <v>117</v>
      </c>
      <c r="C506" s="28" t="s">
        <v>57</v>
      </c>
      <c r="D506" s="28" t="n">
        <v>2</v>
      </c>
      <c r="E506" s="29" t="n">
        <v>52300</v>
      </c>
      <c r="F506" s="30" t="n">
        <v>16.25</v>
      </c>
      <c r="G506" s="31" t="n">
        <f aca="false">IFERROR(F506/D506,0)</f>
        <v>8.125</v>
      </c>
    </row>
    <row r="507" customFormat="false" ht="15" hidden="false" customHeight="false" outlineLevel="0" collapsed="false">
      <c r="A507" s="28" t="n">
        <v>2020</v>
      </c>
      <c r="B507" s="28" t="s">
        <v>117</v>
      </c>
      <c r="C507" s="28" t="s">
        <v>47</v>
      </c>
      <c r="D507" s="28" t="n">
        <v>15</v>
      </c>
      <c r="E507" s="29" t="n">
        <v>8196200</v>
      </c>
      <c r="F507" s="30" t="n">
        <v>85.7</v>
      </c>
      <c r="G507" s="31" t="n">
        <f aca="false">IFERROR(F507/D507,0)</f>
        <v>5.71333333333333</v>
      </c>
    </row>
    <row r="508" customFormat="false" ht="15" hidden="false" customHeight="false" outlineLevel="0" collapsed="false">
      <c r="A508" s="28" t="n">
        <v>2020</v>
      </c>
      <c r="B508" s="28" t="s">
        <v>117</v>
      </c>
      <c r="C508" s="28" t="s">
        <v>46</v>
      </c>
      <c r="D508" s="28" t="n">
        <v>25</v>
      </c>
      <c r="E508" s="29" t="n">
        <v>7644500</v>
      </c>
      <c r="F508" s="30" t="n">
        <v>147.105</v>
      </c>
      <c r="G508" s="31" t="n">
        <f aca="false">IFERROR(F508/D508,0)</f>
        <v>5.8842</v>
      </c>
    </row>
    <row r="509" customFormat="false" ht="15" hidden="false" customHeight="false" outlineLevel="0" collapsed="false">
      <c r="A509" s="28" t="n">
        <v>2020</v>
      </c>
      <c r="B509" s="28" t="s">
        <v>117</v>
      </c>
      <c r="C509" s="28" t="s">
        <v>48</v>
      </c>
      <c r="D509" s="28" t="n">
        <v>18</v>
      </c>
      <c r="E509" s="29" t="n">
        <v>5567300</v>
      </c>
      <c r="F509" s="30" t="n">
        <v>114.23</v>
      </c>
      <c r="G509" s="31" t="n">
        <f aca="false">IFERROR(F509/D509,0)</f>
        <v>6.34611111111111</v>
      </c>
    </row>
    <row r="510" customFormat="false" ht="15" hidden="false" customHeight="false" outlineLevel="0" collapsed="false">
      <c r="A510" s="28" t="n">
        <v>2020</v>
      </c>
      <c r="B510" s="28" t="s">
        <v>117</v>
      </c>
      <c r="C510" s="28" t="s">
        <v>53</v>
      </c>
      <c r="D510" s="28" t="n">
        <v>6</v>
      </c>
      <c r="E510" s="29" t="n">
        <v>4685000</v>
      </c>
      <c r="F510" s="30" t="n">
        <v>29.98</v>
      </c>
      <c r="G510" s="31" t="n">
        <f aca="false">IFERROR(F510/D510,0)</f>
        <v>4.99666666666667</v>
      </c>
    </row>
    <row r="511" customFormat="false" ht="15" hidden="false" customHeight="false" outlineLevel="0" collapsed="false">
      <c r="A511" s="28" t="n">
        <v>2020</v>
      </c>
      <c r="B511" s="28" t="s">
        <v>117</v>
      </c>
      <c r="C511" s="28" t="s">
        <v>43</v>
      </c>
      <c r="D511" s="28" t="n">
        <v>24</v>
      </c>
      <c r="E511" s="29" t="n">
        <v>8835600</v>
      </c>
      <c r="F511" s="30" t="n">
        <v>143.01</v>
      </c>
      <c r="G511" s="31" t="n">
        <f aca="false">IFERROR(F511/D511,0)</f>
        <v>5.95875</v>
      </c>
    </row>
    <row r="512" customFormat="false" ht="15" hidden="false" customHeight="false" outlineLevel="0" collapsed="false">
      <c r="A512" s="28" t="n">
        <v>2020</v>
      </c>
      <c r="B512" s="28" t="s">
        <v>117</v>
      </c>
      <c r="C512" s="28" t="s">
        <v>52</v>
      </c>
      <c r="D512" s="28" t="n">
        <v>17</v>
      </c>
      <c r="E512" s="29" t="n">
        <v>5761400</v>
      </c>
      <c r="F512" s="30" t="n">
        <v>92.79</v>
      </c>
      <c r="G512" s="31" t="n">
        <f aca="false">IFERROR(F512/D512,0)</f>
        <v>5.45823529411765</v>
      </c>
    </row>
    <row r="513" customFormat="false" ht="15" hidden="false" customHeight="false" outlineLevel="0" collapsed="false">
      <c r="A513" s="28" t="n">
        <v>2020</v>
      </c>
      <c r="B513" s="28" t="s">
        <v>117</v>
      </c>
      <c r="C513" s="28" t="s">
        <v>49</v>
      </c>
      <c r="D513" s="28" t="n">
        <v>8</v>
      </c>
      <c r="E513" s="29" t="n">
        <v>2839000</v>
      </c>
      <c r="F513" s="30" t="n">
        <v>45.74</v>
      </c>
      <c r="G513" s="31" t="n">
        <f aca="false">IFERROR(F513/D513,0)</f>
        <v>5.7175</v>
      </c>
    </row>
    <row r="514" customFormat="false" ht="15" hidden="false" customHeight="false" outlineLevel="0" collapsed="false">
      <c r="A514" s="28" t="n">
        <v>2020</v>
      </c>
      <c r="B514" s="28" t="s">
        <v>118</v>
      </c>
      <c r="C514" s="28" t="s">
        <v>42</v>
      </c>
      <c r="D514" s="28" t="n">
        <v>40</v>
      </c>
      <c r="E514" s="29" t="n">
        <v>9361500</v>
      </c>
      <c r="F514" s="30" t="n">
        <v>261.73</v>
      </c>
      <c r="G514" s="31" t="n">
        <f aca="false">IFERROR(F514/D514,0)</f>
        <v>6.54325</v>
      </c>
    </row>
    <row r="515" customFormat="false" ht="15" hidden="false" customHeight="false" outlineLevel="0" collapsed="false">
      <c r="A515" s="28" t="n">
        <v>2020</v>
      </c>
      <c r="B515" s="28" t="s">
        <v>118</v>
      </c>
      <c r="C515" s="28" t="s">
        <v>50</v>
      </c>
      <c r="D515" s="28" t="n">
        <v>29</v>
      </c>
      <c r="E515" s="29" t="n">
        <v>2874500</v>
      </c>
      <c r="F515" s="30" t="n">
        <v>185.98</v>
      </c>
      <c r="G515" s="31" t="n">
        <f aca="false">IFERROR(F515/D515,0)</f>
        <v>6.41310344827586</v>
      </c>
    </row>
    <row r="516" customFormat="false" ht="15" hidden="false" customHeight="false" outlineLevel="0" collapsed="false">
      <c r="A516" s="28" t="n">
        <v>2020</v>
      </c>
      <c r="B516" s="28" t="s">
        <v>118</v>
      </c>
      <c r="C516" s="28" t="s">
        <v>55</v>
      </c>
      <c r="D516" s="28" t="n">
        <v>6</v>
      </c>
      <c r="E516" s="29" t="n">
        <v>737000</v>
      </c>
      <c r="F516" s="30" t="n">
        <v>31.79</v>
      </c>
      <c r="G516" s="31" t="n">
        <f aca="false">IFERROR(F516/D516,0)</f>
        <v>5.29833333333333</v>
      </c>
    </row>
    <row r="517" customFormat="false" ht="15" hidden="false" customHeight="false" outlineLevel="0" collapsed="false">
      <c r="A517" s="28" t="n">
        <v>2020</v>
      </c>
      <c r="B517" s="28" t="s">
        <v>118</v>
      </c>
      <c r="C517" s="28" t="s">
        <v>51</v>
      </c>
      <c r="D517" s="28" t="n">
        <v>2</v>
      </c>
      <c r="E517" s="29" t="n">
        <v>182500</v>
      </c>
      <c r="F517" s="30" t="n">
        <v>12.49</v>
      </c>
      <c r="G517" s="31" t="n">
        <f aca="false">IFERROR(F517/D517,0)</f>
        <v>6.245</v>
      </c>
    </row>
    <row r="518" customFormat="false" ht="15" hidden="false" customHeight="false" outlineLevel="0" collapsed="false">
      <c r="A518" s="28" t="n">
        <v>2020</v>
      </c>
      <c r="B518" s="28" t="s">
        <v>118</v>
      </c>
      <c r="C518" s="28" t="s">
        <v>45</v>
      </c>
      <c r="D518" s="28" t="n">
        <v>42</v>
      </c>
      <c r="E518" s="29" t="n">
        <v>5158500</v>
      </c>
      <c r="F518" s="30" t="n">
        <v>303.95</v>
      </c>
      <c r="G518" s="31" t="n">
        <f aca="false">IFERROR(F518/D518,0)</f>
        <v>7.23690476190476</v>
      </c>
    </row>
    <row r="519" customFormat="false" ht="15" hidden="false" customHeight="false" outlineLevel="0" collapsed="false">
      <c r="A519" s="28" t="n">
        <v>2020</v>
      </c>
      <c r="B519" s="28" t="s">
        <v>118</v>
      </c>
      <c r="C519" s="28" t="s">
        <v>56</v>
      </c>
      <c r="D519" s="28" t="n">
        <v>4</v>
      </c>
      <c r="E519" s="29" t="n">
        <v>1373700</v>
      </c>
      <c r="F519" s="30" t="n">
        <v>20.25</v>
      </c>
      <c r="G519" s="31" t="n">
        <f aca="false">IFERROR(F519/D519,0)</f>
        <v>5.0625</v>
      </c>
    </row>
    <row r="520" customFormat="false" ht="15" hidden="false" customHeight="false" outlineLevel="0" collapsed="false">
      <c r="A520" s="28" t="n">
        <v>2020</v>
      </c>
      <c r="B520" s="28" t="s">
        <v>118</v>
      </c>
      <c r="C520" s="28" t="s">
        <v>54</v>
      </c>
      <c r="D520" s="28" t="n">
        <v>7</v>
      </c>
      <c r="E520" s="29" t="n">
        <v>2078000</v>
      </c>
      <c r="F520" s="30" t="n">
        <v>41.24</v>
      </c>
      <c r="G520" s="31" t="n">
        <f aca="false">IFERROR(F520/D520,0)</f>
        <v>5.89142857142857</v>
      </c>
    </row>
    <row r="521" customFormat="false" ht="15" hidden="false" customHeight="false" outlineLevel="0" collapsed="false">
      <c r="A521" s="28" t="n">
        <v>2020</v>
      </c>
      <c r="B521" s="28" t="s">
        <v>118</v>
      </c>
      <c r="C521" s="28" t="s">
        <v>44</v>
      </c>
      <c r="D521" s="28" t="n">
        <v>21</v>
      </c>
      <c r="E521" s="29" t="n">
        <v>8157100</v>
      </c>
      <c r="F521" s="30" t="n">
        <v>117.945</v>
      </c>
      <c r="G521" s="31" t="n">
        <f aca="false">IFERROR(F521/D521,0)</f>
        <v>5.61642857142857</v>
      </c>
    </row>
    <row r="522" customFormat="false" ht="15" hidden="false" customHeight="false" outlineLevel="0" collapsed="false">
      <c r="A522" s="28" t="n">
        <v>2020</v>
      </c>
      <c r="B522" s="28" t="s">
        <v>118</v>
      </c>
      <c r="C522" s="28" t="s">
        <v>57</v>
      </c>
      <c r="D522" s="28" t="n">
        <v>1</v>
      </c>
      <c r="E522" s="29" t="n">
        <v>25000</v>
      </c>
      <c r="F522" s="30" t="n">
        <v>10.75</v>
      </c>
      <c r="G522" s="31" t="n">
        <f aca="false">IFERROR(F522/D522,0)</f>
        <v>10.75</v>
      </c>
    </row>
    <row r="523" customFormat="false" ht="15" hidden="false" customHeight="false" outlineLevel="0" collapsed="false">
      <c r="A523" s="28" t="n">
        <v>2020</v>
      </c>
      <c r="B523" s="28" t="s">
        <v>118</v>
      </c>
      <c r="C523" s="28" t="s">
        <v>47</v>
      </c>
      <c r="D523" s="28" t="n">
        <v>34</v>
      </c>
      <c r="E523" s="29" t="n">
        <v>16044500</v>
      </c>
      <c r="F523" s="30" t="n">
        <v>188.55</v>
      </c>
      <c r="G523" s="31" t="n">
        <f aca="false">IFERROR(F523/D523,0)</f>
        <v>5.54558823529412</v>
      </c>
    </row>
    <row r="524" customFormat="false" ht="15" hidden="false" customHeight="false" outlineLevel="0" collapsed="false">
      <c r="A524" s="28" t="n">
        <v>2020</v>
      </c>
      <c r="B524" s="28" t="s">
        <v>118</v>
      </c>
      <c r="C524" s="28" t="s">
        <v>58</v>
      </c>
      <c r="D524" s="28" t="n">
        <v>2</v>
      </c>
      <c r="E524" s="29" t="n">
        <v>149200</v>
      </c>
      <c r="F524" s="30" t="n">
        <v>10.75</v>
      </c>
      <c r="G524" s="31" t="n">
        <f aca="false">IFERROR(F524/D524,0)</f>
        <v>5.375</v>
      </c>
    </row>
    <row r="525" customFormat="false" ht="15" hidden="false" customHeight="false" outlineLevel="0" collapsed="false">
      <c r="A525" s="28" t="n">
        <v>2020</v>
      </c>
      <c r="B525" s="28" t="s">
        <v>118</v>
      </c>
      <c r="C525" s="28" t="s">
        <v>46</v>
      </c>
      <c r="D525" s="28" t="n">
        <v>29</v>
      </c>
      <c r="E525" s="29" t="n">
        <v>4633600</v>
      </c>
      <c r="F525" s="30" t="n">
        <v>186.62</v>
      </c>
      <c r="G525" s="31" t="n">
        <f aca="false">IFERROR(F525/D525,0)</f>
        <v>6.4351724137931</v>
      </c>
    </row>
    <row r="526" customFormat="false" ht="15" hidden="false" customHeight="false" outlineLevel="0" collapsed="false">
      <c r="A526" s="28" t="n">
        <v>2020</v>
      </c>
      <c r="B526" s="28" t="s">
        <v>118</v>
      </c>
      <c r="C526" s="28" t="s">
        <v>48</v>
      </c>
      <c r="D526" s="28" t="n">
        <v>31</v>
      </c>
      <c r="E526" s="29" t="n">
        <v>9292700</v>
      </c>
      <c r="F526" s="30" t="n">
        <v>168.67</v>
      </c>
      <c r="G526" s="31" t="n">
        <f aca="false">IFERROR(F526/D526,0)</f>
        <v>5.44096774193548</v>
      </c>
    </row>
    <row r="527" customFormat="false" ht="15" hidden="false" customHeight="false" outlineLevel="0" collapsed="false">
      <c r="A527" s="28" t="n">
        <v>2020</v>
      </c>
      <c r="B527" s="28" t="s">
        <v>118</v>
      </c>
      <c r="C527" s="28" t="s">
        <v>53</v>
      </c>
      <c r="D527" s="28" t="n">
        <v>8</v>
      </c>
      <c r="E527" s="29" t="n">
        <v>2176400</v>
      </c>
      <c r="F527" s="30" t="n">
        <v>47.35</v>
      </c>
      <c r="G527" s="31" t="n">
        <f aca="false">IFERROR(F527/D527,0)</f>
        <v>5.91875</v>
      </c>
    </row>
    <row r="528" customFormat="false" ht="15" hidden="false" customHeight="false" outlineLevel="0" collapsed="false">
      <c r="A528" s="28" t="n">
        <v>2020</v>
      </c>
      <c r="B528" s="28" t="s">
        <v>118</v>
      </c>
      <c r="C528" s="28" t="s">
        <v>43</v>
      </c>
      <c r="D528" s="28" t="n">
        <v>37</v>
      </c>
      <c r="E528" s="29" t="n">
        <v>5996700</v>
      </c>
      <c r="F528" s="30" t="n">
        <v>194.495</v>
      </c>
      <c r="G528" s="31" t="n">
        <f aca="false">IFERROR(F528/D528,0)</f>
        <v>5.25662162162162</v>
      </c>
    </row>
    <row r="529" customFormat="false" ht="15" hidden="false" customHeight="false" outlineLevel="0" collapsed="false">
      <c r="A529" s="28" t="n">
        <v>2020</v>
      </c>
      <c r="B529" s="28" t="s">
        <v>118</v>
      </c>
      <c r="C529" s="28" t="s">
        <v>52</v>
      </c>
      <c r="D529" s="28" t="n">
        <v>9</v>
      </c>
      <c r="E529" s="29" t="n">
        <v>1765300</v>
      </c>
      <c r="F529" s="30" t="n">
        <v>49.88</v>
      </c>
      <c r="G529" s="31" t="n">
        <f aca="false">IFERROR(F529/D529,0)</f>
        <v>5.54222222222222</v>
      </c>
    </row>
    <row r="530" customFormat="false" ht="15" hidden="false" customHeight="false" outlineLevel="0" collapsed="false">
      <c r="A530" s="28" t="n">
        <v>2020</v>
      </c>
      <c r="B530" s="28" t="s">
        <v>118</v>
      </c>
      <c r="C530" s="28" t="s">
        <v>60</v>
      </c>
      <c r="D530" s="28" t="n">
        <v>1</v>
      </c>
      <c r="E530" s="29" t="n">
        <v>20500</v>
      </c>
      <c r="F530" s="30" t="n">
        <v>5.75</v>
      </c>
      <c r="G530" s="31" t="n">
        <f aca="false">IFERROR(F530/D530,0)</f>
        <v>5.75</v>
      </c>
    </row>
    <row r="531" customFormat="false" ht="15" hidden="false" customHeight="false" outlineLevel="0" collapsed="false">
      <c r="A531" s="28" t="n">
        <v>2020</v>
      </c>
      <c r="B531" s="28" t="s">
        <v>118</v>
      </c>
      <c r="C531" s="28" t="s">
        <v>49</v>
      </c>
      <c r="D531" s="28" t="n">
        <v>4</v>
      </c>
      <c r="E531" s="29" t="n">
        <v>560000</v>
      </c>
      <c r="F531" s="30" t="n">
        <v>25.79</v>
      </c>
      <c r="G531" s="31" t="n">
        <f aca="false">IFERROR(F531/D531,0)</f>
        <v>6.4475</v>
      </c>
    </row>
    <row r="532" customFormat="false" ht="15" hidden="false" customHeight="false" outlineLevel="0" collapsed="false">
      <c r="A532" s="28" t="n">
        <v>2020</v>
      </c>
      <c r="B532" s="28" t="s">
        <v>91</v>
      </c>
      <c r="C532" s="28" t="s">
        <v>42</v>
      </c>
      <c r="D532" s="28" t="n">
        <v>103</v>
      </c>
      <c r="E532" s="29" t="n">
        <v>59056200</v>
      </c>
      <c r="F532" s="30" t="n">
        <v>726.45</v>
      </c>
      <c r="G532" s="31" t="n">
        <f aca="false">IFERROR(F532/D532,0)</f>
        <v>7.05291262135922</v>
      </c>
    </row>
    <row r="533" customFormat="false" ht="15" hidden="false" customHeight="false" outlineLevel="0" collapsed="false">
      <c r="A533" s="28" t="n">
        <v>2020</v>
      </c>
      <c r="B533" s="28" t="s">
        <v>91</v>
      </c>
      <c r="C533" s="28" t="s">
        <v>50</v>
      </c>
      <c r="D533" s="28" t="n">
        <v>54</v>
      </c>
      <c r="E533" s="29" t="n">
        <v>20976100</v>
      </c>
      <c r="F533" s="30" t="n">
        <v>420.92</v>
      </c>
      <c r="G533" s="31" t="n">
        <f aca="false">IFERROR(F533/D533,0)</f>
        <v>7.79481481481482</v>
      </c>
    </row>
    <row r="534" customFormat="false" ht="15" hidden="false" customHeight="false" outlineLevel="0" collapsed="false">
      <c r="A534" s="28" t="n">
        <v>2020</v>
      </c>
      <c r="B534" s="28" t="s">
        <v>91</v>
      </c>
      <c r="C534" s="28" t="s">
        <v>55</v>
      </c>
      <c r="D534" s="28" t="n">
        <v>3</v>
      </c>
      <c r="E534" s="29" t="n">
        <v>140000</v>
      </c>
      <c r="F534" s="30" t="n">
        <v>27.03</v>
      </c>
      <c r="G534" s="31" t="n">
        <f aca="false">IFERROR(F534/D534,0)</f>
        <v>9.01</v>
      </c>
    </row>
    <row r="535" customFormat="false" ht="15" hidden="false" customHeight="false" outlineLevel="0" collapsed="false">
      <c r="A535" s="28" t="n">
        <v>2020</v>
      </c>
      <c r="B535" s="28" t="s">
        <v>91</v>
      </c>
      <c r="C535" s="28" t="s">
        <v>51</v>
      </c>
      <c r="D535" s="28" t="n">
        <v>33</v>
      </c>
      <c r="E535" s="29" t="n">
        <v>20335700</v>
      </c>
      <c r="F535" s="30" t="n">
        <v>232.84</v>
      </c>
      <c r="G535" s="31" t="n">
        <f aca="false">IFERROR(F535/D535,0)</f>
        <v>7.05575757575758</v>
      </c>
    </row>
    <row r="536" customFormat="false" ht="15" hidden="false" customHeight="false" outlineLevel="0" collapsed="false">
      <c r="A536" s="28" t="n">
        <v>2020</v>
      </c>
      <c r="B536" s="28" t="s">
        <v>91</v>
      </c>
      <c r="C536" s="28" t="s">
        <v>45</v>
      </c>
      <c r="D536" s="28" t="n">
        <v>124</v>
      </c>
      <c r="E536" s="29" t="n">
        <v>36588900</v>
      </c>
      <c r="F536" s="30" t="n">
        <v>968.69</v>
      </c>
      <c r="G536" s="31" t="n">
        <f aca="false">IFERROR(F536/D536,0)</f>
        <v>7.81201612903226</v>
      </c>
    </row>
    <row r="537" customFormat="false" ht="15" hidden="false" customHeight="false" outlineLevel="0" collapsed="false">
      <c r="A537" s="28" t="n">
        <v>2020</v>
      </c>
      <c r="B537" s="28" t="s">
        <v>91</v>
      </c>
      <c r="C537" s="28" t="s">
        <v>56</v>
      </c>
      <c r="D537" s="28" t="n">
        <v>13</v>
      </c>
      <c r="E537" s="29" t="n">
        <v>5003700</v>
      </c>
      <c r="F537" s="30" t="n">
        <v>93</v>
      </c>
      <c r="G537" s="31" t="n">
        <f aca="false">IFERROR(F537/D537,0)</f>
        <v>7.15384615384615</v>
      </c>
    </row>
    <row r="538" customFormat="false" ht="15" hidden="false" customHeight="false" outlineLevel="0" collapsed="false">
      <c r="A538" s="28" t="n">
        <v>2020</v>
      </c>
      <c r="B538" s="28" t="s">
        <v>91</v>
      </c>
      <c r="C538" s="28" t="s">
        <v>54</v>
      </c>
      <c r="D538" s="28" t="n">
        <v>20</v>
      </c>
      <c r="E538" s="29" t="n">
        <v>16886000</v>
      </c>
      <c r="F538" s="30" t="n">
        <v>145.38</v>
      </c>
      <c r="G538" s="31" t="n">
        <f aca="false">IFERROR(F538/D538,0)</f>
        <v>7.269</v>
      </c>
    </row>
    <row r="539" customFormat="false" ht="15" hidden="false" customHeight="false" outlineLevel="0" collapsed="false">
      <c r="A539" s="28" t="n">
        <v>2020</v>
      </c>
      <c r="B539" s="28" t="s">
        <v>91</v>
      </c>
      <c r="C539" s="28" t="s">
        <v>44</v>
      </c>
      <c r="D539" s="28" t="n">
        <v>89</v>
      </c>
      <c r="E539" s="29" t="n">
        <v>64216600</v>
      </c>
      <c r="F539" s="30" t="n">
        <v>586.9</v>
      </c>
      <c r="G539" s="31" t="n">
        <f aca="false">IFERROR(F539/D539,0)</f>
        <v>6.59438202247191</v>
      </c>
    </row>
    <row r="540" customFormat="false" ht="15" hidden="false" customHeight="false" outlineLevel="0" collapsed="false">
      <c r="A540" s="28" t="n">
        <v>2020</v>
      </c>
      <c r="B540" s="28" t="s">
        <v>91</v>
      </c>
      <c r="C540" s="28" t="s">
        <v>57</v>
      </c>
      <c r="D540" s="28" t="n">
        <v>7</v>
      </c>
      <c r="E540" s="29" t="n">
        <v>2884000</v>
      </c>
      <c r="F540" s="30" t="n">
        <v>53.82</v>
      </c>
      <c r="G540" s="31" t="n">
        <f aca="false">IFERROR(F540/D540,0)</f>
        <v>7.68857142857143</v>
      </c>
    </row>
    <row r="541" customFormat="false" ht="15" hidden="false" customHeight="false" outlineLevel="0" collapsed="false">
      <c r="A541" s="28" t="n">
        <v>2020</v>
      </c>
      <c r="B541" s="28" t="s">
        <v>91</v>
      </c>
      <c r="C541" s="28" t="s">
        <v>47</v>
      </c>
      <c r="D541" s="28" t="n">
        <v>60</v>
      </c>
      <c r="E541" s="29" t="n">
        <v>58227800</v>
      </c>
      <c r="F541" s="30" t="n">
        <v>409.74</v>
      </c>
      <c r="G541" s="31" t="n">
        <f aca="false">IFERROR(F541/D541,0)</f>
        <v>6.829</v>
      </c>
    </row>
    <row r="542" customFormat="false" ht="15" hidden="false" customHeight="false" outlineLevel="0" collapsed="false">
      <c r="A542" s="28" t="n">
        <v>2020</v>
      </c>
      <c r="B542" s="28" t="s">
        <v>91</v>
      </c>
      <c r="C542" s="28" t="s">
        <v>46</v>
      </c>
      <c r="D542" s="28" t="n">
        <v>91</v>
      </c>
      <c r="E542" s="29" t="n">
        <v>33396900</v>
      </c>
      <c r="F542" s="30" t="n">
        <v>663.09</v>
      </c>
      <c r="G542" s="31" t="n">
        <f aca="false">IFERROR(F542/D542,0)</f>
        <v>7.2867032967033</v>
      </c>
    </row>
    <row r="543" customFormat="false" ht="15" hidden="false" customHeight="false" outlineLevel="0" collapsed="false">
      <c r="A543" s="28" t="n">
        <v>2020</v>
      </c>
      <c r="B543" s="28" t="s">
        <v>91</v>
      </c>
      <c r="C543" s="28" t="s">
        <v>48</v>
      </c>
      <c r="D543" s="28" t="n">
        <v>92</v>
      </c>
      <c r="E543" s="29" t="n">
        <v>45016200</v>
      </c>
      <c r="F543" s="30" t="n">
        <v>687.02</v>
      </c>
      <c r="G543" s="31" t="n">
        <f aca="false">IFERROR(F543/D543,0)</f>
        <v>7.46760869565217</v>
      </c>
    </row>
    <row r="544" customFormat="false" ht="15" hidden="false" customHeight="false" outlineLevel="0" collapsed="false">
      <c r="A544" s="28" t="n">
        <v>2020</v>
      </c>
      <c r="B544" s="28" t="s">
        <v>91</v>
      </c>
      <c r="C544" s="28" t="s">
        <v>53</v>
      </c>
      <c r="D544" s="28" t="n">
        <v>23</v>
      </c>
      <c r="E544" s="29" t="n">
        <v>9704500</v>
      </c>
      <c r="F544" s="30" t="n">
        <v>160.78</v>
      </c>
      <c r="G544" s="31" t="n">
        <f aca="false">IFERROR(F544/D544,0)</f>
        <v>6.9904347826087</v>
      </c>
    </row>
    <row r="545" customFormat="false" ht="15" hidden="false" customHeight="false" outlineLevel="0" collapsed="false">
      <c r="A545" s="28" t="n">
        <v>2020</v>
      </c>
      <c r="B545" s="28" t="s">
        <v>91</v>
      </c>
      <c r="C545" s="28" t="s">
        <v>43</v>
      </c>
      <c r="D545" s="28" t="n">
        <v>157</v>
      </c>
      <c r="E545" s="29" t="n">
        <v>122895200</v>
      </c>
      <c r="F545" s="30" t="n">
        <v>1108.24</v>
      </c>
      <c r="G545" s="31" t="n">
        <f aca="false">IFERROR(F545/D545,0)</f>
        <v>7.05885350318471</v>
      </c>
    </row>
    <row r="546" customFormat="false" ht="15" hidden="false" customHeight="false" outlineLevel="0" collapsed="false">
      <c r="A546" s="28" t="n">
        <v>2020</v>
      </c>
      <c r="B546" s="28" t="s">
        <v>91</v>
      </c>
      <c r="C546" s="28" t="s">
        <v>52</v>
      </c>
      <c r="D546" s="28" t="n">
        <v>80</v>
      </c>
      <c r="E546" s="29" t="n">
        <v>26972400</v>
      </c>
      <c r="F546" s="30" t="n">
        <v>657.31</v>
      </c>
      <c r="G546" s="31" t="n">
        <f aca="false">IFERROR(F546/D546,0)</f>
        <v>8.216375</v>
      </c>
    </row>
    <row r="547" customFormat="false" ht="15" hidden="false" customHeight="false" outlineLevel="0" collapsed="false">
      <c r="A547" s="28" t="n">
        <v>2020</v>
      </c>
      <c r="B547" s="28" t="s">
        <v>91</v>
      </c>
      <c r="C547" s="28" t="s">
        <v>49</v>
      </c>
      <c r="D547" s="28" t="n">
        <v>57</v>
      </c>
      <c r="E547" s="29" t="n">
        <v>35570900</v>
      </c>
      <c r="F547" s="30" t="n">
        <v>424.085</v>
      </c>
      <c r="G547" s="31" t="n">
        <f aca="false">IFERROR(F547/D547,0)</f>
        <v>7.44008771929825</v>
      </c>
    </row>
    <row r="548" customFormat="false" ht="15" hidden="false" customHeight="false" outlineLevel="0" collapsed="false">
      <c r="A548" s="28" t="n">
        <v>2020</v>
      </c>
      <c r="B548" s="28" t="s">
        <v>119</v>
      </c>
      <c r="C548" s="28" t="s">
        <v>42</v>
      </c>
      <c r="D548" s="28" t="n">
        <v>31</v>
      </c>
      <c r="E548" s="29" t="n">
        <v>31120900</v>
      </c>
      <c r="F548" s="30" t="n">
        <v>186.89</v>
      </c>
      <c r="G548" s="31" t="n">
        <f aca="false">IFERROR(F548/D548,0)</f>
        <v>6.02870967741935</v>
      </c>
    </row>
    <row r="549" customFormat="false" ht="15" hidden="false" customHeight="false" outlineLevel="0" collapsed="false">
      <c r="A549" s="28" t="n">
        <v>2020</v>
      </c>
      <c r="B549" s="28" t="s">
        <v>119</v>
      </c>
      <c r="C549" s="28" t="s">
        <v>50</v>
      </c>
      <c r="D549" s="28" t="n">
        <v>8</v>
      </c>
      <c r="E549" s="29" t="n">
        <v>3595800</v>
      </c>
      <c r="F549" s="30" t="n">
        <v>50.44</v>
      </c>
      <c r="G549" s="31" t="n">
        <f aca="false">IFERROR(F549/D549,0)</f>
        <v>6.305</v>
      </c>
    </row>
    <row r="550" customFormat="false" ht="15" hidden="false" customHeight="false" outlineLevel="0" collapsed="false">
      <c r="A550" s="28" t="n">
        <v>2020</v>
      </c>
      <c r="B550" s="28" t="s">
        <v>119</v>
      </c>
      <c r="C550" s="28" t="s">
        <v>55</v>
      </c>
      <c r="D550" s="28" t="n">
        <v>2</v>
      </c>
      <c r="E550" s="29" t="n">
        <v>84600</v>
      </c>
      <c r="F550" s="30" t="n">
        <v>16.25</v>
      </c>
      <c r="G550" s="31" t="n">
        <f aca="false">IFERROR(F550/D550,0)</f>
        <v>8.125</v>
      </c>
    </row>
    <row r="551" customFormat="false" ht="15" hidden="false" customHeight="false" outlineLevel="0" collapsed="false">
      <c r="A551" s="28" t="n">
        <v>2020</v>
      </c>
      <c r="B551" s="28" t="s">
        <v>119</v>
      </c>
      <c r="C551" s="28" t="s">
        <v>51</v>
      </c>
      <c r="D551" s="28" t="n">
        <v>3</v>
      </c>
      <c r="E551" s="29" t="n">
        <v>435000</v>
      </c>
      <c r="F551" s="30" t="n">
        <v>22.5</v>
      </c>
      <c r="G551" s="31" t="n">
        <f aca="false">IFERROR(F551/D551,0)</f>
        <v>7.5</v>
      </c>
    </row>
    <row r="552" customFormat="false" ht="15" hidden="false" customHeight="false" outlineLevel="0" collapsed="false">
      <c r="A552" s="28" t="n">
        <v>2020</v>
      </c>
      <c r="B552" s="28" t="s">
        <v>119</v>
      </c>
      <c r="C552" s="28" t="s">
        <v>45</v>
      </c>
      <c r="D552" s="28" t="n">
        <v>27</v>
      </c>
      <c r="E552" s="29" t="n">
        <v>6323800</v>
      </c>
      <c r="F552" s="30" t="n">
        <v>190.11</v>
      </c>
      <c r="G552" s="31" t="n">
        <f aca="false">IFERROR(F552/D552,0)</f>
        <v>7.04111111111111</v>
      </c>
    </row>
    <row r="553" customFormat="false" ht="15" hidden="false" customHeight="false" outlineLevel="0" collapsed="false">
      <c r="A553" s="28" t="n">
        <v>2020</v>
      </c>
      <c r="B553" s="28" t="s">
        <v>119</v>
      </c>
      <c r="C553" s="28" t="s">
        <v>54</v>
      </c>
      <c r="D553" s="28" t="n">
        <v>4</v>
      </c>
      <c r="E553" s="29" t="n">
        <v>1988600</v>
      </c>
      <c r="F553" s="30" t="n">
        <v>23.2</v>
      </c>
      <c r="G553" s="31" t="n">
        <f aca="false">IFERROR(F553/D553,0)</f>
        <v>5.8</v>
      </c>
    </row>
    <row r="554" customFormat="false" ht="15" hidden="false" customHeight="false" outlineLevel="0" collapsed="false">
      <c r="A554" s="28" t="n">
        <v>2020</v>
      </c>
      <c r="B554" s="28" t="s">
        <v>119</v>
      </c>
      <c r="C554" s="28" t="s">
        <v>44</v>
      </c>
      <c r="D554" s="28" t="n">
        <v>14</v>
      </c>
      <c r="E554" s="29" t="n">
        <v>2083900</v>
      </c>
      <c r="F554" s="30" t="n">
        <v>94.95</v>
      </c>
      <c r="G554" s="31" t="n">
        <f aca="false">IFERROR(F554/D554,0)</f>
        <v>6.78214285714286</v>
      </c>
    </row>
    <row r="555" customFormat="false" ht="15" hidden="false" customHeight="false" outlineLevel="0" collapsed="false">
      <c r="A555" s="28" t="n">
        <v>2020</v>
      </c>
      <c r="B555" s="28" t="s">
        <v>119</v>
      </c>
      <c r="C555" s="28" t="s">
        <v>57</v>
      </c>
      <c r="D555" s="28" t="n">
        <v>3</v>
      </c>
      <c r="E555" s="29" t="n">
        <v>1125600</v>
      </c>
      <c r="F555" s="30" t="n">
        <v>20.1</v>
      </c>
      <c r="G555" s="31" t="n">
        <f aca="false">IFERROR(F555/D555,0)</f>
        <v>6.7</v>
      </c>
    </row>
    <row r="556" customFormat="false" ht="15" hidden="false" customHeight="false" outlineLevel="0" collapsed="false">
      <c r="A556" s="28" t="n">
        <v>2020</v>
      </c>
      <c r="B556" s="28" t="s">
        <v>119</v>
      </c>
      <c r="C556" s="28" t="s">
        <v>47</v>
      </c>
      <c r="D556" s="28" t="n">
        <v>11</v>
      </c>
      <c r="E556" s="29" t="n">
        <v>6787500</v>
      </c>
      <c r="F556" s="30" t="n">
        <v>65.43</v>
      </c>
      <c r="G556" s="31" t="n">
        <f aca="false">IFERROR(F556/D556,0)</f>
        <v>5.94818181818182</v>
      </c>
    </row>
    <row r="557" customFormat="false" ht="15" hidden="false" customHeight="false" outlineLevel="0" collapsed="false">
      <c r="A557" s="28" t="n">
        <v>2020</v>
      </c>
      <c r="B557" s="28" t="s">
        <v>119</v>
      </c>
      <c r="C557" s="28" t="s">
        <v>58</v>
      </c>
      <c r="D557" s="28" t="n">
        <v>11</v>
      </c>
      <c r="E557" s="29" t="n">
        <v>8419200</v>
      </c>
      <c r="F557" s="30" t="n">
        <v>74.75</v>
      </c>
      <c r="G557" s="31" t="n">
        <f aca="false">IFERROR(F557/D557,0)</f>
        <v>6.79545454545455</v>
      </c>
    </row>
    <row r="558" customFormat="false" ht="15" hidden="false" customHeight="false" outlineLevel="0" collapsed="false">
      <c r="A558" s="28" t="n">
        <v>2020</v>
      </c>
      <c r="B558" s="28" t="s">
        <v>119</v>
      </c>
      <c r="C558" s="28" t="s">
        <v>46</v>
      </c>
      <c r="D558" s="28" t="n">
        <v>10</v>
      </c>
      <c r="E558" s="29" t="n">
        <v>3129800</v>
      </c>
      <c r="F558" s="30" t="n">
        <v>65.44</v>
      </c>
      <c r="G558" s="31" t="n">
        <f aca="false">IFERROR(F558/D558,0)</f>
        <v>6.544</v>
      </c>
    </row>
    <row r="559" customFormat="false" ht="15" hidden="false" customHeight="false" outlineLevel="0" collapsed="false">
      <c r="A559" s="28" t="n">
        <v>2020</v>
      </c>
      <c r="B559" s="28" t="s">
        <v>119</v>
      </c>
      <c r="C559" s="28" t="s">
        <v>48</v>
      </c>
      <c r="D559" s="28" t="n">
        <v>14</v>
      </c>
      <c r="E559" s="29" t="n">
        <v>9056100</v>
      </c>
      <c r="F559" s="30" t="n">
        <v>97.33</v>
      </c>
      <c r="G559" s="31" t="n">
        <f aca="false">IFERROR(F559/D559,0)</f>
        <v>6.95214285714286</v>
      </c>
    </row>
    <row r="560" customFormat="false" ht="15" hidden="false" customHeight="false" outlineLevel="0" collapsed="false">
      <c r="A560" s="28" t="n">
        <v>2020</v>
      </c>
      <c r="B560" s="28" t="s">
        <v>119</v>
      </c>
      <c r="C560" s="28" t="s">
        <v>61</v>
      </c>
      <c r="D560" s="28" t="n">
        <v>1</v>
      </c>
      <c r="E560" s="29" t="n">
        <v>484500</v>
      </c>
      <c r="F560" s="30" t="n">
        <v>3.49</v>
      </c>
      <c r="G560" s="31" t="n">
        <f aca="false">IFERROR(F560/D560,0)</f>
        <v>3.49</v>
      </c>
    </row>
    <row r="561" customFormat="false" ht="15" hidden="false" customHeight="false" outlineLevel="0" collapsed="false">
      <c r="A561" s="28" t="n">
        <v>2020</v>
      </c>
      <c r="B561" s="28" t="s">
        <v>119</v>
      </c>
      <c r="C561" s="28" t="s">
        <v>53</v>
      </c>
      <c r="D561" s="28" t="n">
        <v>5</v>
      </c>
      <c r="E561" s="29" t="n">
        <v>7829400</v>
      </c>
      <c r="F561" s="30" t="n">
        <v>25.47</v>
      </c>
      <c r="G561" s="31" t="n">
        <f aca="false">IFERROR(F561/D561,0)</f>
        <v>5.094</v>
      </c>
    </row>
    <row r="562" customFormat="false" ht="15" hidden="false" customHeight="false" outlineLevel="0" collapsed="false">
      <c r="A562" s="28" t="n">
        <v>2020</v>
      </c>
      <c r="B562" s="28" t="s">
        <v>119</v>
      </c>
      <c r="C562" s="28" t="s">
        <v>43</v>
      </c>
      <c r="D562" s="28" t="n">
        <v>24</v>
      </c>
      <c r="E562" s="29" t="n">
        <v>12638000</v>
      </c>
      <c r="F562" s="30" t="n">
        <v>154.01</v>
      </c>
      <c r="G562" s="31" t="n">
        <f aca="false">IFERROR(F562/D562,0)</f>
        <v>6.41708333333333</v>
      </c>
    </row>
    <row r="563" customFormat="false" ht="15" hidden="false" customHeight="false" outlineLevel="0" collapsed="false">
      <c r="A563" s="28" t="n">
        <v>2020</v>
      </c>
      <c r="B563" s="28" t="s">
        <v>119</v>
      </c>
      <c r="C563" s="28" t="s">
        <v>52</v>
      </c>
      <c r="D563" s="28" t="n">
        <v>7</v>
      </c>
      <c r="E563" s="29" t="n">
        <v>2219300</v>
      </c>
      <c r="F563" s="30" t="n">
        <v>44</v>
      </c>
      <c r="G563" s="31" t="n">
        <f aca="false">IFERROR(F563/D563,0)</f>
        <v>6.28571428571429</v>
      </c>
    </row>
    <row r="564" customFormat="false" ht="15" hidden="false" customHeight="false" outlineLevel="0" collapsed="false">
      <c r="A564" s="28" t="n">
        <v>2020</v>
      </c>
      <c r="B564" s="28" t="s">
        <v>119</v>
      </c>
      <c r="C564" s="28" t="s">
        <v>49</v>
      </c>
      <c r="D564" s="28" t="n">
        <v>2</v>
      </c>
      <c r="E564" s="29" t="n">
        <v>215000</v>
      </c>
      <c r="F564" s="30" t="n">
        <v>13.5</v>
      </c>
      <c r="G564" s="31" t="n">
        <f aca="false">IFERROR(F564/D564,0)</f>
        <v>6.75</v>
      </c>
    </row>
    <row r="565" customFormat="false" ht="15" hidden="false" customHeight="false" outlineLevel="0" collapsed="false">
      <c r="A565" s="28" t="n">
        <v>2020</v>
      </c>
      <c r="B565" s="28" t="s">
        <v>112</v>
      </c>
      <c r="C565" s="28" t="s">
        <v>42</v>
      </c>
      <c r="D565" s="28" t="n">
        <v>37</v>
      </c>
      <c r="E565" s="29" t="n">
        <v>17442900</v>
      </c>
      <c r="F565" s="30" t="n">
        <v>252.002</v>
      </c>
      <c r="G565" s="31" t="n">
        <f aca="false">IFERROR(F565/D565,0)</f>
        <v>6.81086486486487</v>
      </c>
    </row>
    <row r="566" customFormat="false" ht="15" hidden="false" customHeight="false" outlineLevel="0" collapsed="false">
      <c r="A566" s="28" t="n">
        <v>2020</v>
      </c>
      <c r="B566" s="28" t="s">
        <v>112</v>
      </c>
      <c r="C566" s="28" t="s">
        <v>50</v>
      </c>
      <c r="D566" s="28" t="n">
        <v>20</v>
      </c>
      <c r="E566" s="29" t="n">
        <v>6223600</v>
      </c>
      <c r="F566" s="30" t="n">
        <v>125.47</v>
      </c>
      <c r="G566" s="31" t="n">
        <f aca="false">IFERROR(F566/D566,0)</f>
        <v>6.2735</v>
      </c>
    </row>
    <row r="567" customFormat="false" ht="15" hidden="false" customHeight="false" outlineLevel="0" collapsed="false">
      <c r="A567" s="28" t="n">
        <v>2020</v>
      </c>
      <c r="B567" s="28" t="s">
        <v>112</v>
      </c>
      <c r="C567" s="28" t="s">
        <v>51</v>
      </c>
      <c r="D567" s="28" t="n">
        <v>6</v>
      </c>
      <c r="E567" s="29" t="n">
        <v>4463500</v>
      </c>
      <c r="F567" s="30" t="n">
        <v>34.98</v>
      </c>
      <c r="G567" s="31" t="n">
        <f aca="false">IFERROR(F567/D567,0)</f>
        <v>5.83</v>
      </c>
    </row>
    <row r="568" customFormat="false" ht="15" hidden="false" customHeight="false" outlineLevel="0" collapsed="false">
      <c r="A568" s="28" t="n">
        <v>2020</v>
      </c>
      <c r="B568" s="28" t="s">
        <v>112</v>
      </c>
      <c r="C568" s="28" t="s">
        <v>45</v>
      </c>
      <c r="D568" s="28" t="n">
        <v>30</v>
      </c>
      <c r="E568" s="29" t="n">
        <v>13500900</v>
      </c>
      <c r="F568" s="30" t="n">
        <v>198.03</v>
      </c>
      <c r="G568" s="31" t="n">
        <f aca="false">IFERROR(F568/D568,0)</f>
        <v>6.601</v>
      </c>
    </row>
    <row r="569" customFormat="false" ht="15" hidden="false" customHeight="false" outlineLevel="0" collapsed="false">
      <c r="A569" s="28" t="n">
        <v>2020</v>
      </c>
      <c r="B569" s="28" t="s">
        <v>112</v>
      </c>
      <c r="C569" s="28" t="s">
        <v>56</v>
      </c>
      <c r="D569" s="28" t="n">
        <v>4</v>
      </c>
      <c r="E569" s="29" t="n">
        <v>1129200</v>
      </c>
      <c r="F569" s="30" t="n">
        <v>28.77</v>
      </c>
      <c r="G569" s="31" t="n">
        <f aca="false">IFERROR(F569/D569,0)</f>
        <v>7.1925</v>
      </c>
    </row>
    <row r="570" customFormat="false" ht="15" hidden="false" customHeight="false" outlineLevel="0" collapsed="false">
      <c r="A570" s="28" t="n">
        <v>2020</v>
      </c>
      <c r="B570" s="28" t="s">
        <v>112</v>
      </c>
      <c r="C570" s="28" t="s">
        <v>54</v>
      </c>
      <c r="D570" s="28" t="n">
        <v>11</v>
      </c>
      <c r="E570" s="29" t="n">
        <v>4446600</v>
      </c>
      <c r="F570" s="30" t="n">
        <v>74.74</v>
      </c>
      <c r="G570" s="31" t="n">
        <f aca="false">IFERROR(F570/D570,0)</f>
        <v>6.79454545454545</v>
      </c>
    </row>
    <row r="571" customFormat="false" ht="15" hidden="false" customHeight="false" outlineLevel="0" collapsed="false">
      <c r="A571" s="28" t="n">
        <v>2020</v>
      </c>
      <c r="B571" s="28" t="s">
        <v>112</v>
      </c>
      <c r="C571" s="28" t="s">
        <v>44</v>
      </c>
      <c r="D571" s="28" t="n">
        <v>23</v>
      </c>
      <c r="E571" s="29" t="n">
        <v>24003300</v>
      </c>
      <c r="F571" s="30" t="n">
        <v>145.17</v>
      </c>
      <c r="G571" s="31" t="n">
        <f aca="false">IFERROR(F571/D571,0)</f>
        <v>6.31173913043478</v>
      </c>
    </row>
    <row r="572" customFormat="false" ht="15" hidden="false" customHeight="false" outlineLevel="0" collapsed="false">
      <c r="A572" s="28" t="n">
        <v>2020</v>
      </c>
      <c r="B572" s="28" t="s">
        <v>112</v>
      </c>
      <c r="C572" s="28" t="s">
        <v>57</v>
      </c>
      <c r="D572" s="28" t="n">
        <v>10</v>
      </c>
      <c r="E572" s="29" t="n">
        <v>12171600</v>
      </c>
      <c r="F572" s="30" t="n">
        <v>65.05</v>
      </c>
      <c r="G572" s="31" t="n">
        <f aca="false">IFERROR(F572/D572,0)</f>
        <v>6.505</v>
      </c>
    </row>
    <row r="573" customFormat="false" ht="15" hidden="false" customHeight="false" outlineLevel="0" collapsed="false">
      <c r="A573" s="28" t="n">
        <v>2020</v>
      </c>
      <c r="B573" s="28" t="s">
        <v>112</v>
      </c>
      <c r="C573" s="28" t="s">
        <v>47</v>
      </c>
      <c r="D573" s="28" t="n">
        <v>14</v>
      </c>
      <c r="E573" s="29" t="n">
        <v>3596000</v>
      </c>
      <c r="F573" s="30" t="n">
        <v>109.49</v>
      </c>
      <c r="G573" s="31" t="n">
        <f aca="false">IFERROR(F573/D573,0)</f>
        <v>7.82071428571429</v>
      </c>
    </row>
    <row r="574" customFormat="false" ht="15" hidden="false" customHeight="false" outlineLevel="0" collapsed="false">
      <c r="A574" s="28" t="n">
        <v>2020</v>
      </c>
      <c r="B574" s="28" t="s">
        <v>112</v>
      </c>
      <c r="C574" s="28" t="s">
        <v>46</v>
      </c>
      <c r="D574" s="28" t="n">
        <v>36</v>
      </c>
      <c r="E574" s="29" t="n">
        <v>15679900</v>
      </c>
      <c r="F574" s="30" t="n">
        <v>265.67</v>
      </c>
      <c r="G574" s="31" t="n">
        <f aca="false">IFERROR(F574/D574,0)</f>
        <v>7.37972222222222</v>
      </c>
    </row>
    <row r="575" customFormat="false" ht="15" hidden="false" customHeight="false" outlineLevel="0" collapsed="false">
      <c r="A575" s="28" t="n">
        <v>2020</v>
      </c>
      <c r="B575" s="28" t="s">
        <v>112</v>
      </c>
      <c r="C575" s="28" t="s">
        <v>48</v>
      </c>
      <c r="D575" s="28" t="n">
        <v>30</v>
      </c>
      <c r="E575" s="29" t="n">
        <v>11778000</v>
      </c>
      <c r="F575" s="30" t="n">
        <v>202.5</v>
      </c>
      <c r="G575" s="31" t="n">
        <f aca="false">IFERROR(F575/D575,0)</f>
        <v>6.75</v>
      </c>
    </row>
    <row r="576" customFormat="false" ht="15" hidden="false" customHeight="false" outlineLevel="0" collapsed="false">
      <c r="A576" s="28" t="n">
        <v>2020</v>
      </c>
      <c r="B576" s="28" t="s">
        <v>112</v>
      </c>
      <c r="C576" s="28" t="s">
        <v>53</v>
      </c>
      <c r="D576" s="28" t="n">
        <v>15</v>
      </c>
      <c r="E576" s="29" t="n">
        <v>2963600</v>
      </c>
      <c r="F576" s="30" t="n">
        <v>98.2</v>
      </c>
      <c r="G576" s="31" t="n">
        <f aca="false">IFERROR(F576/D576,0)</f>
        <v>6.54666666666667</v>
      </c>
    </row>
    <row r="577" customFormat="false" ht="15" hidden="false" customHeight="false" outlineLevel="0" collapsed="false">
      <c r="A577" s="28" t="n">
        <v>2020</v>
      </c>
      <c r="B577" s="28" t="s">
        <v>112</v>
      </c>
      <c r="C577" s="28" t="s">
        <v>43</v>
      </c>
      <c r="D577" s="28" t="n">
        <v>33</v>
      </c>
      <c r="E577" s="29" t="n">
        <v>20298900</v>
      </c>
      <c r="F577" s="30" t="n">
        <v>231.96</v>
      </c>
      <c r="G577" s="31" t="n">
        <f aca="false">IFERROR(F577/D577,0)</f>
        <v>7.02909090909091</v>
      </c>
    </row>
    <row r="578" customFormat="false" ht="15" hidden="false" customHeight="false" outlineLevel="0" collapsed="false">
      <c r="A578" s="28" t="n">
        <v>2020</v>
      </c>
      <c r="B578" s="28" t="s">
        <v>112</v>
      </c>
      <c r="C578" s="28" t="s">
        <v>52</v>
      </c>
      <c r="D578" s="28" t="n">
        <v>7</v>
      </c>
      <c r="E578" s="29" t="n">
        <v>3586100</v>
      </c>
      <c r="F578" s="30" t="n">
        <v>45.53</v>
      </c>
      <c r="G578" s="31" t="n">
        <f aca="false">IFERROR(F578/D578,0)</f>
        <v>6.50428571428571</v>
      </c>
    </row>
    <row r="579" customFormat="false" ht="15" hidden="false" customHeight="false" outlineLevel="0" collapsed="false">
      <c r="A579" s="28" t="n">
        <v>2020</v>
      </c>
      <c r="B579" s="28" t="s">
        <v>112</v>
      </c>
      <c r="C579" s="28" t="s">
        <v>60</v>
      </c>
      <c r="D579" s="28" t="n">
        <v>1</v>
      </c>
      <c r="E579" s="29" t="n">
        <v>359600</v>
      </c>
      <c r="F579" s="30" t="n">
        <v>6.5</v>
      </c>
      <c r="G579" s="31" t="n">
        <f aca="false">IFERROR(F579/D579,0)</f>
        <v>6.5</v>
      </c>
    </row>
    <row r="580" customFormat="false" ht="15" hidden="false" customHeight="false" outlineLevel="0" collapsed="false">
      <c r="A580" s="28" t="n">
        <v>2020</v>
      </c>
      <c r="B580" s="28" t="s">
        <v>112</v>
      </c>
      <c r="C580" s="28" t="s">
        <v>49</v>
      </c>
      <c r="D580" s="28" t="n">
        <v>16</v>
      </c>
      <c r="E580" s="29" t="n">
        <v>6360800</v>
      </c>
      <c r="F580" s="30" t="n">
        <v>108.51</v>
      </c>
      <c r="G580" s="31" t="n">
        <f aca="false">IFERROR(F580/D580,0)</f>
        <v>6.781875</v>
      </c>
    </row>
    <row r="581" customFormat="false" ht="15" hidden="false" customHeight="false" outlineLevel="0" collapsed="false">
      <c r="A581" s="28" t="n">
        <v>2020</v>
      </c>
      <c r="B581" s="28" t="s">
        <v>82</v>
      </c>
      <c r="C581" s="28" t="s">
        <v>42</v>
      </c>
      <c r="D581" s="28" t="n">
        <v>217</v>
      </c>
      <c r="E581" s="29" t="n">
        <v>117746500</v>
      </c>
      <c r="F581" s="30" t="n">
        <v>1522.615</v>
      </c>
      <c r="G581" s="31" t="n">
        <f aca="false">IFERROR(F581/D581,0)</f>
        <v>7.01665898617512</v>
      </c>
    </row>
    <row r="582" customFormat="false" ht="15" hidden="false" customHeight="false" outlineLevel="0" collapsed="false">
      <c r="A582" s="28" t="n">
        <v>2020</v>
      </c>
      <c r="B582" s="28" t="s">
        <v>82</v>
      </c>
      <c r="C582" s="28" t="s">
        <v>50</v>
      </c>
      <c r="D582" s="28" t="n">
        <v>85</v>
      </c>
      <c r="E582" s="29" t="n">
        <v>25423500</v>
      </c>
      <c r="F582" s="30" t="n">
        <v>638.69</v>
      </c>
      <c r="G582" s="31" t="n">
        <f aca="false">IFERROR(F582/D582,0)</f>
        <v>7.514</v>
      </c>
    </row>
    <row r="583" customFormat="false" ht="15" hidden="false" customHeight="false" outlineLevel="0" collapsed="false">
      <c r="A583" s="28" t="n">
        <v>2020</v>
      </c>
      <c r="B583" s="28" t="s">
        <v>82</v>
      </c>
      <c r="C583" s="28" t="s">
        <v>55</v>
      </c>
      <c r="D583" s="28" t="n">
        <v>9</v>
      </c>
      <c r="E583" s="29" t="n">
        <v>874400</v>
      </c>
      <c r="F583" s="30" t="n">
        <v>67.41</v>
      </c>
      <c r="G583" s="31" t="n">
        <f aca="false">IFERROR(F583/D583,0)</f>
        <v>7.49</v>
      </c>
    </row>
    <row r="584" customFormat="false" ht="15" hidden="false" customHeight="false" outlineLevel="0" collapsed="false">
      <c r="A584" s="28" t="n">
        <v>2020</v>
      </c>
      <c r="B584" s="28" t="s">
        <v>82</v>
      </c>
      <c r="C584" s="28" t="s">
        <v>51</v>
      </c>
      <c r="D584" s="28" t="n">
        <v>51</v>
      </c>
      <c r="E584" s="29" t="n">
        <v>24638400</v>
      </c>
      <c r="F584" s="30" t="n">
        <v>350.38</v>
      </c>
      <c r="G584" s="31" t="n">
        <f aca="false">IFERROR(F584/D584,0)</f>
        <v>6.87019607843137</v>
      </c>
    </row>
    <row r="585" customFormat="false" ht="15" hidden="false" customHeight="false" outlineLevel="0" collapsed="false">
      <c r="A585" s="28" t="n">
        <v>2020</v>
      </c>
      <c r="B585" s="28" t="s">
        <v>82</v>
      </c>
      <c r="C585" s="28" t="s">
        <v>45</v>
      </c>
      <c r="D585" s="28" t="n">
        <v>225</v>
      </c>
      <c r="E585" s="29" t="n">
        <v>50327000</v>
      </c>
      <c r="F585" s="30" t="n">
        <v>1708.368</v>
      </c>
      <c r="G585" s="31" t="n">
        <f aca="false">IFERROR(F585/D585,0)</f>
        <v>7.59274666666667</v>
      </c>
    </row>
    <row r="586" customFormat="false" ht="15" hidden="false" customHeight="false" outlineLevel="0" collapsed="false">
      <c r="A586" s="28" t="n">
        <v>2020</v>
      </c>
      <c r="B586" s="28" t="s">
        <v>82</v>
      </c>
      <c r="C586" s="28" t="s">
        <v>56</v>
      </c>
      <c r="D586" s="28" t="n">
        <v>21</v>
      </c>
      <c r="E586" s="29" t="n">
        <v>6916100</v>
      </c>
      <c r="F586" s="30" t="n">
        <v>162.54</v>
      </c>
      <c r="G586" s="31" t="n">
        <f aca="false">IFERROR(F586/D586,0)</f>
        <v>7.74</v>
      </c>
    </row>
    <row r="587" customFormat="false" ht="15" hidden="false" customHeight="false" outlineLevel="0" collapsed="false">
      <c r="A587" s="28" t="n">
        <v>2020</v>
      </c>
      <c r="B587" s="28" t="s">
        <v>82</v>
      </c>
      <c r="C587" s="28" t="s">
        <v>54</v>
      </c>
      <c r="D587" s="28" t="n">
        <v>37</v>
      </c>
      <c r="E587" s="29" t="n">
        <v>17726800</v>
      </c>
      <c r="F587" s="30" t="n">
        <v>256.09</v>
      </c>
      <c r="G587" s="31" t="n">
        <f aca="false">IFERROR(F587/D587,0)</f>
        <v>6.92135135135135</v>
      </c>
    </row>
    <row r="588" customFormat="false" ht="15" hidden="false" customHeight="false" outlineLevel="0" collapsed="false">
      <c r="A588" s="28" t="n">
        <v>2020</v>
      </c>
      <c r="B588" s="28" t="s">
        <v>82</v>
      </c>
      <c r="C588" s="28" t="s">
        <v>44</v>
      </c>
      <c r="D588" s="28" t="n">
        <v>116</v>
      </c>
      <c r="E588" s="29" t="n">
        <v>57181800</v>
      </c>
      <c r="F588" s="30" t="n">
        <v>809.01</v>
      </c>
      <c r="G588" s="31" t="n">
        <f aca="false">IFERROR(F588/D588,0)</f>
        <v>6.97422413793103</v>
      </c>
    </row>
    <row r="589" customFormat="false" ht="15" hidden="false" customHeight="false" outlineLevel="0" collapsed="false">
      <c r="A589" s="28" t="n">
        <v>2020</v>
      </c>
      <c r="B589" s="28" t="s">
        <v>82</v>
      </c>
      <c r="C589" s="28" t="s">
        <v>57</v>
      </c>
      <c r="D589" s="28" t="n">
        <v>21</v>
      </c>
      <c r="E589" s="29" t="n">
        <v>14372600</v>
      </c>
      <c r="F589" s="30" t="n">
        <v>163.54</v>
      </c>
      <c r="G589" s="31" t="n">
        <f aca="false">IFERROR(F589/D589,0)</f>
        <v>7.78761904761905</v>
      </c>
    </row>
    <row r="590" customFormat="false" ht="15" hidden="false" customHeight="false" outlineLevel="0" collapsed="false">
      <c r="A590" s="28" t="n">
        <v>2020</v>
      </c>
      <c r="B590" s="28" t="s">
        <v>82</v>
      </c>
      <c r="C590" s="28" t="s">
        <v>47</v>
      </c>
      <c r="D590" s="28" t="n">
        <v>114</v>
      </c>
      <c r="E590" s="29" t="n">
        <v>52329600</v>
      </c>
      <c r="F590" s="30" t="n">
        <v>780.74</v>
      </c>
      <c r="G590" s="31" t="n">
        <f aca="false">IFERROR(F590/D590,0)</f>
        <v>6.84859649122807</v>
      </c>
    </row>
    <row r="591" customFormat="false" ht="15" hidden="false" customHeight="false" outlineLevel="0" collapsed="false">
      <c r="A591" s="28" t="n">
        <v>2020</v>
      </c>
      <c r="B591" s="28" t="s">
        <v>82</v>
      </c>
      <c r="C591" s="28" t="s">
        <v>58</v>
      </c>
      <c r="D591" s="28" t="n">
        <v>1</v>
      </c>
      <c r="E591" s="29" t="n">
        <v>15000</v>
      </c>
      <c r="F591" s="30" t="n">
        <v>5.75</v>
      </c>
      <c r="G591" s="31" t="n">
        <f aca="false">IFERROR(F591/D591,0)</f>
        <v>5.75</v>
      </c>
    </row>
    <row r="592" customFormat="false" ht="15" hidden="false" customHeight="false" outlineLevel="0" collapsed="false">
      <c r="A592" s="28" t="n">
        <v>2020</v>
      </c>
      <c r="B592" s="28" t="s">
        <v>82</v>
      </c>
      <c r="C592" s="28" t="s">
        <v>46</v>
      </c>
      <c r="D592" s="28" t="n">
        <v>178</v>
      </c>
      <c r="E592" s="29" t="n">
        <v>68058300</v>
      </c>
      <c r="F592" s="30" t="n">
        <v>1302.63</v>
      </c>
      <c r="G592" s="31" t="n">
        <f aca="false">IFERROR(F592/D592,0)</f>
        <v>7.31814606741573</v>
      </c>
    </row>
    <row r="593" customFormat="false" ht="15" hidden="false" customHeight="false" outlineLevel="0" collapsed="false">
      <c r="A593" s="28" t="n">
        <v>2020</v>
      </c>
      <c r="B593" s="28" t="s">
        <v>82</v>
      </c>
      <c r="C593" s="28" t="s">
        <v>48</v>
      </c>
      <c r="D593" s="28" t="n">
        <v>197</v>
      </c>
      <c r="E593" s="29" t="n">
        <v>57472600</v>
      </c>
      <c r="F593" s="30" t="n">
        <v>1558.25</v>
      </c>
      <c r="G593" s="31" t="n">
        <f aca="false">IFERROR(F593/D593,0)</f>
        <v>7.90989847715736</v>
      </c>
    </row>
    <row r="594" customFormat="false" ht="15" hidden="false" customHeight="false" outlineLevel="0" collapsed="false">
      <c r="A594" s="28" t="n">
        <v>2020</v>
      </c>
      <c r="B594" s="28" t="s">
        <v>82</v>
      </c>
      <c r="C594" s="28" t="s">
        <v>53</v>
      </c>
      <c r="D594" s="28" t="n">
        <v>49</v>
      </c>
      <c r="E594" s="29" t="n">
        <v>22844500</v>
      </c>
      <c r="F594" s="30" t="n">
        <v>349.41</v>
      </c>
      <c r="G594" s="31" t="n">
        <f aca="false">IFERROR(F594/D594,0)</f>
        <v>7.13081632653061</v>
      </c>
    </row>
    <row r="595" customFormat="false" ht="15" hidden="false" customHeight="false" outlineLevel="0" collapsed="false">
      <c r="A595" s="28" t="n">
        <v>2020</v>
      </c>
      <c r="B595" s="28" t="s">
        <v>82</v>
      </c>
      <c r="C595" s="28" t="s">
        <v>43</v>
      </c>
      <c r="D595" s="28" t="n">
        <v>280</v>
      </c>
      <c r="E595" s="29" t="n">
        <v>115013100</v>
      </c>
      <c r="F595" s="30" t="n">
        <v>2091.794</v>
      </c>
      <c r="G595" s="31" t="n">
        <f aca="false">IFERROR(F595/D595,0)</f>
        <v>7.47069285714286</v>
      </c>
    </row>
    <row r="596" customFormat="false" ht="15" hidden="false" customHeight="false" outlineLevel="0" collapsed="false">
      <c r="A596" s="28" t="n">
        <v>2020</v>
      </c>
      <c r="B596" s="28" t="s">
        <v>82</v>
      </c>
      <c r="C596" s="28" t="s">
        <v>52</v>
      </c>
      <c r="D596" s="28" t="n">
        <v>71</v>
      </c>
      <c r="E596" s="29" t="n">
        <v>19367400</v>
      </c>
      <c r="F596" s="30" t="n">
        <v>564.65</v>
      </c>
      <c r="G596" s="31" t="n">
        <f aca="false">IFERROR(F596/D596,0)</f>
        <v>7.95281690140845</v>
      </c>
    </row>
    <row r="597" customFormat="false" ht="15" hidden="false" customHeight="false" outlineLevel="0" collapsed="false">
      <c r="A597" s="28" t="n">
        <v>2020</v>
      </c>
      <c r="B597" s="28" t="s">
        <v>82</v>
      </c>
      <c r="C597" s="28" t="s">
        <v>49</v>
      </c>
      <c r="D597" s="28" t="n">
        <v>113</v>
      </c>
      <c r="E597" s="29" t="n">
        <v>53464400</v>
      </c>
      <c r="F597" s="30" t="n">
        <v>825.84</v>
      </c>
      <c r="G597" s="31" t="n">
        <f aca="false">IFERROR(F597/D597,0)</f>
        <v>7.3083185840708</v>
      </c>
    </row>
    <row r="598" customFormat="false" ht="15" hidden="false" customHeight="false" outlineLevel="0" collapsed="false">
      <c r="A598" s="28" t="n">
        <v>2020</v>
      </c>
      <c r="B598" s="28" t="s">
        <v>84</v>
      </c>
      <c r="C598" s="28" t="s">
        <v>42</v>
      </c>
      <c r="D598" s="28" t="n">
        <v>278</v>
      </c>
      <c r="E598" s="29" t="n">
        <v>126985300</v>
      </c>
      <c r="F598" s="30" t="n">
        <v>1710.525</v>
      </c>
      <c r="G598" s="31" t="n">
        <f aca="false">IFERROR(F598/D598,0)</f>
        <v>6.15296762589928</v>
      </c>
    </row>
    <row r="599" customFormat="false" ht="15" hidden="false" customHeight="false" outlineLevel="0" collapsed="false">
      <c r="A599" s="28" t="n">
        <v>2020</v>
      </c>
      <c r="B599" s="28" t="s">
        <v>84</v>
      </c>
      <c r="C599" s="28" t="s">
        <v>50</v>
      </c>
      <c r="D599" s="28" t="n">
        <v>140</v>
      </c>
      <c r="E599" s="29" t="n">
        <v>31202700</v>
      </c>
      <c r="F599" s="30" t="n">
        <v>904.34</v>
      </c>
      <c r="G599" s="31" t="n">
        <f aca="false">IFERROR(F599/D599,0)</f>
        <v>6.45957142857143</v>
      </c>
    </row>
    <row r="600" customFormat="false" ht="15" hidden="false" customHeight="false" outlineLevel="0" collapsed="false">
      <c r="A600" s="28" t="n">
        <v>2020</v>
      </c>
      <c r="B600" s="28" t="s">
        <v>84</v>
      </c>
      <c r="C600" s="28" t="s">
        <v>55</v>
      </c>
      <c r="D600" s="28" t="n">
        <v>8</v>
      </c>
      <c r="E600" s="29" t="n">
        <v>4854300</v>
      </c>
      <c r="F600" s="30" t="n">
        <v>52.55</v>
      </c>
      <c r="G600" s="31" t="n">
        <f aca="false">IFERROR(F600/D600,0)</f>
        <v>6.56875</v>
      </c>
    </row>
    <row r="601" customFormat="false" ht="15" hidden="false" customHeight="false" outlineLevel="0" collapsed="false">
      <c r="A601" s="28" t="n">
        <v>2020</v>
      </c>
      <c r="B601" s="28" t="s">
        <v>84</v>
      </c>
      <c r="C601" s="28" t="s">
        <v>51</v>
      </c>
      <c r="D601" s="28" t="n">
        <v>54</v>
      </c>
      <c r="E601" s="29" t="n">
        <v>23098700</v>
      </c>
      <c r="F601" s="30" t="n">
        <v>355.646</v>
      </c>
      <c r="G601" s="31" t="n">
        <f aca="false">IFERROR(F601/D601,0)</f>
        <v>6.58603703703704</v>
      </c>
    </row>
    <row r="602" customFormat="false" ht="15" hidden="false" customHeight="false" outlineLevel="0" collapsed="false">
      <c r="A602" s="28" t="n">
        <v>2020</v>
      </c>
      <c r="B602" s="28" t="s">
        <v>84</v>
      </c>
      <c r="C602" s="28" t="s">
        <v>45</v>
      </c>
      <c r="D602" s="28" t="n">
        <v>374</v>
      </c>
      <c r="E602" s="29" t="n">
        <v>67130300</v>
      </c>
      <c r="F602" s="30" t="n">
        <v>2283.61</v>
      </c>
      <c r="G602" s="31" t="n">
        <f aca="false">IFERROR(F602/D602,0)</f>
        <v>6.10590909090909</v>
      </c>
    </row>
    <row r="603" customFormat="false" ht="15" hidden="false" customHeight="false" outlineLevel="0" collapsed="false">
      <c r="A603" s="28" t="n">
        <v>2020</v>
      </c>
      <c r="B603" s="28" t="s">
        <v>84</v>
      </c>
      <c r="C603" s="28" t="s">
        <v>56</v>
      </c>
      <c r="D603" s="28" t="n">
        <v>24</v>
      </c>
      <c r="E603" s="29" t="n">
        <v>7329200</v>
      </c>
      <c r="F603" s="30" t="n">
        <v>151.61</v>
      </c>
      <c r="G603" s="31" t="n">
        <f aca="false">IFERROR(F603/D603,0)</f>
        <v>6.31708333333333</v>
      </c>
    </row>
    <row r="604" customFormat="false" ht="15" hidden="false" customHeight="false" outlineLevel="0" collapsed="false">
      <c r="A604" s="28" t="n">
        <v>2020</v>
      </c>
      <c r="B604" s="28" t="s">
        <v>84</v>
      </c>
      <c r="C604" s="28" t="s">
        <v>54</v>
      </c>
      <c r="D604" s="28" t="n">
        <v>36</v>
      </c>
      <c r="E604" s="29" t="n">
        <v>13028300</v>
      </c>
      <c r="F604" s="30" t="n">
        <v>225.59</v>
      </c>
      <c r="G604" s="31" t="n">
        <f aca="false">IFERROR(F604/D604,0)</f>
        <v>6.26638888888889</v>
      </c>
    </row>
    <row r="605" customFormat="false" ht="15" hidden="false" customHeight="false" outlineLevel="0" collapsed="false">
      <c r="A605" s="28" t="n">
        <v>2020</v>
      </c>
      <c r="B605" s="28" t="s">
        <v>84</v>
      </c>
      <c r="C605" s="28" t="s">
        <v>44</v>
      </c>
      <c r="D605" s="28" t="n">
        <v>163</v>
      </c>
      <c r="E605" s="29" t="n">
        <v>74182300</v>
      </c>
      <c r="F605" s="30" t="n">
        <v>984.3</v>
      </c>
      <c r="G605" s="31" t="n">
        <f aca="false">IFERROR(F605/D605,0)</f>
        <v>6.03865030674847</v>
      </c>
    </row>
    <row r="606" customFormat="false" ht="15" hidden="false" customHeight="false" outlineLevel="0" collapsed="false">
      <c r="A606" s="28" t="n">
        <v>2020</v>
      </c>
      <c r="B606" s="28" t="s">
        <v>84</v>
      </c>
      <c r="C606" s="28" t="s">
        <v>57</v>
      </c>
      <c r="D606" s="28" t="n">
        <v>19</v>
      </c>
      <c r="E606" s="29" t="n">
        <v>14511800</v>
      </c>
      <c r="F606" s="30" t="n">
        <v>116.08</v>
      </c>
      <c r="G606" s="31" t="n">
        <f aca="false">IFERROR(F606/D606,0)</f>
        <v>6.10947368421053</v>
      </c>
    </row>
    <row r="607" customFormat="false" ht="15" hidden="false" customHeight="false" outlineLevel="0" collapsed="false">
      <c r="A607" s="28" t="n">
        <v>2020</v>
      </c>
      <c r="B607" s="28" t="s">
        <v>84</v>
      </c>
      <c r="C607" s="28" t="s">
        <v>59</v>
      </c>
      <c r="D607" s="28" t="n">
        <v>2</v>
      </c>
      <c r="E607" s="29" t="n">
        <v>1015000</v>
      </c>
      <c r="F607" s="30" t="n">
        <v>11.75</v>
      </c>
      <c r="G607" s="31" t="n">
        <f aca="false">IFERROR(F607/D607,0)</f>
        <v>5.875</v>
      </c>
    </row>
    <row r="608" customFormat="false" ht="15" hidden="false" customHeight="false" outlineLevel="0" collapsed="false">
      <c r="A608" s="28" t="n">
        <v>2020</v>
      </c>
      <c r="B608" s="28" t="s">
        <v>84</v>
      </c>
      <c r="C608" s="28" t="s">
        <v>47</v>
      </c>
      <c r="D608" s="28" t="n">
        <v>159</v>
      </c>
      <c r="E608" s="29" t="n">
        <v>74075600</v>
      </c>
      <c r="F608" s="30" t="n">
        <v>1006.28</v>
      </c>
      <c r="G608" s="31" t="n">
        <f aca="false">IFERROR(F608/D608,0)</f>
        <v>6.32880503144654</v>
      </c>
    </row>
    <row r="609" customFormat="false" ht="15" hidden="false" customHeight="false" outlineLevel="0" collapsed="false">
      <c r="A609" s="28" t="n">
        <v>2020</v>
      </c>
      <c r="B609" s="28" t="s">
        <v>84</v>
      </c>
      <c r="C609" s="28" t="s">
        <v>46</v>
      </c>
      <c r="D609" s="28" t="n">
        <v>152</v>
      </c>
      <c r="E609" s="29" t="n">
        <v>49334900</v>
      </c>
      <c r="F609" s="30" t="n">
        <v>949.915</v>
      </c>
      <c r="G609" s="31" t="n">
        <f aca="false">IFERROR(F609/D609,0)</f>
        <v>6.24944078947368</v>
      </c>
    </row>
    <row r="610" customFormat="false" ht="15" hidden="false" customHeight="false" outlineLevel="0" collapsed="false">
      <c r="A610" s="28" t="n">
        <v>2020</v>
      </c>
      <c r="B610" s="28" t="s">
        <v>84</v>
      </c>
      <c r="C610" s="28" t="s">
        <v>48</v>
      </c>
      <c r="D610" s="28" t="n">
        <v>160</v>
      </c>
      <c r="E610" s="29" t="n">
        <v>41117900</v>
      </c>
      <c r="F610" s="30" t="n">
        <v>1009.01</v>
      </c>
      <c r="G610" s="31" t="n">
        <f aca="false">IFERROR(F610/D610,0)</f>
        <v>6.3063125</v>
      </c>
    </row>
    <row r="611" customFormat="false" ht="15" hidden="false" customHeight="false" outlineLevel="0" collapsed="false">
      <c r="A611" s="28" t="n">
        <v>2020</v>
      </c>
      <c r="B611" s="28" t="s">
        <v>84</v>
      </c>
      <c r="C611" s="28" t="s">
        <v>53</v>
      </c>
      <c r="D611" s="28" t="n">
        <v>46</v>
      </c>
      <c r="E611" s="29" t="n">
        <v>18605100</v>
      </c>
      <c r="F611" s="30" t="n">
        <v>289.45</v>
      </c>
      <c r="G611" s="31" t="n">
        <f aca="false">IFERROR(F611/D611,0)</f>
        <v>6.29239130434783</v>
      </c>
    </row>
    <row r="612" customFormat="false" ht="15" hidden="false" customHeight="false" outlineLevel="0" collapsed="false">
      <c r="A612" s="28" t="n">
        <v>2020</v>
      </c>
      <c r="B612" s="28" t="s">
        <v>84</v>
      </c>
      <c r="C612" s="28" t="s">
        <v>43</v>
      </c>
      <c r="D612" s="28" t="n">
        <v>182</v>
      </c>
      <c r="E612" s="29" t="n">
        <v>57858400</v>
      </c>
      <c r="F612" s="30" t="n">
        <v>1145.6</v>
      </c>
      <c r="G612" s="31" t="n">
        <f aca="false">IFERROR(F612/D612,0)</f>
        <v>6.29450549450549</v>
      </c>
    </row>
    <row r="613" customFormat="false" ht="15" hidden="false" customHeight="false" outlineLevel="0" collapsed="false">
      <c r="A613" s="28" t="n">
        <v>2020</v>
      </c>
      <c r="B613" s="28" t="s">
        <v>84</v>
      </c>
      <c r="C613" s="28" t="s">
        <v>52</v>
      </c>
      <c r="D613" s="28" t="n">
        <v>335</v>
      </c>
      <c r="E613" s="29" t="n">
        <v>51338700</v>
      </c>
      <c r="F613" s="30" t="n">
        <v>1932.38</v>
      </c>
      <c r="G613" s="31" t="n">
        <f aca="false">IFERROR(F613/D613,0)</f>
        <v>5.76829850746269</v>
      </c>
    </row>
    <row r="614" customFormat="false" ht="15" hidden="false" customHeight="false" outlineLevel="0" collapsed="false">
      <c r="A614" s="28" t="n">
        <v>2020</v>
      </c>
      <c r="B614" s="28" t="s">
        <v>84</v>
      </c>
      <c r="C614" s="28" t="s">
        <v>60</v>
      </c>
      <c r="D614" s="28" t="n">
        <v>1</v>
      </c>
      <c r="E614" s="29" t="n">
        <v>50000</v>
      </c>
      <c r="F614" s="30" t="n">
        <v>7.25</v>
      </c>
      <c r="G614" s="31" t="n">
        <f aca="false">IFERROR(F614/D614,0)</f>
        <v>7.25</v>
      </c>
    </row>
    <row r="615" customFormat="false" ht="15" hidden="false" customHeight="false" outlineLevel="0" collapsed="false">
      <c r="A615" s="28" t="n">
        <v>2020</v>
      </c>
      <c r="B615" s="28" t="s">
        <v>84</v>
      </c>
      <c r="C615" s="28" t="s">
        <v>49</v>
      </c>
      <c r="D615" s="28" t="n">
        <v>74</v>
      </c>
      <c r="E615" s="29" t="n">
        <v>24695800</v>
      </c>
      <c r="F615" s="30" t="n">
        <v>460.709</v>
      </c>
      <c r="G615" s="31" t="n">
        <f aca="false">IFERROR(F615/D615,0)</f>
        <v>6.2257972972973</v>
      </c>
    </row>
    <row r="616" customFormat="false" ht="15" hidden="false" customHeight="false" outlineLevel="0" collapsed="false">
      <c r="A616" s="28" t="n">
        <v>2020</v>
      </c>
      <c r="B616" s="28" t="s">
        <v>114</v>
      </c>
      <c r="C616" s="28" t="s">
        <v>42</v>
      </c>
      <c r="D616" s="28" t="n">
        <v>57</v>
      </c>
      <c r="E616" s="29" t="n">
        <v>30035000</v>
      </c>
      <c r="F616" s="30" t="n">
        <v>334.765</v>
      </c>
      <c r="G616" s="31" t="n">
        <f aca="false">IFERROR(F616/D616,0)</f>
        <v>5.8730701754386</v>
      </c>
    </row>
    <row r="617" customFormat="false" ht="15" hidden="false" customHeight="false" outlineLevel="0" collapsed="false">
      <c r="A617" s="28" t="n">
        <v>2020</v>
      </c>
      <c r="B617" s="28" t="s">
        <v>114</v>
      </c>
      <c r="C617" s="28" t="s">
        <v>50</v>
      </c>
      <c r="D617" s="28" t="n">
        <v>21</v>
      </c>
      <c r="E617" s="29" t="n">
        <v>6193700</v>
      </c>
      <c r="F617" s="30" t="n">
        <v>128</v>
      </c>
      <c r="G617" s="31" t="n">
        <f aca="false">IFERROR(F617/D617,0)</f>
        <v>6.0952380952381</v>
      </c>
    </row>
    <row r="618" customFormat="false" ht="15" hidden="false" customHeight="false" outlineLevel="0" collapsed="false">
      <c r="A618" s="28" t="n">
        <v>2020</v>
      </c>
      <c r="B618" s="28" t="s">
        <v>114</v>
      </c>
      <c r="C618" s="28" t="s">
        <v>55</v>
      </c>
      <c r="D618" s="28" t="n">
        <v>2</v>
      </c>
      <c r="E618" s="29" t="n">
        <v>232000</v>
      </c>
      <c r="F618" s="30" t="n">
        <v>10.05</v>
      </c>
      <c r="G618" s="31" t="n">
        <f aca="false">IFERROR(F618/D618,0)</f>
        <v>5.025</v>
      </c>
    </row>
    <row r="619" customFormat="false" ht="15" hidden="false" customHeight="false" outlineLevel="0" collapsed="false">
      <c r="A619" s="28" t="n">
        <v>2020</v>
      </c>
      <c r="B619" s="28" t="s">
        <v>114</v>
      </c>
      <c r="C619" s="28" t="s">
        <v>51</v>
      </c>
      <c r="D619" s="28" t="n">
        <v>17</v>
      </c>
      <c r="E619" s="29" t="n">
        <v>5205200</v>
      </c>
      <c r="F619" s="30" t="n">
        <v>102.5</v>
      </c>
      <c r="G619" s="31" t="n">
        <f aca="false">IFERROR(F619/D619,0)</f>
        <v>6.02941176470588</v>
      </c>
    </row>
    <row r="620" customFormat="false" ht="15" hidden="false" customHeight="false" outlineLevel="0" collapsed="false">
      <c r="A620" s="28" t="n">
        <v>2020</v>
      </c>
      <c r="B620" s="28" t="s">
        <v>114</v>
      </c>
      <c r="C620" s="28" t="s">
        <v>45</v>
      </c>
      <c r="D620" s="28" t="n">
        <v>52</v>
      </c>
      <c r="E620" s="29" t="n">
        <v>31664000</v>
      </c>
      <c r="F620" s="30" t="n">
        <v>325.36</v>
      </c>
      <c r="G620" s="31" t="n">
        <f aca="false">IFERROR(F620/D620,0)</f>
        <v>6.25692307692308</v>
      </c>
    </row>
    <row r="621" customFormat="false" ht="15" hidden="false" customHeight="false" outlineLevel="0" collapsed="false">
      <c r="A621" s="28" t="n">
        <v>2020</v>
      </c>
      <c r="B621" s="28" t="s">
        <v>114</v>
      </c>
      <c r="C621" s="28" t="s">
        <v>56</v>
      </c>
      <c r="D621" s="28" t="n">
        <v>5</v>
      </c>
      <c r="E621" s="29" t="n">
        <v>604100</v>
      </c>
      <c r="F621" s="30" t="n">
        <v>33.88</v>
      </c>
      <c r="G621" s="31" t="n">
        <f aca="false">IFERROR(F621/D621,0)</f>
        <v>6.776</v>
      </c>
    </row>
    <row r="622" customFormat="false" ht="15" hidden="false" customHeight="false" outlineLevel="0" collapsed="false">
      <c r="A622" s="28" t="n">
        <v>2020</v>
      </c>
      <c r="B622" s="28" t="s">
        <v>114</v>
      </c>
      <c r="C622" s="28" t="s">
        <v>54</v>
      </c>
      <c r="D622" s="28" t="n">
        <v>14</v>
      </c>
      <c r="E622" s="29" t="n">
        <v>7280400</v>
      </c>
      <c r="F622" s="30" t="n">
        <v>90.69</v>
      </c>
      <c r="G622" s="31" t="n">
        <f aca="false">IFERROR(F622/D622,0)</f>
        <v>6.47785714285714</v>
      </c>
    </row>
    <row r="623" customFormat="false" ht="15" hidden="false" customHeight="false" outlineLevel="0" collapsed="false">
      <c r="A623" s="28" t="n">
        <v>2020</v>
      </c>
      <c r="B623" s="28" t="s">
        <v>114</v>
      </c>
      <c r="C623" s="28" t="s">
        <v>44</v>
      </c>
      <c r="D623" s="28" t="n">
        <v>41</v>
      </c>
      <c r="E623" s="29" t="n">
        <v>21366200</v>
      </c>
      <c r="F623" s="30" t="n">
        <v>230.385</v>
      </c>
      <c r="G623" s="31" t="n">
        <f aca="false">IFERROR(F623/D623,0)</f>
        <v>5.61914634146342</v>
      </c>
    </row>
    <row r="624" customFormat="false" ht="15" hidden="false" customHeight="false" outlineLevel="0" collapsed="false">
      <c r="A624" s="28" t="n">
        <v>2020</v>
      </c>
      <c r="B624" s="28" t="s">
        <v>114</v>
      </c>
      <c r="C624" s="28" t="s">
        <v>57</v>
      </c>
      <c r="D624" s="28" t="n">
        <v>5</v>
      </c>
      <c r="E624" s="29" t="n">
        <v>2136000</v>
      </c>
      <c r="F624" s="30" t="n">
        <v>32</v>
      </c>
      <c r="G624" s="31" t="n">
        <f aca="false">IFERROR(F624/D624,0)</f>
        <v>6.4</v>
      </c>
    </row>
    <row r="625" customFormat="false" ht="15" hidden="false" customHeight="false" outlineLevel="0" collapsed="false">
      <c r="A625" s="28" t="n">
        <v>2020</v>
      </c>
      <c r="B625" s="28" t="s">
        <v>114</v>
      </c>
      <c r="C625" s="28" t="s">
        <v>59</v>
      </c>
      <c r="D625" s="28" t="n">
        <v>2</v>
      </c>
      <c r="E625" s="29" t="n">
        <v>2550000</v>
      </c>
      <c r="F625" s="30" t="n">
        <v>12</v>
      </c>
      <c r="G625" s="31" t="n">
        <f aca="false">IFERROR(F625/D625,0)</f>
        <v>6</v>
      </c>
    </row>
    <row r="626" customFormat="false" ht="15" hidden="false" customHeight="false" outlineLevel="0" collapsed="false">
      <c r="A626" s="28" t="n">
        <v>2020</v>
      </c>
      <c r="B626" s="28" t="s">
        <v>114</v>
      </c>
      <c r="C626" s="28" t="s">
        <v>47</v>
      </c>
      <c r="D626" s="28" t="n">
        <v>43</v>
      </c>
      <c r="E626" s="29" t="n">
        <v>25663100</v>
      </c>
      <c r="F626" s="30" t="n">
        <v>240.82</v>
      </c>
      <c r="G626" s="31" t="n">
        <f aca="false">IFERROR(F626/D626,0)</f>
        <v>5.60046511627907</v>
      </c>
    </row>
    <row r="627" customFormat="false" ht="15" hidden="false" customHeight="false" outlineLevel="0" collapsed="false">
      <c r="A627" s="28" t="n">
        <v>2020</v>
      </c>
      <c r="B627" s="28" t="s">
        <v>114</v>
      </c>
      <c r="C627" s="28" t="s">
        <v>58</v>
      </c>
      <c r="D627" s="28" t="n">
        <v>7</v>
      </c>
      <c r="E627" s="29" t="n">
        <v>5608200</v>
      </c>
      <c r="F627" s="30" t="n">
        <v>36.59</v>
      </c>
      <c r="G627" s="31" t="n">
        <f aca="false">IFERROR(F627/D627,0)</f>
        <v>5.22714285714286</v>
      </c>
    </row>
    <row r="628" customFormat="false" ht="15" hidden="false" customHeight="false" outlineLevel="0" collapsed="false">
      <c r="A628" s="28" t="n">
        <v>2020</v>
      </c>
      <c r="B628" s="28" t="s">
        <v>114</v>
      </c>
      <c r="C628" s="28" t="s">
        <v>46</v>
      </c>
      <c r="D628" s="28" t="n">
        <v>44</v>
      </c>
      <c r="E628" s="29" t="n">
        <v>17610800</v>
      </c>
      <c r="F628" s="30" t="n">
        <v>256.61</v>
      </c>
      <c r="G628" s="31" t="n">
        <f aca="false">IFERROR(F628/D628,0)</f>
        <v>5.83204545454545</v>
      </c>
    </row>
    <row r="629" customFormat="false" ht="15" hidden="false" customHeight="false" outlineLevel="0" collapsed="false">
      <c r="A629" s="28" t="n">
        <v>2020</v>
      </c>
      <c r="B629" s="28" t="s">
        <v>114</v>
      </c>
      <c r="C629" s="28" t="s">
        <v>48</v>
      </c>
      <c r="D629" s="28" t="n">
        <v>32</v>
      </c>
      <c r="E629" s="29" t="n">
        <v>14376800</v>
      </c>
      <c r="F629" s="30" t="n">
        <v>194.35</v>
      </c>
      <c r="G629" s="31" t="n">
        <f aca="false">IFERROR(F629/D629,0)</f>
        <v>6.0734375</v>
      </c>
    </row>
    <row r="630" customFormat="false" ht="15" hidden="false" customHeight="false" outlineLevel="0" collapsed="false">
      <c r="A630" s="28" t="n">
        <v>2020</v>
      </c>
      <c r="B630" s="28" t="s">
        <v>114</v>
      </c>
      <c r="C630" s="28" t="s">
        <v>61</v>
      </c>
      <c r="D630" s="28" t="n">
        <v>1</v>
      </c>
      <c r="E630" s="29" t="n">
        <v>279000</v>
      </c>
      <c r="F630" s="30" t="n">
        <v>5.75</v>
      </c>
      <c r="G630" s="31" t="n">
        <f aca="false">IFERROR(F630/D630,0)</f>
        <v>5.75</v>
      </c>
    </row>
    <row r="631" customFormat="false" ht="15" hidden="false" customHeight="false" outlineLevel="0" collapsed="false">
      <c r="A631" s="28" t="n">
        <v>2020</v>
      </c>
      <c r="B631" s="28" t="s">
        <v>114</v>
      </c>
      <c r="C631" s="28" t="s">
        <v>53</v>
      </c>
      <c r="D631" s="28" t="n">
        <v>18</v>
      </c>
      <c r="E631" s="29" t="n">
        <v>12149500</v>
      </c>
      <c r="F631" s="30" t="n">
        <v>107.54</v>
      </c>
      <c r="G631" s="31" t="n">
        <f aca="false">IFERROR(F631/D631,0)</f>
        <v>5.97444444444445</v>
      </c>
    </row>
    <row r="632" customFormat="false" ht="15" hidden="false" customHeight="false" outlineLevel="0" collapsed="false">
      <c r="A632" s="28" t="n">
        <v>2020</v>
      </c>
      <c r="B632" s="28" t="s">
        <v>114</v>
      </c>
      <c r="C632" s="28" t="s">
        <v>43</v>
      </c>
      <c r="D632" s="28" t="n">
        <v>50</v>
      </c>
      <c r="E632" s="29" t="n">
        <v>21559500</v>
      </c>
      <c r="F632" s="30" t="n">
        <v>291.13</v>
      </c>
      <c r="G632" s="31" t="n">
        <f aca="false">IFERROR(F632/D632,0)</f>
        <v>5.8226</v>
      </c>
    </row>
    <row r="633" customFormat="false" ht="15" hidden="false" customHeight="false" outlineLevel="0" collapsed="false">
      <c r="A633" s="28" t="n">
        <v>2020</v>
      </c>
      <c r="B633" s="28" t="s">
        <v>114</v>
      </c>
      <c r="C633" s="28" t="s">
        <v>52</v>
      </c>
      <c r="D633" s="28" t="n">
        <v>23</v>
      </c>
      <c r="E633" s="29" t="n">
        <v>2146400</v>
      </c>
      <c r="F633" s="30" t="n">
        <v>141.7</v>
      </c>
      <c r="G633" s="31" t="n">
        <f aca="false">IFERROR(F633/D633,0)</f>
        <v>6.16086956521739</v>
      </c>
    </row>
    <row r="634" customFormat="false" ht="15" hidden="false" customHeight="false" outlineLevel="0" collapsed="false">
      <c r="A634" s="28" t="n">
        <v>2020</v>
      </c>
      <c r="B634" s="28" t="s">
        <v>114</v>
      </c>
      <c r="C634" s="28" t="s">
        <v>60</v>
      </c>
      <c r="D634" s="28" t="n">
        <v>1</v>
      </c>
      <c r="E634" s="29" t="n">
        <v>76500</v>
      </c>
      <c r="F634" s="30" t="n">
        <v>7</v>
      </c>
      <c r="G634" s="31" t="n">
        <f aca="false">IFERROR(F634/D634,0)</f>
        <v>7</v>
      </c>
    </row>
    <row r="635" customFormat="false" ht="15" hidden="false" customHeight="false" outlineLevel="0" collapsed="false">
      <c r="A635" s="28" t="n">
        <v>2020</v>
      </c>
      <c r="B635" s="28" t="s">
        <v>114</v>
      </c>
      <c r="C635" s="28" t="s">
        <v>49</v>
      </c>
      <c r="D635" s="28" t="n">
        <v>7</v>
      </c>
      <c r="E635" s="29" t="n">
        <v>5506500</v>
      </c>
      <c r="F635" s="30" t="n">
        <v>42.75</v>
      </c>
      <c r="G635" s="31" t="n">
        <f aca="false">IFERROR(F635/D635,0)</f>
        <v>6.10714285714286</v>
      </c>
    </row>
    <row r="636" customFormat="false" ht="15" hidden="false" customHeight="false" outlineLevel="0" collapsed="false">
      <c r="A636" s="28" t="n">
        <v>2020</v>
      </c>
      <c r="B636" s="28" t="s">
        <v>108</v>
      </c>
      <c r="C636" s="28" t="s">
        <v>42</v>
      </c>
      <c r="D636" s="28" t="n">
        <v>85</v>
      </c>
      <c r="E636" s="29" t="n">
        <v>54894300</v>
      </c>
      <c r="F636" s="30" t="n">
        <v>546.04</v>
      </c>
      <c r="G636" s="31" t="n">
        <f aca="false">IFERROR(F636/D636,0)</f>
        <v>6.424</v>
      </c>
    </row>
    <row r="637" customFormat="false" ht="15" hidden="false" customHeight="false" outlineLevel="0" collapsed="false">
      <c r="A637" s="28" t="n">
        <v>2020</v>
      </c>
      <c r="B637" s="28" t="s">
        <v>108</v>
      </c>
      <c r="C637" s="28" t="s">
        <v>50</v>
      </c>
      <c r="D637" s="28" t="n">
        <v>34</v>
      </c>
      <c r="E637" s="29" t="n">
        <v>16019100</v>
      </c>
      <c r="F637" s="30" t="n">
        <v>215.34</v>
      </c>
      <c r="G637" s="31" t="n">
        <f aca="false">IFERROR(F637/D637,0)</f>
        <v>6.33352941176471</v>
      </c>
    </row>
    <row r="638" customFormat="false" ht="15" hidden="false" customHeight="false" outlineLevel="0" collapsed="false">
      <c r="A638" s="28" t="n">
        <v>2020</v>
      </c>
      <c r="B638" s="28" t="s">
        <v>108</v>
      </c>
      <c r="C638" s="28" t="s">
        <v>55</v>
      </c>
      <c r="D638" s="28" t="n">
        <v>9</v>
      </c>
      <c r="E638" s="29" t="n">
        <v>1190000</v>
      </c>
      <c r="F638" s="30" t="n">
        <v>57.25</v>
      </c>
      <c r="G638" s="31" t="n">
        <f aca="false">IFERROR(F638/D638,0)</f>
        <v>6.36111111111111</v>
      </c>
    </row>
    <row r="639" customFormat="false" ht="15" hidden="false" customHeight="false" outlineLevel="0" collapsed="false">
      <c r="A639" s="28" t="n">
        <v>2020</v>
      </c>
      <c r="B639" s="28" t="s">
        <v>108</v>
      </c>
      <c r="C639" s="28" t="s">
        <v>51</v>
      </c>
      <c r="D639" s="28" t="n">
        <v>9</v>
      </c>
      <c r="E639" s="29" t="n">
        <v>3040200</v>
      </c>
      <c r="F639" s="30" t="n">
        <v>60.3</v>
      </c>
      <c r="G639" s="31" t="n">
        <f aca="false">IFERROR(F639/D639,0)</f>
        <v>6.7</v>
      </c>
    </row>
    <row r="640" customFormat="false" ht="15" hidden="false" customHeight="false" outlineLevel="0" collapsed="false">
      <c r="A640" s="28" t="n">
        <v>2020</v>
      </c>
      <c r="B640" s="28" t="s">
        <v>108</v>
      </c>
      <c r="C640" s="28" t="s">
        <v>45</v>
      </c>
      <c r="D640" s="28" t="n">
        <v>105</v>
      </c>
      <c r="E640" s="29" t="n">
        <v>21953100</v>
      </c>
      <c r="F640" s="30" t="n">
        <v>715.23</v>
      </c>
      <c r="G640" s="31" t="n">
        <f aca="false">IFERROR(F640/D640,0)</f>
        <v>6.81171428571429</v>
      </c>
    </row>
    <row r="641" customFormat="false" ht="15" hidden="false" customHeight="false" outlineLevel="0" collapsed="false">
      <c r="A641" s="28" t="n">
        <v>2020</v>
      </c>
      <c r="B641" s="28" t="s">
        <v>108</v>
      </c>
      <c r="C641" s="28" t="s">
        <v>56</v>
      </c>
      <c r="D641" s="28" t="n">
        <v>9</v>
      </c>
      <c r="E641" s="29" t="n">
        <v>2952400</v>
      </c>
      <c r="F641" s="30" t="n">
        <v>50.29</v>
      </c>
      <c r="G641" s="31" t="n">
        <f aca="false">IFERROR(F641/D641,0)</f>
        <v>5.58777777777778</v>
      </c>
    </row>
    <row r="642" customFormat="false" ht="15" hidden="false" customHeight="false" outlineLevel="0" collapsed="false">
      <c r="A642" s="28" t="n">
        <v>2020</v>
      </c>
      <c r="B642" s="28" t="s">
        <v>108</v>
      </c>
      <c r="C642" s="28" t="s">
        <v>54</v>
      </c>
      <c r="D642" s="28" t="n">
        <v>23</v>
      </c>
      <c r="E642" s="29" t="n">
        <v>12750400</v>
      </c>
      <c r="F642" s="30" t="n">
        <v>146.56</v>
      </c>
      <c r="G642" s="31" t="n">
        <f aca="false">IFERROR(F642/D642,0)</f>
        <v>6.37217391304348</v>
      </c>
    </row>
    <row r="643" customFormat="false" ht="15" hidden="false" customHeight="false" outlineLevel="0" collapsed="false">
      <c r="A643" s="28" t="n">
        <v>2020</v>
      </c>
      <c r="B643" s="28" t="s">
        <v>108</v>
      </c>
      <c r="C643" s="28" t="s">
        <v>44</v>
      </c>
      <c r="D643" s="28" t="n">
        <v>39</v>
      </c>
      <c r="E643" s="29" t="n">
        <v>21236300</v>
      </c>
      <c r="F643" s="30" t="n">
        <v>253.86</v>
      </c>
      <c r="G643" s="31" t="n">
        <f aca="false">IFERROR(F643/D643,0)</f>
        <v>6.50923076923077</v>
      </c>
    </row>
    <row r="644" customFormat="false" ht="15" hidden="false" customHeight="false" outlineLevel="0" collapsed="false">
      <c r="A644" s="28" t="n">
        <v>2020</v>
      </c>
      <c r="B644" s="28" t="s">
        <v>108</v>
      </c>
      <c r="C644" s="28" t="s">
        <v>57</v>
      </c>
      <c r="D644" s="28" t="n">
        <v>11</v>
      </c>
      <c r="E644" s="29" t="n">
        <v>7323000</v>
      </c>
      <c r="F644" s="30" t="n">
        <v>68.48</v>
      </c>
      <c r="G644" s="31" t="n">
        <f aca="false">IFERROR(F644/D644,0)</f>
        <v>6.22545454545455</v>
      </c>
    </row>
    <row r="645" customFormat="false" ht="15" hidden="false" customHeight="false" outlineLevel="0" collapsed="false">
      <c r="A645" s="28" t="n">
        <v>2020</v>
      </c>
      <c r="B645" s="28" t="s">
        <v>108</v>
      </c>
      <c r="C645" s="28" t="s">
        <v>47</v>
      </c>
      <c r="D645" s="28" t="n">
        <v>52</v>
      </c>
      <c r="E645" s="29" t="n">
        <v>40458000</v>
      </c>
      <c r="F645" s="30" t="n">
        <v>333.97</v>
      </c>
      <c r="G645" s="31" t="n">
        <f aca="false">IFERROR(F645/D645,0)</f>
        <v>6.4225</v>
      </c>
    </row>
    <row r="646" customFormat="false" ht="15" hidden="false" customHeight="false" outlineLevel="0" collapsed="false">
      <c r="A646" s="28" t="n">
        <v>2020</v>
      </c>
      <c r="B646" s="28" t="s">
        <v>108</v>
      </c>
      <c r="C646" s="28" t="s">
        <v>46</v>
      </c>
      <c r="D646" s="28" t="n">
        <v>47</v>
      </c>
      <c r="E646" s="29" t="n">
        <v>20257600</v>
      </c>
      <c r="F646" s="30" t="n">
        <v>300.93</v>
      </c>
      <c r="G646" s="31" t="n">
        <f aca="false">IFERROR(F646/D646,0)</f>
        <v>6.40276595744681</v>
      </c>
    </row>
    <row r="647" customFormat="false" ht="15" hidden="false" customHeight="false" outlineLevel="0" collapsed="false">
      <c r="A647" s="28" t="n">
        <v>2020</v>
      </c>
      <c r="B647" s="28" t="s">
        <v>108</v>
      </c>
      <c r="C647" s="28" t="s">
        <v>48</v>
      </c>
      <c r="D647" s="28" t="n">
        <v>68</v>
      </c>
      <c r="E647" s="29" t="n">
        <v>24082000</v>
      </c>
      <c r="F647" s="30" t="n">
        <v>461.9</v>
      </c>
      <c r="G647" s="31" t="n">
        <f aca="false">IFERROR(F647/D647,0)</f>
        <v>6.79264705882353</v>
      </c>
    </row>
    <row r="648" customFormat="false" ht="15" hidden="false" customHeight="false" outlineLevel="0" collapsed="false">
      <c r="A648" s="28" t="n">
        <v>2020</v>
      </c>
      <c r="B648" s="28" t="s">
        <v>108</v>
      </c>
      <c r="C648" s="28" t="s">
        <v>53</v>
      </c>
      <c r="D648" s="28" t="n">
        <v>18</v>
      </c>
      <c r="E648" s="29" t="n">
        <v>17443200</v>
      </c>
      <c r="F648" s="30" t="n">
        <v>99.4</v>
      </c>
      <c r="G648" s="31" t="n">
        <f aca="false">IFERROR(F648/D648,0)</f>
        <v>5.52222222222222</v>
      </c>
    </row>
    <row r="649" customFormat="false" ht="15" hidden="false" customHeight="false" outlineLevel="0" collapsed="false">
      <c r="A649" s="28" t="n">
        <v>2020</v>
      </c>
      <c r="B649" s="28" t="s">
        <v>108</v>
      </c>
      <c r="C649" s="28" t="s">
        <v>43</v>
      </c>
      <c r="D649" s="28" t="n">
        <v>89</v>
      </c>
      <c r="E649" s="29" t="n">
        <v>49778300</v>
      </c>
      <c r="F649" s="30" t="n">
        <v>563.6</v>
      </c>
      <c r="G649" s="31" t="n">
        <f aca="false">IFERROR(F649/D649,0)</f>
        <v>6.33258426966292</v>
      </c>
    </row>
    <row r="650" customFormat="false" ht="15" hidden="false" customHeight="false" outlineLevel="0" collapsed="false">
      <c r="A650" s="28" t="n">
        <v>2020</v>
      </c>
      <c r="B650" s="28" t="s">
        <v>108</v>
      </c>
      <c r="C650" s="28" t="s">
        <v>52</v>
      </c>
      <c r="D650" s="28" t="n">
        <v>16</v>
      </c>
      <c r="E650" s="29" t="n">
        <v>8386000</v>
      </c>
      <c r="F650" s="30" t="n">
        <v>96.23</v>
      </c>
      <c r="G650" s="31" t="n">
        <f aca="false">IFERROR(F650/D650,0)</f>
        <v>6.014375</v>
      </c>
    </row>
    <row r="651" customFormat="false" ht="15" hidden="false" customHeight="false" outlineLevel="0" collapsed="false">
      <c r="A651" s="28" t="n">
        <v>2020</v>
      </c>
      <c r="B651" s="28" t="s">
        <v>108</v>
      </c>
      <c r="C651" s="28" t="s">
        <v>60</v>
      </c>
      <c r="D651" s="28" t="n">
        <v>1</v>
      </c>
      <c r="E651" s="29" t="n">
        <v>35000</v>
      </c>
      <c r="F651" s="30" t="n">
        <v>6.99</v>
      </c>
      <c r="G651" s="31" t="n">
        <f aca="false">IFERROR(F651/D651,0)</f>
        <v>6.99</v>
      </c>
    </row>
    <row r="652" customFormat="false" ht="15" hidden="false" customHeight="false" outlineLevel="0" collapsed="false">
      <c r="A652" s="28" t="n">
        <v>2020</v>
      </c>
      <c r="B652" s="28" t="s">
        <v>108</v>
      </c>
      <c r="C652" s="28" t="s">
        <v>49</v>
      </c>
      <c r="D652" s="28" t="n">
        <v>19</v>
      </c>
      <c r="E652" s="29" t="n">
        <v>9091600</v>
      </c>
      <c r="F652" s="30" t="n">
        <v>126.52</v>
      </c>
      <c r="G652" s="31" t="n">
        <f aca="false">IFERROR(F652/D652,0)</f>
        <v>6.65894736842105</v>
      </c>
    </row>
    <row r="653" customFormat="false" ht="15" hidden="false" customHeight="false" outlineLevel="0" collapsed="false">
      <c r="A653" s="28" t="n">
        <v>2020</v>
      </c>
      <c r="B653" s="28" t="s">
        <v>93</v>
      </c>
      <c r="C653" s="28" t="s">
        <v>42</v>
      </c>
      <c r="D653" s="28" t="n">
        <v>136</v>
      </c>
      <c r="E653" s="29" t="n">
        <v>80553100</v>
      </c>
      <c r="F653" s="30" t="n">
        <v>911.05</v>
      </c>
      <c r="G653" s="31" t="n">
        <f aca="false">IFERROR(F653/D653,0)</f>
        <v>6.69889705882353</v>
      </c>
    </row>
    <row r="654" customFormat="false" ht="15" hidden="false" customHeight="false" outlineLevel="0" collapsed="false">
      <c r="A654" s="28" t="n">
        <v>2020</v>
      </c>
      <c r="B654" s="28" t="s">
        <v>93</v>
      </c>
      <c r="C654" s="28" t="s">
        <v>50</v>
      </c>
      <c r="D654" s="28" t="n">
        <v>61</v>
      </c>
      <c r="E654" s="29" t="n">
        <v>25851000</v>
      </c>
      <c r="F654" s="30" t="n">
        <v>425.79</v>
      </c>
      <c r="G654" s="31" t="n">
        <f aca="false">IFERROR(F654/D654,0)</f>
        <v>6.98016393442623</v>
      </c>
    </row>
    <row r="655" customFormat="false" ht="15" hidden="false" customHeight="false" outlineLevel="0" collapsed="false">
      <c r="A655" s="28" t="n">
        <v>2020</v>
      </c>
      <c r="B655" s="28" t="s">
        <v>93</v>
      </c>
      <c r="C655" s="28" t="s">
        <v>55</v>
      </c>
      <c r="D655" s="28" t="n">
        <v>11</v>
      </c>
      <c r="E655" s="29" t="n">
        <v>1409300</v>
      </c>
      <c r="F655" s="30" t="n">
        <v>82.51</v>
      </c>
      <c r="G655" s="31" t="n">
        <f aca="false">IFERROR(F655/D655,0)</f>
        <v>7.50090909090909</v>
      </c>
    </row>
    <row r="656" customFormat="false" ht="15" hidden="false" customHeight="false" outlineLevel="0" collapsed="false">
      <c r="A656" s="28" t="n">
        <v>2020</v>
      </c>
      <c r="B656" s="28" t="s">
        <v>93</v>
      </c>
      <c r="C656" s="28" t="s">
        <v>51</v>
      </c>
      <c r="D656" s="28" t="n">
        <v>30</v>
      </c>
      <c r="E656" s="29" t="n">
        <v>14181600</v>
      </c>
      <c r="F656" s="30" t="n">
        <v>224.47</v>
      </c>
      <c r="G656" s="31" t="n">
        <f aca="false">IFERROR(F656/D656,0)</f>
        <v>7.48233333333333</v>
      </c>
    </row>
    <row r="657" customFormat="false" ht="15" hidden="false" customHeight="false" outlineLevel="0" collapsed="false">
      <c r="A657" s="28" t="n">
        <v>2020</v>
      </c>
      <c r="B657" s="28" t="s">
        <v>93</v>
      </c>
      <c r="C657" s="28" t="s">
        <v>45</v>
      </c>
      <c r="D657" s="28" t="n">
        <v>135</v>
      </c>
      <c r="E657" s="29" t="n">
        <v>53135900</v>
      </c>
      <c r="F657" s="30" t="n">
        <v>921.26</v>
      </c>
      <c r="G657" s="31" t="n">
        <f aca="false">IFERROR(F657/D657,0)</f>
        <v>6.82414814814815</v>
      </c>
    </row>
    <row r="658" customFormat="false" ht="15" hidden="false" customHeight="false" outlineLevel="0" collapsed="false">
      <c r="A658" s="28" t="n">
        <v>2020</v>
      </c>
      <c r="B658" s="28" t="s">
        <v>93</v>
      </c>
      <c r="C658" s="28" t="s">
        <v>56</v>
      </c>
      <c r="D658" s="28" t="n">
        <v>8</v>
      </c>
      <c r="E658" s="29" t="n">
        <v>4428000</v>
      </c>
      <c r="F658" s="30" t="n">
        <v>61.25</v>
      </c>
      <c r="G658" s="31" t="n">
        <f aca="false">IFERROR(F658/D658,0)</f>
        <v>7.65625</v>
      </c>
    </row>
    <row r="659" customFormat="false" ht="15" hidden="false" customHeight="false" outlineLevel="0" collapsed="false">
      <c r="A659" s="28" t="n">
        <v>2020</v>
      </c>
      <c r="B659" s="28" t="s">
        <v>93</v>
      </c>
      <c r="C659" s="28" t="s">
        <v>54</v>
      </c>
      <c r="D659" s="28" t="n">
        <v>30</v>
      </c>
      <c r="E659" s="29" t="n">
        <v>20178500</v>
      </c>
      <c r="F659" s="30" t="n">
        <v>184</v>
      </c>
      <c r="G659" s="31" t="n">
        <f aca="false">IFERROR(F659/D659,0)</f>
        <v>6.13333333333333</v>
      </c>
    </row>
    <row r="660" customFormat="false" ht="15" hidden="false" customHeight="false" outlineLevel="0" collapsed="false">
      <c r="A660" s="28" t="n">
        <v>2020</v>
      </c>
      <c r="B660" s="28" t="s">
        <v>93</v>
      </c>
      <c r="C660" s="28" t="s">
        <v>44</v>
      </c>
      <c r="D660" s="28" t="n">
        <v>92</v>
      </c>
      <c r="E660" s="29" t="n">
        <v>40830500</v>
      </c>
      <c r="F660" s="30" t="n">
        <v>597.34</v>
      </c>
      <c r="G660" s="31" t="n">
        <f aca="false">IFERROR(F660/D660,0)</f>
        <v>6.49282608695652</v>
      </c>
    </row>
    <row r="661" customFormat="false" ht="15" hidden="false" customHeight="false" outlineLevel="0" collapsed="false">
      <c r="A661" s="28" t="n">
        <v>2020</v>
      </c>
      <c r="B661" s="28" t="s">
        <v>93</v>
      </c>
      <c r="C661" s="28" t="s">
        <v>57</v>
      </c>
      <c r="D661" s="28" t="n">
        <v>12</v>
      </c>
      <c r="E661" s="29" t="n">
        <v>3696500</v>
      </c>
      <c r="F661" s="30" t="n">
        <v>87.98</v>
      </c>
      <c r="G661" s="31" t="n">
        <f aca="false">IFERROR(F661/D661,0)</f>
        <v>7.33166666666667</v>
      </c>
    </row>
    <row r="662" customFormat="false" ht="15" hidden="false" customHeight="false" outlineLevel="0" collapsed="false">
      <c r="A662" s="28" t="n">
        <v>2020</v>
      </c>
      <c r="B662" s="28" t="s">
        <v>93</v>
      </c>
      <c r="C662" s="28" t="s">
        <v>47</v>
      </c>
      <c r="D662" s="28" t="n">
        <v>88</v>
      </c>
      <c r="E662" s="29" t="n">
        <v>61082600</v>
      </c>
      <c r="F662" s="30" t="n">
        <v>583.943</v>
      </c>
      <c r="G662" s="31" t="n">
        <f aca="false">IFERROR(F662/D662,0)</f>
        <v>6.63571590909091</v>
      </c>
    </row>
    <row r="663" customFormat="false" ht="15" hidden="false" customHeight="false" outlineLevel="0" collapsed="false">
      <c r="A663" s="28" t="n">
        <v>2020</v>
      </c>
      <c r="B663" s="28" t="s">
        <v>93</v>
      </c>
      <c r="C663" s="28" t="s">
        <v>58</v>
      </c>
      <c r="D663" s="28" t="n">
        <v>2</v>
      </c>
      <c r="E663" s="29" t="n">
        <v>176000</v>
      </c>
      <c r="F663" s="30" t="n">
        <v>11.75</v>
      </c>
      <c r="G663" s="31" t="n">
        <f aca="false">IFERROR(F663/D663,0)</f>
        <v>5.875</v>
      </c>
    </row>
    <row r="664" customFormat="false" ht="15" hidden="false" customHeight="false" outlineLevel="0" collapsed="false">
      <c r="A664" s="28" t="n">
        <v>2020</v>
      </c>
      <c r="B664" s="28" t="s">
        <v>93</v>
      </c>
      <c r="C664" s="28" t="s">
        <v>46</v>
      </c>
      <c r="D664" s="28" t="n">
        <v>111</v>
      </c>
      <c r="E664" s="29" t="n">
        <v>40574700</v>
      </c>
      <c r="F664" s="30" t="n">
        <v>740.02</v>
      </c>
      <c r="G664" s="31" t="n">
        <f aca="false">IFERROR(F664/D664,0)</f>
        <v>6.66684684684685</v>
      </c>
    </row>
    <row r="665" customFormat="false" ht="15" hidden="false" customHeight="false" outlineLevel="0" collapsed="false">
      <c r="A665" s="28" t="n">
        <v>2020</v>
      </c>
      <c r="B665" s="28" t="s">
        <v>93</v>
      </c>
      <c r="C665" s="28" t="s">
        <v>48</v>
      </c>
      <c r="D665" s="28" t="n">
        <v>89</v>
      </c>
      <c r="E665" s="29" t="n">
        <v>39599200</v>
      </c>
      <c r="F665" s="30" t="n">
        <v>596.87</v>
      </c>
      <c r="G665" s="31" t="n">
        <f aca="false">IFERROR(F665/D665,0)</f>
        <v>6.70640449438202</v>
      </c>
    </row>
    <row r="666" customFormat="false" ht="15" hidden="false" customHeight="false" outlineLevel="0" collapsed="false">
      <c r="A666" s="28" t="n">
        <v>2020</v>
      </c>
      <c r="B666" s="28" t="s">
        <v>93</v>
      </c>
      <c r="C666" s="28" t="s">
        <v>53</v>
      </c>
      <c r="D666" s="28" t="n">
        <v>24</v>
      </c>
      <c r="E666" s="29" t="n">
        <v>14897700</v>
      </c>
      <c r="F666" s="30" t="n">
        <v>167.57</v>
      </c>
      <c r="G666" s="31" t="n">
        <f aca="false">IFERROR(F666/D666,0)</f>
        <v>6.98208333333333</v>
      </c>
    </row>
    <row r="667" customFormat="false" ht="15" hidden="false" customHeight="false" outlineLevel="0" collapsed="false">
      <c r="A667" s="28" t="n">
        <v>2020</v>
      </c>
      <c r="B667" s="28" t="s">
        <v>93</v>
      </c>
      <c r="C667" s="28" t="s">
        <v>43</v>
      </c>
      <c r="D667" s="28" t="n">
        <v>146</v>
      </c>
      <c r="E667" s="29" t="n">
        <v>56439100</v>
      </c>
      <c r="F667" s="30" t="n">
        <v>1009.7375</v>
      </c>
      <c r="G667" s="31" t="n">
        <f aca="false">IFERROR(F667/D667,0)</f>
        <v>6.9160102739726</v>
      </c>
    </row>
    <row r="668" customFormat="false" ht="15" hidden="false" customHeight="false" outlineLevel="0" collapsed="false">
      <c r="A668" s="28" t="n">
        <v>2020</v>
      </c>
      <c r="B668" s="28" t="s">
        <v>93</v>
      </c>
      <c r="C668" s="28" t="s">
        <v>52</v>
      </c>
      <c r="D668" s="28" t="n">
        <v>73</v>
      </c>
      <c r="E668" s="29" t="n">
        <v>20950000</v>
      </c>
      <c r="F668" s="30" t="n">
        <v>538.27</v>
      </c>
      <c r="G668" s="31" t="n">
        <f aca="false">IFERROR(F668/D668,0)</f>
        <v>7.37356164383562</v>
      </c>
    </row>
    <row r="669" customFormat="false" ht="15" hidden="false" customHeight="false" outlineLevel="0" collapsed="false">
      <c r="A669" s="28" t="n">
        <v>2020</v>
      </c>
      <c r="B669" s="28" t="s">
        <v>93</v>
      </c>
      <c r="C669" s="28" t="s">
        <v>60</v>
      </c>
      <c r="D669" s="28" t="n">
        <v>2</v>
      </c>
      <c r="E669" s="29" t="n">
        <v>986500</v>
      </c>
      <c r="F669" s="30" t="n">
        <v>10.5</v>
      </c>
      <c r="G669" s="31" t="n">
        <f aca="false">IFERROR(F669/D669,0)</f>
        <v>5.25</v>
      </c>
    </row>
    <row r="670" customFormat="false" ht="15" hidden="false" customHeight="false" outlineLevel="0" collapsed="false">
      <c r="A670" s="28" t="n">
        <v>2020</v>
      </c>
      <c r="B670" s="28" t="s">
        <v>93</v>
      </c>
      <c r="C670" s="28" t="s">
        <v>49</v>
      </c>
      <c r="D670" s="28" t="n">
        <v>38</v>
      </c>
      <c r="E670" s="29" t="n">
        <v>21884500</v>
      </c>
      <c r="F670" s="30" t="n">
        <v>247.82</v>
      </c>
      <c r="G670" s="31" t="n">
        <f aca="false">IFERROR(F670/D670,0)</f>
        <v>6.52157894736842</v>
      </c>
    </row>
    <row r="671" customFormat="false" ht="15" hidden="false" customHeight="false" outlineLevel="0" collapsed="false">
      <c r="A671" s="28" t="n">
        <v>2020</v>
      </c>
      <c r="B671" s="28" t="s">
        <v>120</v>
      </c>
      <c r="C671" s="28" t="s">
        <v>42</v>
      </c>
      <c r="D671" s="28" t="n">
        <v>29</v>
      </c>
      <c r="E671" s="29" t="n">
        <v>3451800</v>
      </c>
      <c r="F671" s="30" t="n">
        <v>230.25</v>
      </c>
      <c r="G671" s="31" t="n">
        <f aca="false">IFERROR(F671/D671,0)</f>
        <v>7.93965517241379</v>
      </c>
    </row>
    <row r="672" customFormat="false" ht="15" hidden="false" customHeight="false" outlineLevel="0" collapsed="false">
      <c r="A672" s="28" t="n">
        <v>2020</v>
      </c>
      <c r="B672" s="28" t="s">
        <v>120</v>
      </c>
      <c r="C672" s="28" t="s">
        <v>50</v>
      </c>
      <c r="D672" s="28" t="n">
        <v>8</v>
      </c>
      <c r="E672" s="29" t="n">
        <v>1124200</v>
      </c>
      <c r="F672" s="30" t="n">
        <v>66.75</v>
      </c>
      <c r="G672" s="31" t="n">
        <f aca="false">IFERROR(F672/D672,0)</f>
        <v>8.34375</v>
      </c>
    </row>
    <row r="673" customFormat="false" ht="15" hidden="false" customHeight="false" outlineLevel="0" collapsed="false">
      <c r="A673" s="28" t="n">
        <v>2020</v>
      </c>
      <c r="B673" s="28" t="s">
        <v>120</v>
      </c>
      <c r="C673" s="28" t="s">
        <v>55</v>
      </c>
      <c r="D673" s="28" t="n">
        <v>1</v>
      </c>
      <c r="E673" s="29" t="n">
        <v>20000</v>
      </c>
      <c r="F673" s="30" t="n">
        <v>11.5</v>
      </c>
      <c r="G673" s="31" t="n">
        <f aca="false">IFERROR(F673/D673,0)</f>
        <v>11.5</v>
      </c>
    </row>
    <row r="674" customFormat="false" ht="15" hidden="false" customHeight="false" outlineLevel="0" collapsed="false">
      <c r="A674" s="28" t="n">
        <v>2020</v>
      </c>
      <c r="B674" s="28" t="s">
        <v>120</v>
      </c>
      <c r="C674" s="28" t="s">
        <v>51</v>
      </c>
      <c r="D674" s="28" t="n">
        <v>4</v>
      </c>
      <c r="E674" s="29" t="n">
        <v>150500</v>
      </c>
      <c r="F674" s="30" t="n">
        <v>32</v>
      </c>
      <c r="G674" s="31" t="n">
        <f aca="false">IFERROR(F674/D674,0)</f>
        <v>8</v>
      </c>
    </row>
    <row r="675" customFormat="false" ht="15" hidden="false" customHeight="false" outlineLevel="0" collapsed="false">
      <c r="A675" s="28" t="n">
        <v>2020</v>
      </c>
      <c r="B675" s="28" t="s">
        <v>120</v>
      </c>
      <c r="C675" s="28" t="s">
        <v>45</v>
      </c>
      <c r="D675" s="28" t="n">
        <v>32</v>
      </c>
      <c r="E675" s="29" t="n">
        <v>5956000</v>
      </c>
      <c r="F675" s="30" t="n">
        <v>230.75</v>
      </c>
      <c r="G675" s="31" t="n">
        <f aca="false">IFERROR(F675/D675,0)</f>
        <v>7.2109375</v>
      </c>
    </row>
    <row r="676" customFormat="false" ht="15" hidden="false" customHeight="false" outlineLevel="0" collapsed="false">
      <c r="A676" s="28" t="n">
        <v>2020</v>
      </c>
      <c r="B676" s="28" t="s">
        <v>120</v>
      </c>
      <c r="C676" s="28" t="s">
        <v>56</v>
      </c>
      <c r="D676" s="28" t="n">
        <v>6</v>
      </c>
      <c r="E676" s="29" t="n">
        <v>533000</v>
      </c>
      <c r="F676" s="30" t="n">
        <v>51.5</v>
      </c>
      <c r="G676" s="31" t="n">
        <f aca="false">IFERROR(F676/D676,0)</f>
        <v>8.58333333333333</v>
      </c>
    </row>
    <row r="677" customFormat="false" ht="15" hidden="false" customHeight="false" outlineLevel="0" collapsed="false">
      <c r="A677" s="28" t="n">
        <v>2020</v>
      </c>
      <c r="B677" s="28" t="s">
        <v>120</v>
      </c>
      <c r="C677" s="28" t="s">
        <v>54</v>
      </c>
      <c r="D677" s="28" t="n">
        <v>1</v>
      </c>
      <c r="E677" s="29" t="n">
        <v>25000</v>
      </c>
      <c r="F677" s="30" t="n">
        <v>7</v>
      </c>
      <c r="G677" s="31" t="n">
        <f aca="false">IFERROR(F677/D677,0)</f>
        <v>7</v>
      </c>
    </row>
    <row r="678" customFormat="false" ht="15" hidden="false" customHeight="false" outlineLevel="0" collapsed="false">
      <c r="A678" s="28" t="n">
        <v>2020</v>
      </c>
      <c r="B678" s="28" t="s">
        <v>120</v>
      </c>
      <c r="C678" s="28" t="s">
        <v>44</v>
      </c>
      <c r="D678" s="28" t="n">
        <v>47</v>
      </c>
      <c r="E678" s="29" t="n">
        <v>10104500</v>
      </c>
      <c r="F678" s="30" t="n">
        <v>317.23</v>
      </c>
      <c r="G678" s="31" t="n">
        <f aca="false">IFERROR(F678/D678,0)</f>
        <v>6.74957446808511</v>
      </c>
    </row>
    <row r="679" customFormat="false" ht="15" hidden="false" customHeight="false" outlineLevel="0" collapsed="false">
      <c r="A679" s="28" t="n">
        <v>2020</v>
      </c>
      <c r="B679" s="28" t="s">
        <v>120</v>
      </c>
      <c r="C679" s="28" t="s">
        <v>57</v>
      </c>
      <c r="D679" s="28" t="n">
        <v>4</v>
      </c>
      <c r="E679" s="29" t="n">
        <v>297800</v>
      </c>
      <c r="F679" s="30" t="n">
        <v>36</v>
      </c>
      <c r="G679" s="31" t="n">
        <f aca="false">IFERROR(F679/D679,0)</f>
        <v>9</v>
      </c>
    </row>
    <row r="680" customFormat="false" ht="15" hidden="false" customHeight="false" outlineLevel="0" collapsed="false">
      <c r="A680" s="28" t="n">
        <v>2020</v>
      </c>
      <c r="B680" s="28" t="s">
        <v>120</v>
      </c>
      <c r="C680" s="28" t="s">
        <v>47</v>
      </c>
      <c r="D680" s="28" t="n">
        <v>14</v>
      </c>
      <c r="E680" s="29" t="n">
        <v>5690600</v>
      </c>
      <c r="F680" s="30" t="n">
        <v>109.75</v>
      </c>
      <c r="G680" s="31" t="n">
        <f aca="false">IFERROR(F680/D680,0)</f>
        <v>7.83928571428571</v>
      </c>
    </row>
    <row r="681" customFormat="false" ht="15" hidden="false" customHeight="false" outlineLevel="0" collapsed="false">
      <c r="A681" s="28" t="n">
        <v>2020</v>
      </c>
      <c r="B681" s="28" t="s">
        <v>120</v>
      </c>
      <c r="C681" s="28" t="s">
        <v>46</v>
      </c>
      <c r="D681" s="28" t="n">
        <v>8</v>
      </c>
      <c r="E681" s="29" t="n">
        <v>529400</v>
      </c>
      <c r="F681" s="30" t="n">
        <v>61.75</v>
      </c>
      <c r="G681" s="31" t="n">
        <f aca="false">IFERROR(F681/D681,0)</f>
        <v>7.71875</v>
      </c>
    </row>
    <row r="682" customFormat="false" ht="15" hidden="false" customHeight="false" outlineLevel="0" collapsed="false">
      <c r="A682" s="28" t="n">
        <v>2020</v>
      </c>
      <c r="B682" s="28" t="s">
        <v>120</v>
      </c>
      <c r="C682" s="28" t="s">
        <v>48</v>
      </c>
      <c r="D682" s="28" t="n">
        <v>24</v>
      </c>
      <c r="E682" s="29" t="n">
        <v>3085200</v>
      </c>
      <c r="F682" s="30" t="n">
        <v>197.75</v>
      </c>
      <c r="G682" s="31" t="n">
        <f aca="false">IFERROR(F682/D682,0)</f>
        <v>8.23958333333333</v>
      </c>
    </row>
    <row r="683" customFormat="false" ht="15" hidden="false" customHeight="false" outlineLevel="0" collapsed="false">
      <c r="A683" s="28" t="n">
        <v>2020</v>
      </c>
      <c r="B683" s="28" t="s">
        <v>120</v>
      </c>
      <c r="C683" s="28" t="s">
        <v>53</v>
      </c>
      <c r="D683" s="28" t="n">
        <v>2</v>
      </c>
      <c r="E683" s="29" t="n">
        <v>275000</v>
      </c>
      <c r="F683" s="30" t="n">
        <v>15</v>
      </c>
      <c r="G683" s="31" t="n">
        <f aca="false">IFERROR(F683/D683,0)</f>
        <v>7.5</v>
      </c>
    </row>
    <row r="684" customFormat="false" ht="15" hidden="false" customHeight="false" outlineLevel="0" collapsed="false">
      <c r="A684" s="28" t="n">
        <v>2020</v>
      </c>
      <c r="B684" s="28" t="s">
        <v>120</v>
      </c>
      <c r="C684" s="28" t="s">
        <v>43</v>
      </c>
      <c r="D684" s="28" t="n">
        <v>60</v>
      </c>
      <c r="E684" s="29" t="n">
        <v>7617600</v>
      </c>
      <c r="F684" s="30" t="n">
        <v>425.75</v>
      </c>
      <c r="G684" s="31" t="n">
        <f aca="false">IFERROR(F684/D684,0)</f>
        <v>7.09583333333333</v>
      </c>
    </row>
    <row r="685" customFormat="false" ht="15" hidden="false" customHeight="false" outlineLevel="0" collapsed="false">
      <c r="A685" s="28" t="n">
        <v>2020</v>
      </c>
      <c r="B685" s="28" t="s">
        <v>120</v>
      </c>
      <c r="C685" s="28" t="s">
        <v>52</v>
      </c>
      <c r="D685" s="28" t="n">
        <v>5</v>
      </c>
      <c r="E685" s="29" t="n">
        <v>3289500</v>
      </c>
      <c r="F685" s="30" t="n">
        <v>37.25</v>
      </c>
      <c r="G685" s="31" t="n">
        <f aca="false">IFERROR(F685/D685,0)</f>
        <v>7.45</v>
      </c>
    </row>
    <row r="686" customFormat="false" ht="15" hidden="false" customHeight="false" outlineLevel="0" collapsed="false">
      <c r="A686" s="28" t="n">
        <v>2020</v>
      </c>
      <c r="B686" s="28" t="s">
        <v>120</v>
      </c>
      <c r="C686" s="28" t="s">
        <v>60</v>
      </c>
      <c r="D686" s="28" t="n">
        <v>1</v>
      </c>
      <c r="E686" s="29" t="n">
        <v>204600</v>
      </c>
      <c r="F686" s="30" t="n">
        <v>6</v>
      </c>
      <c r="G686" s="31" t="n">
        <f aca="false">IFERROR(F686/D686,0)</f>
        <v>6</v>
      </c>
    </row>
    <row r="687" customFormat="false" ht="15" hidden="false" customHeight="false" outlineLevel="0" collapsed="false">
      <c r="A687" s="28" t="n">
        <v>2020</v>
      </c>
      <c r="B687" s="28" t="s">
        <v>120</v>
      </c>
      <c r="C687" s="28" t="s">
        <v>49</v>
      </c>
      <c r="D687" s="28" t="n">
        <v>15</v>
      </c>
      <c r="E687" s="29" t="n">
        <v>1945200</v>
      </c>
      <c r="F687" s="30" t="n">
        <v>110.75</v>
      </c>
      <c r="G687" s="31" t="n">
        <f aca="false">IFERROR(F687/D687,0)</f>
        <v>7.38333333333333</v>
      </c>
    </row>
    <row r="688" customFormat="false" ht="15" hidden="false" customHeight="false" outlineLevel="0" collapsed="false">
      <c r="A688" s="28" t="n">
        <v>2020</v>
      </c>
      <c r="B688" s="28" t="s">
        <v>121</v>
      </c>
      <c r="C688" s="28" t="s">
        <v>42</v>
      </c>
      <c r="D688" s="28" t="n">
        <v>17</v>
      </c>
      <c r="E688" s="29" t="n">
        <v>3304900</v>
      </c>
      <c r="F688" s="30" t="n">
        <v>119.07</v>
      </c>
      <c r="G688" s="31" t="n">
        <f aca="false">IFERROR(F688/D688,0)</f>
        <v>7.00411764705882</v>
      </c>
    </row>
    <row r="689" customFormat="false" ht="15" hidden="false" customHeight="false" outlineLevel="0" collapsed="false">
      <c r="A689" s="28" t="n">
        <v>2020</v>
      </c>
      <c r="B689" s="28" t="s">
        <v>121</v>
      </c>
      <c r="C689" s="28" t="s">
        <v>50</v>
      </c>
      <c r="D689" s="28" t="n">
        <v>4</v>
      </c>
      <c r="E689" s="29" t="n">
        <v>550000</v>
      </c>
      <c r="F689" s="30" t="n">
        <v>26.22</v>
      </c>
      <c r="G689" s="31" t="n">
        <f aca="false">IFERROR(F689/D689,0)</f>
        <v>6.555</v>
      </c>
    </row>
    <row r="690" customFormat="false" ht="15" hidden="false" customHeight="false" outlineLevel="0" collapsed="false">
      <c r="A690" s="28" t="n">
        <v>2020</v>
      </c>
      <c r="B690" s="28" t="s">
        <v>121</v>
      </c>
      <c r="C690" s="28" t="s">
        <v>51</v>
      </c>
      <c r="D690" s="28" t="n">
        <v>2</v>
      </c>
      <c r="E690" s="29" t="n">
        <v>400000</v>
      </c>
      <c r="F690" s="30" t="n">
        <v>11.5</v>
      </c>
      <c r="G690" s="31" t="n">
        <f aca="false">IFERROR(F690/D690,0)</f>
        <v>5.75</v>
      </c>
    </row>
    <row r="691" customFormat="false" ht="15" hidden="false" customHeight="false" outlineLevel="0" collapsed="false">
      <c r="A691" s="28" t="n">
        <v>2020</v>
      </c>
      <c r="B691" s="28" t="s">
        <v>121</v>
      </c>
      <c r="C691" s="28" t="s">
        <v>45</v>
      </c>
      <c r="D691" s="28" t="n">
        <v>15</v>
      </c>
      <c r="E691" s="29" t="n">
        <v>3075700</v>
      </c>
      <c r="F691" s="30" t="n">
        <v>94.45</v>
      </c>
      <c r="G691" s="31" t="n">
        <f aca="false">IFERROR(F691/D691,0)</f>
        <v>6.29666666666667</v>
      </c>
    </row>
    <row r="692" customFormat="false" ht="15" hidden="false" customHeight="false" outlineLevel="0" collapsed="false">
      <c r="A692" s="28" t="n">
        <v>2020</v>
      </c>
      <c r="B692" s="28" t="s">
        <v>121</v>
      </c>
      <c r="C692" s="28" t="s">
        <v>54</v>
      </c>
      <c r="D692" s="28" t="n">
        <v>2</v>
      </c>
      <c r="E692" s="29" t="n">
        <v>645000</v>
      </c>
      <c r="F692" s="30" t="n">
        <v>11.25</v>
      </c>
      <c r="G692" s="31" t="n">
        <f aca="false">IFERROR(F692/D692,0)</f>
        <v>5.625</v>
      </c>
    </row>
    <row r="693" customFormat="false" ht="15" hidden="false" customHeight="false" outlineLevel="0" collapsed="false">
      <c r="A693" s="28" t="n">
        <v>2020</v>
      </c>
      <c r="B693" s="28" t="s">
        <v>121</v>
      </c>
      <c r="C693" s="28" t="s">
        <v>44</v>
      </c>
      <c r="D693" s="28" t="n">
        <v>12</v>
      </c>
      <c r="E693" s="29" t="n">
        <v>2420000</v>
      </c>
      <c r="F693" s="30" t="n">
        <v>72.22</v>
      </c>
      <c r="G693" s="31" t="n">
        <f aca="false">IFERROR(F693/D693,0)</f>
        <v>6.01833333333333</v>
      </c>
    </row>
    <row r="694" customFormat="false" ht="15" hidden="false" customHeight="false" outlineLevel="0" collapsed="false">
      <c r="A694" s="28" t="n">
        <v>2020</v>
      </c>
      <c r="B694" s="28" t="s">
        <v>121</v>
      </c>
      <c r="C694" s="28" t="s">
        <v>47</v>
      </c>
      <c r="D694" s="28" t="n">
        <v>11</v>
      </c>
      <c r="E694" s="29" t="n">
        <v>1010600</v>
      </c>
      <c r="F694" s="30" t="n">
        <v>62.38</v>
      </c>
      <c r="G694" s="31" t="n">
        <f aca="false">IFERROR(F694/D694,0)</f>
        <v>5.67090909090909</v>
      </c>
    </row>
    <row r="695" customFormat="false" ht="15" hidden="false" customHeight="false" outlineLevel="0" collapsed="false">
      <c r="A695" s="28" t="n">
        <v>2020</v>
      </c>
      <c r="B695" s="28" t="s">
        <v>121</v>
      </c>
      <c r="C695" s="28" t="s">
        <v>46</v>
      </c>
      <c r="D695" s="28" t="n">
        <v>13</v>
      </c>
      <c r="E695" s="29" t="n">
        <v>3620500</v>
      </c>
      <c r="F695" s="30" t="n">
        <v>84.25</v>
      </c>
      <c r="G695" s="31" t="n">
        <f aca="false">IFERROR(F695/D695,0)</f>
        <v>6.48076923076923</v>
      </c>
    </row>
    <row r="696" customFormat="false" ht="15" hidden="false" customHeight="false" outlineLevel="0" collapsed="false">
      <c r="A696" s="28" t="n">
        <v>2020</v>
      </c>
      <c r="B696" s="28" t="s">
        <v>121</v>
      </c>
      <c r="C696" s="28" t="s">
        <v>48</v>
      </c>
      <c r="D696" s="28" t="n">
        <v>18</v>
      </c>
      <c r="E696" s="29" t="n">
        <v>5270900</v>
      </c>
      <c r="F696" s="30" t="n">
        <v>98</v>
      </c>
      <c r="G696" s="31" t="n">
        <f aca="false">IFERROR(F696/D696,0)</f>
        <v>5.44444444444445</v>
      </c>
    </row>
    <row r="697" customFormat="false" ht="15" hidden="false" customHeight="false" outlineLevel="0" collapsed="false">
      <c r="A697" s="28" t="n">
        <v>2020</v>
      </c>
      <c r="B697" s="28" t="s">
        <v>121</v>
      </c>
      <c r="C697" s="28" t="s">
        <v>53</v>
      </c>
      <c r="D697" s="28" t="n">
        <v>7</v>
      </c>
      <c r="E697" s="29" t="n">
        <v>3248000</v>
      </c>
      <c r="F697" s="30" t="n">
        <v>44.09</v>
      </c>
      <c r="G697" s="31" t="n">
        <f aca="false">IFERROR(F697/D697,0)</f>
        <v>6.29857142857143</v>
      </c>
    </row>
    <row r="698" customFormat="false" ht="15" hidden="false" customHeight="false" outlineLevel="0" collapsed="false">
      <c r="A698" s="28" t="n">
        <v>2020</v>
      </c>
      <c r="B698" s="28" t="s">
        <v>121</v>
      </c>
      <c r="C698" s="28" t="s">
        <v>43</v>
      </c>
      <c r="D698" s="28" t="n">
        <v>20</v>
      </c>
      <c r="E698" s="29" t="n">
        <v>8270400</v>
      </c>
      <c r="F698" s="30" t="n">
        <v>116.09</v>
      </c>
      <c r="G698" s="31" t="n">
        <f aca="false">IFERROR(F698/D698,0)</f>
        <v>5.8045</v>
      </c>
    </row>
    <row r="699" customFormat="false" ht="15" hidden="false" customHeight="false" outlineLevel="0" collapsed="false">
      <c r="A699" s="28" t="n">
        <v>2020</v>
      </c>
      <c r="B699" s="28" t="s">
        <v>121</v>
      </c>
      <c r="C699" s="28" t="s">
        <v>52</v>
      </c>
      <c r="D699" s="28" t="n">
        <v>1</v>
      </c>
      <c r="E699" s="29" t="n">
        <v>150000</v>
      </c>
      <c r="F699" s="30" t="n">
        <v>7</v>
      </c>
      <c r="G699" s="31" t="n">
        <f aca="false">IFERROR(F699/D699,0)</f>
        <v>7</v>
      </c>
    </row>
    <row r="700" customFormat="false" ht="15" hidden="false" customHeight="false" outlineLevel="0" collapsed="false">
      <c r="A700" s="28" t="n">
        <v>2020</v>
      </c>
      <c r="B700" s="28" t="s">
        <v>121</v>
      </c>
      <c r="C700" s="28" t="s">
        <v>49</v>
      </c>
      <c r="D700" s="28" t="n">
        <v>7</v>
      </c>
      <c r="E700" s="29" t="n">
        <v>5560000</v>
      </c>
      <c r="F700" s="30" t="n">
        <v>37.65</v>
      </c>
      <c r="G700" s="31" t="n">
        <f aca="false">IFERROR(F700/D700,0)</f>
        <v>5.37857142857143</v>
      </c>
    </row>
    <row r="701" customFormat="false" ht="15" hidden="false" customHeight="false" outlineLevel="0" collapsed="false">
      <c r="A701" s="28" t="n">
        <v>2020</v>
      </c>
      <c r="B701" s="28" t="s">
        <v>111</v>
      </c>
      <c r="C701" s="28" t="s">
        <v>42</v>
      </c>
      <c r="D701" s="28" t="n">
        <v>69</v>
      </c>
      <c r="E701" s="29" t="n">
        <v>75789400</v>
      </c>
      <c r="F701" s="30" t="n">
        <v>458.45</v>
      </c>
      <c r="G701" s="31" t="n">
        <f aca="false">IFERROR(F701/D701,0)</f>
        <v>6.64420289855072</v>
      </c>
    </row>
    <row r="702" customFormat="false" ht="15" hidden="false" customHeight="false" outlineLevel="0" collapsed="false">
      <c r="A702" s="28" t="n">
        <v>2020</v>
      </c>
      <c r="B702" s="28" t="s">
        <v>111</v>
      </c>
      <c r="C702" s="28" t="s">
        <v>50</v>
      </c>
      <c r="D702" s="28" t="n">
        <v>26</v>
      </c>
      <c r="E702" s="29" t="n">
        <v>6163200</v>
      </c>
      <c r="F702" s="30" t="n">
        <v>192.19</v>
      </c>
      <c r="G702" s="31" t="n">
        <f aca="false">IFERROR(F702/D702,0)</f>
        <v>7.39192307692308</v>
      </c>
    </row>
    <row r="703" customFormat="false" ht="15" hidden="false" customHeight="false" outlineLevel="0" collapsed="false">
      <c r="A703" s="28" t="n">
        <v>2020</v>
      </c>
      <c r="B703" s="28" t="s">
        <v>111</v>
      </c>
      <c r="C703" s="28" t="s">
        <v>51</v>
      </c>
      <c r="D703" s="28" t="n">
        <v>15</v>
      </c>
      <c r="E703" s="29" t="n">
        <v>8251900</v>
      </c>
      <c r="F703" s="30" t="n">
        <v>102.08</v>
      </c>
      <c r="G703" s="31" t="n">
        <f aca="false">IFERROR(F703/D703,0)</f>
        <v>6.80533333333333</v>
      </c>
    </row>
    <row r="704" customFormat="false" ht="15" hidden="false" customHeight="false" outlineLevel="0" collapsed="false">
      <c r="A704" s="28" t="n">
        <v>2020</v>
      </c>
      <c r="B704" s="28" t="s">
        <v>111</v>
      </c>
      <c r="C704" s="28" t="s">
        <v>45</v>
      </c>
      <c r="D704" s="28" t="n">
        <v>32</v>
      </c>
      <c r="E704" s="29" t="n">
        <v>13032100</v>
      </c>
      <c r="F704" s="30" t="n">
        <v>239.56</v>
      </c>
      <c r="G704" s="31" t="n">
        <f aca="false">IFERROR(F704/D704,0)</f>
        <v>7.48625</v>
      </c>
    </row>
    <row r="705" customFormat="false" ht="15" hidden="false" customHeight="false" outlineLevel="0" collapsed="false">
      <c r="A705" s="28" t="n">
        <v>2020</v>
      </c>
      <c r="B705" s="28" t="s">
        <v>111</v>
      </c>
      <c r="C705" s="28" t="s">
        <v>56</v>
      </c>
      <c r="D705" s="28" t="n">
        <v>8</v>
      </c>
      <c r="E705" s="29" t="n">
        <v>3861600</v>
      </c>
      <c r="F705" s="30" t="n">
        <v>55.62</v>
      </c>
      <c r="G705" s="31" t="n">
        <f aca="false">IFERROR(F705/D705,0)</f>
        <v>6.9525</v>
      </c>
    </row>
    <row r="706" customFormat="false" ht="15" hidden="false" customHeight="false" outlineLevel="0" collapsed="false">
      <c r="A706" s="28" t="n">
        <v>2020</v>
      </c>
      <c r="B706" s="28" t="s">
        <v>111</v>
      </c>
      <c r="C706" s="28" t="s">
        <v>54</v>
      </c>
      <c r="D706" s="28" t="n">
        <v>9</v>
      </c>
      <c r="E706" s="29" t="n">
        <v>2673600</v>
      </c>
      <c r="F706" s="30" t="n">
        <v>57.9</v>
      </c>
      <c r="G706" s="31" t="n">
        <f aca="false">IFERROR(F706/D706,0)</f>
        <v>6.43333333333333</v>
      </c>
    </row>
    <row r="707" customFormat="false" ht="15" hidden="false" customHeight="false" outlineLevel="0" collapsed="false">
      <c r="A707" s="28" t="n">
        <v>2020</v>
      </c>
      <c r="B707" s="28" t="s">
        <v>111</v>
      </c>
      <c r="C707" s="28" t="s">
        <v>44</v>
      </c>
      <c r="D707" s="28" t="n">
        <v>31</v>
      </c>
      <c r="E707" s="29" t="n">
        <v>15448400</v>
      </c>
      <c r="F707" s="30" t="n">
        <v>200.61</v>
      </c>
      <c r="G707" s="31" t="n">
        <f aca="false">IFERROR(F707/D707,0)</f>
        <v>6.47129032258065</v>
      </c>
    </row>
    <row r="708" customFormat="false" ht="15" hidden="false" customHeight="false" outlineLevel="0" collapsed="false">
      <c r="A708" s="28" t="n">
        <v>2020</v>
      </c>
      <c r="B708" s="28" t="s">
        <v>111</v>
      </c>
      <c r="C708" s="28" t="s">
        <v>47</v>
      </c>
      <c r="D708" s="28" t="n">
        <v>24</v>
      </c>
      <c r="E708" s="29" t="n">
        <v>22455800</v>
      </c>
      <c r="F708" s="30" t="n">
        <v>148.87</v>
      </c>
      <c r="G708" s="31" t="n">
        <f aca="false">IFERROR(F708/D708,0)</f>
        <v>6.20291666666667</v>
      </c>
    </row>
    <row r="709" customFormat="false" ht="15" hidden="false" customHeight="false" outlineLevel="0" collapsed="false">
      <c r="A709" s="28" t="n">
        <v>2020</v>
      </c>
      <c r="B709" s="28" t="s">
        <v>111</v>
      </c>
      <c r="C709" s="28" t="s">
        <v>46</v>
      </c>
      <c r="D709" s="28" t="n">
        <v>40</v>
      </c>
      <c r="E709" s="29" t="n">
        <v>28028400</v>
      </c>
      <c r="F709" s="30" t="n">
        <v>276.623</v>
      </c>
      <c r="G709" s="31" t="n">
        <f aca="false">IFERROR(F709/D709,0)</f>
        <v>6.915575</v>
      </c>
    </row>
    <row r="710" customFormat="false" ht="15" hidden="false" customHeight="false" outlineLevel="0" collapsed="false">
      <c r="A710" s="28" t="n">
        <v>2020</v>
      </c>
      <c r="B710" s="28" t="s">
        <v>111</v>
      </c>
      <c r="C710" s="28" t="s">
        <v>48</v>
      </c>
      <c r="D710" s="28" t="n">
        <v>26</v>
      </c>
      <c r="E710" s="29" t="n">
        <v>20083700</v>
      </c>
      <c r="F710" s="30" t="n">
        <v>162.18</v>
      </c>
      <c r="G710" s="31" t="n">
        <f aca="false">IFERROR(F710/D710,0)</f>
        <v>6.23769230769231</v>
      </c>
    </row>
    <row r="711" customFormat="false" ht="15" hidden="false" customHeight="false" outlineLevel="0" collapsed="false">
      <c r="A711" s="28" t="n">
        <v>2020</v>
      </c>
      <c r="B711" s="28" t="s">
        <v>111</v>
      </c>
      <c r="C711" s="28" t="s">
        <v>61</v>
      </c>
      <c r="D711" s="28" t="n">
        <v>1</v>
      </c>
      <c r="E711" s="29" t="n">
        <v>150000</v>
      </c>
      <c r="F711" s="30" t="n">
        <v>6</v>
      </c>
      <c r="G711" s="31" t="n">
        <f aca="false">IFERROR(F711/D711,0)</f>
        <v>6</v>
      </c>
    </row>
    <row r="712" customFormat="false" ht="15" hidden="false" customHeight="false" outlineLevel="0" collapsed="false">
      <c r="A712" s="28" t="n">
        <v>2020</v>
      </c>
      <c r="B712" s="28" t="s">
        <v>111</v>
      </c>
      <c r="C712" s="28" t="s">
        <v>53</v>
      </c>
      <c r="D712" s="28" t="n">
        <v>9</v>
      </c>
      <c r="E712" s="29" t="n">
        <v>12184500</v>
      </c>
      <c r="F712" s="30" t="n">
        <v>55.97</v>
      </c>
      <c r="G712" s="31" t="n">
        <f aca="false">IFERROR(F712/D712,0)</f>
        <v>6.21888888888889</v>
      </c>
    </row>
    <row r="713" customFormat="false" ht="15" hidden="false" customHeight="false" outlineLevel="0" collapsed="false">
      <c r="A713" s="28" t="n">
        <v>2020</v>
      </c>
      <c r="B713" s="28" t="s">
        <v>111</v>
      </c>
      <c r="C713" s="28" t="s">
        <v>43</v>
      </c>
      <c r="D713" s="28" t="n">
        <v>44</v>
      </c>
      <c r="E713" s="29" t="n">
        <v>36580400</v>
      </c>
      <c r="F713" s="30" t="n">
        <v>289.55</v>
      </c>
      <c r="G713" s="31" t="n">
        <f aca="false">IFERROR(F713/D713,0)</f>
        <v>6.58068181818182</v>
      </c>
    </row>
    <row r="714" customFormat="false" ht="15" hidden="false" customHeight="false" outlineLevel="0" collapsed="false">
      <c r="A714" s="28" t="n">
        <v>2020</v>
      </c>
      <c r="B714" s="28" t="s">
        <v>111</v>
      </c>
      <c r="C714" s="28" t="s">
        <v>52</v>
      </c>
      <c r="D714" s="28" t="n">
        <v>18</v>
      </c>
      <c r="E714" s="29" t="n">
        <v>3793400</v>
      </c>
      <c r="F714" s="30" t="n">
        <v>149.58</v>
      </c>
      <c r="G714" s="31" t="n">
        <f aca="false">IFERROR(F714/D714,0)</f>
        <v>8.31</v>
      </c>
    </row>
    <row r="715" customFormat="false" ht="15" hidden="false" customHeight="false" outlineLevel="0" collapsed="false">
      <c r="A715" s="28" t="n">
        <v>2020</v>
      </c>
      <c r="B715" s="28" t="s">
        <v>111</v>
      </c>
      <c r="C715" s="28" t="s">
        <v>60</v>
      </c>
      <c r="D715" s="28" t="n">
        <v>1</v>
      </c>
      <c r="E715" s="29" t="n">
        <v>150000</v>
      </c>
      <c r="F715" s="30" t="n">
        <v>6</v>
      </c>
      <c r="G715" s="31" t="n">
        <f aca="false">IFERROR(F715/D715,0)</f>
        <v>6</v>
      </c>
    </row>
    <row r="716" customFormat="false" ht="15" hidden="false" customHeight="false" outlineLevel="0" collapsed="false">
      <c r="A716" s="28" t="n">
        <v>2020</v>
      </c>
      <c r="B716" s="28" t="s">
        <v>111</v>
      </c>
      <c r="C716" s="28" t="s">
        <v>49</v>
      </c>
      <c r="D716" s="28" t="n">
        <v>13</v>
      </c>
      <c r="E716" s="29" t="n">
        <v>10917500</v>
      </c>
      <c r="F716" s="30" t="n">
        <v>84.48</v>
      </c>
      <c r="G716" s="31" t="n">
        <f aca="false">IFERROR(F716/D716,0)</f>
        <v>6.49846153846154</v>
      </c>
    </row>
    <row r="717" customFormat="false" ht="15" hidden="false" customHeight="false" outlineLevel="0" collapsed="false">
      <c r="A717" s="28" t="n">
        <v>2020</v>
      </c>
      <c r="B717" s="28" t="s">
        <v>122</v>
      </c>
      <c r="C717" s="28" t="s">
        <v>42</v>
      </c>
      <c r="D717" s="28" t="n">
        <v>21</v>
      </c>
      <c r="E717" s="29" t="n">
        <v>5324500</v>
      </c>
      <c r="F717" s="30" t="n">
        <v>118.52</v>
      </c>
      <c r="G717" s="31" t="n">
        <f aca="false">IFERROR(F717/D717,0)</f>
        <v>5.64380952380952</v>
      </c>
    </row>
    <row r="718" customFormat="false" ht="15" hidden="false" customHeight="false" outlineLevel="0" collapsed="false">
      <c r="A718" s="28" t="n">
        <v>2020</v>
      </c>
      <c r="B718" s="28" t="s">
        <v>122</v>
      </c>
      <c r="C718" s="28" t="s">
        <v>50</v>
      </c>
      <c r="D718" s="28" t="n">
        <v>10</v>
      </c>
      <c r="E718" s="29" t="n">
        <v>569100</v>
      </c>
      <c r="F718" s="30" t="n">
        <v>56.18</v>
      </c>
      <c r="G718" s="31" t="n">
        <f aca="false">IFERROR(F718/D718,0)</f>
        <v>5.618</v>
      </c>
    </row>
    <row r="719" customFormat="false" ht="15" hidden="false" customHeight="false" outlineLevel="0" collapsed="false">
      <c r="A719" s="28" t="n">
        <v>2020</v>
      </c>
      <c r="B719" s="28" t="s">
        <v>122</v>
      </c>
      <c r="C719" s="28" t="s">
        <v>55</v>
      </c>
      <c r="D719" s="28" t="n">
        <v>2</v>
      </c>
      <c r="E719" s="29" t="n">
        <v>545800</v>
      </c>
      <c r="F719" s="30" t="n">
        <v>11</v>
      </c>
      <c r="G719" s="31" t="n">
        <f aca="false">IFERROR(F719/D719,0)</f>
        <v>5.5</v>
      </c>
    </row>
    <row r="720" customFormat="false" ht="15" hidden="false" customHeight="false" outlineLevel="0" collapsed="false">
      <c r="A720" s="28" t="n">
        <v>2020</v>
      </c>
      <c r="B720" s="28" t="s">
        <v>122</v>
      </c>
      <c r="C720" s="28" t="s">
        <v>51</v>
      </c>
      <c r="D720" s="28" t="n">
        <v>3</v>
      </c>
      <c r="E720" s="29" t="n">
        <v>469500</v>
      </c>
      <c r="F720" s="30" t="n">
        <v>14.65</v>
      </c>
      <c r="G720" s="31" t="n">
        <f aca="false">IFERROR(F720/D720,0)</f>
        <v>4.88333333333333</v>
      </c>
    </row>
    <row r="721" customFormat="false" ht="15" hidden="false" customHeight="false" outlineLevel="0" collapsed="false">
      <c r="A721" s="28" t="n">
        <v>2020</v>
      </c>
      <c r="B721" s="28" t="s">
        <v>122</v>
      </c>
      <c r="C721" s="28" t="s">
        <v>45</v>
      </c>
      <c r="D721" s="28" t="n">
        <v>17</v>
      </c>
      <c r="E721" s="29" t="n">
        <v>5387400</v>
      </c>
      <c r="F721" s="30" t="n">
        <v>99.35</v>
      </c>
      <c r="G721" s="31" t="n">
        <f aca="false">IFERROR(F721/D721,0)</f>
        <v>5.84411764705882</v>
      </c>
    </row>
    <row r="722" customFormat="false" ht="15" hidden="false" customHeight="false" outlineLevel="0" collapsed="false">
      <c r="A722" s="28" t="n">
        <v>2020</v>
      </c>
      <c r="B722" s="28" t="s">
        <v>122</v>
      </c>
      <c r="C722" s="28" t="s">
        <v>56</v>
      </c>
      <c r="D722" s="28" t="n">
        <v>2</v>
      </c>
      <c r="E722" s="29" t="n">
        <v>105300</v>
      </c>
      <c r="F722" s="30" t="n">
        <v>10.5</v>
      </c>
      <c r="G722" s="31" t="n">
        <f aca="false">IFERROR(F722/D722,0)</f>
        <v>5.25</v>
      </c>
    </row>
    <row r="723" customFormat="false" ht="15" hidden="false" customHeight="false" outlineLevel="0" collapsed="false">
      <c r="A723" s="28" t="n">
        <v>2020</v>
      </c>
      <c r="B723" s="28" t="s">
        <v>122</v>
      </c>
      <c r="C723" s="28" t="s">
        <v>44</v>
      </c>
      <c r="D723" s="28" t="n">
        <v>16</v>
      </c>
      <c r="E723" s="29" t="n">
        <v>7137900</v>
      </c>
      <c r="F723" s="30" t="n">
        <v>90.62</v>
      </c>
      <c r="G723" s="31" t="n">
        <f aca="false">IFERROR(F723/D723,0)</f>
        <v>5.66375</v>
      </c>
    </row>
    <row r="724" customFormat="false" ht="15" hidden="false" customHeight="false" outlineLevel="0" collapsed="false">
      <c r="A724" s="28" t="n">
        <v>2020</v>
      </c>
      <c r="B724" s="28" t="s">
        <v>122</v>
      </c>
      <c r="C724" s="28" t="s">
        <v>57</v>
      </c>
      <c r="D724" s="28" t="n">
        <v>3</v>
      </c>
      <c r="E724" s="29" t="n">
        <v>539900</v>
      </c>
      <c r="F724" s="30" t="n">
        <v>18</v>
      </c>
      <c r="G724" s="31" t="n">
        <f aca="false">IFERROR(F724/D724,0)</f>
        <v>6</v>
      </c>
    </row>
    <row r="725" customFormat="false" ht="15" hidden="false" customHeight="false" outlineLevel="0" collapsed="false">
      <c r="A725" s="28" t="n">
        <v>2020</v>
      </c>
      <c r="B725" s="28" t="s">
        <v>122</v>
      </c>
      <c r="C725" s="28" t="s">
        <v>47</v>
      </c>
      <c r="D725" s="28" t="n">
        <v>15</v>
      </c>
      <c r="E725" s="29" t="n">
        <v>2663300</v>
      </c>
      <c r="F725" s="30" t="n">
        <v>91.98</v>
      </c>
      <c r="G725" s="31" t="n">
        <f aca="false">IFERROR(F725/D725,0)</f>
        <v>6.132</v>
      </c>
    </row>
    <row r="726" customFormat="false" ht="15" hidden="false" customHeight="false" outlineLevel="0" collapsed="false">
      <c r="A726" s="28" t="n">
        <v>2020</v>
      </c>
      <c r="B726" s="28" t="s">
        <v>122</v>
      </c>
      <c r="C726" s="28" t="s">
        <v>46</v>
      </c>
      <c r="D726" s="28" t="n">
        <v>11</v>
      </c>
      <c r="E726" s="29" t="n">
        <v>3887200</v>
      </c>
      <c r="F726" s="30" t="n">
        <v>62.33</v>
      </c>
      <c r="G726" s="31" t="n">
        <f aca="false">IFERROR(F726/D726,0)</f>
        <v>5.66636363636364</v>
      </c>
    </row>
    <row r="727" customFormat="false" ht="15" hidden="false" customHeight="false" outlineLevel="0" collapsed="false">
      <c r="A727" s="28" t="n">
        <v>2020</v>
      </c>
      <c r="B727" s="28" t="s">
        <v>122</v>
      </c>
      <c r="C727" s="28" t="s">
        <v>48</v>
      </c>
      <c r="D727" s="28" t="n">
        <v>9</v>
      </c>
      <c r="E727" s="29" t="n">
        <v>6062500</v>
      </c>
      <c r="F727" s="30" t="n">
        <v>49.54</v>
      </c>
      <c r="G727" s="31" t="n">
        <f aca="false">IFERROR(F727/D727,0)</f>
        <v>5.50444444444444</v>
      </c>
    </row>
    <row r="728" customFormat="false" ht="15" hidden="false" customHeight="false" outlineLevel="0" collapsed="false">
      <c r="A728" s="28" t="n">
        <v>2020</v>
      </c>
      <c r="B728" s="28" t="s">
        <v>122</v>
      </c>
      <c r="C728" s="28" t="s">
        <v>53</v>
      </c>
      <c r="D728" s="28" t="n">
        <v>2</v>
      </c>
      <c r="E728" s="29" t="n">
        <v>656500</v>
      </c>
      <c r="F728" s="30" t="n">
        <v>11</v>
      </c>
      <c r="G728" s="31" t="n">
        <f aca="false">IFERROR(F728/D728,0)</f>
        <v>5.5</v>
      </c>
    </row>
    <row r="729" customFormat="false" ht="15" hidden="false" customHeight="false" outlineLevel="0" collapsed="false">
      <c r="A729" s="28" t="n">
        <v>2020</v>
      </c>
      <c r="B729" s="28" t="s">
        <v>122</v>
      </c>
      <c r="C729" s="28" t="s">
        <v>43</v>
      </c>
      <c r="D729" s="28" t="n">
        <v>21</v>
      </c>
      <c r="E729" s="29" t="n">
        <v>8882800</v>
      </c>
      <c r="F729" s="30" t="n">
        <v>114.18</v>
      </c>
      <c r="G729" s="31" t="n">
        <f aca="false">IFERROR(F729/D729,0)</f>
        <v>5.43714285714286</v>
      </c>
    </row>
    <row r="730" customFormat="false" ht="15" hidden="false" customHeight="false" outlineLevel="0" collapsed="false">
      <c r="A730" s="28" t="n">
        <v>2020</v>
      </c>
      <c r="B730" s="28" t="s">
        <v>122</v>
      </c>
      <c r="C730" s="28" t="s">
        <v>52</v>
      </c>
      <c r="D730" s="28" t="n">
        <v>9</v>
      </c>
      <c r="E730" s="29" t="n">
        <v>3587000</v>
      </c>
      <c r="F730" s="30" t="n">
        <v>57.7</v>
      </c>
      <c r="G730" s="31" t="n">
        <f aca="false">IFERROR(F730/D730,0)</f>
        <v>6.41111111111111</v>
      </c>
    </row>
    <row r="731" customFormat="false" ht="15" hidden="false" customHeight="false" outlineLevel="0" collapsed="false">
      <c r="A731" s="28" t="n">
        <v>2020</v>
      </c>
      <c r="B731" s="28" t="s">
        <v>122</v>
      </c>
      <c r="C731" s="28" t="s">
        <v>60</v>
      </c>
      <c r="D731" s="28" t="n">
        <v>1</v>
      </c>
      <c r="E731" s="29" t="n">
        <v>160000</v>
      </c>
      <c r="F731" s="30" t="n">
        <v>6</v>
      </c>
      <c r="G731" s="31" t="n">
        <f aca="false">IFERROR(F731/D731,0)</f>
        <v>6</v>
      </c>
    </row>
    <row r="732" customFormat="false" ht="15" hidden="false" customHeight="false" outlineLevel="0" collapsed="false">
      <c r="A732" s="28" t="n">
        <v>2020</v>
      </c>
      <c r="B732" s="28" t="s">
        <v>122</v>
      </c>
      <c r="C732" s="28" t="s">
        <v>49</v>
      </c>
      <c r="D732" s="28" t="n">
        <v>4</v>
      </c>
      <c r="E732" s="29" t="n">
        <v>2495000</v>
      </c>
      <c r="F732" s="30" t="n">
        <v>20.75</v>
      </c>
      <c r="G732" s="31" t="n">
        <f aca="false">IFERROR(F732/D732,0)</f>
        <v>5.1875</v>
      </c>
    </row>
    <row r="733" customFormat="false" ht="15" hidden="false" customHeight="false" outlineLevel="0" collapsed="false">
      <c r="A733" s="28" t="n">
        <v>2020</v>
      </c>
      <c r="B733" s="28" t="s">
        <v>110</v>
      </c>
      <c r="C733" s="28" t="s">
        <v>42</v>
      </c>
      <c r="D733" s="28" t="n">
        <v>54</v>
      </c>
      <c r="E733" s="29" t="n">
        <v>50725900</v>
      </c>
      <c r="F733" s="30" t="n">
        <v>334.999</v>
      </c>
      <c r="G733" s="31" t="n">
        <f aca="false">IFERROR(F733/D733,0)</f>
        <v>6.20368518518519</v>
      </c>
    </row>
    <row r="734" customFormat="false" ht="15" hidden="false" customHeight="false" outlineLevel="0" collapsed="false">
      <c r="A734" s="28" t="n">
        <v>2020</v>
      </c>
      <c r="B734" s="28" t="s">
        <v>110</v>
      </c>
      <c r="C734" s="28" t="s">
        <v>50</v>
      </c>
      <c r="D734" s="28" t="n">
        <v>16</v>
      </c>
      <c r="E734" s="29" t="n">
        <v>10955700</v>
      </c>
      <c r="F734" s="30" t="n">
        <v>107.03</v>
      </c>
      <c r="G734" s="31" t="n">
        <f aca="false">IFERROR(F734/D734,0)</f>
        <v>6.689375</v>
      </c>
    </row>
    <row r="735" customFormat="false" ht="15" hidden="false" customHeight="false" outlineLevel="0" collapsed="false">
      <c r="A735" s="28" t="n">
        <v>2020</v>
      </c>
      <c r="B735" s="28" t="s">
        <v>110</v>
      </c>
      <c r="C735" s="28" t="s">
        <v>55</v>
      </c>
      <c r="D735" s="28" t="n">
        <v>9</v>
      </c>
      <c r="E735" s="29" t="n">
        <v>5975000</v>
      </c>
      <c r="F735" s="30" t="n">
        <v>54.1</v>
      </c>
      <c r="G735" s="31" t="n">
        <f aca="false">IFERROR(F735/D735,0)</f>
        <v>6.01111111111111</v>
      </c>
    </row>
    <row r="736" customFormat="false" ht="15" hidden="false" customHeight="false" outlineLevel="0" collapsed="false">
      <c r="A736" s="28" t="n">
        <v>2020</v>
      </c>
      <c r="B736" s="28" t="s">
        <v>110</v>
      </c>
      <c r="C736" s="28" t="s">
        <v>51</v>
      </c>
      <c r="D736" s="28" t="n">
        <v>14</v>
      </c>
      <c r="E736" s="29" t="n">
        <v>12469200</v>
      </c>
      <c r="F736" s="30" t="n">
        <v>93.8</v>
      </c>
      <c r="G736" s="31" t="n">
        <f aca="false">IFERROR(F736/D736,0)</f>
        <v>6.7</v>
      </c>
    </row>
    <row r="737" customFormat="false" ht="15" hidden="false" customHeight="false" outlineLevel="0" collapsed="false">
      <c r="A737" s="28" t="n">
        <v>2020</v>
      </c>
      <c r="B737" s="28" t="s">
        <v>110</v>
      </c>
      <c r="C737" s="28" t="s">
        <v>45</v>
      </c>
      <c r="D737" s="28" t="n">
        <v>48</v>
      </c>
      <c r="E737" s="29" t="n">
        <v>11429400</v>
      </c>
      <c r="F737" s="30" t="n">
        <v>340.05</v>
      </c>
      <c r="G737" s="31" t="n">
        <f aca="false">IFERROR(F737/D737,0)</f>
        <v>7.084375</v>
      </c>
    </row>
    <row r="738" customFormat="false" ht="15" hidden="false" customHeight="false" outlineLevel="0" collapsed="false">
      <c r="A738" s="28" t="n">
        <v>2020</v>
      </c>
      <c r="B738" s="28" t="s">
        <v>110</v>
      </c>
      <c r="C738" s="28" t="s">
        <v>56</v>
      </c>
      <c r="D738" s="28" t="n">
        <v>3</v>
      </c>
      <c r="E738" s="29" t="n">
        <v>628000</v>
      </c>
      <c r="F738" s="30" t="n">
        <v>23.76</v>
      </c>
      <c r="G738" s="31" t="n">
        <f aca="false">IFERROR(F738/D738,0)</f>
        <v>7.92</v>
      </c>
    </row>
    <row r="739" customFormat="false" ht="15" hidden="false" customHeight="false" outlineLevel="0" collapsed="false">
      <c r="A739" s="28" t="n">
        <v>2020</v>
      </c>
      <c r="B739" s="28" t="s">
        <v>110</v>
      </c>
      <c r="C739" s="28" t="s">
        <v>54</v>
      </c>
      <c r="D739" s="28" t="n">
        <v>9</v>
      </c>
      <c r="E739" s="29" t="n">
        <v>5218500</v>
      </c>
      <c r="F739" s="30" t="n">
        <v>59.78</v>
      </c>
      <c r="G739" s="31" t="n">
        <f aca="false">IFERROR(F739/D739,0)</f>
        <v>6.64222222222222</v>
      </c>
    </row>
    <row r="740" customFormat="false" ht="15" hidden="false" customHeight="false" outlineLevel="0" collapsed="false">
      <c r="A740" s="28" t="n">
        <v>2020</v>
      </c>
      <c r="B740" s="28" t="s">
        <v>110</v>
      </c>
      <c r="C740" s="28" t="s">
        <v>44</v>
      </c>
      <c r="D740" s="28" t="n">
        <v>26</v>
      </c>
      <c r="E740" s="29" t="n">
        <v>20611700</v>
      </c>
      <c r="F740" s="30" t="n">
        <v>155.15</v>
      </c>
      <c r="G740" s="31" t="n">
        <f aca="false">IFERROR(F740/D740,0)</f>
        <v>5.96730769230769</v>
      </c>
    </row>
    <row r="741" customFormat="false" ht="15" hidden="false" customHeight="false" outlineLevel="0" collapsed="false">
      <c r="A741" s="28" t="n">
        <v>2020</v>
      </c>
      <c r="B741" s="28" t="s">
        <v>110</v>
      </c>
      <c r="C741" s="28" t="s">
        <v>57</v>
      </c>
      <c r="D741" s="28" t="n">
        <v>4</v>
      </c>
      <c r="E741" s="29" t="n">
        <v>1149000</v>
      </c>
      <c r="F741" s="30" t="n">
        <v>26.25</v>
      </c>
      <c r="G741" s="31" t="n">
        <f aca="false">IFERROR(F741/D741,0)</f>
        <v>6.5625</v>
      </c>
    </row>
    <row r="742" customFormat="false" ht="15" hidden="false" customHeight="false" outlineLevel="0" collapsed="false">
      <c r="A742" s="28" t="n">
        <v>2020</v>
      </c>
      <c r="B742" s="28" t="s">
        <v>110</v>
      </c>
      <c r="C742" s="28" t="s">
        <v>47</v>
      </c>
      <c r="D742" s="28" t="n">
        <v>23</v>
      </c>
      <c r="E742" s="29" t="n">
        <v>18354300</v>
      </c>
      <c r="F742" s="30" t="n">
        <v>148.06</v>
      </c>
      <c r="G742" s="31" t="n">
        <f aca="false">IFERROR(F742/D742,0)</f>
        <v>6.43739130434783</v>
      </c>
    </row>
    <row r="743" customFormat="false" ht="15" hidden="false" customHeight="false" outlineLevel="0" collapsed="false">
      <c r="A743" s="28" t="n">
        <v>2020</v>
      </c>
      <c r="B743" s="28" t="s">
        <v>110</v>
      </c>
      <c r="C743" s="28" t="s">
        <v>46</v>
      </c>
      <c r="D743" s="28" t="n">
        <v>32</v>
      </c>
      <c r="E743" s="29" t="n">
        <v>28678400</v>
      </c>
      <c r="F743" s="30" t="n">
        <v>202.01</v>
      </c>
      <c r="G743" s="31" t="n">
        <f aca="false">IFERROR(F743/D743,0)</f>
        <v>6.3128125</v>
      </c>
    </row>
    <row r="744" customFormat="false" ht="15" hidden="false" customHeight="false" outlineLevel="0" collapsed="false">
      <c r="A744" s="28" t="n">
        <v>2020</v>
      </c>
      <c r="B744" s="28" t="s">
        <v>110</v>
      </c>
      <c r="C744" s="28" t="s">
        <v>48</v>
      </c>
      <c r="D744" s="28" t="n">
        <v>28</v>
      </c>
      <c r="E744" s="29" t="n">
        <v>11084000</v>
      </c>
      <c r="F744" s="30" t="n">
        <v>166.69</v>
      </c>
      <c r="G744" s="31" t="n">
        <f aca="false">IFERROR(F744/D744,0)</f>
        <v>5.95321428571429</v>
      </c>
    </row>
    <row r="745" customFormat="false" ht="15" hidden="false" customHeight="false" outlineLevel="0" collapsed="false">
      <c r="A745" s="28" t="n">
        <v>2020</v>
      </c>
      <c r="B745" s="28" t="s">
        <v>110</v>
      </c>
      <c r="C745" s="28" t="s">
        <v>53</v>
      </c>
      <c r="D745" s="28" t="n">
        <v>10</v>
      </c>
      <c r="E745" s="29" t="n">
        <v>8668300</v>
      </c>
      <c r="F745" s="30" t="n">
        <v>62.24</v>
      </c>
      <c r="G745" s="31" t="n">
        <f aca="false">IFERROR(F745/D745,0)</f>
        <v>6.224</v>
      </c>
    </row>
    <row r="746" customFormat="false" ht="15" hidden="false" customHeight="false" outlineLevel="0" collapsed="false">
      <c r="A746" s="28" t="n">
        <v>2020</v>
      </c>
      <c r="B746" s="28" t="s">
        <v>110</v>
      </c>
      <c r="C746" s="28" t="s">
        <v>43</v>
      </c>
      <c r="D746" s="28" t="n">
        <v>48</v>
      </c>
      <c r="E746" s="29" t="n">
        <v>21243300</v>
      </c>
      <c r="F746" s="30" t="n">
        <v>311.57</v>
      </c>
      <c r="G746" s="31" t="n">
        <f aca="false">IFERROR(F746/D746,0)</f>
        <v>6.49104166666667</v>
      </c>
    </row>
    <row r="747" customFormat="false" ht="15" hidden="false" customHeight="false" outlineLevel="0" collapsed="false">
      <c r="A747" s="28" t="n">
        <v>2020</v>
      </c>
      <c r="B747" s="28" t="s">
        <v>110</v>
      </c>
      <c r="C747" s="28" t="s">
        <v>52</v>
      </c>
      <c r="D747" s="28" t="n">
        <v>16</v>
      </c>
      <c r="E747" s="29" t="n">
        <v>12773900</v>
      </c>
      <c r="F747" s="30" t="n">
        <v>109.74</v>
      </c>
      <c r="G747" s="31" t="n">
        <f aca="false">IFERROR(F747/D747,0)</f>
        <v>6.85875</v>
      </c>
    </row>
    <row r="748" customFormat="false" ht="15" hidden="false" customHeight="false" outlineLevel="0" collapsed="false">
      <c r="A748" s="28" t="n">
        <v>2020</v>
      </c>
      <c r="B748" s="28" t="s">
        <v>110</v>
      </c>
      <c r="C748" s="28" t="s">
        <v>49</v>
      </c>
      <c r="D748" s="28" t="n">
        <v>11</v>
      </c>
      <c r="E748" s="29" t="n">
        <v>11025000</v>
      </c>
      <c r="F748" s="30" t="n">
        <v>69.75</v>
      </c>
      <c r="G748" s="31" t="n">
        <f aca="false">IFERROR(F748/D748,0)</f>
        <v>6.34090909090909</v>
      </c>
    </row>
    <row r="749" customFormat="false" ht="15" hidden="false" customHeight="false" outlineLevel="0" collapsed="false">
      <c r="A749" s="28" t="n">
        <v>2020</v>
      </c>
      <c r="B749" s="28" t="s">
        <v>77</v>
      </c>
      <c r="C749" s="28" t="s">
        <v>42</v>
      </c>
      <c r="D749" s="28" t="n">
        <v>362</v>
      </c>
      <c r="E749" s="29" t="n">
        <v>371359000</v>
      </c>
      <c r="F749" s="30" t="n">
        <v>2267.394</v>
      </c>
      <c r="G749" s="31" t="n">
        <f aca="false">IFERROR(F749/D749,0)</f>
        <v>6.26351933701657</v>
      </c>
    </row>
    <row r="750" customFormat="false" ht="15" hidden="false" customHeight="false" outlineLevel="0" collapsed="false">
      <c r="A750" s="28" t="n">
        <v>2020</v>
      </c>
      <c r="B750" s="28" t="s">
        <v>77</v>
      </c>
      <c r="C750" s="28" t="s">
        <v>50</v>
      </c>
      <c r="D750" s="28" t="n">
        <v>132</v>
      </c>
      <c r="E750" s="29" t="n">
        <v>57466100</v>
      </c>
      <c r="F750" s="30" t="n">
        <v>890.57</v>
      </c>
      <c r="G750" s="31" t="n">
        <f aca="false">IFERROR(F750/D750,0)</f>
        <v>6.74674242424242</v>
      </c>
    </row>
    <row r="751" customFormat="false" ht="15" hidden="false" customHeight="false" outlineLevel="0" collapsed="false">
      <c r="A751" s="28" t="n">
        <v>2020</v>
      </c>
      <c r="B751" s="28" t="s">
        <v>77</v>
      </c>
      <c r="C751" s="28" t="s">
        <v>55</v>
      </c>
      <c r="D751" s="28" t="n">
        <v>15</v>
      </c>
      <c r="E751" s="29" t="n">
        <v>25201900</v>
      </c>
      <c r="F751" s="30" t="n">
        <v>97.35</v>
      </c>
      <c r="G751" s="31" t="n">
        <f aca="false">IFERROR(F751/D751,0)</f>
        <v>6.49</v>
      </c>
    </row>
    <row r="752" customFormat="false" ht="15" hidden="false" customHeight="false" outlineLevel="0" collapsed="false">
      <c r="A752" s="28" t="n">
        <v>2020</v>
      </c>
      <c r="B752" s="28" t="s">
        <v>77</v>
      </c>
      <c r="C752" s="28" t="s">
        <v>51</v>
      </c>
      <c r="D752" s="28" t="n">
        <v>109</v>
      </c>
      <c r="E752" s="29" t="n">
        <v>61581600</v>
      </c>
      <c r="F752" s="30" t="n">
        <v>732.7</v>
      </c>
      <c r="G752" s="31" t="n">
        <f aca="false">IFERROR(F752/D752,0)</f>
        <v>6.72201834862385</v>
      </c>
    </row>
    <row r="753" customFormat="false" ht="15" hidden="false" customHeight="false" outlineLevel="0" collapsed="false">
      <c r="A753" s="28" t="n">
        <v>2020</v>
      </c>
      <c r="B753" s="28" t="s">
        <v>77</v>
      </c>
      <c r="C753" s="28" t="s">
        <v>45</v>
      </c>
      <c r="D753" s="28" t="n">
        <v>226</v>
      </c>
      <c r="E753" s="29" t="n">
        <v>111700400</v>
      </c>
      <c r="F753" s="30" t="n">
        <v>1594.97</v>
      </c>
      <c r="G753" s="31" t="n">
        <f aca="false">IFERROR(F753/D753,0)</f>
        <v>7.05738938053097</v>
      </c>
    </row>
    <row r="754" customFormat="false" ht="15" hidden="false" customHeight="false" outlineLevel="0" collapsed="false">
      <c r="A754" s="28" t="n">
        <v>2020</v>
      </c>
      <c r="B754" s="28" t="s">
        <v>77</v>
      </c>
      <c r="C754" s="28" t="s">
        <v>56</v>
      </c>
      <c r="D754" s="28" t="n">
        <v>63</v>
      </c>
      <c r="E754" s="29" t="n">
        <v>42304800</v>
      </c>
      <c r="F754" s="30" t="n">
        <v>400.04</v>
      </c>
      <c r="G754" s="31" t="n">
        <f aca="false">IFERROR(F754/D754,0)</f>
        <v>6.34984126984127</v>
      </c>
    </row>
    <row r="755" customFormat="false" ht="15" hidden="false" customHeight="false" outlineLevel="0" collapsed="false">
      <c r="A755" s="28" t="n">
        <v>2020</v>
      </c>
      <c r="B755" s="28" t="s">
        <v>77</v>
      </c>
      <c r="C755" s="28" t="s">
        <v>54</v>
      </c>
      <c r="D755" s="28" t="n">
        <v>82</v>
      </c>
      <c r="E755" s="29" t="n">
        <v>66200300</v>
      </c>
      <c r="F755" s="30" t="n">
        <v>487.91</v>
      </c>
      <c r="G755" s="31" t="n">
        <f aca="false">IFERROR(F755/D755,0)</f>
        <v>5.95012195121951</v>
      </c>
    </row>
    <row r="756" customFormat="false" ht="15" hidden="false" customHeight="false" outlineLevel="0" collapsed="false">
      <c r="A756" s="28" t="n">
        <v>2020</v>
      </c>
      <c r="B756" s="28" t="s">
        <v>77</v>
      </c>
      <c r="C756" s="28" t="s">
        <v>44</v>
      </c>
      <c r="D756" s="28" t="n">
        <v>304</v>
      </c>
      <c r="E756" s="29" t="n">
        <v>267479400</v>
      </c>
      <c r="F756" s="30" t="n">
        <v>1781.54</v>
      </c>
      <c r="G756" s="31" t="n">
        <f aca="false">IFERROR(F756/D756,0)</f>
        <v>5.86032894736842</v>
      </c>
    </row>
    <row r="757" customFormat="false" ht="15" hidden="false" customHeight="false" outlineLevel="0" collapsed="false">
      <c r="A757" s="28" t="n">
        <v>2020</v>
      </c>
      <c r="B757" s="28" t="s">
        <v>77</v>
      </c>
      <c r="C757" s="28" t="s">
        <v>57</v>
      </c>
      <c r="D757" s="28" t="n">
        <v>29</v>
      </c>
      <c r="E757" s="29" t="n">
        <v>24808500</v>
      </c>
      <c r="F757" s="30" t="n">
        <v>205.99</v>
      </c>
      <c r="G757" s="31" t="n">
        <f aca="false">IFERROR(F757/D757,0)</f>
        <v>7.10310344827586</v>
      </c>
    </row>
    <row r="758" customFormat="false" ht="15" hidden="false" customHeight="false" outlineLevel="0" collapsed="false">
      <c r="A758" s="28" t="n">
        <v>2020</v>
      </c>
      <c r="B758" s="28" t="s">
        <v>77</v>
      </c>
      <c r="C758" s="28" t="s">
        <v>59</v>
      </c>
      <c r="D758" s="28" t="n">
        <v>1</v>
      </c>
      <c r="E758" s="29" t="n">
        <v>939700</v>
      </c>
      <c r="F758" s="30" t="n">
        <v>7</v>
      </c>
      <c r="G758" s="31" t="n">
        <f aca="false">IFERROR(F758/D758,0)</f>
        <v>7</v>
      </c>
    </row>
    <row r="759" customFormat="false" ht="15" hidden="false" customHeight="false" outlineLevel="0" collapsed="false">
      <c r="A759" s="28" t="n">
        <v>2020</v>
      </c>
      <c r="B759" s="28" t="s">
        <v>77</v>
      </c>
      <c r="C759" s="28" t="s">
        <v>47</v>
      </c>
      <c r="D759" s="28" t="n">
        <v>157</v>
      </c>
      <c r="E759" s="29" t="n">
        <v>131150800</v>
      </c>
      <c r="F759" s="30" t="n">
        <v>1023.746</v>
      </c>
      <c r="G759" s="31" t="n">
        <f aca="false">IFERROR(F759/D759,0)</f>
        <v>6.52067515923567</v>
      </c>
    </row>
    <row r="760" customFormat="false" ht="15" hidden="false" customHeight="false" outlineLevel="0" collapsed="false">
      <c r="A760" s="28" t="n">
        <v>2020</v>
      </c>
      <c r="B760" s="28" t="s">
        <v>77</v>
      </c>
      <c r="C760" s="28" t="s">
        <v>58</v>
      </c>
      <c r="D760" s="28" t="n">
        <v>12</v>
      </c>
      <c r="E760" s="29" t="n">
        <v>8431800</v>
      </c>
      <c r="F760" s="30" t="n">
        <v>76.5</v>
      </c>
      <c r="G760" s="31" t="n">
        <f aca="false">IFERROR(F760/D760,0)</f>
        <v>6.375</v>
      </c>
    </row>
    <row r="761" customFormat="false" ht="15" hidden="false" customHeight="false" outlineLevel="0" collapsed="false">
      <c r="A761" s="28" t="n">
        <v>2020</v>
      </c>
      <c r="B761" s="28" t="s">
        <v>77</v>
      </c>
      <c r="C761" s="28" t="s">
        <v>46</v>
      </c>
      <c r="D761" s="28" t="n">
        <v>273</v>
      </c>
      <c r="E761" s="29" t="n">
        <v>189368100</v>
      </c>
      <c r="F761" s="30" t="n">
        <v>1728.89</v>
      </c>
      <c r="G761" s="31" t="n">
        <f aca="false">IFERROR(F761/D761,0)</f>
        <v>6.3329304029304</v>
      </c>
    </row>
    <row r="762" customFormat="false" ht="15" hidden="false" customHeight="false" outlineLevel="0" collapsed="false">
      <c r="A762" s="28" t="n">
        <v>2020</v>
      </c>
      <c r="B762" s="28" t="s">
        <v>77</v>
      </c>
      <c r="C762" s="28" t="s">
        <v>48</v>
      </c>
      <c r="D762" s="28" t="n">
        <v>218</v>
      </c>
      <c r="E762" s="29" t="n">
        <v>123250200</v>
      </c>
      <c r="F762" s="30" t="n">
        <v>1408.376</v>
      </c>
      <c r="G762" s="31" t="n">
        <f aca="false">IFERROR(F762/D762,0)</f>
        <v>6.46044036697248</v>
      </c>
    </row>
    <row r="763" customFormat="false" ht="15" hidden="false" customHeight="false" outlineLevel="0" collapsed="false">
      <c r="A763" s="28" t="n">
        <v>2020</v>
      </c>
      <c r="B763" s="28" t="s">
        <v>77</v>
      </c>
      <c r="C763" s="28" t="s">
        <v>61</v>
      </c>
      <c r="D763" s="28" t="n">
        <v>2</v>
      </c>
      <c r="E763" s="29" t="n">
        <v>2255000</v>
      </c>
      <c r="F763" s="30" t="n">
        <v>13.25</v>
      </c>
      <c r="G763" s="31" t="n">
        <f aca="false">IFERROR(F763/D763,0)</f>
        <v>6.625</v>
      </c>
    </row>
    <row r="764" customFormat="false" ht="15" hidden="false" customHeight="false" outlineLevel="0" collapsed="false">
      <c r="A764" s="28" t="n">
        <v>2020</v>
      </c>
      <c r="B764" s="28" t="s">
        <v>77</v>
      </c>
      <c r="C764" s="28" t="s">
        <v>53</v>
      </c>
      <c r="D764" s="28" t="n">
        <v>73</v>
      </c>
      <c r="E764" s="29" t="n">
        <v>71986800</v>
      </c>
      <c r="F764" s="30" t="n">
        <v>434.71</v>
      </c>
      <c r="G764" s="31" t="n">
        <f aca="false">IFERROR(F764/D764,0)</f>
        <v>5.95493150684932</v>
      </c>
    </row>
    <row r="765" customFormat="false" ht="15" hidden="false" customHeight="false" outlineLevel="0" collapsed="false">
      <c r="A765" s="28" t="n">
        <v>2020</v>
      </c>
      <c r="B765" s="28" t="s">
        <v>77</v>
      </c>
      <c r="C765" s="28" t="s">
        <v>43</v>
      </c>
      <c r="D765" s="28" t="n">
        <v>376</v>
      </c>
      <c r="E765" s="29" t="n">
        <v>379588500</v>
      </c>
      <c r="F765" s="30" t="n">
        <v>2292.07</v>
      </c>
      <c r="G765" s="31" t="n">
        <f aca="false">IFERROR(F765/D765,0)</f>
        <v>6.09593085106383</v>
      </c>
    </row>
    <row r="766" customFormat="false" ht="15" hidden="false" customHeight="false" outlineLevel="0" collapsed="false">
      <c r="A766" s="28" t="n">
        <v>2020</v>
      </c>
      <c r="B766" s="28" t="s">
        <v>77</v>
      </c>
      <c r="C766" s="28" t="s">
        <v>52</v>
      </c>
      <c r="D766" s="28" t="n">
        <v>128</v>
      </c>
      <c r="E766" s="29" t="n">
        <v>49534600</v>
      </c>
      <c r="F766" s="30" t="n">
        <v>994.527</v>
      </c>
      <c r="G766" s="31" t="n">
        <f aca="false">IFERROR(F766/D766,0)</f>
        <v>7.7697421875</v>
      </c>
    </row>
    <row r="767" customFormat="false" ht="15" hidden="false" customHeight="false" outlineLevel="0" collapsed="false">
      <c r="A767" s="28" t="n">
        <v>2020</v>
      </c>
      <c r="B767" s="28" t="s">
        <v>77</v>
      </c>
      <c r="C767" s="28" t="s">
        <v>60</v>
      </c>
      <c r="D767" s="28" t="n">
        <v>8</v>
      </c>
      <c r="E767" s="29" t="n">
        <v>2495800</v>
      </c>
      <c r="F767" s="30" t="n">
        <v>49.24</v>
      </c>
      <c r="G767" s="31" t="n">
        <f aca="false">IFERROR(F767/D767,0)</f>
        <v>6.155</v>
      </c>
    </row>
    <row r="768" customFormat="false" ht="15" hidden="false" customHeight="false" outlineLevel="0" collapsed="false">
      <c r="A768" s="28" t="n">
        <v>2020</v>
      </c>
      <c r="B768" s="28" t="s">
        <v>77</v>
      </c>
      <c r="C768" s="28" t="s">
        <v>49</v>
      </c>
      <c r="D768" s="28" t="n">
        <v>105</v>
      </c>
      <c r="E768" s="29" t="n">
        <v>103617900</v>
      </c>
      <c r="F768" s="30" t="n">
        <v>664.57</v>
      </c>
      <c r="G768" s="31" t="n">
        <f aca="false">IFERROR(F768/D768,0)</f>
        <v>6.3292380952381</v>
      </c>
    </row>
    <row r="769" customFormat="false" ht="15" hidden="false" customHeight="false" outlineLevel="0" collapsed="false">
      <c r="A769" s="28" t="n">
        <v>2020</v>
      </c>
      <c r="B769" s="28" t="s">
        <v>105</v>
      </c>
      <c r="C769" s="28" t="s">
        <v>42</v>
      </c>
      <c r="D769" s="28" t="n">
        <v>67</v>
      </c>
      <c r="E769" s="29" t="n">
        <v>44474200</v>
      </c>
      <c r="F769" s="30" t="n">
        <v>422.7</v>
      </c>
      <c r="G769" s="31" t="n">
        <f aca="false">IFERROR(F769/D769,0)</f>
        <v>6.3089552238806</v>
      </c>
    </row>
    <row r="770" customFormat="false" ht="15" hidden="false" customHeight="false" outlineLevel="0" collapsed="false">
      <c r="A770" s="28" t="n">
        <v>2020</v>
      </c>
      <c r="B770" s="28" t="s">
        <v>105</v>
      </c>
      <c r="C770" s="28" t="s">
        <v>50</v>
      </c>
      <c r="D770" s="28" t="n">
        <v>45</v>
      </c>
      <c r="E770" s="29" t="n">
        <v>16799600</v>
      </c>
      <c r="F770" s="30" t="n">
        <v>287.54</v>
      </c>
      <c r="G770" s="31" t="n">
        <f aca="false">IFERROR(F770/D770,0)</f>
        <v>6.38977777777778</v>
      </c>
    </row>
    <row r="771" customFormat="false" ht="15" hidden="false" customHeight="false" outlineLevel="0" collapsed="false">
      <c r="A771" s="28" t="n">
        <v>2020</v>
      </c>
      <c r="B771" s="28" t="s">
        <v>105</v>
      </c>
      <c r="C771" s="28" t="s">
        <v>55</v>
      </c>
      <c r="D771" s="28" t="n">
        <v>2</v>
      </c>
      <c r="E771" s="29" t="n">
        <v>695000</v>
      </c>
      <c r="F771" s="30" t="n">
        <v>15</v>
      </c>
      <c r="G771" s="31" t="n">
        <f aca="false">IFERROR(F771/D771,0)</f>
        <v>7.5</v>
      </c>
    </row>
    <row r="772" customFormat="false" ht="15" hidden="false" customHeight="false" outlineLevel="0" collapsed="false">
      <c r="A772" s="28" t="n">
        <v>2020</v>
      </c>
      <c r="B772" s="28" t="s">
        <v>105</v>
      </c>
      <c r="C772" s="28" t="s">
        <v>51</v>
      </c>
      <c r="D772" s="28" t="n">
        <v>25</v>
      </c>
      <c r="E772" s="29" t="n">
        <v>7263800</v>
      </c>
      <c r="F772" s="30" t="n">
        <v>163.51</v>
      </c>
      <c r="G772" s="31" t="n">
        <f aca="false">IFERROR(F772/D772,0)</f>
        <v>6.5404</v>
      </c>
    </row>
    <row r="773" customFormat="false" ht="15" hidden="false" customHeight="false" outlineLevel="0" collapsed="false">
      <c r="A773" s="28" t="n">
        <v>2020</v>
      </c>
      <c r="B773" s="28" t="s">
        <v>105</v>
      </c>
      <c r="C773" s="28" t="s">
        <v>45</v>
      </c>
      <c r="D773" s="28" t="n">
        <v>84</v>
      </c>
      <c r="E773" s="29" t="n">
        <v>35160200</v>
      </c>
      <c r="F773" s="30" t="n">
        <v>590.57</v>
      </c>
      <c r="G773" s="31" t="n">
        <f aca="false">IFERROR(F773/D773,0)</f>
        <v>7.03059523809524</v>
      </c>
    </row>
    <row r="774" customFormat="false" ht="15" hidden="false" customHeight="false" outlineLevel="0" collapsed="false">
      <c r="A774" s="28" t="n">
        <v>2020</v>
      </c>
      <c r="B774" s="28" t="s">
        <v>105</v>
      </c>
      <c r="C774" s="28" t="s">
        <v>56</v>
      </c>
      <c r="D774" s="28" t="n">
        <v>9</v>
      </c>
      <c r="E774" s="29" t="n">
        <v>5093500</v>
      </c>
      <c r="F774" s="30" t="n">
        <v>49.99</v>
      </c>
      <c r="G774" s="31" t="n">
        <f aca="false">IFERROR(F774/D774,0)</f>
        <v>5.55444444444445</v>
      </c>
    </row>
    <row r="775" customFormat="false" ht="15" hidden="false" customHeight="false" outlineLevel="0" collapsed="false">
      <c r="A775" s="28" t="n">
        <v>2020</v>
      </c>
      <c r="B775" s="28" t="s">
        <v>105</v>
      </c>
      <c r="C775" s="28" t="s">
        <v>54</v>
      </c>
      <c r="D775" s="28" t="n">
        <v>17</v>
      </c>
      <c r="E775" s="29" t="n">
        <v>6239600</v>
      </c>
      <c r="F775" s="30" t="n">
        <v>116.56</v>
      </c>
      <c r="G775" s="31" t="n">
        <f aca="false">IFERROR(F775/D775,0)</f>
        <v>6.85647058823529</v>
      </c>
    </row>
    <row r="776" customFormat="false" ht="15" hidden="false" customHeight="false" outlineLevel="0" collapsed="false">
      <c r="A776" s="28" t="n">
        <v>2020</v>
      </c>
      <c r="B776" s="28" t="s">
        <v>105</v>
      </c>
      <c r="C776" s="28" t="s">
        <v>44</v>
      </c>
      <c r="D776" s="28" t="n">
        <v>69</v>
      </c>
      <c r="E776" s="29" t="n">
        <v>43761100</v>
      </c>
      <c r="F776" s="30" t="n">
        <v>432.49</v>
      </c>
      <c r="G776" s="31" t="n">
        <f aca="false">IFERROR(F776/D776,0)</f>
        <v>6.26797101449275</v>
      </c>
    </row>
    <row r="777" customFormat="false" ht="15" hidden="false" customHeight="false" outlineLevel="0" collapsed="false">
      <c r="A777" s="28" t="n">
        <v>2020</v>
      </c>
      <c r="B777" s="28" t="s">
        <v>105</v>
      </c>
      <c r="C777" s="28" t="s">
        <v>57</v>
      </c>
      <c r="D777" s="28" t="n">
        <v>12</v>
      </c>
      <c r="E777" s="29" t="n">
        <v>5913000</v>
      </c>
      <c r="F777" s="30" t="n">
        <v>74.25</v>
      </c>
      <c r="G777" s="31" t="n">
        <f aca="false">IFERROR(F777/D777,0)</f>
        <v>6.1875</v>
      </c>
    </row>
    <row r="778" customFormat="false" ht="15" hidden="false" customHeight="false" outlineLevel="0" collapsed="false">
      <c r="A778" s="28" t="n">
        <v>2020</v>
      </c>
      <c r="B778" s="28" t="s">
        <v>105</v>
      </c>
      <c r="C778" s="28" t="s">
        <v>47</v>
      </c>
      <c r="D778" s="28" t="n">
        <v>61</v>
      </c>
      <c r="E778" s="29" t="n">
        <v>42142500</v>
      </c>
      <c r="F778" s="30" t="n">
        <v>371.89</v>
      </c>
      <c r="G778" s="31" t="n">
        <f aca="false">IFERROR(F778/D778,0)</f>
        <v>6.09655737704918</v>
      </c>
    </row>
    <row r="779" customFormat="false" ht="15" hidden="false" customHeight="false" outlineLevel="0" collapsed="false">
      <c r="A779" s="28" t="n">
        <v>2020</v>
      </c>
      <c r="B779" s="28" t="s">
        <v>105</v>
      </c>
      <c r="C779" s="28" t="s">
        <v>58</v>
      </c>
      <c r="D779" s="28" t="n">
        <v>6</v>
      </c>
      <c r="E779" s="29" t="n">
        <v>2519100</v>
      </c>
      <c r="F779" s="30" t="n">
        <v>38.24</v>
      </c>
      <c r="G779" s="31" t="n">
        <f aca="false">IFERROR(F779/D779,0)</f>
        <v>6.37333333333333</v>
      </c>
    </row>
    <row r="780" customFormat="false" ht="15" hidden="false" customHeight="false" outlineLevel="0" collapsed="false">
      <c r="A780" s="28" t="n">
        <v>2020</v>
      </c>
      <c r="B780" s="28" t="s">
        <v>105</v>
      </c>
      <c r="C780" s="28" t="s">
        <v>46</v>
      </c>
      <c r="D780" s="28" t="n">
        <v>65</v>
      </c>
      <c r="E780" s="29" t="n">
        <v>27839800</v>
      </c>
      <c r="F780" s="30" t="n">
        <v>404.93</v>
      </c>
      <c r="G780" s="31" t="n">
        <f aca="false">IFERROR(F780/D780,0)</f>
        <v>6.22969230769231</v>
      </c>
    </row>
    <row r="781" customFormat="false" ht="15" hidden="false" customHeight="false" outlineLevel="0" collapsed="false">
      <c r="A781" s="28" t="n">
        <v>2020</v>
      </c>
      <c r="B781" s="28" t="s">
        <v>105</v>
      </c>
      <c r="C781" s="28" t="s">
        <v>48</v>
      </c>
      <c r="D781" s="28" t="n">
        <v>63</v>
      </c>
      <c r="E781" s="29" t="n">
        <v>24707100</v>
      </c>
      <c r="F781" s="30" t="n">
        <v>419.08</v>
      </c>
      <c r="G781" s="31" t="n">
        <f aca="false">IFERROR(F781/D781,0)</f>
        <v>6.65206349206349</v>
      </c>
    </row>
    <row r="782" customFormat="false" ht="15" hidden="false" customHeight="false" outlineLevel="0" collapsed="false">
      <c r="A782" s="28" t="n">
        <v>2020</v>
      </c>
      <c r="B782" s="28" t="s">
        <v>105</v>
      </c>
      <c r="C782" s="28" t="s">
        <v>53</v>
      </c>
      <c r="D782" s="28" t="n">
        <v>28</v>
      </c>
      <c r="E782" s="29" t="n">
        <v>24837300</v>
      </c>
      <c r="F782" s="30" t="n">
        <v>162.06</v>
      </c>
      <c r="G782" s="31" t="n">
        <f aca="false">IFERROR(F782/D782,0)</f>
        <v>5.78785714285714</v>
      </c>
    </row>
    <row r="783" customFormat="false" ht="15" hidden="false" customHeight="false" outlineLevel="0" collapsed="false">
      <c r="A783" s="28" t="n">
        <v>2020</v>
      </c>
      <c r="B783" s="28" t="s">
        <v>105</v>
      </c>
      <c r="C783" s="28" t="s">
        <v>43</v>
      </c>
      <c r="D783" s="28" t="n">
        <v>78</v>
      </c>
      <c r="E783" s="29" t="n">
        <v>45521000</v>
      </c>
      <c r="F783" s="30" t="n">
        <v>496.04</v>
      </c>
      <c r="G783" s="31" t="n">
        <f aca="false">IFERROR(F783/D783,0)</f>
        <v>6.35948717948718</v>
      </c>
    </row>
    <row r="784" customFormat="false" ht="15" hidden="false" customHeight="false" outlineLevel="0" collapsed="false">
      <c r="A784" s="28" t="n">
        <v>2020</v>
      </c>
      <c r="B784" s="28" t="s">
        <v>105</v>
      </c>
      <c r="C784" s="28" t="s">
        <v>52</v>
      </c>
      <c r="D784" s="28" t="n">
        <v>30</v>
      </c>
      <c r="E784" s="29" t="n">
        <v>15126800</v>
      </c>
      <c r="F784" s="30" t="n">
        <v>212.98</v>
      </c>
      <c r="G784" s="31" t="n">
        <f aca="false">IFERROR(F784/D784,0)</f>
        <v>7.09933333333333</v>
      </c>
    </row>
    <row r="785" customFormat="false" ht="15" hidden="false" customHeight="false" outlineLevel="0" collapsed="false">
      <c r="A785" s="28" t="n">
        <v>2020</v>
      </c>
      <c r="B785" s="28" t="s">
        <v>105</v>
      </c>
      <c r="C785" s="28" t="s">
        <v>60</v>
      </c>
      <c r="D785" s="28" t="n">
        <v>1</v>
      </c>
      <c r="E785" s="29" t="n">
        <v>150000</v>
      </c>
      <c r="F785" s="30" t="n">
        <v>5</v>
      </c>
      <c r="G785" s="31" t="n">
        <f aca="false">IFERROR(F785/D785,0)</f>
        <v>5</v>
      </c>
    </row>
    <row r="786" customFormat="false" ht="15" hidden="false" customHeight="false" outlineLevel="0" collapsed="false">
      <c r="A786" s="28" t="n">
        <v>2020</v>
      </c>
      <c r="B786" s="28" t="s">
        <v>105</v>
      </c>
      <c r="C786" s="28" t="s">
        <v>49</v>
      </c>
      <c r="D786" s="28" t="n">
        <v>25</v>
      </c>
      <c r="E786" s="29" t="n">
        <v>17289600</v>
      </c>
      <c r="F786" s="30" t="n">
        <v>156</v>
      </c>
      <c r="G786" s="31" t="n">
        <f aca="false">IFERROR(F786/D786,0)</f>
        <v>6.24</v>
      </c>
    </row>
    <row r="787" customFormat="false" ht="15" hidden="false" customHeight="false" outlineLevel="0" collapsed="false">
      <c r="A787" s="28" t="n">
        <v>2020</v>
      </c>
      <c r="B787" s="28" t="s">
        <v>65</v>
      </c>
      <c r="C787" s="28" t="s">
        <v>42</v>
      </c>
      <c r="D787" s="28" t="n">
        <v>85</v>
      </c>
      <c r="E787" s="29" t="n">
        <v>69977400</v>
      </c>
      <c r="F787" s="30" t="n">
        <v>558.37</v>
      </c>
      <c r="G787" s="31" t="n">
        <f aca="false">IFERROR(F787/D787,0)</f>
        <v>6.56905882352941</v>
      </c>
    </row>
    <row r="788" customFormat="false" ht="15" hidden="false" customHeight="false" outlineLevel="0" collapsed="false">
      <c r="A788" s="28" t="n">
        <v>2020</v>
      </c>
      <c r="B788" s="28" t="s">
        <v>65</v>
      </c>
      <c r="C788" s="28" t="s">
        <v>50</v>
      </c>
      <c r="D788" s="28" t="n">
        <v>31</v>
      </c>
      <c r="E788" s="29" t="n">
        <v>12571000</v>
      </c>
      <c r="F788" s="30" t="n">
        <v>208.38</v>
      </c>
      <c r="G788" s="31" t="n">
        <f aca="false">IFERROR(F788/D788,0)</f>
        <v>6.72193548387097</v>
      </c>
    </row>
    <row r="789" customFormat="false" ht="15" hidden="false" customHeight="false" outlineLevel="0" collapsed="false">
      <c r="A789" s="28" t="n">
        <v>2020</v>
      </c>
      <c r="B789" s="28" t="s">
        <v>65</v>
      </c>
      <c r="C789" s="28" t="s">
        <v>55</v>
      </c>
      <c r="D789" s="28" t="n">
        <v>9</v>
      </c>
      <c r="E789" s="29" t="n">
        <v>8204200</v>
      </c>
      <c r="F789" s="30" t="n">
        <v>60.99</v>
      </c>
      <c r="G789" s="31" t="n">
        <f aca="false">IFERROR(F789/D789,0)</f>
        <v>6.77666666666667</v>
      </c>
    </row>
    <row r="790" customFormat="false" ht="15" hidden="false" customHeight="false" outlineLevel="0" collapsed="false">
      <c r="A790" s="28" t="n">
        <v>2020</v>
      </c>
      <c r="B790" s="28" t="s">
        <v>65</v>
      </c>
      <c r="C790" s="28" t="s">
        <v>51</v>
      </c>
      <c r="D790" s="28" t="n">
        <v>25</v>
      </c>
      <c r="E790" s="29" t="n">
        <v>12137300</v>
      </c>
      <c r="F790" s="30" t="n">
        <v>168.33</v>
      </c>
      <c r="G790" s="31" t="n">
        <f aca="false">IFERROR(F790/D790,0)</f>
        <v>6.7332</v>
      </c>
    </row>
    <row r="791" customFormat="false" ht="15" hidden="false" customHeight="false" outlineLevel="0" collapsed="false">
      <c r="A791" s="28" t="n">
        <v>2020</v>
      </c>
      <c r="B791" s="28" t="s">
        <v>65</v>
      </c>
      <c r="C791" s="28" t="s">
        <v>45</v>
      </c>
      <c r="D791" s="28" t="n">
        <v>47</v>
      </c>
      <c r="E791" s="29" t="n">
        <v>23540700</v>
      </c>
      <c r="F791" s="30" t="n">
        <v>350.87</v>
      </c>
      <c r="G791" s="31" t="n">
        <f aca="false">IFERROR(F791/D791,0)</f>
        <v>7.46531914893617</v>
      </c>
    </row>
    <row r="792" customFormat="false" ht="15" hidden="false" customHeight="false" outlineLevel="0" collapsed="false">
      <c r="A792" s="28" t="n">
        <v>2020</v>
      </c>
      <c r="B792" s="28" t="s">
        <v>65</v>
      </c>
      <c r="C792" s="28" t="s">
        <v>56</v>
      </c>
      <c r="D792" s="28" t="n">
        <v>11</v>
      </c>
      <c r="E792" s="29" t="n">
        <v>1499700</v>
      </c>
      <c r="F792" s="30" t="n">
        <v>82.29</v>
      </c>
      <c r="G792" s="31" t="n">
        <f aca="false">IFERROR(F792/D792,0)</f>
        <v>7.48090909090909</v>
      </c>
    </row>
    <row r="793" customFormat="false" ht="15" hidden="false" customHeight="false" outlineLevel="0" collapsed="false">
      <c r="A793" s="28" t="n">
        <v>2020</v>
      </c>
      <c r="B793" s="28" t="s">
        <v>65</v>
      </c>
      <c r="C793" s="28" t="s">
        <v>54</v>
      </c>
      <c r="D793" s="28" t="n">
        <v>13</v>
      </c>
      <c r="E793" s="29" t="n">
        <v>10278000</v>
      </c>
      <c r="F793" s="30" t="n">
        <v>90.11</v>
      </c>
      <c r="G793" s="31" t="n">
        <f aca="false">IFERROR(F793/D793,0)</f>
        <v>6.93153846153846</v>
      </c>
    </row>
    <row r="794" customFormat="false" ht="15" hidden="false" customHeight="false" outlineLevel="0" collapsed="false">
      <c r="A794" s="28" t="n">
        <v>2020</v>
      </c>
      <c r="B794" s="28" t="s">
        <v>65</v>
      </c>
      <c r="C794" s="28" t="s">
        <v>44</v>
      </c>
      <c r="D794" s="28" t="n">
        <v>51</v>
      </c>
      <c r="E794" s="29" t="n">
        <v>43150000</v>
      </c>
      <c r="F794" s="30" t="n">
        <v>317.96</v>
      </c>
      <c r="G794" s="31" t="n">
        <f aca="false">IFERROR(F794/D794,0)</f>
        <v>6.23450980392157</v>
      </c>
    </row>
    <row r="795" customFormat="false" ht="15" hidden="false" customHeight="false" outlineLevel="0" collapsed="false">
      <c r="A795" s="28" t="n">
        <v>2020</v>
      </c>
      <c r="B795" s="28" t="s">
        <v>65</v>
      </c>
      <c r="C795" s="28" t="s">
        <v>57</v>
      </c>
      <c r="D795" s="28" t="n">
        <v>8</v>
      </c>
      <c r="E795" s="29" t="n">
        <v>1212800</v>
      </c>
      <c r="F795" s="30" t="n">
        <v>59.75</v>
      </c>
      <c r="G795" s="31" t="n">
        <f aca="false">IFERROR(F795/D795,0)</f>
        <v>7.46875</v>
      </c>
    </row>
    <row r="796" customFormat="false" ht="15" hidden="false" customHeight="false" outlineLevel="0" collapsed="false">
      <c r="A796" s="28" t="n">
        <v>2020</v>
      </c>
      <c r="B796" s="28" t="s">
        <v>65</v>
      </c>
      <c r="C796" s="28" t="s">
        <v>47</v>
      </c>
      <c r="D796" s="28" t="n">
        <v>31</v>
      </c>
      <c r="E796" s="29" t="n">
        <v>17599400</v>
      </c>
      <c r="F796" s="30" t="n">
        <v>195.96</v>
      </c>
      <c r="G796" s="31" t="n">
        <f aca="false">IFERROR(F796/D796,0)</f>
        <v>6.32129032258065</v>
      </c>
    </row>
    <row r="797" customFormat="false" ht="15" hidden="false" customHeight="false" outlineLevel="0" collapsed="false">
      <c r="A797" s="28" t="n">
        <v>2020</v>
      </c>
      <c r="B797" s="28" t="s">
        <v>65</v>
      </c>
      <c r="C797" s="28" t="s">
        <v>46</v>
      </c>
      <c r="D797" s="28" t="n">
        <v>55</v>
      </c>
      <c r="E797" s="29" t="n">
        <v>22502000</v>
      </c>
      <c r="F797" s="30" t="n">
        <v>363.35</v>
      </c>
      <c r="G797" s="31" t="n">
        <f aca="false">IFERROR(F797/D797,0)</f>
        <v>6.60636363636364</v>
      </c>
    </row>
    <row r="798" customFormat="false" ht="15" hidden="false" customHeight="false" outlineLevel="0" collapsed="false">
      <c r="A798" s="28" t="n">
        <v>2020</v>
      </c>
      <c r="B798" s="28" t="s">
        <v>65</v>
      </c>
      <c r="C798" s="28" t="s">
        <v>48</v>
      </c>
      <c r="D798" s="28" t="n">
        <v>68</v>
      </c>
      <c r="E798" s="29" t="n">
        <v>33595700</v>
      </c>
      <c r="F798" s="30" t="n">
        <v>470.88</v>
      </c>
      <c r="G798" s="31" t="n">
        <f aca="false">IFERROR(F798/D798,0)</f>
        <v>6.92470588235294</v>
      </c>
    </row>
    <row r="799" customFormat="false" ht="15" hidden="false" customHeight="false" outlineLevel="0" collapsed="false">
      <c r="A799" s="28" t="n">
        <v>2020</v>
      </c>
      <c r="B799" s="28" t="s">
        <v>65</v>
      </c>
      <c r="C799" s="28" t="s">
        <v>53</v>
      </c>
      <c r="D799" s="28" t="n">
        <v>9</v>
      </c>
      <c r="E799" s="29" t="n">
        <v>3799000</v>
      </c>
      <c r="F799" s="30" t="n">
        <v>67.52</v>
      </c>
      <c r="G799" s="31" t="n">
        <f aca="false">IFERROR(F799/D799,0)</f>
        <v>7.50222222222222</v>
      </c>
    </row>
    <row r="800" customFormat="false" ht="15" hidden="false" customHeight="false" outlineLevel="0" collapsed="false">
      <c r="A800" s="28" t="n">
        <v>2020</v>
      </c>
      <c r="B800" s="28" t="s">
        <v>65</v>
      </c>
      <c r="C800" s="28" t="s">
        <v>43</v>
      </c>
      <c r="D800" s="28" t="n">
        <v>52</v>
      </c>
      <c r="E800" s="29" t="n">
        <v>22966100</v>
      </c>
      <c r="F800" s="30" t="n">
        <v>365.59</v>
      </c>
      <c r="G800" s="31" t="n">
        <f aca="false">IFERROR(F800/D800,0)</f>
        <v>7.03057692307692</v>
      </c>
    </row>
    <row r="801" customFormat="false" ht="15" hidden="false" customHeight="false" outlineLevel="0" collapsed="false">
      <c r="A801" s="28" t="n">
        <v>2020</v>
      </c>
      <c r="B801" s="28" t="s">
        <v>65</v>
      </c>
      <c r="C801" s="28" t="s">
        <v>52</v>
      </c>
      <c r="D801" s="28" t="n">
        <v>17</v>
      </c>
      <c r="E801" s="29" t="n">
        <v>6472200</v>
      </c>
      <c r="F801" s="30" t="n">
        <v>130.53</v>
      </c>
      <c r="G801" s="31" t="n">
        <f aca="false">IFERROR(F801/D801,0)</f>
        <v>7.67823529411765</v>
      </c>
    </row>
    <row r="802" customFormat="false" ht="15" hidden="false" customHeight="false" outlineLevel="0" collapsed="false">
      <c r="A802" s="28" t="n">
        <v>2020</v>
      </c>
      <c r="B802" s="28" t="s">
        <v>65</v>
      </c>
      <c r="C802" s="28" t="s">
        <v>60</v>
      </c>
      <c r="D802" s="28" t="n">
        <v>3</v>
      </c>
      <c r="E802" s="29" t="n">
        <v>265000</v>
      </c>
      <c r="F802" s="30" t="n">
        <v>19.5</v>
      </c>
      <c r="G802" s="31" t="n">
        <f aca="false">IFERROR(F802/D802,0)</f>
        <v>6.5</v>
      </c>
    </row>
    <row r="803" customFormat="false" ht="15" hidden="false" customHeight="false" outlineLevel="0" collapsed="false">
      <c r="A803" s="28" t="n">
        <v>2020</v>
      </c>
      <c r="B803" s="28" t="s">
        <v>65</v>
      </c>
      <c r="C803" s="28" t="s">
        <v>49</v>
      </c>
      <c r="D803" s="28" t="n">
        <v>22</v>
      </c>
      <c r="E803" s="29" t="n">
        <v>20504100</v>
      </c>
      <c r="F803" s="30" t="n">
        <v>145.88</v>
      </c>
      <c r="G803" s="31" t="n">
        <f aca="false">IFERROR(F803/D803,0)</f>
        <v>6.63090909090909</v>
      </c>
    </row>
    <row r="804" customFormat="false" ht="15" hidden="false" customHeight="false" outlineLevel="0" collapsed="false">
      <c r="A804" s="28" t="n">
        <v>2020</v>
      </c>
      <c r="B804" s="28" t="s">
        <v>124</v>
      </c>
      <c r="C804" s="28" t="s">
        <v>42</v>
      </c>
      <c r="D804" s="28" t="n">
        <v>1</v>
      </c>
      <c r="E804" s="29" t="n">
        <v>119700</v>
      </c>
      <c r="F804" s="30" t="n">
        <v>7</v>
      </c>
      <c r="G804" s="31" t="n">
        <f aca="false">IFERROR(F804/D804,0)</f>
        <v>7</v>
      </c>
    </row>
    <row r="805" customFormat="false" ht="15" hidden="false" customHeight="false" outlineLevel="0" collapsed="false">
      <c r="A805" s="28" t="n">
        <v>2020</v>
      </c>
      <c r="B805" s="28" t="s">
        <v>124</v>
      </c>
      <c r="C805" s="28" t="s">
        <v>44</v>
      </c>
      <c r="D805" s="28" t="n">
        <v>2</v>
      </c>
      <c r="E805" s="29" t="n">
        <v>2280000</v>
      </c>
      <c r="F805" s="30" t="n">
        <v>15</v>
      </c>
      <c r="G805" s="31" t="n">
        <f aca="false">IFERROR(F805/D805,0)</f>
        <v>7.5</v>
      </c>
    </row>
    <row r="806" customFormat="false" ht="15" hidden="false" customHeight="false" outlineLevel="0" collapsed="false">
      <c r="A806" s="28" t="n">
        <v>2020</v>
      </c>
      <c r="B806" s="28" t="s">
        <v>124</v>
      </c>
      <c r="C806" s="28" t="s">
        <v>52</v>
      </c>
      <c r="D806" s="28" t="n">
        <v>1</v>
      </c>
      <c r="E806" s="29" t="n">
        <v>225000</v>
      </c>
      <c r="F806" s="30" t="n">
        <v>5.25</v>
      </c>
      <c r="G806" s="31" t="n">
        <f aca="false">IFERROR(F806/D806,0)</f>
        <v>5.25</v>
      </c>
    </row>
    <row r="807" customFormat="false" ht="15" hidden="false" customHeight="false" outlineLevel="0" collapsed="false">
      <c r="A807" s="28" t="n">
        <v>2020</v>
      </c>
      <c r="B807" s="28" t="s">
        <v>126</v>
      </c>
      <c r="C807" s="28" t="s">
        <v>42</v>
      </c>
      <c r="D807" s="28" t="n">
        <v>16</v>
      </c>
      <c r="E807" s="29" t="n">
        <v>2050700</v>
      </c>
      <c r="F807" s="30" t="n">
        <v>82.33</v>
      </c>
      <c r="G807" s="31" t="n">
        <f aca="false">IFERROR(F807/D807,0)</f>
        <v>5.145625</v>
      </c>
    </row>
    <row r="808" customFormat="false" ht="15" hidden="false" customHeight="false" outlineLevel="0" collapsed="false">
      <c r="A808" s="28" t="n">
        <v>2020</v>
      </c>
      <c r="B808" s="28" t="s">
        <v>126</v>
      </c>
      <c r="C808" s="28" t="s">
        <v>50</v>
      </c>
      <c r="D808" s="28" t="n">
        <v>13</v>
      </c>
      <c r="E808" s="29" t="n">
        <v>531400</v>
      </c>
      <c r="F808" s="30" t="n">
        <v>74.07</v>
      </c>
      <c r="G808" s="31" t="n">
        <f aca="false">IFERROR(F808/D808,0)</f>
        <v>5.69769230769231</v>
      </c>
    </row>
    <row r="809" customFormat="false" ht="15" hidden="false" customHeight="false" outlineLevel="0" collapsed="false">
      <c r="A809" s="28" t="n">
        <v>2020</v>
      </c>
      <c r="B809" s="28" t="s">
        <v>126</v>
      </c>
      <c r="C809" s="28" t="s">
        <v>55</v>
      </c>
      <c r="D809" s="28" t="n">
        <v>4</v>
      </c>
      <c r="E809" s="29" t="n">
        <v>635400</v>
      </c>
      <c r="F809" s="30" t="n">
        <v>19.25</v>
      </c>
      <c r="G809" s="31" t="n">
        <f aca="false">IFERROR(F809/D809,0)</f>
        <v>4.8125</v>
      </c>
    </row>
    <row r="810" customFormat="false" ht="15" hidden="false" customHeight="false" outlineLevel="0" collapsed="false">
      <c r="A810" s="28" t="n">
        <v>2020</v>
      </c>
      <c r="B810" s="28" t="s">
        <v>126</v>
      </c>
      <c r="C810" s="28" t="s">
        <v>51</v>
      </c>
      <c r="D810" s="28" t="n">
        <v>4</v>
      </c>
      <c r="E810" s="29" t="n">
        <v>96000</v>
      </c>
      <c r="F810" s="30" t="n">
        <v>20.79</v>
      </c>
      <c r="G810" s="31" t="n">
        <f aca="false">IFERROR(F810/D810,0)</f>
        <v>5.1975</v>
      </c>
    </row>
    <row r="811" customFormat="false" ht="15" hidden="false" customHeight="false" outlineLevel="0" collapsed="false">
      <c r="A811" s="28" t="n">
        <v>2020</v>
      </c>
      <c r="B811" s="28" t="s">
        <v>126</v>
      </c>
      <c r="C811" s="28" t="s">
        <v>45</v>
      </c>
      <c r="D811" s="28" t="n">
        <v>21</v>
      </c>
      <c r="E811" s="29" t="n">
        <v>2477900</v>
      </c>
      <c r="F811" s="30" t="n">
        <v>125.73</v>
      </c>
      <c r="G811" s="31" t="n">
        <f aca="false">IFERROR(F811/D811,0)</f>
        <v>5.98714285714286</v>
      </c>
    </row>
    <row r="812" customFormat="false" ht="15" hidden="false" customHeight="false" outlineLevel="0" collapsed="false">
      <c r="A812" s="28" t="n">
        <v>2020</v>
      </c>
      <c r="B812" s="28" t="s">
        <v>126</v>
      </c>
      <c r="C812" s="28" t="s">
        <v>56</v>
      </c>
      <c r="D812" s="28" t="n">
        <v>4</v>
      </c>
      <c r="E812" s="29" t="n">
        <v>526000</v>
      </c>
      <c r="F812" s="30" t="n">
        <v>24.67</v>
      </c>
      <c r="G812" s="31" t="n">
        <f aca="false">IFERROR(F812/D812,0)</f>
        <v>6.1675</v>
      </c>
    </row>
    <row r="813" customFormat="false" ht="15" hidden="false" customHeight="false" outlineLevel="0" collapsed="false">
      <c r="A813" s="28" t="n">
        <v>2020</v>
      </c>
      <c r="B813" s="28" t="s">
        <v>126</v>
      </c>
      <c r="C813" s="28" t="s">
        <v>44</v>
      </c>
      <c r="D813" s="28" t="n">
        <v>7</v>
      </c>
      <c r="E813" s="29" t="n">
        <v>544400</v>
      </c>
      <c r="F813" s="30" t="n">
        <v>38.78</v>
      </c>
      <c r="G813" s="31" t="n">
        <f aca="false">IFERROR(F813/D813,0)</f>
        <v>5.54</v>
      </c>
    </row>
    <row r="814" customFormat="false" ht="15" hidden="false" customHeight="false" outlineLevel="0" collapsed="false">
      <c r="A814" s="28" t="n">
        <v>2020</v>
      </c>
      <c r="B814" s="28" t="s">
        <v>126</v>
      </c>
      <c r="C814" s="28" t="s">
        <v>57</v>
      </c>
      <c r="D814" s="28" t="n">
        <v>1</v>
      </c>
      <c r="E814" s="29" t="n">
        <v>50000</v>
      </c>
      <c r="F814" s="30" t="n">
        <v>6.32</v>
      </c>
      <c r="G814" s="31" t="n">
        <f aca="false">IFERROR(F814/D814,0)</f>
        <v>6.32</v>
      </c>
    </row>
    <row r="815" customFormat="false" ht="15" hidden="false" customHeight="false" outlineLevel="0" collapsed="false">
      <c r="A815" s="28" t="n">
        <v>2020</v>
      </c>
      <c r="B815" s="28" t="s">
        <v>126</v>
      </c>
      <c r="C815" s="28" t="s">
        <v>47</v>
      </c>
      <c r="D815" s="28" t="n">
        <v>30</v>
      </c>
      <c r="E815" s="29" t="n">
        <v>7990800</v>
      </c>
      <c r="F815" s="30" t="n">
        <v>136.24</v>
      </c>
      <c r="G815" s="31" t="n">
        <f aca="false">IFERROR(F815/D815,0)</f>
        <v>4.54133333333333</v>
      </c>
    </row>
    <row r="816" customFormat="false" ht="15" hidden="false" customHeight="false" outlineLevel="0" collapsed="false">
      <c r="A816" s="28" t="n">
        <v>2020</v>
      </c>
      <c r="B816" s="28" t="s">
        <v>126</v>
      </c>
      <c r="C816" s="28" t="s">
        <v>46</v>
      </c>
      <c r="D816" s="28" t="n">
        <v>8</v>
      </c>
      <c r="E816" s="29" t="n">
        <v>1192000</v>
      </c>
      <c r="F816" s="30" t="n">
        <v>44.81</v>
      </c>
      <c r="G816" s="31" t="n">
        <f aca="false">IFERROR(F816/D816,0)</f>
        <v>5.60125</v>
      </c>
    </row>
    <row r="817" customFormat="false" ht="15" hidden="false" customHeight="false" outlineLevel="0" collapsed="false">
      <c r="A817" s="28" t="n">
        <v>2020</v>
      </c>
      <c r="B817" s="28" t="s">
        <v>126</v>
      </c>
      <c r="C817" s="28" t="s">
        <v>48</v>
      </c>
      <c r="D817" s="28" t="n">
        <v>8</v>
      </c>
      <c r="E817" s="29" t="n">
        <v>740000</v>
      </c>
      <c r="F817" s="30" t="n">
        <v>56.71</v>
      </c>
      <c r="G817" s="31" t="n">
        <f aca="false">IFERROR(F817/D817,0)</f>
        <v>7.08875</v>
      </c>
    </row>
    <row r="818" customFormat="false" ht="15" hidden="false" customHeight="false" outlineLevel="0" collapsed="false">
      <c r="A818" s="28" t="n">
        <v>2020</v>
      </c>
      <c r="B818" s="28" t="s">
        <v>126</v>
      </c>
      <c r="C818" s="28" t="s">
        <v>53</v>
      </c>
      <c r="D818" s="28" t="n">
        <v>2</v>
      </c>
      <c r="E818" s="29" t="n">
        <v>253000</v>
      </c>
      <c r="F818" s="30" t="n">
        <v>10.5</v>
      </c>
      <c r="G818" s="31" t="n">
        <f aca="false">IFERROR(F818/D818,0)</f>
        <v>5.25</v>
      </c>
    </row>
    <row r="819" customFormat="false" ht="15" hidden="false" customHeight="false" outlineLevel="0" collapsed="false">
      <c r="A819" s="28" t="n">
        <v>2020</v>
      </c>
      <c r="B819" s="28" t="s">
        <v>126</v>
      </c>
      <c r="C819" s="28" t="s">
        <v>43</v>
      </c>
      <c r="D819" s="28" t="n">
        <v>25</v>
      </c>
      <c r="E819" s="29" t="n">
        <v>3802000</v>
      </c>
      <c r="F819" s="30" t="n">
        <v>151.92</v>
      </c>
      <c r="G819" s="31" t="n">
        <f aca="false">IFERROR(F819/D819,0)</f>
        <v>6.0768</v>
      </c>
    </row>
    <row r="820" customFormat="false" ht="15" hidden="false" customHeight="false" outlineLevel="0" collapsed="false">
      <c r="A820" s="28" t="n">
        <v>2020</v>
      </c>
      <c r="B820" s="28" t="s">
        <v>126</v>
      </c>
      <c r="C820" s="28" t="s">
        <v>52</v>
      </c>
      <c r="D820" s="28" t="n">
        <v>9</v>
      </c>
      <c r="E820" s="29" t="n">
        <v>329900</v>
      </c>
      <c r="F820" s="30" t="n">
        <v>57.16</v>
      </c>
      <c r="G820" s="31" t="n">
        <f aca="false">IFERROR(F820/D820,0)</f>
        <v>6.35111111111111</v>
      </c>
    </row>
    <row r="821" customFormat="false" ht="15" hidden="false" customHeight="false" outlineLevel="0" collapsed="false">
      <c r="A821" s="28" t="n">
        <v>2020</v>
      </c>
      <c r="B821" s="28" t="s">
        <v>126</v>
      </c>
      <c r="C821" s="28" t="s">
        <v>49</v>
      </c>
      <c r="D821" s="28" t="n">
        <v>3</v>
      </c>
      <c r="E821" s="29" t="n">
        <v>2344000</v>
      </c>
      <c r="F821" s="30" t="n">
        <v>19</v>
      </c>
      <c r="G821" s="31" t="n">
        <f aca="false">IFERROR(F821/D821,0)</f>
        <v>6.33333333333333</v>
      </c>
    </row>
    <row r="822" customFormat="false" ht="15" hidden="false" customHeight="false" outlineLevel="0" collapsed="false">
      <c r="A822" s="28" t="n">
        <v>2020</v>
      </c>
      <c r="B822" s="28" t="s">
        <v>89</v>
      </c>
      <c r="C822" s="28" t="s">
        <v>42</v>
      </c>
      <c r="D822" s="28" t="n">
        <v>168</v>
      </c>
      <c r="E822" s="29" t="n">
        <v>121481300</v>
      </c>
      <c r="F822" s="30" t="n">
        <v>1057.62</v>
      </c>
      <c r="G822" s="31" t="n">
        <f aca="false">IFERROR(F822/D822,0)</f>
        <v>6.29535714285714</v>
      </c>
    </row>
    <row r="823" customFormat="false" ht="15" hidden="false" customHeight="false" outlineLevel="0" collapsed="false">
      <c r="A823" s="28" t="n">
        <v>2020</v>
      </c>
      <c r="B823" s="28" t="s">
        <v>89</v>
      </c>
      <c r="C823" s="28" t="s">
        <v>50</v>
      </c>
      <c r="D823" s="28" t="n">
        <v>45</v>
      </c>
      <c r="E823" s="29" t="n">
        <v>16253700</v>
      </c>
      <c r="F823" s="30" t="n">
        <v>304.84</v>
      </c>
      <c r="G823" s="31" t="n">
        <f aca="false">IFERROR(F823/D823,0)</f>
        <v>6.77422222222222</v>
      </c>
    </row>
    <row r="824" customFormat="false" ht="15" hidden="false" customHeight="false" outlineLevel="0" collapsed="false">
      <c r="A824" s="28" t="n">
        <v>2020</v>
      </c>
      <c r="B824" s="28" t="s">
        <v>89</v>
      </c>
      <c r="C824" s="28" t="s">
        <v>55</v>
      </c>
      <c r="D824" s="28" t="n">
        <v>11</v>
      </c>
      <c r="E824" s="29" t="n">
        <v>1967300</v>
      </c>
      <c r="F824" s="30" t="n">
        <v>75.49</v>
      </c>
      <c r="G824" s="31" t="n">
        <f aca="false">IFERROR(F824/D824,0)</f>
        <v>6.86272727272727</v>
      </c>
    </row>
    <row r="825" customFormat="false" ht="15" hidden="false" customHeight="false" outlineLevel="0" collapsed="false">
      <c r="A825" s="28" t="n">
        <v>2020</v>
      </c>
      <c r="B825" s="28" t="s">
        <v>89</v>
      </c>
      <c r="C825" s="28" t="s">
        <v>51</v>
      </c>
      <c r="D825" s="28" t="n">
        <v>32</v>
      </c>
      <c r="E825" s="29" t="n">
        <v>17013000</v>
      </c>
      <c r="F825" s="30" t="n">
        <v>198.68</v>
      </c>
      <c r="G825" s="31" t="n">
        <f aca="false">IFERROR(F825/D825,0)</f>
        <v>6.20875</v>
      </c>
    </row>
    <row r="826" customFormat="false" ht="15" hidden="false" customHeight="false" outlineLevel="0" collapsed="false">
      <c r="A826" s="28" t="n">
        <v>2020</v>
      </c>
      <c r="B826" s="28" t="s">
        <v>89</v>
      </c>
      <c r="C826" s="28" t="s">
        <v>45</v>
      </c>
      <c r="D826" s="28" t="n">
        <v>146</v>
      </c>
      <c r="E826" s="29" t="n">
        <v>54694800</v>
      </c>
      <c r="F826" s="30" t="n">
        <v>969.355</v>
      </c>
      <c r="G826" s="31" t="n">
        <f aca="false">IFERROR(F826/D826,0)</f>
        <v>6.63941780821918</v>
      </c>
    </row>
    <row r="827" customFormat="false" ht="15" hidden="false" customHeight="false" outlineLevel="0" collapsed="false">
      <c r="A827" s="28" t="n">
        <v>2020</v>
      </c>
      <c r="B827" s="28" t="s">
        <v>89</v>
      </c>
      <c r="C827" s="28" t="s">
        <v>56</v>
      </c>
      <c r="D827" s="28" t="n">
        <v>10</v>
      </c>
      <c r="E827" s="29" t="n">
        <v>6748300</v>
      </c>
      <c r="F827" s="30" t="n">
        <v>61.81</v>
      </c>
      <c r="G827" s="31" t="n">
        <f aca="false">IFERROR(F827/D827,0)</f>
        <v>6.181</v>
      </c>
    </row>
    <row r="828" customFormat="false" ht="15" hidden="false" customHeight="false" outlineLevel="0" collapsed="false">
      <c r="A828" s="28" t="n">
        <v>2020</v>
      </c>
      <c r="B828" s="28" t="s">
        <v>89</v>
      </c>
      <c r="C828" s="28" t="s">
        <v>54</v>
      </c>
      <c r="D828" s="28" t="n">
        <v>34</v>
      </c>
      <c r="E828" s="29" t="n">
        <v>19488400</v>
      </c>
      <c r="F828" s="30" t="n">
        <v>205.69</v>
      </c>
      <c r="G828" s="31" t="n">
        <f aca="false">IFERROR(F828/D828,0)</f>
        <v>6.04970588235294</v>
      </c>
    </row>
    <row r="829" customFormat="false" ht="15" hidden="false" customHeight="false" outlineLevel="0" collapsed="false">
      <c r="A829" s="28" t="n">
        <v>2020</v>
      </c>
      <c r="B829" s="28" t="s">
        <v>89</v>
      </c>
      <c r="C829" s="28" t="s">
        <v>44</v>
      </c>
      <c r="D829" s="28" t="n">
        <v>98</v>
      </c>
      <c r="E829" s="29" t="n">
        <v>73764700</v>
      </c>
      <c r="F829" s="30" t="n">
        <v>590.77</v>
      </c>
      <c r="G829" s="31" t="n">
        <f aca="false">IFERROR(F829/D829,0)</f>
        <v>6.02826530612245</v>
      </c>
    </row>
    <row r="830" customFormat="false" ht="15" hidden="false" customHeight="false" outlineLevel="0" collapsed="false">
      <c r="A830" s="28" t="n">
        <v>2020</v>
      </c>
      <c r="B830" s="28" t="s">
        <v>89</v>
      </c>
      <c r="C830" s="28" t="s">
        <v>57</v>
      </c>
      <c r="D830" s="28" t="n">
        <v>13</v>
      </c>
      <c r="E830" s="29" t="n">
        <v>8748700</v>
      </c>
      <c r="F830" s="30" t="n">
        <v>94.23</v>
      </c>
      <c r="G830" s="31" t="n">
        <f aca="false">IFERROR(F830/D830,0)</f>
        <v>7.24846153846154</v>
      </c>
    </row>
    <row r="831" customFormat="false" ht="15" hidden="false" customHeight="false" outlineLevel="0" collapsed="false">
      <c r="A831" s="28" t="n">
        <v>2020</v>
      </c>
      <c r="B831" s="28" t="s">
        <v>89</v>
      </c>
      <c r="C831" s="28" t="s">
        <v>47</v>
      </c>
      <c r="D831" s="28" t="n">
        <v>64</v>
      </c>
      <c r="E831" s="29" t="n">
        <v>33141000</v>
      </c>
      <c r="F831" s="30" t="n">
        <v>404.76</v>
      </c>
      <c r="G831" s="31" t="n">
        <f aca="false">IFERROR(F831/D831,0)</f>
        <v>6.324375</v>
      </c>
    </row>
    <row r="832" customFormat="false" ht="15" hidden="false" customHeight="false" outlineLevel="0" collapsed="false">
      <c r="A832" s="28" t="n">
        <v>2020</v>
      </c>
      <c r="B832" s="28" t="s">
        <v>89</v>
      </c>
      <c r="C832" s="28" t="s">
        <v>46</v>
      </c>
      <c r="D832" s="28" t="n">
        <v>85</v>
      </c>
      <c r="E832" s="29" t="n">
        <v>43809700</v>
      </c>
      <c r="F832" s="30" t="n">
        <v>543.19</v>
      </c>
      <c r="G832" s="31" t="n">
        <f aca="false">IFERROR(F832/D832,0)</f>
        <v>6.3904705882353</v>
      </c>
    </row>
    <row r="833" customFormat="false" ht="15" hidden="false" customHeight="false" outlineLevel="0" collapsed="false">
      <c r="A833" s="28" t="n">
        <v>2020</v>
      </c>
      <c r="B833" s="28" t="s">
        <v>89</v>
      </c>
      <c r="C833" s="28" t="s">
        <v>48</v>
      </c>
      <c r="D833" s="28" t="n">
        <v>88</v>
      </c>
      <c r="E833" s="29" t="n">
        <v>47214400</v>
      </c>
      <c r="F833" s="30" t="n">
        <v>551.73</v>
      </c>
      <c r="G833" s="31" t="n">
        <f aca="false">IFERROR(F833/D833,0)</f>
        <v>6.26965909090909</v>
      </c>
    </row>
    <row r="834" customFormat="false" ht="15" hidden="false" customHeight="false" outlineLevel="0" collapsed="false">
      <c r="A834" s="28" t="n">
        <v>2020</v>
      </c>
      <c r="B834" s="28" t="s">
        <v>89</v>
      </c>
      <c r="C834" s="28" t="s">
        <v>53</v>
      </c>
      <c r="D834" s="28" t="n">
        <v>32</v>
      </c>
      <c r="E834" s="29" t="n">
        <v>35856200</v>
      </c>
      <c r="F834" s="30" t="n">
        <v>169.96</v>
      </c>
      <c r="G834" s="31" t="n">
        <f aca="false">IFERROR(F834/D834,0)</f>
        <v>5.31125</v>
      </c>
    </row>
    <row r="835" customFormat="false" ht="15" hidden="false" customHeight="false" outlineLevel="0" collapsed="false">
      <c r="A835" s="28" t="n">
        <v>2020</v>
      </c>
      <c r="B835" s="28" t="s">
        <v>89</v>
      </c>
      <c r="C835" s="28" t="s">
        <v>43</v>
      </c>
      <c r="D835" s="28" t="n">
        <v>175</v>
      </c>
      <c r="E835" s="29" t="n">
        <v>141926000</v>
      </c>
      <c r="F835" s="30" t="n">
        <v>1080.163</v>
      </c>
      <c r="G835" s="31" t="n">
        <f aca="false">IFERROR(F835/D835,0)</f>
        <v>6.17236</v>
      </c>
    </row>
    <row r="836" customFormat="false" ht="15" hidden="false" customHeight="false" outlineLevel="0" collapsed="false">
      <c r="A836" s="28" t="n">
        <v>2020</v>
      </c>
      <c r="B836" s="28" t="s">
        <v>89</v>
      </c>
      <c r="C836" s="28" t="s">
        <v>52</v>
      </c>
      <c r="D836" s="28" t="n">
        <v>40</v>
      </c>
      <c r="E836" s="29" t="n">
        <v>19315400</v>
      </c>
      <c r="F836" s="30" t="n">
        <v>245.28</v>
      </c>
      <c r="G836" s="31" t="n">
        <f aca="false">IFERROR(F836/D836,0)</f>
        <v>6.132</v>
      </c>
    </row>
    <row r="837" customFormat="false" ht="15" hidden="false" customHeight="false" outlineLevel="0" collapsed="false">
      <c r="A837" s="28" t="n">
        <v>2020</v>
      </c>
      <c r="B837" s="28" t="s">
        <v>89</v>
      </c>
      <c r="C837" s="28" t="s">
        <v>49</v>
      </c>
      <c r="D837" s="28" t="n">
        <v>34</v>
      </c>
      <c r="E837" s="29" t="n">
        <v>21985200</v>
      </c>
      <c r="F837" s="30" t="n">
        <v>211.45</v>
      </c>
      <c r="G837" s="31" t="n">
        <f aca="false">IFERROR(F837/D837,0)</f>
        <v>6.21911764705882</v>
      </c>
    </row>
    <row r="838" customFormat="false" ht="15" hidden="false" customHeight="false" outlineLevel="0" collapsed="false">
      <c r="A838" s="28" t="n">
        <v>2020</v>
      </c>
      <c r="B838" s="28" t="s">
        <v>99</v>
      </c>
      <c r="C838" s="28" t="s">
        <v>42</v>
      </c>
      <c r="D838" s="28" t="n">
        <v>111</v>
      </c>
      <c r="E838" s="29" t="n">
        <v>64293800</v>
      </c>
      <c r="F838" s="30" t="n">
        <v>656.15</v>
      </c>
      <c r="G838" s="31" t="n">
        <f aca="false">IFERROR(F838/D838,0)</f>
        <v>5.91126126126126</v>
      </c>
    </row>
    <row r="839" customFormat="false" ht="15" hidden="false" customHeight="false" outlineLevel="0" collapsed="false">
      <c r="A839" s="28" t="n">
        <v>2020</v>
      </c>
      <c r="B839" s="28" t="s">
        <v>99</v>
      </c>
      <c r="C839" s="28" t="s">
        <v>50</v>
      </c>
      <c r="D839" s="28" t="n">
        <v>51</v>
      </c>
      <c r="E839" s="29" t="n">
        <v>19673600</v>
      </c>
      <c r="F839" s="30" t="n">
        <v>300.54</v>
      </c>
      <c r="G839" s="31" t="n">
        <f aca="false">IFERROR(F839/D839,0)</f>
        <v>5.89294117647059</v>
      </c>
    </row>
    <row r="840" customFormat="false" ht="15" hidden="false" customHeight="false" outlineLevel="0" collapsed="false">
      <c r="A840" s="28" t="n">
        <v>2020</v>
      </c>
      <c r="B840" s="28" t="s">
        <v>99</v>
      </c>
      <c r="C840" s="28" t="s">
        <v>55</v>
      </c>
      <c r="D840" s="28" t="n">
        <v>17</v>
      </c>
      <c r="E840" s="29" t="n">
        <v>3696000</v>
      </c>
      <c r="F840" s="30" t="n">
        <v>90.64</v>
      </c>
      <c r="G840" s="31" t="n">
        <f aca="false">IFERROR(F840/D840,0)</f>
        <v>5.33176470588235</v>
      </c>
    </row>
    <row r="841" customFormat="false" ht="15" hidden="false" customHeight="false" outlineLevel="0" collapsed="false">
      <c r="A841" s="28" t="n">
        <v>2020</v>
      </c>
      <c r="B841" s="28" t="s">
        <v>99</v>
      </c>
      <c r="C841" s="28" t="s">
        <v>51</v>
      </c>
      <c r="D841" s="28" t="n">
        <v>29</v>
      </c>
      <c r="E841" s="29" t="n">
        <v>11367900</v>
      </c>
      <c r="F841" s="30" t="n">
        <v>175.44</v>
      </c>
      <c r="G841" s="31" t="n">
        <f aca="false">IFERROR(F841/D841,0)</f>
        <v>6.04965517241379</v>
      </c>
    </row>
    <row r="842" customFormat="false" ht="15" hidden="false" customHeight="false" outlineLevel="0" collapsed="false">
      <c r="A842" s="28" t="n">
        <v>2020</v>
      </c>
      <c r="B842" s="28" t="s">
        <v>99</v>
      </c>
      <c r="C842" s="28" t="s">
        <v>45</v>
      </c>
      <c r="D842" s="28" t="n">
        <v>114</v>
      </c>
      <c r="E842" s="29" t="n">
        <v>42980700</v>
      </c>
      <c r="F842" s="30" t="n">
        <v>708.415</v>
      </c>
      <c r="G842" s="31" t="n">
        <f aca="false">IFERROR(F842/D842,0)</f>
        <v>6.21416666666667</v>
      </c>
    </row>
    <row r="843" customFormat="false" ht="15" hidden="false" customHeight="false" outlineLevel="0" collapsed="false">
      <c r="A843" s="28" t="n">
        <v>2020</v>
      </c>
      <c r="B843" s="28" t="s">
        <v>99</v>
      </c>
      <c r="C843" s="28" t="s">
        <v>56</v>
      </c>
      <c r="D843" s="28" t="n">
        <v>4</v>
      </c>
      <c r="E843" s="29" t="n">
        <v>988500</v>
      </c>
      <c r="F843" s="30" t="n">
        <v>25.31</v>
      </c>
      <c r="G843" s="31" t="n">
        <f aca="false">IFERROR(F843/D843,0)</f>
        <v>6.3275</v>
      </c>
    </row>
    <row r="844" customFormat="false" ht="15" hidden="false" customHeight="false" outlineLevel="0" collapsed="false">
      <c r="A844" s="28" t="n">
        <v>2020</v>
      </c>
      <c r="B844" s="28" t="s">
        <v>99</v>
      </c>
      <c r="C844" s="28" t="s">
        <v>54</v>
      </c>
      <c r="D844" s="28" t="n">
        <v>14</v>
      </c>
      <c r="E844" s="29" t="n">
        <v>5474900</v>
      </c>
      <c r="F844" s="30" t="n">
        <v>75.29</v>
      </c>
      <c r="G844" s="31" t="n">
        <f aca="false">IFERROR(F844/D844,0)</f>
        <v>5.37785714285714</v>
      </c>
    </row>
    <row r="845" customFormat="false" ht="15" hidden="false" customHeight="false" outlineLevel="0" collapsed="false">
      <c r="A845" s="28" t="n">
        <v>2020</v>
      </c>
      <c r="B845" s="28" t="s">
        <v>99</v>
      </c>
      <c r="C845" s="28" t="s">
        <v>44</v>
      </c>
      <c r="D845" s="28" t="n">
        <v>67</v>
      </c>
      <c r="E845" s="29" t="n">
        <v>30187100</v>
      </c>
      <c r="F845" s="30" t="n">
        <v>413.125</v>
      </c>
      <c r="G845" s="31" t="n">
        <f aca="false">IFERROR(F845/D845,0)</f>
        <v>6.1660447761194</v>
      </c>
    </row>
    <row r="846" customFormat="false" ht="15" hidden="false" customHeight="false" outlineLevel="0" collapsed="false">
      <c r="A846" s="28" t="n">
        <v>2020</v>
      </c>
      <c r="B846" s="28" t="s">
        <v>99</v>
      </c>
      <c r="C846" s="28" t="s">
        <v>57</v>
      </c>
      <c r="D846" s="28" t="n">
        <v>9</v>
      </c>
      <c r="E846" s="29" t="n">
        <v>8820000</v>
      </c>
      <c r="F846" s="30" t="n">
        <v>50.24</v>
      </c>
      <c r="G846" s="31" t="n">
        <f aca="false">IFERROR(F846/D846,0)</f>
        <v>5.58222222222222</v>
      </c>
    </row>
    <row r="847" customFormat="false" ht="15" hidden="false" customHeight="false" outlineLevel="0" collapsed="false">
      <c r="A847" s="28" t="n">
        <v>2020</v>
      </c>
      <c r="B847" s="28" t="s">
        <v>99</v>
      </c>
      <c r="C847" s="28" t="s">
        <v>47</v>
      </c>
      <c r="D847" s="28" t="n">
        <v>99</v>
      </c>
      <c r="E847" s="29" t="n">
        <v>69771400</v>
      </c>
      <c r="F847" s="30" t="n">
        <v>544.51</v>
      </c>
      <c r="G847" s="31" t="n">
        <f aca="false">IFERROR(F847/D847,0)</f>
        <v>5.50010101010101</v>
      </c>
    </row>
    <row r="848" customFormat="false" ht="15" hidden="false" customHeight="false" outlineLevel="0" collapsed="false">
      <c r="A848" s="28" t="n">
        <v>2020</v>
      </c>
      <c r="B848" s="28" t="s">
        <v>99</v>
      </c>
      <c r="C848" s="28" t="s">
        <v>46</v>
      </c>
      <c r="D848" s="28" t="n">
        <v>78</v>
      </c>
      <c r="E848" s="29" t="n">
        <v>31366200</v>
      </c>
      <c r="F848" s="30" t="n">
        <v>457.275</v>
      </c>
      <c r="G848" s="31" t="n">
        <f aca="false">IFERROR(F848/D848,0)</f>
        <v>5.8625</v>
      </c>
    </row>
    <row r="849" customFormat="false" ht="15" hidden="false" customHeight="false" outlineLevel="0" collapsed="false">
      <c r="A849" s="28" t="n">
        <v>2020</v>
      </c>
      <c r="B849" s="28" t="s">
        <v>99</v>
      </c>
      <c r="C849" s="28" t="s">
        <v>48</v>
      </c>
      <c r="D849" s="28" t="n">
        <v>57</v>
      </c>
      <c r="E849" s="29" t="n">
        <v>23019300</v>
      </c>
      <c r="F849" s="30" t="n">
        <v>350.73</v>
      </c>
      <c r="G849" s="31" t="n">
        <f aca="false">IFERROR(F849/D849,0)</f>
        <v>6.15315789473684</v>
      </c>
    </row>
    <row r="850" customFormat="false" ht="15" hidden="false" customHeight="false" outlineLevel="0" collapsed="false">
      <c r="A850" s="28" t="n">
        <v>2020</v>
      </c>
      <c r="B850" s="28" t="s">
        <v>99</v>
      </c>
      <c r="C850" s="28" t="s">
        <v>53</v>
      </c>
      <c r="D850" s="28" t="n">
        <v>20</v>
      </c>
      <c r="E850" s="29" t="n">
        <v>6520700</v>
      </c>
      <c r="F850" s="30" t="n">
        <v>118.24</v>
      </c>
      <c r="G850" s="31" t="n">
        <f aca="false">IFERROR(F850/D850,0)</f>
        <v>5.912</v>
      </c>
    </row>
    <row r="851" customFormat="false" ht="15" hidden="false" customHeight="false" outlineLevel="0" collapsed="false">
      <c r="A851" s="28" t="n">
        <v>2020</v>
      </c>
      <c r="B851" s="28" t="s">
        <v>99</v>
      </c>
      <c r="C851" s="28" t="s">
        <v>43</v>
      </c>
      <c r="D851" s="28" t="n">
        <v>99</v>
      </c>
      <c r="E851" s="29" t="n">
        <v>46372500</v>
      </c>
      <c r="F851" s="30" t="n">
        <v>586.17</v>
      </c>
      <c r="G851" s="31" t="n">
        <f aca="false">IFERROR(F851/D851,0)</f>
        <v>5.92090909090909</v>
      </c>
    </row>
    <row r="852" customFormat="false" ht="15" hidden="false" customHeight="false" outlineLevel="0" collapsed="false">
      <c r="A852" s="28" t="n">
        <v>2020</v>
      </c>
      <c r="B852" s="28" t="s">
        <v>99</v>
      </c>
      <c r="C852" s="28" t="s">
        <v>52</v>
      </c>
      <c r="D852" s="28" t="n">
        <v>44</v>
      </c>
      <c r="E852" s="29" t="n">
        <v>14627200</v>
      </c>
      <c r="F852" s="30" t="n">
        <v>281.9</v>
      </c>
      <c r="G852" s="31" t="n">
        <f aca="false">IFERROR(F852/D852,0)</f>
        <v>6.40681818181818</v>
      </c>
    </row>
    <row r="853" customFormat="false" ht="15" hidden="false" customHeight="false" outlineLevel="0" collapsed="false">
      <c r="A853" s="28" t="n">
        <v>2020</v>
      </c>
      <c r="B853" s="28" t="s">
        <v>99</v>
      </c>
      <c r="C853" s="28" t="s">
        <v>60</v>
      </c>
      <c r="D853" s="28" t="n">
        <v>1</v>
      </c>
      <c r="E853" s="29" t="n">
        <v>40000</v>
      </c>
      <c r="F853" s="30" t="n">
        <v>7.99</v>
      </c>
      <c r="G853" s="31" t="n">
        <f aca="false">IFERROR(F853/D853,0)</f>
        <v>7.99</v>
      </c>
    </row>
    <row r="854" customFormat="false" ht="15" hidden="false" customHeight="false" outlineLevel="0" collapsed="false">
      <c r="A854" s="28" t="n">
        <v>2020</v>
      </c>
      <c r="B854" s="28" t="s">
        <v>99</v>
      </c>
      <c r="C854" s="28" t="s">
        <v>49</v>
      </c>
      <c r="D854" s="28" t="n">
        <v>32</v>
      </c>
      <c r="E854" s="29" t="n">
        <v>20016400</v>
      </c>
      <c r="F854" s="30" t="n">
        <v>188.81</v>
      </c>
      <c r="G854" s="31" t="n">
        <f aca="false">IFERROR(F854/D854,0)</f>
        <v>5.9003125</v>
      </c>
    </row>
    <row r="855" customFormat="false" ht="15" hidden="false" customHeight="false" outlineLevel="0" collapsed="false">
      <c r="A855" s="28" t="n">
        <v>2020</v>
      </c>
      <c r="B855" s="28" t="s">
        <v>123</v>
      </c>
      <c r="C855" s="28" t="s">
        <v>42</v>
      </c>
      <c r="D855" s="28" t="n">
        <v>21</v>
      </c>
      <c r="E855" s="29" t="n">
        <v>13440900</v>
      </c>
      <c r="F855" s="30" t="n">
        <v>109.75</v>
      </c>
      <c r="G855" s="31" t="n">
        <f aca="false">IFERROR(F855/D855,0)</f>
        <v>5.22619047619048</v>
      </c>
    </row>
    <row r="856" customFormat="false" ht="15" hidden="false" customHeight="false" outlineLevel="0" collapsed="false">
      <c r="A856" s="28" t="n">
        <v>2020</v>
      </c>
      <c r="B856" s="28" t="s">
        <v>123</v>
      </c>
      <c r="C856" s="28" t="s">
        <v>50</v>
      </c>
      <c r="D856" s="28" t="n">
        <v>9</v>
      </c>
      <c r="E856" s="29" t="n">
        <v>1644100</v>
      </c>
      <c r="F856" s="30" t="n">
        <v>46.35</v>
      </c>
      <c r="G856" s="31" t="n">
        <f aca="false">IFERROR(F856/D856,0)</f>
        <v>5.15</v>
      </c>
    </row>
    <row r="857" customFormat="false" ht="15" hidden="false" customHeight="false" outlineLevel="0" collapsed="false">
      <c r="A857" s="28" t="n">
        <v>2020</v>
      </c>
      <c r="B857" s="28" t="s">
        <v>123</v>
      </c>
      <c r="C857" s="28" t="s">
        <v>55</v>
      </c>
      <c r="D857" s="28" t="n">
        <v>5</v>
      </c>
      <c r="E857" s="29" t="n">
        <v>1544300</v>
      </c>
      <c r="F857" s="30" t="n">
        <v>31.869</v>
      </c>
      <c r="G857" s="31" t="n">
        <f aca="false">IFERROR(F857/D857,0)</f>
        <v>6.3738</v>
      </c>
    </row>
    <row r="858" customFormat="false" ht="15" hidden="false" customHeight="false" outlineLevel="0" collapsed="false">
      <c r="A858" s="28" t="n">
        <v>2020</v>
      </c>
      <c r="B858" s="28" t="s">
        <v>123</v>
      </c>
      <c r="C858" s="28" t="s">
        <v>51</v>
      </c>
      <c r="D858" s="28" t="n">
        <v>4</v>
      </c>
      <c r="E858" s="29" t="n">
        <v>2269000</v>
      </c>
      <c r="F858" s="30" t="n">
        <v>25.09</v>
      </c>
      <c r="G858" s="31" t="n">
        <f aca="false">IFERROR(F858/D858,0)</f>
        <v>6.2725</v>
      </c>
    </row>
    <row r="859" customFormat="false" ht="15" hidden="false" customHeight="false" outlineLevel="0" collapsed="false">
      <c r="A859" s="28" t="n">
        <v>2020</v>
      </c>
      <c r="B859" s="28" t="s">
        <v>123</v>
      </c>
      <c r="C859" s="28" t="s">
        <v>45</v>
      </c>
      <c r="D859" s="28" t="n">
        <v>27</v>
      </c>
      <c r="E859" s="29" t="n">
        <v>5729900</v>
      </c>
      <c r="F859" s="30" t="n">
        <v>141.29</v>
      </c>
      <c r="G859" s="31" t="n">
        <f aca="false">IFERROR(F859/D859,0)</f>
        <v>5.23296296296296</v>
      </c>
    </row>
    <row r="860" customFormat="false" ht="15" hidden="false" customHeight="false" outlineLevel="0" collapsed="false">
      <c r="A860" s="28" t="n">
        <v>2020</v>
      </c>
      <c r="B860" s="28" t="s">
        <v>123</v>
      </c>
      <c r="C860" s="28" t="s">
        <v>54</v>
      </c>
      <c r="D860" s="28" t="n">
        <v>11</v>
      </c>
      <c r="E860" s="29" t="n">
        <v>2968100</v>
      </c>
      <c r="F860" s="30" t="n">
        <v>58.09</v>
      </c>
      <c r="G860" s="31" t="n">
        <f aca="false">IFERROR(F860/D860,0)</f>
        <v>5.28090909090909</v>
      </c>
    </row>
    <row r="861" customFormat="false" ht="15" hidden="false" customHeight="false" outlineLevel="0" collapsed="false">
      <c r="A861" s="28" t="n">
        <v>2020</v>
      </c>
      <c r="B861" s="28" t="s">
        <v>123</v>
      </c>
      <c r="C861" s="28" t="s">
        <v>44</v>
      </c>
      <c r="D861" s="28" t="n">
        <v>10</v>
      </c>
      <c r="E861" s="29" t="n">
        <v>1979000</v>
      </c>
      <c r="F861" s="30" t="n">
        <v>52.23</v>
      </c>
      <c r="G861" s="31" t="n">
        <f aca="false">IFERROR(F861/D861,0)</f>
        <v>5.223</v>
      </c>
    </row>
    <row r="862" customFormat="false" ht="15" hidden="false" customHeight="false" outlineLevel="0" collapsed="false">
      <c r="A862" s="28" t="n">
        <v>2020</v>
      </c>
      <c r="B862" s="28" t="s">
        <v>123</v>
      </c>
      <c r="C862" s="28" t="s">
        <v>57</v>
      </c>
      <c r="D862" s="28" t="n">
        <v>1</v>
      </c>
      <c r="E862" s="29" t="n">
        <v>40000</v>
      </c>
      <c r="F862" s="30" t="n">
        <v>7.25</v>
      </c>
      <c r="G862" s="31" t="n">
        <f aca="false">IFERROR(F862/D862,0)</f>
        <v>7.25</v>
      </c>
    </row>
    <row r="863" customFormat="false" ht="15" hidden="false" customHeight="false" outlineLevel="0" collapsed="false">
      <c r="A863" s="28" t="n">
        <v>2020</v>
      </c>
      <c r="B863" s="28" t="s">
        <v>123</v>
      </c>
      <c r="C863" s="28" t="s">
        <v>47</v>
      </c>
      <c r="D863" s="28" t="n">
        <v>6</v>
      </c>
      <c r="E863" s="29" t="n">
        <v>933700</v>
      </c>
      <c r="F863" s="30" t="n">
        <v>25.95</v>
      </c>
      <c r="G863" s="31" t="n">
        <f aca="false">IFERROR(F863/D863,0)</f>
        <v>4.325</v>
      </c>
    </row>
    <row r="864" customFormat="false" ht="15" hidden="false" customHeight="false" outlineLevel="0" collapsed="false">
      <c r="A864" s="28" t="n">
        <v>2020</v>
      </c>
      <c r="B864" s="28" t="s">
        <v>123</v>
      </c>
      <c r="C864" s="28" t="s">
        <v>46</v>
      </c>
      <c r="D864" s="28" t="n">
        <v>16</v>
      </c>
      <c r="E864" s="29" t="n">
        <v>4641900</v>
      </c>
      <c r="F864" s="30" t="n">
        <v>78.225</v>
      </c>
      <c r="G864" s="31" t="n">
        <f aca="false">IFERROR(F864/D864,0)</f>
        <v>4.8890625</v>
      </c>
    </row>
    <row r="865" customFormat="false" ht="15" hidden="false" customHeight="false" outlineLevel="0" collapsed="false">
      <c r="A865" s="28" t="n">
        <v>2020</v>
      </c>
      <c r="B865" s="28" t="s">
        <v>123</v>
      </c>
      <c r="C865" s="28" t="s">
        <v>48</v>
      </c>
      <c r="D865" s="28" t="n">
        <v>14</v>
      </c>
      <c r="E865" s="29" t="n">
        <v>3285500</v>
      </c>
      <c r="F865" s="30" t="n">
        <v>80.34</v>
      </c>
      <c r="G865" s="31" t="n">
        <f aca="false">IFERROR(F865/D865,0)</f>
        <v>5.73857142857143</v>
      </c>
    </row>
    <row r="866" customFormat="false" ht="15" hidden="false" customHeight="false" outlineLevel="0" collapsed="false">
      <c r="A866" s="28" t="n">
        <v>2020</v>
      </c>
      <c r="B866" s="28" t="s">
        <v>123</v>
      </c>
      <c r="C866" s="28" t="s">
        <v>53</v>
      </c>
      <c r="D866" s="28" t="n">
        <v>2</v>
      </c>
      <c r="E866" s="29" t="n">
        <v>252500</v>
      </c>
      <c r="F866" s="30" t="n">
        <v>15.75</v>
      </c>
      <c r="G866" s="31" t="n">
        <f aca="false">IFERROR(F866/D866,0)</f>
        <v>7.875</v>
      </c>
    </row>
    <row r="867" customFormat="false" ht="15" hidden="false" customHeight="false" outlineLevel="0" collapsed="false">
      <c r="A867" s="28" t="n">
        <v>2020</v>
      </c>
      <c r="B867" s="28" t="s">
        <v>123</v>
      </c>
      <c r="C867" s="28" t="s">
        <v>43</v>
      </c>
      <c r="D867" s="28" t="n">
        <v>20</v>
      </c>
      <c r="E867" s="29" t="n">
        <v>4133900</v>
      </c>
      <c r="F867" s="30" t="n">
        <v>119.29</v>
      </c>
      <c r="G867" s="31" t="n">
        <f aca="false">IFERROR(F867/D867,0)</f>
        <v>5.9645</v>
      </c>
    </row>
    <row r="868" customFormat="false" ht="15" hidden="false" customHeight="false" outlineLevel="0" collapsed="false">
      <c r="A868" s="28" t="n">
        <v>2020</v>
      </c>
      <c r="B868" s="28" t="s">
        <v>123</v>
      </c>
      <c r="C868" s="28" t="s">
        <v>52</v>
      </c>
      <c r="D868" s="28" t="n">
        <v>16</v>
      </c>
      <c r="E868" s="29" t="n">
        <v>3438300</v>
      </c>
      <c r="F868" s="30" t="n">
        <v>87.76</v>
      </c>
      <c r="G868" s="31" t="n">
        <f aca="false">IFERROR(F868/D868,0)</f>
        <v>5.485</v>
      </c>
    </row>
    <row r="869" customFormat="false" ht="15" hidden="false" customHeight="false" outlineLevel="0" collapsed="false">
      <c r="A869" s="28" t="n">
        <v>2020</v>
      </c>
      <c r="B869" s="28" t="s">
        <v>125</v>
      </c>
      <c r="C869" s="28" t="s">
        <v>42</v>
      </c>
      <c r="D869" s="28" t="n">
        <v>10</v>
      </c>
      <c r="E869" s="29" t="n">
        <v>13218400</v>
      </c>
      <c r="F869" s="30" t="n">
        <v>59.5</v>
      </c>
      <c r="G869" s="31" t="n">
        <f aca="false">IFERROR(F869/D869,0)</f>
        <v>5.95</v>
      </c>
    </row>
    <row r="870" customFormat="false" ht="15" hidden="false" customHeight="false" outlineLevel="0" collapsed="false">
      <c r="A870" s="28" t="n">
        <v>2020</v>
      </c>
      <c r="B870" s="28" t="s">
        <v>125</v>
      </c>
      <c r="C870" s="28" t="s">
        <v>50</v>
      </c>
      <c r="D870" s="28" t="n">
        <v>3</v>
      </c>
      <c r="E870" s="29" t="n">
        <v>98400</v>
      </c>
      <c r="F870" s="30" t="n">
        <v>20.75</v>
      </c>
      <c r="G870" s="31" t="n">
        <f aca="false">IFERROR(F870/D870,0)</f>
        <v>6.91666666666667</v>
      </c>
    </row>
    <row r="871" customFormat="false" ht="15" hidden="false" customHeight="false" outlineLevel="0" collapsed="false">
      <c r="A871" s="28" t="n">
        <v>2020</v>
      </c>
      <c r="B871" s="28" t="s">
        <v>125</v>
      </c>
      <c r="C871" s="28" t="s">
        <v>55</v>
      </c>
      <c r="D871" s="28" t="n">
        <v>2</v>
      </c>
      <c r="E871" s="29" t="n">
        <v>205200</v>
      </c>
      <c r="F871" s="30" t="n">
        <v>10.5</v>
      </c>
      <c r="G871" s="31" t="n">
        <f aca="false">IFERROR(F871/D871,0)</f>
        <v>5.25</v>
      </c>
    </row>
    <row r="872" customFormat="false" ht="15" hidden="false" customHeight="false" outlineLevel="0" collapsed="false">
      <c r="A872" s="28" t="n">
        <v>2020</v>
      </c>
      <c r="B872" s="28" t="s">
        <v>125</v>
      </c>
      <c r="C872" s="28" t="s">
        <v>51</v>
      </c>
      <c r="D872" s="28" t="n">
        <v>1</v>
      </c>
      <c r="E872" s="29" t="n">
        <v>5000</v>
      </c>
      <c r="F872" s="30" t="n">
        <v>10.25</v>
      </c>
      <c r="G872" s="31" t="n">
        <f aca="false">IFERROR(F872/D872,0)</f>
        <v>10.25</v>
      </c>
    </row>
    <row r="873" customFormat="false" ht="15" hidden="false" customHeight="false" outlineLevel="0" collapsed="false">
      <c r="A873" s="28" t="n">
        <v>2020</v>
      </c>
      <c r="B873" s="28" t="s">
        <v>125</v>
      </c>
      <c r="C873" s="28" t="s">
        <v>45</v>
      </c>
      <c r="D873" s="28" t="n">
        <v>10</v>
      </c>
      <c r="E873" s="29" t="n">
        <v>3705400</v>
      </c>
      <c r="F873" s="30" t="n">
        <v>58.15</v>
      </c>
      <c r="G873" s="31" t="n">
        <f aca="false">IFERROR(F873/D873,0)</f>
        <v>5.815</v>
      </c>
    </row>
    <row r="874" customFormat="false" ht="15" hidden="false" customHeight="false" outlineLevel="0" collapsed="false">
      <c r="A874" s="28" t="n">
        <v>2020</v>
      </c>
      <c r="B874" s="28" t="s">
        <v>125</v>
      </c>
      <c r="C874" s="28" t="s">
        <v>54</v>
      </c>
      <c r="D874" s="28" t="n">
        <v>1</v>
      </c>
      <c r="E874" s="29" t="n">
        <v>25000</v>
      </c>
      <c r="F874" s="30" t="n">
        <v>5</v>
      </c>
      <c r="G874" s="31" t="n">
        <f aca="false">IFERROR(F874/D874,0)</f>
        <v>5</v>
      </c>
    </row>
    <row r="875" customFormat="false" ht="15" hidden="false" customHeight="false" outlineLevel="0" collapsed="false">
      <c r="A875" s="28" t="n">
        <v>2020</v>
      </c>
      <c r="B875" s="28" t="s">
        <v>125</v>
      </c>
      <c r="C875" s="28" t="s">
        <v>44</v>
      </c>
      <c r="D875" s="28" t="n">
        <v>5</v>
      </c>
      <c r="E875" s="29" t="n">
        <v>2814900</v>
      </c>
      <c r="F875" s="30" t="n">
        <v>32.3</v>
      </c>
      <c r="G875" s="31" t="n">
        <f aca="false">IFERROR(F875/D875,0)</f>
        <v>6.46</v>
      </c>
    </row>
    <row r="876" customFormat="false" ht="15" hidden="false" customHeight="false" outlineLevel="0" collapsed="false">
      <c r="A876" s="28" t="n">
        <v>2020</v>
      </c>
      <c r="B876" s="28" t="s">
        <v>125</v>
      </c>
      <c r="C876" s="28" t="s">
        <v>57</v>
      </c>
      <c r="D876" s="28" t="n">
        <v>1</v>
      </c>
      <c r="E876" s="29" t="n">
        <v>50000</v>
      </c>
      <c r="F876" s="30" t="n">
        <v>6.75</v>
      </c>
      <c r="G876" s="31" t="n">
        <f aca="false">IFERROR(F876/D876,0)</f>
        <v>6.75</v>
      </c>
    </row>
    <row r="877" customFormat="false" ht="15" hidden="false" customHeight="false" outlineLevel="0" collapsed="false">
      <c r="A877" s="28" t="n">
        <v>2020</v>
      </c>
      <c r="B877" s="28" t="s">
        <v>125</v>
      </c>
      <c r="C877" s="28" t="s">
        <v>47</v>
      </c>
      <c r="D877" s="28" t="n">
        <v>3</v>
      </c>
      <c r="E877" s="29" t="n">
        <v>449800</v>
      </c>
      <c r="F877" s="30" t="n">
        <v>19.5</v>
      </c>
      <c r="G877" s="31" t="n">
        <f aca="false">IFERROR(F877/D877,0)</f>
        <v>6.5</v>
      </c>
    </row>
    <row r="878" customFormat="false" ht="15" hidden="false" customHeight="false" outlineLevel="0" collapsed="false">
      <c r="A878" s="28" t="n">
        <v>2020</v>
      </c>
      <c r="B878" s="28" t="s">
        <v>125</v>
      </c>
      <c r="C878" s="28" t="s">
        <v>58</v>
      </c>
      <c r="D878" s="28" t="n">
        <v>1</v>
      </c>
      <c r="E878" s="29" t="n">
        <v>125000</v>
      </c>
      <c r="F878" s="30" t="n">
        <v>6.75</v>
      </c>
      <c r="G878" s="31" t="n">
        <f aca="false">IFERROR(F878/D878,0)</f>
        <v>6.75</v>
      </c>
    </row>
    <row r="879" customFormat="false" ht="15" hidden="false" customHeight="false" outlineLevel="0" collapsed="false">
      <c r="A879" s="28" t="n">
        <v>2020</v>
      </c>
      <c r="B879" s="28" t="s">
        <v>125</v>
      </c>
      <c r="C879" s="28" t="s">
        <v>46</v>
      </c>
      <c r="D879" s="28" t="n">
        <v>5</v>
      </c>
      <c r="E879" s="29" t="n">
        <v>3117000</v>
      </c>
      <c r="F879" s="30" t="n">
        <v>33.25</v>
      </c>
      <c r="G879" s="31" t="n">
        <f aca="false">IFERROR(F879/D879,0)</f>
        <v>6.65</v>
      </c>
    </row>
    <row r="880" customFormat="false" ht="15" hidden="false" customHeight="false" outlineLevel="0" collapsed="false">
      <c r="A880" s="28" t="n">
        <v>2020</v>
      </c>
      <c r="B880" s="28" t="s">
        <v>125</v>
      </c>
      <c r="C880" s="28" t="s">
        <v>48</v>
      </c>
      <c r="D880" s="28" t="n">
        <v>9</v>
      </c>
      <c r="E880" s="29" t="n">
        <v>2695200</v>
      </c>
      <c r="F880" s="30" t="n">
        <v>54.95</v>
      </c>
      <c r="G880" s="31" t="n">
        <f aca="false">IFERROR(F880/D880,0)</f>
        <v>6.10555555555556</v>
      </c>
    </row>
    <row r="881" customFormat="false" ht="15" hidden="false" customHeight="false" outlineLevel="0" collapsed="false">
      <c r="A881" s="28" t="n">
        <v>2020</v>
      </c>
      <c r="B881" s="28" t="s">
        <v>125</v>
      </c>
      <c r="C881" s="28" t="s">
        <v>53</v>
      </c>
      <c r="D881" s="28" t="n">
        <v>1</v>
      </c>
      <c r="E881" s="29" t="n">
        <v>120000</v>
      </c>
      <c r="F881" s="30" t="n">
        <v>4.5</v>
      </c>
      <c r="G881" s="31" t="n">
        <f aca="false">IFERROR(F881/D881,0)</f>
        <v>4.5</v>
      </c>
    </row>
    <row r="882" customFormat="false" ht="15" hidden="false" customHeight="false" outlineLevel="0" collapsed="false">
      <c r="A882" s="28" t="n">
        <v>2020</v>
      </c>
      <c r="B882" s="28" t="s">
        <v>125</v>
      </c>
      <c r="C882" s="28" t="s">
        <v>43</v>
      </c>
      <c r="D882" s="28" t="n">
        <v>4</v>
      </c>
      <c r="E882" s="29" t="n">
        <v>7394500</v>
      </c>
      <c r="F882" s="30" t="n">
        <v>22.41</v>
      </c>
      <c r="G882" s="31" t="n">
        <f aca="false">IFERROR(F882/D882,0)</f>
        <v>5.6025</v>
      </c>
    </row>
    <row r="883" customFormat="false" ht="15" hidden="false" customHeight="false" outlineLevel="0" collapsed="false">
      <c r="A883" s="28" t="n">
        <v>2020</v>
      </c>
      <c r="B883" s="28" t="s">
        <v>125</v>
      </c>
      <c r="C883" s="28" t="s">
        <v>52</v>
      </c>
      <c r="D883" s="28" t="n">
        <v>5</v>
      </c>
      <c r="E883" s="29" t="n">
        <v>614000</v>
      </c>
      <c r="F883" s="30" t="n">
        <v>33.24</v>
      </c>
      <c r="G883" s="31" t="n">
        <f aca="false">IFERROR(F883/D883,0)</f>
        <v>6.648</v>
      </c>
    </row>
    <row r="884" customFormat="false" ht="15" hidden="false" customHeight="false" outlineLevel="0" collapsed="false">
      <c r="A884" s="28" t="n">
        <v>2021</v>
      </c>
      <c r="B884" s="28" t="s">
        <v>74</v>
      </c>
      <c r="C884" s="28" t="s">
        <v>42</v>
      </c>
      <c r="D884" s="28" t="n">
        <v>12</v>
      </c>
      <c r="E884" s="29" t="n">
        <v>13280200</v>
      </c>
      <c r="F884" s="30" t="n">
        <v>68.05</v>
      </c>
      <c r="G884" s="31" t="n">
        <f aca="false">IFERROR(F884/D884,0)</f>
        <v>5.67083333333333</v>
      </c>
    </row>
    <row r="885" customFormat="false" ht="15" hidden="false" customHeight="false" outlineLevel="0" collapsed="false">
      <c r="A885" s="28" t="n">
        <v>2021</v>
      </c>
      <c r="B885" s="28" t="s">
        <v>74</v>
      </c>
      <c r="C885" s="28" t="s">
        <v>50</v>
      </c>
      <c r="D885" s="28" t="n">
        <v>8</v>
      </c>
      <c r="E885" s="29" t="n">
        <v>9698200</v>
      </c>
      <c r="F885" s="30" t="n">
        <v>45.52</v>
      </c>
      <c r="G885" s="31" t="n">
        <f aca="false">IFERROR(F885/D885,0)</f>
        <v>5.69</v>
      </c>
    </row>
    <row r="886" customFormat="false" ht="15" hidden="false" customHeight="false" outlineLevel="0" collapsed="false">
      <c r="A886" s="28" t="n">
        <v>2021</v>
      </c>
      <c r="B886" s="28" t="s">
        <v>74</v>
      </c>
      <c r="C886" s="28" t="s">
        <v>55</v>
      </c>
      <c r="D886" s="28" t="n">
        <v>4</v>
      </c>
      <c r="E886" s="29" t="n">
        <v>2245000</v>
      </c>
      <c r="F886" s="30" t="n">
        <v>23</v>
      </c>
      <c r="G886" s="31" t="n">
        <f aca="false">IFERROR(F886/D886,0)</f>
        <v>5.75</v>
      </c>
    </row>
    <row r="887" customFormat="false" ht="15" hidden="false" customHeight="false" outlineLevel="0" collapsed="false">
      <c r="A887" s="28" t="n">
        <v>2021</v>
      </c>
      <c r="B887" s="28" t="s">
        <v>74</v>
      </c>
      <c r="C887" s="28" t="s">
        <v>51</v>
      </c>
      <c r="D887" s="28" t="n">
        <v>3</v>
      </c>
      <c r="E887" s="29" t="n">
        <v>284300</v>
      </c>
      <c r="F887" s="30" t="n">
        <v>19.19</v>
      </c>
      <c r="G887" s="31" t="n">
        <f aca="false">IFERROR(F887/D887,0)</f>
        <v>6.39666666666667</v>
      </c>
    </row>
    <row r="888" customFormat="false" ht="15" hidden="false" customHeight="false" outlineLevel="0" collapsed="false">
      <c r="A888" s="28" t="n">
        <v>2021</v>
      </c>
      <c r="B888" s="28" t="s">
        <v>74</v>
      </c>
      <c r="C888" s="28" t="s">
        <v>45</v>
      </c>
      <c r="D888" s="28" t="n">
        <v>15</v>
      </c>
      <c r="E888" s="29" t="n">
        <v>15877600</v>
      </c>
      <c r="F888" s="30" t="n">
        <v>81.75</v>
      </c>
      <c r="G888" s="31" t="n">
        <f aca="false">IFERROR(F888/D888,0)</f>
        <v>5.45</v>
      </c>
    </row>
    <row r="889" customFormat="false" ht="15" hidden="false" customHeight="false" outlineLevel="0" collapsed="false">
      <c r="A889" s="28" t="n">
        <v>2021</v>
      </c>
      <c r="B889" s="28" t="s">
        <v>74</v>
      </c>
      <c r="C889" s="28" t="s">
        <v>56</v>
      </c>
      <c r="D889" s="28" t="n">
        <v>1</v>
      </c>
      <c r="E889" s="29" t="n">
        <v>15000</v>
      </c>
      <c r="F889" s="30" t="n">
        <v>8.75</v>
      </c>
      <c r="G889" s="31" t="n">
        <f aca="false">IFERROR(F889/D889,0)</f>
        <v>8.75</v>
      </c>
    </row>
    <row r="890" customFormat="false" ht="15" hidden="false" customHeight="false" outlineLevel="0" collapsed="false">
      <c r="A890" s="28" t="n">
        <v>2021</v>
      </c>
      <c r="B890" s="28" t="s">
        <v>74</v>
      </c>
      <c r="C890" s="28" t="s">
        <v>54</v>
      </c>
      <c r="D890" s="28" t="n">
        <v>1</v>
      </c>
      <c r="E890" s="29" t="n">
        <v>175000</v>
      </c>
      <c r="F890" s="30" t="n">
        <v>6</v>
      </c>
      <c r="G890" s="31" t="n">
        <f aca="false">IFERROR(F890/D890,0)</f>
        <v>6</v>
      </c>
    </row>
    <row r="891" customFormat="false" ht="15" hidden="false" customHeight="false" outlineLevel="0" collapsed="false">
      <c r="A891" s="28" t="n">
        <v>2021</v>
      </c>
      <c r="B891" s="28" t="s">
        <v>74</v>
      </c>
      <c r="C891" s="28" t="s">
        <v>44</v>
      </c>
      <c r="D891" s="28" t="n">
        <v>9</v>
      </c>
      <c r="E891" s="29" t="n">
        <v>6996800</v>
      </c>
      <c r="F891" s="30" t="n">
        <v>51.57</v>
      </c>
      <c r="G891" s="31" t="n">
        <f aca="false">IFERROR(F891/D891,0)</f>
        <v>5.73</v>
      </c>
    </row>
    <row r="892" customFormat="false" ht="15" hidden="false" customHeight="false" outlineLevel="0" collapsed="false">
      <c r="A892" s="28" t="n">
        <v>2021</v>
      </c>
      <c r="B892" s="28" t="s">
        <v>74</v>
      </c>
      <c r="C892" s="28" t="s">
        <v>47</v>
      </c>
      <c r="D892" s="28" t="n">
        <v>6</v>
      </c>
      <c r="E892" s="29" t="n">
        <v>8665400</v>
      </c>
      <c r="F892" s="30" t="n">
        <v>28.65</v>
      </c>
      <c r="G892" s="31" t="n">
        <f aca="false">IFERROR(F892/D892,0)</f>
        <v>4.775</v>
      </c>
    </row>
    <row r="893" customFormat="false" ht="15" hidden="false" customHeight="false" outlineLevel="0" collapsed="false">
      <c r="A893" s="28" t="n">
        <v>2021</v>
      </c>
      <c r="B893" s="28" t="s">
        <v>74</v>
      </c>
      <c r="C893" s="28" t="s">
        <v>58</v>
      </c>
      <c r="D893" s="28" t="n">
        <v>1</v>
      </c>
      <c r="E893" s="29" t="n">
        <v>400000</v>
      </c>
      <c r="F893" s="30" t="n">
        <v>5.25</v>
      </c>
      <c r="G893" s="31" t="n">
        <f aca="false">IFERROR(F893/D893,0)</f>
        <v>5.25</v>
      </c>
    </row>
    <row r="894" customFormat="false" ht="15" hidden="false" customHeight="false" outlineLevel="0" collapsed="false">
      <c r="A894" s="28" t="n">
        <v>2021</v>
      </c>
      <c r="B894" s="28" t="s">
        <v>74</v>
      </c>
      <c r="C894" s="28" t="s">
        <v>46</v>
      </c>
      <c r="D894" s="28" t="n">
        <v>8</v>
      </c>
      <c r="E894" s="29" t="n">
        <v>6316400</v>
      </c>
      <c r="F894" s="30" t="n">
        <v>43.24</v>
      </c>
      <c r="G894" s="31" t="n">
        <f aca="false">IFERROR(F894/D894,0)</f>
        <v>5.405</v>
      </c>
    </row>
    <row r="895" customFormat="false" ht="15" hidden="false" customHeight="false" outlineLevel="0" collapsed="false">
      <c r="A895" s="28" t="n">
        <v>2021</v>
      </c>
      <c r="B895" s="28" t="s">
        <v>74</v>
      </c>
      <c r="C895" s="28" t="s">
        <v>48</v>
      </c>
      <c r="D895" s="28" t="n">
        <v>7</v>
      </c>
      <c r="E895" s="29" t="n">
        <v>5373800</v>
      </c>
      <c r="F895" s="30" t="n">
        <v>39.6</v>
      </c>
      <c r="G895" s="31" t="n">
        <f aca="false">IFERROR(F895/D895,0)</f>
        <v>5.65714285714286</v>
      </c>
    </row>
    <row r="896" customFormat="false" ht="15" hidden="false" customHeight="false" outlineLevel="0" collapsed="false">
      <c r="A896" s="28" t="n">
        <v>2021</v>
      </c>
      <c r="B896" s="28" t="s">
        <v>74</v>
      </c>
      <c r="C896" s="28" t="s">
        <v>53</v>
      </c>
      <c r="D896" s="28" t="n">
        <v>8</v>
      </c>
      <c r="E896" s="29" t="n">
        <v>6734300</v>
      </c>
      <c r="F896" s="30" t="n">
        <v>34.53</v>
      </c>
      <c r="G896" s="31" t="n">
        <f aca="false">IFERROR(F896/D896,0)</f>
        <v>4.31625</v>
      </c>
    </row>
    <row r="897" customFormat="false" ht="15" hidden="false" customHeight="false" outlineLevel="0" collapsed="false">
      <c r="A897" s="28" t="n">
        <v>2021</v>
      </c>
      <c r="B897" s="28" t="s">
        <v>74</v>
      </c>
      <c r="C897" s="28" t="s">
        <v>43</v>
      </c>
      <c r="D897" s="28" t="n">
        <v>9</v>
      </c>
      <c r="E897" s="29" t="n">
        <v>2917000</v>
      </c>
      <c r="F897" s="30" t="n">
        <v>54.64</v>
      </c>
      <c r="G897" s="31" t="n">
        <f aca="false">IFERROR(F897/D897,0)</f>
        <v>6.07111111111111</v>
      </c>
    </row>
    <row r="898" customFormat="false" ht="15" hidden="false" customHeight="false" outlineLevel="0" collapsed="false">
      <c r="A898" s="28" t="n">
        <v>2021</v>
      </c>
      <c r="B898" s="28" t="s">
        <v>74</v>
      </c>
      <c r="C898" s="28" t="s">
        <v>52</v>
      </c>
      <c r="D898" s="28" t="n">
        <v>8</v>
      </c>
      <c r="E898" s="29" t="n">
        <v>8185400</v>
      </c>
      <c r="F898" s="30" t="n">
        <v>47.75</v>
      </c>
      <c r="G898" s="31" t="n">
        <f aca="false">IFERROR(F898/D898,0)</f>
        <v>5.96875</v>
      </c>
    </row>
    <row r="899" customFormat="false" ht="15" hidden="false" customHeight="false" outlineLevel="0" collapsed="false">
      <c r="A899" s="28" t="n">
        <v>2021</v>
      </c>
      <c r="B899" s="28" t="s">
        <v>76</v>
      </c>
      <c r="C899" s="28" t="s">
        <v>42</v>
      </c>
      <c r="D899" s="28" t="n">
        <v>62</v>
      </c>
      <c r="E899" s="29" t="n">
        <v>83493200</v>
      </c>
      <c r="F899" s="30" t="n">
        <v>313.75</v>
      </c>
      <c r="G899" s="31" t="n">
        <f aca="false">IFERROR(F899/D899,0)</f>
        <v>5.06048387096774</v>
      </c>
    </row>
    <row r="900" customFormat="false" ht="15" hidden="false" customHeight="false" outlineLevel="0" collapsed="false">
      <c r="A900" s="28" t="n">
        <v>2021</v>
      </c>
      <c r="B900" s="28" t="s">
        <v>76</v>
      </c>
      <c r="C900" s="28" t="s">
        <v>50</v>
      </c>
      <c r="D900" s="28" t="n">
        <v>20</v>
      </c>
      <c r="E900" s="29" t="n">
        <v>4138000</v>
      </c>
      <c r="F900" s="30" t="n">
        <v>144.35</v>
      </c>
      <c r="G900" s="31" t="n">
        <f aca="false">IFERROR(F900/D900,0)</f>
        <v>7.2175</v>
      </c>
    </row>
    <row r="901" customFormat="false" ht="15" hidden="false" customHeight="false" outlineLevel="0" collapsed="false">
      <c r="A901" s="28" t="n">
        <v>2021</v>
      </c>
      <c r="B901" s="28" t="s">
        <v>76</v>
      </c>
      <c r="C901" s="28" t="s">
        <v>55</v>
      </c>
      <c r="D901" s="28" t="n">
        <v>20</v>
      </c>
      <c r="E901" s="29" t="n">
        <v>17452900</v>
      </c>
      <c r="F901" s="30" t="n">
        <v>100.99</v>
      </c>
      <c r="G901" s="31" t="n">
        <f aca="false">IFERROR(F901/D901,0)</f>
        <v>5.0495</v>
      </c>
    </row>
    <row r="902" customFormat="false" ht="15" hidden="false" customHeight="false" outlineLevel="0" collapsed="false">
      <c r="A902" s="28" t="n">
        <v>2021</v>
      </c>
      <c r="B902" s="28" t="s">
        <v>76</v>
      </c>
      <c r="C902" s="28" t="s">
        <v>51</v>
      </c>
      <c r="D902" s="28" t="n">
        <v>6</v>
      </c>
      <c r="E902" s="29" t="n">
        <v>3429700</v>
      </c>
      <c r="F902" s="30" t="n">
        <v>31.5</v>
      </c>
      <c r="G902" s="31" t="n">
        <f aca="false">IFERROR(F902/D902,0)</f>
        <v>5.25</v>
      </c>
    </row>
    <row r="903" customFormat="false" ht="15" hidden="false" customHeight="false" outlineLevel="0" collapsed="false">
      <c r="A903" s="28" t="n">
        <v>2021</v>
      </c>
      <c r="B903" s="28" t="s">
        <v>76</v>
      </c>
      <c r="C903" s="28" t="s">
        <v>45</v>
      </c>
      <c r="D903" s="28" t="n">
        <v>21</v>
      </c>
      <c r="E903" s="29" t="n">
        <v>8687500</v>
      </c>
      <c r="F903" s="30" t="n">
        <v>129.05</v>
      </c>
      <c r="G903" s="31" t="n">
        <f aca="false">IFERROR(F903/D903,0)</f>
        <v>6.1452380952381</v>
      </c>
    </row>
    <row r="904" customFormat="false" ht="15" hidden="false" customHeight="false" outlineLevel="0" collapsed="false">
      <c r="A904" s="28" t="n">
        <v>2021</v>
      </c>
      <c r="B904" s="28" t="s">
        <v>76</v>
      </c>
      <c r="C904" s="28" t="s">
        <v>56</v>
      </c>
      <c r="D904" s="28" t="n">
        <v>2</v>
      </c>
      <c r="E904" s="29" t="n">
        <v>277000</v>
      </c>
      <c r="F904" s="30" t="n">
        <v>14.4</v>
      </c>
      <c r="G904" s="31" t="n">
        <f aca="false">IFERROR(F904/D904,0)</f>
        <v>7.2</v>
      </c>
    </row>
    <row r="905" customFormat="false" ht="15" hidden="false" customHeight="false" outlineLevel="0" collapsed="false">
      <c r="A905" s="28" t="n">
        <v>2021</v>
      </c>
      <c r="B905" s="28" t="s">
        <v>76</v>
      </c>
      <c r="C905" s="28" t="s">
        <v>54</v>
      </c>
      <c r="D905" s="28" t="n">
        <v>6</v>
      </c>
      <c r="E905" s="29" t="n">
        <v>3162400</v>
      </c>
      <c r="F905" s="30" t="n">
        <v>30.5</v>
      </c>
      <c r="G905" s="31" t="n">
        <f aca="false">IFERROR(F905/D905,0)</f>
        <v>5.08333333333333</v>
      </c>
    </row>
    <row r="906" customFormat="false" ht="15" hidden="false" customHeight="false" outlineLevel="0" collapsed="false">
      <c r="A906" s="28" t="n">
        <v>2021</v>
      </c>
      <c r="B906" s="28" t="s">
        <v>76</v>
      </c>
      <c r="C906" s="28" t="s">
        <v>44</v>
      </c>
      <c r="D906" s="28" t="n">
        <v>25</v>
      </c>
      <c r="E906" s="29" t="n">
        <v>24420000</v>
      </c>
      <c r="F906" s="30" t="n">
        <v>135.3</v>
      </c>
      <c r="G906" s="31" t="n">
        <f aca="false">IFERROR(F906/D906,0)</f>
        <v>5.412</v>
      </c>
    </row>
    <row r="907" customFormat="false" ht="15" hidden="false" customHeight="false" outlineLevel="0" collapsed="false">
      <c r="A907" s="28" t="n">
        <v>2021</v>
      </c>
      <c r="B907" s="28" t="s">
        <v>76</v>
      </c>
      <c r="C907" s="28" t="s">
        <v>57</v>
      </c>
      <c r="D907" s="28" t="n">
        <v>2</v>
      </c>
      <c r="E907" s="29" t="n">
        <v>1027200</v>
      </c>
      <c r="F907" s="30" t="n">
        <v>11.24</v>
      </c>
      <c r="G907" s="31" t="n">
        <f aca="false">IFERROR(F907/D907,0)</f>
        <v>5.62</v>
      </c>
    </row>
    <row r="908" customFormat="false" ht="15" hidden="false" customHeight="false" outlineLevel="0" collapsed="false">
      <c r="A908" s="28" t="n">
        <v>2021</v>
      </c>
      <c r="B908" s="28" t="s">
        <v>76</v>
      </c>
      <c r="C908" s="28" t="s">
        <v>47</v>
      </c>
      <c r="D908" s="28" t="n">
        <v>16</v>
      </c>
      <c r="E908" s="29" t="n">
        <v>22291600</v>
      </c>
      <c r="F908" s="30" t="n">
        <v>82.87</v>
      </c>
      <c r="G908" s="31" t="n">
        <f aca="false">IFERROR(F908/D908,0)</f>
        <v>5.179375</v>
      </c>
    </row>
    <row r="909" customFormat="false" ht="15" hidden="false" customHeight="false" outlineLevel="0" collapsed="false">
      <c r="A909" s="28" t="n">
        <v>2021</v>
      </c>
      <c r="B909" s="28" t="s">
        <v>76</v>
      </c>
      <c r="C909" s="28" t="s">
        <v>58</v>
      </c>
      <c r="D909" s="28" t="n">
        <v>1</v>
      </c>
      <c r="E909" s="29" t="n">
        <v>1155000</v>
      </c>
      <c r="F909" s="30" t="n">
        <v>6</v>
      </c>
      <c r="G909" s="31" t="n">
        <f aca="false">IFERROR(F909/D909,0)</f>
        <v>6</v>
      </c>
    </row>
    <row r="910" customFormat="false" ht="15" hidden="false" customHeight="false" outlineLevel="0" collapsed="false">
      <c r="A910" s="28" t="n">
        <v>2021</v>
      </c>
      <c r="B910" s="28" t="s">
        <v>76</v>
      </c>
      <c r="C910" s="28" t="s">
        <v>46</v>
      </c>
      <c r="D910" s="28" t="n">
        <v>32</v>
      </c>
      <c r="E910" s="29" t="n">
        <v>11458400</v>
      </c>
      <c r="F910" s="30" t="n">
        <v>199.89</v>
      </c>
      <c r="G910" s="31" t="n">
        <f aca="false">IFERROR(F910/D910,0)</f>
        <v>6.2465625</v>
      </c>
    </row>
    <row r="911" customFormat="false" ht="15" hidden="false" customHeight="false" outlineLevel="0" collapsed="false">
      <c r="A911" s="28" t="n">
        <v>2021</v>
      </c>
      <c r="B911" s="28" t="s">
        <v>76</v>
      </c>
      <c r="C911" s="28" t="s">
        <v>48</v>
      </c>
      <c r="D911" s="28" t="n">
        <v>15</v>
      </c>
      <c r="E911" s="29" t="n">
        <v>14747600</v>
      </c>
      <c r="F911" s="30" t="n">
        <v>91.2</v>
      </c>
      <c r="G911" s="31" t="n">
        <f aca="false">IFERROR(F911/D911,0)</f>
        <v>6.08</v>
      </c>
    </row>
    <row r="912" customFormat="false" ht="15" hidden="false" customHeight="false" outlineLevel="0" collapsed="false">
      <c r="A912" s="28" t="n">
        <v>2021</v>
      </c>
      <c r="B912" s="28" t="s">
        <v>76</v>
      </c>
      <c r="C912" s="28" t="s">
        <v>53</v>
      </c>
      <c r="D912" s="28" t="n">
        <v>14</v>
      </c>
      <c r="E912" s="29" t="n">
        <v>14372600</v>
      </c>
      <c r="F912" s="30" t="n">
        <v>69.35</v>
      </c>
      <c r="G912" s="31" t="n">
        <f aca="false">IFERROR(F912/D912,0)</f>
        <v>4.95357142857143</v>
      </c>
    </row>
    <row r="913" customFormat="false" ht="15" hidden="false" customHeight="false" outlineLevel="0" collapsed="false">
      <c r="A913" s="28" t="n">
        <v>2021</v>
      </c>
      <c r="B913" s="28" t="s">
        <v>76</v>
      </c>
      <c r="C913" s="28" t="s">
        <v>43</v>
      </c>
      <c r="D913" s="28" t="n">
        <v>34</v>
      </c>
      <c r="E913" s="29" t="n">
        <v>24755700</v>
      </c>
      <c r="F913" s="30" t="n">
        <v>202.5</v>
      </c>
      <c r="G913" s="31" t="n">
        <f aca="false">IFERROR(F913/D913,0)</f>
        <v>5.95588235294118</v>
      </c>
    </row>
    <row r="914" customFormat="false" ht="15" hidden="false" customHeight="false" outlineLevel="0" collapsed="false">
      <c r="A914" s="28" t="n">
        <v>2021</v>
      </c>
      <c r="B914" s="28" t="s">
        <v>76</v>
      </c>
      <c r="C914" s="28" t="s">
        <v>52</v>
      </c>
      <c r="D914" s="28" t="n">
        <v>7</v>
      </c>
      <c r="E914" s="29" t="n">
        <v>816600</v>
      </c>
      <c r="F914" s="30" t="n">
        <v>54.5</v>
      </c>
      <c r="G914" s="31" t="n">
        <f aca="false">IFERROR(F914/D914,0)</f>
        <v>7.78571428571429</v>
      </c>
    </row>
    <row r="915" customFormat="false" ht="15" hidden="false" customHeight="false" outlineLevel="0" collapsed="false">
      <c r="A915" s="28" t="n">
        <v>2021</v>
      </c>
      <c r="B915" s="28" t="s">
        <v>76</v>
      </c>
      <c r="C915" s="28" t="s">
        <v>49</v>
      </c>
      <c r="D915" s="28" t="n">
        <v>19</v>
      </c>
      <c r="E915" s="29" t="n">
        <v>13663700</v>
      </c>
      <c r="F915" s="30" t="n">
        <v>102.12</v>
      </c>
      <c r="G915" s="31" t="n">
        <f aca="false">IFERROR(F915/D915,0)</f>
        <v>5.37473684210526</v>
      </c>
    </row>
    <row r="916" customFormat="false" ht="15" hidden="false" customHeight="false" outlineLevel="0" collapsed="false">
      <c r="A916" s="28" t="n">
        <v>2021</v>
      </c>
      <c r="B916" s="28" t="s">
        <v>78</v>
      </c>
      <c r="C916" s="28" t="s">
        <v>42</v>
      </c>
      <c r="D916" s="28" t="n">
        <v>47</v>
      </c>
      <c r="E916" s="29" t="n">
        <v>48071100</v>
      </c>
      <c r="F916" s="30" t="n">
        <v>239.94</v>
      </c>
      <c r="G916" s="31" t="n">
        <f aca="false">IFERROR(F916/D916,0)</f>
        <v>5.10510638297872</v>
      </c>
    </row>
    <row r="917" customFormat="false" ht="15" hidden="false" customHeight="false" outlineLevel="0" collapsed="false">
      <c r="A917" s="28" t="n">
        <v>2021</v>
      </c>
      <c r="B917" s="28" t="s">
        <v>78</v>
      </c>
      <c r="C917" s="28" t="s">
        <v>50</v>
      </c>
      <c r="D917" s="28" t="n">
        <v>15</v>
      </c>
      <c r="E917" s="29" t="n">
        <v>5268500</v>
      </c>
      <c r="F917" s="30" t="n">
        <v>72.29</v>
      </c>
      <c r="G917" s="31" t="n">
        <f aca="false">IFERROR(F917/D917,0)</f>
        <v>4.81933333333333</v>
      </c>
    </row>
    <row r="918" customFormat="false" ht="15" hidden="false" customHeight="false" outlineLevel="0" collapsed="false">
      <c r="A918" s="28" t="n">
        <v>2021</v>
      </c>
      <c r="B918" s="28" t="s">
        <v>78</v>
      </c>
      <c r="C918" s="28" t="s">
        <v>55</v>
      </c>
      <c r="D918" s="28" t="n">
        <v>34</v>
      </c>
      <c r="E918" s="29" t="n">
        <v>29905800</v>
      </c>
      <c r="F918" s="30" t="n">
        <v>180.89</v>
      </c>
      <c r="G918" s="31" t="n">
        <f aca="false">IFERROR(F918/D918,0)</f>
        <v>5.32029411764706</v>
      </c>
    </row>
    <row r="919" customFormat="false" ht="15" hidden="false" customHeight="false" outlineLevel="0" collapsed="false">
      <c r="A919" s="28" t="n">
        <v>2021</v>
      </c>
      <c r="B919" s="28" t="s">
        <v>78</v>
      </c>
      <c r="C919" s="28" t="s">
        <v>51</v>
      </c>
      <c r="D919" s="28" t="n">
        <v>3</v>
      </c>
      <c r="E919" s="29" t="n">
        <v>480300</v>
      </c>
      <c r="F919" s="30" t="n">
        <v>17.25</v>
      </c>
      <c r="G919" s="31" t="n">
        <f aca="false">IFERROR(F919/D919,0)</f>
        <v>5.75</v>
      </c>
    </row>
    <row r="920" customFormat="false" ht="15" hidden="false" customHeight="false" outlineLevel="0" collapsed="false">
      <c r="A920" s="28" t="n">
        <v>2021</v>
      </c>
      <c r="B920" s="28" t="s">
        <v>78</v>
      </c>
      <c r="C920" s="28" t="s">
        <v>45</v>
      </c>
      <c r="D920" s="28" t="n">
        <v>21</v>
      </c>
      <c r="E920" s="29" t="n">
        <v>3996300</v>
      </c>
      <c r="F920" s="30" t="n">
        <v>133.25</v>
      </c>
      <c r="G920" s="31" t="n">
        <f aca="false">IFERROR(F920/D920,0)</f>
        <v>6.3452380952381</v>
      </c>
    </row>
    <row r="921" customFormat="false" ht="15" hidden="false" customHeight="false" outlineLevel="0" collapsed="false">
      <c r="A921" s="28" t="n">
        <v>2021</v>
      </c>
      <c r="B921" s="28" t="s">
        <v>78</v>
      </c>
      <c r="C921" s="28" t="s">
        <v>56</v>
      </c>
      <c r="D921" s="28" t="n">
        <v>4</v>
      </c>
      <c r="E921" s="29" t="n">
        <v>1199500</v>
      </c>
      <c r="F921" s="30" t="n">
        <v>20.25</v>
      </c>
      <c r="G921" s="31" t="n">
        <f aca="false">IFERROR(F921/D921,0)</f>
        <v>5.0625</v>
      </c>
    </row>
    <row r="922" customFormat="false" ht="15" hidden="false" customHeight="false" outlineLevel="0" collapsed="false">
      <c r="A922" s="28" t="n">
        <v>2021</v>
      </c>
      <c r="B922" s="28" t="s">
        <v>78</v>
      </c>
      <c r="C922" s="28" t="s">
        <v>44</v>
      </c>
      <c r="D922" s="28" t="n">
        <v>30</v>
      </c>
      <c r="E922" s="29" t="n">
        <v>14408100</v>
      </c>
      <c r="F922" s="30" t="n">
        <v>170.38</v>
      </c>
      <c r="G922" s="31" t="n">
        <f aca="false">IFERROR(F922/D922,0)</f>
        <v>5.67933333333333</v>
      </c>
    </row>
    <row r="923" customFormat="false" ht="15" hidden="false" customHeight="false" outlineLevel="0" collapsed="false">
      <c r="A923" s="28" t="n">
        <v>2021</v>
      </c>
      <c r="B923" s="28" t="s">
        <v>78</v>
      </c>
      <c r="C923" s="28" t="s">
        <v>57</v>
      </c>
      <c r="D923" s="28" t="n">
        <v>3</v>
      </c>
      <c r="E923" s="29" t="n">
        <v>985000</v>
      </c>
      <c r="F923" s="30" t="n">
        <v>17.5</v>
      </c>
      <c r="G923" s="31" t="n">
        <f aca="false">IFERROR(F923/D923,0)</f>
        <v>5.83333333333333</v>
      </c>
    </row>
    <row r="924" customFormat="false" ht="15" hidden="false" customHeight="false" outlineLevel="0" collapsed="false">
      <c r="A924" s="28" t="n">
        <v>2021</v>
      </c>
      <c r="B924" s="28" t="s">
        <v>78</v>
      </c>
      <c r="C924" s="28" t="s">
        <v>59</v>
      </c>
      <c r="D924" s="28" t="n">
        <v>2</v>
      </c>
      <c r="E924" s="29" t="n">
        <v>1232700</v>
      </c>
      <c r="F924" s="30" t="n">
        <v>5.9</v>
      </c>
      <c r="G924" s="31" t="n">
        <f aca="false">IFERROR(F924/D924,0)</f>
        <v>2.95</v>
      </c>
    </row>
    <row r="925" customFormat="false" ht="15" hidden="false" customHeight="false" outlineLevel="0" collapsed="false">
      <c r="A925" s="28" t="n">
        <v>2021</v>
      </c>
      <c r="B925" s="28" t="s">
        <v>78</v>
      </c>
      <c r="C925" s="28" t="s">
        <v>47</v>
      </c>
      <c r="D925" s="28" t="n">
        <v>13</v>
      </c>
      <c r="E925" s="29" t="n">
        <v>14698200</v>
      </c>
      <c r="F925" s="30" t="n">
        <v>72.49</v>
      </c>
      <c r="G925" s="31" t="n">
        <f aca="false">IFERROR(F925/D925,0)</f>
        <v>5.57615384615385</v>
      </c>
    </row>
    <row r="926" customFormat="false" ht="15" hidden="false" customHeight="false" outlineLevel="0" collapsed="false">
      <c r="A926" s="28" t="n">
        <v>2021</v>
      </c>
      <c r="B926" s="28" t="s">
        <v>78</v>
      </c>
      <c r="C926" s="28" t="s">
        <v>46</v>
      </c>
      <c r="D926" s="28" t="n">
        <v>18</v>
      </c>
      <c r="E926" s="29" t="n">
        <v>7397700</v>
      </c>
      <c r="F926" s="30" t="n">
        <v>97.99</v>
      </c>
      <c r="G926" s="31" t="n">
        <f aca="false">IFERROR(F926/D926,0)</f>
        <v>5.44388888888889</v>
      </c>
    </row>
    <row r="927" customFormat="false" ht="15" hidden="false" customHeight="false" outlineLevel="0" collapsed="false">
      <c r="A927" s="28" t="n">
        <v>2021</v>
      </c>
      <c r="B927" s="28" t="s">
        <v>78</v>
      </c>
      <c r="C927" s="28" t="s">
        <v>48</v>
      </c>
      <c r="D927" s="28" t="n">
        <v>8</v>
      </c>
      <c r="E927" s="29" t="n">
        <v>4103300</v>
      </c>
      <c r="F927" s="30" t="n">
        <v>47.85</v>
      </c>
      <c r="G927" s="31" t="n">
        <f aca="false">IFERROR(F927/D927,0)</f>
        <v>5.98125</v>
      </c>
    </row>
    <row r="928" customFormat="false" ht="15" hidden="false" customHeight="false" outlineLevel="0" collapsed="false">
      <c r="A928" s="28" t="n">
        <v>2021</v>
      </c>
      <c r="B928" s="28" t="s">
        <v>78</v>
      </c>
      <c r="C928" s="28" t="s">
        <v>53</v>
      </c>
      <c r="D928" s="28" t="n">
        <v>8</v>
      </c>
      <c r="E928" s="29" t="n">
        <v>6056100</v>
      </c>
      <c r="F928" s="30" t="n">
        <v>39.15</v>
      </c>
      <c r="G928" s="31" t="n">
        <f aca="false">IFERROR(F928/D928,0)</f>
        <v>4.89375</v>
      </c>
    </row>
    <row r="929" customFormat="false" ht="15" hidden="false" customHeight="false" outlineLevel="0" collapsed="false">
      <c r="A929" s="28" t="n">
        <v>2021</v>
      </c>
      <c r="B929" s="28" t="s">
        <v>78</v>
      </c>
      <c r="C929" s="28" t="s">
        <v>43</v>
      </c>
      <c r="D929" s="28" t="n">
        <v>38</v>
      </c>
      <c r="E929" s="29" t="n">
        <v>27799800</v>
      </c>
      <c r="F929" s="30" t="n">
        <v>197.046</v>
      </c>
      <c r="G929" s="31" t="n">
        <f aca="false">IFERROR(F929/D929,0)</f>
        <v>5.18542105263158</v>
      </c>
    </row>
    <row r="930" customFormat="false" ht="15" hidden="false" customHeight="false" outlineLevel="0" collapsed="false">
      <c r="A930" s="28" t="n">
        <v>2021</v>
      </c>
      <c r="B930" s="28" t="s">
        <v>78</v>
      </c>
      <c r="C930" s="28" t="s">
        <v>52</v>
      </c>
      <c r="D930" s="28" t="n">
        <v>24</v>
      </c>
      <c r="E930" s="29" t="n">
        <v>14207600</v>
      </c>
      <c r="F930" s="30" t="n">
        <v>125.05</v>
      </c>
      <c r="G930" s="31" t="n">
        <f aca="false">IFERROR(F930/D930,0)</f>
        <v>5.21041666666667</v>
      </c>
    </row>
    <row r="931" customFormat="false" ht="15" hidden="false" customHeight="false" outlineLevel="0" collapsed="false">
      <c r="A931" s="28" t="n">
        <v>2021</v>
      </c>
      <c r="B931" s="28" t="s">
        <v>78</v>
      </c>
      <c r="C931" s="28" t="s">
        <v>60</v>
      </c>
      <c r="D931" s="28" t="n">
        <v>1</v>
      </c>
      <c r="E931" s="29" t="n">
        <v>125000</v>
      </c>
      <c r="F931" s="30" t="n">
        <v>6</v>
      </c>
      <c r="G931" s="31" t="n">
        <f aca="false">IFERROR(F931/D931,0)</f>
        <v>6</v>
      </c>
    </row>
    <row r="932" customFormat="false" ht="15" hidden="false" customHeight="false" outlineLevel="0" collapsed="false">
      <c r="A932" s="28" t="n">
        <v>2021</v>
      </c>
      <c r="B932" s="28" t="s">
        <v>78</v>
      </c>
      <c r="C932" s="28" t="s">
        <v>49</v>
      </c>
      <c r="D932" s="28" t="n">
        <v>10</v>
      </c>
      <c r="E932" s="29" t="n">
        <v>8700000</v>
      </c>
      <c r="F932" s="30" t="n">
        <v>55.49</v>
      </c>
      <c r="G932" s="31" t="n">
        <f aca="false">IFERROR(F932/D932,0)</f>
        <v>5.549</v>
      </c>
    </row>
    <row r="933" customFormat="false" ht="15" hidden="false" customHeight="false" outlineLevel="0" collapsed="false">
      <c r="A933" s="28" t="n">
        <v>2021</v>
      </c>
      <c r="B933" s="28" t="s">
        <v>80</v>
      </c>
      <c r="C933" s="28" t="s">
        <v>42</v>
      </c>
      <c r="D933" s="28" t="n">
        <v>100</v>
      </c>
      <c r="E933" s="29" t="n">
        <v>137648300</v>
      </c>
      <c r="F933" s="30" t="n">
        <v>563.54</v>
      </c>
      <c r="G933" s="31" t="n">
        <f aca="false">IFERROR(F933/D933,0)</f>
        <v>5.6354</v>
      </c>
    </row>
    <row r="934" customFormat="false" ht="15" hidden="false" customHeight="false" outlineLevel="0" collapsed="false">
      <c r="A934" s="28" t="n">
        <v>2021</v>
      </c>
      <c r="B934" s="28" t="s">
        <v>80</v>
      </c>
      <c r="C934" s="28" t="s">
        <v>50</v>
      </c>
      <c r="D934" s="28" t="n">
        <v>55</v>
      </c>
      <c r="E934" s="29" t="n">
        <v>34807400</v>
      </c>
      <c r="F934" s="30" t="n">
        <v>302.53</v>
      </c>
      <c r="G934" s="31" t="n">
        <f aca="false">IFERROR(F934/D934,0)</f>
        <v>5.50054545454545</v>
      </c>
    </row>
    <row r="935" customFormat="false" ht="15" hidden="false" customHeight="false" outlineLevel="0" collapsed="false">
      <c r="A935" s="28" t="n">
        <v>2021</v>
      </c>
      <c r="B935" s="28" t="s">
        <v>80</v>
      </c>
      <c r="C935" s="28" t="s">
        <v>55</v>
      </c>
      <c r="D935" s="28" t="n">
        <v>2</v>
      </c>
      <c r="E935" s="29" t="n">
        <v>1185700</v>
      </c>
      <c r="F935" s="30" t="n">
        <v>9.25</v>
      </c>
      <c r="G935" s="31" t="n">
        <f aca="false">IFERROR(F935/D935,0)</f>
        <v>4.625</v>
      </c>
    </row>
    <row r="936" customFormat="false" ht="15" hidden="false" customHeight="false" outlineLevel="0" collapsed="false">
      <c r="A936" s="28" t="n">
        <v>2021</v>
      </c>
      <c r="B936" s="28" t="s">
        <v>80</v>
      </c>
      <c r="C936" s="28" t="s">
        <v>51</v>
      </c>
      <c r="D936" s="28" t="n">
        <v>26</v>
      </c>
      <c r="E936" s="29" t="n">
        <v>16238800</v>
      </c>
      <c r="F936" s="30" t="n">
        <v>149.296</v>
      </c>
      <c r="G936" s="31" t="n">
        <f aca="false">IFERROR(F936/D936,0)</f>
        <v>5.74215384615385</v>
      </c>
    </row>
    <row r="937" customFormat="false" ht="15" hidden="false" customHeight="false" outlineLevel="0" collapsed="false">
      <c r="A937" s="28" t="n">
        <v>2021</v>
      </c>
      <c r="B937" s="28" t="s">
        <v>80</v>
      </c>
      <c r="C937" s="28" t="s">
        <v>45</v>
      </c>
      <c r="D937" s="28" t="n">
        <v>83</v>
      </c>
      <c r="E937" s="29" t="n">
        <v>63556900</v>
      </c>
      <c r="F937" s="30" t="n">
        <v>450.61</v>
      </c>
      <c r="G937" s="31" t="n">
        <f aca="false">IFERROR(F937/D937,0)</f>
        <v>5.42903614457831</v>
      </c>
    </row>
    <row r="938" customFormat="false" ht="15" hidden="false" customHeight="false" outlineLevel="0" collapsed="false">
      <c r="A938" s="28" t="n">
        <v>2021</v>
      </c>
      <c r="B938" s="28" t="s">
        <v>80</v>
      </c>
      <c r="C938" s="28" t="s">
        <v>56</v>
      </c>
      <c r="D938" s="28" t="n">
        <v>14</v>
      </c>
      <c r="E938" s="29" t="n">
        <v>6270400</v>
      </c>
      <c r="F938" s="30" t="n">
        <v>91.5</v>
      </c>
      <c r="G938" s="31" t="n">
        <f aca="false">IFERROR(F938/D938,0)</f>
        <v>6.53571428571429</v>
      </c>
    </row>
    <row r="939" customFormat="false" ht="15" hidden="false" customHeight="false" outlineLevel="0" collapsed="false">
      <c r="A939" s="28" t="n">
        <v>2021</v>
      </c>
      <c r="B939" s="28" t="s">
        <v>80</v>
      </c>
      <c r="C939" s="28" t="s">
        <v>54</v>
      </c>
      <c r="D939" s="28" t="n">
        <v>40</v>
      </c>
      <c r="E939" s="29" t="n">
        <v>38812300</v>
      </c>
      <c r="F939" s="30" t="n">
        <v>212.33</v>
      </c>
      <c r="G939" s="31" t="n">
        <f aca="false">IFERROR(F939/D939,0)</f>
        <v>5.30825</v>
      </c>
    </row>
    <row r="940" customFormat="false" ht="15" hidden="false" customHeight="false" outlineLevel="0" collapsed="false">
      <c r="A940" s="28" t="n">
        <v>2021</v>
      </c>
      <c r="B940" s="28" t="s">
        <v>80</v>
      </c>
      <c r="C940" s="28" t="s">
        <v>44</v>
      </c>
      <c r="D940" s="28" t="n">
        <v>171</v>
      </c>
      <c r="E940" s="29" t="n">
        <v>135436100</v>
      </c>
      <c r="F940" s="30" t="n">
        <v>916</v>
      </c>
      <c r="G940" s="31" t="n">
        <f aca="false">IFERROR(F940/D940,0)</f>
        <v>5.35672514619883</v>
      </c>
    </row>
    <row r="941" customFormat="false" ht="15" hidden="false" customHeight="false" outlineLevel="0" collapsed="false">
      <c r="A941" s="28" t="n">
        <v>2021</v>
      </c>
      <c r="B941" s="28" t="s">
        <v>80</v>
      </c>
      <c r="C941" s="28" t="s">
        <v>57</v>
      </c>
      <c r="D941" s="28" t="n">
        <v>3</v>
      </c>
      <c r="E941" s="29" t="n">
        <v>3145000</v>
      </c>
      <c r="F941" s="30" t="n">
        <v>17.5</v>
      </c>
      <c r="G941" s="31" t="n">
        <f aca="false">IFERROR(F941/D941,0)</f>
        <v>5.83333333333333</v>
      </c>
    </row>
    <row r="942" customFormat="false" ht="15" hidden="false" customHeight="false" outlineLevel="0" collapsed="false">
      <c r="A942" s="28" t="n">
        <v>2021</v>
      </c>
      <c r="B942" s="28" t="s">
        <v>80</v>
      </c>
      <c r="C942" s="28" t="s">
        <v>59</v>
      </c>
      <c r="D942" s="28" t="n">
        <v>5</v>
      </c>
      <c r="E942" s="29" t="n">
        <v>8625000</v>
      </c>
      <c r="F942" s="30" t="n">
        <v>25.35</v>
      </c>
      <c r="G942" s="31" t="n">
        <f aca="false">IFERROR(F942/D942,0)</f>
        <v>5.07</v>
      </c>
    </row>
    <row r="943" customFormat="false" ht="15" hidden="false" customHeight="false" outlineLevel="0" collapsed="false">
      <c r="A943" s="28" t="n">
        <v>2021</v>
      </c>
      <c r="B943" s="28" t="s">
        <v>80</v>
      </c>
      <c r="C943" s="28" t="s">
        <v>47</v>
      </c>
      <c r="D943" s="28" t="n">
        <v>60</v>
      </c>
      <c r="E943" s="29" t="n">
        <v>65221100</v>
      </c>
      <c r="F943" s="30" t="n">
        <v>321.39</v>
      </c>
      <c r="G943" s="31" t="n">
        <f aca="false">IFERROR(F943/D943,0)</f>
        <v>5.3565</v>
      </c>
    </row>
    <row r="944" customFormat="false" ht="15" hidden="false" customHeight="false" outlineLevel="0" collapsed="false">
      <c r="A944" s="28" t="n">
        <v>2021</v>
      </c>
      <c r="B944" s="28" t="s">
        <v>80</v>
      </c>
      <c r="C944" s="28" t="s">
        <v>58</v>
      </c>
      <c r="D944" s="28" t="n">
        <v>2</v>
      </c>
      <c r="E944" s="29" t="n">
        <v>3192000</v>
      </c>
      <c r="F944" s="30" t="n">
        <v>12</v>
      </c>
      <c r="G944" s="31" t="n">
        <f aca="false">IFERROR(F944/D944,0)</f>
        <v>6</v>
      </c>
    </row>
    <row r="945" customFormat="false" ht="15" hidden="false" customHeight="false" outlineLevel="0" collapsed="false">
      <c r="A945" s="28" t="n">
        <v>2021</v>
      </c>
      <c r="B945" s="28" t="s">
        <v>80</v>
      </c>
      <c r="C945" s="28" t="s">
        <v>46</v>
      </c>
      <c r="D945" s="28" t="n">
        <v>75</v>
      </c>
      <c r="E945" s="29" t="n">
        <v>66955500</v>
      </c>
      <c r="F945" s="30" t="n">
        <v>422.52</v>
      </c>
      <c r="G945" s="31" t="n">
        <f aca="false">IFERROR(F945/D945,0)</f>
        <v>5.6336</v>
      </c>
    </row>
    <row r="946" customFormat="false" ht="15" hidden="false" customHeight="false" outlineLevel="0" collapsed="false">
      <c r="A946" s="28" t="n">
        <v>2021</v>
      </c>
      <c r="B946" s="28" t="s">
        <v>80</v>
      </c>
      <c r="C946" s="28" t="s">
        <v>48</v>
      </c>
      <c r="D946" s="28" t="n">
        <v>88</v>
      </c>
      <c r="E946" s="29" t="n">
        <v>55384300</v>
      </c>
      <c r="F946" s="30" t="n">
        <v>481.3</v>
      </c>
      <c r="G946" s="31" t="n">
        <f aca="false">IFERROR(F946/D946,0)</f>
        <v>5.46931818181818</v>
      </c>
    </row>
    <row r="947" customFormat="false" ht="15" hidden="false" customHeight="false" outlineLevel="0" collapsed="false">
      <c r="A947" s="28" t="n">
        <v>2021</v>
      </c>
      <c r="B947" s="28" t="s">
        <v>80</v>
      </c>
      <c r="C947" s="28" t="s">
        <v>53</v>
      </c>
      <c r="D947" s="28" t="n">
        <v>39</v>
      </c>
      <c r="E947" s="29" t="n">
        <v>37958100</v>
      </c>
      <c r="F947" s="30" t="n">
        <v>191.92</v>
      </c>
      <c r="G947" s="31" t="n">
        <f aca="false">IFERROR(F947/D947,0)</f>
        <v>4.92102564102564</v>
      </c>
    </row>
    <row r="948" customFormat="false" ht="15" hidden="false" customHeight="false" outlineLevel="0" collapsed="false">
      <c r="A948" s="28" t="n">
        <v>2021</v>
      </c>
      <c r="B948" s="28" t="s">
        <v>80</v>
      </c>
      <c r="C948" s="28" t="s">
        <v>43</v>
      </c>
      <c r="D948" s="28" t="n">
        <v>107</v>
      </c>
      <c r="E948" s="29" t="n">
        <v>89306200</v>
      </c>
      <c r="F948" s="30" t="n">
        <v>614.54</v>
      </c>
      <c r="G948" s="31" t="n">
        <f aca="false">IFERROR(F948/D948,0)</f>
        <v>5.74336448598131</v>
      </c>
    </row>
    <row r="949" customFormat="false" ht="15" hidden="false" customHeight="false" outlineLevel="0" collapsed="false">
      <c r="A949" s="28" t="n">
        <v>2021</v>
      </c>
      <c r="B949" s="28" t="s">
        <v>80</v>
      </c>
      <c r="C949" s="28" t="s">
        <v>52</v>
      </c>
      <c r="D949" s="28" t="n">
        <v>35</v>
      </c>
      <c r="E949" s="29" t="n">
        <v>30621900</v>
      </c>
      <c r="F949" s="30" t="n">
        <v>214.64</v>
      </c>
      <c r="G949" s="31" t="n">
        <f aca="false">IFERROR(F949/D949,0)</f>
        <v>6.13257142857143</v>
      </c>
    </row>
    <row r="950" customFormat="false" ht="15" hidden="false" customHeight="false" outlineLevel="0" collapsed="false">
      <c r="A950" s="28" t="n">
        <v>2021</v>
      </c>
      <c r="B950" s="28" t="s">
        <v>80</v>
      </c>
      <c r="C950" s="28" t="s">
        <v>60</v>
      </c>
      <c r="D950" s="28" t="n">
        <v>1</v>
      </c>
      <c r="E950" s="29" t="n">
        <v>1000000</v>
      </c>
      <c r="F950" s="30" t="n">
        <v>4.5</v>
      </c>
      <c r="G950" s="31" t="n">
        <f aca="false">IFERROR(F950/D950,0)</f>
        <v>4.5</v>
      </c>
    </row>
    <row r="951" customFormat="false" ht="15" hidden="false" customHeight="false" outlineLevel="0" collapsed="false">
      <c r="A951" s="28" t="n">
        <v>2021</v>
      </c>
      <c r="B951" s="28" t="s">
        <v>80</v>
      </c>
      <c r="C951" s="28" t="s">
        <v>49</v>
      </c>
      <c r="D951" s="28" t="n">
        <v>27</v>
      </c>
      <c r="E951" s="29" t="n">
        <v>22548400</v>
      </c>
      <c r="F951" s="30" t="n">
        <v>150.2</v>
      </c>
      <c r="G951" s="31" t="n">
        <f aca="false">IFERROR(F951/D951,0)</f>
        <v>5.56296296296296</v>
      </c>
    </row>
    <row r="952" customFormat="false" ht="15" hidden="false" customHeight="false" outlineLevel="0" collapsed="false">
      <c r="A952" s="28" t="n">
        <v>2021</v>
      </c>
      <c r="B952" s="28" t="s">
        <v>75</v>
      </c>
      <c r="C952" s="28" t="s">
        <v>42</v>
      </c>
      <c r="D952" s="28" t="n">
        <v>558</v>
      </c>
      <c r="E952" s="29" t="n">
        <v>679642900</v>
      </c>
      <c r="F952" s="30" t="n">
        <v>2931.67</v>
      </c>
      <c r="G952" s="31" t="n">
        <f aca="false">IFERROR(F952/D952,0)</f>
        <v>5.25388888888889</v>
      </c>
    </row>
    <row r="953" customFormat="false" ht="15" hidden="false" customHeight="false" outlineLevel="0" collapsed="false">
      <c r="A953" s="28" t="n">
        <v>2021</v>
      </c>
      <c r="B953" s="28" t="s">
        <v>75</v>
      </c>
      <c r="C953" s="28" t="s">
        <v>50</v>
      </c>
      <c r="D953" s="28" t="n">
        <v>206</v>
      </c>
      <c r="E953" s="29" t="n">
        <v>140440200</v>
      </c>
      <c r="F953" s="30" t="n">
        <v>1160.94</v>
      </c>
      <c r="G953" s="31" t="n">
        <f aca="false">IFERROR(F953/D953,0)</f>
        <v>5.63563106796117</v>
      </c>
    </row>
    <row r="954" customFormat="false" ht="15" hidden="false" customHeight="false" outlineLevel="0" collapsed="false">
      <c r="A954" s="28" t="n">
        <v>2021</v>
      </c>
      <c r="B954" s="28" t="s">
        <v>75</v>
      </c>
      <c r="C954" s="28" t="s">
        <v>55</v>
      </c>
      <c r="D954" s="28" t="n">
        <v>31</v>
      </c>
      <c r="E954" s="29" t="n">
        <v>25203600</v>
      </c>
      <c r="F954" s="30" t="n">
        <v>176.63</v>
      </c>
      <c r="G954" s="31" t="n">
        <f aca="false">IFERROR(F954/D954,0)</f>
        <v>5.69774193548387</v>
      </c>
    </row>
    <row r="955" customFormat="false" ht="15" hidden="false" customHeight="false" outlineLevel="0" collapsed="false">
      <c r="A955" s="28" t="n">
        <v>2021</v>
      </c>
      <c r="B955" s="28" t="s">
        <v>75</v>
      </c>
      <c r="C955" s="28" t="s">
        <v>51</v>
      </c>
      <c r="D955" s="28" t="n">
        <v>75</v>
      </c>
      <c r="E955" s="29" t="n">
        <v>74161100</v>
      </c>
      <c r="F955" s="30" t="n">
        <v>434.97</v>
      </c>
      <c r="G955" s="31" t="n">
        <f aca="false">IFERROR(F955/D955,0)</f>
        <v>5.7996</v>
      </c>
    </row>
    <row r="956" customFormat="false" ht="15" hidden="false" customHeight="false" outlineLevel="0" collapsed="false">
      <c r="A956" s="28" t="n">
        <v>2021</v>
      </c>
      <c r="B956" s="28" t="s">
        <v>75</v>
      </c>
      <c r="C956" s="28" t="s">
        <v>45</v>
      </c>
      <c r="D956" s="28" t="n">
        <v>424</v>
      </c>
      <c r="E956" s="29" t="n">
        <v>291858800</v>
      </c>
      <c r="F956" s="30" t="n">
        <v>2320.67</v>
      </c>
      <c r="G956" s="31" t="n">
        <f aca="false">IFERROR(F956/D956,0)</f>
        <v>5.47327830188679</v>
      </c>
    </row>
    <row r="957" customFormat="false" ht="15" hidden="false" customHeight="false" outlineLevel="0" collapsed="false">
      <c r="A957" s="28" t="n">
        <v>2021</v>
      </c>
      <c r="B957" s="28" t="s">
        <v>75</v>
      </c>
      <c r="C957" s="28" t="s">
        <v>56</v>
      </c>
      <c r="D957" s="28" t="n">
        <v>60</v>
      </c>
      <c r="E957" s="29" t="n">
        <v>48356000</v>
      </c>
      <c r="F957" s="30" t="n">
        <v>337.8</v>
      </c>
      <c r="G957" s="31" t="n">
        <f aca="false">IFERROR(F957/D957,0)</f>
        <v>5.63</v>
      </c>
    </row>
    <row r="958" customFormat="false" ht="15" hidden="false" customHeight="false" outlineLevel="0" collapsed="false">
      <c r="A958" s="28" t="n">
        <v>2021</v>
      </c>
      <c r="B958" s="28" t="s">
        <v>75</v>
      </c>
      <c r="C958" s="28" t="s">
        <v>54</v>
      </c>
      <c r="D958" s="28" t="n">
        <v>121</v>
      </c>
      <c r="E958" s="29" t="n">
        <v>111074000</v>
      </c>
      <c r="F958" s="30" t="n">
        <v>619.03</v>
      </c>
      <c r="G958" s="31" t="n">
        <f aca="false">IFERROR(F958/D958,0)</f>
        <v>5.11595041322314</v>
      </c>
    </row>
    <row r="959" customFormat="false" ht="15" hidden="false" customHeight="false" outlineLevel="0" collapsed="false">
      <c r="A959" s="28" t="n">
        <v>2021</v>
      </c>
      <c r="B959" s="28" t="s">
        <v>75</v>
      </c>
      <c r="C959" s="28" t="s">
        <v>44</v>
      </c>
      <c r="D959" s="28" t="n">
        <v>610</v>
      </c>
      <c r="E959" s="29" t="n">
        <v>697549200</v>
      </c>
      <c r="F959" s="30" t="n">
        <v>3098.27</v>
      </c>
      <c r="G959" s="31" t="n">
        <f aca="false">IFERROR(F959/D959,0)</f>
        <v>5.07913114754098</v>
      </c>
    </row>
    <row r="960" customFormat="false" ht="15" hidden="false" customHeight="false" outlineLevel="0" collapsed="false">
      <c r="A960" s="28" t="n">
        <v>2021</v>
      </c>
      <c r="B960" s="28" t="s">
        <v>75</v>
      </c>
      <c r="C960" s="28" t="s">
        <v>57</v>
      </c>
      <c r="D960" s="28" t="n">
        <v>67</v>
      </c>
      <c r="E960" s="29" t="n">
        <v>53320700</v>
      </c>
      <c r="F960" s="30" t="n">
        <v>393.01</v>
      </c>
      <c r="G960" s="31" t="n">
        <f aca="false">IFERROR(F960/D960,0)</f>
        <v>5.86582089552239</v>
      </c>
    </row>
    <row r="961" customFormat="false" ht="15" hidden="false" customHeight="false" outlineLevel="0" collapsed="false">
      <c r="A961" s="28" t="n">
        <v>2021</v>
      </c>
      <c r="B961" s="28" t="s">
        <v>75</v>
      </c>
      <c r="C961" s="28" t="s">
        <v>59</v>
      </c>
      <c r="D961" s="28" t="n">
        <v>2</v>
      </c>
      <c r="E961" s="29" t="n">
        <v>2505000</v>
      </c>
      <c r="F961" s="30" t="n">
        <v>11.75</v>
      </c>
      <c r="G961" s="31" t="n">
        <f aca="false">IFERROR(F961/D961,0)</f>
        <v>5.875</v>
      </c>
    </row>
    <row r="962" customFormat="false" ht="15" hidden="false" customHeight="false" outlineLevel="0" collapsed="false">
      <c r="A962" s="28" t="n">
        <v>2021</v>
      </c>
      <c r="B962" s="28" t="s">
        <v>75</v>
      </c>
      <c r="C962" s="28" t="s">
        <v>47</v>
      </c>
      <c r="D962" s="28" t="n">
        <v>346</v>
      </c>
      <c r="E962" s="29" t="n">
        <v>415684200</v>
      </c>
      <c r="F962" s="30" t="n">
        <v>1828.02</v>
      </c>
      <c r="G962" s="31" t="n">
        <f aca="false">IFERROR(F962/D962,0)</f>
        <v>5.28329479768786</v>
      </c>
    </row>
    <row r="963" customFormat="false" ht="15" hidden="false" customHeight="false" outlineLevel="0" collapsed="false">
      <c r="A963" s="28" t="n">
        <v>2021</v>
      </c>
      <c r="B963" s="28" t="s">
        <v>75</v>
      </c>
      <c r="C963" s="28" t="s">
        <v>58</v>
      </c>
      <c r="D963" s="28" t="n">
        <v>1</v>
      </c>
      <c r="E963" s="29" t="n">
        <v>617500</v>
      </c>
      <c r="F963" s="30" t="n">
        <v>4.5</v>
      </c>
      <c r="G963" s="31" t="n">
        <f aca="false">IFERROR(F963/D963,0)</f>
        <v>4.5</v>
      </c>
    </row>
    <row r="964" customFormat="false" ht="15" hidden="false" customHeight="false" outlineLevel="0" collapsed="false">
      <c r="A964" s="28" t="n">
        <v>2021</v>
      </c>
      <c r="B964" s="28" t="s">
        <v>75</v>
      </c>
      <c r="C964" s="28" t="s">
        <v>46</v>
      </c>
      <c r="D964" s="28" t="n">
        <v>391</v>
      </c>
      <c r="E964" s="29" t="n">
        <v>417260000</v>
      </c>
      <c r="F964" s="30" t="n">
        <v>2066.73</v>
      </c>
      <c r="G964" s="31" t="n">
        <f aca="false">IFERROR(F964/D964,0)</f>
        <v>5.28575447570333</v>
      </c>
    </row>
    <row r="965" customFormat="false" ht="15" hidden="false" customHeight="false" outlineLevel="0" collapsed="false">
      <c r="A965" s="28" t="n">
        <v>2021</v>
      </c>
      <c r="B965" s="28" t="s">
        <v>75</v>
      </c>
      <c r="C965" s="28" t="s">
        <v>48</v>
      </c>
      <c r="D965" s="28" t="n">
        <v>506</v>
      </c>
      <c r="E965" s="29" t="n">
        <v>384027500</v>
      </c>
      <c r="F965" s="30" t="n">
        <v>2789.71</v>
      </c>
      <c r="G965" s="31" t="n">
        <f aca="false">IFERROR(F965/D965,0)</f>
        <v>5.51326086956522</v>
      </c>
    </row>
    <row r="966" customFormat="false" ht="15" hidden="false" customHeight="false" outlineLevel="0" collapsed="false">
      <c r="A966" s="28" t="n">
        <v>2021</v>
      </c>
      <c r="B966" s="28" t="s">
        <v>75</v>
      </c>
      <c r="C966" s="28" t="s">
        <v>53</v>
      </c>
      <c r="D966" s="28" t="n">
        <v>175</v>
      </c>
      <c r="E966" s="29" t="n">
        <v>169128100</v>
      </c>
      <c r="F966" s="30" t="n">
        <v>874.265</v>
      </c>
      <c r="G966" s="31" t="n">
        <f aca="false">IFERROR(F966/D966,0)</f>
        <v>4.9958</v>
      </c>
    </row>
    <row r="967" customFormat="false" ht="15" hidden="false" customHeight="false" outlineLevel="0" collapsed="false">
      <c r="A967" s="28" t="n">
        <v>2021</v>
      </c>
      <c r="B967" s="28" t="s">
        <v>75</v>
      </c>
      <c r="C967" s="28" t="s">
        <v>43</v>
      </c>
      <c r="D967" s="28" t="n">
        <v>897</v>
      </c>
      <c r="E967" s="29" t="n">
        <v>975677500</v>
      </c>
      <c r="F967" s="30" t="n">
        <v>4762.38</v>
      </c>
      <c r="G967" s="31" t="n">
        <f aca="false">IFERROR(F967/D967,0)</f>
        <v>5.30923076923077</v>
      </c>
    </row>
    <row r="968" customFormat="false" ht="15" hidden="false" customHeight="false" outlineLevel="0" collapsed="false">
      <c r="A968" s="28" t="n">
        <v>2021</v>
      </c>
      <c r="B968" s="28" t="s">
        <v>75</v>
      </c>
      <c r="C968" s="28" t="s">
        <v>52</v>
      </c>
      <c r="D968" s="28" t="n">
        <v>306</v>
      </c>
      <c r="E968" s="29" t="n">
        <v>193469400</v>
      </c>
      <c r="F968" s="30" t="n">
        <v>1746.56</v>
      </c>
      <c r="G968" s="31" t="n">
        <f aca="false">IFERROR(F968/D968,0)</f>
        <v>5.70771241830065</v>
      </c>
    </row>
    <row r="969" customFormat="false" ht="15" hidden="false" customHeight="false" outlineLevel="0" collapsed="false">
      <c r="A969" s="28" t="n">
        <v>2021</v>
      </c>
      <c r="B969" s="28" t="s">
        <v>75</v>
      </c>
      <c r="C969" s="28" t="s">
        <v>60</v>
      </c>
      <c r="D969" s="28" t="n">
        <v>7</v>
      </c>
      <c r="E969" s="29" t="n">
        <v>6591800</v>
      </c>
      <c r="F969" s="30" t="n">
        <v>40.25</v>
      </c>
      <c r="G969" s="31" t="n">
        <f aca="false">IFERROR(F969/D969,0)</f>
        <v>5.75</v>
      </c>
    </row>
    <row r="970" customFormat="false" ht="15" hidden="false" customHeight="false" outlineLevel="0" collapsed="false">
      <c r="A970" s="28" t="n">
        <v>2021</v>
      </c>
      <c r="B970" s="28" t="s">
        <v>75</v>
      </c>
      <c r="C970" s="28" t="s">
        <v>49</v>
      </c>
      <c r="D970" s="28" t="n">
        <v>346</v>
      </c>
      <c r="E970" s="29" t="n">
        <v>428599700</v>
      </c>
      <c r="F970" s="30" t="n">
        <v>1740.05</v>
      </c>
      <c r="G970" s="31" t="n">
        <f aca="false">IFERROR(F970/D970,0)</f>
        <v>5.02904624277457</v>
      </c>
    </row>
    <row r="971" customFormat="false" ht="15" hidden="false" customHeight="false" outlineLevel="0" collapsed="false">
      <c r="A971" s="28" t="n">
        <v>2021</v>
      </c>
      <c r="B971" s="28" t="s">
        <v>83</v>
      </c>
      <c r="C971" s="28" t="s">
        <v>42</v>
      </c>
      <c r="D971" s="28" t="n">
        <v>134</v>
      </c>
      <c r="E971" s="29" t="n">
        <v>140882200</v>
      </c>
      <c r="F971" s="30" t="n">
        <v>716.5</v>
      </c>
      <c r="G971" s="31" t="n">
        <f aca="false">IFERROR(F971/D971,0)</f>
        <v>5.34701492537313</v>
      </c>
    </row>
    <row r="972" customFormat="false" ht="15" hidden="false" customHeight="false" outlineLevel="0" collapsed="false">
      <c r="A972" s="28" t="n">
        <v>2021</v>
      </c>
      <c r="B972" s="28" t="s">
        <v>83</v>
      </c>
      <c r="C972" s="28" t="s">
        <v>50</v>
      </c>
      <c r="D972" s="28" t="n">
        <v>67</v>
      </c>
      <c r="E972" s="29" t="n">
        <v>42551700</v>
      </c>
      <c r="F972" s="30" t="n">
        <v>368.54</v>
      </c>
      <c r="G972" s="31" t="n">
        <f aca="false">IFERROR(F972/D972,0)</f>
        <v>5.50059701492537</v>
      </c>
    </row>
    <row r="973" customFormat="false" ht="15" hidden="false" customHeight="false" outlineLevel="0" collapsed="false">
      <c r="A973" s="28" t="n">
        <v>2021</v>
      </c>
      <c r="B973" s="28" t="s">
        <v>83</v>
      </c>
      <c r="C973" s="28" t="s">
        <v>55</v>
      </c>
      <c r="D973" s="28" t="n">
        <v>5</v>
      </c>
      <c r="E973" s="29" t="n">
        <v>691400</v>
      </c>
      <c r="F973" s="30" t="n">
        <v>32.79</v>
      </c>
      <c r="G973" s="31" t="n">
        <f aca="false">IFERROR(F973/D973,0)</f>
        <v>6.558</v>
      </c>
    </row>
    <row r="974" customFormat="false" ht="15" hidden="false" customHeight="false" outlineLevel="0" collapsed="false">
      <c r="A974" s="28" t="n">
        <v>2021</v>
      </c>
      <c r="B974" s="28" t="s">
        <v>83</v>
      </c>
      <c r="C974" s="28" t="s">
        <v>51</v>
      </c>
      <c r="D974" s="28" t="n">
        <v>38</v>
      </c>
      <c r="E974" s="29" t="n">
        <v>20558400</v>
      </c>
      <c r="F974" s="30" t="n">
        <v>218.65</v>
      </c>
      <c r="G974" s="31" t="n">
        <f aca="false">IFERROR(F974/D974,0)</f>
        <v>5.75394736842105</v>
      </c>
    </row>
    <row r="975" customFormat="false" ht="15" hidden="false" customHeight="false" outlineLevel="0" collapsed="false">
      <c r="A975" s="28" t="n">
        <v>2021</v>
      </c>
      <c r="B975" s="28" t="s">
        <v>83</v>
      </c>
      <c r="C975" s="28" t="s">
        <v>45</v>
      </c>
      <c r="D975" s="28" t="n">
        <v>162</v>
      </c>
      <c r="E975" s="29" t="n">
        <v>114982000</v>
      </c>
      <c r="F975" s="30" t="n">
        <v>921.49</v>
      </c>
      <c r="G975" s="31" t="n">
        <f aca="false">IFERROR(F975/D975,0)</f>
        <v>5.68820987654321</v>
      </c>
    </row>
    <row r="976" customFormat="false" ht="15" hidden="false" customHeight="false" outlineLevel="0" collapsed="false">
      <c r="A976" s="28" t="n">
        <v>2021</v>
      </c>
      <c r="B976" s="28" t="s">
        <v>83</v>
      </c>
      <c r="C976" s="28" t="s">
        <v>56</v>
      </c>
      <c r="D976" s="28" t="n">
        <v>12</v>
      </c>
      <c r="E976" s="29" t="n">
        <v>5811200</v>
      </c>
      <c r="F976" s="30" t="n">
        <v>67.75</v>
      </c>
      <c r="G976" s="31" t="n">
        <f aca="false">IFERROR(F976/D976,0)</f>
        <v>5.64583333333333</v>
      </c>
    </row>
    <row r="977" customFormat="false" ht="15" hidden="false" customHeight="false" outlineLevel="0" collapsed="false">
      <c r="A977" s="28" t="n">
        <v>2021</v>
      </c>
      <c r="B977" s="28" t="s">
        <v>83</v>
      </c>
      <c r="C977" s="28" t="s">
        <v>54</v>
      </c>
      <c r="D977" s="28" t="n">
        <v>33</v>
      </c>
      <c r="E977" s="29" t="n">
        <v>20129900</v>
      </c>
      <c r="F977" s="30" t="n">
        <v>173.78</v>
      </c>
      <c r="G977" s="31" t="n">
        <f aca="false">IFERROR(F977/D977,0)</f>
        <v>5.26606060606061</v>
      </c>
    </row>
    <row r="978" customFormat="false" ht="15" hidden="false" customHeight="false" outlineLevel="0" collapsed="false">
      <c r="A978" s="28" t="n">
        <v>2021</v>
      </c>
      <c r="B978" s="28" t="s">
        <v>83</v>
      </c>
      <c r="C978" s="28" t="s">
        <v>44</v>
      </c>
      <c r="D978" s="28" t="n">
        <v>106</v>
      </c>
      <c r="E978" s="29" t="n">
        <v>119437200</v>
      </c>
      <c r="F978" s="30" t="n">
        <v>555.95</v>
      </c>
      <c r="G978" s="31" t="n">
        <f aca="false">IFERROR(F978/D978,0)</f>
        <v>5.24481132075472</v>
      </c>
    </row>
    <row r="979" customFormat="false" ht="15" hidden="false" customHeight="false" outlineLevel="0" collapsed="false">
      <c r="A979" s="28" t="n">
        <v>2021</v>
      </c>
      <c r="B979" s="28" t="s">
        <v>83</v>
      </c>
      <c r="C979" s="28" t="s">
        <v>57</v>
      </c>
      <c r="D979" s="28" t="n">
        <v>13</v>
      </c>
      <c r="E979" s="29" t="n">
        <v>2438500</v>
      </c>
      <c r="F979" s="30" t="n">
        <v>82.75</v>
      </c>
      <c r="G979" s="31" t="n">
        <f aca="false">IFERROR(F979/D979,0)</f>
        <v>6.36538461538462</v>
      </c>
    </row>
    <row r="980" customFormat="false" ht="15" hidden="false" customHeight="false" outlineLevel="0" collapsed="false">
      <c r="A980" s="28" t="n">
        <v>2021</v>
      </c>
      <c r="B980" s="28" t="s">
        <v>83</v>
      </c>
      <c r="C980" s="28" t="s">
        <v>59</v>
      </c>
      <c r="D980" s="28" t="n">
        <v>2</v>
      </c>
      <c r="E980" s="29" t="n">
        <v>1475000</v>
      </c>
      <c r="F980" s="30" t="n">
        <v>9</v>
      </c>
      <c r="G980" s="31" t="n">
        <f aca="false">IFERROR(F980/D980,0)</f>
        <v>4.5</v>
      </c>
    </row>
    <row r="981" customFormat="false" ht="15" hidden="false" customHeight="false" outlineLevel="0" collapsed="false">
      <c r="A981" s="28" t="n">
        <v>2021</v>
      </c>
      <c r="B981" s="28" t="s">
        <v>83</v>
      </c>
      <c r="C981" s="28" t="s">
        <v>47</v>
      </c>
      <c r="D981" s="28" t="n">
        <v>79</v>
      </c>
      <c r="E981" s="29" t="n">
        <v>83478500</v>
      </c>
      <c r="F981" s="30" t="n">
        <v>414.26</v>
      </c>
      <c r="G981" s="31" t="n">
        <f aca="false">IFERROR(F981/D981,0)</f>
        <v>5.24379746835443</v>
      </c>
    </row>
    <row r="982" customFormat="false" ht="15" hidden="false" customHeight="false" outlineLevel="0" collapsed="false">
      <c r="A982" s="28" t="n">
        <v>2021</v>
      </c>
      <c r="B982" s="28" t="s">
        <v>83</v>
      </c>
      <c r="C982" s="28" t="s">
        <v>58</v>
      </c>
      <c r="D982" s="28" t="n">
        <v>6</v>
      </c>
      <c r="E982" s="29" t="n">
        <v>5152600</v>
      </c>
      <c r="F982" s="30" t="n">
        <v>27.45</v>
      </c>
      <c r="G982" s="31" t="n">
        <f aca="false">IFERROR(F982/D982,0)</f>
        <v>4.575</v>
      </c>
    </row>
    <row r="983" customFormat="false" ht="15" hidden="false" customHeight="false" outlineLevel="0" collapsed="false">
      <c r="A983" s="28" t="n">
        <v>2021</v>
      </c>
      <c r="B983" s="28" t="s">
        <v>83</v>
      </c>
      <c r="C983" s="28" t="s">
        <v>46</v>
      </c>
      <c r="D983" s="28" t="n">
        <v>129</v>
      </c>
      <c r="E983" s="29" t="n">
        <v>105063200</v>
      </c>
      <c r="F983" s="30" t="n">
        <v>709.525</v>
      </c>
      <c r="G983" s="31" t="n">
        <f aca="false">IFERROR(F983/D983,0)</f>
        <v>5.50019379844961</v>
      </c>
    </row>
    <row r="984" customFormat="false" ht="15" hidden="false" customHeight="false" outlineLevel="0" collapsed="false">
      <c r="A984" s="28" t="n">
        <v>2021</v>
      </c>
      <c r="B984" s="28" t="s">
        <v>83</v>
      </c>
      <c r="C984" s="28" t="s">
        <v>48</v>
      </c>
      <c r="D984" s="28" t="n">
        <v>116</v>
      </c>
      <c r="E984" s="29" t="n">
        <v>92152600</v>
      </c>
      <c r="F984" s="30" t="n">
        <v>627.82</v>
      </c>
      <c r="G984" s="31" t="n">
        <f aca="false">IFERROR(F984/D984,0)</f>
        <v>5.41224137931035</v>
      </c>
    </row>
    <row r="985" customFormat="false" ht="15" hidden="false" customHeight="false" outlineLevel="0" collapsed="false">
      <c r="A985" s="28" t="n">
        <v>2021</v>
      </c>
      <c r="B985" s="28" t="s">
        <v>83</v>
      </c>
      <c r="C985" s="28" t="s">
        <v>53</v>
      </c>
      <c r="D985" s="28" t="n">
        <v>47</v>
      </c>
      <c r="E985" s="29" t="n">
        <v>47811700</v>
      </c>
      <c r="F985" s="30" t="n">
        <v>238.15</v>
      </c>
      <c r="G985" s="31" t="n">
        <f aca="false">IFERROR(F985/D985,0)</f>
        <v>5.06702127659575</v>
      </c>
    </row>
    <row r="986" customFormat="false" ht="15" hidden="false" customHeight="false" outlineLevel="0" collapsed="false">
      <c r="A986" s="28" t="n">
        <v>2021</v>
      </c>
      <c r="B986" s="28" t="s">
        <v>83</v>
      </c>
      <c r="C986" s="28" t="s">
        <v>43</v>
      </c>
      <c r="D986" s="28" t="n">
        <v>221</v>
      </c>
      <c r="E986" s="29" t="n">
        <v>169188800</v>
      </c>
      <c r="F986" s="30" t="n">
        <v>1172.7</v>
      </c>
      <c r="G986" s="31" t="n">
        <f aca="false">IFERROR(F986/D986,0)</f>
        <v>5.30633484162896</v>
      </c>
    </row>
    <row r="987" customFormat="false" ht="15" hidden="false" customHeight="false" outlineLevel="0" collapsed="false">
      <c r="A987" s="28" t="n">
        <v>2021</v>
      </c>
      <c r="B987" s="28" t="s">
        <v>83</v>
      </c>
      <c r="C987" s="28" t="s">
        <v>52</v>
      </c>
      <c r="D987" s="28" t="n">
        <v>42</v>
      </c>
      <c r="E987" s="29" t="n">
        <v>17086200</v>
      </c>
      <c r="F987" s="30" t="n">
        <v>231.67</v>
      </c>
      <c r="G987" s="31" t="n">
        <f aca="false">IFERROR(F987/D987,0)</f>
        <v>5.51595238095238</v>
      </c>
    </row>
    <row r="988" customFormat="false" ht="15" hidden="false" customHeight="false" outlineLevel="0" collapsed="false">
      <c r="A988" s="28" t="n">
        <v>2021</v>
      </c>
      <c r="B988" s="28" t="s">
        <v>83</v>
      </c>
      <c r="C988" s="28" t="s">
        <v>60</v>
      </c>
      <c r="D988" s="28" t="n">
        <v>4</v>
      </c>
      <c r="E988" s="29" t="n">
        <v>2153000</v>
      </c>
      <c r="F988" s="30" t="n">
        <v>23</v>
      </c>
      <c r="G988" s="31" t="n">
        <f aca="false">IFERROR(F988/D988,0)</f>
        <v>5.75</v>
      </c>
    </row>
    <row r="989" customFormat="false" ht="15" hidden="false" customHeight="false" outlineLevel="0" collapsed="false">
      <c r="A989" s="28" t="n">
        <v>2021</v>
      </c>
      <c r="B989" s="28" t="s">
        <v>83</v>
      </c>
      <c r="C989" s="28" t="s">
        <v>49</v>
      </c>
      <c r="D989" s="28" t="n">
        <v>50</v>
      </c>
      <c r="E989" s="29" t="n">
        <v>39082400</v>
      </c>
      <c r="F989" s="30" t="n">
        <v>257.505</v>
      </c>
      <c r="G989" s="31" t="n">
        <f aca="false">IFERROR(F989/D989,0)</f>
        <v>5.1501</v>
      </c>
    </row>
    <row r="990" customFormat="false" ht="15" hidden="false" customHeight="false" outlineLevel="0" collapsed="false">
      <c r="A990" s="28" t="n">
        <v>2021</v>
      </c>
      <c r="B990" s="28" t="s">
        <v>85</v>
      </c>
      <c r="C990" s="28" t="s">
        <v>42</v>
      </c>
      <c r="D990" s="28" t="n">
        <v>44</v>
      </c>
      <c r="E990" s="29" t="n">
        <v>20219700</v>
      </c>
      <c r="F990" s="30" t="n">
        <v>259.84</v>
      </c>
      <c r="G990" s="31" t="n">
        <f aca="false">IFERROR(F990/D990,0)</f>
        <v>5.90545454545455</v>
      </c>
    </row>
    <row r="991" customFormat="false" ht="15" hidden="false" customHeight="false" outlineLevel="0" collapsed="false">
      <c r="A991" s="28" t="n">
        <v>2021</v>
      </c>
      <c r="B991" s="28" t="s">
        <v>85</v>
      </c>
      <c r="C991" s="28" t="s">
        <v>50</v>
      </c>
      <c r="D991" s="28" t="n">
        <v>36</v>
      </c>
      <c r="E991" s="29" t="n">
        <v>10665100</v>
      </c>
      <c r="F991" s="30" t="n">
        <v>215.96</v>
      </c>
      <c r="G991" s="31" t="n">
        <f aca="false">IFERROR(F991/D991,0)</f>
        <v>5.99888888888889</v>
      </c>
    </row>
    <row r="992" customFormat="false" ht="15" hidden="false" customHeight="false" outlineLevel="0" collapsed="false">
      <c r="A992" s="28" t="n">
        <v>2021</v>
      </c>
      <c r="B992" s="28" t="s">
        <v>85</v>
      </c>
      <c r="C992" s="28" t="s">
        <v>55</v>
      </c>
      <c r="D992" s="28" t="n">
        <v>3</v>
      </c>
      <c r="E992" s="29" t="n">
        <v>1584300</v>
      </c>
      <c r="F992" s="30" t="n">
        <v>18.25</v>
      </c>
      <c r="G992" s="31" t="n">
        <f aca="false">IFERROR(F992/D992,0)</f>
        <v>6.08333333333333</v>
      </c>
    </row>
    <row r="993" customFormat="false" ht="15" hidden="false" customHeight="false" outlineLevel="0" collapsed="false">
      <c r="A993" s="28" t="n">
        <v>2021</v>
      </c>
      <c r="B993" s="28" t="s">
        <v>85</v>
      </c>
      <c r="C993" s="28" t="s">
        <v>51</v>
      </c>
      <c r="D993" s="28" t="n">
        <v>14</v>
      </c>
      <c r="E993" s="29" t="n">
        <v>12759000</v>
      </c>
      <c r="F993" s="30" t="n">
        <v>81.01</v>
      </c>
      <c r="G993" s="31" t="n">
        <f aca="false">IFERROR(F993/D993,0)</f>
        <v>5.78642857142857</v>
      </c>
    </row>
    <row r="994" customFormat="false" ht="15" hidden="false" customHeight="false" outlineLevel="0" collapsed="false">
      <c r="A994" s="28" t="n">
        <v>2021</v>
      </c>
      <c r="B994" s="28" t="s">
        <v>85</v>
      </c>
      <c r="C994" s="28" t="s">
        <v>45</v>
      </c>
      <c r="D994" s="28" t="n">
        <v>63</v>
      </c>
      <c r="E994" s="29" t="n">
        <v>21461300</v>
      </c>
      <c r="F994" s="30" t="n">
        <v>374.27</v>
      </c>
      <c r="G994" s="31" t="n">
        <f aca="false">IFERROR(F994/D994,0)</f>
        <v>5.94079365079365</v>
      </c>
    </row>
    <row r="995" customFormat="false" ht="15" hidden="false" customHeight="false" outlineLevel="0" collapsed="false">
      <c r="A995" s="28" t="n">
        <v>2021</v>
      </c>
      <c r="B995" s="28" t="s">
        <v>85</v>
      </c>
      <c r="C995" s="28" t="s">
        <v>56</v>
      </c>
      <c r="D995" s="28" t="n">
        <v>4</v>
      </c>
      <c r="E995" s="29" t="n">
        <v>5139000</v>
      </c>
      <c r="F995" s="30" t="n">
        <v>21.25</v>
      </c>
      <c r="G995" s="31" t="n">
        <f aca="false">IFERROR(F995/D995,0)</f>
        <v>5.3125</v>
      </c>
    </row>
    <row r="996" customFormat="false" ht="15" hidden="false" customHeight="false" outlineLevel="0" collapsed="false">
      <c r="A996" s="28" t="n">
        <v>2021</v>
      </c>
      <c r="B996" s="28" t="s">
        <v>85</v>
      </c>
      <c r="C996" s="28" t="s">
        <v>54</v>
      </c>
      <c r="D996" s="28" t="n">
        <v>20</v>
      </c>
      <c r="E996" s="29" t="n">
        <v>11102700</v>
      </c>
      <c r="F996" s="30" t="n">
        <v>112.74</v>
      </c>
      <c r="G996" s="31" t="n">
        <f aca="false">IFERROR(F996/D996,0)</f>
        <v>5.637</v>
      </c>
    </row>
    <row r="997" customFormat="false" ht="15" hidden="false" customHeight="false" outlineLevel="0" collapsed="false">
      <c r="A997" s="28" t="n">
        <v>2021</v>
      </c>
      <c r="B997" s="28" t="s">
        <v>85</v>
      </c>
      <c r="C997" s="28" t="s">
        <v>44</v>
      </c>
      <c r="D997" s="28" t="n">
        <v>55</v>
      </c>
      <c r="E997" s="29" t="n">
        <v>25977200</v>
      </c>
      <c r="F997" s="30" t="n">
        <v>297.57</v>
      </c>
      <c r="G997" s="31" t="n">
        <f aca="false">IFERROR(F997/D997,0)</f>
        <v>5.41036363636364</v>
      </c>
    </row>
    <row r="998" customFormat="false" ht="15" hidden="false" customHeight="false" outlineLevel="0" collapsed="false">
      <c r="A998" s="28" t="n">
        <v>2021</v>
      </c>
      <c r="B998" s="28" t="s">
        <v>85</v>
      </c>
      <c r="C998" s="28" t="s">
        <v>57</v>
      </c>
      <c r="D998" s="28" t="n">
        <v>3</v>
      </c>
      <c r="E998" s="29" t="n">
        <v>3651500</v>
      </c>
      <c r="F998" s="30" t="n">
        <v>15.05</v>
      </c>
      <c r="G998" s="31" t="n">
        <f aca="false">IFERROR(F998/D998,0)</f>
        <v>5.01666666666667</v>
      </c>
    </row>
    <row r="999" customFormat="false" ht="15" hidden="false" customHeight="false" outlineLevel="0" collapsed="false">
      <c r="A999" s="28" t="n">
        <v>2021</v>
      </c>
      <c r="B999" s="28" t="s">
        <v>85</v>
      </c>
      <c r="C999" s="28" t="s">
        <v>47</v>
      </c>
      <c r="D999" s="28" t="n">
        <v>62</v>
      </c>
      <c r="E999" s="29" t="n">
        <v>30659500</v>
      </c>
      <c r="F999" s="30" t="n">
        <v>329.41</v>
      </c>
      <c r="G999" s="31" t="n">
        <f aca="false">IFERROR(F999/D999,0)</f>
        <v>5.31306451612903</v>
      </c>
    </row>
    <row r="1000" customFormat="false" ht="15" hidden="false" customHeight="false" outlineLevel="0" collapsed="false">
      <c r="A1000" s="28" t="n">
        <v>2021</v>
      </c>
      <c r="B1000" s="28" t="s">
        <v>85</v>
      </c>
      <c r="C1000" s="28" t="s">
        <v>46</v>
      </c>
      <c r="D1000" s="28" t="n">
        <v>59</v>
      </c>
      <c r="E1000" s="29" t="n">
        <v>30270200</v>
      </c>
      <c r="F1000" s="30" t="n">
        <v>335.19</v>
      </c>
      <c r="G1000" s="31" t="n">
        <f aca="false">IFERROR(F1000/D1000,0)</f>
        <v>5.68118644067797</v>
      </c>
    </row>
    <row r="1001" customFormat="false" ht="15" hidden="false" customHeight="false" outlineLevel="0" collapsed="false">
      <c r="A1001" s="28" t="n">
        <v>2021</v>
      </c>
      <c r="B1001" s="28" t="s">
        <v>85</v>
      </c>
      <c r="C1001" s="28" t="s">
        <v>48</v>
      </c>
      <c r="D1001" s="28" t="n">
        <v>49</v>
      </c>
      <c r="E1001" s="29" t="n">
        <v>14006100</v>
      </c>
      <c r="F1001" s="30" t="n">
        <v>291.83</v>
      </c>
      <c r="G1001" s="31" t="n">
        <f aca="false">IFERROR(F1001/D1001,0)</f>
        <v>5.95571428571429</v>
      </c>
    </row>
    <row r="1002" customFormat="false" ht="15" hidden="false" customHeight="false" outlineLevel="0" collapsed="false">
      <c r="A1002" s="28" t="n">
        <v>2021</v>
      </c>
      <c r="B1002" s="28" t="s">
        <v>85</v>
      </c>
      <c r="C1002" s="28" t="s">
        <v>53</v>
      </c>
      <c r="D1002" s="28" t="n">
        <v>12</v>
      </c>
      <c r="E1002" s="29" t="n">
        <v>7437700</v>
      </c>
      <c r="F1002" s="30" t="n">
        <v>65.49</v>
      </c>
      <c r="G1002" s="31" t="n">
        <f aca="false">IFERROR(F1002/D1002,0)</f>
        <v>5.4575</v>
      </c>
    </row>
    <row r="1003" customFormat="false" ht="15" hidden="false" customHeight="false" outlineLevel="0" collapsed="false">
      <c r="A1003" s="28" t="n">
        <v>2021</v>
      </c>
      <c r="B1003" s="28" t="s">
        <v>85</v>
      </c>
      <c r="C1003" s="28" t="s">
        <v>43</v>
      </c>
      <c r="D1003" s="28" t="n">
        <v>82</v>
      </c>
      <c r="E1003" s="29" t="n">
        <v>39544600</v>
      </c>
      <c r="F1003" s="30" t="n">
        <v>458.89</v>
      </c>
      <c r="G1003" s="31" t="n">
        <f aca="false">IFERROR(F1003/D1003,0)</f>
        <v>5.59621951219512</v>
      </c>
    </row>
    <row r="1004" customFormat="false" ht="15" hidden="false" customHeight="false" outlineLevel="0" collapsed="false">
      <c r="A1004" s="28" t="n">
        <v>2021</v>
      </c>
      <c r="B1004" s="28" t="s">
        <v>85</v>
      </c>
      <c r="C1004" s="28" t="s">
        <v>52</v>
      </c>
      <c r="D1004" s="28" t="n">
        <v>13</v>
      </c>
      <c r="E1004" s="29" t="n">
        <v>7720400</v>
      </c>
      <c r="F1004" s="30" t="n">
        <v>87.98</v>
      </c>
      <c r="G1004" s="31" t="n">
        <f aca="false">IFERROR(F1004/D1004,0)</f>
        <v>6.76769230769231</v>
      </c>
    </row>
    <row r="1005" customFormat="false" ht="15" hidden="false" customHeight="false" outlineLevel="0" collapsed="false">
      <c r="A1005" s="28" t="n">
        <v>2021</v>
      </c>
      <c r="B1005" s="28" t="s">
        <v>85</v>
      </c>
      <c r="C1005" s="28" t="s">
        <v>60</v>
      </c>
      <c r="D1005" s="28" t="n">
        <v>1</v>
      </c>
      <c r="E1005" s="29" t="n">
        <v>1000000</v>
      </c>
      <c r="F1005" s="30" t="n">
        <v>5.25</v>
      </c>
      <c r="G1005" s="31" t="n">
        <f aca="false">IFERROR(F1005/D1005,0)</f>
        <v>5.25</v>
      </c>
    </row>
    <row r="1006" customFormat="false" ht="15" hidden="false" customHeight="false" outlineLevel="0" collapsed="false">
      <c r="A1006" s="28" t="n">
        <v>2021</v>
      </c>
      <c r="B1006" s="28" t="s">
        <v>85</v>
      </c>
      <c r="C1006" s="28" t="s">
        <v>49</v>
      </c>
      <c r="D1006" s="28" t="n">
        <v>32</v>
      </c>
      <c r="E1006" s="29" t="n">
        <v>15198700</v>
      </c>
      <c r="F1006" s="30" t="n">
        <v>170.35</v>
      </c>
      <c r="G1006" s="31" t="n">
        <f aca="false">IFERROR(F1006/D1006,0)</f>
        <v>5.3234375</v>
      </c>
    </row>
    <row r="1007" customFormat="false" ht="15" hidden="false" customHeight="false" outlineLevel="0" collapsed="false">
      <c r="A1007" s="28" t="n">
        <v>2021</v>
      </c>
      <c r="B1007" s="28" t="s">
        <v>87</v>
      </c>
      <c r="C1007" s="28" t="s">
        <v>42</v>
      </c>
      <c r="D1007" s="28" t="n">
        <v>7</v>
      </c>
      <c r="E1007" s="29" t="n">
        <v>5304000</v>
      </c>
      <c r="F1007" s="30" t="n">
        <v>41</v>
      </c>
      <c r="G1007" s="31" t="n">
        <f aca="false">IFERROR(F1007/D1007,0)</f>
        <v>5.85714285714286</v>
      </c>
    </row>
    <row r="1008" customFormat="false" ht="15" hidden="false" customHeight="false" outlineLevel="0" collapsed="false">
      <c r="A1008" s="28" t="n">
        <v>2021</v>
      </c>
      <c r="B1008" s="28" t="s">
        <v>87</v>
      </c>
      <c r="C1008" s="28" t="s">
        <v>50</v>
      </c>
      <c r="D1008" s="28" t="n">
        <v>7</v>
      </c>
      <c r="E1008" s="29" t="n">
        <v>1840200</v>
      </c>
      <c r="F1008" s="30" t="n">
        <v>53.13</v>
      </c>
      <c r="G1008" s="31" t="n">
        <f aca="false">IFERROR(F1008/D1008,0)</f>
        <v>7.59</v>
      </c>
    </row>
    <row r="1009" customFormat="false" ht="15" hidden="false" customHeight="false" outlineLevel="0" collapsed="false">
      <c r="A1009" s="28" t="n">
        <v>2021</v>
      </c>
      <c r="B1009" s="28" t="s">
        <v>87</v>
      </c>
      <c r="C1009" s="28" t="s">
        <v>51</v>
      </c>
      <c r="D1009" s="28" t="n">
        <v>4</v>
      </c>
      <c r="E1009" s="29" t="n">
        <v>514600</v>
      </c>
      <c r="F1009" s="30" t="n">
        <v>34.49</v>
      </c>
      <c r="G1009" s="31" t="n">
        <f aca="false">IFERROR(F1009/D1009,0)</f>
        <v>8.6225</v>
      </c>
    </row>
    <row r="1010" customFormat="false" ht="15" hidden="false" customHeight="false" outlineLevel="0" collapsed="false">
      <c r="A1010" s="28" t="n">
        <v>2021</v>
      </c>
      <c r="B1010" s="28" t="s">
        <v>87</v>
      </c>
      <c r="C1010" s="28" t="s">
        <v>45</v>
      </c>
      <c r="D1010" s="28" t="n">
        <v>4</v>
      </c>
      <c r="E1010" s="29" t="n">
        <v>1250000</v>
      </c>
      <c r="F1010" s="30" t="n">
        <v>24.75</v>
      </c>
      <c r="G1010" s="31" t="n">
        <f aca="false">IFERROR(F1010/D1010,0)</f>
        <v>6.1875</v>
      </c>
    </row>
    <row r="1011" customFormat="false" ht="15" hidden="false" customHeight="false" outlineLevel="0" collapsed="false">
      <c r="A1011" s="28" t="n">
        <v>2021</v>
      </c>
      <c r="B1011" s="28" t="s">
        <v>87</v>
      </c>
      <c r="C1011" s="28" t="s">
        <v>56</v>
      </c>
      <c r="D1011" s="28" t="n">
        <v>3</v>
      </c>
      <c r="E1011" s="29" t="n">
        <v>4291800</v>
      </c>
      <c r="F1011" s="30" t="n">
        <v>16.7</v>
      </c>
      <c r="G1011" s="31" t="n">
        <f aca="false">IFERROR(F1011/D1011,0)</f>
        <v>5.56666666666667</v>
      </c>
    </row>
    <row r="1012" customFormat="false" ht="15" hidden="false" customHeight="false" outlineLevel="0" collapsed="false">
      <c r="A1012" s="28" t="n">
        <v>2021</v>
      </c>
      <c r="B1012" s="28" t="s">
        <v>87</v>
      </c>
      <c r="C1012" s="28" t="s">
        <v>44</v>
      </c>
      <c r="D1012" s="28" t="n">
        <v>9</v>
      </c>
      <c r="E1012" s="29" t="n">
        <v>9296900</v>
      </c>
      <c r="F1012" s="30" t="n">
        <v>54.5</v>
      </c>
      <c r="G1012" s="31" t="n">
        <f aca="false">IFERROR(F1012/D1012,0)</f>
        <v>6.05555555555556</v>
      </c>
    </row>
    <row r="1013" customFormat="false" ht="15" hidden="false" customHeight="false" outlineLevel="0" collapsed="false">
      <c r="A1013" s="28" t="n">
        <v>2021</v>
      </c>
      <c r="B1013" s="28" t="s">
        <v>87</v>
      </c>
      <c r="C1013" s="28" t="s">
        <v>57</v>
      </c>
      <c r="D1013" s="28" t="n">
        <v>4</v>
      </c>
      <c r="E1013" s="29" t="n">
        <v>1339200</v>
      </c>
      <c r="F1013" s="30" t="n">
        <v>21.16</v>
      </c>
      <c r="G1013" s="31" t="n">
        <f aca="false">IFERROR(F1013/D1013,0)</f>
        <v>5.29</v>
      </c>
    </row>
    <row r="1014" customFormat="false" ht="15" hidden="false" customHeight="false" outlineLevel="0" collapsed="false">
      <c r="A1014" s="28" t="n">
        <v>2021</v>
      </c>
      <c r="B1014" s="28" t="s">
        <v>87</v>
      </c>
      <c r="C1014" s="28" t="s">
        <v>47</v>
      </c>
      <c r="D1014" s="28" t="n">
        <v>3</v>
      </c>
      <c r="E1014" s="29" t="n">
        <v>600400</v>
      </c>
      <c r="F1014" s="30" t="n">
        <v>20.75</v>
      </c>
      <c r="G1014" s="31" t="n">
        <f aca="false">IFERROR(F1014/D1014,0)</f>
        <v>6.91666666666667</v>
      </c>
    </row>
    <row r="1015" customFormat="false" ht="15" hidden="false" customHeight="false" outlineLevel="0" collapsed="false">
      <c r="A1015" s="28" t="n">
        <v>2021</v>
      </c>
      <c r="B1015" s="28" t="s">
        <v>87</v>
      </c>
      <c r="C1015" s="28" t="s">
        <v>46</v>
      </c>
      <c r="D1015" s="28" t="n">
        <v>2</v>
      </c>
      <c r="E1015" s="29" t="n">
        <v>755000</v>
      </c>
      <c r="F1015" s="30" t="n">
        <v>6</v>
      </c>
      <c r="G1015" s="31" t="n">
        <f aca="false">IFERROR(F1015/D1015,0)</f>
        <v>3</v>
      </c>
    </row>
    <row r="1016" customFormat="false" ht="15" hidden="false" customHeight="false" outlineLevel="0" collapsed="false">
      <c r="A1016" s="28" t="n">
        <v>2021</v>
      </c>
      <c r="B1016" s="28" t="s">
        <v>87</v>
      </c>
      <c r="C1016" s="28" t="s">
        <v>48</v>
      </c>
      <c r="D1016" s="28" t="n">
        <v>13</v>
      </c>
      <c r="E1016" s="29" t="n">
        <v>6979500</v>
      </c>
      <c r="F1016" s="30" t="n">
        <v>81.45</v>
      </c>
      <c r="G1016" s="31" t="n">
        <f aca="false">IFERROR(F1016/D1016,0)</f>
        <v>6.26538461538462</v>
      </c>
    </row>
    <row r="1017" customFormat="false" ht="15" hidden="false" customHeight="false" outlineLevel="0" collapsed="false">
      <c r="A1017" s="28" t="n">
        <v>2021</v>
      </c>
      <c r="B1017" s="28" t="s">
        <v>87</v>
      </c>
      <c r="C1017" s="28" t="s">
        <v>53</v>
      </c>
      <c r="D1017" s="28" t="n">
        <v>2</v>
      </c>
      <c r="E1017" s="29" t="n">
        <v>645500</v>
      </c>
      <c r="F1017" s="30" t="n">
        <v>14.25</v>
      </c>
      <c r="G1017" s="31" t="n">
        <f aca="false">IFERROR(F1017/D1017,0)</f>
        <v>7.125</v>
      </c>
    </row>
    <row r="1018" customFormat="false" ht="15" hidden="false" customHeight="false" outlineLevel="0" collapsed="false">
      <c r="A1018" s="28" t="n">
        <v>2021</v>
      </c>
      <c r="B1018" s="28" t="s">
        <v>87</v>
      </c>
      <c r="C1018" s="28" t="s">
        <v>43</v>
      </c>
      <c r="D1018" s="28" t="n">
        <v>13</v>
      </c>
      <c r="E1018" s="29" t="n">
        <v>5410000</v>
      </c>
      <c r="F1018" s="30" t="n">
        <v>75.3</v>
      </c>
      <c r="G1018" s="31" t="n">
        <f aca="false">IFERROR(F1018/D1018,0)</f>
        <v>5.79230769230769</v>
      </c>
    </row>
    <row r="1019" customFormat="false" ht="15" hidden="false" customHeight="false" outlineLevel="0" collapsed="false">
      <c r="A1019" s="28" t="n">
        <v>2021</v>
      </c>
      <c r="B1019" s="28" t="s">
        <v>87</v>
      </c>
      <c r="C1019" s="28" t="s">
        <v>52</v>
      </c>
      <c r="D1019" s="28" t="n">
        <v>3</v>
      </c>
      <c r="E1019" s="29" t="n">
        <v>1950000</v>
      </c>
      <c r="F1019" s="30" t="n">
        <v>23.3</v>
      </c>
      <c r="G1019" s="31" t="n">
        <f aca="false">IFERROR(F1019/D1019,0)</f>
        <v>7.76666666666667</v>
      </c>
    </row>
    <row r="1020" customFormat="false" ht="15" hidden="false" customHeight="false" outlineLevel="0" collapsed="false">
      <c r="A1020" s="28" t="n">
        <v>2021</v>
      </c>
      <c r="B1020" s="28" t="s">
        <v>87</v>
      </c>
      <c r="C1020" s="28" t="s">
        <v>49</v>
      </c>
      <c r="D1020" s="28" t="n">
        <v>2</v>
      </c>
      <c r="E1020" s="29" t="n">
        <v>200000</v>
      </c>
      <c r="F1020" s="30" t="n">
        <v>12.5</v>
      </c>
      <c r="G1020" s="31" t="n">
        <f aca="false">IFERROR(F1020/D1020,0)</f>
        <v>6.25</v>
      </c>
    </row>
    <row r="1021" customFormat="false" ht="15" hidden="false" customHeight="false" outlineLevel="0" collapsed="false">
      <c r="A1021" s="28" t="n">
        <v>2021</v>
      </c>
      <c r="B1021" s="28" t="s">
        <v>88</v>
      </c>
      <c r="C1021" s="28" t="s">
        <v>42</v>
      </c>
      <c r="D1021" s="28" t="n">
        <v>7</v>
      </c>
      <c r="E1021" s="29" t="n">
        <v>2763500</v>
      </c>
      <c r="F1021" s="30" t="n">
        <v>41.5</v>
      </c>
      <c r="G1021" s="31" t="n">
        <f aca="false">IFERROR(F1021/D1021,0)</f>
        <v>5.92857142857143</v>
      </c>
    </row>
    <row r="1022" customFormat="false" ht="15" hidden="false" customHeight="false" outlineLevel="0" collapsed="false">
      <c r="A1022" s="28" t="n">
        <v>2021</v>
      </c>
      <c r="B1022" s="28" t="s">
        <v>88</v>
      </c>
      <c r="C1022" s="28" t="s">
        <v>50</v>
      </c>
      <c r="D1022" s="28" t="n">
        <v>10</v>
      </c>
      <c r="E1022" s="29" t="n">
        <v>3107000</v>
      </c>
      <c r="F1022" s="30" t="n">
        <v>66.75</v>
      </c>
      <c r="G1022" s="31" t="n">
        <f aca="false">IFERROR(F1022/D1022,0)</f>
        <v>6.675</v>
      </c>
    </row>
    <row r="1023" customFormat="false" ht="15" hidden="false" customHeight="false" outlineLevel="0" collapsed="false">
      <c r="A1023" s="28" t="n">
        <v>2021</v>
      </c>
      <c r="B1023" s="28" t="s">
        <v>88</v>
      </c>
      <c r="C1023" s="28" t="s">
        <v>55</v>
      </c>
      <c r="D1023" s="28" t="n">
        <v>2</v>
      </c>
      <c r="E1023" s="29" t="n">
        <v>79500</v>
      </c>
      <c r="F1023" s="30" t="n">
        <v>15.25</v>
      </c>
      <c r="G1023" s="31" t="n">
        <f aca="false">IFERROR(F1023/D1023,0)</f>
        <v>7.625</v>
      </c>
    </row>
    <row r="1024" customFormat="false" ht="15" hidden="false" customHeight="false" outlineLevel="0" collapsed="false">
      <c r="A1024" s="28" t="n">
        <v>2021</v>
      </c>
      <c r="B1024" s="28" t="s">
        <v>88</v>
      </c>
      <c r="C1024" s="28" t="s">
        <v>51</v>
      </c>
      <c r="D1024" s="28" t="n">
        <v>4</v>
      </c>
      <c r="E1024" s="29" t="n">
        <v>587800</v>
      </c>
      <c r="F1024" s="30" t="n">
        <v>26.3</v>
      </c>
      <c r="G1024" s="31" t="n">
        <f aca="false">IFERROR(F1024/D1024,0)</f>
        <v>6.575</v>
      </c>
    </row>
    <row r="1025" customFormat="false" ht="15" hidden="false" customHeight="false" outlineLevel="0" collapsed="false">
      <c r="A1025" s="28" t="n">
        <v>2021</v>
      </c>
      <c r="B1025" s="28" t="s">
        <v>88</v>
      </c>
      <c r="C1025" s="28" t="s">
        <v>45</v>
      </c>
      <c r="D1025" s="28" t="n">
        <v>20</v>
      </c>
      <c r="E1025" s="29" t="n">
        <v>3925700</v>
      </c>
      <c r="F1025" s="30" t="n">
        <v>127.76</v>
      </c>
      <c r="G1025" s="31" t="n">
        <f aca="false">IFERROR(F1025/D1025,0)</f>
        <v>6.388</v>
      </c>
    </row>
    <row r="1026" customFormat="false" ht="15" hidden="false" customHeight="false" outlineLevel="0" collapsed="false">
      <c r="A1026" s="28" t="n">
        <v>2021</v>
      </c>
      <c r="B1026" s="28" t="s">
        <v>88</v>
      </c>
      <c r="C1026" s="28" t="s">
        <v>56</v>
      </c>
      <c r="D1026" s="28" t="n">
        <v>2</v>
      </c>
      <c r="E1026" s="29" t="n">
        <v>32500</v>
      </c>
      <c r="F1026" s="30" t="n">
        <v>16</v>
      </c>
      <c r="G1026" s="31" t="n">
        <f aca="false">IFERROR(F1026/D1026,0)</f>
        <v>8</v>
      </c>
    </row>
    <row r="1027" customFormat="false" ht="15" hidden="false" customHeight="false" outlineLevel="0" collapsed="false">
      <c r="A1027" s="28" t="n">
        <v>2021</v>
      </c>
      <c r="B1027" s="28" t="s">
        <v>88</v>
      </c>
      <c r="C1027" s="28" t="s">
        <v>54</v>
      </c>
      <c r="D1027" s="28" t="n">
        <v>2</v>
      </c>
      <c r="E1027" s="29" t="n">
        <v>830000</v>
      </c>
      <c r="F1027" s="30" t="n">
        <v>6.75</v>
      </c>
      <c r="G1027" s="31" t="n">
        <f aca="false">IFERROR(F1027/D1027,0)</f>
        <v>3.375</v>
      </c>
    </row>
    <row r="1028" customFormat="false" ht="15" hidden="false" customHeight="false" outlineLevel="0" collapsed="false">
      <c r="A1028" s="28" t="n">
        <v>2021</v>
      </c>
      <c r="B1028" s="28" t="s">
        <v>88</v>
      </c>
      <c r="C1028" s="28" t="s">
        <v>44</v>
      </c>
      <c r="D1028" s="28" t="n">
        <v>5</v>
      </c>
      <c r="E1028" s="29" t="n">
        <v>1235000</v>
      </c>
      <c r="F1028" s="30" t="n">
        <v>27</v>
      </c>
      <c r="G1028" s="31" t="n">
        <f aca="false">IFERROR(F1028/D1028,0)</f>
        <v>5.4</v>
      </c>
    </row>
    <row r="1029" customFormat="false" ht="15" hidden="false" customHeight="false" outlineLevel="0" collapsed="false">
      <c r="A1029" s="28" t="n">
        <v>2021</v>
      </c>
      <c r="B1029" s="28" t="s">
        <v>88</v>
      </c>
      <c r="C1029" s="28" t="s">
        <v>47</v>
      </c>
      <c r="D1029" s="28" t="n">
        <v>9</v>
      </c>
      <c r="E1029" s="29" t="n">
        <v>15756600</v>
      </c>
      <c r="F1029" s="30" t="n">
        <v>40.89</v>
      </c>
      <c r="G1029" s="31" t="n">
        <f aca="false">IFERROR(F1029/D1029,0)</f>
        <v>4.54333333333333</v>
      </c>
    </row>
    <row r="1030" customFormat="false" ht="15" hidden="false" customHeight="false" outlineLevel="0" collapsed="false">
      <c r="A1030" s="28" t="n">
        <v>2021</v>
      </c>
      <c r="B1030" s="28" t="s">
        <v>88</v>
      </c>
      <c r="C1030" s="28" t="s">
        <v>46</v>
      </c>
      <c r="D1030" s="28" t="n">
        <v>4</v>
      </c>
      <c r="E1030" s="29" t="n">
        <v>855000</v>
      </c>
      <c r="F1030" s="30" t="n">
        <v>19.75</v>
      </c>
      <c r="G1030" s="31" t="n">
        <f aca="false">IFERROR(F1030/D1030,0)</f>
        <v>4.9375</v>
      </c>
    </row>
    <row r="1031" customFormat="false" ht="15" hidden="false" customHeight="false" outlineLevel="0" collapsed="false">
      <c r="A1031" s="28" t="n">
        <v>2021</v>
      </c>
      <c r="B1031" s="28" t="s">
        <v>88</v>
      </c>
      <c r="C1031" s="28" t="s">
        <v>48</v>
      </c>
      <c r="D1031" s="28" t="n">
        <v>11</v>
      </c>
      <c r="E1031" s="29" t="n">
        <v>3962000</v>
      </c>
      <c r="F1031" s="30" t="n">
        <v>64.75</v>
      </c>
      <c r="G1031" s="31" t="n">
        <f aca="false">IFERROR(F1031/D1031,0)</f>
        <v>5.88636363636364</v>
      </c>
    </row>
    <row r="1032" customFormat="false" ht="15" hidden="false" customHeight="false" outlineLevel="0" collapsed="false">
      <c r="A1032" s="28" t="n">
        <v>2021</v>
      </c>
      <c r="B1032" s="28" t="s">
        <v>88</v>
      </c>
      <c r="C1032" s="28" t="s">
        <v>53</v>
      </c>
      <c r="D1032" s="28" t="n">
        <v>1</v>
      </c>
      <c r="E1032" s="29" t="n">
        <v>495000</v>
      </c>
      <c r="F1032" s="30" t="n">
        <v>5.5</v>
      </c>
      <c r="G1032" s="31" t="n">
        <f aca="false">IFERROR(F1032/D1032,0)</f>
        <v>5.5</v>
      </c>
    </row>
    <row r="1033" customFormat="false" ht="15" hidden="false" customHeight="false" outlineLevel="0" collapsed="false">
      <c r="A1033" s="28" t="n">
        <v>2021</v>
      </c>
      <c r="B1033" s="28" t="s">
        <v>88</v>
      </c>
      <c r="C1033" s="28" t="s">
        <v>43</v>
      </c>
      <c r="D1033" s="28" t="n">
        <v>25</v>
      </c>
      <c r="E1033" s="29" t="n">
        <v>7891300</v>
      </c>
      <c r="F1033" s="30" t="n">
        <v>163.56</v>
      </c>
      <c r="G1033" s="31" t="n">
        <f aca="false">IFERROR(F1033/D1033,0)</f>
        <v>6.5424</v>
      </c>
    </row>
    <row r="1034" customFormat="false" ht="15" hidden="false" customHeight="false" outlineLevel="0" collapsed="false">
      <c r="A1034" s="28" t="n">
        <v>2021</v>
      </c>
      <c r="B1034" s="28" t="s">
        <v>88</v>
      </c>
      <c r="C1034" s="28" t="s">
        <v>52</v>
      </c>
      <c r="D1034" s="28" t="n">
        <v>5</v>
      </c>
      <c r="E1034" s="29" t="n">
        <v>521900</v>
      </c>
      <c r="F1034" s="30" t="n">
        <v>45.24</v>
      </c>
      <c r="G1034" s="31" t="n">
        <f aca="false">IFERROR(F1034/D1034,0)</f>
        <v>9.048</v>
      </c>
    </row>
    <row r="1035" customFormat="false" ht="15" hidden="false" customHeight="false" outlineLevel="0" collapsed="false">
      <c r="A1035" s="28" t="n">
        <v>2021</v>
      </c>
      <c r="B1035" s="28" t="s">
        <v>88</v>
      </c>
      <c r="C1035" s="28" t="s">
        <v>49</v>
      </c>
      <c r="D1035" s="28" t="n">
        <v>4</v>
      </c>
      <c r="E1035" s="29" t="n">
        <v>5975500</v>
      </c>
      <c r="F1035" s="30" t="n">
        <v>19.75</v>
      </c>
      <c r="G1035" s="31" t="n">
        <f aca="false">IFERROR(F1035/D1035,0)</f>
        <v>4.9375</v>
      </c>
    </row>
    <row r="1036" customFormat="false" ht="15" hidden="false" customHeight="false" outlineLevel="0" collapsed="false">
      <c r="A1036" s="28" t="n">
        <v>2021</v>
      </c>
      <c r="B1036" s="28" t="s">
        <v>79</v>
      </c>
      <c r="C1036" s="28" t="s">
        <v>42</v>
      </c>
      <c r="D1036" s="28" t="n">
        <v>323</v>
      </c>
      <c r="E1036" s="29" t="n">
        <v>385732500</v>
      </c>
      <c r="F1036" s="30" t="n">
        <v>1816.105</v>
      </c>
      <c r="G1036" s="31" t="n">
        <f aca="false">IFERROR(F1036/D1036,0)</f>
        <v>5.62261609907121</v>
      </c>
    </row>
    <row r="1037" customFormat="false" ht="15" hidden="false" customHeight="false" outlineLevel="0" collapsed="false">
      <c r="A1037" s="28" t="n">
        <v>2021</v>
      </c>
      <c r="B1037" s="28" t="s">
        <v>79</v>
      </c>
      <c r="C1037" s="28" t="s">
        <v>50</v>
      </c>
      <c r="D1037" s="28" t="n">
        <v>192</v>
      </c>
      <c r="E1037" s="29" t="n">
        <v>103686700</v>
      </c>
      <c r="F1037" s="30" t="n">
        <v>1172.42</v>
      </c>
      <c r="G1037" s="31" t="n">
        <f aca="false">IFERROR(F1037/D1037,0)</f>
        <v>6.10635416666667</v>
      </c>
    </row>
    <row r="1038" customFormat="false" ht="15" hidden="false" customHeight="false" outlineLevel="0" collapsed="false">
      <c r="A1038" s="28" t="n">
        <v>2021</v>
      </c>
      <c r="B1038" s="28" t="s">
        <v>79</v>
      </c>
      <c r="C1038" s="28" t="s">
        <v>55</v>
      </c>
      <c r="D1038" s="28" t="n">
        <v>11</v>
      </c>
      <c r="E1038" s="29" t="n">
        <v>8232700</v>
      </c>
      <c r="F1038" s="30" t="n">
        <v>71</v>
      </c>
      <c r="G1038" s="31" t="n">
        <f aca="false">IFERROR(F1038/D1038,0)</f>
        <v>6.45454545454545</v>
      </c>
    </row>
    <row r="1039" customFormat="false" ht="15" hidden="false" customHeight="false" outlineLevel="0" collapsed="false">
      <c r="A1039" s="28" t="n">
        <v>2021</v>
      </c>
      <c r="B1039" s="28" t="s">
        <v>79</v>
      </c>
      <c r="C1039" s="28" t="s">
        <v>51</v>
      </c>
      <c r="D1039" s="28" t="n">
        <v>76</v>
      </c>
      <c r="E1039" s="29" t="n">
        <v>65798100</v>
      </c>
      <c r="F1039" s="30" t="n">
        <v>443.27</v>
      </c>
      <c r="G1039" s="31" t="n">
        <f aca="false">IFERROR(F1039/D1039,0)</f>
        <v>5.8325</v>
      </c>
    </row>
    <row r="1040" customFormat="false" ht="15" hidden="false" customHeight="false" outlineLevel="0" collapsed="false">
      <c r="A1040" s="28" t="n">
        <v>2021</v>
      </c>
      <c r="B1040" s="28" t="s">
        <v>79</v>
      </c>
      <c r="C1040" s="28" t="s">
        <v>45</v>
      </c>
      <c r="D1040" s="28" t="n">
        <v>294</v>
      </c>
      <c r="E1040" s="29" t="n">
        <v>179525300</v>
      </c>
      <c r="F1040" s="30" t="n">
        <v>1768.145</v>
      </c>
      <c r="G1040" s="31" t="n">
        <f aca="false">IFERROR(F1040/D1040,0)</f>
        <v>6.01409863945578</v>
      </c>
    </row>
    <row r="1041" customFormat="false" ht="15" hidden="false" customHeight="false" outlineLevel="0" collapsed="false">
      <c r="A1041" s="28" t="n">
        <v>2021</v>
      </c>
      <c r="B1041" s="28" t="s">
        <v>79</v>
      </c>
      <c r="C1041" s="28" t="s">
        <v>56</v>
      </c>
      <c r="D1041" s="28" t="n">
        <v>27</v>
      </c>
      <c r="E1041" s="29" t="n">
        <v>21942400</v>
      </c>
      <c r="F1041" s="30" t="n">
        <v>162.895</v>
      </c>
      <c r="G1041" s="31" t="n">
        <f aca="false">IFERROR(F1041/D1041,0)</f>
        <v>6.03314814814815</v>
      </c>
    </row>
    <row r="1042" customFormat="false" ht="15" hidden="false" customHeight="false" outlineLevel="0" collapsed="false">
      <c r="A1042" s="28" t="n">
        <v>2021</v>
      </c>
      <c r="B1042" s="28" t="s">
        <v>79</v>
      </c>
      <c r="C1042" s="28" t="s">
        <v>54</v>
      </c>
      <c r="D1042" s="28" t="n">
        <v>84</v>
      </c>
      <c r="E1042" s="29" t="n">
        <v>74401600</v>
      </c>
      <c r="F1042" s="30" t="n">
        <v>466.57</v>
      </c>
      <c r="G1042" s="31" t="n">
        <f aca="false">IFERROR(F1042/D1042,0)</f>
        <v>5.55440476190476</v>
      </c>
    </row>
    <row r="1043" customFormat="false" ht="15" hidden="false" customHeight="false" outlineLevel="0" collapsed="false">
      <c r="A1043" s="28" t="n">
        <v>2021</v>
      </c>
      <c r="B1043" s="28" t="s">
        <v>79</v>
      </c>
      <c r="C1043" s="28" t="s">
        <v>44</v>
      </c>
      <c r="D1043" s="28" t="n">
        <v>375</v>
      </c>
      <c r="E1043" s="29" t="n">
        <v>329122900</v>
      </c>
      <c r="F1043" s="30" t="n">
        <v>2054.33</v>
      </c>
      <c r="G1043" s="31" t="n">
        <f aca="false">IFERROR(F1043/D1043,0)</f>
        <v>5.47821333333333</v>
      </c>
    </row>
    <row r="1044" customFormat="false" ht="15" hidden="false" customHeight="false" outlineLevel="0" collapsed="false">
      <c r="A1044" s="28" t="n">
        <v>2021</v>
      </c>
      <c r="B1044" s="28" t="s">
        <v>79</v>
      </c>
      <c r="C1044" s="28" t="s">
        <v>57</v>
      </c>
      <c r="D1044" s="28" t="n">
        <v>32</v>
      </c>
      <c r="E1044" s="29" t="n">
        <v>24410100</v>
      </c>
      <c r="F1044" s="30" t="n">
        <v>201.01</v>
      </c>
      <c r="G1044" s="31" t="n">
        <f aca="false">IFERROR(F1044/D1044,0)</f>
        <v>6.2815625</v>
      </c>
    </row>
    <row r="1045" customFormat="false" ht="15" hidden="false" customHeight="false" outlineLevel="0" collapsed="false">
      <c r="A1045" s="28" t="n">
        <v>2021</v>
      </c>
      <c r="B1045" s="28" t="s">
        <v>79</v>
      </c>
      <c r="C1045" s="28" t="s">
        <v>59</v>
      </c>
      <c r="D1045" s="28" t="n">
        <v>3</v>
      </c>
      <c r="E1045" s="29" t="n">
        <v>2780400</v>
      </c>
      <c r="F1045" s="30" t="n">
        <v>17.5</v>
      </c>
      <c r="G1045" s="31" t="n">
        <f aca="false">IFERROR(F1045/D1045,0)</f>
        <v>5.83333333333333</v>
      </c>
    </row>
    <row r="1046" customFormat="false" ht="15" hidden="false" customHeight="false" outlineLevel="0" collapsed="false">
      <c r="A1046" s="28" t="n">
        <v>2021</v>
      </c>
      <c r="B1046" s="28" t="s">
        <v>79</v>
      </c>
      <c r="C1046" s="28" t="s">
        <v>47</v>
      </c>
      <c r="D1046" s="28" t="n">
        <v>151</v>
      </c>
      <c r="E1046" s="29" t="n">
        <v>160160000</v>
      </c>
      <c r="F1046" s="30" t="n">
        <v>839.345</v>
      </c>
      <c r="G1046" s="31" t="n">
        <f aca="false">IFERROR(F1046/D1046,0)</f>
        <v>5.5585761589404</v>
      </c>
    </row>
    <row r="1047" customFormat="false" ht="15" hidden="false" customHeight="false" outlineLevel="0" collapsed="false">
      <c r="A1047" s="28" t="n">
        <v>2021</v>
      </c>
      <c r="B1047" s="28" t="s">
        <v>79</v>
      </c>
      <c r="C1047" s="28" t="s">
        <v>58</v>
      </c>
      <c r="D1047" s="28" t="n">
        <v>1</v>
      </c>
      <c r="E1047" s="29" t="n">
        <v>1220000</v>
      </c>
      <c r="F1047" s="30" t="n">
        <v>5.25</v>
      </c>
      <c r="G1047" s="31" t="n">
        <f aca="false">IFERROR(F1047/D1047,0)</f>
        <v>5.25</v>
      </c>
    </row>
    <row r="1048" customFormat="false" ht="15" hidden="false" customHeight="false" outlineLevel="0" collapsed="false">
      <c r="A1048" s="28" t="n">
        <v>2021</v>
      </c>
      <c r="B1048" s="28" t="s">
        <v>79</v>
      </c>
      <c r="C1048" s="28" t="s">
        <v>46</v>
      </c>
      <c r="D1048" s="28" t="n">
        <v>225</v>
      </c>
      <c r="E1048" s="29" t="n">
        <v>141578500</v>
      </c>
      <c r="F1048" s="30" t="n">
        <v>1356.205</v>
      </c>
      <c r="G1048" s="31" t="n">
        <f aca="false">IFERROR(F1048/D1048,0)</f>
        <v>6.02757777777778</v>
      </c>
    </row>
    <row r="1049" customFormat="false" ht="15" hidden="false" customHeight="false" outlineLevel="0" collapsed="false">
      <c r="A1049" s="28" t="n">
        <v>2021</v>
      </c>
      <c r="B1049" s="28" t="s">
        <v>79</v>
      </c>
      <c r="C1049" s="28" t="s">
        <v>48</v>
      </c>
      <c r="D1049" s="28" t="n">
        <v>271</v>
      </c>
      <c r="E1049" s="29" t="n">
        <v>173919600</v>
      </c>
      <c r="F1049" s="30" t="n">
        <v>1532.61</v>
      </c>
      <c r="G1049" s="31" t="n">
        <f aca="false">IFERROR(F1049/D1049,0)</f>
        <v>5.65538745387454</v>
      </c>
    </row>
    <row r="1050" customFormat="false" ht="15" hidden="false" customHeight="false" outlineLevel="0" collapsed="false">
      <c r="A1050" s="28" t="n">
        <v>2021</v>
      </c>
      <c r="B1050" s="28" t="s">
        <v>79</v>
      </c>
      <c r="C1050" s="28" t="s">
        <v>53</v>
      </c>
      <c r="D1050" s="28" t="n">
        <v>80</v>
      </c>
      <c r="E1050" s="29" t="n">
        <v>66295800</v>
      </c>
      <c r="F1050" s="30" t="n">
        <v>459.96</v>
      </c>
      <c r="G1050" s="31" t="n">
        <f aca="false">IFERROR(F1050/D1050,0)</f>
        <v>5.7495</v>
      </c>
    </row>
    <row r="1051" customFormat="false" ht="15" hidden="false" customHeight="false" outlineLevel="0" collapsed="false">
      <c r="A1051" s="28" t="n">
        <v>2021</v>
      </c>
      <c r="B1051" s="28" t="s">
        <v>79</v>
      </c>
      <c r="C1051" s="28" t="s">
        <v>43</v>
      </c>
      <c r="D1051" s="28" t="n">
        <v>350</v>
      </c>
      <c r="E1051" s="29" t="n">
        <v>285482600</v>
      </c>
      <c r="F1051" s="30" t="n">
        <v>2091.73</v>
      </c>
      <c r="G1051" s="31" t="n">
        <f aca="false">IFERROR(F1051/D1051,0)</f>
        <v>5.97637142857143</v>
      </c>
    </row>
    <row r="1052" customFormat="false" ht="15" hidden="false" customHeight="false" outlineLevel="0" collapsed="false">
      <c r="A1052" s="28" t="n">
        <v>2021</v>
      </c>
      <c r="B1052" s="28" t="s">
        <v>79</v>
      </c>
      <c r="C1052" s="28" t="s">
        <v>52</v>
      </c>
      <c r="D1052" s="28" t="n">
        <v>122</v>
      </c>
      <c r="E1052" s="29" t="n">
        <v>74062200</v>
      </c>
      <c r="F1052" s="30" t="n">
        <v>836.94</v>
      </c>
      <c r="G1052" s="31" t="n">
        <f aca="false">IFERROR(F1052/D1052,0)</f>
        <v>6.86016393442623</v>
      </c>
    </row>
    <row r="1053" customFormat="false" ht="15" hidden="false" customHeight="false" outlineLevel="0" collapsed="false">
      <c r="A1053" s="28" t="n">
        <v>2021</v>
      </c>
      <c r="B1053" s="28" t="s">
        <v>79</v>
      </c>
      <c r="C1053" s="28" t="s">
        <v>60</v>
      </c>
      <c r="D1053" s="28" t="n">
        <v>6</v>
      </c>
      <c r="E1053" s="29" t="n">
        <v>2259800</v>
      </c>
      <c r="F1053" s="30" t="n">
        <v>40.5</v>
      </c>
      <c r="G1053" s="31" t="n">
        <f aca="false">IFERROR(F1053/D1053,0)</f>
        <v>6.75</v>
      </c>
    </row>
    <row r="1054" customFormat="false" ht="15" hidden="false" customHeight="false" outlineLevel="0" collapsed="false">
      <c r="A1054" s="28" t="n">
        <v>2021</v>
      </c>
      <c r="B1054" s="28" t="s">
        <v>79</v>
      </c>
      <c r="C1054" s="28" t="s">
        <v>49</v>
      </c>
      <c r="D1054" s="28" t="n">
        <v>157</v>
      </c>
      <c r="E1054" s="29" t="n">
        <v>162169900</v>
      </c>
      <c r="F1054" s="30" t="n">
        <v>898.86</v>
      </c>
      <c r="G1054" s="31" t="n">
        <f aca="false">IFERROR(F1054/D1054,0)</f>
        <v>5.72522292993631</v>
      </c>
    </row>
    <row r="1055" customFormat="false" ht="15" hidden="false" customHeight="false" outlineLevel="0" collapsed="false">
      <c r="A1055" s="28" t="n">
        <v>2021</v>
      </c>
      <c r="B1055" s="28" t="s">
        <v>81</v>
      </c>
      <c r="C1055" s="28" t="s">
        <v>42</v>
      </c>
      <c r="D1055" s="28" t="n">
        <v>251</v>
      </c>
      <c r="E1055" s="29" t="n">
        <v>331144600</v>
      </c>
      <c r="F1055" s="30" t="n">
        <v>1305.475</v>
      </c>
      <c r="G1055" s="31" t="n">
        <f aca="false">IFERROR(F1055/D1055,0)</f>
        <v>5.20109561752988</v>
      </c>
    </row>
    <row r="1056" customFormat="false" ht="15" hidden="false" customHeight="false" outlineLevel="0" collapsed="false">
      <c r="A1056" s="28" t="n">
        <v>2021</v>
      </c>
      <c r="B1056" s="28" t="s">
        <v>81</v>
      </c>
      <c r="C1056" s="28" t="s">
        <v>50</v>
      </c>
      <c r="D1056" s="28" t="n">
        <v>90</v>
      </c>
      <c r="E1056" s="29" t="n">
        <v>40125100</v>
      </c>
      <c r="F1056" s="30" t="n">
        <v>526.53</v>
      </c>
      <c r="G1056" s="31" t="n">
        <f aca="false">IFERROR(F1056/D1056,0)</f>
        <v>5.85033333333333</v>
      </c>
    </row>
    <row r="1057" customFormat="false" ht="15" hidden="false" customHeight="false" outlineLevel="0" collapsed="false">
      <c r="A1057" s="28" t="n">
        <v>2021</v>
      </c>
      <c r="B1057" s="28" t="s">
        <v>81</v>
      </c>
      <c r="C1057" s="28" t="s">
        <v>55</v>
      </c>
      <c r="D1057" s="28" t="n">
        <v>59</v>
      </c>
      <c r="E1057" s="29" t="n">
        <v>85085900</v>
      </c>
      <c r="F1057" s="30" t="n">
        <v>298.5</v>
      </c>
      <c r="G1057" s="31" t="n">
        <f aca="false">IFERROR(F1057/D1057,0)</f>
        <v>5.05932203389831</v>
      </c>
    </row>
    <row r="1058" customFormat="false" ht="15" hidden="false" customHeight="false" outlineLevel="0" collapsed="false">
      <c r="A1058" s="28" t="n">
        <v>2021</v>
      </c>
      <c r="B1058" s="28" t="s">
        <v>81</v>
      </c>
      <c r="C1058" s="28" t="s">
        <v>51</v>
      </c>
      <c r="D1058" s="28" t="n">
        <v>40</v>
      </c>
      <c r="E1058" s="29" t="n">
        <v>37125200</v>
      </c>
      <c r="F1058" s="30" t="n">
        <v>233</v>
      </c>
      <c r="G1058" s="31" t="n">
        <f aca="false">IFERROR(F1058/D1058,0)</f>
        <v>5.825</v>
      </c>
    </row>
    <row r="1059" customFormat="false" ht="15" hidden="false" customHeight="false" outlineLevel="0" collapsed="false">
      <c r="A1059" s="28" t="n">
        <v>2021</v>
      </c>
      <c r="B1059" s="28" t="s">
        <v>81</v>
      </c>
      <c r="C1059" s="28" t="s">
        <v>45</v>
      </c>
      <c r="D1059" s="28" t="n">
        <v>91</v>
      </c>
      <c r="E1059" s="29" t="n">
        <v>67976100</v>
      </c>
      <c r="F1059" s="30" t="n">
        <v>512.81</v>
      </c>
      <c r="G1059" s="31" t="n">
        <f aca="false">IFERROR(F1059/D1059,0)</f>
        <v>5.63527472527473</v>
      </c>
    </row>
    <row r="1060" customFormat="false" ht="15" hidden="false" customHeight="false" outlineLevel="0" collapsed="false">
      <c r="A1060" s="28" t="n">
        <v>2021</v>
      </c>
      <c r="B1060" s="28" t="s">
        <v>81</v>
      </c>
      <c r="C1060" s="28" t="s">
        <v>56</v>
      </c>
      <c r="D1060" s="28" t="n">
        <v>19</v>
      </c>
      <c r="E1060" s="29" t="n">
        <v>10781800</v>
      </c>
      <c r="F1060" s="30" t="n">
        <v>105.85</v>
      </c>
      <c r="G1060" s="31" t="n">
        <f aca="false">IFERROR(F1060/D1060,0)</f>
        <v>5.57105263157895</v>
      </c>
    </row>
    <row r="1061" customFormat="false" ht="15" hidden="false" customHeight="false" outlineLevel="0" collapsed="false">
      <c r="A1061" s="28" t="n">
        <v>2021</v>
      </c>
      <c r="B1061" s="28" t="s">
        <v>81</v>
      </c>
      <c r="C1061" s="28" t="s">
        <v>54</v>
      </c>
      <c r="D1061" s="28" t="n">
        <v>34</v>
      </c>
      <c r="E1061" s="29" t="n">
        <v>18766800</v>
      </c>
      <c r="F1061" s="30" t="n">
        <v>191.79</v>
      </c>
      <c r="G1061" s="31" t="n">
        <f aca="false">IFERROR(F1061/D1061,0)</f>
        <v>5.64088235294118</v>
      </c>
    </row>
    <row r="1062" customFormat="false" ht="15" hidden="false" customHeight="false" outlineLevel="0" collapsed="false">
      <c r="A1062" s="28" t="n">
        <v>2021</v>
      </c>
      <c r="B1062" s="28" t="s">
        <v>81</v>
      </c>
      <c r="C1062" s="28" t="s">
        <v>44</v>
      </c>
      <c r="D1062" s="28" t="n">
        <v>133</v>
      </c>
      <c r="E1062" s="29" t="n">
        <v>112744200</v>
      </c>
      <c r="F1062" s="30" t="n">
        <v>715.105</v>
      </c>
      <c r="G1062" s="31" t="n">
        <f aca="false">IFERROR(F1062/D1062,0)</f>
        <v>5.37672932330827</v>
      </c>
    </row>
    <row r="1063" customFormat="false" ht="15" hidden="false" customHeight="false" outlineLevel="0" collapsed="false">
      <c r="A1063" s="28" t="n">
        <v>2021</v>
      </c>
      <c r="B1063" s="28" t="s">
        <v>81</v>
      </c>
      <c r="C1063" s="28" t="s">
        <v>57</v>
      </c>
      <c r="D1063" s="28" t="n">
        <v>5</v>
      </c>
      <c r="E1063" s="29" t="n">
        <v>5667000</v>
      </c>
      <c r="F1063" s="30" t="n">
        <v>30.55</v>
      </c>
      <c r="G1063" s="31" t="n">
        <f aca="false">IFERROR(F1063/D1063,0)</f>
        <v>6.11</v>
      </c>
    </row>
    <row r="1064" customFormat="false" ht="15" hidden="false" customHeight="false" outlineLevel="0" collapsed="false">
      <c r="A1064" s="28" t="n">
        <v>2021</v>
      </c>
      <c r="B1064" s="28" t="s">
        <v>81</v>
      </c>
      <c r="C1064" s="28" t="s">
        <v>59</v>
      </c>
      <c r="D1064" s="28" t="n">
        <v>1</v>
      </c>
      <c r="E1064" s="29" t="n">
        <v>506500</v>
      </c>
      <c r="F1064" s="30" t="n">
        <v>5.25</v>
      </c>
      <c r="G1064" s="31" t="n">
        <f aca="false">IFERROR(F1064/D1064,0)</f>
        <v>5.25</v>
      </c>
    </row>
    <row r="1065" customFormat="false" ht="15" hidden="false" customHeight="false" outlineLevel="0" collapsed="false">
      <c r="A1065" s="28" t="n">
        <v>2021</v>
      </c>
      <c r="B1065" s="28" t="s">
        <v>81</v>
      </c>
      <c r="C1065" s="28" t="s">
        <v>47</v>
      </c>
      <c r="D1065" s="28" t="n">
        <v>90</v>
      </c>
      <c r="E1065" s="29" t="n">
        <v>117209100</v>
      </c>
      <c r="F1065" s="30" t="n">
        <v>493.095</v>
      </c>
      <c r="G1065" s="31" t="n">
        <f aca="false">IFERROR(F1065/D1065,0)</f>
        <v>5.47883333333333</v>
      </c>
    </row>
    <row r="1066" customFormat="false" ht="15" hidden="false" customHeight="false" outlineLevel="0" collapsed="false">
      <c r="A1066" s="28" t="n">
        <v>2021</v>
      </c>
      <c r="B1066" s="28" t="s">
        <v>81</v>
      </c>
      <c r="C1066" s="28" t="s">
        <v>58</v>
      </c>
      <c r="D1066" s="28" t="n">
        <v>2</v>
      </c>
      <c r="E1066" s="29" t="n">
        <v>2530000</v>
      </c>
      <c r="F1066" s="30" t="n">
        <v>11.975</v>
      </c>
      <c r="G1066" s="31" t="n">
        <f aca="false">IFERROR(F1066/D1066,0)</f>
        <v>5.9875</v>
      </c>
    </row>
    <row r="1067" customFormat="false" ht="15" hidden="false" customHeight="false" outlineLevel="0" collapsed="false">
      <c r="A1067" s="28" t="n">
        <v>2021</v>
      </c>
      <c r="B1067" s="28" t="s">
        <v>81</v>
      </c>
      <c r="C1067" s="28" t="s">
        <v>46</v>
      </c>
      <c r="D1067" s="28" t="n">
        <v>132</v>
      </c>
      <c r="E1067" s="29" t="n">
        <v>133952700</v>
      </c>
      <c r="F1067" s="30" t="n">
        <v>721.425</v>
      </c>
      <c r="G1067" s="31" t="n">
        <f aca="false">IFERROR(F1067/D1067,0)</f>
        <v>5.46534090909091</v>
      </c>
    </row>
    <row r="1068" customFormat="false" ht="15" hidden="false" customHeight="false" outlineLevel="0" collapsed="false">
      <c r="A1068" s="28" t="n">
        <v>2021</v>
      </c>
      <c r="B1068" s="28" t="s">
        <v>81</v>
      </c>
      <c r="C1068" s="28" t="s">
        <v>48</v>
      </c>
      <c r="D1068" s="28" t="n">
        <v>114</v>
      </c>
      <c r="E1068" s="29" t="n">
        <v>69674900</v>
      </c>
      <c r="F1068" s="30" t="n">
        <v>650.085</v>
      </c>
      <c r="G1068" s="31" t="n">
        <f aca="false">IFERROR(F1068/D1068,0)</f>
        <v>5.7025</v>
      </c>
    </row>
    <row r="1069" customFormat="false" ht="15" hidden="false" customHeight="false" outlineLevel="0" collapsed="false">
      <c r="A1069" s="28" t="n">
        <v>2021</v>
      </c>
      <c r="B1069" s="28" t="s">
        <v>81</v>
      </c>
      <c r="C1069" s="28" t="s">
        <v>61</v>
      </c>
      <c r="D1069" s="28" t="n">
        <v>1</v>
      </c>
      <c r="E1069" s="29" t="n">
        <v>693500</v>
      </c>
      <c r="F1069" s="30" t="n">
        <v>4.75</v>
      </c>
      <c r="G1069" s="31" t="n">
        <f aca="false">IFERROR(F1069/D1069,0)</f>
        <v>4.75</v>
      </c>
    </row>
    <row r="1070" customFormat="false" ht="15" hidden="false" customHeight="false" outlineLevel="0" collapsed="false">
      <c r="A1070" s="28" t="n">
        <v>2021</v>
      </c>
      <c r="B1070" s="28" t="s">
        <v>81</v>
      </c>
      <c r="C1070" s="28" t="s">
        <v>53</v>
      </c>
      <c r="D1070" s="28" t="n">
        <v>43</v>
      </c>
      <c r="E1070" s="29" t="n">
        <v>45014300</v>
      </c>
      <c r="F1070" s="30" t="n">
        <v>217.41</v>
      </c>
      <c r="G1070" s="31" t="n">
        <f aca="false">IFERROR(F1070/D1070,0)</f>
        <v>5.05604651162791</v>
      </c>
    </row>
    <row r="1071" customFormat="false" ht="15" hidden="false" customHeight="false" outlineLevel="0" collapsed="false">
      <c r="A1071" s="28" t="n">
        <v>2021</v>
      </c>
      <c r="B1071" s="28" t="s">
        <v>81</v>
      </c>
      <c r="C1071" s="28" t="s">
        <v>43</v>
      </c>
      <c r="D1071" s="28" t="n">
        <v>306</v>
      </c>
      <c r="E1071" s="29" t="n">
        <v>383193200</v>
      </c>
      <c r="F1071" s="30" t="n">
        <v>1605.035</v>
      </c>
      <c r="G1071" s="31" t="n">
        <f aca="false">IFERROR(F1071/D1071,0)</f>
        <v>5.24521241830065</v>
      </c>
    </row>
    <row r="1072" customFormat="false" ht="15" hidden="false" customHeight="false" outlineLevel="0" collapsed="false">
      <c r="A1072" s="28" t="n">
        <v>2021</v>
      </c>
      <c r="B1072" s="28" t="s">
        <v>81</v>
      </c>
      <c r="C1072" s="28" t="s">
        <v>52</v>
      </c>
      <c r="D1072" s="28" t="n">
        <v>47</v>
      </c>
      <c r="E1072" s="29" t="n">
        <v>17004200</v>
      </c>
      <c r="F1072" s="30" t="n">
        <v>328.95</v>
      </c>
      <c r="G1072" s="31" t="n">
        <f aca="false">IFERROR(F1072/D1072,0)</f>
        <v>6.99893617021277</v>
      </c>
    </row>
    <row r="1073" customFormat="false" ht="15" hidden="false" customHeight="false" outlineLevel="0" collapsed="false">
      <c r="A1073" s="28" t="n">
        <v>2021</v>
      </c>
      <c r="B1073" s="28" t="s">
        <v>81</v>
      </c>
      <c r="C1073" s="28" t="s">
        <v>60</v>
      </c>
      <c r="D1073" s="28" t="n">
        <v>3</v>
      </c>
      <c r="E1073" s="29" t="n">
        <v>3210000</v>
      </c>
      <c r="F1073" s="30" t="n">
        <v>15.225</v>
      </c>
      <c r="G1073" s="31" t="n">
        <f aca="false">IFERROR(F1073/D1073,0)</f>
        <v>5.075</v>
      </c>
    </row>
    <row r="1074" customFormat="false" ht="15" hidden="false" customHeight="false" outlineLevel="0" collapsed="false">
      <c r="A1074" s="28" t="n">
        <v>2021</v>
      </c>
      <c r="B1074" s="28" t="s">
        <v>81</v>
      </c>
      <c r="C1074" s="28" t="s">
        <v>49</v>
      </c>
      <c r="D1074" s="28" t="n">
        <v>49</v>
      </c>
      <c r="E1074" s="29" t="n">
        <v>67353600</v>
      </c>
      <c r="F1074" s="30" t="n">
        <v>256.47</v>
      </c>
      <c r="G1074" s="31" t="n">
        <f aca="false">IFERROR(F1074/D1074,0)</f>
        <v>5.23408163265306</v>
      </c>
    </row>
    <row r="1075" customFormat="false" ht="15" hidden="false" customHeight="false" outlineLevel="0" collapsed="false">
      <c r="A1075" s="28" t="n">
        <v>2021</v>
      </c>
      <c r="B1075" s="28" t="s">
        <v>92</v>
      </c>
      <c r="C1075" s="28" t="s">
        <v>44</v>
      </c>
      <c r="D1075" s="28" t="n">
        <v>1</v>
      </c>
      <c r="E1075" s="29" t="n">
        <v>621000</v>
      </c>
      <c r="F1075" s="30" t="n">
        <v>5</v>
      </c>
      <c r="G1075" s="31" t="n">
        <f aca="false">IFERROR(F1075/D1075,0)</f>
        <v>5</v>
      </c>
    </row>
    <row r="1076" customFormat="false" ht="15" hidden="false" customHeight="false" outlineLevel="0" collapsed="false">
      <c r="A1076" s="28" t="n">
        <v>2021</v>
      </c>
      <c r="B1076" s="28" t="s">
        <v>92</v>
      </c>
      <c r="C1076" s="28" t="s">
        <v>43</v>
      </c>
      <c r="D1076" s="28" t="n">
        <v>1</v>
      </c>
      <c r="E1076" s="29" t="n">
        <v>50000</v>
      </c>
      <c r="F1076" s="30" t="n">
        <v>6.5</v>
      </c>
      <c r="G1076" s="31" t="n">
        <f aca="false">IFERROR(F1076/D1076,0)</f>
        <v>6.5</v>
      </c>
    </row>
    <row r="1077" customFormat="false" ht="15" hidden="false" customHeight="false" outlineLevel="0" collapsed="false">
      <c r="A1077" s="28" t="n">
        <v>2021</v>
      </c>
      <c r="B1077" s="28" t="s">
        <v>94</v>
      </c>
      <c r="C1077" s="28" t="s">
        <v>42</v>
      </c>
      <c r="D1077" s="28" t="n">
        <v>17</v>
      </c>
      <c r="E1077" s="29" t="n">
        <v>1217000</v>
      </c>
      <c r="F1077" s="30" t="n">
        <v>100</v>
      </c>
      <c r="G1077" s="31" t="n">
        <f aca="false">IFERROR(F1077/D1077,0)</f>
        <v>5.88235294117647</v>
      </c>
    </row>
    <row r="1078" customFormat="false" ht="15" hidden="false" customHeight="false" outlineLevel="0" collapsed="false">
      <c r="A1078" s="28" t="n">
        <v>2021</v>
      </c>
      <c r="B1078" s="28" t="s">
        <v>94</v>
      </c>
      <c r="C1078" s="28" t="s">
        <v>50</v>
      </c>
      <c r="D1078" s="28" t="n">
        <v>5</v>
      </c>
      <c r="E1078" s="29" t="n">
        <v>2016100</v>
      </c>
      <c r="F1078" s="30" t="n">
        <v>22.75</v>
      </c>
      <c r="G1078" s="31" t="n">
        <f aca="false">IFERROR(F1078/D1078,0)</f>
        <v>4.55</v>
      </c>
    </row>
    <row r="1079" customFormat="false" ht="15" hidden="false" customHeight="false" outlineLevel="0" collapsed="false">
      <c r="A1079" s="28" t="n">
        <v>2021</v>
      </c>
      <c r="B1079" s="28" t="s">
        <v>94</v>
      </c>
      <c r="C1079" s="28" t="s">
        <v>55</v>
      </c>
      <c r="D1079" s="28" t="n">
        <v>1</v>
      </c>
      <c r="E1079" s="29" t="n">
        <v>30000</v>
      </c>
      <c r="F1079" s="30" t="n">
        <v>6.25</v>
      </c>
      <c r="G1079" s="31" t="n">
        <f aca="false">IFERROR(F1079/D1079,0)</f>
        <v>6.25</v>
      </c>
    </row>
    <row r="1080" customFormat="false" ht="15" hidden="false" customHeight="false" outlineLevel="0" collapsed="false">
      <c r="A1080" s="28" t="n">
        <v>2021</v>
      </c>
      <c r="B1080" s="28" t="s">
        <v>94</v>
      </c>
      <c r="C1080" s="28" t="s">
        <v>51</v>
      </c>
      <c r="D1080" s="28" t="n">
        <v>5</v>
      </c>
      <c r="E1080" s="29" t="n">
        <v>709000</v>
      </c>
      <c r="F1080" s="30" t="n">
        <v>32.25</v>
      </c>
      <c r="G1080" s="31" t="n">
        <f aca="false">IFERROR(F1080/D1080,0)</f>
        <v>6.45</v>
      </c>
    </row>
    <row r="1081" customFormat="false" ht="15" hidden="false" customHeight="false" outlineLevel="0" collapsed="false">
      <c r="A1081" s="28" t="n">
        <v>2021</v>
      </c>
      <c r="B1081" s="28" t="s">
        <v>94</v>
      </c>
      <c r="C1081" s="28" t="s">
        <v>45</v>
      </c>
      <c r="D1081" s="28" t="n">
        <v>27</v>
      </c>
      <c r="E1081" s="29" t="n">
        <v>2656600</v>
      </c>
      <c r="F1081" s="30" t="n">
        <v>172.25</v>
      </c>
      <c r="G1081" s="31" t="n">
        <f aca="false">IFERROR(F1081/D1081,0)</f>
        <v>6.37962962962963</v>
      </c>
    </row>
    <row r="1082" customFormat="false" ht="15" hidden="false" customHeight="false" outlineLevel="0" collapsed="false">
      <c r="A1082" s="28" t="n">
        <v>2021</v>
      </c>
      <c r="B1082" s="28" t="s">
        <v>94</v>
      </c>
      <c r="C1082" s="28" t="s">
        <v>54</v>
      </c>
      <c r="D1082" s="28" t="n">
        <v>3</v>
      </c>
      <c r="E1082" s="29" t="n">
        <v>1386400</v>
      </c>
      <c r="F1082" s="30" t="n">
        <v>17.5</v>
      </c>
      <c r="G1082" s="31" t="n">
        <f aca="false">IFERROR(F1082/D1082,0)</f>
        <v>5.83333333333333</v>
      </c>
    </row>
    <row r="1083" customFormat="false" ht="15" hidden="false" customHeight="false" outlineLevel="0" collapsed="false">
      <c r="A1083" s="28" t="n">
        <v>2021</v>
      </c>
      <c r="B1083" s="28" t="s">
        <v>94</v>
      </c>
      <c r="C1083" s="28" t="s">
        <v>44</v>
      </c>
      <c r="D1083" s="28" t="n">
        <v>10</v>
      </c>
      <c r="E1083" s="29" t="n">
        <v>5611500</v>
      </c>
      <c r="F1083" s="30" t="n">
        <v>55</v>
      </c>
      <c r="G1083" s="31" t="n">
        <f aca="false">IFERROR(F1083/D1083,0)</f>
        <v>5.5</v>
      </c>
    </row>
    <row r="1084" customFormat="false" ht="15" hidden="false" customHeight="false" outlineLevel="0" collapsed="false">
      <c r="A1084" s="28" t="n">
        <v>2021</v>
      </c>
      <c r="B1084" s="28" t="s">
        <v>94</v>
      </c>
      <c r="C1084" s="28" t="s">
        <v>47</v>
      </c>
      <c r="D1084" s="28" t="n">
        <v>9</v>
      </c>
      <c r="E1084" s="29" t="n">
        <v>2469600</v>
      </c>
      <c r="F1084" s="30" t="n">
        <v>53</v>
      </c>
      <c r="G1084" s="31" t="n">
        <f aca="false">IFERROR(F1084/D1084,0)</f>
        <v>5.88888888888889</v>
      </c>
    </row>
    <row r="1085" customFormat="false" ht="15" hidden="false" customHeight="false" outlineLevel="0" collapsed="false">
      <c r="A1085" s="28" t="n">
        <v>2021</v>
      </c>
      <c r="B1085" s="28" t="s">
        <v>94</v>
      </c>
      <c r="C1085" s="28" t="s">
        <v>46</v>
      </c>
      <c r="D1085" s="28" t="n">
        <v>2</v>
      </c>
      <c r="E1085" s="29" t="n">
        <v>55000</v>
      </c>
      <c r="F1085" s="30" t="n">
        <v>12</v>
      </c>
      <c r="G1085" s="31" t="n">
        <f aca="false">IFERROR(F1085/D1085,0)</f>
        <v>6</v>
      </c>
    </row>
    <row r="1086" customFormat="false" ht="15" hidden="false" customHeight="false" outlineLevel="0" collapsed="false">
      <c r="A1086" s="28" t="n">
        <v>2021</v>
      </c>
      <c r="B1086" s="28" t="s">
        <v>94</v>
      </c>
      <c r="C1086" s="28" t="s">
        <v>48</v>
      </c>
      <c r="D1086" s="28" t="n">
        <v>6</v>
      </c>
      <c r="E1086" s="29" t="n">
        <v>2528000</v>
      </c>
      <c r="F1086" s="30" t="n">
        <v>34.25</v>
      </c>
      <c r="G1086" s="31" t="n">
        <f aca="false">IFERROR(F1086/D1086,0)</f>
        <v>5.70833333333333</v>
      </c>
    </row>
    <row r="1087" customFormat="false" ht="15" hidden="false" customHeight="false" outlineLevel="0" collapsed="false">
      <c r="A1087" s="28" t="n">
        <v>2021</v>
      </c>
      <c r="B1087" s="28" t="s">
        <v>94</v>
      </c>
      <c r="C1087" s="28" t="s">
        <v>53</v>
      </c>
      <c r="D1087" s="28" t="n">
        <v>6</v>
      </c>
      <c r="E1087" s="29" t="n">
        <v>265100</v>
      </c>
      <c r="F1087" s="30" t="n">
        <v>37.5</v>
      </c>
      <c r="G1087" s="31" t="n">
        <f aca="false">IFERROR(F1087/D1087,0)</f>
        <v>6.25</v>
      </c>
    </row>
    <row r="1088" customFormat="false" ht="15" hidden="false" customHeight="false" outlineLevel="0" collapsed="false">
      <c r="A1088" s="28" t="n">
        <v>2021</v>
      </c>
      <c r="B1088" s="28" t="s">
        <v>94</v>
      </c>
      <c r="C1088" s="28" t="s">
        <v>43</v>
      </c>
      <c r="D1088" s="28" t="n">
        <v>6</v>
      </c>
      <c r="E1088" s="29" t="n">
        <v>5985000</v>
      </c>
      <c r="F1088" s="30" t="n">
        <v>22.15</v>
      </c>
      <c r="G1088" s="31" t="n">
        <f aca="false">IFERROR(F1088/D1088,0)</f>
        <v>3.69166666666667</v>
      </c>
    </row>
    <row r="1089" customFormat="false" ht="15" hidden="false" customHeight="false" outlineLevel="0" collapsed="false">
      <c r="A1089" s="28" t="n">
        <v>2021</v>
      </c>
      <c r="B1089" s="28" t="s">
        <v>94</v>
      </c>
      <c r="C1089" s="28" t="s">
        <v>52</v>
      </c>
      <c r="D1089" s="28" t="n">
        <v>3</v>
      </c>
      <c r="E1089" s="29" t="n">
        <v>110000</v>
      </c>
      <c r="F1089" s="30" t="n">
        <v>21</v>
      </c>
      <c r="G1089" s="31" t="n">
        <f aca="false">IFERROR(F1089/D1089,0)</f>
        <v>7</v>
      </c>
    </row>
    <row r="1090" customFormat="false" ht="15" hidden="false" customHeight="false" outlineLevel="0" collapsed="false">
      <c r="A1090" s="28" t="n">
        <v>2021</v>
      </c>
      <c r="B1090" s="28" t="s">
        <v>94</v>
      </c>
      <c r="C1090" s="28" t="s">
        <v>49</v>
      </c>
      <c r="D1090" s="28" t="n">
        <v>1</v>
      </c>
      <c r="E1090" s="29" t="n">
        <v>16000</v>
      </c>
      <c r="F1090" s="30" t="n">
        <v>5.75</v>
      </c>
      <c r="G1090" s="31" t="n">
        <f aca="false">IFERROR(F1090/D1090,0)</f>
        <v>5.75</v>
      </c>
    </row>
    <row r="1091" customFormat="false" ht="15" hidden="false" customHeight="false" outlineLevel="0" collapsed="false">
      <c r="A1091" s="28" t="n">
        <v>2021</v>
      </c>
      <c r="B1091" s="28" t="s">
        <v>96</v>
      </c>
      <c r="C1091" s="28" t="s">
        <v>42</v>
      </c>
      <c r="D1091" s="28" t="n">
        <v>61</v>
      </c>
      <c r="E1091" s="29" t="n">
        <v>31039400</v>
      </c>
      <c r="F1091" s="30" t="n">
        <v>320.53</v>
      </c>
      <c r="G1091" s="31" t="n">
        <f aca="false">IFERROR(F1091/D1091,0)</f>
        <v>5.25459016393443</v>
      </c>
    </row>
    <row r="1092" customFormat="false" ht="15" hidden="false" customHeight="false" outlineLevel="0" collapsed="false">
      <c r="A1092" s="28" t="n">
        <v>2021</v>
      </c>
      <c r="B1092" s="28" t="s">
        <v>96</v>
      </c>
      <c r="C1092" s="28" t="s">
        <v>50</v>
      </c>
      <c r="D1092" s="28" t="n">
        <v>19</v>
      </c>
      <c r="E1092" s="29" t="n">
        <v>7092600</v>
      </c>
      <c r="F1092" s="30" t="n">
        <v>102.848</v>
      </c>
      <c r="G1092" s="31" t="n">
        <f aca="false">IFERROR(F1092/D1092,0)</f>
        <v>5.41305263157895</v>
      </c>
    </row>
    <row r="1093" customFormat="false" ht="15" hidden="false" customHeight="false" outlineLevel="0" collapsed="false">
      <c r="A1093" s="28" t="n">
        <v>2021</v>
      </c>
      <c r="B1093" s="28" t="s">
        <v>96</v>
      </c>
      <c r="C1093" s="28" t="s">
        <v>55</v>
      </c>
      <c r="D1093" s="28" t="n">
        <v>3</v>
      </c>
      <c r="E1093" s="29" t="n">
        <v>825000</v>
      </c>
      <c r="F1093" s="30" t="n">
        <v>13.75</v>
      </c>
      <c r="G1093" s="31" t="n">
        <f aca="false">IFERROR(F1093/D1093,0)</f>
        <v>4.58333333333333</v>
      </c>
    </row>
    <row r="1094" customFormat="false" ht="15" hidden="false" customHeight="false" outlineLevel="0" collapsed="false">
      <c r="A1094" s="28" t="n">
        <v>2021</v>
      </c>
      <c r="B1094" s="28" t="s">
        <v>96</v>
      </c>
      <c r="C1094" s="28" t="s">
        <v>51</v>
      </c>
      <c r="D1094" s="28" t="n">
        <v>14</v>
      </c>
      <c r="E1094" s="29" t="n">
        <v>10184000</v>
      </c>
      <c r="F1094" s="30" t="n">
        <v>74.34</v>
      </c>
      <c r="G1094" s="31" t="n">
        <f aca="false">IFERROR(F1094/D1094,0)</f>
        <v>5.31</v>
      </c>
    </row>
    <row r="1095" customFormat="false" ht="15" hidden="false" customHeight="false" outlineLevel="0" collapsed="false">
      <c r="A1095" s="28" t="n">
        <v>2021</v>
      </c>
      <c r="B1095" s="28" t="s">
        <v>96</v>
      </c>
      <c r="C1095" s="28" t="s">
        <v>45</v>
      </c>
      <c r="D1095" s="28" t="n">
        <v>36</v>
      </c>
      <c r="E1095" s="29" t="n">
        <v>9189000</v>
      </c>
      <c r="F1095" s="30" t="n">
        <v>197.762</v>
      </c>
      <c r="G1095" s="31" t="n">
        <f aca="false">IFERROR(F1095/D1095,0)</f>
        <v>5.49338888888889</v>
      </c>
    </row>
    <row r="1096" customFormat="false" ht="15" hidden="false" customHeight="false" outlineLevel="0" collapsed="false">
      <c r="A1096" s="28" t="n">
        <v>2021</v>
      </c>
      <c r="B1096" s="28" t="s">
        <v>96</v>
      </c>
      <c r="C1096" s="28" t="s">
        <v>56</v>
      </c>
      <c r="D1096" s="28" t="n">
        <v>2</v>
      </c>
      <c r="E1096" s="29" t="n">
        <v>17500</v>
      </c>
      <c r="F1096" s="30" t="n">
        <v>17</v>
      </c>
      <c r="G1096" s="31" t="n">
        <f aca="false">IFERROR(F1096/D1096,0)</f>
        <v>8.5</v>
      </c>
    </row>
    <row r="1097" customFormat="false" ht="15" hidden="false" customHeight="false" outlineLevel="0" collapsed="false">
      <c r="A1097" s="28" t="n">
        <v>2021</v>
      </c>
      <c r="B1097" s="28" t="s">
        <v>96</v>
      </c>
      <c r="C1097" s="28" t="s">
        <v>54</v>
      </c>
      <c r="D1097" s="28" t="n">
        <v>5</v>
      </c>
      <c r="E1097" s="29" t="n">
        <v>2382900</v>
      </c>
      <c r="F1097" s="30" t="n">
        <v>20.915</v>
      </c>
      <c r="G1097" s="31" t="n">
        <f aca="false">IFERROR(F1097/D1097,0)</f>
        <v>4.183</v>
      </c>
    </row>
    <row r="1098" customFormat="false" ht="15" hidden="false" customHeight="false" outlineLevel="0" collapsed="false">
      <c r="A1098" s="28" t="n">
        <v>2021</v>
      </c>
      <c r="B1098" s="28" t="s">
        <v>96</v>
      </c>
      <c r="C1098" s="28" t="s">
        <v>44</v>
      </c>
      <c r="D1098" s="28" t="n">
        <v>26</v>
      </c>
      <c r="E1098" s="29" t="n">
        <v>10715400</v>
      </c>
      <c r="F1098" s="30" t="n">
        <v>143.08</v>
      </c>
      <c r="G1098" s="31" t="n">
        <f aca="false">IFERROR(F1098/D1098,0)</f>
        <v>5.50307692307692</v>
      </c>
    </row>
    <row r="1099" customFormat="false" ht="15" hidden="false" customHeight="false" outlineLevel="0" collapsed="false">
      <c r="A1099" s="28" t="n">
        <v>2021</v>
      </c>
      <c r="B1099" s="28" t="s">
        <v>96</v>
      </c>
      <c r="C1099" s="28" t="s">
        <v>57</v>
      </c>
      <c r="D1099" s="28" t="n">
        <v>4</v>
      </c>
      <c r="E1099" s="29" t="n">
        <v>917400</v>
      </c>
      <c r="F1099" s="30" t="n">
        <v>19.5</v>
      </c>
      <c r="G1099" s="31" t="n">
        <f aca="false">IFERROR(F1099/D1099,0)</f>
        <v>4.875</v>
      </c>
    </row>
    <row r="1100" customFormat="false" ht="15" hidden="false" customHeight="false" outlineLevel="0" collapsed="false">
      <c r="A1100" s="28" t="n">
        <v>2021</v>
      </c>
      <c r="B1100" s="28" t="s">
        <v>96</v>
      </c>
      <c r="C1100" s="28" t="s">
        <v>47</v>
      </c>
      <c r="D1100" s="28" t="n">
        <v>34</v>
      </c>
      <c r="E1100" s="29" t="n">
        <v>33665200</v>
      </c>
      <c r="F1100" s="30" t="n">
        <v>175.99</v>
      </c>
      <c r="G1100" s="31" t="n">
        <f aca="false">IFERROR(F1100/D1100,0)</f>
        <v>5.17617647058824</v>
      </c>
    </row>
    <row r="1101" customFormat="false" ht="15" hidden="false" customHeight="false" outlineLevel="0" collapsed="false">
      <c r="A1101" s="28" t="n">
        <v>2021</v>
      </c>
      <c r="B1101" s="28" t="s">
        <v>96</v>
      </c>
      <c r="C1101" s="28" t="s">
        <v>46</v>
      </c>
      <c r="D1101" s="28" t="n">
        <v>28</v>
      </c>
      <c r="E1101" s="29" t="n">
        <v>10063100</v>
      </c>
      <c r="F1101" s="30" t="n">
        <v>139.835</v>
      </c>
      <c r="G1101" s="31" t="n">
        <f aca="false">IFERROR(F1101/D1101,0)</f>
        <v>4.99410714285714</v>
      </c>
    </row>
    <row r="1102" customFormat="false" ht="15" hidden="false" customHeight="false" outlineLevel="0" collapsed="false">
      <c r="A1102" s="28" t="n">
        <v>2021</v>
      </c>
      <c r="B1102" s="28" t="s">
        <v>96</v>
      </c>
      <c r="C1102" s="28" t="s">
        <v>48</v>
      </c>
      <c r="D1102" s="28" t="n">
        <v>18</v>
      </c>
      <c r="E1102" s="29" t="n">
        <v>5563500</v>
      </c>
      <c r="F1102" s="30" t="n">
        <v>94.21</v>
      </c>
      <c r="G1102" s="31" t="n">
        <f aca="false">IFERROR(F1102/D1102,0)</f>
        <v>5.23388888888889</v>
      </c>
    </row>
    <row r="1103" customFormat="false" ht="15" hidden="false" customHeight="false" outlineLevel="0" collapsed="false">
      <c r="A1103" s="28" t="n">
        <v>2021</v>
      </c>
      <c r="B1103" s="28" t="s">
        <v>96</v>
      </c>
      <c r="C1103" s="28" t="s">
        <v>61</v>
      </c>
      <c r="D1103" s="28" t="n">
        <v>2</v>
      </c>
      <c r="E1103" s="29" t="n">
        <v>250000</v>
      </c>
      <c r="F1103" s="30" t="n">
        <v>8.5</v>
      </c>
      <c r="G1103" s="31" t="n">
        <f aca="false">IFERROR(F1103/D1103,0)</f>
        <v>4.25</v>
      </c>
    </row>
    <row r="1104" customFormat="false" ht="15" hidden="false" customHeight="false" outlineLevel="0" collapsed="false">
      <c r="A1104" s="28" t="n">
        <v>2021</v>
      </c>
      <c r="B1104" s="28" t="s">
        <v>96</v>
      </c>
      <c r="C1104" s="28" t="s">
        <v>53</v>
      </c>
      <c r="D1104" s="28" t="n">
        <v>12</v>
      </c>
      <c r="E1104" s="29" t="n">
        <v>12775300</v>
      </c>
      <c r="F1104" s="30" t="n">
        <v>60.8</v>
      </c>
      <c r="G1104" s="31" t="n">
        <f aca="false">IFERROR(F1104/D1104,0)</f>
        <v>5.06666666666667</v>
      </c>
    </row>
    <row r="1105" customFormat="false" ht="15" hidden="false" customHeight="false" outlineLevel="0" collapsed="false">
      <c r="A1105" s="28" t="n">
        <v>2021</v>
      </c>
      <c r="B1105" s="28" t="s">
        <v>96</v>
      </c>
      <c r="C1105" s="28" t="s">
        <v>43</v>
      </c>
      <c r="D1105" s="28" t="n">
        <v>56</v>
      </c>
      <c r="E1105" s="29" t="n">
        <v>22809200</v>
      </c>
      <c r="F1105" s="30" t="n">
        <v>271.945</v>
      </c>
      <c r="G1105" s="31" t="n">
        <f aca="false">IFERROR(F1105/D1105,0)</f>
        <v>4.85616071428571</v>
      </c>
    </row>
    <row r="1106" customFormat="false" ht="15" hidden="false" customHeight="false" outlineLevel="0" collapsed="false">
      <c r="A1106" s="28" t="n">
        <v>2021</v>
      </c>
      <c r="B1106" s="28" t="s">
        <v>96</v>
      </c>
      <c r="C1106" s="28" t="s">
        <v>52</v>
      </c>
      <c r="D1106" s="28" t="n">
        <v>21</v>
      </c>
      <c r="E1106" s="29" t="n">
        <v>11153000</v>
      </c>
      <c r="F1106" s="30" t="n">
        <v>113.6</v>
      </c>
      <c r="G1106" s="31" t="n">
        <f aca="false">IFERROR(F1106/D1106,0)</f>
        <v>5.40952380952381</v>
      </c>
    </row>
    <row r="1107" customFormat="false" ht="15" hidden="false" customHeight="false" outlineLevel="0" collapsed="false">
      <c r="A1107" s="28" t="n">
        <v>2021</v>
      </c>
      <c r="B1107" s="28" t="s">
        <v>96</v>
      </c>
      <c r="C1107" s="28" t="s">
        <v>60</v>
      </c>
      <c r="D1107" s="28" t="n">
        <v>1</v>
      </c>
      <c r="E1107" s="29" t="n">
        <v>950000</v>
      </c>
      <c r="F1107" s="30" t="n">
        <v>6</v>
      </c>
      <c r="G1107" s="31" t="n">
        <f aca="false">IFERROR(F1107/D1107,0)</f>
        <v>6</v>
      </c>
    </row>
    <row r="1108" customFormat="false" ht="15" hidden="false" customHeight="false" outlineLevel="0" collapsed="false">
      <c r="A1108" s="28" t="n">
        <v>2021</v>
      </c>
      <c r="B1108" s="28" t="s">
        <v>96</v>
      </c>
      <c r="C1108" s="28" t="s">
        <v>49</v>
      </c>
      <c r="D1108" s="28" t="n">
        <v>7</v>
      </c>
      <c r="E1108" s="29" t="n">
        <v>4399300</v>
      </c>
      <c r="F1108" s="30" t="n">
        <v>44.4</v>
      </c>
      <c r="G1108" s="31" t="n">
        <f aca="false">IFERROR(F1108/D1108,0)</f>
        <v>6.34285714285714</v>
      </c>
    </row>
    <row r="1109" customFormat="false" ht="15" hidden="false" customHeight="false" outlineLevel="0" collapsed="false">
      <c r="A1109" s="28" t="n">
        <v>2021</v>
      </c>
      <c r="B1109" s="28" t="s">
        <v>97</v>
      </c>
      <c r="C1109" s="28" t="s">
        <v>42</v>
      </c>
      <c r="D1109" s="28" t="n">
        <v>33</v>
      </c>
      <c r="E1109" s="29" t="n">
        <v>33244700</v>
      </c>
      <c r="F1109" s="30" t="n">
        <v>178.74</v>
      </c>
      <c r="G1109" s="31" t="n">
        <f aca="false">IFERROR(F1109/D1109,0)</f>
        <v>5.41636363636364</v>
      </c>
    </row>
    <row r="1110" customFormat="false" ht="15" hidden="false" customHeight="false" outlineLevel="0" collapsed="false">
      <c r="A1110" s="28" t="n">
        <v>2021</v>
      </c>
      <c r="B1110" s="28" t="s">
        <v>97</v>
      </c>
      <c r="C1110" s="28" t="s">
        <v>50</v>
      </c>
      <c r="D1110" s="28" t="n">
        <v>22</v>
      </c>
      <c r="E1110" s="29" t="n">
        <v>6983200</v>
      </c>
      <c r="F1110" s="30" t="n">
        <v>122.82</v>
      </c>
      <c r="G1110" s="31" t="n">
        <f aca="false">IFERROR(F1110/D1110,0)</f>
        <v>5.58272727272727</v>
      </c>
    </row>
    <row r="1111" customFormat="false" ht="15" hidden="false" customHeight="false" outlineLevel="0" collapsed="false">
      <c r="A1111" s="28" t="n">
        <v>2021</v>
      </c>
      <c r="B1111" s="28" t="s">
        <v>97</v>
      </c>
      <c r="C1111" s="28" t="s">
        <v>55</v>
      </c>
      <c r="D1111" s="28" t="n">
        <v>13</v>
      </c>
      <c r="E1111" s="29" t="n">
        <v>2570400</v>
      </c>
      <c r="F1111" s="30" t="n">
        <v>75.25</v>
      </c>
      <c r="G1111" s="31" t="n">
        <f aca="false">IFERROR(F1111/D1111,0)</f>
        <v>5.78846153846154</v>
      </c>
    </row>
    <row r="1112" customFormat="false" ht="15" hidden="false" customHeight="false" outlineLevel="0" collapsed="false">
      <c r="A1112" s="28" t="n">
        <v>2021</v>
      </c>
      <c r="B1112" s="28" t="s">
        <v>97</v>
      </c>
      <c r="C1112" s="28" t="s">
        <v>51</v>
      </c>
      <c r="D1112" s="28" t="n">
        <v>13</v>
      </c>
      <c r="E1112" s="29" t="n">
        <v>9249900</v>
      </c>
      <c r="F1112" s="30" t="n">
        <v>72.73</v>
      </c>
      <c r="G1112" s="31" t="n">
        <f aca="false">IFERROR(F1112/D1112,0)</f>
        <v>5.59461538461539</v>
      </c>
    </row>
    <row r="1113" customFormat="false" ht="15" hidden="false" customHeight="false" outlineLevel="0" collapsed="false">
      <c r="A1113" s="28" t="n">
        <v>2021</v>
      </c>
      <c r="B1113" s="28" t="s">
        <v>97</v>
      </c>
      <c r="C1113" s="28" t="s">
        <v>45</v>
      </c>
      <c r="D1113" s="28" t="n">
        <v>63</v>
      </c>
      <c r="E1113" s="29" t="n">
        <v>33798300</v>
      </c>
      <c r="F1113" s="30" t="n">
        <v>349.36</v>
      </c>
      <c r="G1113" s="31" t="n">
        <f aca="false">IFERROR(F1113/D1113,0)</f>
        <v>5.54539682539683</v>
      </c>
    </row>
    <row r="1114" customFormat="false" ht="15" hidden="false" customHeight="false" outlineLevel="0" collapsed="false">
      <c r="A1114" s="28" t="n">
        <v>2021</v>
      </c>
      <c r="B1114" s="28" t="s">
        <v>97</v>
      </c>
      <c r="C1114" s="28" t="s">
        <v>56</v>
      </c>
      <c r="D1114" s="28" t="n">
        <v>8</v>
      </c>
      <c r="E1114" s="29" t="n">
        <v>5744400</v>
      </c>
      <c r="F1114" s="30" t="n">
        <v>46.86</v>
      </c>
      <c r="G1114" s="31" t="n">
        <f aca="false">IFERROR(F1114/D1114,0)</f>
        <v>5.8575</v>
      </c>
    </row>
    <row r="1115" customFormat="false" ht="15" hidden="false" customHeight="false" outlineLevel="0" collapsed="false">
      <c r="A1115" s="28" t="n">
        <v>2021</v>
      </c>
      <c r="B1115" s="28" t="s">
        <v>97</v>
      </c>
      <c r="C1115" s="28" t="s">
        <v>54</v>
      </c>
      <c r="D1115" s="28" t="n">
        <v>5</v>
      </c>
      <c r="E1115" s="29" t="n">
        <v>5448000</v>
      </c>
      <c r="F1115" s="30" t="n">
        <v>28.7</v>
      </c>
      <c r="G1115" s="31" t="n">
        <f aca="false">IFERROR(F1115/D1115,0)</f>
        <v>5.74</v>
      </c>
    </row>
    <row r="1116" customFormat="false" ht="15" hidden="false" customHeight="false" outlineLevel="0" collapsed="false">
      <c r="A1116" s="28" t="n">
        <v>2021</v>
      </c>
      <c r="B1116" s="28" t="s">
        <v>97</v>
      </c>
      <c r="C1116" s="28" t="s">
        <v>44</v>
      </c>
      <c r="D1116" s="28" t="n">
        <v>39</v>
      </c>
      <c r="E1116" s="29" t="n">
        <v>27251500</v>
      </c>
      <c r="F1116" s="30" t="n">
        <v>197.38</v>
      </c>
      <c r="G1116" s="31" t="n">
        <f aca="false">IFERROR(F1116/D1116,0)</f>
        <v>5.06102564102564</v>
      </c>
    </row>
    <row r="1117" customFormat="false" ht="15" hidden="false" customHeight="false" outlineLevel="0" collapsed="false">
      <c r="A1117" s="28" t="n">
        <v>2021</v>
      </c>
      <c r="B1117" s="28" t="s">
        <v>97</v>
      </c>
      <c r="C1117" s="28" t="s">
        <v>57</v>
      </c>
      <c r="D1117" s="28" t="n">
        <v>2</v>
      </c>
      <c r="E1117" s="29" t="n">
        <v>125000</v>
      </c>
      <c r="F1117" s="30" t="n">
        <v>10.25</v>
      </c>
      <c r="G1117" s="31" t="n">
        <f aca="false">IFERROR(F1117/D1117,0)</f>
        <v>5.125</v>
      </c>
    </row>
    <row r="1118" customFormat="false" ht="15" hidden="false" customHeight="false" outlineLevel="0" collapsed="false">
      <c r="A1118" s="28" t="n">
        <v>2021</v>
      </c>
      <c r="B1118" s="28" t="s">
        <v>97</v>
      </c>
      <c r="C1118" s="28" t="s">
        <v>47</v>
      </c>
      <c r="D1118" s="28" t="n">
        <v>36</v>
      </c>
      <c r="E1118" s="29" t="n">
        <v>33636700</v>
      </c>
      <c r="F1118" s="30" t="n">
        <v>182.5</v>
      </c>
      <c r="G1118" s="31" t="n">
        <f aca="false">IFERROR(F1118/D1118,0)</f>
        <v>5.06944444444445</v>
      </c>
    </row>
    <row r="1119" customFormat="false" ht="15" hidden="false" customHeight="false" outlineLevel="0" collapsed="false">
      <c r="A1119" s="28" t="n">
        <v>2021</v>
      </c>
      <c r="B1119" s="28" t="s">
        <v>97</v>
      </c>
      <c r="C1119" s="28" t="s">
        <v>58</v>
      </c>
      <c r="D1119" s="28" t="n">
        <v>1</v>
      </c>
      <c r="E1119" s="29" t="n">
        <v>267200</v>
      </c>
      <c r="F1119" s="30" t="n">
        <v>4.25</v>
      </c>
      <c r="G1119" s="31" t="n">
        <f aca="false">IFERROR(F1119/D1119,0)</f>
        <v>4.25</v>
      </c>
    </row>
    <row r="1120" customFormat="false" ht="15" hidden="false" customHeight="false" outlineLevel="0" collapsed="false">
      <c r="A1120" s="28" t="n">
        <v>2021</v>
      </c>
      <c r="B1120" s="28" t="s">
        <v>97</v>
      </c>
      <c r="C1120" s="28" t="s">
        <v>46</v>
      </c>
      <c r="D1120" s="28" t="n">
        <v>35</v>
      </c>
      <c r="E1120" s="29" t="n">
        <v>19098000</v>
      </c>
      <c r="F1120" s="30" t="n">
        <v>190.52</v>
      </c>
      <c r="G1120" s="31" t="n">
        <f aca="false">IFERROR(F1120/D1120,0)</f>
        <v>5.44342857142857</v>
      </c>
    </row>
    <row r="1121" customFormat="false" ht="15" hidden="false" customHeight="false" outlineLevel="0" collapsed="false">
      <c r="A1121" s="28" t="n">
        <v>2021</v>
      </c>
      <c r="B1121" s="28" t="s">
        <v>97</v>
      </c>
      <c r="C1121" s="28" t="s">
        <v>48</v>
      </c>
      <c r="D1121" s="28" t="n">
        <v>22</v>
      </c>
      <c r="E1121" s="29" t="n">
        <v>6105400</v>
      </c>
      <c r="F1121" s="30" t="n">
        <v>118.81</v>
      </c>
      <c r="G1121" s="31" t="n">
        <f aca="false">IFERROR(F1121/D1121,0)</f>
        <v>5.40045454545455</v>
      </c>
    </row>
    <row r="1122" customFormat="false" ht="15" hidden="false" customHeight="false" outlineLevel="0" collapsed="false">
      <c r="A1122" s="28" t="n">
        <v>2021</v>
      </c>
      <c r="B1122" s="28" t="s">
        <v>97</v>
      </c>
      <c r="C1122" s="28" t="s">
        <v>53</v>
      </c>
      <c r="D1122" s="28" t="n">
        <v>19</v>
      </c>
      <c r="E1122" s="29" t="n">
        <v>28293100</v>
      </c>
      <c r="F1122" s="30" t="n">
        <v>91.45</v>
      </c>
      <c r="G1122" s="31" t="n">
        <f aca="false">IFERROR(F1122/D1122,0)</f>
        <v>4.81315789473684</v>
      </c>
    </row>
    <row r="1123" customFormat="false" ht="15" hidden="false" customHeight="false" outlineLevel="0" collapsed="false">
      <c r="A1123" s="28" t="n">
        <v>2021</v>
      </c>
      <c r="B1123" s="28" t="s">
        <v>97</v>
      </c>
      <c r="C1123" s="28" t="s">
        <v>43</v>
      </c>
      <c r="D1123" s="28" t="n">
        <v>47</v>
      </c>
      <c r="E1123" s="29" t="n">
        <v>27359300</v>
      </c>
      <c r="F1123" s="30" t="n">
        <v>246.98</v>
      </c>
      <c r="G1123" s="31" t="n">
        <f aca="false">IFERROR(F1123/D1123,0)</f>
        <v>5.25489361702128</v>
      </c>
    </row>
    <row r="1124" customFormat="false" ht="15" hidden="false" customHeight="false" outlineLevel="0" collapsed="false">
      <c r="A1124" s="28" t="n">
        <v>2021</v>
      </c>
      <c r="B1124" s="28" t="s">
        <v>97</v>
      </c>
      <c r="C1124" s="28" t="s">
        <v>52</v>
      </c>
      <c r="D1124" s="28" t="n">
        <v>14</v>
      </c>
      <c r="E1124" s="29" t="n">
        <v>4692300</v>
      </c>
      <c r="F1124" s="30" t="n">
        <v>82.86</v>
      </c>
      <c r="G1124" s="31" t="n">
        <f aca="false">IFERROR(F1124/D1124,0)</f>
        <v>5.91857142857143</v>
      </c>
    </row>
    <row r="1125" customFormat="false" ht="15" hidden="false" customHeight="false" outlineLevel="0" collapsed="false">
      <c r="A1125" s="28" t="n">
        <v>2021</v>
      </c>
      <c r="B1125" s="28" t="s">
        <v>97</v>
      </c>
      <c r="C1125" s="28" t="s">
        <v>60</v>
      </c>
      <c r="D1125" s="28" t="n">
        <v>1</v>
      </c>
      <c r="E1125" s="29" t="n">
        <v>1649400</v>
      </c>
      <c r="F1125" s="30" t="n">
        <v>6</v>
      </c>
      <c r="G1125" s="31" t="n">
        <f aca="false">IFERROR(F1125/D1125,0)</f>
        <v>6</v>
      </c>
    </row>
    <row r="1126" customFormat="false" ht="15" hidden="false" customHeight="false" outlineLevel="0" collapsed="false">
      <c r="A1126" s="28" t="n">
        <v>2021</v>
      </c>
      <c r="B1126" s="28" t="s">
        <v>97</v>
      </c>
      <c r="C1126" s="28" t="s">
        <v>49</v>
      </c>
      <c r="D1126" s="28" t="n">
        <v>14</v>
      </c>
      <c r="E1126" s="29" t="n">
        <v>7067900</v>
      </c>
      <c r="F1126" s="30" t="n">
        <v>78.18</v>
      </c>
      <c r="G1126" s="31" t="n">
        <f aca="false">IFERROR(F1126/D1126,0)</f>
        <v>5.58428571428571</v>
      </c>
    </row>
    <row r="1127" customFormat="false" ht="15" hidden="false" customHeight="false" outlineLevel="0" collapsed="false">
      <c r="A1127" s="28" t="n">
        <v>2021</v>
      </c>
      <c r="B1127" s="28" t="s">
        <v>86</v>
      </c>
      <c r="C1127" s="28" t="s">
        <v>42</v>
      </c>
      <c r="D1127" s="28" t="n">
        <v>188</v>
      </c>
      <c r="E1127" s="29" t="n">
        <v>153081700</v>
      </c>
      <c r="F1127" s="30" t="n">
        <v>1008.07</v>
      </c>
      <c r="G1127" s="31" t="n">
        <f aca="false">IFERROR(F1127/D1127,0)</f>
        <v>5.36207446808511</v>
      </c>
    </row>
    <row r="1128" customFormat="false" ht="15" hidden="false" customHeight="false" outlineLevel="0" collapsed="false">
      <c r="A1128" s="28" t="n">
        <v>2021</v>
      </c>
      <c r="B1128" s="28" t="s">
        <v>86</v>
      </c>
      <c r="C1128" s="28" t="s">
        <v>50</v>
      </c>
      <c r="D1128" s="28" t="n">
        <v>83</v>
      </c>
      <c r="E1128" s="29" t="n">
        <v>50311200</v>
      </c>
      <c r="F1128" s="30" t="n">
        <v>437.5</v>
      </c>
      <c r="G1128" s="31" t="n">
        <f aca="false">IFERROR(F1128/D1128,0)</f>
        <v>5.2710843373494</v>
      </c>
    </row>
    <row r="1129" customFormat="false" ht="15" hidden="false" customHeight="false" outlineLevel="0" collapsed="false">
      <c r="A1129" s="28" t="n">
        <v>2021</v>
      </c>
      <c r="B1129" s="28" t="s">
        <v>86</v>
      </c>
      <c r="C1129" s="28" t="s">
        <v>55</v>
      </c>
      <c r="D1129" s="28" t="n">
        <v>3</v>
      </c>
      <c r="E1129" s="29" t="n">
        <v>1381100</v>
      </c>
      <c r="F1129" s="30" t="n">
        <v>16.25</v>
      </c>
      <c r="G1129" s="31" t="n">
        <f aca="false">IFERROR(F1129/D1129,0)</f>
        <v>5.41666666666667</v>
      </c>
    </row>
    <row r="1130" customFormat="false" ht="15" hidden="false" customHeight="false" outlineLevel="0" collapsed="false">
      <c r="A1130" s="28" t="n">
        <v>2021</v>
      </c>
      <c r="B1130" s="28" t="s">
        <v>86</v>
      </c>
      <c r="C1130" s="28" t="s">
        <v>51</v>
      </c>
      <c r="D1130" s="28" t="n">
        <v>64</v>
      </c>
      <c r="E1130" s="29" t="n">
        <v>37998300</v>
      </c>
      <c r="F1130" s="30" t="n">
        <v>345.87</v>
      </c>
      <c r="G1130" s="31" t="n">
        <f aca="false">IFERROR(F1130/D1130,0)</f>
        <v>5.40421875</v>
      </c>
    </row>
    <row r="1131" customFormat="false" ht="15" hidden="false" customHeight="false" outlineLevel="0" collapsed="false">
      <c r="A1131" s="28" t="n">
        <v>2021</v>
      </c>
      <c r="B1131" s="28" t="s">
        <v>86</v>
      </c>
      <c r="C1131" s="28" t="s">
        <v>45</v>
      </c>
      <c r="D1131" s="28" t="n">
        <v>131</v>
      </c>
      <c r="E1131" s="29" t="n">
        <v>67650100</v>
      </c>
      <c r="F1131" s="30" t="n">
        <v>694.745</v>
      </c>
      <c r="G1131" s="31" t="n">
        <f aca="false">IFERROR(F1131/D1131,0)</f>
        <v>5.30339694656489</v>
      </c>
    </row>
    <row r="1132" customFormat="false" ht="15" hidden="false" customHeight="false" outlineLevel="0" collapsed="false">
      <c r="A1132" s="28" t="n">
        <v>2021</v>
      </c>
      <c r="B1132" s="28" t="s">
        <v>86</v>
      </c>
      <c r="C1132" s="28" t="s">
        <v>56</v>
      </c>
      <c r="D1132" s="28" t="n">
        <v>19</v>
      </c>
      <c r="E1132" s="29" t="n">
        <v>4966300</v>
      </c>
      <c r="F1132" s="30" t="n">
        <v>97.65</v>
      </c>
      <c r="G1132" s="31" t="n">
        <f aca="false">IFERROR(F1132/D1132,0)</f>
        <v>5.13947368421053</v>
      </c>
    </row>
    <row r="1133" customFormat="false" ht="15" hidden="false" customHeight="false" outlineLevel="0" collapsed="false">
      <c r="A1133" s="28" t="n">
        <v>2021</v>
      </c>
      <c r="B1133" s="28" t="s">
        <v>86</v>
      </c>
      <c r="C1133" s="28" t="s">
        <v>54</v>
      </c>
      <c r="D1133" s="28" t="n">
        <v>37</v>
      </c>
      <c r="E1133" s="29" t="n">
        <v>23730200</v>
      </c>
      <c r="F1133" s="30" t="n">
        <v>194.24</v>
      </c>
      <c r="G1133" s="31" t="n">
        <f aca="false">IFERROR(F1133/D1133,0)</f>
        <v>5.24972972972973</v>
      </c>
    </row>
    <row r="1134" customFormat="false" ht="15" hidden="false" customHeight="false" outlineLevel="0" collapsed="false">
      <c r="A1134" s="28" t="n">
        <v>2021</v>
      </c>
      <c r="B1134" s="28" t="s">
        <v>86</v>
      </c>
      <c r="C1134" s="28" t="s">
        <v>44</v>
      </c>
      <c r="D1134" s="28" t="n">
        <v>138</v>
      </c>
      <c r="E1134" s="29" t="n">
        <v>89711700</v>
      </c>
      <c r="F1134" s="30" t="n">
        <v>727.91</v>
      </c>
      <c r="G1134" s="31" t="n">
        <f aca="false">IFERROR(F1134/D1134,0)</f>
        <v>5.27471014492754</v>
      </c>
    </row>
    <row r="1135" customFormat="false" ht="15" hidden="false" customHeight="false" outlineLevel="0" collapsed="false">
      <c r="A1135" s="28" t="n">
        <v>2021</v>
      </c>
      <c r="B1135" s="28" t="s">
        <v>86</v>
      </c>
      <c r="C1135" s="28" t="s">
        <v>57</v>
      </c>
      <c r="D1135" s="28" t="n">
        <v>7</v>
      </c>
      <c r="E1135" s="29" t="n">
        <v>4417800</v>
      </c>
      <c r="F1135" s="30" t="n">
        <v>37.89</v>
      </c>
      <c r="G1135" s="31" t="n">
        <f aca="false">IFERROR(F1135/D1135,0)</f>
        <v>5.41285714285714</v>
      </c>
    </row>
    <row r="1136" customFormat="false" ht="15" hidden="false" customHeight="false" outlineLevel="0" collapsed="false">
      <c r="A1136" s="28" t="n">
        <v>2021</v>
      </c>
      <c r="B1136" s="28" t="s">
        <v>86</v>
      </c>
      <c r="C1136" s="28" t="s">
        <v>59</v>
      </c>
      <c r="D1136" s="28" t="n">
        <v>1</v>
      </c>
      <c r="E1136" s="29" t="n">
        <v>2620000</v>
      </c>
      <c r="F1136" s="30" t="n">
        <v>6</v>
      </c>
      <c r="G1136" s="31" t="n">
        <f aca="false">IFERROR(F1136/D1136,0)</f>
        <v>6</v>
      </c>
    </row>
    <row r="1137" customFormat="false" ht="15" hidden="false" customHeight="false" outlineLevel="0" collapsed="false">
      <c r="A1137" s="28" t="n">
        <v>2021</v>
      </c>
      <c r="B1137" s="28" t="s">
        <v>86</v>
      </c>
      <c r="C1137" s="28" t="s">
        <v>47</v>
      </c>
      <c r="D1137" s="28" t="n">
        <v>114</v>
      </c>
      <c r="E1137" s="29" t="n">
        <v>85724500</v>
      </c>
      <c r="F1137" s="30" t="n">
        <v>579.04</v>
      </c>
      <c r="G1137" s="31" t="n">
        <f aca="false">IFERROR(F1137/D1137,0)</f>
        <v>5.07929824561403</v>
      </c>
    </row>
    <row r="1138" customFormat="false" ht="15" hidden="false" customHeight="false" outlineLevel="0" collapsed="false">
      <c r="A1138" s="28" t="n">
        <v>2021</v>
      </c>
      <c r="B1138" s="28" t="s">
        <v>86</v>
      </c>
      <c r="C1138" s="28" t="s">
        <v>58</v>
      </c>
      <c r="D1138" s="28" t="n">
        <v>1</v>
      </c>
      <c r="E1138" s="29" t="n">
        <v>350000</v>
      </c>
      <c r="F1138" s="30" t="n">
        <v>6</v>
      </c>
      <c r="G1138" s="31" t="n">
        <f aca="false">IFERROR(F1138/D1138,0)</f>
        <v>6</v>
      </c>
    </row>
    <row r="1139" customFormat="false" ht="15" hidden="false" customHeight="false" outlineLevel="0" collapsed="false">
      <c r="A1139" s="28" t="n">
        <v>2021</v>
      </c>
      <c r="B1139" s="28" t="s">
        <v>86</v>
      </c>
      <c r="C1139" s="28" t="s">
        <v>46</v>
      </c>
      <c r="D1139" s="28" t="n">
        <v>131</v>
      </c>
      <c r="E1139" s="29" t="n">
        <v>89878700</v>
      </c>
      <c r="F1139" s="30" t="n">
        <v>695.3</v>
      </c>
      <c r="G1139" s="31" t="n">
        <f aca="false">IFERROR(F1139/D1139,0)</f>
        <v>5.30763358778626</v>
      </c>
    </row>
    <row r="1140" customFormat="false" ht="15" hidden="false" customHeight="false" outlineLevel="0" collapsed="false">
      <c r="A1140" s="28" t="n">
        <v>2021</v>
      </c>
      <c r="B1140" s="28" t="s">
        <v>86</v>
      </c>
      <c r="C1140" s="28" t="s">
        <v>48</v>
      </c>
      <c r="D1140" s="28" t="n">
        <v>121</v>
      </c>
      <c r="E1140" s="29" t="n">
        <v>63928500</v>
      </c>
      <c r="F1140" s="30" t="n">
        <v>671.969</v>
      </c>
      <c r="G1140" s="31" t="n">
        <f aca="false">IFERROR(F1140/D1140,0)</f>
        <v>5.55346280991736</v>
      </c>
    </row>
    <row r="1141" customFormat="false" ht="15" hidden="false" customHeight="false" outlineLevel="0" collapsed="false">
      <c r="A1141" s="28" t="n">
        <v>2021</v>
      </c>
      <c r="B1141" s="28" t="s">
        <v>86</v>
      </c>
      <c r="C1141" s="28" t="s">
        <v>53</v>
      </c>
      <c r="D1141" s="28" t="n">
        <v>40</v>
      </c>
      <c r="E1141" s="29" t="n">
        <v>32825100</v>
      </c>
      <c r="F1141" s="30" t="n">
        <v>201.97</v>
      </c>
      <c r="G1141" s="31" t="n">
        <f aca="false">IFERROR(F1141/D1141,0)</f>
        <v>5.04925</v>
      </c>
    </row>
    <row r="1142" customFormat="false" ht="15" hidden="false" customHeight="false" outlineLevel="0" collapsed="false">
      <c r="A1142" s="28" t="n">
        <v>2021</v>
      </c>
      <c r="B1142" s="28" t="s">
        <v>86</v>
      </c>
      <c r="C1142" s="28" t="s">
        <v>43</v>
      </c>
      <c r="D1142" s="28" t="n">
        <v>207</v>
      </c>
      <c r="E1142" s="29" t="n">
        <v>159351600</v>
      </c>
      <c r="F1142" s="30" t="n">
        <v>1120.636</v>
      </c>
      <c r="G1142" s="31" t="n">
        <f aca="false">IFERROR(F1142/D1142,0)</f>
        <v>5.41370048309179</v>
      </c>
    </row>
    <row r="1143" customFormat="false" ht="15" hidden="false" customHeight="false" outlineLevel="0" collapsed="false">
      <c r="A1143" s="28" t="n">
        <v>2021</v>
      </c>
      <c r="B1143" s="28" t="s">
        <v>86</v>
      </c>
      <c r="C1143" s="28" t="s">
        <v>52</v>
      </c>
      <c r="D1143" s="28" t="n">
        <v>144</v>
      </c>
      <c r="E1143" s="29" t="n">
        <v>68808300</v>
      </c>
      <c r="F1143" s="30" t="n">
        <v>725.96</v>
      </c>
      <c r="G1143" s="31" t="n">
        <f aca="false">IFERROR(F1143/D1143,0)</f>
        <v>5.04138888888889</v>
      </c>
    </row>
    <row r="1144" customFormat="false" ht="15" hidden="false" customHeight="false" outlineLevel="0" collapsed="false">
      <c r="A1144" s="28" t="n">
        <v>2021</v>
      </c>
      <c r="B1144" s="28" t="s">
        <v>86</v>
      </c>
      <c r="C1144" s="28" t="s">
        <v>60</v>
      </c>
      <c r="D1144" s="28" t="n">
        <v>4</v>
      </c>
      <c r="E1144" s="29" t="n">
        <v>2175000</v>
      </c>
      <c r="F1144" s="30" t="n">
        <v>22.75</v>
      </c>
      <c r="G1144" s="31" t="n">
        <f aca="false">IFERROR(F1144/D1144,0)</f>
        <v>5.6875</v>
      </c>
    </row>
    <row r="1145" customFormat="false" ht="15" hidden="false" customHeight="false" outlineLevel="0" collapsed="false">
      <c r="A1145" s="28" t="n">
        <v>2021</v>
      </c>
      <c r="B1145" s="28" t="s">
        <v>86</v>
      </c>
      <c r="C1145" s="28" t="s">
        <v>49</v>
      </c>
      <c r="D1145" s="28" t="n">
        <v>68</v>
      </c>
      <c r="E1145" s="29" t="n">
        <v>46794300</v>
      </c>
      <c r="F1145" s="30" t="n">
        <v>349.315</v>
      </c>
      <c r="G1145" s="31" t="n">
        <f aca="false">IFERROR(F1145/D1145,0)</f>
        <v>5.13698529411765</v>
      </c>
    </row>
    <row r="1146" customFormat="false" ht="15" hidden="false" customHeight="false" outlineLevel="0" collapsed="false">
      <c r="A1146" s="28" t="n">
        <v>2021</v>
      </c>
      <c r="B1146" s="28" t="s">
        <v>100</v>
      </c>
      <c r="C1146" s="28" t="s">
        <v>42</v>
      </c>
      <c r="D1146" s="28" t="n">
        <v>148</v>
      </c>
      <c r="E1146" s="29" t="n">
        <v>128974900</v>
      </c>
      <c r="F1146" s="30" t="n">
        <v>786.35</v>
      </c>
      <c r="G1146" s="31" t="n">
        <f aca="false">IFERROR(F1146/D1146,0)</f>
        <v>5.31317567567568</v>
      </c>
    </row>
    <row r="1147" customFormat="false" ht="15" hidden="false" customHeight="false" outlineLevel="0" collapsed="false">
      <c r="A1147" s="28" t="n">
        <v>2021</v>
      </c>
      <c r="B1147" s="28" t="s">
        <v>100</v>
      </c>
      <c r="C1147" s="28" t="s">
        <v>50</v>
      </c>
      <c r="D1147" s="28" t="n">
        <v>60</v>
      </c>
      <c r="E1147" s="29" t="n">
        <v>19454500</v>
      </c>
      <c r="F1147" s="30" t="n">
        <v>316.87</v>
      </c>
      <c r="G1147" s="31" t="n">
        <f aca="false">IFERROR(F1147/D1147,0)</f>
        <v>5.28116666666667</v>
      </c>
    </row>
    <row r="1148" customFormat="false" ht="15" hidden="false" customHeight="false" outlineLevel="0" collapsed="false">
      <c r="A1148" s="28" t="n">
        <v>2021</v>
      </c>
      <c r="B1148" s="28" t="s">
        <v>100</v>
      </c>
      <c r="C1148" s="28" t="s">
        <v>55</v>
      </c>
      <c r="D1148" s="28" t="n">
        <v>4</v>
      </c>
      <c r="E1148" s="29" t="n">
        <v>1030000</v>
      </c>
      <c r="F1148" s="30" t="n">
        <v>19.5</v>
      </c>
      <c r="G1148" s="31" t="n">
        <f aca="false">IFERROR(F1148/D1148,0)</f>
        <v>4.875</v>
      </c>
    </row>
    <row r="1149" customFormat="false" ht="15" hidden="false" customHeight="false" outlineLevel="0" collapsed="false">
      <c r="A1149" s="28" t="n">
        <v>2021</v>
      </c>
      <c r="B1149" s="28" t="s">
        <v>100</v>
      </c>
      <c r="C1149" s="28" t="s">
        <v>51</v>
      </c>
      <c r="D1149" s="28" t="n">
        <v>35</v>
      </c>
      <c r="E1149" s="29" t="n">
        <v>14088900</v>
      </c>
      <c r="F1149" s="30" t="n">
        <v>186.42</v>
      </c>
      <c r="G1149" s="31" t="n">
        <f aca="false">IFERROR(F1149/D1149,0)</f>
        <v>5.32628571428571</v>
      </c>
    </row>
    <row r="1150" customFormat="false" ht="15" hidden="false" customHeight="false" outlineLevel="0" collapsed="false">
      <c r="A1150" s="28" t="n">
        <v>2021</v>
      </c>
      <c r="B1150" s="28" t="s">
        <v>100</v>
      </c>
      <c r="C1150" s="28" t="s">
        <v>45</v>
      </c>
      <c r="D1150" s="28" t="n">
        <v>112</v>
      </c>
      <c r="E1150" s="29" t="n">
        <v>54000900</v>
      </c>
      <c r="F1150" s="30" t="n">
        <v>598.27</v>
      </c>
      <c r="G1150" s="31" t="n">
        <f aca="false">IFERROR(F1150/D1150,0)</f>
        <v>5.34169642857143</v>
      </c>
    </row>
    <row r="1151" customFormat="false" ht="15" hidden="false" customHeight="false" outlineLevel="0" collapsed="false">
      <c r="A1151" s="28" t="n">
        <v>2021</v>
      </c>
      <c r="B1151" s="28" t="s">
        <v>100</v>
      </c>
      <c r="C1151" s="28" t="s">
        <v>56</v>
      </c>
      <c r="D1151" s="28" t="n">
        <v>14</v>
      </c>
      <c r="E1151" s="29" t="n">
        <v>6158900</v>
      </c>
      <c r="F1151" s="30" t="n">
        <v>78.55</v>
      </c>
      <c r="G1151" s="31" t="n">
        <f aca="false">IFERROR(F1151/D1151,0)</f>
        <v>5.61071428571429</v>
      </c>
    </row>
    <row r="1152" customFormat="false" ht="15" hidden="false" customHeight="false" outlineLevel="0" collapsed="false">
      <c r="A1152" s="28" t="n">
        <v>2021</v>
      </c>
      <c r="B1152" s="28" t="s">
        <v>100</v>
      </c>
      <c r="C1152" s="28" t="s">
        <v>54</v>
      </c>
      <c r="D1152" s="28" t="n">
        <v>27</v>
      </c>
      <c r="E1152" s="29" t="n">
        <v>11224900</v>
      </c>
      <c r="F1152" s="30" t="n">
        <v>149.53</v>
      </c>
      <c r="G1152" s="31" t="n">
        <f aca="false">IFERROR(F1152/D1152,0)</f>
        <v>5.53814814814815</v>
      </c>
    </row>
    <row r="1153" customFormat="false" ht="15" hidden="false" customHeight="false" outlineLevel="0" collapsed="false">
      <c r="A1153" s="28" t="n">
        <v>2021</v>
      </c>
      <c r="B1153" s="28" t="s">
        <v>100</v>
      </c>
      <c r="C1153" s="28" t="s">
        <v>44</v>
      </c>
      <c r="D1153" s="28" t="n">
        <v>84</v>
      </c>
      <c r="E1153" s="29" t="n">
        <v>49382300</v>
      </c>
      <c r="F1153" s="30" t="n">
        <v>431.7</v>
      </c>
      <c r="G1153" s="31" t="n">
        <f aca="false">IFERROR(F1153/D1153,0)</f>
        <v>5.13928571428571</v>
      </c>
    </row>
    <row r="1154" customFormat="false" ht="15" hidden="false" customHeight="false" outlineLevel="0" collapsed="false">
      <c r="A1154" s="28" t="n">
        <v>2021</v>
      </c>
      <c r="B1154" s="28" t="s">
        <v>100</v>
      </c>
      <c r="C1154" s="28" t="s">
        <v>57</v>
      </c>
      <c r="D1154" s="28" t="n">
        <v>4</v>
      </c>
      <c r="E1154" s="29" t="n">
        <v>918200</v>
      </c>
      <c r="F1154" s="30" t="n">
        <v>22.25</v>
      </c>
      <c r="G1154" s="31" t="n">
        <f aca="false">IFERROR(F1154/D1154,0)</f>
        <v>5.5625</v>
      </c>
    </row>
    <row r="1155" customFormat="false" ht="15" hidden="false" customHeight="false" outlineLevel="0" collapsed="false">
      <c r="A1155" s="28" t="n">
        <v>2021</v>
      </c>
      <c r="B1155" s="28" t="s">
        <v>100</v>
      </c>
      <c r="C1155" s="28" t="s">
        <v>47</v>
      </c>
      <c r="D1155" s="28" t="n">
        <v>95</v>
      </c>
      <c r="E1155" s="29" t="n">
        <v>75200800</v>
      </c>
      <c r="F1155" s="30" t="n">
        <v>473.52</v>
      </c>
      <c r="G1155" s="31" t="n">
        <f aca="false">IFERROR(F1155/D1155,0)</f>
        <v>4.98442105263158</v>
      </c>
    </row>
    <row r="1156" customFormat="false" ht="15" hidden="false" customHeight="false" outlineLevel="0" collapsed="false">
      <c r="A1156" s="28" t="n">
        <v>2021</v>
      </c>
      <c r="B1156" s="28" t="s">
        <v>100</v>
      </c>
      <c r="C1156" s="28" t="s">
        <v>46</v>
      </c>
      <c r="D1156" s="28" t="n">
        <v>101</v>
      </c>
      <c r="E1156" s="29" t="n">
        <v>47678000</v>
      </c>
      <c r="F1156" s="30" t="n">
        <v>530.36</v>
      </c>
      <c r="G1156" s="31" t="n">
        <f aca="false">IFERROR(F1156/D1156,0)</f>
        <v>5.25108910891089</v>
      </c>
    </row>
    <row r="1157" customFormat="false" ht="15" hidden="false" customHeight="false" outlineLevel="0" collapsed="false">
      <c r="A1157" s="28" t="n">
        <v>2021</v>
      </c>
      <c r="B1157" s="28" t="s">
        <v>100</v>
      </c>
      <c r="C1157" s="28" t="s">
        <v>48</v>
      </c>
      <c r="D1157" s="28" t="n">
        <v>65</v>
      </c>
      <c r="E1157" s="29" t="n">
        <v>31265000</v>
      </c>
      <c r="F1157" s="30" t="n">
        <v>344.45</v>
      </c>
      <c r="G1157" s="31" t="n">
        <f aca="false">IFERROR(F1157/D1157,0)</f>
        <v>5.29923076923077</v>
      </c>
    </row>
    <row r="1158" customFormat="false" ht="15" hidden="false" customHeight="false" outlineLevel="0" collapsed="false">
      <c r="A1158" s="28" t="n">
        <v>2021</v>
      </c>
      <c r="B1158" s="28" t="s">
        <v>100</v>
      </c>
      <c r="C1158" s="28" t="s">
        <v>53</v>
      </c>
      <c r="D1158" s="28" t="n">
        <v>18</v>
      </c>
      <c r="E1158" s="29" t="n">
        <v>5909700</v>
      </c>
      <c r="F1158" s="30" t="n">
        <v>87.87</v>
      </c>
      <c r="G1158" s="31" t="n">
        <f aca="false">IFERROR(F1158/D1158,0)</f>
        <v>4.88166666666667</v>
      </c>
    </row>
    <row r="1159" customFormat="false" ht="15" hidden="false" customHeight="false" outlineLevel="0" collapsed="false">
      <c r="A1159" s="28" t="n">
        <v>2021</v>
      </c>
      <c r="B1159" s="28" t="s">
        <v>100</v>
      </c>
      <c r="C1159" s="28" t="s">
        <v>43</v>
      </c>
      <c r="D1159" s="28" t="n">
        <v>126</v>
      </c>
      <c r="E1159" s="29" t="n">
        <v>81225600</v>
      </c>
      <c r="F1159" s="30" t="n">
        <v>663.34</v>
      </c>
      <c r="G1159" s="31" t="n">
        <f aca="false">IFERROR(F1159/D1159,0)</f>
        <v>5.26460317460318</v>
      </c>
    </row>
    <row r="1160" customFormat="false" ht="15" hidden="false" customHeight="false" outlineLevel="0" collapsed="false">
      <c r="A1160" s="28" t="n">
        <v>2021</v>
      </c>
      <c r="B1160" s="28" t="s">
        <v>100</v>
      </c>
      <c r="C1160" s="28" t="s">
        <v>52</v>
      </c>
      <c r="D1160" s="28" t="n">
        <v>115</v>
      </c>
      <c r="E1160" s="29" t="n">
        <v>17780700</v>
      </c>
      <c r="F1160" s="30" t="n">
        <v>630.76</v>
      </c>
      <c r="G1160" s="31" t="n">
        <f aca="false">IFERROR(F1160/D1160,0)</f>
        <v>5.48486956521739</v>
      </c>
    </row>
    <row r="1161" customFormat="false" ht="15" hidden="false" customHeight="false" outlineLevel="0" collapsed="false">
      <c r="A1161" s="28" t="n">
        <v>2021</v>
      </c>
      <c r="B1161" s="28" t="s">
        <v>100</v>
      </c>
      <c r="C1161" s="28" t="s">
        <v>60</v>
      </c>
      <c r="D1161" s="28" t="n">
        <v>1</v>
      </c>
      <c r="E1161" s="29" t="n">
        <v>590000</v>
      </c>
      <c r="F1161" s="30" t="n">
        <v>6</v>
      </c>
      <c r="G1161" s="31" t="n">
        <f aca="false">IFERROR(F1161/D1161,0)</f>
        <v>6</v>
      </c>
    </row>
    <row r="1162" customFormat="false" ht="15" hidden="false" customHeight="false" outlineLevel="0" collapsed="false">
      <c r="A1162" s="28" t="n">
        <v>2021</v>
      </c>
      <c r="B1162" s="28" t="s">
        <v>100</v>
      </c>
      <c r="C1162" s="28" t="s">
        <v>49</v>
      </c>
      <c r="D1162" s="28" t="n">
        <v>26</v>
      </c>
      <c r="E1162" s="29" t="n">
        <v>25645500</v>
      </c>
      <c r="F1162" s="30" t="n">
        <v>133.98</v>
      </c>
      <c r="G1162" s="31" t="n">
        <f aca="false">IFERROR(F1162/D1162,0)</f>
        <v>5.15307692307692</v>
      </c>
    </row>
    <row r="1163" customFormat="false" ht="15" hidden="false" customHeight="false" outlineLevel="0" collapsed="false">
      <c r="A1163" s="28" t="n">
        <v>2021</v>
      </c>
      <c r="B1163" s="28" t="s">
        <v>101</v>
      </c>
      <c r="C1163" s="28" t="s">
        <v>42</v>
      </c>
      <c r="D1163" s="28" t="n">
        <v>49</v>
      </c>
      <c r="E1163" s="29" t="n">
        <v>31662700</v>
      </c>
      <c r="F1163" s="30" t="n">
        <v>265.315</v>
      </c>
      <c r="G1163" s="31" t="n">
        <f aca="false">IFERROR(F1163/D1163,0)</f>
        <v>5.41459183673469</v>
      </c>
    </row>
    <row r="1164" customFormat="false" ht="15" hidden="false" customHeight="false" outlineLevel="0" collapsed="false">
      <c r="A1164" s="28" t="n">
        <v>2021</v>
      </c>
      <c r="B1164" s="28" t="s">
        <v>101</v>
      </c>
      <c r="C1164" s="28" t="s">
        <v>50</v>
      </c>
      <c r="D1164" s="28" t="n">
        <v>26</v>
      </c>
      <c r="E1164" s="29" t="n">
        <v>13789600</v>
      </c>
      <c r="F1164" s="30" t="n">
        <v>129.93</v>
      </c>
      <c r="G1164" s="31" t="n">
        <f aca="false">IFERROR(F1164/D1164,0)</f>
        <v>4.99730769230769</v>
      </c>
    </row>
    <row r="1165" customFormat="false" ht="15" hidden="false" customHeight="false" outlineLevel="0" collapsed="false">
      <c r="A1165" s="28" t="n">
        <v>2021</v>
      </c>
      <c r="B1165" s="28" t="s">
        <v>101</v>
      </c>
      <c r="C1165" s="28" t="s">
        <v>55</v>
      </c>
      <c r="D1165" s="28" t="n">
        <v>13</v>
      </c>
      <c r="E1165" s="29" t="n">
        <v>3373100</v>
      </c>
      <c r="F1165" s="30" t="n">
        <v>63.35</v>
      </c>
      <c r="G1165" s="31" t="n">
        <f aca="false">IFERROR(F1165/D1165,0)</f>
        <v>4.87307692307692</v>
      </c>
    </row>
    <row r="1166" customFormat="false" ht="15" hidden="false" customHeight="false" outlineLevel="0" collapsed="false">
      <c r="A1166" s="28" t="n">
        <v>2021</v>
      </c>
      <c r="B1166" s="28" t="s">
        <v>101</v>
      </c>
      <c r="C1166" s="28" t="s">
        <v>51</v>
      </c>
      <c r="D1166" s="28" t="n">
        <v>16</v>
      </c>
      <c r="E1166" s="29" t="n">
        <v>8609200</v>
      </c>
      <c r="F1166" s="30" t="n">
        <v>81.335</v>
      </c>
      <c r="G1166" s="31" t="n">
        <f aca="false">IFERROR(F1166/D1166,0)</f>
        <v>5.0834375</v>
      </c>
    </row>
    <row r="1167" customFormat="false" ht="15" hidden="false" customHeight="false" outlineLevel="0" collapsed="false">
      <c r="A1167" s="28" t="n">
        <v>2021</v>
      </c>
      <c r="B1167" s="28" t="s">
        <v>101</v>
      </c>
      <c r="C1167" s="28" t="s">
        <v>45</v>
      </c>
      <c r="D1167" s="28" t="n">
        <v>54</v>
      </c>
      <c r="E1167" s="29" t="n">
        <v>24726100</v>
      </c>
      <c r="F1167" s="30" t="n">
        <v>294.541</v>
      </c>
      <c r="G1167" s="31" t="n">
        <f aca="false">IFERROR(F1167/D1167,0)</f>
        <v>5.45446296296296</v>
      </c>
    </row>
    <row r="1168" customFormat="false" ht="15" hidden="false" customHeight="false" outlineLevel="0" collapsed="false">
      <c r="A1168" s="28" t="n">
        <v>2021</v>
      </c>
      <c r="B1168" s="28" t="s">
        <v>101</v>
      </c>
      <c r="C1168" s="28" t="s">
        <v>56</v>
      </c>
      <c r="D1168" s="28" t="n">
        <v>1</v>
      </c>
      <c r="E1168" s="29" t="n">
        <v>70000</v>
      </c>
      <c r="F1168" s="30" t="n">
        <v>5.5</v>
      </c>
      <c r="G1168" s="31" t="n">
        <f aca="false">IFERROR(F1168/D1168,0)</f>
        <v>5.5</v>
      </c>
    </row>
    <row r="1169" customFormat="false" ht="15" hidden="false" customHeight="false" outlineLevel="0" collapsed="false">
      <c r="A1169" s="28" t="n">
        <v>2021</v>
      </c>
      <c r="B1169" s="28" t="s">
        <v>101</v>
      </c>
      <c r="C1169" s="28" t="s">
        <v>54</v>
      </c>
      <c r="D1169" s="28" t="n">
        <v>13</v>
      </c>
      <c r="E1169" s="29" t="n">
        <v>13442600</v>
      </c>
      <c r="F1169" s="30" t="n">
        <v>70.675</v>
      </c>
      <c r="G1169" s="31" t="n">
        <f aca="false">IFERROR(F1169/D1169,0)</f>
        <v>5.43653846153846</v>
      </c>
    </row>
    <row r="1170" customFormat="false" ht="15" hidden="false" customHeight="false" outlineLevel="0" collapsed="false">
      <c r="A1170" s="28" t="n">
        <v>2021</v>
      </c>
      <c r="B1170" s="28" t="s">
        <v>101</v>
      </c>
      <c r="C1170" s="28" t="s">
        <v>44</v>
      </c>
      <c r="D1170" s="28" t="n">
        <v>34</v>
      </c>
      <c r="E1170" s="29" t="n">
        <v>19908900</v>
      </c>
      <c r="F1170" s="30" t="n">
        <v>167.31</v>
      </c>
      <c r="G1170" s="31" t="n">
        <f aca="false">IFERROR(F1170/D1170,0)</f>
        <v>4.92088235294118</v>
      </c>
    </row>
    <row r="1171" customFormat="false" ht="15" hidden="false" customHeight="false" outlineLevel="0" collapsed="false">
      <c r="A1171" s="28" t="n">
        <v>2021</v>
      </c>
      <c r="B1171" s="28" t="s">
        <v>101</v>
      </c>
      <c r="C1171" s="28" t="s">
        <v>57</v>
      </c>
      <c r="D1171" s="28" t="n">
        <v>3</v>
      </c>
      <c r="E1171" s="29" t="n">
        <v>1337000</v>
      </c>
      <c r="F1171" s="30" t="n">
        <v>17.6</v>
      </c>
      <c r="G1171" s="31" t="n">
        <f aca="false">IFERROR(F1171/D1171,0)</f>
        <v>5.86666666666667</v>
      </c>
    </row>
    <row r="1172" customFormat="false" ht="15" hidden="false" customHeight="false" outlineLevel="0" collapsed="false">
      <c r="A1172" s="28" t="n">
        <v>2021</v>
      </c>
      <c r="B1172" s="28" t="s">
        <v>101</v>
      </c>
      <c r="C1172" s="28" t="s">
        <v>59</v>
      </c>
      <c r="D1172" s="28" t="n">
        <v>1</v>
      </c>
      <c r="E1172" s="29" t="n">
        <v>741500</v>
      </c>
      <c r="F1172" s="30" t="n">
        <v>4.25</v>
      </c>
      <c r="G1172" s="31" t="n">
        <f aca="false">IFERROR(F1172/D1172,0)</f>
        <v>4.25</v>
      </c>
    </row>
    <row r="1173" customFormat="false" ht="15" hidden="false" customHeight="false" outlineLevel="0" collapsed="false">
      <c r="A1173" s="28" t="n">
        <v>2021</v>
      </c>
      <c r="B1173" s="28" t="s">
        <v>101</v>
      </c>
      <c r="C1173" s="28" t="s">
        <v>47</v>
      </c>
      <c r="D1173" s="28" t="n">
        <v>32</v>
      </c>
      <c r="E1173" s="29" t="n">
        <v>18571600</v>
      </c>
      <c r="F1173" s="30" t="n">
        <v>161.595</v>
      </c>
      <c r="G1173" s="31" t="n">
        <f aca="false">IFERROR(F1173/D1173,0)</f>
        <v>5.04984375</v>
      </c>
    </row>
    <row r="1174" customFormat="false" ht="15" hidden="false" customHeight="false" outlineLevel="0" collapsed="false">
      <c r="A1174" s="28" t="n">
        <v>2021</v>
      </c>
      <c r="B1174" s="28" t="s">
        <v>101</v>
      </c>
      <c r="C1174" s="28" t="s">
        <v>58</v>
      </c>
      <c r="D1174" s="28" t="n">
        <v>5</v>
      </c>
      <c r="E1174" s="29" t="n">
        <v>1486000</v>
      </c>
      <c r="F1174" s="30" t="n">
        <v>29</v>
      </c>
      <c r="G1174" s="31" t="n">
        <f aca="false">IFERROR(F1174/D1174,0)</f>
        <v>5.8</v>
      </c>
    </row>
    <row r="1175" customFormat="false" ht="15" hidden="false" customHeight="false" outlineLevel="0" collapsed="false">
      <c r="A1175" s="28" t="n">
        <v>2021</v>
      </c>
      <c r="B1175" s="28" t="s">
        <v>101</v>
      </c>
      <c r="C1175" s="28" t="s">
        <v>46</v>
      </c>
      <c r="D1175" s="28" t="n">
        <v>44</v>
      </c>
      <c r="E1175" s="29" t="n">
        <v>25345200</v>
      </c>
      <c r="F1175" s="30" t="n">
        <v>225.662</v>
      </c>
      <c r="G1175" s="31" t="n">
        <f aca="false">IFERROR(F1175/D1175,0)</f>
        <v>5.12868181818182</v>
      </c>
    </row>
    <row r="1176" customFormat="false" ht="15" hidden="false" customHeight="false" outlineLevel="0" collapsed="false">
      <c r="A1176" s="28" t="n">
        <v>2021</v>
      </c>
      <c r="B1176" s="28" t="s">
        <v>101</v>
      </c>
      <c r="C1176" s="28" t="s">
        <v>48</v>
      </c>
      <c r="D1176" s="28" t="n">
        <v>29</v>
      </c>
      <c r="E1176" s="29" t="n">
        <v>18437700</v>
      </c>
      <c r="F1176" s="30" t="n">
        <v>147.34</v>
      </c>
      <c r="G1176" s="31" t="n">
        <f aca="false">IFERROR(F1176/D1176,0)</f>
        <v>5.08068965517241</v>
      </c>
    </row>
    <row r="1177" customFormat="false" ht="15" hidden="false" customHeight="false" outlineLevel="0" collapsed="false">
      <c r="A1177" s="28" t="n">
        <v>2021</v>
      </c>
      <c r="B1177" s="28" t="s">
        <v>101</v>
      </c>
      <c r="C1177" s="28" t="s">
        <v>53</v>
      </c>
      <c r="D1177" s="28" t="n">
        <v>8</v>
      </c>
      <c r="E1177" s="29" t="n">
        <v>4529200</v>
      </c>
      <c r="F1177" s="30" t="n">
        <v>39.5</v>
      </c>
      <c r="G1177" s="31" t="n">
        <f aca="false">IFERROR(F1177/D1177,0)</f>
        <v>4.9375</v>
      </c>
    </row>
    <row r="1178" customFormat="false" ht="15" hidden="false" customHeight="false" outlineLevel="0" collapsed="false">
      <c r="A1178" s="28" t="n">
        <v>2021</v>
      </c>
      <c r="B1178" s="28" t="s">
        <v>101</v>
      </c>
      <c r="C1178" s="28" t="s">
        <v>43</v>
      </c>
      <c r="D1178" s="28" t="n">
        <v>49</v>
      </c>
      <c r="E1178" s="29" t="n">
        <v>34730400</v>
      </c>
      <c r="F1178" s="30" t="n">
        <v>264.795</v>
      </c>
      <c r="G1178" s="31" t="n">
        <f aca="false">IFERROR(F1178/D1178,0)</f>
        <v>5.40397959183674</v>
      </c>
    </row>
    <row r="1179" customFormat="false" ht="15" hidden="false" customHeight="false" outlineLevel="0" collapsed="false">
      <c r="A1179" s="28" t="n">
        <v>2021</v>
      </c>
      <c r="B1179" s="28" t="s">
        <v>101</v>
      </c>
      <c r="C1179" s="28" t="s">
        <v>52</v>
      </c>
      <c r="D1179" s="28" t="n">
        <v>37</v>
      </c>
      <c r="E1179" s="29" t="n">
        <v>26250000</v>
      </c>
      <c r="F1179" s="30" t="n">
        <v>204.49</v>
      </c>
      <c r="G1179" s="31" t="n">
        <f aca="false">IFERROR(F1179/D1179,0)</f>
        <v>5.52675675675676</v>
      </c>
    </row>
    <row r="1180" customFormat="false" ht="15" hidden="false" customHeight="false" outlineLevel="0" collapsed="false">
      <c r="A1180" s="28" t="n">
        <v>2021</v>
      </c>
      <c r="B1180" s="28" t="s">
        <v>101</v>
      </c>
      <c r="C1180" s="28" t="s">
        <v>60</v>
      </c>
      <c r="D1180" s="28" t="n">
        <v>3</v>
      </c>
      <c r="E1180" s="29" t="n">
        <v>1400000</v>
      </c>
      <c r="F1180" s="30" t="n">
        <v>17.375</v>
      </c>
      <c r="G1180" s="31" t="n">
        <f aca="false">IFERROR(F1180/D1180,0)</f>
        <v>5.79166666666667</v>
      </c>
    </row>
    <row r="1181" customFormat="false" ht="15" hidden="false" customHeight="false" outlineLevel="0" collapsed="false">
      <c r="A1181" s="28" t="n">
        <v>2021</v>
      </c>
      <c r="B1181" s="28" t="s">
        <v>101</v>
      </c>
      <c r="C1181" s="28" t="s">
        <v>49</v>
      </c>
      <c r="D1181" s="28" t="n">
        <v>20</v>
      </c>
      <c r="E1181" s="29" t="n">
        <v>11154200</v>
      </c>
      <c r="F1181" s="30" t="n">
        <v>108.25</v>
      </c>
      <c r="G1181" s="31" t="n">
        <f aca="false">IFERROR(F1181/D1181,0)</f>
        <v>5.4125</v>
      </c>
    </row>
    <row r="1182" customFormat="false" ht="15" hidden="false" customHeight="false" outlineLevel="0" collapsed="false">
      <c r="A1182" s="28" t="n">
        <v>2021</v>
      </c>
      <c r="B1182" s="28" t="s">
        <v>102</v>
      </c>
      <c r="C1182" s="28" t="s">
        <v>42</v>
      </c>
      <c r="D1182" s="28" t="n">
        <v>60</v>
      </c>
      <c r="E1182" s="29" t="n">
        <v>64245000</v>
      </c>
      <c r="F1182" s="30" t="n">
        <v>309.015</v>
      </c>
      <c r="G1182" s="31" t="n">
        <f aca="false">IFERROR(F1182/D1182,0)</f>
        <v>5.15025</v>
      </c>
    </row>
    <row r="1183" customFormat="false" ht="15" hidden="false" customHeight="false" outlineLevel="0" collapsed="false">
      <c r="A1183" s="28" t="n">
        <v>2021</v>
      </c>
      <c r="B1183" s="28" t="s">
        <v>102</v>
      </c>
      <c r="C1183" s="28" t="s">
        <v>50</v>
      </c>
      <c r="D1183" s="28" t="n">
        <v>27</v>
      </c>
      <c r="E1183" s="29" t="n">
        <v>6379500</v>
      </c>
      <c r="F1183" s="30" t="n">
        <v>138.79</v>
      </c>
      <c r="G1183" s="31" t="n">
        <f aca="false">IFERROR(F1183/D1183,0)</f>
        <v>5.14037037037037</v>
      </c>
    </row>
    <row r="1184" customFormat="false" ht="15" hidden="false" customHeight="false" outlineLevel="0" collapsed="false">
      <c r="A1184" s="28" t="n">
        <v>2021</v>
      </c>
      <c r="B1184" s="28" t="s">
        <v>102</v>
      </c>
      <c r="C1184" s="28" t="s">
        <v>55</v>
      </c>
      <c r="D1184" s="28" t="n">
        <v>2</v>
      </c>
      <c r="E1184" s="29" t="n">
        <v>817500</v>
      </c>
      <c r="F1184" s="30" t="n">
        <v>8.75</v>
      </c>
      <c r="G1184" s="31" t="n">
        <f aca="false">IFERROR(F1184/D1184,0)</f>
        <v>4.375</v>
      </c>
    </row>
    <row r="1185" customFormat="false" ht="15" hidden="false" customHeight="false" outlineLevel="0" collapsed="false">
      <c r="A1185" s="28" t="n">
        <v>2021</v>
      </c>
      <c r="B1185" s="28" t="s">
        <v>102</v>
      </c>
      <c r="C1185" s="28" t="s">
        <v>51</v>
      </c>
      <c r="D1185" s="28" t="n">
        <v>18</v>
      </c>
      <c r="E1185" s="29" t="n">
        <v>11149600</v>
      </c>
      <c r="F1185" s="30" t="n">
        <v>89.55</v>
      </c>
      <c r="G1185" s="31" t="n">
        <f aca="false">IFERROR(F1185/D1185,0)</f>
        <v>4.975</v>
      </c>
    </row>
    <row r="1186" customFormat="false" ht="15" hidden="false" customHeight="false" outlineLevel="0" collapsed="false">
      <c r="A1186" s="28" t="n">
        <v>2021</v>
      </c>
      <c r="B1186" s="28" t="s">
        <v>102</v>
      </c>
      <c r="C1186" s="28" t="s">
        <v>45</v>
      </c>
      <c r="D1186" s="28" t="n">
        <v>48</v>
      </c>
      <c r="E1186" s="29" t="n">
        <v>16498900</v>
      </c>
      <c r="F1186" s="30" t="n">
        <v>256.3</v>
      </c>
      <c r="G1186" s="31" t="n">
        <f aca="false">IFERROR(F1186/D1186,0)</f>
        <v>5.33958333333333</v>
      </c>
    </row>
    <row r="1187" customFormat="false" ht="15" hidden="false" customHeight="false" outlineLevel="0" collapsed="false">
      <c r="A1187" s="28" t="n">
        <v>2021</v>
      </c>
      <c r="B1187" s="28" t="s">
        <v>102</v>
      </c>
      <c r="C1187" s="28" t="s">
        <v>56</v>
      </c>
      <c r="D1187" s="28" t="n">
        <v>2</v>
      </c>
      <c r="E1187" s="29" t="n">
        <v>1924200</v>
      </c>
      <c r="F1187" s="30" t="n">
        <v>9.25</v>
      </c>
      <c r="G1187" s="31" t="n">
        <f aca="false">IFERROR(F1187/D1187,0)</f>
        <v>4.625</v>
      </c>
    </row>
    <row r="1188" customFormat="false" ht="15" hidden="false" customHeight="false" outlineLevel="0" collapsed="false">
      <c r="A1188" s="28" t="n">
        <v>2021</v>
      </c>
      <c r="B1188" s="28" t="s">
        <v>102</v>
      </c>
      <c r="C1188" s="28" t="s">
        <v>54</v>
      </c>
      <c r="D1188" s="28" t="n">
        <v>11</v>
      </c>
      <c r="E1188" s="29" t="n">
        <v>6654000</v>
      </c>
      <c r="F1188" s="30" t="n">
        <v>59.86</v>
      </c>
      <c r="G1188" s="31" t="n">
        <f aca="false">IFERROR(F1188/D1188,0)</f>
        <v>5.44181818181818</v>
      </c>
    </row>
    <row r="1189" customFormat="false" ht="15" hidden="false" customHeight="false" outlineLevel="0" collapsed="false">
      <c r="A1189" s="28" t="n">
        <v>2021</v>
      </c>
      <c r="B1189" s="28" t="s">
        <v>102</v>
      </c>
      <c r="C1189" s="28" t="s">
        <v>44</v>
      </c>
      <c r="D1189" s="28" t="n">
        <v>46</v>
      </c>
      <c r="E1189" s="29" t="n">
        <v>27321000</v>
      </c>
      <c r="F1189" s="30" t="n">
        <v>226.74</v>
      </c>
      <c r="G1189" s="31" t="n">
        <f aca="false">IFERROR(F1189/D1189,0)</f>
        <v>4.92913043478261</v>
      </c>
    </row>
    <row r="1190" customFormat="false" ht="15" hidden="false" customHeight="false" outlineLevel="0" collapsed="false">
      <c r="A1190" s="28" t="n">
        <v>2021</v>
      </c>
      <c r="B1190" s="28" t="s">
        <v>102</v>
      </c>
      <c r="C1190" s="28" t="s">
        <v>57</v>
      </c>
      <c r="D1190" s="28" t="n">
        <v>7</v>
      </c>
      <c r="E1190" s="29" t="n">
        <v>759000</v>
      </c>
      <c r="F1190" s="30" t="n">
        <v>39.49</v>
      </c>
      <c r="G1190" s="31" t="n">
        <f aca="false">IFERROR(F1190/D1190,0)</f>
        <v>5.64142857142857</v>
      </c>
    </row>
    <row r="1191" customFormat="false" ht="15" hidden="false" customHeight="false" outlineLevel="0" collapsed="false">
      <c r="A1191" s="28" t="n">
        <v>2021</v>
      </c>
      <c r="B1191" s="28" t="s">
        <v>102</v>
      </c>
      <c r="C1191" s="28" t="s">
        <v>47</v>
      </c>
      <c r="D1191" s="28" t="n">
        <v>19</v>
      </c>
      <c r="E1191" s="29" t="n">
        <v>17939200</v>
      </c>
      <c r="F1191" s="30" t="n">
        <v>90.79</v>
      </c>
      <c r="G1191" s="31" t="n">
        <f aca="false">IFERROR(F1191/D1191,0)</f>
        <v>4.77842105263158</v>
      </c>
    </row>
    <row r="1192" customFormat="false" ht="15" hidden="false" customHeight="false" outlineLevel="0" collapsed="false">
      <c r="A1192" s="28" t="n">
        <v>2021</v>
      </c>
      <c r="B1192" s="28" t="s">
        <v>102</v>
      </c>
      <c r="C1192" s="28" t="s">
        <v>46</v>
      </c>
      <c r="D1192" s="28" t="n">
        <v>31</v>
      </c>
      <c r="E1192" s="29" t="n">
        <v>15918400</v>
      </c>
      <c r="F1192" s="30" t="n">
        <v>159.17</v>
      </c>
      <c r="G1192" s="31" t="n">
        <f aca="false">IFERROR(F1192/D1192,0)</f>
        <v>5.13451612903226</v>
      </c>
    </row>
    <row r="1193" customFormat="false" ht="15" hidden="false" customHeight="false" outlineLevel="0" collapsed="false">
      <c r="A1193" s="28" t="n">
        <v>2021</v>
      </c>
      <c r="B1193" s="28" t="s">
        <v>102</v>
      </c>
      <c r="C1193" s="28" t="s">
        <v>48</v>
      </c>
      <c r="D1193" s="28" t="n">
        <v>19</v>
      </c>
      <c r="E1193" s="29" t="n">
        <v>9141200</v>
      </c>
      <c r="F1193" s="30" t="n">
        <v>99.1</v>
      </c>
      <c r="G1193" s="31" t="n">
        <f aca="false">IFERROR(F1193/D1193,0)</f>
        <v>5.21578947368421</v>
      </c>
    </row>
    <row r="1194" customFormat="false" ht="15" hidden="false" customHeight="false" outlineLevel="0" collapsed="false">
      <c r="A1194" s="28" t="n">
        <v>2021</v>
      </c>
      <c r="B1194" s="28" t="s">
        <v>102</v>
      </c>
      <c r="C1194" s="28" t="s">
        <v>53</v>
      </c>
      <c r="D1194" s="28" t="n">
        <v>9</v>
      </c>
      <c r="E1194" s="29" t="n">
        <v>6298400</v>
      </c>
      <c r="F1194" s="30" t="n">
        <v>46.72</v>
      </c>
      <c r="G1194" s="31" t="n">
        <f aca="false">IFERROR(F1194/D1194,0)</f>
        <v>5.19111111111111</v>
      </c>
    </row>
    <row r="1195" customFormat="false" ht="15" hidden="false" customHeight="false" outlineLevel="0" collapsed="false">
      <c r="A1195" s="28" t="n">
        <v>2021</v>
      </c>
      <c r="B1195" s="28" t="s">
        <v>102</v>
      </c>
      <c r="C1195" s="28" t="s">
        <v>43</v>
      </c>
      <c r="D1195" s="28" t="n">
        <v>60</v>
      </c>
      <c r="E1195" s="29" t="n">
        <v>24823500</v>
      </c>
      <c r="F1195" s="30" t="n">
        <v>314.8</v>
      </c>
      <c r="G1195" s="31" t="n">
        <f aca="false">IFERROR(F1195/D1195,0)</f>
        <v>5.24666666666667</v>
      </c>
    </row>
    <row r="1196" customFormat="false" ht="15" hidden="false" customHeight="false" outlineLevel="0" collapsed="false">
      <c r="A1196" s="28" t="n">
        <v>2021</v>
      </c>
      <c r="B1196" s="28" t="s">
        <v>102</v>
      </c>
      <c r="C1196" s="28" t="s">
        <v>52</v>
      </c>
      <c r="D1196" s="28" t="n">
        <v>36</v>
      </c>
      <c r="E1196" s="29" t="n">
        <v>6903600</v>
      </c>
      <c r="F1196" s="30" t="n">
        <v>180.5</v>
      </c>
      <c r="G1196" s="31" t="n">
        <f aca="false">IFERROR(F1196/D1196,0)</f>
        <v>5.01388888888889</v>
      </c>
    </row>
    <row r="1197" customFormat="false" ht="15" hidden="false" customHeight="false" outlineLevel="0" collapsed="false">
      <c r="A1197" s="28" t="n">
        <v>2021</v>
      </c>
      <c r="B1197" s="28" t="s">
        <v>102</v>
      </c>
      <c r="C1197" s="28" t="s">
        <v>49</v>
      </c>
      <c r="D1197" s="28" t="n">
        <v>11</v>
      </c>
      <c r="E1197" s="29" t="n">
        <v>4149600</v>
      </c>
      <c r="F1197" s="30" t="n">
        <v>50.55</v>
      </c>
      <c r="G1197" s="31" t="n">
        <f aca="false">IFERROR(F1197/D1197,0)</f>
        <v>4.59545454545455</v>
      </c>
    </row>
    <row r="1198" customFormat="false" ht="15" hidden="false" customHeight="false" outlineLevel="0" collapsed="false">
      <c r="A1198" s="28" t="n">
        <v>2021</v>
      </c>
      <c r="B1198" s="28" t="s">
        <v>104</v>
      </c>
      <c r="C1198" s="28" t="s">
        <v>42</v>
      </c>
      <c r="D1198" s="28" t="n">
        <v>61</v>
      </c>
      <c r="E1198" s="29" t="n">
        <v>81613900</v>
      </c>
      <c r="F1198" s="30" t="n">
        <v>318.04</v>
      </c>
      <c r="G1198" s="31" t="n">
        <f aca="false">IFERROR(F1198/D1198,0)</f>
        <v>5.21377049180328</v>
      </c>
    </row>
    <row r="1199" customFormat="false" ht="15" hidden="false" customHeight="false" outlineLevel="0" collapsed="false">
      <c r="A1199" s="28" t="n">
        <v>2021</v>
      </c>
      <c r="B1199" s="28" t="s">
        <v>104</v>
      </c>
      <c r="C1199" s="28" t="s">
        <v>50</v>
      </c>
      <c r="D1199" s="28" t="n">
        <v>16</v>
      </c>
      <c r="E1199" s="29" t="n">
        <v>7856900</v>
      </c>
      <c r="F1199" s="30" t="n">
        <v>94.5</v>
      </c>
      <c r="G1199" s="31" t="n">
        <f aca="false">IFERROR(F1199/D1199,0)</f>
        <v>5.90625</v>
      </c>
    </row>
    <row r="1200" customFormat="false" ht="15" hidden="false" customHeight="false" outlineLevel="0" collapsed="false">
      <c r="A1200" s="28" t="n">
        <v>2021</v>
      </c>
      <c r="B1200" s="28" t="s">
        <v>104</v>
      </c>
      <c r="C1200" s="28" t="s">
        <v>55</v>
      </c>
      <c r="D1200" s="28" t="n">
        <v>8</v>
      </c>
      <c r="E1200" s="29" t="n">
        <v>4180500</v>
      </c>
      <c r="F1200" s="30" t="n">
        <v>41.1</v>
      </c>
      <c r="G1200" s="31" t="n">
        <f aca="false">IFERROR(F1200/D1200,0)</f>
        <v>5.1375</v>
      </c>
    </row>
    <row r="1201" customFormat="false" ht="15" hidden="false" customHeight="false" outlineLevel="0" collapsed="false">
      <c r="A1201" s="28" t="n">
        <v>2021</v>
      </c>
      <c r="B1201" s="28" t="s">
        <v>104</v>
      </c>
      <c r="C1201" s="28" t="s">
        <v>51</v>
      </c>
      <c r="D1201" s="28" t="n">
        <v>11</v>
      </c>
      <c r="E1201" s="29" t="n">
        <v>7911100</v>
      </c>
      <c r="F1201" s="30" t="n">
        <v>61.25</v>
      </c>
      <c r="G1201" s="31" t="n">
        <f aca="false">IFERROR(F1201/D1201,0)</f>
        <v>5.56818181818182</v>
      </c>
    </row>
    <row r="1202" customFormat="false" ht="15" hidden="false" customHeight="false" outlineLevel="0" collapsed="false">
      <c r="A1202" s="28" t="n">
        <v>2021</v>
      </c>
      <c r="B1202" s="28" t="s">
        <v>104</v>
      </c>
      <c r="C1202" s="28" t="s">
        <v>45</v>
      </c>
      <c r="D1202" s="28" t="n">
        <v>18</v>
      </c>
      <c r="E1202" s="29" t="n">
        <v>11618600</v>
      </c>
      <c r="F1202" s="30" t="n">
        <v>103.1</v>
      </c>
      <c r="G1202" s="31" t="n">
        <f aca="false">IFERROR(F1202/D1202,0)</f>
        <v>5.72777777777778</v>
      </c>
    </row>
    <row r="1203" customFormat="false" ht="15" hidden="false" customHeight="false" outlineLevel="0" collapsed="false">
      <c r="A1203" s="28" t="n">
        <v>2021</v>
      </c>
      <c r="B1203" s="28" t="s">
        <v>104</v>
      </c>
      <c r="C1203" s="28" t="s">
        <v>56</v>
      </c>
      <c r="D1203" s="28" t="n">
        <v>6</v>
      </c>
      <c r="E1203" s="29" t="n">
        <v>2543700</v>
      </c>
      <c r="F1203" s="30" t="n">
        <v>34.9</v>
      </c>
      <c r="G1203" s="31" t="n">
        <f aca="false">IFERROR(F1203/D1203,0)</f>
        <v>5.81666666666667</v>
      </c>
    </row>
    <row r="1204" customFormat="false" ht="15" hidden="false" customHeight="false" outlineLevel="0" collapsed="false">
      <c r="A1204" s="28" t="n">
        <v>2021</v>
      </c>
      <c r="B1204" s="28" t="s">
        <v>104</v>
      </c>
      <c r="C1204" s="28" t="s">
        <v>54</v>
      </c>
      <c r="D1204" s="28" t="n">
        <v>16</v>
      </c>
      <c r="E1204" s="29" t="n">
        <v>9588500</v>
      </c>
      <c r="F1204" s="30" t="n">
        <v>93</v>
      </c>
      <c r="G1204" s="31" t="n">
        <f aca="false">IFERROR(F1204/D1204,0)</f>
        <v>5.8125</v>
      </c>
    </row>
    <row r="1205" customFormat="false" ht="15" hidden="false" customHeight="false" outlineLevel="0" collapsed="false">
      <c r="A1205" s="28" t="n">
        <v>2021</v>
      </c>
      <c r="B1205" s="28" t="s">
        <v>104</v>
      </c>
      <c r="C1205" s="28" t="s">
        <v>44</v>
      </c>
      <c r="D1205" s="28" t="n">
        <v>31</v>
      </c>
      <c r="E1205" s="29" t="n">
        <v>23268500</v>
      </c>
      <c r="F1205" s="30" t="n">
        <v>163.425</v>
      </c>
      <c r="G1205" s="31" t="n">
        <f aca="false">IFERROR(F1205/D1205,0)</f>
        <v>5.27177419354839</v>
      </c>
    </row>
    <row r="1206" customFormat="false" ht="15" hidden="false" customHeight="false" outlineLevel="0" collapsed="false">
      <c r="A1206" s="28" t="n">
        <v>2021</v>
      </c>
      <c r="B1206" s="28" t="s">
        <v>104</v>
      </c>
      <c r="C1206" s="28" t="s">
        <v>57</v>
      </c>
      <c r="D1206" s="28" t="n">
        <v>2</v>
      </c>
      <c r="E1206" s="29" t="n">
        <v>1271000</v>
      </c>
      <c r="F1206" s="30" t="n">
        <v>12</v>
      </c>
      <c r="G1206" s="31" t="n">
        <f aca="false">IFERROR(F1206/D1206,0)</f>
        <v>6</v>
      </c>
    </row>
    <row r="1207" customFormat="false" ht="15" hidden="false" customHeight="false" outlineLevel="0" collapsed="false">
      <c r="A1207" s="28" t="n">
        <v>2021</v>
      </c>
      <c r="B1207" s="28" t="s">
        <v>104</v>
      </c>
      <c r="C1207" s="28" t="s">
        <v>47</v>
      </c>
      <c r="D1207" s="28" t="n">
        <v>15</v>
      </c>
      <c r="E1207" s="29" t="n">
        <v>11148200</v>
      </c>
      <c r="F1207" s="30" t="n">
        <v>78.14</v>
      </c>
      <c r="G1207" s="31" t="n">
        <f aca="false">IFERROR(F1207/D1207,0)</f>
        <v>5.20933333333333</v>
      </c>
    </row>
    <row r="1208" customFormat="false" ht="15" hidden="false" customHeight="false" outlineLevel="0" collapsed="false">
      <c r="A1208" s="28" t="n">
        <v>2021</v>
      </c>
      <c r="B1208" s="28" t="s">
        <v>104</v>
      </c>
      <c r="C1208" s="28" t="s">
        <v>58</v>
      </c>
      <c r="D1208" s="28" t="n">
        <v>5</v>
      </c>
      <c r="E1208" s="29" t="n">
        <v>8353000</v>
      </c>
      <c r="F1208" s="30" t="n">
        <v>28.25</v>
      </c>
      <c r="G1208" s="31" t="n">
        <f aca="false">IFERROR(F1208/D1208,0)</f>
        <v>5.65</v>
      </c>
    </row>
    <row r="1209" customFormat="false" ht="15" hidden="false" customHeight="false" outlineLevel="0" collapsed="false">
      <c r="A1209" s="28" t="n">
        <v>2021</v>
      </c>
      <c r="B1209" s="28" t="s">
        <v>104</v>
      </c>
      <c r="C1209" s="28" t="s">
        <v>46</v>
      </c>
      <c r="D1209" s="28" t="n">
        <v>30</v>
      </c>
      <c r="E1209" s="29" t="n">
        <v>19110800</v>
      </c>
      <c r="F1209" s="30" t="n">
        <v>165.5</v>
      </c>
      <c r="G1209" s="31" t="n">
        <f aca="false">IFERROR(F1209/D1209,0)</f>
        <v>5.51666666666667</v>
      </c>
    </row>
    <row r="1210" customFormat="false" ht="15" hidden="false" customHeight="false" outlineLevel="0" collapsed="false">
      <c r="A1210" s="28" t="n">
        <v>2021</v>
      </c>
      <c r="B1210" s="28" t="s">
        <v>104</v>
      </c>
      <c r="C1210" s="28" t="s">
        <v>48</v>
      </c>
      <c r="D1210" s="28" t="n">
        <v>26</v>
      </c>
      <c r="E1210" s="29" t="n">
        <v>9380800</v>
      </c>
      <c r="F1210" s="30" t="n">
        <v>150</v>
      </c>
      <c r="G1210" s="31" t="n">
        <f aca="false">IFERROR(F1210/D1210,0)</f>
        <v>5.76923076923077</v>
      </c>
    </row>
    <row r="1211" customFormat="false" ht="15" hidden="false" customHeight="false" outlineLevel="0" collapsed="false">
      <c r="A1211" s="28" t="n">
        <v>2021</v>
      </c>
      <c r="B1211" s="28" t="s">
        <v>104</v>
      </c>
      <c r="C1211" s="28" t="s">
        <v>53</v>
      </c>
      <c r="D1211" s="28" t="n">
        <v>12</v>
      </c>
      <c r="E1211" s="29" t="n">
        <v>13490300</v>
      </c>
      <c r="F1211" s="30" t="n">
        <v>60.82</v>
      </c>
      <c r="G1211" s="31" t="n">
        <f aca="false">IFERROR(F1211/D1211,0)</f>
        <v>5.06833333333333</v>
      </c>
    </row>
    <row r="1212" customFormat="false" ht="15" hidden="false" customHeight="false" outlineLevel="0" collapsed="false">
      <c r="A1212" s="28" t="n">
        <v>2021</v>
      </c>
      <c r="B1212" s="28" t="s">
        <v>104</v>
      </c>
      <c r="C1212" s="28" t="s">
        <v>43</v>
      </c>
      <c r="D1212" s="28" t="n">
        <v>31</v>
      </c>
      <c r="E1212" s="29" t="n">
        <v>19932400</v>
      </c>
      <c r="F1212" s="30" t="n">
        <v>175.06</v>
      </c>
      <c r="G1212" s="31" t="n">
        <f aca="false">IFERROR(F1212/D1212,0)</f>
        <v>5.64709677419355</v>
      </c>
    </row>
    <row r="1213" customFormat="false" ht="15" hidden="false" customHeight="false" outlineLevel="0" collapsed="false">
      <c r="A1213" s="28" t="n">
        <v>2021</v>
      </c>
      <c r="B1213" s="28" t="s">
        <v>104</v>
      </c>
      <c r="C1213" s="28" t="s">
        <v>52</v>
      </c>
      <c r="D1213" s="28" t="n">
        <v>14</v>
      </c>
      <c r="E1213" s="29" t="n">
        <v>15920100</v>
      </c>
      <c r="F1213" s="30" t="n">
        <v>80.79</v>
      </c>
      <c r="G1213" s="31" t="n">
        <f aca="false">IFERROR(F1213/D1213,0)</f>
        <v>5.77071428571429</v>
      </c>
    </row>
    <row r="1214" customFormat="false" ht="15" hidden="false" customHeight="false" outlineLevel="0" collapsed="false">
      <c r="A1214" s="28" t="n">
        <v>2021</v>
      </c>
      <c r="B1214" s="28" t="s">
        <v>104</v>
      </c>
      <c r="C1214" s="28" t="s">
        <v>49</v>
      </c>
      <c r="D1214" s="28" t="n">
        <v>16</v>
      </c>
      <c r="E1214" s="29" t="n">
        <v>7687300</v>
      </c>
      <c r="F1214" s="30" t="n">
        <v>90.25</v>
      </c>
      <c r="G1214" s="31" t="n">
        <f aca="false">IFERROR(F1214/D1214,0)</f>
        <v>5.640625</v>
      </c>
    </row>
    <row r="1215" customFormat="false" ht="15" hidden="false" customHeight="false" outlineLevel="0" collapsed="false">
      <c r="A1215" s="28" t="n">
        <v>2021</v>
      </c>
      <c r="B1215" s="28" t="s">
        <v>106</v>
      </c>
      <c r="C1215" s="28" t="s">
        <v>42</v>
      </c>
      <c r="D1215" s="28" t="n">
        <v>70</v>
      </c>
      <c r="E1215" s="29" t="n">
        <v>30995400</v>
      </c>
      <c r="F1215" s="30" t="n">
        <v>367.2</v>
      </c>
      <c r="G1215" s="31" t="n">
        <f aca="false">IFERROR(F1215/D1215,0)</f>
        <v>5.24571428571429</v>
      </c>
    </row>
    <row r="1216" customFormat="false" ht="15" hidden="false" customHeight="false" outlineLevel="0" collapsed="false">
      <c r="A1216" s="28" t="n">
        <v>2021</v>
      </c>
      <c r="B1216" s="28" t="s">
        <v>106</v>
      </c>
      <c r="C1216" s="28" t="s">
        <v>50</v>
      </c>
      <c r="D1216" s="28" t="n">
        <v>90</v>
      </c>
      <c r="E1216" s="29" t="n">
        <v>25053300</v>
      </c>
      <c r="F1216" s="30" t="n">
        <v>500.62</v>
      </c>
      <c r="G1216" s="31" t="n">
        <f aca="false">IFERROR(F1216/D1216,0)</f>
        <v>5.56244444444444</v>
      </c>
    </row>
    <row r="1217" customFormat="false" ht="15" hidden="false" customHeight="false" outlineLevel="0" collapsed="false">
      <c r="A1217" s="28" t="n">
        <v>2021</v>
      </c>
      <c r="B1217" s="28" t="s">
        <v>106</v>
      </c>
      <c r="C1217" s="28" t="s">
        <v>55</v>
      </c>
      <c r="D1217" s="28" t="n">
        <v>4</v>
      </c>
      <c r="E1217" s="29" t="n">
        <v>1690500</v>
      </c>
      <c r="F1217" s="30" t="n">
        <v>20.49</v>
      </c>
      <c r="G1217" s="31" t="n">
        <f aca="false">IFERROR(F1217/D1217,0)</f>
        <v>5.1225</v>
      </c>
    </row>
    <row r="1218" customFormat="false" ht="15" hidden="false" customHeight="false" outlineLevel="0" collapsed="false">
      <c r="A1218" s="28" t="n">
        <v>2021</v>
      </c>
      <c r="B1218" s="28" t="s">
        <v>106</v>
      </c>
      <c r="C1218" s="28" t="s">
        <v>51</v>
      </c>
      <c r="D1218" s="28" t="n">
        <v>17</v>
      </c>
      <c r="E1218" s="29" t="n">
        <v>9665100</v>
      </c>
      <c r="F1218" s="30" t="n">
        <v>100.29</v>
      </c>
      <c r="G1218" s="31" t="n">
        <f aca="false">IFERROR(F1218/D1218,0)</f>
        <v>5.89941176470588</v>
      </c>
    </row>
    <row r="1219" customFormat="false" ht="15" hidden="false" customHeight="false" outlineLevel="0" collapsed="false">
      <c r="A1219" s="28" t="n">
        <v>2021</v>
      </c>
      <c r="B1219" s="28" t="s">
        <v>106</v>
      </c>
      <c r="C1219" s="28" t="s">
        <v>45</v>
      </c>
      <c r="D1219" s="28" t="n">
        <v>146</v>
      </c>
      <c r="E1219" s="29" t="n">
        <v>42149700</v>
      </c>
      <c r="F1219" s="30" t="n">
        <v>757.71</v>
      </c>
      <c r="G1219" s="31" t="n">
        <f aca="false">IFERROR(F1219/D1219,0)</f>
        <v>5.18979452054795</v>
      </c>
    </row>
    <row r="1220" customFormat="false" ht="15" hidden="false" customHeight="false" outlineLevel="0" collapsed="false">
      <c r="A1220" s="28" t="n">
        <v>2021</v>
      </c>
      <c r="B1220" s="28" t="s">
        <v>106</v>
      </c>
      <c r="C1220" s="28" t="s">
        <v>56</v>
      </c>
      <c r="D1220" s="28" t="n">
        <v>15</v>
      </c>
      <c r="E1220" s="29" t="n">
        <v>10421000</v>
      </c>
      <c r="F1220" s="30" t="n">
        <v>87.41</v>
      </c>
      <c r="G1220" s="31" t="n">
        <f aca="false">IFERROR(F1220/D1220,0)</f>
        <v>5.82733333333333</v>
      </c>
    </row>
    <row r="1221" customFormat="false" ht="15" hidden="false" customHeight="false" outlineLevel="0" collapsed="false">
      <c r="A1221" s="28" t="n">
        <v>2021</v>
      </c>
      <c r="B1221" s="28" t="s">
        <v>106</v>
      </c>
      <c r="C1221" s="28" t="s">
        <v>54</v>
      </c>
      <c r="D1221" s="28" t="n">
        <v>17</v>
      </c>
      <c r="E1221" s="29" t="n">
        <v>9682600</v>
      </c>
      <c r="F1221" s="30" t="n">
        <v>89.88</v>
      </c>
      <c r="G1221" s="31" t="n">
        <f aca="false">IFERROR(F1221/D1221,0)</f>
        <v>5.28705882352941</v>
      </c>
    </row>
    <row r="1222" customFormat="false" ht="15" hidden="false" customHeight="false" outlineLevel="0" collapsed="false">
      <c r="A1222" s="28" t="n">
        <v>2021</v>
      </c>
      <c r="B1222" s="28" t="s">
        <v>106</v>
      </c>
      <c r="C1222" s="28" t="s">
        <v>44</v>
      </c>
      <c r="D1222" s="28" t="n">
        <v>84</v>
      </c>
      <c r="E1222" s="29" t="n">
        <v>61942500</v>
      </c>
      <c r="F1222" s="30" t="n">
        <v>422.3</v>
      </c>
      <c r="G1222" s="31" t="n">
        <f aca="false">IFERROR(F1222/D1222,0)</f>
        <v>5.02738095238095</v>
      </c>
    </row>
    <row r="1223" customFormat="false" ht="15" hidden="false" customHeight="false" outlineLevel="0" collapsed="false">
      <c r="A1223" s="28" t="n">
        <v>2021</v>
      </c>
      <c r="B1223" s="28" t="s">
        <v>106</v>
      </c>
      <c r="C1223" s="28" t="s">
        <v>57</v>
      </c>
      <c r="D1223" s="28" t="n">
        <v>8</v>
      </c>
      <c r="E1223" s="29" t="n">
        <v>5667000</v>
      </c>
      <c r="F1223" s="30" t="n">
        <v>44.75</v>
      </c>
      <c r="G1223" s="31" t="n">
        <f aca="false">IFERROR(F1223/D1223,0)</f>
        <v>5.59375</v>
      </c>
    </row>
    <row r="1224" customFormat="false" ht="15" hidden="false" customHeight="false" outlineLevel="0" collapsed="false">
      <c r="A1224" s="28" t="n">
        <v>2021</v>
      </c>
      <c r="B1224" s="28" t="s">
        <v>106</v>
      </c>
      <c r="C1224" s="28" t="s">
        <v>47</v>
      </c>
      <c r="D1224" s="28" t="n">
        <v>62</v>
      </c>
      <c r="E1224" s="29" t="n">
        <v>33025800</v>
      </c>
      <c r="F1224" s="30" t="n">
        <v>353.03</v>
      </c>
      <c r="G1224" s="31" t="n">
        <f aca="false">IFERROR(F1224/D1224,0)</f>
        <v>5.69403225806452</v>
      </c>
    </row>
    <row r="1225" customFormat="false" ht="15" hidden="false" customHeight="false" outlineLevel="0" collapsed="false">
      <c r="A1225" s="28" t="n">
        <v>2021</v>
      </c>
      <c r="B1225" s="28" t="s">
        <v>106</v>
      </c>
      <c r="C1225" s="28" t="s">
        <v>46</v>
      </c>
      <c r="D1225" s="28" t="n">
        <v>73</v>
      </c>
      <c r="E1225" s="29" t="n">
        <v>32434900</v>
      </c>
      <c r="F1225" s="30" t="n">
        <v>393.44</v>
      </c>
      <c r="G1225" s="31" t="n">
        <f aca="false">IFERROR(F1225/D1225,0)</f>
        <v>5.38958904109589</v>
      </c>
    </row>
    <row r="1226" customFormat="false" ht="15" hidden="false" customHeight="false" outlineLevel="0" collapsed="false">
      <c r="A1226" s="28" t="n">
        <v>2021</v>
      </c>
      <c r="B1226" s="28" t="s">
        <v>106</v>
      </c>
      <c r="C1226" s="28" t="s">
        <v>48</v>
      </c>
      <c r="D1226" s="28" t="n">
        <v>121</v>
      </c>
      <c r="E1226" s="29" t="n">
        <v>45655400</v>
      </c>
      <c r="F1226" s="30" t="n">
        <v>691.175</v>
      </c>
      <c r="G1226" s="31" t="n">
        <f aca="false">IFERROR(F1226/D1226,0)</f>
        <v>5.71219008264463</v>
      </c>
    </row>
    <row r="1227" customFormat="false" ht="15" hidden="false" customHeight="false" outlineLevel="0" collapsed="false">
      <c r="A1227" s="28" t="n">
        <v>2021</v>
      </c>
      <c r="B1227" s="28" t="s">
        <v>106</v>
      </c>
      <c r="C1227" s="28" t="s">
        <v>53</v>
      </c>
      <c r="D1227" s="28" t="n">
        <v>23</v>
      </c>
      <c r="E1227" s="29" t="n">
        <v>17419500</v>
      </c>
      <c r="F1227" s="30" t="n">
        <v>106.81</v>
      </c>
      <c r="G1227" s="31" t="n">
        <f aca="false">IFERROR(F1227/D1227,0)</f>
        <v>4.64391304347826</v>
      </c>
    </row>
    <row r="1228" customFormat="false" ht="15" hidden="false" customHeight="false" outlineLevel="0" collapsed="false">
      <c r="A1228" s="28" t="n">
        <v>2021</v>
      </c>
      <c r="B1228" s="28" t="s">
        <v>106</v>
      </c>
      <c r="C1228" s="28" t="s">
        <v>43</v>
      </c>
      <c r="D1228" s="28" t="n">
        <v>158</v>
      </c>
      <c r="E1228" s="29" t="n">
        <v>56657200</v>
      </c>
      <c r="F1228" s="30" t="n">
        <v>864.225</v>
      </c>
      <c r="G1228" s="31" t="n">
        <f aca="false">IFERROR(F1228/D1228,0)</f>
        <v>5.46977848101266</v>
      </c>
    </row>
    <row r="1229" customFormat="false" ht="15" hidden="false" customHeight="false" outlineLevel="0" collapsed="false">
      <c r="A1229" s="28" t="n">
        <v>2021</v>
      </c>
      <c r="B1229" s="28" t="s">
        <v>106</v>
      </c>
      <c r="C1229" s="28" t="s">
        <v>52</v>
      </c>
      <c r="D1229" s="28" t="n">
        <v>27</v>
      </c>
      <c r="E1229" s="29" t="n">
        <v>7718600</v>
      </c>
      <c r="F1229" s="30" t="n">
        <v>140.6</v>
      </c>
      <c r="G1229" s="31" t="n">
        <f aca="false">IFERROR(F1229/D1229,0)</f>
        <v>5.20740740740741</v>
      </c>
    </row>
    <row r="1230" customFormat="false" ht="15" hidden="false" customHeight="false" outlineLevel="0" collapsed="false">
      <c r="A1230" s="28" t="n">
        <v>2021</v>
      </c>
      <c r="B1230" s="28" t="s">
        <v>106</v>
      </c>
      <c r="C1230" s="28" t="s">
        <v>60</v>
      </c>
      <c r="D1230" s="28" t="n">
        <v>4</v>
      </c>
      <c r="E1230" s="29" t="n">
        <v>3613300</v>
      </c>
      <c r="F1230" s="30" t="n">
        <v>18.75</v>
      </c>
      <c r="G1230" s="31" t="n">
        <f aca="false">IFERROR(F1230/D1230,0)</f>
        <v>4.6875</v>
      </c>
    </row>
    <row r="1231" customFormat="false" ht="15" hidden="false" customHeight="false" outlineLevel="0" collapsed="false">
      <c r="A1231" s="28" t="n">
        <v>2021</v>
      </c>
      <c r="B1231" s="28" t="s">
        <v>106</v>
      </c>
      <c r="C1231" s="28" t="s">
        <v>49</v>
      </c>
      <c r="D1231" s="28" t="n">
        <v>32</v>
      </c>
      <c r="E1231" s="29" t="n">
        <v>22973700</v>
      </c>
      <c r="F1231" s="30" t="n">
        <v>161.55</v>
      </c>
      <c r="G1231" s="31" t="n">
        <f aca="false">IFERROR(F1231/D1231,0)</f>
        <v>5.0484375</v>
      </c>
    </row>
    <row r="1232" customFormat="false" ht="15" hidden="false" customHeight="false" outlineLevel="0" collapsed="false">
      <c r="A1232" s="28" t="n">
        <v>2021</v>
      </c>
      <c r="B1232" s="28" t="s">
        <v>107</v>
      </c>
      <c r="C1232" s="28" t="s">
        <v>42</v>
      </c>
      <c r="D1232" s="28" t="n">
        <v>61</v>
      </c>
      <c r="E1232" s="29" t="n">
        <v>67536200</v>
      </c>
      <c r="F1232" s="30" t="n">
        <v>362.05</v>
      </c>
      <c r="G1232" s="31" t="n">
        <f aca="false">IFERROR(F1232/D1232,0)</f>
        <v>5.93524590163935</v>
      </c>
    </row>
    <row r="1233" customFormat="false" ht="15" hidden="false" customHeight="false" outlineLevel="0" collapsed="false">
      <c r="A1233" s="28" t="n">
        <v>2021</v>
      </c>
      <c r="B1233" s="28" t="s">
        <v>107</v>
      </c>
      <c r="C1233" s="28" t="s">
        <v>50</v>
      </c>
      <c r="D1233" s="28" t="n">
        <v>32</v>
      </c>
      <c r="E1233" s="29" t="n">
        <v>6968100</v>
      </c>
      <c r="F1233" s="30" t="n">
        <v>200.5</v>
      </c>
      <c r="G1233" s="31" t="n">
        <f aca="false">IFERROR(F1233/D1233,0)</f>
        <v>6.265625</v>
      </c>
    </row>
    <row r="1234" customFormat="false" ht="15" hidden="false" customHeight="false" outlineLevel="0" collapsed="false">
      <c r="A1234" s="28" t="n">
        <v>2021</v>
      </c>
      <c r="B1234" s="28" t="s">
        <v>107</v>
      </c>
      <c r="C1234" s="28" t="s">
        <v>55</v>
      </c>
      <c r="D1234" s="28" t="n">
        <v>1</v>
      </c>
      <c r="E1234" s="29" t="n">
        <v>180000</v>
      </c>
      <c r="F1234" s="30" t="n">
        <v>6</v>
      </c>
      <c r="G1234" s="31" t="n">
        <f aca="false">IFERROR(F1234/D1234,0)</f>
        <v>6</v>
      </c>
    </row>
    <row r="1235" customFormat="false" ht="15" hidden="false" customHeight="false" outlineLevel="0" collapsed="false">
      <c r="A1235" s="28" t="n">
        <v>2021</v>
      </c>
      <c r="B1235" s="28" t="s">
        <v>107</v>
      </c>
      <c r="C1235" s="28" t="s">
        <v>51</v>
      </c>
      <c r="D1235" s="28" t="n">
        <v>17</v>
      </c>
      <c r="E1235" s="29" t="n">
        <v>7419100</v>
      </c>
      <c r="F1235" s="30" t="n">
        <v>104.32</v>
      </c>
      <c r="G1235" s="31" t="n">
        <f aca="false">IFERROR(F1235/D1235,0)</f>
        <v>6.13647058823529</v>
      </c>
    </row>
    <row r="1236" customFormat="false" ht="15" hidden="false" customHeight="false" outlineLevel="0" collapsed="false">
      <c r="A1236" s="28" t="n">
        <v>2021</v>
      </c>
      <c r="B1236" s="28" t="s">
        <v>107</v>
      </c>
      <c r="C1236" s="28" t="s">
        <v>45</v>
      </c>
      <c r="D1236" s="28" t="n">
        <v>75</v>
      </c>
      <c r="E1236" s="29" t="n">
        <v>27525500</v>
      </c>
      <c r="F1236" s="30" t="n">
        <v>469.98</v>
      </c>
      <c r="G1236" s="31" t="n">
        <f aca="false">IFERROR(F1236/D1236,0)</f>
        <v>6.2664</v>
      </c>
    </row>
    <row r="1237" customFormat="false" ht="15" hidden="false" customHeight="false" outlineLevel="0" collapsed="false">
      <c r="A1237" s="28" t="n">
        <v>2021</v>
      </c>
      <c r="B1237" s="28" t="s">
        <v>107</v>
      </c>
      <c r="C1237" s="28" t="s">
        <v>56</v>
      </c>
      <c r="D1237" s="28" t="n">
        <v>13</v>
      </c>
      <c r="E1237" s="29" t="n">
        <v>4795300</v>
      </c>
      <c r="F1237" s="30" t="n">
        <v>81.5</v>
      </c>
      <c r="G1237" s="31" t="n">
        <f aca="false">IFERROR(F1237/D1237,0)</f>
        <v>6.26923076923077</v>
      </c>
    </row>
    <row r="1238" customFormat="false" ht="15" hidden="false" customHeight="false" outlineLevel="0" collapsed="false">
      <c r="A1238" s="28" t="n">
        <v>2021</v>
      </c>
      <c r="B1238" s="28" t="s">
        <v>107</v>
      </c>
      <c r="C1238" s="28" t="s">
        <v>54</v>
      </c>
      <c r="D1238" s="28" t="n">
        <v>16</v>
      </c>
      <c r="E1238" s="29" t="n">
        <v>10519300</v>
      </c>
      <c r="F1238" s="30" t="n">
        <v>96.89</v>
      </c>
      <c r="G1238" s="31" t="n">
        <f aca="false">IFERROR(F1238/D1238,0)</f>
        <v>6.055625</v>
      </c>
    </row>
    <row r="1239" customFormat="false" ht="15" hidden="false" customHeight="false" outlineLevel="0" collapsed="false">
      <c r="A1239" s="28" t="n">
        <v>2021</v>
      </c>
      <c r="B1239" s="28" t="s">
        <v>107</v>
      </c>
      <c r="C1239" s="28" t="s">
        <v>44</v>
      </c>
      <c r="D1239" s="28" t="n">
        <v>65</v>
      </c>
      <c r="E1239" s="29" t="n">
        <v>43940300</v>
      </c>
      <c r="F1239" s="30" t="n">
        <v>391.26</v>
      </c>
      <c r="G1239" s="31" t="n">
        <f aca="false">IFERROR(F1239/D1239,0)</f>
        <v>6.01938461538462</v>
      </c>
    </row>
    <row r="1240" customFormat="false" ht="15" hidden="false" customHeight="false" outlineLevel="0" collapsed="false">
      <c r="A1240" s="28" t="n">
        <v>2021</v>
      </c>
      <c r="B1240" s="28" t="s">
        <v>107</v>
      </c>
      <c r="C1240" s="28" t="s">
        <v>57</v>
      </c>
      <c r="D1240" s="28" t="n">
        <v>9</v>
      </c>
      <c r="E1240" s="29" t="n">
        <v>1095900</v>
      </c>
      <c r="F1240" s="30" t="n">
        <v>66.75</v>
      </c>
      <c r="G1240" s="31" t="n">
        <f aca="false">IFERROR(F1240/D1240,0)</f>
        <v>7.41666666666667</v>
      </c>
    </row>
    <row r="1241" customFormat="false" ht="15" hidden="false" customHeight="false" outlineLevel="0" collapsed="false">
      <c r="A1241" s="28" t="n">
        <v>2021</v>
      </c>
      <c r="B1241" s="28" t="s">
        <v>107</v>
      </c>
      <c r="C1241" s="28" t="s">
        <v>47</v>
      </c>
      <c r="D1241" s="28" t="n">
        <v>20</v>
      </c>
      <c r="E1241" s="29" t="n">
        <v>6281100</v>
      </c>
      <c r="F1241" s="30" t="n">
        <v>125.21</v>
      </c>
      <c r="G1241" s="31" t="n">
        <f aca="false">IFERROR(F1241/D1241,0)</f>
        <v>6.2605</v>
      </c>
    </row>
    <row r="1242" customFormat="false" ht="15" hidden="false" customHeight="false" outlineLevel="0" collapsed="false">
      <c r="A1242" s="28" t="n">
        <v>2021</v>
      </c>
      <c r="B1242" s="28" t="s">
        <v>107</v>
      </c>
      <c r="C1242" s="28" t="s">
        <v>46</v>
      </c>
      <c r="D1242" s="28" t="n">
        <v>61</v>
      </c>
      <c r="E1242" s="29" t="n">
        <v>32315000</v>
      </c>
      <c r="F1242" s="30" t="n">
        <v>372.68</v>
      </c>
      <c r="G1242" s="31" t="n">
        <f aca="false">IFERROR(F1242/D1242,0)</f>
        <v>6.10950819672131</v>
      </c>
    </row>
    <row r="1243" customFormat="false" ht="15" hidden="false" customHeight="false" outlineLevel="0" collapsed="false">
      <c r="A1243" s="28" t="n">
        <v>2021</v>
      </c>
      <c r="B1243" s="28" t="s">
        <v>107</v>
      </c>
      <c r="C1243" s="28" t="s">
        <v>48</v>
      </c>
      <c r="D1243" s="28" t="n">
        <v>84</v>
      </c>
      <c r="E1243" s="29" t="n">
        <v>44117700</v>
      </c>
      <c r="F1243" s="30" t="n">
        <v>541.11</v>
      </c>
      <c r="G1243" s="31" t="n">
        <f aca="false">IFERROR(F1243/D1243,0)</f>
        <v>6.44178571428571</v>
      </c>
    </row>
    <row r="1244" customFormat="false" ht="15" hidden="false" customHeight="false" outlineLevel="0" collapsed="false">
      <c r="A1244" s="28" t="n">
        <v>2021</v>
      </c>
      <c r="B1244" s="28" t="s">
        <v>107</v>
      </c>
      <c r="C1244" s="28" t="s">
        <v>53</v>
      </c>
      <c r="D1244" s="28" t="n">
        <v>11</v>
      </c>
      <c r="E1244" s="29" t="n">
        <v>5669000</v>
      </c>
      <c r="F1244" s="30" t="n">
        <v>64</v>
      </c>
      <c r="G1244" s="31" t="n">
        <f aca="false">IFERROR(F1244/D1244,0)</f>
        <v>5.81818181818182</v>
      </c>
    </row>
    <row r="1245" customFormat="false" ht="15" hidden="false" customHeight="false" outlineLevel="0" collapsed="false">
      <c r="A1245" s="28" t="n">
        <v>2021</v>
      </c>
      <c r="B1245" s="28" t="s">
        <v>107</v>
      </c>
      <c r="C1245" s="28" t="s">
        <v>43</v>
      </c>
      <c r="D1245" s="28" t="n">
        <v>68</v>
      </c>
      <c r="E1245" s="29" t="n">
        <v>46195900</v>
      </c>
      <c r="F1245" s="30" t="n">
        <v>417.35</v>
      </c>
      <c r="G1245" s="31" t="n">
        <f aca="false">IFERROR(F1245/D1245,0)</f>
        <v>6.1375</v>
      </c>
    </row>
    <row r="1246" customFormat="false" ht="15" hidden="false" customHeight="false" outlineLevel="0" collapsed="false">
      <c r="A1246" s="28" t="n">
        <v>2021</v>
      </c>
      <c r="B1246" s="28" t="s">
        <v>107</v>
      </c>
      <c r="C1246" s="28" t="s">
        <v>52</v>
      </c>
      <c r="D1246" s="28" t="n">
        <v>34</v>
      </c>
      <c r="E1246" s="29" t="n">
        <v>15239000</v>
      </c>
      <c r="F1246" s="30" t="n">
        <v>216.75</v>
      </c>
      <c r="G1246" s="31" t="n">
        <f aca="false">IFERROR(F1246/D1246,0)</f>
        <v>6.375</v>
      </c>
    </row>
    <row r="1247" customFormat="false" ht="15" hidden="false" customHeight="false" outlineLevel="0" collapsed="false">
      <c r="A1247" s="28" t="n">
        <v>2021</v>
      </c>
      <c r="B1247" s="28" t="s">
        <v>107</v>
      </c>
      <c r="C1247" s="28" t="s">
        <v>60</v>
      </c>
      <c r="D1247" s="28" t="n">
        <v>1</v>
      </c>
      <c r="E1247" s="29" t="n">
        <v>5000</v>
      </c>
      <c r="F1247" s="30" t="n">
        <v>9.75</v>
      </c>
      <c r="G1247" s="31" t="n">
        <f aca="false">IFERROR(F1247/D1247,0)</f>
        <v>9.75</v>
      </c>
    </row>
    <row r="1248" customFormat="false" ht="15" hidden="false" customHeight="false" outlineLevel="0" collapsed="false">
      <c r="A1248" s="28" t="n">
        <v>2021</v>
      </c>
      <c r="B1248" s="28" t="s">
        <v>107</v>
      </c>
      <c r="C1248" s="28" t="s">
        <v>49</v>
      </c>
      <c r="D1248" s="28" t="n">
        <v>12</v>
      </c>
      <c r="E1248" s="29" t="n">
        <v>10549500</v>
      </c>
      <c r="F1248" s="30" t="n">
        <v>81.05</v>
      </c>
      <c r="G1248" s="31" t="n">
        <f aca="false">IFERROR(F1248/D1248,0)</f>
        <v>6.75416666666667</v>
      </c>
    </row>
    <row r="1249" customFormat="false" ht="15" hidden="false" customHeight="false" outlineLevel="0" collapsed="false">
      <c r="A1249" s="28" t="n">
        <v>2021</v>
      </c>
      <c r="B1249" s="28" t="s">
        <v>109</v>
      </c>
      <c r="C1249" s="28" t="s">
        <v>42</v>
      </c>
      <c r="D1249" s="28" t="n">
        <v>39</v>
      </c>
      <c r="E1249" s="29" t="n">
        <v>18617800</v>
      </c>
      <c r="F1249" s="30" t="n">
        <v>189.775</v>
      </c>
      <c r="G1249" s="31" t="n">
        <f aca="false">IFERROR(F1249/D1249,0)</f>
        <v>4.86602564102564</v>
      </c>
    </row>
    <row r="1250" customFormat="false" ht="15" hidden="false" customHeight="false" outlineLevel="0" collapsed="false">
      <c r="A1250" s="28" t="n">
        <v>2021</v>
      </c>
      <c r="B1250" s="28" t="s">
        <v>109</v>
      </c>
      <c r="C1250" s="28" t="s">
        <v>50</v>
      </c>
      <c r="D1250" s="28" t="n">
        <v>10</v>
      </c>
      <c r="E1250" s="29" t="n">
        <v>5407800</v>
      </c>
      <c r="F1250" s="30" t="n">
        <v>52.13</v>
      </c>
      <c r="G1250" s="31" t="n">
        <f aca="false">IFERROR(F1250/D1250,0)</f>
        <v>5.213</v>
      </c>
    </row>
    <row r="1251" customFormat="false" ht="15" hidden="false" customHeight="false" outlineLevel="0" collapsed="false">
      <c r="A1251" s="28" t="n">
        <v>2021</v>
      </c>
      <c r="B1251" s="28" t="s">
        <v>109</v>
      </c>
      <c r="C1251" s="28" t="s">
        <v>55</v>
      </c>
      <c r="D1251" s="28" t="n">
        <v>17</v>
      </c>
      <c r="E1251" s="29" t="n">
        <v>2419000</v>
      </c>
      <c r="F1251" s="30" t="n">
        <v>85.025</v>
      </c>
      <c r="G1251" s="31" t="n">
        <f aca="false">IFERROR(F1251/D1251,0)</f>
        <v>5.0014705882353</v>
      </c>
    </row>
    <row r="1252" customFormat="false" ht="15" hidden="false" customHeight="false" outlineLevel="0" collapsed="false">
      <c r="A1252" s="28" t="n">
        <v>2021</v>
      </c>
      <c r="B1252" s="28" t="s">
        <v>109</v>
      </c>
      <c r="C1252" s="28" t="s">
        <v>51</v>
      </c>
      <c r="D1252" s="28" t="n">
        <v>12</v>
      </c>
      <c r="E1252" s="29" t="n">
        <v>7232000</v>
      </c>
      <c r="F1252" s="30" t="n">
        <v>62.38</v>
      </c>
      <c r="G1252" s="31" t="n">
        <f aca="false">IFERROR(F1252/D1252,0)</f>
        <v>5.19833333333333</v>
      </c>
    </row>
    <row r="1253" customFormat="false" ht="15" hidden="false" customHeight="false" outlineLevel="0" collapsed="false">
      <c r="A1253" s="28" t="n">
        <v>2021</v>
      </c>
      <c r="B1253" s="28" t="s">
        <v>109</v>
      </c>
      <c r="C1253" s="28" t="s">
        <v>45</v>
      </c>
      <c r="D1253" s="28" t="n">
        <v>21</v>
      </c>
      <c r="E1253" s="29" t="n">
        <v>4034200</v>
      </c>
      <c r="F1253" s="30" t="n">
        <v>107.245</v>
      </c>
      <c r="G1253" s="31" t="n">
        <f aca="false">IFERROR(F1253/D1253,0)</f>
        <v>5.10690476190476</v>
      </c>
    </row>
    <row r="1254" customFormat="false" ht="15" hidden="false" customHeight="false" outlineLevel="0" collapsed="false">
      <c r="A1254" s="28" t="n">
        <v>2021</v>
      </c>
      <c r="B1254" s="28" t="s">
        <v>109</v>
      </c>
      <c r="C1254" s="28" t="s">
        <v>56</v>
      </c>
      <c r="D1254" s="28" t="n">
        <v>3</v>
      </c>
      <c r="E1254" s="29" t="n">
        <v>444300</v>
      </c>
      <c r="F1254" s="30" t="n">
        <v>14.5</v>
      </c>
      <c r="G1254" s="31" t="n">
        <f aca="false">IFERROR(F1254/D1254,0)</f>
        <v>4.83333333333333</v>
      </c>
    </row>
    <row r="1255" customFormat="false" ht="15" hidden="false" customHeight="false" outlineLevel="0" collapsed="false">
      <c r="A1255" s="28" t="n">
        <v>2021</v>
      </c>
      <c r="B1255" s="28" t="s">
        <v>109</v>
      </c>
      <c r="C1255" s="28" t="s">
        <v>54</v>
      </c>
      <c r="D1255" s="28" t="n">
        <v>6</v>
      </c>
      <c r="E1255" s="29" t="n">
        <v>2339400</v>
      </c>
      <c r="F1255" s="30" t="n">
        <v>35</v>
      </c>
      <c r="G1255" s="31" t="n">
        <f aca="false">IFERROR(F1255/D1255,0)</f>
        <v>5.83333333333333</v>
      </c>
    </row>
    <row r="1256" customFormat="false" ht="15" hidden="false" customHeight="false" outlineLevel="0" collapsed="false">
      <c r="A1256" s="28" t="n">
        <v>2021</v>
      </c>
      <c r="B1256" s="28" t="s">
        <v>109</v>
      </c>
      <c r="C1256" s="28" t="s">
        <v>44</v>
      </c>
      <c r="D1256" s="28" t="n">
        <v>25</v>
      </c>
      <c r="E1256" s="29" t="n">
        <v>11243300</v>
      </c>
      <c r="F1256" s="30" t="n">
        <v>124.115</v>
      </c>
      <c r="G1256" s="31" t="n">
        <f aca="false">IFERROR(F1256/D1256,0)</f>
        <v>4.9646</v>
      </c>
    </row>
    <row r="1257" customFormat="false" ht="15" hidden="false" customHeight="false" outlineLevel="0" collapsed="false">
      <c r="A1257" s="28" t="n">
        <v>2021</v>
      </c>
      <c r="B1257" s="28" t="s">
        <v>109</v>
      </c>
      <c r="C1257" s="28" t="s">
        <v>57</v>
      </c>
      <c r="D1257" s="28" t="n">
        <v>2</v>
      </c>
      <c r="E1257" s="29" t="n">
        <v>175000</v>
      </c>
      <c r="F1257" s="30" t="n">
        <v>7</v>
      </c>
      <c r="G1257" s="31" t="n">
        <f aca="false">IFERROR(F1257/D1257,0)</f>
        <v>3.5</v>
      </c>
    </row>
    <row r="1258" customFormat="false" ht="15" hidden="false" customHeight="false" outlineLevel="0" collapsed="false">
      <c r="A1258" s="28" t="n">
        <v>2021</v>
      </c>
      <c r="B1258" s="28" t="s">
        <v>109</v>
      </c>
      <c r="C1258" s="28" t="s">
        <v>47</v>
      </c>
      <c r="D1258" s="28" t="n">
        <v>27</v>
      </c>
      <c r="E1258" s="29" t="n">
        <v>9088900</v>
      </c>
      <c r="F1258" s="30" t="n">
        <v>124.1</v>
      </c>
      <c r="G1258" s="31" t="n">
        <f aca="false">IFERROR(F1258/D1258,0)</f>
        <v>4.5962962962963</v>
      </c>
    </row>
    <row r="1259" customFormat="false" ht="15" hidden="false" customHeight="false" outlineLevel="0" collapsed="false">
      <c r="A1259" s="28" t="n">
        <v>2021</v>
      </c>
      <c r="B1259" s="28" t="s">
        <v>109</v>
      </c>
      <c r="C1259" s="28" t="s">
        <v>46</v>
      </c>
      <c r="D1259" s="28" t="n">
        <v>15</v>
      </c>
      <c r="E1259" s="29" t="n">
        <v>5237300</v>
      </c>
      <c r="F1259" s="30" t="n">
        <v>75.54</v>
      </c>
      <c r="G1259" s="31" t="n">
        <f aca="false">IFERROR(F1259/D1259,0)</f>
        <v>5.036</v>
      </c>
    </row>
    <row r="1260" customFormat="false" ht="15" hidden="false" customHeight="false" outlineLevel="0" collapsed="false">
      <c r="A1260" s="28" t="n">
        <v>2021</v>
      </c>
      <c r="B1260" s="28" t="s">
        <v>109</v>
      </c>
      <c r="C1260" s="28" t="s">
        <v>48</v>
      </c>
      <c r="D1260" s="28" t="n">
        <v>13</v>
      </c>
      <c r="E1260" s="29" t="n">
        <v>1863900</v>
      </c>
      <c r="F1260" s="30" t="n">
        <v>72.68</v>
      </c>
      <c r="G1260" s="31" t="n">
        <f aca="false">IFERROR(F1260/D1260,0)</f>
        <v>5.59076923076923</v>
      </c>
    </row>
    <row r="1261" customFormat="false" ht="15" hidden="false" customHeight="false" outlineLevel="0" collapsed="false">
      <c r="A1261" s="28" t="n">
        <v>2021</v>
      </c>
      <c r="B1261" s="28" t="s">
        <v>109</v>
      </c>
      <c r="C1261" s="28" t="s">
        <v>61</v>
      </c>
      <c r="D1261" s="28" t="n">
        <v>2</v>
      </c>
      <c r="E1261" s="29" t="n">
        <v>4862500</v>
      </c>
      <c r="F1261" s="30" t="n">
        <v>7.64</v>
      </c>
      <c r="G1261" s="31" t="n">
        <f aca="false">IFERROR(F1261/D1261,0)</f>
        <v>3.82</v>
      </c>
    </row>
    <row r="1262" customFormat="false" ht="15" hidden="false" customHeight="false" outlineLevel="0" collapsed="false">
      <c r="A1262" s="28" t="n">
        <v>2021</v>
      </c>
      <c r="B1262" s="28" t="s">
        <v>109</v>
      </c>
      <c r="C1262" s="28" t="s">
        <v>53</v>
      </c>
      <c r="D1262" s="28" t="n">
        <v>10</v>
      </c>
      <c r="E1262" s="29" t="n">
        <v>10071800</v>
      </c>
      <c r="F1262" s="30" t="n">
        <v>46.795</v>
      </c>
      <c r="G1262" s="31" t="n">
        <f aca="false">IFERROR(F1262/D1262,0)</f>
        <v>4.6795</v>
      </c>
    </row>
    <row r="1263" customFormat="false" ht="15" hidden="false" customHeight="false" outlineLevel="0" collapsed="false">
      <c r="A1263" s="28" t="n">
        <v>2021</v>
      </c>
      <c r="B1263" s="28" t="s">
        <v>109</v>
      </c>
      <c r="C1263" s="28" t="s">
        <v>43</v>
      </c>
      <c r="D1263" s="28" t="n">
        <v>26</v>
      </c>
      <c r="E1263" s="29" t="n">
        <v>6608200</v>
      </c>
      <c r="F1263" s="30" t="n">
        <v>124.085</v>
      </c>
      <c r="G1263" s="31" t="n">
        <f aca="false">IFERROR(F1263/D1263,0)</f>
        <v>4.7725</v>
      </c>
    </row>
    <row r="1264" customFormat="false" ht="15" hidden="false" customHeight="false" outlineLevel="0" collapsed="false">
      <c r="A1264" s="28" t="n">
        <v>2021</v>
      </c>
      <c r="B1264" s="28" t="s">
        <v>109</v>
      </c>
      <c r="C1264" s="28" t="s">
        <v>52</v>
      </c>
      <c r="D1264" s="28" t="n">
        <v>8</v>
      </c>
      <c r="E1264" s="29" t="n">
        <v>4478700</v>
      </c>
      <c r="F1264" s="30" t="n">
        <v>39.44</v>
      </c>
      <c r="G1264" s="31" t="n">
        <f aca="false">IFERROR(F1264/D1264,0)</f>
        <v>4.93</v>
      </c>
    </row>
    <row r="1265" customFormat="false" ht="15" hidden="false" customHeight="false" outlineLevel="0" collapsed="false">
      <c r="A1265" s="28" t="n">
        <v>2021</v>
      </c>
      <c r="B1265" s="28" t="s">
        <v>109</v>
      </c>
      <c r="C1265" s="28" t="s">
        <v>49</v>
      </c>
      <c r="D1265" s="28" t="n">
        <v>7</v>
      </c>
      <c r="E1265" s="29" t="n">
        <v>2914000</v>
      </c>
      <c r="F1265" s="30" t="n">
        <v>32.72</v>
      </c>
      <c r="G1265" s="31" t="n">
        <f aca="false">IFERROR(F1265/D1265,0)</f>
        <v>4.67428571428571</v>
      </c>
    </row>
    <row r="1266" customFormat="false" ht="15" hidden="false" customHeight="false" outlineLevel="0" collapsed="false">
      <c r="A1266" s="28" t="n">
        <v>2021</v>
      </c>
      <c r="B1266" s="28" t="s">
        <v>95</v>
      </c>
      <c r="C1266" s="28" t="s">
        <v>42</v>
      </c>
      <c r="D1266" s="28" t="n">
        <v>222</v>
      </c>
      <c r="E1266" s="29" t="n">
        <v>143761700</v>
      </c>
      <c r="F1266" s="30" t="n">
        <v>1205.32</v>
      </c>
      <c r="G1266" s="31" t="n">
        <f aca="false">IFERROR(F1266/D1266,0)</f>
        <v>5.42936936936937</v>
      </c>
    </row>
    <row r="1267" customFormat="false" ht="15" hidden="false" customHeight="false" outlineLevel="0" collapsed="false">
      <c r="A1267" s="28" t="n">
        <v>2021</v>
      </c>
      <c r="B1267" s="28" t="s">
        <v>95</v>
      </c>
      <c r="C1267" s="28" t="s">
        <v>50</v>
      </c>
      <c r="D1267" s="28" t="n">
        <v>84</v>
      </c>
      <c r="E1267" s="29" t="n">
        <v>24800800</v>
      </c>
      <c r="F1267" s="30" t="n">
        <v>470.94</v>
      </c>
      <c r="G1267" s="31" t="n">
        <f aca="false">IFERROR(F1267/D1267,0)</f>
        <v>5.60642857142857</v>
      </c>
    </row>
    <row r="1268" customFormat="false" ht="15" hidden="false" customHeight="false" outlineLevel="0" collapsed="false">
      <c r="A1268" s="28" t="n">
        <v>2021</v>
      </c>
      <c r="B1268" s="28" t="s">
        <v>95</v>
      </c>
      <c r="C1268" s="28" t="s">
        <v>55</v>
      </c>
      <c r="D1268" s="28" t="n">
        <v>16</v>
      </c>
      <c r="E1268" s="29" t="n">
        <v>6257200</v>
      </c>
      <c r="F1268" s="30" t="n">
        <v>82.15</v>
      </c>
      <c r="G1268" s="31" t="n">
        <f aca="false">IFERROR(F1268/D1268,0)</f>
        <v>5.134375</v>
      </c>
    </row>
    <row r="1269" customFormat="false" ht="15" hidden="false" customHeight="false" outlineLevel="0" collapsed="false">
      <c r="A1269" s="28" t="n">
        <v>2021</v>
      </c>
      <c r="B1269" s="28" t="s">
        <v>95</v>
      </c>
      <c r="C1269" s="28" t="s">
        <v>51</v>
      </c>
      <c r="D1269" s="28" t="n">
        <v>34</v>
      </c>
      <c r="E1269" s="29" t="n">
        <v>14791000</v>
      </c>
      <c r="F1269" s="30" t="n">
        <v>181.25</v>
      </c>
      <c r="G1269" s="31" t="n">
        <f aca="false">IFERROR(F1269/D1269,0)</f>
        <v>5.33088235294118</v>
      </c>
    </row>
    <row r="1270" customFormat="false" ht="15" hidden="false" customHeight="false" outlineLevel="0" collapsed="false">
      <c r="A1270" s="28" t="n">
        <v>2021</v>
      </c>
      <c r="B1270" s="28" t="s">
        <v>95</v>
      </c>
      <c r="C1270" s="28" t="s">
        <v>45</v>
      </c>
      <c r="D1270" s="28" t="n">
        <v>216</v>
      </c>
      <c r="E1270" s="29" t="n">
        <v>52435400</v>
      </c>
      <c r="F1270" s="30" t="n">
        <v>1151.45</v>
      </c>
      <c r="G1270" s="31" t="n">
        <f aca="false">IFERROR(F1270/D1270,0)</f>
        <v>5.33078703703704</v>
      </c>
    </row>
    <row r="1271" customFormat="false" ht="15" hidden="false" customHeight="false" outlineLevel="0" collapsed="false">
      <c r="A1271" s="28" t="n">
        <v>2021</v>
      </c>
      <c r="B1271" s="28" t="s">
        <v>95</v>
      </c>
      <c r="C1271" s="28" t="s">
        <v>56</v>
      </c>
      <c r="D1271" s="28" t="n">
        <v>17</v>
      </c>
      <c r="E1271" s="29" t="n">
        <v>12482700</v>
      </c>
      <c r="F1271" s="30" t="n">
        <v>93.75</v>
      </c>
      <c r="G1271" s="31" t="n">
        <f aca="false">IFERROR(F1271/D1271,0)</f>
        <v>5.51470588235294</v>
      </c>
    </row>
    <row r="1272" customFormat="false" ht="15" hidden="false" customHeight="false" outlineLevel="0" collapsed="false">
      <c r="A1272" s="28" t="n">
        <v>2021</v>
      </c>
      <c r="B1272" s="28" t="s">
        <v>95</v>
      </c>
      <c r="C1272" s="28" t="s">
        <v>54</v>
      </c>
      <c r="D1272" s="28" t="n">
        <v>36</v>
      </c>
      <c r="E1272" s="29" t="n">
        <v>19447400</v>
      </c>
      <c r="F1272" s="30" t="n">
        <v>188.79</v>
      </c>
      <c r="G1272" s="31" t="n">
        <f aca="false">IFERROR(F1272/D1272,0)</f>
        <v>5.24416666666667</v>
      </c>
    </row>
    <row r="1273" customFormat="false" ht="15" hidden="false" customHeight="false" outlineLevel="0" collapsed="false">
      <c r="A1273" s="28" t="n">
        <v>2021</v>
      </c>
      <c r="B1273" s="28" t="s">
        <v>95</v>
      </c>
      <c r="C1273" s="28" t="s">
        <v>44</v>
      </c>
      <c r="D1273" s="28" t="n">
        <v>154</v>
      </c>
      <c r="E1273" s="29" t="n">
        <v>94711000</v>
      </c>
      <c r="F1273" s="30" t="n">
        <v>811.96</v>
      </c>
      <c r="G1273" s="31" t="n">
        <f aca="false">IFERROR(F1273/D1273,0)</f>
        <v>5.27246753246753</v>
      </c>
    </row>
    <row r="1274" customFormat="false" ht="15" hidden="false" customHeight="false" outlineLevel="0" collapsed="false">
      <c r="A1274" s="28" t="n">
        <v>2021</v>
      </c>
      <c r="B1274" s="28" t="s">
        <v>95</v>
      </c>
      <c r="C1274" s="28" t="s">
        <v>57</v>
      </c>
      <c r="D1274" s="28" t="n">
        <v>12</v>
      </c>
      <c r="E1274" s="29" t="n">
        <v>5226000</v>
      </c>
      <c r="F1274" s="30" t="n">
        <v>66</v>
      </c>
      <c r="G1274" s="31" t="n">
        <f aca="false">IFERROR(F1274/D1274,0)</f>
        <v>5.5</v>
      </c>
    </row>
    <row r="1275" customFormat="false" ht="15" hidden="false" customHeight="false" outlineLevel="0" collapsed="false">
      <c r="A1275" s="28" t="n">
        <v>2021</v>
      </c>
      <c r="B1275" s="28" t="s">
        <v>95</v>
      </c>
      <c r="C1275" s="28" t="s">
        <v>59</v>
      </c>
      <c r="D1275" s="28" t="n">
        <v>1</v>
      </c>
      <c r="E1275" s="29" t="n">
        <v>442500</v>
      </c>
      <c r="F1275" s="30" t="n">
        <v>6</v>
      </c>
      <c r="G1275" s="31" t="n">
        <f aca="false">IFERROR(F1275/D1275,0)</f>
        <v>6</v>
      </c>
    </row>
    <row r="1276" customFormat="false" ht="15" hidden="false" customHeight="false" outlineLevel="0" collapsed="false">
      <c r="A1276" s="28" t="n">
        <v>2021</v>
      </c>
      <c r="B1276" s="28" t="s">
        <v>95</v>
      </c>
      <c r="C1276" s="28" t="s">
        <v>47</v>
      </c>
      <c r="D1276" s="28" t="n">
        <v>159</v>
      </c>
      <c r="E1276" s="29" t="n">
        <v>104140000</v>
      </c>
      <c r="F1276" s="30" t="n">
        <v>848.785</v>
      </c>
      <c r="G1276" s="31" t="n">
        <f aca="false">IFERROR(F1276/D1276,0)</f>
        <v>5.33827044025157</v>
      </c>
    </row>
    <row r="1277" customFormat="false" ht="15" hidden="false" customHeight="false" outlineLevel="0" collapsed="false">
      <c r="A1277" s="28" t="n">
        <v>2021</v>
      </c>
      <c r="B1277" s="28" t="s">
        <v>95</v>
      </c>
      <c r="C1277" s="28" t="s">
        <v>58</v>
      </c>
      <c r="D1277" s="28" t="n">
        <v>1</v>
      </c>
      <c r="E1277" s="29" t="n">
        <v>25800</v>
      </c>
      <c r="F1277" s="30" t="n">
        <v>5.3</v>
      </c>
      <c r="G1277" s="31" t="n">
        <f aca="false">IFERROR(F1277/D1277,0)</f>
        <v>5.3</v>
      </c>
    </row>
    <row r="1278" customFormat="false" ht="15" hidden="false" customHeight="false" outlineLevel="0" collapsed="false">
      <c r="A1278" s="28" t="n">
        <v>2021</v>
      </c>
      <c r="B1278" s="28" t="s">
        <v>95</v>
      </c>
      <c r="C1278" s="28" t="s">
        <v>46</v>
      </c>
      <c r="D1278" s="28" t="n">
        <v>151</v>
      </c>
      <c r="E1278" s="29" t="n">
        <v>79454000</v>
      </c>
      <c r="F1278" s="30" t="n">
        <v>832.98</v>
      </c>
      <c r="G1278" s="31" t="n">
        <f aca="false">IFERROR(F1278/D1278,0)</f>
        <v>5.5164238410596</v>
      </c>
    </row>
    <row r="1279" customFormat="false" ht="15" hidden="false" customHeight="false" outlineLevel="0" collapsed="false">
      <c r="A1279" s="28" t="n">
        <v>2021</v>
      </c>
      <c r="B1279" s="28" t="s">
        <v>95</v>
      </c>
      <c r="C1279" s="28" t="s">
        <v>48</v>
      </c>
      <c r="D1279" s="28" t="n">
        <v>108</v>
      </c>
      <c r="E1279" s="29" t="n">
        <v>47047700</v>
      </c>
      <c r="F1279" s="30" t="n">
        <v>603.16</v>
      </c>
      <c r="G1279" s="31" t="n">
        <f aca="false">IFERROR(F1279/D1279,0)</f>
        <v>5.58481481481481</v>
      </c>
    </row>
    <row r="1280" customFormat="false" ht="15" hidden="false" customHeight="false" outlineLevel="0" collapsed="false">
      <c r="A1280" s="28" t="n">
        <v>2021</v>
      </c>
      <c r="B1280" s="28" t="s">
        <v>95</v>
      </c>
      <c r="C1280" s="28" t="s">
        <v>53</v>
      </c>
      <c r="D1280" s="28" t="n">
        <v>32</v>
      </c>
      <c r="E1280" s="29" t="n">
        <v>17208200</v>
      </c>
      <c r="F1280" s="30" t="n">
        <v>169.6</v>
      </c>
      <c r="G1280" s="31" t="n">
        <f aca="false">IFERROR(F1280/D1280,0)</f>
        <v>5.3</v>
      </c>
    </row>
    <row r="1281" customFormat="false" ht="15" hidden="false" customHeight="false" outlineLevel="0" collapsed="false">
      <c r="A1281" s="28" t="n">
        <v>2021</v>
      </c>
      <c r="B1281" s="28" t="s">
        <v>95</v>
      </c>
      <c r="C1281" s="28" t="s">
        <v>43</v>
      </c>
      <c r="D1281" s="28" t="n">
        <v>250</v>
      </c>
      <c r="E1281" s="29" t="n">
        <v>144627600</v>
      </c>
      <c r="F1281" s="30" t="n">
        <v>1330.29</v>
      </c>
      <c r="G1281" s="31" t="n">
        <f aca="false">IFERROR(F1281/D1281,0)</f>
        <v>5.32116</v>
      </c>
    </row>
    <row r="1282" customFormat="false" ht="15" hidden="false" customHeight="false" outlineLevel="0" collapsed="false">
      <c r="A1282" s="28" t="n">
        <v>2021</v>
      </c>
      <c r="B1282" s="28" t="s">
        <v>95</v>
      </c>
      <c r="C1282" s="28" t="s">
        <v>52</v>
      </c>
      <c r="D1282" s="28" t="n">
        <v>311</v>
      </c>
      <c r="E1282" s="29" t="n">
        <v>57594300</v>
      </c>
      <c r="F1282" s="30" t="n">
        <v>1673.62</v>
      </c>
      <c r="G1282" s="31" t="n">
        <f aca="false">IFERROR(F1282/D1282,0)</f>
        <v>5.38141479099678</v>
      </c>
    </row>
    <row r="1283" customFormat="false" ht="15" hidden="false" customHeight="false" outlineLevel="0" collapsed="false">
      <c r="A1283" s="28" t="n">
        <v>2021</v>
      </c>
      <c r="B1283" s="28" t="s">
        <v>95</v>
      </c>
      <c r="C1283" s="28" t="s">
        <v>60</v>
      </c>
      <c r="D1283" s="28" t="n">
        <v>3</v>
      </c>
      <c r="E1283" s="29" t="n">
        <v>1258100</v>
      </c>
      <c r="F1283" s="30" t="n">
        <v>16.69</v>
      </c>
      <c r="G1283" s="31" t="n">
        <f aca="false">IFERROR(F1283/D1283,0)</f>
        <v>5.56333333333333</v>
      </c>
    </row>
    <row r="1284" customFormat="false" ht="15" hidden="false" customHeight="false" outlineLevel="0" collapsed="false">
      <c r="A1284" s="28" t="n">
        <v>2021</v>
      </c>
      <c r="B1284" s="28" t="s">
        <v>95</v>
      </c>
      <c r="C1284" s="28" t="s">
        <v>49</v>
      </c>
      <c r="D1284" s="28" t="n">
        <v>54</v>
      </c>
      <c r="E1284" s="29" t="n">
        <v>32372700</v>
      </c>
      <c r="F1284" s="30" t="n">
        <v>286.36</v>
      </c>
      <c r="G1284" s="31" t="n">
        <f aca="false">IFERROR(F1284/D1284,0)</f>
        <v>5.30296296296296</v>
      </c>
    </row>
    <row r="1285" customFormat="false" ht="15" hidden="false" customHeight="false" outlineLevel="0" collapsed="false">
      <c r="A1285" s="28" t="n">
        <v>2021</v>
      </c>
      <c r="B1285" s="28" t="s">
        <v>98</v>
      </c>
      <c r="C1285" s="28" t="s">
        <v>42</v>
      </c>
      <c r="D1285" s="28" t="n">
        <v>173</v>
      </c>
      <c r="E1285" s="29" t="n">
        <v>74824000</v>
      </c>
      <c r="F1285" s="30" t="n">
        <v>888.275</v>
      </c>
      <c r="G1285" s="31" t="n">
        <f aca="false">IFERROR(F1285/D1285,0)</f>
        <v>5.13453757225434</v>
      </c>
    </row>
    <row r="1286" customFormat="false" ht="15" hidden="false" customHeight="false" outlineLevel="0" collapsed="false">
      <c r="A1286" s="28" t="n">
        <v>2021</v>
      </c>
      <c r="B1286" s="28" t="s">
        <v>98</v>
      </c>
      <c r="C1286" s="28" t="s">
        <v>50</v>
      </c>
      <c r="D1286" s="28" t="n">
        <v>104</v>
      </c>
      <c r="E1286" s="29" t="n">
        <v>33210100</v>
      </c>
      <c r="F1286" s="30" t="n">
        <v>541.66</v>
      </c>
      <c r="G1286" s="31" t="n">
        <f aca="false">IFERROR(F1286/D1286,0)</f>
        <v>5.20826923076923</v>
      </c>
    </row>
    <row r="1287" customFormat="false" ht="15" hidden="false" customHeight="false" outlineLevel="0" collapsed="false">
      <c r="A1287" s="28" t="n">
        <v>2021</v>
      </c>
      <c r="B1287" s="28" t="s">
        <v>98</v>
      </c>
      <c r="C1287" s="28" t="s">
        <v>55</v>
      </c>
      <c r="D1287" s="28" t="n">
        <v>99</v>
      </c>
      <c r="E1287" s="29" t="n">
        <v>45992200</v>
      </c>
      <c r="F1287" s="30" t="n">
        <v>489.15</v>
      </c>
      <c r="G1287" s="31" t="n">
        <f aca="false">IFERROR(F1287/D1287,0)</f>
        <v>4.94090909090909</v>
      </c>
    </row>
    <row r="1288" customFormat="false" ht="15" hidden="false" customHeight="false" outlineLevel="0" collapsed="false">
      <c r="A1288" s="28" t="n">
        <v>2021</v>
      </c>
      <c r="B1288" s="28" t="s">
        <v>98</v>
      </c>
      <c r="C1288" s="28" t="s">
        <v>51</v>
      </c>
      <c r="D1288" s="28" t="n">
        <v>43</v>
      </c>
      <c r="E1288" s="29" t="n">
        <v>14967500</v>
      </c>
      <c r="F1288" s="30" t="n">
        <v>221.5</v>
      </c>
      <c r="G1288" s="31" t="n">
        <f aca="false">IFERROR(F1288/D1288,0)</f>
        <v>5.15116279069768</v>
      </c>
    </row>
    <row r="1289" customFormat="false" ht="15" hidden="false" customHeight="false" outlineLevel="0" collapsed="false">
      <c r="A1289" s="28" t="n">
        <v>2021</v>
      </c>
      <c r="B1289" s="28" t="s">
        <v>98</v>
      </c>
      <c r="C1289" s="28" t="s">
        <v>45</v>
      </c>
      <c r="D1289" s="28" t="n">
        <v>186</v>
      </c>
      <c r="E1289" s="29" t="n">
        <v>83499000</v>
      </c>
      <c r="F1289" s="30" t="n">
        <v>976.87</v>
      </c>
      <c r="G1289" s="31" t="n">
        <f aca="false">IFERROR(F1289/D1289,0)</f>
        <v>5.25198924731183</v>
      </c>
    </row>
    <row r="1290" customFormat="false" ht="15" hidden="false" customHeight="false" outlineLevel="0" collapsed="false">
      <c r="A1290" s="28" t="n">
        <v>2021</v>
      </c>
      <c r="B1290" s="28" t="s">
        <v>98</v>
      </c>
      <c r="C1290" s="28" t="s">
        <v>56</v>
      </c>
      <c r="D1290" s="28" t="n">
        <v>12</v>
      </c>
      <c r="E1290" s="29" t="n">
        <v>7324600</v>
      </c>
      <c r="F1290" s="30" t="n">
        <v>60.4</v>
      </c>
      <c r="G1290" s="31" t="n">
        <f aca="false">IFERROR(F1290/D1290,0)</f>
        <v>5.03333333333333</v>
      </c>
    </row>
    <row r="1291" customFormat="false" ht="15" hidden="false" customHeight="false" outlineLevel="0" collapsed="false">
      <c r="A1291" s="28" t="n">
        <v>2021</v>
      </c>
      <c r="B1291" s="28" t="s">
        <v>98</v>
      </c>
      <c r="C1291" s="28" t="s">
        <v>54</v>
      </c>
      <c r="D1291" s="28" t="n">
        <v>26</v>
      </c>
      <c r="E1291" s="29" t="n">
        <v>15511900</v>
      </c>
      <c r="F1291" s="30" t="n">
        <v>137.23</v>
      </c>
      <c r="G1291" s="31" t="n">
        <f aca="false">IFERROR(F1291/D1291,0)</f>
        <v>5.27807692307692</v>
      </c>
    </row>
    <row r="1292" customFormat="false" ht="15" hidden="false" customHeight="false" outlineLevel="0" collapsed="false">
      <c r="A1292" s="28" t="n">
        <v>2021</v>
      </c>
      <c r="B1292" s="28" t="s">
        <v>98</v>
      </c>
      <c r="C1292" s="28" t="s">
        <v>44</v>
      </c>
      <c r="D1292" s="28" t="n">
        <v>137</v>
      </c>
      <c r="E1292" s="29" t="n">
        <v>75502100</v>
      </c>
      <c r="F1292" s="30" t="n">
        <v>731.495</v>
      </c>
      <c r="G1292" s="31" t="n">
        <f aca="false">IFERROR(F1292/D1292,0)</f>
        <v>5.3393795620438</v>
      </c>
    </row>
    <row r="1293" customFormat="false" ht="15" hidden="false" customHeight="false" outlineLevel="0" collapsed="false">
      <c r="A1293" s="28" t="n">
        <v>2021</v>
      </c>
      <c r="B1293" s="28" t="s">
        <v>98</v>
      </c>
      <c r="C1293" s="28" t="s">
        <v>57</v>
      </c>
      <c r="D1293" s="28" t="n">
        <v>15</v>
      </c>
      <c r="E1293" s="29" t="n">
        <v>12055500</v>
      </c>
      <c r="F1293" s="30" t="n">
        <v>75.9</v>
      </c>
      <c r="G1293" s="31" t="n">
        <f aca="false">IFERROR(F1293/D1293,0)</f>
        <v>5.06</v>
      </c>
    </row>
    <row r="1294" customFormat="false" ht="15" hidden="false" customHeight="false" outlineLevel="0" collapsed="false">
      <c r="A1294" s="28" t="n">
        <v>2021</v>
      </c>
      <c r="B1294" s="28" t="s">
        <v>98</v>
      </c>
      <c r="C1294" s="28" t="s">
        <v>59</v>
      </c>
      <c r="D1294" s="28" t="n">
        <v>5</v>
      </c>
      <c r="E1294" s="29" t="n">
        <v>1752800</v>
      </c>
      <c r="F1294" s="30" t="n">
        <v>24.57</v>
      </c>
      <c r="G1294" s="31" t="n">
        <f aca="false">IFERROR(F1294/D1294,0)</f>
        <v>4.914</v>
      </c>
    </row>
    <row r="1295" customFormat="false" ht="15" hidden="false" customHeight="false" outlineLevel="0" collapsed="false">
      <c r="A1295" s="28" t="n">
        <v>2021</v>
      </c>
      <c r="B1295" s="28" t="s">
        <v>98</v>
      </c>
      <c r="C1295" s="28" t="s">
        <v>47</v>
      </c>
      <c r="D1295" s="28" t="n">
        <v>189</v>
      </c>
      <c r="E1295" s="29" t="n">
        <v>123823500</v>
      </c>
      <c r="F1295" s="30" t="n">
        <v>963.74</v>
      </c>
      <c r="G1295" s="31" t="n">
        <f aca="false">IFERROR(F1295/D1295,0)</f>
        <v>5.09915343915344</v>
      </c>
    </row>
    <row r="1296" customFormat="false" ht="15" hidden="false" customHeight="false" outlineLevel="0" collapsed="false">
      <c r="A1296" s="28" t="n">
        <v>2021</v>
      </c>
      <c r="B1296" s="28" t="s">
        <v>98</v>
      </c>
      <c r="C1296" s="28" t="s">
        <v>58</v>
      </c>
      <c r="D1296" s="28" t="n">
        <v>2</v>
      </c>
      <c r="E1296" s="29" t="n">
        <v>313600</v>
      </c>
      <c r="F1296" s="30" t="n">
        <v>11</v>
      </c>
      <c r="G1296" s="31" t="n">
        <f aca="false">IFERROR(F1296/D1296,0)</f>
        <v>5.5</v>
      </c>
    </row>
    <row r="1297" customFormat="false" ht="15" hidden="false" customHeight="false" outlineLevel="0" collapsed="false">
      <c r="A1297" s="28" t="n">
        <v>2021</v>
      </c>
      <c r="B1297" s="28" t="s">
        <v>98</v>
      </c>
      <c r="C1297" s="28" t="s">
        <v>46</v>
      </c>
      <c r="D1297" s="28" t="n">
        <v>150</v>
      </c>
      <c r="E1297" s="29" t="n">
        <v>85610200</v>
      </c>
      <c r="F1297" s="30" t="n">
        <v>792.534</v>
      </c>
      <c r="G1297" s="31" t="n">
        <f aca="false">IFERROR(F1297/D1297,0)</f>
        <v>5.28356</v>
      </c>
    </row>
    <row r="1298" customFormat="false" ht="15" hidden="false" customHeight="false" outlineLevel="0" collapsed="false">
      <c r="A1298" s="28" t="n">
        <v>2021</v>
      </c>
      <c r="B1298" s="28" t="s">
        <v>98</v>
      </c>
      <c r="C1298" s="28" t="s">
        <v>48</v>
      </c>
      <c r="D1298" s="28" t="n">
        <v>115</v>
      </c>
      <c r="E1298" s="29" t="n">
        <v>57800600</v>
      </c>
      <c r="F1298" s="30" t="n">
        <v>610.955</v>
      </c>
      <c r="G1298" s="31" t="n">
        <f aca="false">IFERROR(F1298/D1298,0)</f>
        <v>5.31265217391304</v>
      </c>
    </row>
    <row r="1299" customFormat="false" ht="15" hidden="false" customHeight="false" outlineLevel="0" collapsed="false">
      <c r="A1299" s="28" t="n">
        <v>2021</v>
      </c>
      <c r="B1299" s="28" t="s">
        <v>98</v>
      </c>
      <c r="C1299" s="28" t="s">
        <v>53</v>
      </c>
      <c r="D1299" s="28" t="n">
        <v>63</v>
      </c>
      <c r="E1299" s="29" t="n">
        <v>31645200</v>
      </c>
      <c r="F1299" s="30" t="n">
        <v>322.73</v>
      </c>
      <c r="G1299" s="31" t="n">
        <f aca="false">IFERROR(F1299/D1299,0)</f>
        <v>5.12269841269841</v>
      </c>
    </row>
    <row r="1300" customFormat="false" ht="15" hidden="false" customHeight="false" outlineLevel="0" collapsed="false">
      <c r="A1300" s="28" t="n">
        <v>2021</v>
      </c>
      <c r="B1300" s="28" t="s">
        <v>98</v>
      </c>
      <c r="C1300" s="28" t="s">
        <v>43</v>
      </c>
      <c r="D1300" s="28" t="n">
        <v>222</v>
      </c>
      <c r="E1300" s="29" t="n">
        <v>93824100</v>
      </c>
      <c r="F1300" s="30" t="n">
        <v>1154.765</v>
      </c>
      <c r="G1300" s="31" t="n">
        <f aca="false">IFERROR(F1300/D1300,0)</f>
        <v>5.20164414414414</v>
      </c>
    </row>
    <row r="1301" customFormat="false" ht="15" hidden="false" customHeight="false" outlineLevel="0" collapsed="false">
      <c r="A1301" s="28" t="n">
        <v>2021</v>
      </c>
      <c r="B1301" s="28" t="s">
        <v>98</v>
      </c>
      <c r="C1301" s="28" t="s">
        <v>52</v>
      </c>
      <c r="D1301" s="28" t="n">
        <v>127</v>
      </c>
      <c r="E1301" s="29" t="n">
        <v>57603400</v>
      </c>
      <c r="F1301" s="30" t="n">
        <v>681.49</v>
      </c>
      <c r="G1301" s="31" t="n">
        <f aca="false">IFERROR(F1301/D1301,0)</f>
        <v>5.36606299212598</v>
      </c>
    </row>
    <row r="1302" customFormat="false" ht="15" hidden="false" customHeight="false" outlineLevel="0" collapsed="false">
      <c r="A1302" s="28" t="n">
        <v>2021</v>
      </c>
      <c r="B1302" s="28" t="s">
        <v>98</v>
      </c>
      <c r="C1302" s="28" t="s">
        <v>60</v>
      </c>
      <c r="D1302" s="28" t="n">
        <v>4</v>
      </c>
      <c r="E1302" s="29" t="n">
        <v>3082200</v>
      </c>
      <c r="F1302" s="30" t="n">
        <v>20.49</v>
      </c>
      <c r="G1302" s="31" t="n">
        <f aca="false">IFERROR(F1302/D1302,0)</f>
        <v>5.1225</v>
      </c>
    </row>
    <row r="1303" customFormat="false" ht="15" hidden="false" customHeight="false" outlineLevel="0" collapsed="false">
      <c r="A1303" s="28" t="n">
        <v>2021</v>
      </c>
      <c r="B1303" s="28" t="s">
        <v>98</v>
      </c>
      <c r="C1303" s="28" t="s">
        <v>49</v>
      </c>
      <c r="D1303" s="28" t="n">
        <v>97</v>
      </c>
      <c r="E1303" s="29" t="n">
        <v>65271700</v>
      </c>
      <c r="F1303" s="30" t="n">
        <v>478.15</v>
      </c>
      <c r="G1303" s="31" t="n">
        <f aca="false">IFERROR(F1303/D1303,0)</f>
        <v>4.92938144329897</v>
      </c>
    </row>
    <row r="1304" customFormat="false" ht="15" hidden="false" customHeight="false" outlineLevel="0" collapsed="false">
      <c r="A1304" s="28" t="n">
        <v>2021</v>
      </c>
      <c r="B1304" s="28" t="s">
        <v>103</v>
      </c>
      <c r="C1304" s="28" t="s">
        <v>42</v>
      </c>
      <c r="D1304" s="28" t="n">
        <v>134</v>
      </c>
      <c r="E1304" s="29" t="n">
        <v>93861800</v>
      </c>
      <c r="F1304" s="30" t="n">
        <v>714.765</v>
      </c>
      <c r="G1304" s="31" t="n">
        <f aca="false">IFERROR(F1304/D1304,0)</f>
        <v>5.3340671641791</v>
      </c>
    </row>
    <row r="1305" customFormat="false" ht="15" hidden="false" customHeight="false" outlineLevel="0" collapsed="false">
      <c r="A1305" s="28" t="n">
        <v>2021</v>
      </c>
      <c r="B1305" s="28" t="s">
        <v>103</v>
      </c>
      <c r="C1305" s="28" t="s">
        <v>50</v>
      </c>
      <c r="D1305" s="28" t="n">
        <v>44</v>
      </c>
      <c r="E1305" s="29" t="n">
        <v>13632900</v>
      </c>
      <c r="F1305" s="30" t="n">
        <v>232.16</v>
      </c>
      <c r="G1305" s="31" t="n">
        <f aca="false">IFERROR(F1305/D1305,0)</f>
        <v>5.27636363636364</v>
      </c>
    </row>
    <row r="1306" customFormat="false" ht="15" hidden="false" customHeight="false" outlineLevel="0" collapsed="false">
      <c r="A1306" s="28" t="n">
        <v>2021</v>
      </c>
      <c r="B1306" s="28" t="s">
        <v>103</v>
      </c>
      <c r="C1306" s="28" t="s">
        <v>55</v>
      </c>
      <c r="D1306" s="28" t="n">
        <v>26</v>
      </c>
      <c r="E1306" s="29" t="n">
        <v>12633200</v>
      </c>
      <c r="F1306" s="30" t="n">
        <v>140.965</v>
      </c>
      <c r="G1306" s="31" t="n">
        <f aca="false">IFERROR(F1306/D1306,0)</f>
        <v>5.42173076923077</v>
      </c>
    </row>
    <row r="1307" customFormat="false" ht="15" hidden="false" customHeight="false" outlineLevel="0" collapsed="false">
      <c r="A1307" s="28" t="n">
        <v>2021</v>
      </c>
      <c r="B1307" s="28" t="s">
        <v>103</v>
      </c>
      <c r="C1307" s="28" t="s">
        <v>51</v>
      </c>
      <c r="D1307" s="28" t="n">
        <v>35</v>
      </c>
      <c r="E1307" s="29" t="n">
        <v>21492500</v>
      </c>
      <c r="F1307" s="30" t="n">
        <v>195.97</v>
      </c>
      <c r="G1307" s="31" t="n">
        <f aca="false">IFERROR(F1307/D1307,0)</f>
        <v>5.59914285714286</v>
      </c>
    </row>
    <row r="1308" customFormat="false" ht="15" hidden="false" customHeight="false" outlineLevel="0" collapsed="false">
      <c r="A1308" s="28" t="n">
        <v>2021</v>
      </c>
      <c r="B1308" s="28" t="s">
        <v>103</v>
      </c>
      <c r="C1308" s="28" t="s">
        <v>45</v>
      </c>
      <c r="D1308" s="28" t="n">
        <v>89</v>
      </c>
      <c r="E1308" s="29" t="n">
        <v>37473200</v>
      </c>
      <c r="F1308" s="30" t="n">
        <v>488.446</v>
      </c>
      <c r="G1308" s="31" t="n">
        <f aca="false">IFERROR(F1308/D1308,0)</f>
        <v>5.48815730337079</v>
      </c>
    </row>
    <row r="1309" customFormat="false" ht="15" hidden="false" customHeight="false" outlineLevel="0" collapsed="false">
      <c r="A1309" s="28" t="n">
        <v>2021</v>
      </c>
      <c r="B1309" s="28" t="s">
        <v>103</v>
      </c>
      <c r="C1309" s="28" t="s">
        <v>56</v>
      </c>
      <c r="D1309" s="28" t="n">
        <v>14</v>
      </c>
      <c r="E1309" s="29" t="n">
        <v>7550600</v>
      </c>
      <c r="F1309" s="30" t="n">
        <v>80.95</v>
      </c>
      <c r="G1309" s="31" t="n">
        <f aca="false">IFERROR(F1309/D1309,0)</f>
        <v>5.78214285714286</v>
      </c>
    </row>
    <row r="1310" customFormat="false" ht="15" hidden="false" customHeight="false" outlineLevel="0" collapsed="false">
      <c r="A1310" s="28" t="n">
        <v>2021</v>
      </c>
      <c r="B1310" s="28" t="s">
        <v>103</v>
      </c>
      <c r="C1310" s="28" t="s">
        <v>54</v>
      </c>
      <c r="D1310" s="28" t="n">
        <v>24</v>
      </c>
      <c r="E1310" s="29" t="n">
        <v>12100900</v>
      </c>
      <c r="F1310" s="30" t="n">
        <v>130.815</v>
      </c>
      <c r="G1310" s="31" t="n">
        <f aca="false">IFERROR(F1310/D1310,0)</f>
        <v>5.450625</v>
      </c>
    </row>
    <row r="1311" customFormat="false" ht="15" hidden="false" customHeight="false" outlineLevel="0" collapsed="false">
      <c r="A1311" s="28" t="n">
        <v>2021</v>
      </c>
      <c r="B1311" s="28" t="s">
        <v>103</v>
      </c>
      <c r="C1311" s="28" t="s">
        <v>44</v>
      </c>
      <c r="D1311" s="28" t="n">
        <v>76</v>
      </c>
      <c r="E1311" s="29" t="n">
        <v>48014400</v>
      </c>
      <c r="F1311" s="30" t="n">
        <v>395.689</v>
      </c>
      <c r="G1311" s="31" t="n">
        <f aca="false">IFERROR(F1311/D1311,0)</f>
        <v>5.20643421052632</v>
      </c>
    </row>
    <row r="1312" customFormat="false" ht="15" hidden="false" customHeight="false" outlineLevel="0" collapsed="false">
      <c r="A1312" s="28" t="n">
        <v>2021</v>
      </c>
      <c r="B1312" s="28" t="s">
        <v>103</v>
      </c>
      <c r="C1312" s="28" t="s">
        <v>57</v>
      </c>
      <c r="D1312" s="28" t="n">
        <v>11</v>
      </c>
      <c r="E1312" s="29" t="n">
        <v>9858200</v>
      </c>
      <c r="F1312" s="30" t="n">
        <v>61.68</v>
      </c>
      <c r="G1312" s="31" t="n">
        <f aca="false">IFERROR(F1312/D1312,0)</f>
        <v>5.60727272727273</v>
      </c>
    </row>
    <row r="1313" customFormat="false" ht="15" hidden="false" customHeight="false" outlineLevel="0" collapsed="false">
      <c r="A1313" s="28" t="n">
        <v>2021</v>
      </c>
      <c r="B1313" s="28" t="s">
        <v>103</v>
      </c>
      <c r="C1313" s="28" t="s">
        <v>59</v>
      </c>
      <c r="D1313" s="28" t="n">
        <v>1</v>
      </c>
      <c r="E1313" s="29" t="n">
        <v>78200</v>
      </c>
      <c r="F1313" s="30" t="n">
        <v>4.49</v>
      </c>
      <c r="G1313" s="31" t="n">
        <f aca="false">IFERROR(F1313/D1313,0)</f>
        <v>4.49</v>
      </c>
    </row>
    <row r="1314" customFormat="false" ht="15" hidden="false" customHeight="false" outlineLevel="0" collapsed="false">
      <c r="A1314" s="28" t="n">
        <v>2021</v>
      </c>
      <c r="B1314" s="28" t="s">
        <v>103</v>
      </c>
      <c r="C1314" s="28" t="s">
        <v>47</v>
      </c>
      <c r="D1314" s="28" t="n">
        <v>72</v>
      </c>
      <c r="E1314" s="29" t="n">
        <v>56079600</v>
      </c>
      <c r="F1314" s="30" t="n">
        <v>383.576</v>
      </c>
      <c r="G1314" s="31" t="n">
        <f aca="false">IFERROR(F1314/D1314,0)</f>
        <v>5.32744444444445</v>
      </c>
    </row>
    <row r="1315" customFormat="false" ht="15" hidden="false" customHeight="false" outlineLevel="0" collapsed="false">
      <c r="A1315" s="28" t="n">
        <v>2021</v>
      </c>
      <c r="B1315" s="28" t="s">
        <v>103</v>
      </c>
      <c r="C1315" s="28" t="s">
        <v>58</v>
      </c>
      <c r="D1315" s="28" t="n">
        <v>1</v>
      </c>
      <c r="E1315" s="29" t="n">
        <v>505000</v>
      </c>
      <c r="F1315" s="30" t="n">
        <v>3.95</v>
      </c>
      <c r="G1315" s="31" t="n">
        <f aca="false">IFERROR(F1315/D1315,0)</f>
        <v>3.95</v>
      </c>
    </row>
    <row r="1316" customFormat="false" ht="15" hidden="false" customHeight="false" outlineLevel="0" collapsed="false">
      <c r="A1316" s="28" t="n">
        <v>2021</v>
      </c>
      <c r="B1316" s="28" t="s">
        <v>103</v>
      </c>
      <c r="C1316" s="28" t="s">
        <v>46</v>
      </c>
      <c r="D1316" s="28" t="n">
        <v>101</v>
      </c>
      <c r="E1316" s="29" t="n">
        <v>45913100</v>
      </c>
      <c r="F1316" s="30" t="n">
        <v>547.73</v>
      </c>
      <c r="G1316" s="31" t="n">
        <f aca="false">IFERROR(F1316/D1316,0)</f>
        <v>5.42306930693069</v>
      </c>
    </row>
    <row r="1317" customFormat="false" ht="15" hidden="false" customHeight="false" outlineLevel="0" collapsed="false">
      <c r="A1317" s="28" t="n">
        <v>2021</v>
      </c>
      <c r="B1317" s="28" t="s">
        <v>103</v>
      </c>
      <c r="C1317" s="28" t="s">
        <v>48</v>
      </c>
      <c r="D1317" s="28" t="n">
        <v>82</v>
      </c>
      <c r="E1317" s="29" t="n">
        <v>45550200</v>
      </c>
      <c r="F1317" s="30" t="n">
        <v>427.14</v>
      </c>
      <c r="G1317" s="31" t="n">
        <f aca="false">IFERROR(F1317/D1317,0)</f>
        <v>5.2090243902439</v>
      </c>
    </row>
    <row r="1318" customFormat="false" ht="15" hidden="false" customHeight="false" outlineLevel="0" collapsed="false">
      <c r="A1318" s="28" t="n">
        <v>2021</v>
      </c>
      <c r="B1318" s="28" t="s">
        <v>103</v>
      </c>
      <c r="C1318" s="28" t="s">
        <v>53</v>
      </c>
      <c r="D1318" s="28" t="n">
        <v>29</v>
      </c>
      <c r="E1318" s="29" t="n">
        <v>27795800</v>
      </c>
      <c r="F1318" s="30" t="n">
        <v>142.441</v>
      </c>
      <c r="G1318" s="31" t="n">
        <f aca="false">IFERROR(F1318/D1318,0)</f>
        <v>4.91175862068966</v>
      </c>
    </row>
    <row r="1319" customFormat="false" ht="15" hidden="false" customHeight="false" outlineLevel="0" collapsed="false">
      <c r="A1319" s="28" t="n">
        <v>2021</v>
      </c>
      <c r="B1319" s="28" t="s">
        <v>103</v>
      </c>
      <c r="C1319" s="28" t="s">
        <v>43</v>
      </c>
      <c r="D1319" s="28" t="n">
        <v>106</v>
      </c>
      <c r="E1319" s="29" t="n">
        <v>65401700</v>
      </c>
      <c r="F1319" s="30" t="n">
        <v>579.26</v>
      </c>
      <c r="G1319" s="31" t="n">
        <f aca="false">IFERROR(F1319/D1319,0)</f>
        <v>5.46471698113208</v>
      </c>
    </row>
    <row r="1320" customFormat="false" ht="15" hidden="false" customHeight="false" outlineLevel="0" collapsed="false">
      <c r="A1320" s="28" t="n">
        <v>2021</v>
      </c>
      <c r="B1320" s="28" t="s">
        <v>103</v>
      </c>
      <c r="C1320" s="28" t="s">
        <v>52</v>
      </c>
      <c r="D1320" s="28" t="n">
        <v>58</v>
      </c>
      <c r="E1320" s="29" t="n">
        <v>24115000</v>
      </c>
      <c r="F1320" s="30" t="n">
        <v>319.24</v>
      </c>
      <c r="G1320" s="31" t="n">
        <f aca="false">IFERROR(F1320/D1320,0)</f>
        <v>5.50413793103448</v>
      </c>
    </row>
    <row r="1321" customFormat="false" ht="15" hidden="false" customHeight="false" outlineLevel="0" collapsed="false">
      <c r="A1321" s="28" t="n">
        <v>2021</v>
      </c>
      <c r="B1321" s="28" t="s">
        <v>103</v>
      </c>
      <c r="C1321" s="28" t="s">
        <v>60</v>
      </c>
      <c r="D1321" s="28" t="n">
        <v>2</v>
      </c>
      <c r="E1321" s="29" t="n">
        <v>243500</v>
      </c>
      <c r="F1321" s="30" t="n">
        <v>9.25</v>
      </c>
      <c r="G1321" s="31" t="n">
        <f aca="false">IFERROR(F1321/D1321,0)</f>
        <v>4.625</v>
      </c>
    </row>
    <row r="1322" customFormat="false" ht="15" hidden="false" customHeight="false" outlineLevel="0" collapsed="false">
      <c r="A1322" s="28" t="n">
        <v>2021</v>
      </c>
      <c r="B1322" s="28" t="s">
        <v>103</v>
      </c>
      <c r="C1322" s="28" t="s">
        <v>49</v>
      </c>
      <c r="D1322" s="28" t="n">
        <v>53</v>
      </c>
      <c r="E1322" s="29" t="n">
        <v>41176900</v>
      </c>
      <c r="F1322" s="30" t="n">
        <v>276.02</v>
      </c>
      <c r="G1322" s="31" t="n">
        <f aca="false">IFERROR(F1322/D1322,0)</f>
        <v>5.20792452830189</v>
      </c>
    </row>
    <row r="1323" customFormat="false" ht="15" hidden="false" customHeight="false" outlineLevel="0" collapsed="false">
      <c r="A1323" s="28" t="n">
        <v>2021</v>
      </c>
      <c r="B1323" s="28" t="s">
        <v>113</v>
      </c>
      <c r="C1323" s="28" t="s">
        <v>42</v>
      </c>
      <c r="D1323" s="28" t="n">
        <v>46</v>
      </c>
      <c r="E1323" s="29" t="n">
        <v>47445200</v>
      </c>
      <c r="F1323" s="30" t="n">
        <v>237.29</v>
      </c>
      <c r="G1323" s="31" t="n">
        <f aca="false">IFERROR(F1323/D1323,0)</f>
        <v>5.15847826086957</v>
      </c>
    </row>
    <row r="1324" customFormat="false" ht="15" hidden="false" customHeight="false" outlineLevel="0" collapsed="false">
      <c r="A1324" s="28" t="n">
        <v>2021</v>
      </c>
      <c r="B1324" s="28" t="s">
        <v>113</v>
      </c>
      <c r="C1324" s="28" t="s">
        <v>50</v>
      </c>
      <c r="D1324" s="28" t="n">
        <v>14</v>
      </c>
      <c r="E1324" s="29" t="n">
        <v>5319400</v>
      </c>
      <c r="F1324" s="30" t="n">
        <v>74.75</v>
      </c>
      <c r="G1324" s="31" t="n">
        <f aca="false">IFERROR(F1324/D1324,0)</f>
        <v>5.33928571428571</v>
      </c>
    </row>
    <row r="1325" customFormat="false" ht="15" hidden="false" customHeight="false" outlineLevel="0" collapsed="false">
      <c r="A1325" s="28" t="n">
        <v>2021</v>
      </c>
      <c r="B1325" s="28" t="s">
        <v>113</v>
      </c>
      <c r="C1325" s="28" t="s">
        <v>55</v>
      </c>
      <c r="D1325" s="28" t="n">
        <v>81</v>
      </c>
      <c r="E1325" s="29" t="n">
        <v>47720400</v>
      </c>
      <c r="F1325" s="30" t="n">
        <v>394.66</v>
      </c>
      <c r="G1325" s="31" t="n">
        <f aca="false">IFERROR(F1325/D1325,0)</f>
        <v>4.87234567901235</v>
      </c>
    </row>
    <row r="1326" customFormat="false" ht="15" hidden="false" customHeight="false" outlineLevel="0" collapsed="false">
      <c r="A1326" s="28" t="n">
        <v>2021</v>
      </c>
      <c r="B1326" s="28" t="s">
        <v>113</v>
      </c>
      <c r="C1326" s="28" t="s">
        <v>51</v>
      </c>
      <c r="D1326" s="28" t="n">
        <v>11</v>
      </c>
      <c r="E1326" s="29" t="n">
        <v>3052500</v>
      </c>
      <c r="F1326" s="30" t="n">
        <v>54.6</v>
      </c>
      <c r="G1326" s="31" t="n">
        <f aca="false">IFERROR(F1326/D1326,0)</f>
        <v>4.96363636363636</v>
      </c>
    </row>
    <row r="1327" customFormat="false" ht="15" hidden="false" customHeight="false" outlineLevel="0" collapsed="false">
      <c r="A1327" s="28" t="n">
        <v>2021</v>
      </c>
      <c r="B1327" s="28" t="s">
        <v>113</v>
      </c>
      <c r="C1327" s="28" t="s">
        <v>45</v>
      </c>
      <c r="D1327" s="28" t="n">
        <v>17</v>
      </c>
      <c r="E1327" s="29" t="n">
        <v>5028200</v>
      </c>
      <c r="F1327" s="30" t="n">
        <v>85.53</v>
      </c>
      <c r="G1327" s="31" t="n">
        <f aca="false">IFERROR(F1327/D1327,0)</f>
        <v>5.03117647058824</v>
      </c>
    </row>
    <row r="1328" customFormat="false" ht="15" hidden="false" customHeight="false" outlineLevel="0" collapsed="false">
      <c r="A1328" s="28" t="n">
        <v>2021</v>
      </c>
      <c r="B1328" s="28" t="s">
        <v>113</v>
      </c>
      <c r="C1328" s="28" t="s">
        <v>56</v>
      </c>
      <c r="D1328" s="28" t="n">
        <v>4</v>
      </c>
      <c r="E1328" s="29" t="n">
        <v>539400</v>
      </c>
      <c r="F1328" s="30" t="n">
        <v>21.75</v>
      </c>
      <c r="G1328" s="31" t="n">
        <f aca="false">IFERROR(F1328/D1328,0)</f>
        <v>5.4375</v>
      </c>
    </row>
    <row r="1329" customFormat="false" ht="15" hidden="false" customHeight="false" outlineLevel="0" collapsed="false">
      <c r="A1329" s="28" t="n">
        <v>2021</v>
      </c>
      <c r="B1329" s="28" t="s">
        <v>113</v>
      </c>
      <c r="C1329" s="28" t="s">
        <v>54</v>
      </c>
      <c r="D1329" s="28" t="n">
        <v>4</v>
      </c>
      <c r="E1329" s="29" t="n">
        <v>1072100</v>
      </c>
      <c r="F1329" s="30" t="n">
        <v>21.5</v>
      </c>
      <c r="G1329" s="31" t="n">
        <f aca="false">IFERROR(F1329/D1329,0)</f>
        <v>5.375</v>
      </c>
    </row>
    <row r="1330" customFormat="false" ht="15" hidden="false" customHeight="false" outlineLevel="0" collapsed="false">
      <c r="A1330" s="28" t="n">
        <v>2021</v>
      </c>
      <c r="B1330" s="28" t="s">
        <v>113</v>
      </c>
      <c r="C1330" s="28" t="s">
        <v>44</v>
      </c>
      <c r="D1330" s="28" t="n">
        <v>22</v>
      </c>
      <c r="E1330" s="29" t="n">
        <v>9867600</v>
      </c>
      <c r="F1330" s="30" t="n">
        <v>113.36</v>
      </c>
      <c r="G1330" s="31" t="n">
        <f aca="false">IFERROR(F1330/D1330,0)</f>
        <v>5.15272727272727</v>
      </c>
    </row>
    <row r="1331" customFormat="false" ht="15" hidden="false" customHeight="false" outlineLevel="0" collapsed="false">
      <c r="A1331" s="28" t="n">
        <v>2021</v>
      </c>
      <c r="B1331" s="28" t="s">
        <v>113</v>
      </c>
      <c r="C1331" s="28" t="s">
        <v>59</v>
      </c>
      <c r="D1331" s="28" t="n">
        <v>1</v>
      </c>
      <c r="E1331" s="29" t="n">
        <v>439000</v>
      </c>
      <c r="F1331" s="30" t="n">
        <v>4.89</v>
      </c>
      <c r="G1331" s="31" t="n">
        <f aca="false">IFERROR(F1331/D1331,0)</f>
        <v>4.89</v>
      </c>
    </row>
    <row r="1332" customFormat="false" ht="15" hidden="false" customHeight="false" outlineLevel="0" collapsed="false">
      <c r="A1332" s="28" t="n">
        <v>2021</v>
      </c>
      <c r="B1332" s="28" t="s">
        <v>113</v>
      </c>
      <c r="C1332" s="28" t="s">
        <v>47</v>
      </c>
      <c r="D1332" s="28" t="n">
        <v>14</v>
      </c>
      <c r="E1332" s="29" t="n">
        <v>11828500</v>
      </c>
      <c r="F1332" s="30" t="n">
        <v>72</v>
      </c>
      <c r="G1332" s="31" t="n">
        <f aca="false">IFERROR(F1332/D1332,0)</f>
        <v>5.14285714285714</v>
      </c>
    </row>
    <row r="1333" customFormat="false" ht="15" hidden="false" customHeight="false" outlineLevel="0" collapsed="false">
      <c r="A1333" s="28" t="n">
        <v>2021</v>
      </c>
      <c r="B1333" s="28" t="s">
        <v>113</v>
      </c>
      <c r="C1333" s="28" t="s">
        <v>58</v>
      </c>
      <c r="D1333" s="28" t="n">
        <v>1</v>
      </c>
      <c r="E1333" s="29" t="n">
        <v>350000</v>
      </c>
      <c r="F1333" s="30" t="n">
        <v>4.75</v>
      </c>
      <c r="G1333" s="31" t="n">
        <f aca="false">IFERROR(F1333/D1333,0)</f>
        <v>4.75</v>
      </c>
    </row>
    <row r="1334" customFormat="false" ht="15" hidden="false" customHeight="false" outlineLevel="0" collapsed="false">
      <c r="A1334" s="28" t="n">
        <v>2021</v>
      </c>
      <c r="B1334" s="28" t="s">
        <v>113</v>
      </c>
      <c r="C1334" s="28" t="s">
        <v>46</v>
      </c>
      <c r="D1334" s="28" t="n">
        <v>14</v>
      </c>
      <c r="E1334" s="29" t="n">
        <v>4876500</v>
      </c>
      <c r="F1334" s="30" t="n">
        <v>77.85</v>
      </c>
      <c r="G1334" s="31" t="n">
        <f aca="false">IFERROR(F1334/D1334,0)</f>
        <v>5.56071428571429</v>
      </c>
    </row>
    <row r="1335" customFormat="false" ht="15" hidden="false" customHeight="false" outlineLevel="0" collapsed="false">
      <c r="A1335" s="28" t="n">
        <v>2021</v>
      </c>
      <c r="B1335" s="28" t="s">
        <v>113</v>
      </c>
      <c r="C1335" s="28" t="s">
        <v>48</v>
      </c>
      <c r="D1335" s="28" t="n">
        <v>8</v>
      </c>
      <c r="E1335" s="29" t="n">
        <v>5996500</v>
      </c>
      <c r="F1335" s="30" t="n">
        <v>43.58</v>
      </c>
      <c r="G1335" s="31" t="n">
        <f aca="false">IFERROR(F1335/D1335,0)</f>
        <v>5.4475</v>
      </c>
    </row>
    <row r="1336" customFormat="false" ht="15" hidden="false" customHeight="false" outlineLevel="0" collapsed="false">
      <c r="A1336" s="28" t="n">
        <v>2021</v>
      </c>
      <c r="B1336" s="28" t="s">
        <v>113</v>
      </c>
      <c r="C1336" s="28" t="s">
        <v>53</v>
      </c>
      <c r="D1336" s="28" t="n">
        <v>8</v>
      </c>
      <c r="E1336" s="29" t="n">
        <v>6428200</v>
      </c>
      <c r="F1336" s="30" t="n">
        <v>40.35</v>
      </c>
      <c r="G1336" s="31" t="n">
        <f aca="false">IFERROR(F1336/D1336,0)</f>
        <v>5.04375</v>
      </c>
    </row>
    <row r="1337" customFormat="false" ht="15" hidden="false" customHeight="false" outlineLevel="0" collapsed="false">
      <c r="A1337" s="28" t="n">
        <v>2021</v>
      </c>
      <c r="B1337" s="28" t="s">
        <v>113</v>
      </c>
      <c r="C1337" s="28" t="s">
        <v>43</v>
      </c>
      <c r="D1337" s="28" t="n">
        <v>44</v>
      </c>
      <c r="E1337" s="29" t="n">
        <v>31585100</v>
      </c>
      <c r="F1337" s="30" t="n">
        <v>232.09</v>
      </c>
      <c r="G1337" s="31" t="n">
        <f aca="false">IFERROR(F1337/D1337,0)</f>
        <v>5.27477272727273</v>
      </c>
    </row>
    <row r="1338" customFormat="false" ht="15" hidden="false" customHeight="false" outlineLevel="0" collapsed="false">
      <c r="A1338" s="28" t="n">
        <v>2021</v>
      </c>
      <c r="B1338" s="28" t="s">
        <v>113</v>
      </c>
      <c r="C1338" s="28" t="s">
        <v>52</v>
      </c>
      <c r="D1338" s="28" t="n">
        <v>40</v>
      </c>
      <c r="E1338" s="29" t="n">
        <v>9433700</v>
      </c>
      <c r="F1338" s="30" t="n">
        <v>226.05</v>
      </c>
      <c r="G1338" s="31" t="n">
        <f aca="false">IFERROR(F1338/D1338,0)</f>
        <v>5.65125</v>
      </c>
    </row>
    <row r="1339" customFormat="false" ht="15" hidden="false" customHeight="false" outlineLevel="0" collapsed="false">
      <c r="A1339" s="28" t="n">
        <v>2021</v>
      </c>
      <c r="B1339" s="28" t="s">
        <v>113</v>
      </c>
      <c r="C1339" s="28" t="s">
        <v>49</v>
      </c>
      <c r="D1339" s="28" t="n">
        <v>5</v>
      </c>
      <c r="E1339" s="29" t="n">
        <v>7500600</v>
      </c>
      <c r="F1339" s="30" t="n">
        <v>26.49</v>
      </c>
      <c r="G1339" s="31" t="n">
        <f aca="false">IFERROR(F1339/D1339,0)</f>
        <v>5.298</v>
      </c>
    </row>
    <row r="1340" customFormat="false" ht="15" hidden="false" customHeight="false" outlineLevel="0" collapsed="false">
      <c r="A1340" s="28" t="n">
        <v>2021</v>
      </c>
      <c r="B1340" s="28" t="s">
        <v>115</v>
      </c>
      <c r="C1340" s="28" t="s">
        <v>42</v>
      </c>
      <c r="D1340" s="28" t="n">
        <v>40</v>
      </c>
      <c r="E1340" s="29" t="n">
        <v>26939300</v>
      </c>
      <c r="F1340" s="30" t="n">
        <v>217.05</v>
      </c>
      <c r="G1340" s="31" t="n">
        <f aca="false">IFERROR(F1340/D1340,0)</f>
        <v>5.42625</v>
      </c>
    </row>
    <row r="1341" customFormat="false" ht="15" hidden="false" customHeight="false" outlineLevel="0" collapsed="false">
      <c r="A1341" s="28" t="n">
        <v>2021</v>
      </c>
      <c r="B1341" s="28" t="s">
        <v>115</v>
      </c>
      <c r="C1341" s="28" t="s">
        <v>50</v>
      </c>
      <c r="D1341" s="28" t="n">
        <v>12</v>
      </c>
      <c r="E1341" s="29" t="n">
        <v>4071300</v>
      </c>
      <c r="F1341" s="30" t="n">
        <v>63.34</v>
      </c>
      <c r="G1341" s="31" t="n">
        <f aca="false">IFERROR(F1341/D1341,0)</f>
        <v>5.27833333333333</v>
      </c>
    </row>
    <row r="1342" customFormat="false" ht="15" hidden="false" customHeight="false" outlineLevel="0" collapsed="false">
      <c r="A1342" s="28" t="n">
        <v>2021</v>
      </c>
      <c r="B1342" s="28" t="s">
        <v>115</v>
      </c>
      <c r="C1342" s="28" t="s">
        <v>55</v>
      </c>
      <c r="D1342" s="28" t="n">
        <v>9</v>
      </c>
      <c r="E1342" s="29" t="n">
        <v>5026500</v>
      </c>
      <c r="F1342" s="30" t="n">
        <v>51.5</v>
      </c>
      <c r="G1342" s="31" t="n">
        <f aca="false">IFERROR(F1342/D1342,0)</f>
        <v>5.72222222222222</v>
      </c>
    </row>
    <row r="1343" customFormat="false" ht="15" hidden="false" customHeight="false" outlineLevel="0" collapsed="false">
      <c r="A1343" s="28" t="n">
        <v>2021</v>
      </c>
      <c r="B1343" s="28" t="s">
        <v>115</v>
      </c>
      <c r="C1343" s="28" t="s">
        <v>51</v>
      </c>
      <c r="D1343" s="28" t="n">
        <v>4</v>
      </c>
      <c r="E1343" s="29" t="n">
        <v>3754200</v>
      </c>
      <c r="F1343" s="30" t="n">
        <v>22</v>
      </c>
      <c r="G1343" s="31" t="n">
        <f aca="false">IFERROR(F1343/D1343,0)</f>
        <v>5.5</v>
      </c>
    </row>
    <row r="1344" customFormat="false" ht="15" hidden="false" customHeight="false" outlineLevel="0" collapsed="false">
      <c r="A1344" s="28" t="n">
        <v>2021</v>
      </c>
      <c r="B1344" s="28" t="s">
        <v>115</v>
      </c>
      <c r="C1344" s="28" t="s">
        <v>45</v>
      </c>
      <c r="D1344" s="28" t="n">
        <v>27</v>
      </c>
      <c r="E1344" s="29" t="n">
        <v>15452400</v>
      </c>
      <c r="F1344" s="30" t="n">
        <v>159.03</v>
      </c>
      <c r="G1344" s="31" t="n">
        <f aca="false">IFERROR(F1344/D1344,0)</f>
        <v>5.89</v>
      </c>
    </row>
    <row r="1345" customFormat="false" ht="15" hidden="false" customHeight="false" outlineLevel="0" collapsed="false">
      <c r="A1345" s="28" t="n">
        <v>2021</v>
      </c>
      <c r="B1345" s="28" t="s">
        <v>115</v>
      </c>
      <c r="C1345" s="28" t="s">
        <v>56</v>
      </c>
      <c r="D1345" s="28" t="n">
        <v>2</v>
      </c>
      <c r="E1345" s="29" t="n">
        <v>355000</v>
      </c>
      <c r="F1345" s="30" t="n">
        <v>10.2</v>
      </c>
      <c r="G1345" s="31" t="n">
        <f aca="false">IFERROR(F1345/D1345,0)</f>
        <v>5.1</v>
      </c>
    </row>
    <row r="1346" customFormat="false" ht="15" hidden="false" customHeight="false" outlineLevel="0" collapsed="false">
      <c r="A1346" s="28" t="n">
        <v>2021</v>
      </c>
      <c r="B1346" s="28" t="s">
        <v>115</v>
      </c>
      <c r="C1346" s="28" t="s">
        <v>54</v>
      </c>
      <c r="D1346" s="28" t="n">
        <v>1</v>
      </c>
      <c r="E1346" s="29" t="n">
        <v>101200</v>
      </c>
      <c r="F1346" s="30" t="n">
        <v>5.75</v>
      </c>
      <c r="G1346" s="31" t="n">
        <f aca="false">IFERROR(F1346/D1346,0)</f>
        <v>5.75</v>
      </c>
    </row>
    <row r="1347" customFormat="false" ht="15" hidden="false" customHeight="false" outlineLevel="0" collapsed="false">
      <c r="A1347" s="28" t="n">
        <v>2021</v>
      </c>
      <c r="B1347" s="28" t="s">
        <v>115</v>
      </c>
      <c r="C1347" s="28" t="s">
        <v>44</v>
      </c>
      <c r="D1347" s="28" t="n">
        <v>18</v>
      </c>
      <c r="E1347" s="29" t="n">
        <v>12441900</v>
      </c>
      <c r="F1347" s="30" t="n">
        <v>91.15</v>
      </c>
      <c r="G1347" s="31" t="n">
        <f aca="false">IFERROR(F1347/D1347,0)</f>
        <v>5.06388888888889</v>
      </c>
    </row>
    <row r="1348" customFormat="false" ht="15" hidden="false" customHeight="false" outlineLevel="0" collapsed="false">
      <c r="A1348" s="28" t="n">
        <v>2021</v>
      </c>
      <c r="B1348" s="28" t="s">
        <v>115</v>
      </c>
      <c r="C1348" s="28" t="s">
        <v>57</v>
      </c>
      <c r="D1348" s="28" t="n">
        <v>2</v>
      </c>
      <c r="E1348" s="29" t="n">
        <v>1500000</v>
      </c>
      <c r="F1348" s="30" t="n">
        <v>12.75</v>
      </c>
      <c r="G1348" s="31" t="n">
        <f aca="false">IFERROR(F1348/D1348,0)</f>
        <v>6.375</v>
      </c>
    </row>
    <row r="1349" customFormat="false" ht="15" hidden="false" customHeight="false" outlineLevel="0" collapsed="false">
      <c r="A1349" s="28" t="n">
        <v>2021</v>
      </c>
      <c r="B1349" s="28" t="s">
        <v>115</v>
      </c>
      <c r="C1349" s="28" t="s">
        <v>59</v>
      </c>
      <c r="D1349" s="28" t="n">
        <v>1</v>
      </c>
      <c r="E1349" s="29" t="n">
        <v>347500</v>
      </c>
      <c r="F1349" s="30" t="n">
        <v>5.5</v>
      </c>
      <c r="G1349" s="31" t="n">
        <f aca="false">IFERROR(F1349/D1349,0)</f>
        <v>5.5</v>
      </c>
    </row>
    <row r="1350" customFormat="false" ht="15" hidden="false" customHeight="false" outlineLevel="0" collapsed="false">
      <c r="A1350" s="28" t="n">
        <v>2021</v>
      </c>
      <c r="B1350" s="28" t="s">
        <v>115</v>
      </c>
      <c r="C1350" s="28" t="s">
        <v>47</v>
      </c>
      <c r="D1350" s="28" t="n">
        <v>18</v>
      </c>
      <c r="E1350" s="29" t="n">
        <v>13496900</v>
      </c>
      <c r="F1350" s="30" t="n">
        <v>86.49</v>
      </c>
      <c r="G1350" s="31" t="n">
        <f aca="false">IFERROR(F1350/D1350,0)</f>
        <v>4.805</v>
      </c>
    </row>
    <row r="1351" customFormat="false" ht="15" hidden="false" customHeight="false" outlineLevel="0" collapsed="false">
      <c r="A1351" s="28" t="n">
        <v>2021</v>
      </c>
      <c r="B1351" s="28" t="s">
        <v>115</v>
      </c>
      <c r="C1351" s="28" t="s">
        <v>58</v>
      </c>
      <c r="D1351" s="28" t="n">
        <v>2</v>
      </c>
      <c r="E1351" s="29" t="n">
        <v>755400</v>
      </c>
      <c r="F1351" s="30" t="n">
        <v>9.25</v>
      </c>
      <c r="G1351" s="31" t="n">
        <f aca="false">IFERROR(F1351/D1351,0)</f>
        <v>4.625</v>
      </c>
    </row>
    <row r="1352" customFormat="false" ht="15" hidden="false" customHeight="false" outlineLevel="0" collapsed="false">
      <c r="A1352" s="28" t="n">
        <v>2021</v>
      </c>
      <c r="B1352" s="28" t="s">
        <v>115</v>
      </c>
      <c r="C1352" s="28" t="s">
        <v>46</v>
      </c>
      <c r="D1352" s="28" t="n">
        <v>26</v>
      </c>
      <c r="E1352" s="29" t="n">
        <v>7420600</v>
      </c>
      <c r="F1352" s="30" t="n">
        <v>145.39</v>
      </c>
      <c r="G1352" s="31" t="n">
        <f aca="false">IFERROR(F1352/D1352,0)</f>
        <v>5.59192307692308</v>
      </c>
    </row>
    <row r="1353" customFormat="false" ht="15" hidden="false" customHeight="false" outlineLevel="0" collapsed="false">
      <c r="A1353" s="28" t="n">
        <v>2021</v>
      </c>
      <c r="B1353" s="28" t="s">
        <v>115</v>
      </c>
      <c r="C1353" s="28" t="s">
        <v>48</v>
      </c>
      <c r="D1353" s="28" t="n">
        <v>18</v>
      </c>
      <c r="E1353" s="29" t="n">
        <v>7720800</v>
      </c>
      <c r="F1353" s="30" t="n">
        <v>99</v>
      </c>
      <c r="G1353" s="31" t="n">
        <f aca="false">IFERROR(F1353/D1353,0)</f>
        <v>5.5</v>
      </c>
    </row>
    <row r="1354" customFormat="false" ht="15" hidden="false" customHeight="false" outlineLevel="0" collapsed="false">
      <c r="A1354" s="28" t="n">
        <v>2021</v>
      </c>
      <c r="B1354" s="28" t="s">
        <v>115</v>
      </c>
      <c r="C1354" s="28" t="s">
        <v>53</v>
      </c>
      <c r="D1354" s="28" t="n">
        <v>10</v>
      </c>
      <c r="E1354" s="29" t="n">
        <v>5590500</v>
      </c>
      <c r="F1354" s="30" t="n">
        <v>48.55</v>
      </c>
      <c r="G1354" s="31" t="n">
        <f aca="false">IFERROR(F1354/D1354,0)</f>
        <v>4.855</v>
      </c>
    </row>
    <row r="1355" customFormat="false" ht="15" hidden="false" customHeight="false" outlineLevel="0" collapsed="false">
      <c r="A1355" s="28" t="n">
        <v>2021</v>
      </c>
      <c r="B1355" s="28" t="s">
        <v>115</v>
      </c>
      <c r="C1355" s="28" t="s">
        <v>43</v>
      </c>
      <c r="D1355" s="28" t="n">
        <v>33</v>
      </c>
      <c r="E1355" s="29" t="n">
        <v>19042600</v>
      </c>
      <c r="F1355" s="30" t="n">
        <v>169.34</v>
      </c>
      <c r="G1355" s="31" t="n">
        <f aca="false">IFERROR(F1355/D1355,0)</f>
        <v>5.13151515151515</v>
      </c>
    </row>
    <row r="1356" customFormat="false" ht="15" hidden="false" customHeight="false" outlineLevel="0" collapsed="false">
      <c r="A1356" s="28" t="n">
        <v>2021</v>
      </c>
      <c r="B1356" s="28" t="s">
        <v>115</v>
      </c>
      <c r="C1356" s="28" t="s">
        <v>52</v>
      </c>
      <c r="D1356" s="28" t="n">
        <v>9</v>
      </c>
      <c r="E1356" s="29" t="n">
        <v>7009200</v>
      </c>
      <c r="F1356" s="30" t="n">
        <v>57</v>
      </c>
      <c r="G1356" s="31" t="n">
        <f aca="false">IFERROR(F1356/D1356,0)</f>
        <v>6.33333333333333</v>
      </c>
    </row>
    <row r="1357" customFormat="false" ht="15" hidden="false" customHeight="false" outlineLevel="0" collapsed="false">
      <c r="A1357" s="28" t="n">
        <v>2021</v>
      </c>
      <c r="B1357" s="28" t="s">
        <v>115</v>
      </c>
      <c r="C1357" s="28" t="s">
        <v>49</v>
      </c>
      <c r="D1357" s="28" t="n">
        <v>11</v>
      </c>
      <c r="E1357" s="29" t="n">
        <v>6933900</v>
      </c>
      <c r="F1357" s="30" t="n">
        <v>66.25</v>
      </c>
      <c r="G1357" s="31" t="n">
        <f aca="false">IFERROR(F1357/D1357,0)</f>
        <v>6.02272727272727</v>
      </c>
    </row>
    <row r="1358" customFormat="false" ht="15" hidden="false" customHeight="false" outlineLevel="0" collapsed="false">
      <c r="A1358" s="28" t="n">
        <v>2021</v>
      </c>
      <c r="B1358" s="28" t="s">
        <v>90</v>
      </c>
      <c r="C1358" s="28" t="s">
        <v>42</v>
      </c>
      <c r="D1358" s="28" t="n">
        <v>155</v>
      </c>
      <c r="E1358" s="29" t="n">
        <v>219798900</v>
      </c>
      <c r="F1358" s="30" t="n">
        <v>843.87</v>
      </c>
      <c r="G1358" s="31" t="n">
        <f aca="false">IFERROR(F1358/D1358,0)</f>
        <v>5.44432258064516</v>
      </c>
    </row>
    <row r="1359" customFormat="false" ht="15" hidden="false" customHeight="false" outlineLevel="0" collapsed="false">
      <c r="A1359" s="28" t="n">
        <v>2021</v>
      </c>
      <c r="B1359" s="28" t="s">
        <v>90</v>
      </c>
      <c r="C1359" s="28" t="s">
        <v>50</v>
      </c>
      <c r="D1359" s="28" t="n">
        <v>52</v>
      </c>
      <c r="E1359" s="29" t="n">
        <v>24408400</v>
      </c>
      <c r="F1359" s="30" t="n">
        <v>302.39</v>
      </c>
      <c r="G1359" s="31" t="n">
        <f aca="false">IFERROR(F1359/D1359,0)</f>
        <v>5.81519230769231</v>
      </c>
    </row>
    <row r="1360" customFormat="false" ht="15" hidden="false" customHeight="false" outlineLevel="0" collapsed="false">
      <c r="A1360" s="28" t="n">
        <v>2021</v>
      </c>
      <c r="B1360" s="28" t="s">
        <v>90</v>
      </c>
      <c r="C1360" s="28" t="s">
        <v>55</v>
      </c>
      <c r="D1360" s="28" t="n">
        <v>20</v>
      </c>
      <c r="E1360" s="29" t="n">
        <v>27832700</v>
      </c>
      <c r="F1360" s="30" t="n">
        <v>105.7</v>
      </c>
      <c r="G1360" s="31" t="n">
        <f aca="false">IFERROR(F1360/D1360,0)</f>
        <v>5.285</v>
      </c>
    </row>
    <row r="1361" customFormat="false" ht="15" hidden="false" customHeight="false" outlineLevel="0" collapsed="false">
      <c r="A1361" s="28" t="n">
        <v>2021</v>
      </c>
      <c r="B1361" s="28" t="s">
        <v>90</v>
      </c>
      <c r="C1361" s="28" t="s">
        <v>51</v>
      </c>
      <c r="D1361" s="28" t="n">
        <v>32</v>
      </c>
      <c r="E1361" s="29" t="n">
        <v>22655700</v>
      </c>
      <c r="F1361" s="30" t="n">
        <v>190.49</v>
      </c>
      <c r="G1361" s="31" t="n">
        <f aca="false">IFERROR(F1361/D1361,0)</f>
        <v>5.9528125</v>
      </c>
    </row>
    <row r="1362" customFormat="false" ht="15" hidden="false" customHeight="false" outlineLevel="0" collapsed="false">
      <c r="A1362" s="28" t="n">
        <v>2021</v>
      </c>
      <c r="B1362" s="28" t="s">
        <v>90</v>
      </c>
      <c r="C1362" s="28" t="s">
        <v>45</v>
      </c>
      <c r="D1362" s="28" t="n">
        <v>78</v>
      </c>
      <c r="E1362" s="29" t="n">
        <v>51289500</v>
      </c>
      <c r="F1362" s="30" t="n">
        <v>466.3</v>
      </c>
      <c r="G1362" s="31" t="n">
        <f aca="false">IFERROR(F1362/D1362,0)</f>
        <v>5.97820512820513</v>
      </c>
    </row>
    <row r="1363" customFormat="false" ht="15" hidden="false" customHeight="false" outlineLevel="0" collapsed="false">
      <c r="A1363" s="28" t="n">
        <v>2021</v>
      </c>
      <c r="B1363" s="28" t="s">
        <v>90</v>
      </c>
      <c r="C1363" s="28" t="s">
        <v>56</v>
      </c>
      <c r="D1363" s="28" t="n">
        <v>12</v>
      </c>
      <c r="E1363" s="29" t="n">
        <v>12045000</v>
      </c>
      <c r="F1363" s="30" t="n">
        <v>77.99</v>
      </c>
      <c r="G1363" s="31" t="n">
        <f aca="false">IFERROR(F1363/D1363,0)</f>
        <v>6.49916666666667</v>
      </c>
    </row>
    <row r="1364" customFormat="false" ht="15" hidden="false" customHeight="false" outlineLevel="0" collapsed="false">
      <c r="A1364" s="28" t="n">
        <v>2021</v>
      </c>
      <c r="B1364" s="28" t="s">
        <v>90</v>
      </c>
      <c r="C1364" s="28" t="s">
        <v>54</v>
      </c>
      <c r="D1364" s="28" t="n">
        <v>17</v>
      </c>
      <c r="E1364" s="29" t="n">
        <v>13559500</v>
      </c>
      <c r="F1364" s="30" t="n">
        <v>93.84</v>
      </c>
      <c r="G1364" s="31" t="n">
        <f aca="false">IFERROR(F1364/D1364,0)</f>
        <v>5.52</v>
      </c>
    </row>
    <row r="1365" customFormat="false" ht="15" hidden="false" customHeight="false" outlineLevel="0" collapsed="false">
      <c r="A1365" s="28" t="n">
        <v>2021</v>
      </c>
      <c r="B1365" s="28" t="s">
        <v>90</v>
      </c>
      <c r="C1365" s="28" t="s">
        <v>44</v>
      </c>
      <c r="D1365" s="28" t="n">
        <v>82</v>
      </c>
      <c r="E1365" s="29" t="n">
        <v>83730200</v>
      </c>
      <c r="F1365" s="30" t="n">
        <v>433.38</v>
      </c>
      <c r="G1365" s="31" t="n">
        <f aca="false">IFERROR(F1365/D1365,0)</f>
        <v>5.28512195121951</v>
      </c>
    </row>
    <row r="1366" customFormat="false" ht="15" hidden="false" customHeight="false" outlineLevel="0" collapsed="false">
      <c r="A1366" s="28" t="n">
        <v>2021</v>
      </c>
      <c r="B1366" s="28" t="s">
        <v>90</v>
      </c>
      <c r="C1366" s="28" t="s">
        <v>57</v>
      </c>
      <c r="D1366" s="28" t="n">
        <v>10</v>
      </c>
      <c r="E1366" s="29" t="n">
        <v>7758500</v>
      </c>
      <c r="F1366" s="30" t="n">
        <v>57.7</v>
      </c>
      <c r="G1366" s="31" t="n">
        <f aca="false">IFERROR(F1366/D1366,0)</f>
        <v>5.77</v>
      </c>
    </row>
    <row r="1367" customFormat="false" ht="15" hidden="false" customHeight="false" outlineLevel="0" collapsed="false">
      <c r="A1367" s="28" t="n">
        <v>2021</v>
      </c>
      <c r="B1367" s="28" t="s">
        <v>90</v>
      </c>
      <c r="C1367" s="28" t="s">
        <v>47</v>
      </c>
      <c r="D1367" s="28" t="n">
        <v>75</v>
      </c>
      <c r="E1367" s="29" t="n">
        <v>83507400</v>
      </c>
      <c r="F1367" s="30" t="n">
        <v>430.42</v>
      </c>
      <c r="G1367" s="31" t="n">
        <f aca="false">IFERROR(F1367/D1367,0)</f>
        <v>5.73893333333333</v>
      </c>
    </row>
    <row r="1368" customFormat="false" ht="15" hidden="false" customHeight="false" outlineLevel="0" collapsed="false">
      <c r="A1368" s="28" t="n">
        <v>2021</v>
      </c>
      <c r="B1368" s="28" t="s">
        <v>90</v>
      </c>
      <c r="C1368" s="28" t="s">
        <v>46</v>
      </c>
      <c r="D1368" s="28" t="n">
        <v>83</v>
      </c>
      <c r="E1368" s="29" t="n">
        <v>58301400</v>
      </c>
      <c r="F1368" s="30" t="n">
        <v>463.43</v>
      </c>
      <c r="G1368" s="31" t="n">
        <f aca="false">IFERROR(F1368/D1368,0)</f>
        <v>5.58349397590362</v>
      </c>
    </row>
    <row r="1369" customFormat="false" ht="15" hidden="false" customHeight="false" outlineLevel="0" collapsed="false">
      <c r="A1369" s="28" t="n">
        <v>2021</v>
      </c>
      <c r="B1369" s="28" t="s">
        <v>90</v>
      </c>
      <c r="C1369" s="28" t="s">
        <v>48</v>
      </c>
      <c r="D1369" s="28" t="n">
        <v>99</v>
      </c>
      <c r="E1369" s="29" t="n">
        <v>61503900</v>
      </c>
      <c r="F1369" s="30" t="n">
        <v>551.49</v>
      </c>
      <c r="G1369" s="31" t="n">
        <f aca="false">IFERROR(F1369/D1369,0)</f>
        <v>5.57060606060606</v>
      </c>
    </row>
    <row r="1370" customFormat="false" ht="15" hidden="false" customHeight="false" outlineLevel="0" collapsed="false">
      <c r="A1370" s="28" t="n">
        <v>2021</v>
      </c>
      <c r="B1370" s="28" t="s">
        <v>90</v>
      </c>
      <c r="C1370" s="28" t="s">
        <v>53</v>
      </c>
      <c r="D1370" s="28" t="n">
        <v>35</v>
      </c>
      <c r="E1370" s="29" t="n">
        <v>61074300</v>
      </c>
      <c r="F1370" s="30" t="n">
        <v>178.87</v>
      </c>
      <c r="G1370" s="31" t="n">
        <f aca="false">IFERROR(F1370/D1370,0)</f>
        <v>5.11057142857143</v>
      </c>
    </row>
    <row r="1371" customFormat="false" ht="15" hidden="false" customHeight="false" outlineLevel="0" collapsed="false">
      <c r="A1371" s="28" t="n">
        <v>2021</v>
      </c>
      <c r="B1371" s="28" t="s">
        <v>90</v>
      </c>
      <c r="C1371" s="28" t="s">
        <v>43</v>
      </c>
      <c r="D1371" s="28" t="n">
        <v>139</v>
      </c>
      <c r="E1371" s="29" t="n">
        <v>118492600</v>
      </c>
      <c r="F1371" s="30" t="n">
        <v>801.57</v>
      </c>
      <c r="G1371" s="31" t="n">
        <f aca="false">IFERROR(F1371/D1371,0)</f>
        <v>5.76669064748201</v>
      </c>
    </row>
    <row r="1372" customFormat="false" ht="15" hidden="false" customHeight="false" outlineLevel="0" collapsed="false">
      <c r="A1372" s="28" t="n">
        <v>2021</v>
      </c>
      <c r="B1372" s="28" t="s">
        <v>90</v>
      </c>
      <c r="C1372" s="28" t="s">
        <v>52</v>
      </c>
      <c r="D1372" s="28" t="n">
        <v>34</v>
      </c>
      <c r="E1372" s="29" t="n">
        <v>23859800</v>
      </c>
      <c r="F1372" s="30" t="n">
        <v>216.25</v>
      </c>
      <c r="G1372" s="31" t="n">
        <f aca="false">IFERROR(F1372/D1372,0)</f>
        <v>6.36029411764706</v>
      </c>
    </row>
    <row r="1373" customFormat="false" ht="15" hidden="false" customHeight="false" outlineLevel="0" collapsed="false">
      <c r="A1373" s="28" t="n">
        <v>2021</v>
      </c>
      <c r="B1373" s="28" t="s">
        <v>90</v>
      </c>
      <c r="C1373" s="28" t="s">
        <v>49</v>
      </c>
      <c r="D1373" s="28" t="n">
        <v>39</v>
      </c>
      <c r="E1373" s="29" t="n">
        <v>53456400</v>
      </c>
      <c r="F1373" s="30" t="n">
        <v>215.55</v>
      </c>
      <c r="G1373" s="31" t="n">
        <f aca="false">IFERROR(F1373/D1373,0)</f>
        <v>5.52692307692308</v>
      </c>
    </row>
    <row r="1374" customFormat="false" ht="15" hidden="false" customHeight="false" outlineLevel="0" collapsed="false">
      <c r="A1374" s="28" t="n">
        <v>2021</v>
      </c>
      <c r="B1374" s="28" t="s">
        <v>116</v>
      </c>
      <c r="C1374" s="28" t="s">
        <v>42</v>
      </c>
      <c r="D1374" s="28" t="n">
        <v>16</v>
      </c>
      <c r="E1374" s="29" t="n">
        <v>8579400</v>
      </c>
      <c r="F1374" s="30" t="n">
        <v>83.15</v>
      </c>
      <c r="G1374" s="31" t="n">
        <f aca="false">IFERROR(F1374/D1374,0)</f>
        <v>5.196875</v>
      </c>
    </row>
    <row r="1375" customFormat="false" ht="15" hidden="false" customHeight="false" outlineLevel="0" collapsed="false">
      <c r="A1375" s="28" t="n">
        <v>2021</v>
      </c>
      <c r="B1375" s="28" t="s">
        <v>116</v>
      </c>
      <c r="C1375" s="28" t="s">
        <v>50</v>
      </c>
      <c r="D1375" s="28" t="n">
        <v>9</v>
      </c>
      <c r="E1375" s="29" t="n">
        <v>1763600</v>
      </c>
      <c r="F1375" s="30" t="n">
        <v>44.54</v>
      </c>
      <c r="G1375" s="31" t="n">
        <f aca="false">IFERROR(F1375/D1375,0)</f>
        <v>4.94888888888889</v>
      </c>
    </row>
    <row r="1376" customFormat="false" ht="15" hidden="false" customHeight="false" outlineLevel="0" collapsed="false">
      <c r="A1376" s="28" t="n">
        <v>2021</v>
      </c>
      <c r="B1376" s="28" t="s">
        <v>116</v>
      </c>
      <c r="C1376" s="28" t="s">
        <v>55</v>
      </c>
      <c r="D1376" s="28" t="n">
        <v>13</v>
      </c>
      <c r="E1376" s="29" t="n">
        <v>19342500</v>
      </c>
      <c r="F1376" s="30" t="n">
        <v>60.64</v>
      </c>
      <c r="G1376" s="31" t="n">
        <f aca="false">IFERROR(F1376/D1376,0)</f>
        <v>4.66461538461538</v>
      </c>
    </row>
    <row r="1377" customFormat="false" ht="15" hidden="false" customHeight="false" outlineLevel="0" collapsed="false">
      <c r="A1377" s="28" t="n">
        <v>2021</v>
      </c>
      <c r="B1377" s="28" t="s">
        <v>116</v>
      </c>
      <c r="C1377" s="28" t="s">
        <v>51</v>
      </c>
      <c r="D1377" s="28" t="n">
        <v>9</v>
      </c>
      <c r="E1377" s="29" t="n">
        <v>5489100</v>
      </c>
      <c r="F1377" s="30" t="n">
        <v>43.675</v>
      </c>
      <c r="G1377" s="31" t="n">
        <f aca="false">IFERROR(F1377/D1377,0)</f>
        <v>4.85277777777778</v>
      </c>
    </row>
    <row r="1378" customFormat="false" ht="15" hidden="false" customHeight="false" outlineLevel="0" collapsed="false">
      <c r="A1378" s="28" t="n">
        <v>2021</v>
      </c>
      <c r="B1378" s="28" t="s">
        <v>116</v>
      </c>
      <c r="C1378" s="28" t="s">
        <v>45</v>
      </c>
      <c r="D1378" s="28" t="n">
        <v>24</v>
      </c>
      <c r="E1378" s="29" t="n">
        <v>9125200</v>
      </c>
      <c r="F1378" s="30" t="n">
        <v>111.1</v>
      </c>
      <c r="G1378" s="31" t="n">
        <f aca="false">IFERROR(F1378/D1378,0)</f>
        <v>4.62916666666667</v>
      </c>
    </row>
    <row r="1379" customFormat="false" ht="15" hidden="false" customHeight="false" outlineLevel="0" collapsed="false">
      <c r="A1379" s="28" t="n">
        <v>2021</v>
      </c>
      <c r="B1379" s="28" t="s">
        <v>116</v>
      </c>
      <c r="C1379" s="28" t="s">
        <v>54</v>
      </c>
      <c r="D1379" s="28" t="n">
        <v>3</v>
      </c>
      <c r="E1379" s="29" t="n">
        <v>1056700</v>
      </c>
      <c r="F1379" s="30" t="n">
        <v>12</v>
      </c>
      <c r="G1379" s="31" t="n">
        <f aca="false">IFERROR(F1379/D1379,0)</f>
        <v>4</v>
      </c>
    </row>
    <row r="1380" customFormat="false" ht="15" hidden="false" customHeight="false" outlineLevel="0" collapsed="false">
      <c r="A1380" s="28" t="n">
        <v>2021</v>
      </c>
      <c r="B1380" s="28" t="s">
        <v>116</v>
      </c>
      <c r="C1380" s="28" t="s">
        <v>44</v>
      </c>
      <c r="D1380" s="28" t="n">
        <v>14</v>
      </c>
      <c r="E1380" s="29" t="n">
        <v>3850300</v>
      </c>
      <c r="F1380" s="30" t="n">
        <v>64.4</v>
      </c>
      <c r="G1380" s="31" t="n">
        <f aca="false">IFERROR(F1380/D1380,0)</f>
        <v>4.6</v>
      </c>
    </row>
    <row r="1381" customFormat="false" ht="15" hidden="false" customHeight="false" outlineLevel="0" collapsed="false">
      <c r="A1381" s="28" t="n">
        <v>2021</v>
      </c>
      <c r="B1381" s="28" t="s">
        <v>116</v>
      </c>
      <c r="C1381" s="28" t="s">
        <v>59</v>
      </c>
      <c r="D1381" s="28" t="n">
        <v>1</v>
      </c>
      <c r="E1381" s="29" t="n">
        <v>450000</v>
      </c>
      <c r="F1381" s="30" t="n">
        <v>4.95</v>
      </c>
      <c r="G1381" s="31" t="n">
        <f aca="false">IFERROR(F1381/D1381,0)</f>
        <v>4.95</v>
      </c>
    </row>
    <row r="1382" customFormat="false" ht="15" hidden="false" customHeight="false" outlineLevel="0" collapsed="false">
      <c r="A1382" s="28" t="n">
        <v>2021</v>
      </c>
      <c r="B1382" s="28" t="s">
        <v>116</v>
      </c>
      <c r="C1382" s="28" t="s">
        <v>47</v>
      </c>
      <c r="D1382" s="28" t="n">
        <v>4</v>
      </c>
      <c r="E1382" s="29" t="n">
        <v>2758200</v>
      </c>
      <c r="F1382" s="30" t="n">
        <v>18.5</v>
      </c>
      <c r="G1382" s="31" t="n">
        <f aca="false">IFERROR(F1382/D1382,0)</f>
        <v>4.625</v>
      </c>
    </row>
    <row r="1383" customFormat="false" ht="15" hidden="false" customHeight="false" outlineLevel="0" collapsed="false">
      <c r="A1383" s="28" t="n">
        <v>2021</v>
      </c>
      <c r="B1383" s="28" t="s">
        <v>116</v>
      </c>
      <c r="C1383" s="28" t="s">
        <v>58</v>
      </c>
      <c r="D1383" s="28" t="n">
        <v>6</v>
      </c>
      <c r="E1383" s="29" t="n">
        <v>3157200</v>
      </c>
      <c r="F1383" s="30" t="n">
        <v>28.5</v>
      </c>
      <c r="G1383" s="31" t="n">
        <f aca="false">IFERROR(F1383/D1383,0)</f>
        <v>4.75</v>
      </c>
    </row>
    <row r="1384" customFormat="false" ht="15" hidden="false" customHeight="false" outlineLevel="0" collapsed="false">
      <c r="A1384" s="28" t="n">
        <v>2021</v>
      </c>
      <c r="B1384" s="28" t="s">
        <v>116</v>
      </c>
      <c r="C1384" s="28" t="s">
        <v>46</v>
      </c>
      <c r="D1384" s="28" t="n">
        <v>17</v>
      </c>
      <c r="E1384" s="29" t="n">
        <v>5001700</v>
      </c>
      <c r="F1384" s="30" t="n">
        <v>80.45</v>
      </c>
      <c r="G1384" s="31" t="n">
        <f aca="false">IFERROR(F1384/D1384,0)</f>
        <v>4.73235294117647</v>
      </c>
    </row>
    <row r="1385" customFormat="false" ht="15" hidden="false" customHeight="false" outlineLevel="0" collapsed="false">
      <c r="A1385" s="28" t="n">
        <v>2021</v>
      </c>
      <c r="B1385" s="28" t="s">
        <v>116</v>
      </c>
      <c r="C1385" s="28" t="s">
        <v>48</v>
      </c>
      <c r="D1385" s="28" t="n">
        <v>3</v>
      </c>
      <c r="E1385" s="29" t="n">
        <v>402000</v>
      </c>
      <c r="F1385" s="30" t="n">
        <v>14</v>
      </c>
      <c r="G1385" s="31" t="n">
        <f aca="false">IFERROR(F1385/D1385,0)</f>
        <v>4.66666666666667</v>
      </c>
    </row>
    <row r="1386" customFormat="false" ht="15" hidden="false" customHeight="false" outlineLevel="0" collapsed="false">
      <c r="A1386" s="28" t="n">
        <v>2021</v>
      </c>
      <c r="B1386" s="28" t="s">
        <v>116</v>
      </c>
      <c r="C1386" s="28" t="s">
        <v>53</v>
      </c>
      <c r="D1386" s="28" t="n">
        <v>6</v>
      </c>
      <c r="E1386" s="29" t="n">
        <v>1182000</v>
      </c>
      <c r="F1386" s="30" t="n">
        <v>24</v>
      </c>
      <c r="G1386" s="31" t="n">
        <f aca="false">IFERROR(F1386/D1386,0)</f>
        <v>4</v>
      </c>
    </row>
    <row r="1387" customFormat="false" ht="15" hidden="false" customHeight="false" outlineLevel="0" collapsed="false">
      <c r="A1387" s="28" t="n">
        <v>2021</v>
      </c>
      <c r="B1387" s="28" t="s">
        <v>116</v>
      </c>
      <c r="C1387" s="28" t="s">
        <v>43</v>
      </c>
      <c r="D1387" s="28" t="n">
        <v>22</v>
      </c>
      <c r="E1387" s="29" t="n">
        <v>10169400</v>
      </c>
      <c r="F1387" s="30" t="n">
        <v>105.575</v>
      </c>
      <c r="G1387" s="31" t="n">
        <f aca="false">IFERROR(F1387/D1387,0)</f>
        <v>4.79886363636364</v>
      </c>
    </row>
    <row r="1388" customFormat="false" ht="15" hidden="false" customHeight="false" outlineLevel="0" collapsed="false">
      <c r="A1388" s="28" t="n">
        <v>2021</v>
      </c>
      <c r="B1388" s="28" t="s">
        <v>116</v>
      </c>
      <c r="C1388" s="28" t="s">
        <v>52</v>
      </c>
      <c r="D1388" s="28" t="n">
        <v>14</v>
      </c>
      <c r="E1388" s="29" t="n">
        <v>3238500</v>
      </c>
      <c r="F1388" s="30" t="n">
        <v>72.25</v>
      </c>
      <c r="G1388" s="31" t="n">
        <f aca="false">IFERROR(F1388/D1388,0)</f>
        <v>5.16071428571429</v>
      </c>
    </row>
    <row r="1389" customFormat="false" ht="15" hidden="false" customHeight="false" outlineLevel="0" collapsed="false">
      <c r="A1389" s="28" t="n">
        <v>2021</v>
      </c>
      <c r="B1389" s="28" t="s">
        <v>116</v>
      </c>
      <c r="C1389" s="28" t="s">
        <v>49</v>
      </c>
      <c r="D1389" s="28" t="n">
        <v>1</v>
      </c>
      <c r="E1389" s="29" t="n">
        <v>50000</v>
      </c>
      <c r="F1389" s="30" t="n">
        <v>6.5</v>
      </c>
      <c r="G1389" s="31" t="n">
        <f aca="false">IFERROR(F1389/D1389,0)</f>
        <v>6.5</v>
      </c>
    </row>
    <row r="1390" customFormat="false" ht="15" hidden="false" customHeight="false" outlineLevel="0" collapsed="false">
      <c r="A1390" s="28" t="n">
        <v>2021</v>
      </c>
      <c r="B1390" s="28" t="s">
        <v>117</v>
      </c>
      <c r="C1390" s="28" t="s">
        <v>42</v>
      </c>
      <c r="D1390" s="28" t="n">
        <v>39</v>
      </c>
      <c r="E1390" s="29" t="n">
        <v>24486800</v>
      </c>
      <c r="F1390" s="30" t="n">
        <v>190.09</v>
      </c>
      <c r="G1390" s="31" t="n">
        <f aca="false">IFERROR(F1390/D1390,0)</f>
        <v>4.87410256410256</v>
      </c>
    </row>
    <row r="1391" customFormat="false" ht="15" hidden="false" customHeight="false" outlineLevel="0" collapsed="false">
      <c r="A1391" s="28" t="n">
        <v>2021</v>
      </c>
      <c r="B1391" s="28" t="s">
        <v>117</v>
      </c>
      <c r="C1391" s="28" t="s">
        <v>50</v>
      </c>
      <c r="D1391" s="28" t="n">
        <v>18</v>
      </c>
      <c r="E1391" s="29" t="n">
        <v>11117700</v>
      </c>
      <c r="F1391" s="30" t="n">
        <v>83.75</v>
      </c>
      <c r="G1391" s="31" t="n">
        <f aca="false">IFERROR(F1391/D1391,0)</f>
        <v>4.65277777777778</v>
      </c>
    </row>
    <row r="1392" customFormat="false" ht="15" hidden="false" customHeight="false" outlineLevel="0" collapsed="false">
      <c r="A1392" s="28" t="n">
        <v>2021</v>
      </c>
      <c r="B1392" s="28" t="s">
        <v>117</v>
      </c>
      <c r="C1392" s="28" t="s">
        <v>55</v>
      </c>
      <c r="D1392" s="28" t="n">
        <v>29</v>
      </c>
      <c r="E1392" s="29" t="n">
        <v>28485600</v>
      </c>
      <c r="F1392" s="30" t="n">
        <v>133.96</v>
      </c>
      <c r="G1392" s="31" t="n">
        <f aca="false">IFERROR(F1392/D1392,0)</f>
        <v>4.61931034482759</v>
      </c>
    </row>
    <row r="1393" customFormat="false" ht="15" hidden="false" customHeight="false" outlineLevel="0" collapsed="false">
      <c r="A1393" s="28" t="n">
        <v>2021</v>
      </c>
      <c r="B1393" s="28" t="s">
        <v>117</v>
      </c>
      <c r="C1393" s="28" t="s">
        <v>51</v>
      </c>
      <c r="D1393" s="28" t="n">
        <v>8</v>
      </c>
      <c r="E1393" s="29" t="n">
        <v>1367100</v>
      </c>
      <c r="F1393" s="30" t="n">
        <v>43.1</v>
      </c>
      <c r="G1393" s="31" t="n">
        <f aca="false">IFERROR(F1393/D1393,0)</f>
        <v>5.3875</v>
      </c>
    </row>
    <row r="1394" customFormat="false" ht="15" hidden="false" customHeight="false" outlineLevel="0" collapsed="false">
      <c r="A1394" s="28" t="n">
        <v>2021</v>
      </c>
      <c r="B1394" s="28" t="s">
        <v>117</v>
      </c>
      <c r="C1394" s="28" t="s">
        <v>45</v>
      </c>
      <c r="D1394" s="28" t="n">
        <v>36</v>
      </c>
      <c r="E1394" s="29" t="n">
        <v>20936600</v>
      </c>
      <c r="F1394" s="30" t="n">
        <v>187.15</v>
      </c>
      <c r="G1394" s="31" t="n">
        <f aca="false">IFERROR(F1394/D1394,0)</f>
        <v>5.19861111111111</v>
      </c>
    </row>
    <row r="1395" customFormat="false" ht="15" hidden="false" customHeight="false" outlineLevel="0" collapsed="false">
      <c r="A1395" s="28" t="n">
        <v>2021</v>
      </c>
      <c r="B1395" s="28" t="s">
        <v>117</v>
      </c>
      <c r="C1395" s="28" t="s">
        <v>56</v>
      </c>
      <c r="D1395" s="28" t="n">
        <v>1</v>
      </c>
      <c r="E1395" s="29" t="n">
        <v>225000</v>
      </c>
      <c r="F1395" s="30" t="n">
        <v>5</v>
      </c>
      <c r="G1395" s="31" t="n">
        <f aca="false">IFERROR(F1395/D1395,0)</f>
        <v>5</v>
      </c>
    </row>
    <row r="1396" customFormat="false" ht="15" hidden="false" customHeight="false" outlineLevel="0" collapsed="false">
      <c r="A1396" s="28" t="n">
        <v>2021</v>
      </c>
      <c r="B1396" s="28" t="s">
        <v>117</v>
      </c>
      <c r="C1396" s="28" t="s">
        <v>54</v>
      </c>
      <c r="D1396" s="28" t="n">
        <v>5</v>
      </c>
      <c r="E1396" s="29" t="n">
        <v>965800</v>
      </c>
      <c r="F1396" s="30" t="n">
        <v>26.25</v>
      </c>
      <c r="G1396" s="31" t="n">
        <f aca="false">IFERROR(F1396/D1396,0)</f>
        <v>5.25</v>
      </c>
    </row>
    <row r="1397" customFormat="false" ht="15" hidden="false" customHeight="false" outlineLevel="0" collapsed="false">
      <c r="A1397" s="28" t="n">
        <v>2021</v>
      </c>
      <c r="B1397" s="28" t="s">
        <v>117</v>
      </c>
      <c r="C1397" s="28" t="s">
        <v>44</v>
      </c>
      <c r="D1397" s="28" t="n">
        <v>28</v>
      </c>
      <c r="E1397" s="29" t="n">
        <v>13447300</v>
      </c>
      <c r="F1397" s="30" t="n">
        <v>144.77</v>
      </c>
      <c r="G1397" s="31" t="n">
        <f aca="false">IFERROR(F1397/D1397,0)</f>
        <v>5.17035714285714</v>
      </c>
    </row>
    <row r="1398" customFormat="false" ht="15" hidden="false" customHeight="false" outlineLevel="0" collapsed="false">
      <c r="A1398" s="28" t="n">
        <v>2021</v>
      </c>
      <c r="B1398" s="28" t="s">
        <v>117</v>
      </c>
      <c r="C1398" s="28" t="s">
        <v>57</v>
      </c>
      <c r="D1398" s="28" t="n">
        <v>2</v>
      </c>
      <c r="E1398" s="29" t="n">
        <v>1011500</v>
      </c>
      <c r="F1398" s="30" t="n">
        <v>11.5</v>
      </c>
      <c r="G1398" s="31" t="n">
        <f aca="false">IFERROR(F1398/D1398,0)</f>
        <v>5.75</v>
      </c>
    </row>
    <row r="1399" customFormat="false" ht="15" hidden="false" customHeight="false" outlineLevel="0" collapsed="false">
      <c r="A1399" s="28" t="n">
        <v>2021</v>
      </c>
      <c r="B1399" s="28" t="s">
        <v>117</v>
      </c>
      <c r="C1399" s="28" t="s">
        <v>47</v>
      </c>
      <c r="D1399" s="28" t="n">
        <v>29</v>
      </c>
      <c r="E1399" s="29" t="n">
        <v>21313600</v>
      </c>
      <c r="F1399" s="30" t="n">
        <v>141.86</v>
      </c>
      <c r="G1399" s="31" t="n">
        <f aca="false">IFERROR(F1399/D1399,0)</f>
        <v>4.89172413793103</v>
      </c>
    </row>
    <row r="1400" customFormat="false" ht="15" hidden="false" customHeight="false" outlineLevel="0" collapsed="false">
      <c r="A1400" s="28" t="n">
        <v>2021</v>
      </c>
      <c r="B1400" s="28" t="s">
        <v>117</v>
      </c>
      <c r="C1400" s="28" t="s">
        <v>46</v>
      </c>
      <c r="D1400" s="28" t="n">
        <v>34</v>
      </c>
      <c r="E1400" s="29" t="n">
        <v>13958400</v>
      </c>
      <c r="F1400" s="30" t="n">
        <v>167.03</v>
      </c>
      <c r="G1400" s="31" t="n">
        <f aca="false">IFERROR(F1400/D1400,0)</f>
        <v>4.91264705882353</v>
      </c>
    </row>
    <row r="1401" customFormat="false" ht="15" hidden="false" customHeight="false" outlineLevel="0" collapsed="false">
      <c r="A1401" s="28" t="n">
        <v>2021</v>
      </c>
      <c r="B1401" s="28" t="s">
        <v>117</v>
      </c>
      <c r="C1401" s="28" t="s">
        <v>48</v>
      </c>
      <c r="D1401" s="28" t="n">
        <v>13</v>
      </c>
      <c r="E1401" s="29" t="n">
        <v>5631400</v>
      </c>
      <c r="F1401" s="30" t="n">
        <v>70.74</v>
      </c>
      <c r="G1401" s="31" t="n">
        <f aca="false">IFERROR(F1401/D1401,0)</f>
        <v>5.44153846153846</v>
      </c>
    </row>
    <row r="1402" customFormat="false" ht="15" hidden="false" customHeight="false" outlineLevel="0" collapsed="false">
      <c r="A1402" s="28" t="n">
        <v>2021</v>
      </c>
      <c r="B1402" s="28" t="s">
        <v>117</v>
      </c>
      <c r="C1402" s="28" t="s">
        <v>61</v>
      </c>
      <c r="D1402" s="28" t="n">
        <v>1</v>
      </c>
      <c r="E1402" s="29" t="n">
        <v>500000</v>
      </c>
      <c r="F1402" s="30" t="n">
        <v>3.75</v>
      </c>
      <c r="G1402" s="31" t="n">
        <f aca="false">IFERROR(F1402/D1402,0)</f>
        <v>3.75</v>
      </c>
    </row>
    <row r="1403" customFormat="false" ht="15" hidden="false" customHeight="false" outlineLevel="0" collapsed="false">
      <c r="A1403" s="28" t="n">
        <v>2021</v>
      </c>
      <c r="B1403" s="28" t="s">
        <v>117</v>
      </c>
      <c r="C1403" s="28" t="s">
        <v>53</v>
      </c>
      <c r="D1403" s="28" t="n">
        <v>9</v>
      </c>
      <c r="E1403" s="29" t="n">
        <v>8869500</v>
      </c>
      <c r="F1403" s="30" t="n">
        <v>43.84</v>
      </c>
      <c r="G1403" s="31" t="n">
        <f aca="false">IFERROR(F1403/D1403,0)</f>
        <v>4.87111111111111</v>
      </c>
    </row>
    <row r="1404" customFormat="false" ht="15" hidden="false" customHeight="false" outlineLevel="0" collapsed="false">
      <c r="A1404" s="28" t="n">
        <v>2021</v>
      </c>
      <c r="B1404" s="28" t="s">
        <v>117</v>
      </c>
      <c r="C1404" s="28" t="s">
        <v>43</v>
      </c>
      <c r="D1404" s="28" t="n">
        <v>40</v>
      </c>
      <c r="E1404" s="29" t="n">
        <v>9262900</v>
      </c>
      <c r="F1404" s="30" t="n">
        <v>207.66</v>
      </c>
      <c r="G1404" s="31" t="n">
        <f aca="false">IFERROR(F1404/D1404,0)</f>
        <v>5.1915</v>
      </c>
    </row>
    <row r="1405" customFormat="false" ht="15" hidden="false" customHeight="false" outlineLevel="0" collapsed="false">
      <c r="A1405" s="28" t="n">
        <v>2021</v>
      </c>
      <c r="B1405" s="28" t="s">
        <v>117</v>
      </c>
      <c r="C1405" s="28" t="s">
        <v>52</v>
      </c>
      <c r="D1405" s="28" t="n">
        <v>14</v>
      </c>
      <c r="E1405" s="29" t="n">
        <v>4595200</v>
      </c>
      <c r="F1405" s="30" t="n">
        <v>76.22</v>
      </c>
      <c r="G1405" s="31" t="n">
        <f aca="false">IFERROR(F1405/D1405,0)</f>
        <v>5.44428571428571</v>
      </c>
    </row>
    <row r="1406" customFormat="false" ht="15" hidden="false" customHeight="false" outlineLevel="0" collapsed="false">
      <c r="A1406" s="28" t="n">
        <v>2021</v>
      </c>
      <c r="B1406" s="28" t="s">
        <v>117</v>
      </c>
      <c r="C1406" s="28" t="s">
        <v>49</v>
      </c>
      <c r="D1406" s="28" t="n">
        <v>13</v>
      </c>
      <c r="E1406" s="29" t="n">
        <v>5456000</v>
      </c>
      <c r="F1406" s="30" t="n">
        <v>69.3</v>
      </c>
      <c r="G1406" s="31" t="n">
        <f aca="false">IFERROR(F1406/D1406,0)</f>
        <v>5.33076923076923</v>
      </c>
    </row>
    <row r="1407" customFormat="false" ht="15" hidden="false" customHeight="false" outlineLevel="0" collapsed="false">
      <c r="A1407" s="28" t="n">
        <v>2021</v>
      </c>
      <c r="B1407" s="28" t="s">
        <v>118</v>
      </c>
      <c r="C1407" s="28" t="s">
        <v>42</v>
      </c>
      <c r="D1407" s="28" t="n">
        <v>44</v>
      </c>
      <c r="E1407" s="29" t="n">
        <v>10098100</v>
      </c>
      <c r="F1407" s="30" t="n">
        <v>218.11</v>
      </c>
      <c r="G1407" s="31" t="n">
        <f aca="false">IFERROR(F1407/D1407,0)</f>
        <v>4.95704545454545</v>
      </c>
    </row>
    <row r="1408" customFormat="false" ht="15" hidden="false" customHeight="false" outlineLevel="0" collapsed="false">
      <c r="A1408" s="28" t="n">
        <v>2021</v>
      </c>
      <c r="B1408" s="28" t="s">
        <v>118</v>
      </c>
      <c r="C1408" s="28" t="s">
        <v>50</v>
      </c>
      <c r="D1408" s="28" t="n">
        <v>33</v>
      </c>
      <c r="E1408" s="29" t="n">
        <v>3933800</v>
      </c>
      <c r="F1408" s="30" t="n">
        <v>171.56</v>
      </c>
      <c r="G1408" s="31" t="n">
        <f aca="false">IFERROR(F1408/D1408,0)</f>
        <v>5.19878787878788</v>
      </c>
    </row>
    <row r="1409" customFormat="false" ht="15" hidden="false" customHeight="false" outlineLevel="0" collapsed="false">
      <c r="A1409" s="28" t="n">
        <v>2021</v>
      </c>
      <c r="B1409" s="28" t="s">
        <v>118</v>
      </c>
      <c r="C1409" s="28" t="s">
        <v>55</v>
      </c>
      <c r="D1409" s="28" t="n">
        <v>3</v>
      </c>
      <c r="E1409" s="29" t="n">
        <v>212300</v>
      </c>
      <c r="F1409" s="30" t="n">
        <v>12.75</v>
      </c>
      <c r="G1409" s="31" t="n">
        <f aca="false">IFERROR(F1409/D1409,0)</f>
        <v>4.25</v>
      </c>
    </row>
    <row r="1410" customFormat="false" ht="15" hidden="false" customHeight="false" outlineLevel="0" collapsed="false">
      <c r="A1410" s="28" t="n">
        <v>2021</v>
      </c>
      <c r="B1410" s="28" t="s">
        <v>118</v>
      </c>
      <c r="C1410" s="28" t="s">
        <v>51</v>
      </c>
      <c r="D1410" s="28" t="n">
        <v>5</v>
      </c>
      <c r="E1410" s="29" t="n">
        <v>1540000</v>
      </c>
      <c r="F1410" s="30" t="n">
        <v>30.1</v>
      </c>
      <c r="G1410" s="31" t="n">
        <f aca="false">IFERROR(F1410/D1410,0)</f>
        <v>6.02</v>
      </c>
    </row>
    <row r="1411" customFormat="false" ht="15" hidden="false" customHeight="false" outlineLevel="0" collapsed="false">
      <c r="A1411" s="28" t="n">
        <v>2021</v>
      </c>
      <c r="B1411" s="28" t="s">
        <v>118</v>
      </c>
      <c r="C1411" s="28" t="s">
        <v>45</v>
      </c>
      <c r="D1411" s="28" t="n">
        <v>41</v>
      </c>
      <c r="E1411" s="29" t="n">
        <v>11723000</v>
      </c>
      <c r="F1411" s="30" t="n">
        <v>213.965</v>
      </c>
      <c r="G1411" s="31" t="n">
        <f aca="false">IFERROR(F1411/D1411,0)</f>
        <v>5.21865853658537</v>
      </c>
    </row>
    <row r="1412" customFormat="false" ht="15" hidden="false" customHeight="false" outlineLevel="0" collapsed="false">
      <c r="A1412" s="28" t="n">
        <v>2021</v>
      </c>
      <c r="B1412" s="28" t="s">
        <v>118</v>
      </c>
      <c r="C1412" s="28" t="s">
        <v>56</v>
      </c>
      <c r="D1412" s="28" t="n">
        <v>4</v>
      </c>
      <c r="E1412" s="29" t="n">
        <v>478000</v>
      </c>
      <c r="F1412" s="30" t="n">
        <v>19.25</v>
      </c>
      <c r="G1412" s="31" t="n">
        <f aca="false">IFERROR(F1412/D1412,0)</f>
        <v>4.8125</v>
      </c>
    </row>
    <row r="1413" customFormat="false" ht="15" hidden="false" customHeight="false" outlineLevel="0" collapsed="false">
      <c r="A1413" s="28" t="n">
        <v>2021</v>
      </c>
      <c r="B1413" s="28" t="s">
        <v>118</v>
      </c>
      <c r="C1413" s="28" t="s">
        <v>54</v>
      </c>
      <c r="D1413" s="28" t="n">
        <v>10</v>
      </c>
      <c r="E1413" s="29" t="n">
        <v>5327400</v>
      </c>
      <c r="F1413" s="30" t="n">
        <v>52.25</v>
      </c>
      <c r="G1413" s="31" t="n">
        <f aca="false">IFERROR(F1413/D1413,0)</f>
        <v>5.225</v>
      </c>
    </row>
    <row r="1414" customFormat="false" ht="15" hidden="false" customHeight="false" outlineLevel="0" collapsed="false">
      <c r="A1414" s="28" t="n">
        <v>2021</v>
      </c>
      <c r="B1414" s="28" t="s">
        <v>118</v>
      </c>
      <c r="C1414" s="28" t="s">
        <v>44</v>
      </c>
      <c r="D1414" s="28" t="n">
        <v>19</v>
      </c>
      <c r="E1414" s="29" t="n">
        <v>6404400</v>
      </c>
      <c r="F1414" s="30" t="n">
        <v>98.31</v>
      </c>
      <c r="G1414" s="31" t="n">
        <f aca="false">IFERROR(F1414/D1414,0)</f>
        <v>5.17421052631579</v>
      </c>
    </row>
    <row r="1415" customFormat="false" ht="15" hidden="false" customHeight="false" outlineLevel="0" collapsed="false">
      <c r="A1415" s="28" t="n">
        <v>2021</v>
      </c>
      <c r="B1415" s="28" t="s">
        <v>118</v>
      </c>
      <c r="C1415" s="28" t="s">
        <v>57</v>
      </c>
      <c r="D1415" s="28" t="n">
        <v>4</v>
      </c>
      <c r="E1415" s="29" t="n">
        <v>1343500</v>
      </c>
      <c r="F1415" s="30" t="n">
        <v>22.5</v>
      </c>
      <c r="G1415" s="31" t="n">
        <f aca="false">IFERROR(F1415/D1415,0)</f>
        <v>5.625</v>
      </c>
    </row>
    <row r="1416" customFormat="false" ht="15" hidden="false" customHeight="false" outlineLevel="0" collapsed="false">
      <c r="A1416" s="28" t="n">
        <v>2021</v>
      </c>
      <c r="B1416" s="28" t="s">
        <v>118</v>
      </c>
      <c r="C1416" s="28" t="s">
        <v>59</v>
      </c>
      <c r="D1416" s="28" t="n">
        <v>1</v>
      </c>
      <c r="E1416" s="29" t="n">
        <v>348000</v>
      </c>
      <c r="F1416" s="30" t="n">
        <v>5.74</v>
      </c>
      <c r="G1416" s="31" t="n">
        <f aca="false">IFERROR(F1416/D1416,0)</f>
        <v>5.74</v>
      </c>
    </row>
    <row r="1417" customFormat="false" ht="15" hidden="false" customHeight="false" outlineLevel="0" collapsed="false">
      <c r="A1417" s="28" t="n">
        <v>2021</v>
      </c>
      <c r="B1417" s="28" t="s">
        <v>118</v>
      </c>
      <c r="C1417" s="28" t="s">
        <v>47</v>
      </c>
      <c r="D1417" s="28" t="n">
        <v>36</v>
      </c>
      <c r="E1417" s="29" t="n">
        <v>22871700</v>
      </c>
      <c r="F1417" s="30" t="n">
        <v>181.405</v>
      </c>
      <c r="G1417" s="31" t="n">
        <f aca="false">IFERROR(F1417/D1417,0)</f>
        <v>5.03902777777778</v>
      </c>
    </row>
    <row r="1418" customFormat="false" ht="15" hidden="false" customHeight="false" outlineLevel="0" collapsed="false">
      <c r="A1418" s="28" t="n">
        <v>2021</v>
      </c>
      <c r="B1418" s="28" t="s">
        <v>118</v>
      </c>
      <c r="C1418" s="28" t="s">
        <v>46</v>
      </c>
      <c r="D1418" s="28" t="n">
        <v>48</v>
      </c>
      <c r="E1418" s="29" t="n">
        <v>15967800</v>
      </c>
      <c r="F1418" s="30" t="n">
        <v>241.125</v>
      </c>
      <c r="G1418" s="31" t="n">
        <f aca="false">IFERROR(F1418/D1418,0)</f>
        <v>5.0234375</v>
      </c>
    </row>
    <row r="1419" customFormat="false" ht="15" hidden="false" customHeight="false" outlineLevel="0" collapsed="false">
      <c r="A1419" s="28" t="n">
        <v>2021</v>
      </c>
      <c r="B1419" s="28" t="s">
        <v>118</v>
      </c>
      <c r="C1419" s="28" t="s">
        <v>48</v>
      </c>
      <c r="D1419" s="28" t="n">
        <v>24</v>
      </c>
      <c r="E1419" s="29" t="n">
        <v>15262000</v>
      </c>
      <c r="F1419" s="30" t="n">
        <v>130.99</v>
      </c>
      <c r="G1419" s="31" t="n">
        <f aca="false">IFERROR(F1419/D1419,0)</f>
        <v>5.45791666666667</v>
      </c>
    </row>
    <row r="1420" customFormat="false" ht="15" hidden="false" customHeight="false" outlineLevel="0" collapsed="false">
      <c r="A1420" s="28" t="n">
        <v>2021</v>
      </c>
      <c r="B1420" s="28" t="s">
        <v>118</v>
      </c>
      <c r="C1420" s="28" t="s">
        <v>53</v>
      </c>
      <c r="D1420" s="28" t="n">
        <v>12</v>
      </c>
      <c r="E1420" s="29" t="n">
        <v>3983300</v>
      </c>
      <c r="F1420" s="30" t="n">
        <v>57.35</v>
      </c>
      <c r="G1420" s="31" t="n">
        <f aca="false">IFERROR(F1420/D1420,0)</f>
        <v>4.77916666666667</v>
      </c>
    </row>
    <row r="1421" customFormat="false" ht="15" hidden="false" customHeight="false" outlineLevel="0" collapsed="false">
      <c r="A1421" s="28" t="n">
        <v>2021</v>
      </c>
      <c r="B1421" s="28" t="s">
        <v>118</v>
      </c>
      <c r="C1421" s="28" t="s">
        <v>43</v>
      </c>
      <c r="D1421" s="28" t="n">
        <v>50</v>
      </c>
      <c r="E1421" s="29" t="n">
        <v>20210100</v>
      </c>
      <c r="F1421" s="30" t="n">
        <v>256.495</v>
      </c>
      <c r="G1421" s="31" t="n">
        <f aca="false">IFERROR(F1421/D1421,0)</f>
        <v>5.1299</v>
      </c>
    </row>
    <row r="1422" customFormat="false" ht="15" hidden="false" customHeight="false" outlineLevel="0" collapsed="false">
      <c r="A1422" s="28" t="n">
        <v>2021</v>
      </c>
      <c r="B1422" s="28" t="s">
        <v>118</v>
      </c>
      <c r="C1422" s="28" t="s">
        <v>52</v>
      </c>
      <c r="D1422" s="28" t="n">
        <v>18</v>
      </c>
      <c r="E1422" s="29" t="n">
        <v>3080900</v>
      </c>
      <c r="F1422" s="30" t="n">
        <v>100.17</v>
      </c>
      <c r="G1422" s="31" t="n">
        <f aca="false">IFERROR(F1422/D1422,0)</f>
        <v>5.565</v>
      </c>
    </row>
    <row r="1423" customFormat="false" ht="15" hidden="false" customHeight="false" outlineLevel="0" collapsed="false">
      <c r="A1423" s="28" t="n">
        <v>2021</v>
      </c>
      <c r="B1423" s="28" t="s">
        <v>118</v>
      </c>
      <c r="C1423" s="28" t="s">
        <v>49</v>
      </c>
      <c r="D1423" s="28" t="n">
        <v>19</v>
      </c>
      <c r="E1423" s="29" t="n">
        <v>16397300</v>
      </c>
      <c r="F1423" s="30" t="n">
        <v>92.64</v>
      </c>
      <c r="G1423" s="31" t="n">
        <f aca="false">IFERROR(F1423/D1423,0)</f>
        <v>4.87578947368421</v>
      </c>
    </row>
    <row r="1424" customFormat="false" ht="15" hidden="false" customHeight="false" outlineLevel="0" collapsed="false">
      <c r="A1424" s="28" t="n">
        <v>2021</v>
      </c>
      <c r="B1424" s="28" t="s">
        <v>91</v>
      </c>
      <c r="C1424" s="28" t="s">
        <v>42</v>
      </c>
      <c r="D1424" s="28" t="n">
        <v>152</v>
      </c>
      <c r="E1424" s="29" t="n">
        <v>159641600</v>
      </c>
      <c r="F1424" s="30" t="n">
        <v>845.08</v>
      </c>
      <c r="G1424" s="31" t="n">
        <f aca="false">IFERROR(F1424/D1424,0)</f>
        <v>5.55973684210526</v>
      </c>
    </row>
    <row r="1425" customFormat="false" ht="15" hidden="false" customHeight="false" outlineLevel="0" collapsed="false">
      <c r="A1425" s="28" t="n">
        <v>2021</v>
      </c>
      <c r="B1425" s="28" t="s">
        <v>91</v>
      </c>
      <c r="C1425" s="28" t="s">
        <v>50</v>
      </c>
      <c r="D1425" s="28" t="n">
        <v>51</v>
      </c>
      <c r="E1425" s="29" t="n">
        <v>19427100</v>
      </c>
      <c r="F1425" s="30" t="n">
        <v>309.36</v>
      </c>
      <c r="G1425" s="31" t="n">
        <f aca="false">IFERROR(F1425/D1425,0)</f>
        <v>6.06588235294118</v>
      </c>
    </row>
    <row r="1426" customFormat="false" ht="15" hidden="false" customHeight="false" outlineLevel="0" collapsed="false">
      <c r="A1426" s="28" t="n">
        <v>2021</v>
      </c>
      <c r="B1426" s="28" t="s">
        <v>91</v>
      </c>
      <c r="C1426" s="28" t="s">
        <v>55</v>
      </c>
      <c r="D1426" s="28" t="n">
        <v>6</v>
      </c>
      <c r="E1426" s="29" t="n">
        <v>4805000</v>
      </c>
      <c r="F1426" s="30" t="n">
        <v>37</v>
      </c>
      <c r="G1426" s="31" t="n">
        <f aca="false">IFERROR(F1426/D1426,0)</f>
        <v>6.16666666666667</v>
      </c>
    </row>
    <row r="1427" customFormat="false" ht="15" hidden="false" customHeight="false" outlineLevel="0" collapsed="false">
      <c r="A1427" s="28" t="n">
        <v>2021</v>
      </c>
      <c r="B1427" s="28" t="s">
        <v>91</v>
      </c>
      <c r="C1427" s="28" t="s">
        <v>51</v>
      </c>
      <c r="D1427" s="28" t="n">
        <v>34</v>
      </c>
      <c r="E1427" s="29" t="n">
        <v>31973200</v>
      </c>
      <c r="F1427" s="30" t="n">
        <v>187.51</v>
      </c>
      <c r="G1427" s="31" t="n">
        <f aca="false">IFERROR(F1427/D1427,0)</f>
        <v>5.515</v>
      </c>
    </row>
    <row r="1428" customFormat="false" ht="15" hidden="false" customHeight="false" outlineLevel="0" collapsed="false">
      <c r="A1428" s="28" t="n">
        <v>2021</v>
      </c>
      <c r="B1428" s="28" t="s">
        <v>91</v>
      </c>
      <c r="C1428" s="28" t="s">
        <v>45</v>
      </c>
      <c r="D1428" s="28" t="n">
        <v>123</v>
      </c>
      <c r="E1428" s="29" t="n">
        <v>53522000</v>
      </c>
      <c r="F1428" s="30" t="n">
        <v>783.13</v>
      </c>
      <c r="G1428" s="31" t="n">
        <f aca="false">IFERROR(F1428/D1428,0)</f>
        <v>6.36691056910569</v>
      </c>
    </row>
    <row r="1429" customFormat="false" ht="15" hidden="false" customHeight="false" outlineLevel="0" collapsed="false">
      <c r="A1429" s="28" t="n">
        <v>2021</v>
      </c>
      <c r="B1429" s="28" t="s">
        <v>91</v>
      </c>
      <c r="C1429" s="28" t="s">
        <v>56</v>
      </c>
      <c r="D1429" s="28" t="n">
        <v>19</v>
      </c>
      <c r="E1429" s="29" t="n">
        <v>10768000</v>
      </c>
      <c r="F1429" s="30" t="n">
        <v>108.92</v>
      </c>
      <c r="G1429" s="31" t="n">
        <f aca="false">IFERROR(F1429/D1429,0)</f>
        <v>5.73263157894737</v>
      </c>
    </row>
    <row r="1430" customFormat="false" ht="15" hidden="false" customHeight="false" outlineLevel="0" collapsed="false">
      <c r="A1430" s="28" t="n">
        <v>2021</v>
      </c>
      <c r="B1430" s="28" t="s">
        <v>91</v>
      </c>
      <c r="C1430" s="28" t="s">
        <v>54</v>
      </c>
      <c r="D1430" s="28" t="n">
        <v>20</v>
      </c>
      <c r="E1430" s="29" t="n">
        <v>15476500</v>
      </c>
      <c r="F1430" s="30" t="n">
        <v>118.94</v>
      </c>
      <c r="G1430" s="31" t="n">
        <f aca="false">IFERROR(F1430/D1430,0)</f>
        <v>5.947</v>
      </c>
    </row>
    <row r="1431" customFormat="false" ht="15" hidden="false" customHeight="false" outlineLevel="0" collapsed="false">
      <c r="A1431" s="28" t="n">
        <v>2021</v>
      </c>
      <c r="B1431" s="28" t="s">
        <v>91</v>
      </c>
      <c r="C1431" s="28" t="s">
        <v>44</v>
      </c>
      <c r="D1431" s="28" t="n">
        <v>144</v>
      </c>
      <c r="E1431" s="29" t="n">
        <v>119811100</v>
      </c>
      <c r="F1431" s="30" t="n">
        <v>801.66</v>
      </c>
      <c r="G1431" s="31" t="n">
        <f aca="false">IFERROR(F1431/D1431,0)</f>
        <v>5.56708333333333</v>
      </c>
    </row>
    <row r="1432" customFormat="false" ht="15" hidden="false" customHeight="false" outlineLevel="0" collapsed="false">
      <c r="A1432" s="28" t="n">
        <v>2021</v>
      </c>
      <c r="B1432" s="28" t="s">
        <v>91</v>
      </c>
      <c r="C1432" s="28" t="s">
        <v>57</v>
      </c>
      <c r="D1432" s="28" t="n">
        <v>11</v>
      </c>
      <c r="E1432" s="29" t="n">
        <v>11577500</v>
      </c>
      <c r="F1432" s="30" t="n">
        <v>64.49</v>
      </c>
      <c r="G1432" s="31" t="n">
        <f aca="false">IFERROR(F1432/D1432,0)</f>
        <v>5.86272727272727</v>
      </c>
    </row>
    <row r="1433" customFormat="false" ht="15" hidden="false" customHeight="false" outlineLevel="0" collapsed="false">
      <c r="A1433" s="28" t="n">
        <v>2021</v>
      </c>
      <c r="B1433" s="28" t="s">
        <v>91</v>
      </c>
      <c r="C1433" s="28" t="s">
        <v>59</v>
      </c>
      <c r="D1433" s="28" t="n">
        <v>1</v>
      </c>
      <c r="E1433" s="29" t="n">
        <v>288000</v>
      </c>
      <c r="F1433" s="30" t="n">
        <v>4.55</v>
      </c>
      <c r="G1433" s="31" t="n">
        <f aca="false">IFERROR(F1433/D1433,0)</f>
        <v>4.55</v>
      </c>
    </row>
    <row r="1434" customFormat="false" ht="15" hidden="false" customHeight="false" outlineLevel="0" collapsed="false">
      <c r="A1434" s="28" t="n">
        <v>2021</v>
      </c>
      <c r="B1434" s="28" t="s">
        <v>91</v>
      </c>
      <c r="C1434" s="28" t="s">
        <v>47</v>
      </c>
      <c r="D1434" s="28" t="n">
        <v>66</v>
      </c>
      <c r="E1434" s="29" t="n">
        <v>68913900</v>
      </c>
      <c r="F1434" s="30" t="n">
        <v>364.42</v>
      </c>
      <c r="G1434" s="31" t="n">
        <f aca="false">IFERROR(F1434/D1434,0)</f>
        <v>5.52151515151515</v>
      </c>
    </row>
    <row r="1435" customFormat="false" ht="15" hidden="false" customHeight="false" outlineLevel="0" collapsed="false">
      <c r="A1435" s="28" t="n">
        <v>2021</v>
      </c>
      <c r="B1435" s="28" t="s">
        <v>91</v>
      </c>
      <c r="C1435" s="28" t="s">
        <v>46</v>
      </c>
      <c r="D1435" s="28" t="n">
        <v>101</v>
      </c>
      <c r="E1435" s="29" t="n">
        <v>80385700</v>
      </c>
      <c r="F1435" s="30" t="n">
        <v>598.94</v>
      </c>
      <c r="G1435" s="31" t="n">
        <f aca="false">IFERROR(F1435/D1435,0)</f>
        <v>5.93009900990099</v>
      </c>
    </row>
    <row r="1436" customFormat="false" ht="15" hidden="false" customHeight="false" outlineLevel="0" collapsed="false">
      <c r="A1436" s="28" t="n">
        <v>2021</v>
      </c>
      <c r="B1436" s="28" t="s">
        <v>91</v>
      </c>
      <c r="C1436" s="28" t="s">
        <v>48</v>
      </c>
      <c r="D1436" s="28" t="n">
        <v>106</v>
      </c>
      <c r="E1436" s="29" t="n">
        <v>65522900</v>
      </c>
      <c r="F1436" s="30" t="n">
        <v>635.72</v>
      </c>
      <c r="G1436" s="31" t="n">
        <f aca="false">IFERROR(F1436/D1436,0)</f>
        <v>5.99735849056604</v>
      </c>
    </row>
    <row r="1437" customFormat="false" ht="15" hidden="false" customHeight="false" outlineLevel="0" collapsed="false">
      <c r="A1437" s="28" t="n">
        <v>2021</v>
      </c>
      <c r="B1437" s="28" t="s">
        <v>91</v>
      </c>
      <c r="C1437" s="28" t="s">
        <v>53</v>
      </c>
      <c r="D1437" s="28" t="n">
        <v>31</v>
      </c>
      <c r="E1437" s="29" t="n">
        <v>29119200</v>
      </c>
      <c r="F1437" s="30" t="n">
        <v>165.64</v>
      </c>
      <c r="G1437" s="31" t="n">
        <f aca="false">IFERROR(F1437/D1437,0)</f>
        <v>5.34322580645161</v>
      </c>
    </row>
    <row r="1438" customFormat="false" ht="15" hidden="false" customHeight="false" outlineLevel="0" collapsed="false">
      <c r="A1438" s="28" t="n">
        <v>2021</v>
      </c>
      <c r="B1438" s="28" t="s">
        <v>91</v>
      </c>
      <c r="C1438" s="28" t="s">
        <v>43</v>
      </c>
      <c r="D1438" s="28" t="n">
        <v>229</v>
      </c>
      <c r="E1438" s="29" t="n">
        <v>165779100</v>
      </c>
      <c r="F1438" s="30" t="n">
        <v>1340.79</v>
      </c>
      <c r="G1438" s="31" t="n">
        <f aca="false">IFERROR(F1438/D1438,0)</f>
        <v>5.85497816593886</v>
      </c>
    </row>
    <row r="1439" customFormat="false" ht="15" hidden="false" customHeight="false" outlineLevel="0" collapsed="false">
      <c r="A1439" s="28" t="n">
        <v>2021</v>
      </c>
      <c r="B1439" s="28" t="s">
        <v>91</v>
      </c>
      <c r="C1439" s="28" t="s">
        <v>52</v>
      </c>
      <c r="D1439" s="28" t="n">
        <v>69</v>
      </c>
      <c r="E1439" s="29" t="n">
        <v>26624500</v>
      </c>
      <c r="F1439" s="30" t="n">
        <v>505.98</v>
      </c>
      <c r="G1439" s="31" t="n">
        <f aca="false">IFERROR(F1439/D1439,0)</f>
        <v>7.33304347826087</v>
      </c>
    </row>
    <row r="1440" customFormat="false" ht="15" hidden="false" customHeight="false" outlineLevel="0" collapsed="false">
      <c r="A1440" s="28" t="n">
        <v>2021</v>
      </c>
      <c r="B1440" s="28" t="s">
        <v>91</v>
      </c>
      <c r="C1440" s="28" t="s">
        <v>60</v>
      </c>
      <c r="D1440" s="28" t="n">
        <v>1</v>
      </c>
      <c r="E1440" s="29" t="n">
        <v>923000</v>
      </c>
      <c r="F1440" s="30" t="n">
        <v>6</v>
      </c>
      <c r="G1440" s="31" t="n">
        <f aca="false">IFERROR(F1440/D1440,0)</f>
        <v>6</v>
      </c>
    </row>
    <row r="1441" customFormat="false" ht="15" hidden="false" customHeight="false" outlineLevel="0" collapsed="false">
      <c r="A1441" s="28" t="n">
        <v>2021</v>
      </c>
      <c r="B1441" s="28" t="s">
        <v>91</v>
      </c>
      <c r="C1441" s="28" t="s">
        <v>49</v>
      </c>
      <c r="D1441" s="28" t="n">
        <v>83</v>
      </c>
      <c r="E1441" s="29" t="n">
        <v>86275200</v>
      </c>
      <c r="F1441" s="30" t="n">
        <v>472.91</v>
      </c>
      <c r="G1441" s="31" t="n">
        <f aca="false">IFERROR(F1441/D1441,0)</f>
        <v>5.69771084337349</v>
      </c>
    </row>
    <row r="1442" customFormat="false" ht="15" hidden="false" customHeight="false" outlineLevel="0" collapsed="false">
      <c r="A1442" s="28" t="n">
        <v>2021</v>
      </c>
      <c r="B1442" s="28" t="s">
        <v>119</v>
      </c>
      <c r="C1442" s="28" t="s">
        <v>42</v>
      </c>
      <c r="D1442" s="28" t="n">
        <v>35</v>
      </c>
      <c r="E1442" s="29" t="n">
        <v>58677600</v>
      </c>
      <c r="F1442" s="30" t="n">
        <v>174.44</v>
      </c>
      <c r="G1442" s="31" t="n">
        <f aca="false">IFERROR(F1442/D1442,0)</f>
        <v>4.984</v>
      </c>
    </row>
    <row r="1443" customFormat="false" ht="15" hidden="false" customHeight="false" outlineLevel="0" collapsed="false">
      <c r="A1443" s="28" t="n">
        <v>2021</v>
      </c>
      <c r="B1443" s="28" t="s">
        <v>119</v>
      </c>
      <c r="C1443" s="28" t="s">
        <v>50</v>
      </c>
      <c r="D1443" s="28" t="n">
        <v>4</v>
      </c>
      <c r="E1443" s="29" t="n">
        <v>5412200</v>
      </c>
      <c r="F1443" s="30" t="n">
        <v>20.4</v>
      </c>
      <c r="G1443" s="31" t="n">
        <f aca="false">IFERROR(F1443/D1443,0)</f>
        <v>5.1</v>
      </c>
    </row>
    <row r="1444" customFormat="false" ht="15" hidden="false" customHeight="false" outlineLevel="0" collapsed="false">
      <c r="A1444" s="28" t="n">
        <v>2021</v>
      </c>
      <c r="B1444" s="28" t="s">
        <v>119</v>
      </c>
      <c r="C1444" s="28" t="s">
        <v>55</v>
      </c>
      <c r="D1444" s="28" t="n">
        <v>4</v>
      </c>
      <c r="E1444" s="29" t="n">
        <v>1969600</v>
      </c>
      <c r="F1444" s="30" t="n">
        <v>23</v>
      </c>
      <c r="G1444" s="31" t="n">
        <f aca="false">IFERROR(F1444/D1444,0)</f>
        <v>5.75</v>
      </c>
    </row>
    <row r="1445" customFormat="false" ht="15" hidden="false" customHeight="false" outlineLevel="0" collapsed="false">
      <c r="A1445" s="28" t="n">
        <v>2021</v>
      </c>
      <c r="B1445" s="28" t="s">
        <v>119</v>
      </c>
      <c r="C1445" s="28" t="s">
        <v>51</v>
      </c>
      <c r="D1445" s="28" t="n">
        <v>2</v>
      </c>
      <c r="E1445" s="29" t="n">
        <v>1230000</v>
      </c>
      <c r="F1445" s="30" t="n">
        <v>11.5</v>
      </c>
      <c r="G1445" s="31" t="n">
        <f aca="false">IFERROR(F1445/D1445,0)</f>
        <v>5.75</v>
      </c>
    </row>
    <row r="1446" customFormat="false" ht="15" hidden="false" customHeight="false" outlineLevel="0" collapsed="false">
      <c r="A1446" s="28" t="n">
        <v>2021</v>
      </c>
      <c r="B1446" s="28" t="s">
        <v>119</v>
      </c>
      <c r="C1446" s="28" t="s">
        <v>45</v>
      </c>
      <c r="D1446" s="28" t="n">
        <v>22</v>
      </c>
      <c r="E1446" s="29" t="n">
        <v>9973000</v>
      </c>
      <c r="F1446" s="30" t="n">
        <v>125.35</v>
      </c>
      <c r="G1446" s="31" t="n">
        <f aca="false">IFERROR(F1446/D1446,0)</f>
        <v>5.69772727272727</v>
      </c>
    </row>
    <row r="1447" customFormat="false" ht="15" hidden="false" customHeight="false" outlineLevel="0" collapsed="false">
      <c r="A1447" s="28" t="n">
        <v>2021</v>
      </c>
      <c r="B1447" s="28" t="s">
        <v>119</v>
      </c>
      <c r="C1447" s="28" t="s">
        <v>54</v>
      </c>
      <c r="D1447" s="28" t="n">
        <v>3</v>
      </c>
      <c r="E1447" s="29" t="n">
        <v>5572500</v>
      </c>
      <c r="F1447" s="30" t="n">
        <v>15</v>
      </c>
      <c r="G1447" s="31" t="n">
        <f aca="false">IFERROR(F1447/D1447,0)</f>
        <v>5</v>
      </c>
    </row>
    <row r="1448" customFormat="false" ht="15" hidden="false" customHeight="false" outlineLevel="0" collapsed="false">
      <c r="A1448" s="28" t="n">
        <v>2021</v>
      </c>
      <c r="B1448" s="28" t="s">
        <v>119</v>
      </c>
      <c r="C1448" s="28" t="s">
        <v>44</v>
      </c>
      <c r="D1448" s="28" t="n">
        <v>23</v>
      </c>
      <c r="E1448" s="29" t="n">
        <v>13352100</v>
      </c>
      <c r="F1448" s="30" t="n">
        <v>106.61</v>
      </c>
      <c r="G1448" s="31" t="n">
        <f aca="false">IFERROR(F1448/D1448,0)</f>
        <v>4.63521739130435</v>
      </c>
    </row>
    <row r="1449" customFormat="false" ht="15" hidden="false" customHeight="false" outlineLevel="0" collapsed="false">
      <c r="A1449" s="28" t="n">
        <v>2021</v>
      </c>
      <c r="B1449" s="28" t="s">
        <v>119</v>
      </c>
      <c r="C1449" s="28" t="s">
        <v>57</v>
      </c>
      <c r="D1449" s="28" t="n">
        <v>3</v>
      </c>
      <c r="E1449" s="29" t="n">
        <v>3950000</v>
      </c>
      <c r="F1449" s="30" t="n">
        <v>19</v>
      </c>
      <c r="G1449" s="31" t="n">
        <f aca="false">IFERROR(F1449/D1449,0)</f>
        <v>6.33333333333333</v>
      </c>
    </row>
    <row r="1450" customFormat="false" ht="15" hidden="false" customHeight="false" outlineLevel="0" collapsed="false">
      <c r="A1450" s="28" t="n">
        <v>2021</v>
      </c>
      <c r="B1450" s="28" t="s">
        <v>119</v>
      </c>
      <c r="C1450" s="28" t="s">
        <v>47</v>
      </c>
      <c r="D1450" s="28" t="n">
        <v>22</v>
      </c>
      <c r="E1450" s="29" t="n">
        <v>10400000</v>
      </c>
      <c r="F1450" s="30" t="n">
        <v>110.29</v>
      </c>
      <c r="G1450" s="31" t="n">
        <f aca="false">IFERROR(F1450/D1450,0)</f>
        <v>5.01318181818182</v>
      </c>
    </row>
    <row r="1451" customFormat="false" ht="15" hidden="false" customHeight="false" outlineLevel="0" collapsed="false">
      <c r="A1451" s="28" t="n">
        <v>2021</v>
      </c>
      <c r="B1451" s="28" t="s">
        <v>119</v>
      </c>
      <c r="C1451" s="28" t="s">
        <v>58</v>
      </c>
      <c r="D1451" s="28" t="n">
        <v>8</v>
      </c>
      <c r="E1451" s="29" t="n">
        <v>6522000</v>
      </c>
      <c r="F1451" s="30" t="n">
        <v>45.25</v>
      </c>
      <c r="G1451" s="31" t="n">
        <f aca="false">IFERROR(F1451/D1451,0)</f>
        <v>5.65625</v>
      </c>
    </row>
    <row r="1452" customFormat="false" ht="15" hidden="false" customHeight="false" outlineLevel="0" collapsed="false">
      <c r="A1452" s="28" t="n">
        <v>2021</v>
      </c>
      <c r="B1452" s="28" t="s">
        <v>119</v>
      </c>
      <c r="C1452" s="28" t="s">
        <v>46</v>
      </c>
      <c r="D1452" s="28" t="n">
        <v>18</v>
      </c>
      <c r="E1452" s="29" t="n">
        <v>8028400</v>
      </c>
      <c r="F1452" s="30" t="n">
        <v>98.51</v>
      </c>
      <c r="G1452" s="31" t="n">
        <f aca="false">IFERROR(F1452/D1452,0)</f>
        <v>5.47277777777778</v>
      </c>
    </row>
    <row r="1453" customFormat="false" ht="15" hidden="false" customHeight="false" outlineLevel="0" collapsed="false">
      <c r="A1453" s="28" t="n">
        <v>2021</v>
      </c>
      <c r="B1453" s="28" t="s">
        <v>119</v>
      </c>
      <c r="C1453" s="28" t="s">
        <v>48</v>
      </c>
      <c r="D1453" s="28" t="n">
        <v>15</v>
      </c>
      <c r="E1453" s="29" t="n">
        <v>4746100</v>
      </c>
      <c r="F1453" s="30" t="n">
        <v>78.63</v>
      </c>
      <c r="G1453" s="31" t="n">
        <f aca="false">IFERROR(F1453/D1453,0)</f>
        <v>5.242</v>
      </c>
    </row>
    <row r="1454" customFormat="false" ht="15" hidden="false" customHeight="false" outlineLevel="0" collapsed="false">
      <c r="A1454" s="28" t="n">
        <v>2021</v>
      </c>
      <c r="B1454" s="28" t="s">
        <v>119</v>
      </c>
      <c r="C1454" s="28" t="s">
        <v>53</v>
      </c>
      <c r="D1454" s="28" t="n">
        <v>10</v>
      </c>
      <c r="E1454" s="29" t="n">
        <v>8812000</v>
      </c>
      <c r="F1454" s="30" t="n">
        <v>48.72</v>
      </c>
      <c r="G1454" s="31" t="n">
        <f aca="false">IFERROR(F1454/D1454,0)</f>
        <v>4.872</v>
      </c>
    </row>
    <row r="1455" customFormat="false" ht="15" hidden="false" customHeight="false" outlineLevel="0" collapsed="false">
      <c r="A1455" s="28" t="n">
        <v>2021</v>
      </c>
      <c r="B1455" s="28" t="s">
        <v>119</v>
      </c>
      <c r="C1455" s="28" t="s">
        <v>43</v>
      </c>
      <c r="D1455" s="28" t="n">
        <v>34</v>
      </c>
      <c r="E1455" s="29" t="n">
        <v>25164200</v>
      </c>
      <c r="F1455" s="30" t="n">
        <v>165.23</v>
      </c>
      <c r="G1455" s="31" t="n">
        <f aca="false">IFERROR(F1455/D1455,0)</f>
        <v>4.85970588235294</v>
      </c>
    </row>
    <row r="1456" customFormat="false" ht="15" hidden="false" customHeight="false" outlineLevel="0" collapsed="false">
      <c r="A1456" s="28" t="n">
        <v>2021</v>
      </c>
      <c r="B1456" s="28" t="s">
        <v>119</v>
      </c>
      <c r="C1456" s="28" t="s">
        <v>52</v>
      </c>
      <c r="D1456" s="28" t="n">
        <v>12</v>
      </c>
      <c r="E1456" s="29" t="n">
        <v>1604600</v>
      </c>
      <c r="F1456" s="30" t="n">
        <v>73.75</v>
      </c>
      <c r="G1456" s="31" t="n">
        <f aca="false">IFERROR(F1456/D1456,0)</f>
        <v>6.14583333333333</v>
      </c>
    </row>
    <row r="1457" customFormat="false" ht="15" hidden="false" customHeight="false" outlineLevel="0" collapsed="false">
      <c r="A1457" s="28" t="n">
        <v>2021</v>
      </c>
      <c r="B1457" s="28" t="s">
        <v>119</v>
      </c>
      <c r="C1457" s="28" t="s">
        <v>60</v>
      </c>
      <c r="D1457" s="28" t="n">
        <v>1</v>
      </c>
      <c r="E1457" s="29" t="n">
        <v>350000</v>
      </c>
      <c r="F1457" s="30" t="n">
        <v>6.75</v>
      </c>
      <c r="G1457" s="31" t="n">
        <f aca="false">IFERROR(F1457/D1457,0)</f>
        <v>6.75</v>
      </c>
    </row>
    <row r="1458" customFormat="false" ht="15" hidden="false" customHeight="false" outlineLevel="0" collapsed="false">
      <c r="A1458" s="28" t="n">
        <v>2021</v>
      </c>
      <c r="B1458" s="28" t="s">
        <v>119</v>
      </c>
      <c r="C1458" s="28" t="s">
        <v>49</v>
      </c>
      <c r="D1458" s="28" t="n">
        <v>17</v>
      </c>
      <c r="E1458" s="29" t="n">
        <v>10380400</v>
      </c>
      <c r="F1458" s="30" t="n">
        <v>79.13</v>
      </c>
      <c r="G1458" s="31" t="n">
        <f aca="false">IFERROR(F1458/D1458,0)</f>
        <v>4.65470588235294</v>
      </c>
    </row>
    <row r="1459" customFormat="false" ht="15" hidden="false" customHeight="false" outlineLevel="0" collapsed="false">
      <c r="A1459" s="28" t="n">
        <v>2021</v>
      </c>
      <c r="B1459" s="28" t="s">
        <v>112</v>
      </c>
      <c r="C1459" s="28" t="s">
        <v>42</v>
      </c>
      <c r="D1459" s="28" t="n">
        <v>50</v>
      </c>
      <c r="E1459" s="29" t="n">
        <v>52741500</v>
      </c>
      <c r="F1459" s="30" t="n">
        <v>264.02</v>
      </c>
      <c r="G1459" s="31" t="n">
        <f aca="false">IFERROR(F1459/D1459,0)</f>
        <v>5.2804</v>
      </c>
    </row>
    <row r="1460" customFormat="false" ht="15" hidden="false" customHeight="false" outlineLevel="0" collapsed="false">
      <c r="A1460" s="28" t="n">
        <v>2021</v>
      </c>
      <c r="B1460" s="28" t="s">
        <v>112</v>
      </c>
      <c r="C1460" s="28" t="s">
        <v>50</v>
      </c>
      <c r="D1460" s="28" t="n">
        <v>20</v>
      </c>
      <c r="E1460" s="29" t="n">
        <v>8359100</v>
      </c>
      <c r="F1460" s="30" t="n">
        <v>119</v>
      </c>
      <c r="G1460" s="31" t="n">
        <f aca="false">IFERROR(F1460/D1460,0)</f>
        <v>5.95</v>
      </c>
    </row>
    <row r="1461" customFormat="false" ht="15" hidden="false" customHeight="false" outlineLevel="0" collapsed="false">
      <c r="A1461" s="28" t="n">
        <v>2021</v>
      </c>
      <c r="B1461" s="28" t="s">
        <v>112</v>
      </c>
      <c r="C1461" s="28" t="s">
        <v>51</v>
      </c>
      <c r="D1461" s="28" t="n">
        <v>9</v>
      </c>
      <c r="E1461" s="29" t="n">
        <v>7299400</v>
      </c>
      <c r="F1461" s="30" t="n">
        <v>43.5</v>
      </c>
      <c r="G1461" s="31" t="n">
        <f aca="false">IFERROR(F1461/D1461,0)</f>
        <v>4.83333333333333</v>
      </c>
    </row>
    <row r="1462" customFormat="false" ht="15" hidden="false" customHeight="false" outlineLevel="0" collapsed="false">
      <c r="A1462" s="28" t="n">
        <v>2021</v>
      </c>
      <c r="B1462" s="28" t="s">
        <v>112</v>
      </c>
      <c r="C1462" s="28" t="s">
        <v>45</v>
      </c>
      <c r="D1462" s="28" t="n">
        <v>34</v>
      </c>
      <c r="E1462" s="29" t="n">
        <v>21283500</v>
      </c>
      <c r="F1462" s="30" t="n">
        <v>195.15</v>
      </c>
      <c r="G1462" s="31" t="n">
        <f aca="false">IFERROR(F1462/D1462,0)</f>
        <v>5.73970588235294</v>
      </c>
    </row>
    <row r="1463" customFormat="false" ht="15" hidden="false" customHeight="false" outlineLevel="0" collapsed="false">
      <c r="A1463" s="28" t="n">
        <v>2021</v>
      </c>
      <c r="B1463" s="28" t="s">
        <v>112</v>
      </c>
      <c r="C1463" s="28" t="s">
        <v>56</v>
      </c>
      <c r="D1463" s="28" t="n">
        <v>11</v>
      </c>
      <c r="E1463" s="29" t="n">
        <v>4491800</v>
      </c>
      <c r="F1463" s="30" t="n">
        <v>55.65</v>
      </c>
      <c r="G1463" s="31" t="n">
        <f aca="false">IFERROR(F1463/D1463,0)</f>
        <v>5.05909090909091</v>
      </c>
    </row>
    <row r="1464" customFormat="false" ht="15" hidden="false" customHeight="false" outlineLevel="0" collapsed="false">
      <c r="A1464" s="28" t="n">
        <v>2021</v>
      </c>
      <c r="B1464" s="28" t="s">
        <v>112</v>
      </c>
      <c r="C1464" s="28" t="s">
        <v>54</v>
      </c>
      <c r="D1464" s="28" t="n">
        <v>14</v>
      </c>
      <c r="E1464" s="29" t="n">
        <v>13990000</v>
      </c>
      <c r="F1464" s="30" t="n">
        <v>78.49</v>
      </c>
      <c r="G1464" s="31" t="n">
        <f aca="false">IFERROR(F1464/D1464,0)</f>
        <v>5.60642857142857</v>
      </c>
    </row>
    <row r="1465" customFormat="false" ht="15" hidden="false" customHeight="false" outlineLevel="0" collapsed="false">
      <c r="A1465" s="28" t="n">
        <v>2021</v>
      </c>
      <c r="B1465" s="28" t="s">
        <v>112</v>
      </c>
      <c r="C1465" s="28" t="s">
        <v>44</v>
      </c>
      <c r="D1465" s="28" t="n">
        <v>58</v>
      </c>
      <c r="E1465" s="29" t="n">
        <v>45582100</v>
      </c>
      <c r="F1465" s="30" t="n">
        <v>320.56</v>
      </c>
      <c r="G1465" s="31" t="n">
        <f aca="false">IFERROR(F1465/D1465,0)</f>
        <v>5.52689655172414</v>
      </c>
    </row>
    <row r="1466" customFormat="false" ht="15" hidden="false" customHeight="false" outlineLevel="0" collapsed="false">
      <c r="A1466" s="28" t="n">
        <v>2021</v>
      </c>
      <c r="B1466" s="28" t="s">
        <v>112</v>
      </c>
      <c r="C1466" s="28" t="s">
        <v>57</v>
      </c>
      <c r="D1466" s="28" t="n">
        <v>7</v>
      </c>
      <c r="E1466" s="29" t="n">
        <v>11086000</v>
      </c>
      <c r="F1466" s="30" t="n">
        <v>41.89</v>
      </c>
      <c r="G1466" s="31" t="n">
        <f aca="false">IFERROR(F1466/D1466,0)</f>
        <v>5.98428571428571</v>
      </c>
    </row>
    <row r="1467" customFormat="false" ht="15" hidden="false" customHeight="false" outlineLevel="0" collapsed="false">
      <c r="A1467" s="28" t="n">
        <v>2021</v>
      </c>
      <c r="B1467" s="28" t="s">
        <v>112</v>
      </c>
      <c r="C1467" s="28" t="s">
        <v>47</v>
      </c>
      <c r="D1467" s="28" t="n">
        <v>20</v>
      </c>
      <c r="E1467" s="29" t="n">
        <v>24291300</v>
      </c>
      <c r="F1467" s="30" t="n">
        <v>108.49</v>
      </c>
      <c r="G1467" s="31" t="n">
        <f aca="false">IFERROR(F1467/D1467,0)</f>
        <v>5.4245</v>
      </c>
    </row>
    <row r="1468" customFormat="false" ht="15" hidden="false" customHeight="false" outlineLevel="0" collapsed="false">
      <c r="A1468" s="28" t="n">
        <v>2021</v>
      </c>
      <c r="B1468" s="28" t="s">
        <v>112</v>
      </c>
      <c r="C1468" s="28" t="s">
        <v>46</v>
      </c>
      <c r="D1468" s="28" t="n">
        <v>37</v>
      </c>
      <c r="E1468" s="29" t="n">
        <v>27355500</v>
      </c>
      <c r="F1468" s="30" t="n">
        <v>209.97</v>
      </c>
      <c r="G1468" s="31" t="n">
        <f aca="false">IFERROR(F1468/D1468,0)</f>
        <v>5.67486486486486</v>
      </c>
    </row>
    <row r="1469" customFormat="false" ht="15" hidden="false" customHeight="false" outlineLevel="0" collapsed="false">
      <c r="A1469" s="28" t="n">
        <v>2021</v>
      </c>
      <c r="B1469" s="28" t="s">
        <v>112</v>
      </c>
      <c r="C1469" s="28" t="s">
        <v>48</v>
      </c>
      <c r="D1469" s="28" t="n">
        <v>38</v>
      </c>
      <c r="E1469" s="29" t="n">
        <v>24573500</v>
      </c>
      <c r="F1469" s="30" t="n">
        <v>227.33</v>
      </c>
      <c r="G1469" s="31" t="n">
        <f aca="false">IFERROR(F1469/D1469,0)</f>
        <v>5.98236842105263</v>
      </c>
    </row>
    <row r="1470" customFormat="false" ht="15" hidden="false" customHeight="false" outlineLevel="0" collapsed="false">
      <c r="A1470" s="28" t="n">
        <v>2021</v>
      </c>
      <c r="B1470" s="28" t="s">
        <v>112</v>
      </c>
      <c r="C1470" s="28" t="s">
        <v>53</v>
      </c>
      <c r="D1470" s="28" t="n">
        <v>22</v>
      </c>
      <c r="E1470" s="29" t="n">
        <v>17548700</v>
      </c>
      <c r="F1470" s="30" t="n">
        <v>118.09</v>
      </c>
      <c r="G1470" s="31" t="n">
        <f aca="false">IFERROR(F1470/D1470,0)</f>
        <v>5.36772727272727</v>
      </c>
    </row>
    <row r="1471" customFormat="false" ht="15" hidden="false" customHeight="false" outlineLevel="0" collapsed="false">
      <c r="A1471" s="28" t="n">
        <v>2021</v>
      </c>
      <c r="B1471" s="28" t="s">
        <v>112</v>
      </c>
      <c r="C1471" s="28" t="s">
        <v>43</v>
      </c>
      <c r="D1471" s="28" t="n">
        <v>70</v>
      </c>
      <c r="E1471" s="29" t="n">
        <v>61533500</v>
      </c>
      <c r="F1471" s="30" t="n">
        <v>399.59</v>
      </c>
      <c r="G1471" s="31" t="n">
        <f aca="false">IFERROR(F1471/D1471,0)</f>
        <v>5.70842857142857</v>
      </c>
    </row>
    <row r="1472" customFormat="false" ht="15" hidden="false" customHeight="false" outlineLevel="0" collapsed="false">
      <c r="A1472" s="28" t="n">
        <v>2021</v>
      </c>
      <c r="B1472" s="28" t="s">
        <v>112</v>
      </c>
      <c r="C1472" s="28" t="s">
        <v>52</v>
      </c>
      <c r="D1472" s="28" t="n">
        <v>18</v>
      </c>
      <c r="E1472" s="29" t="n">
        <v>8444400</v>
      </c>
      <c r="F1472" s="30" t="n">
        <v>108.25</v>
      </c>
      <c r="G1472" s="31" t="n">
        <f aca="false">IFERROR(F1472/D1472,0)</f>
        <v>6.01388888888889</v>
      </c>
    </row>
    <row r="1473" customFormat="false" ht="15" hidden="false" customHeight="false" outlineLevel="0" collapsed="false">
      <c r="A1473" s="28" t="n">
        <v>2021</v>
      </c>
      <c r="B1473" s="28" t="s">
        <v>112</v>
      </c>
      <c r="C1473" s="28" t="s">
        <v>49</v>
      </c>
      <c r="D1473" s="28" t="n">
        <v>18</v>
      </c>
      <c r="E1473" s="29" t="n">
        <v>13217100</v>
      </c>
      <c r="F1473" s="30" t="n">
        <v>105.75</v>
      </c>
      <c r="G1473" s="31" t="n">
        <f aca="false">IFERROR(F1473/D1473,0)</f>
        <v>5.875</v>
      </c>
    </row>
    <row r="1474" customFormat="false" ht="15" hidden="false" customHeight="false" outlineLevel="0" collapsed="false">
      <c r="A1474" s="28" t="n">
        <v>2021</v>
      </c>
      <c r="B1474" s="28" t="s">
        <v>82</v>
      </c>
      <c r="C1474" s="28" t="s">
        <v>42</v>
      </c>
      <c r="D1474" s="28" t="n">
        <v>207</v>
      </c>
      <c r="E1474" s="29" t="n">
        <v>169707100</v>
      </c>
      <c r="F1474" s="30" t="n">
        <v>1217.79</v>
      </c>
      <c r="G1474" s="31" t="n">
        <f aca="false">IFERROR(F1474/D1474,0)</f>
        <v>5.88304347826087</v>
      </c>
    </row>
    <row r="1475" customFormat="false" ht="15" hidden="false" customHeight="false" outlineLevel="0" collapsed="false">
      <c r="A1475" s="28" t="n">
        <v>2021</v>
      </c>
      <c r="B1475" s="28" t="s">
        <v>82</v>
      </c>
      <c r="C1475" s="28" t="s">
        <v>50</v>
      </c>
      <c r="D1475" s="28" t="n">
        <v>86</v>
      </c>
      <c r="E1475" s="29" t="n">
        <v>37351500</v>
      </c>
      <c r="F1475" s="30" t="n">
        <v>509.64</v>
      </c>
      <c r="G1475" s="31" t="n">
        <f aca="false">IFERROR(F1475/D1475,0)</f>
        <v>5.92604651162791</v>
      </c>
    </row>
    <row r="1476" customFormat="false" ht="15" hidden="false" customHeight="false" outlineLevel="0" collapsed="false">
      <c r="A1476" s="28" t="n">
        <v>2021</v>
      </c>
      <c r="B1476" s="28" t="s">
        <v>82</v>
      </c>
      <c r="C1476" s="28" t="s">
        <v>55</v>
      </c>
      <c r="D1476" s="28" t="n">
        <v>16</v>
      </c>
      <c r="E1476" s="29" t="n">
        <v>2677100</v>
      </c>
      <c r="F1476" s="30" t="n">
        <v>89.54</v>
      </c>
      <c r="G1476" s="31" t="n">
        <f aca="false">IFERROR(F1476/D1476,0)</f>
        <v>5.59625</v>
      </c>
    </row>
    <row r="1477" customFormat="false" ht="15" hidden="false" customHeight="false" outlineLevel="0" collapsed="false">
      <c r="A1477" s="28" t="n">
        <v>2021</v>
      </c>
      <c r="B1477" s="28" t="s">
        <v>82</v>
      </c>
      <c r="C1477" s="28" t="s">
        <v>51</v>
      </c>
      <c r="D1477" s="28" t="n">
        <v>41</v>
      </c>
      <c r="E1477" s="29" t="n">
        <v>28895000</v>
      </c>
      <c r="F1477" s="30" t="n">
        <v>237.26</v>
      </c>
      <c r="G1477" s="31" t="n">
        <f aca="false">IFERROR(F1477/D1477,0)</f>
        <v>5.78682926829268</v>
      </c>
    </row>
    <row r="1478" customFormat="false" ht="15" hidden="false" customHeight="false" outlineLevel="0" collapsed="false">
      <c r="A1478" s="28" t="n">
        <v>2021</v>
      </c>
      <c r="B1478" s="28" t="s">
        <v>82</v>
      </c>
      <c r="C1478" s="28" t="s">
        <v>45</v>
      </c>
      <c r="D1478" s="28" t="n">
        <v>241</v>
      </c>
      <c r="E1478" s="29" t="n">
        <v>101543500</v>
      </c>
      <c r="F1478" s="30" t="n">
        <v>1454.82</v>
      </c>
      <c r="G1478" s="31" t="n">
        <f aca="false">IFERROR(F1478/D1478,0)</f>
        <v>6.03659751037344</v>
      </c>
    </row>
    <row r="1479" customFormat="false" ht="15" hidden="false" customHeight="false" outlineLevel="0" collapsed="false">
      <c r="A1479" s="28" t="n">
        <v>2021</v>
      </c>
      <c r="B1479" s="28" t="s">
        <v>82</v>
      </c>
      <c r="C1479" s="28" t="s">
        <v>56</v>
      </c>
      <c r="D1479" s="28" t="n">
        <v>31</v>
      </c>
      <c r="E1479" s="29" t="n">
        <v>11291000</v>
      </c>
      <c r="F1479" s="30" t="n">
        <v>207.29</v>
      </c>
      <c r="G1479" s="31" t="n">
        <f aca="false">IFERROR(F1479/D1479,0)</f>
        <v>6.68677419354839</v>
      </c>
    </row>
    <row r="1480" customFormat="false" ht="15" hidden="false" customHeight="false" outlineLevel="0" collapsed="false">
      <c r="A1480" s="28" t="n">
        <v>2021</v>
      </c>
      <c r="B1480" s="28" t="s">
        <v>82</v>
      </c>
      <c r="C1480" s="28" t="s">
        <v>54</v>
      </c>
      <c r="D1480" s="28" t="n">
        <v>60</v>
      </c>
      <c r="E1480" s="29" t="n">
        <v>35137400</v>
      </c>
      <c r="F1480" s="30" t="n">
        <v>371.83</v>
      </c>
      <c r="G1480" s="31" t="n">
        <f aca="false">IFERROR(F1480/D1480,0)</f>
        <v>6.19716666666667</v>
      </c>
    </row>
    <row r="1481" customFormat="false" ht="15" hidden="false" customHeight="false" outlineLevel="0" collapsed="false">
      <c r="A1481" s="28" t="n">
        <v>2021</v>
      </c>
      <c r="B1481" s="28" t="s">
        <v>82</v>
      </c>
      <c r="C1481" s="28" t="s">
        <v>44</v>
      </c>
      <c r="D1481" s="28" t="n">
        <v>153</v>
      </c>
      <c r="E1481" s="29" t="n">
        <v>127863200</v>
      </c>
      <c r="F1481" s="30" t="n">
        <v>816.99</v>
      </c>
      <c r="G1481" s="31" t="n">
        <f aca="false">IFERROR(F1481/D1481,0)</f>
        <v>5.33980392156863</v>
      </c>
    </row>
    <row r="1482" customFormat="false" ht="15" hidden="false" customHeight="false" outlineLevel="0" collapsed="false">
      <c r="A1482" s="28" t="n">
        <v>2021</v>
      </c>
      <c r="B1482" s="28" t="s">
        <v>82</v>
      </c>
      <c r="C1482" s="28" t="s">
        <v>57</v>
      </c>
      <c r="D1482" s="28" t="n">
        <v>25</v>
      </c>
      <c r="E1482" s="29" t="n">
        <v>17675800</v>
      </c>
      <c r="F1482" s="30" t="n">
        <v>152.23</v>
      </c>
      <c r="G1482" s="31" t="n">
        <f aca="false">IFERROR(F1482/D1482,0)</f>
        <v>6.0892</v>
      </c>
    </row>
    <row r="1483" customFormat="false" ht="15" hidden="false" customHeight="false" outlineLevel="0" collapsed="false">
      <c r="A1483" s="28" t="n">
        <v>2021</v>
      </c>
      <c r="B1483" s="28" t="s">
        <v>82</v>
      </c>
      <c r="C1483" s="28" t="s">
        <v>59</v>
      </c>
      <c r="D1483" s="28" t="n">
        <v>1</v>
      </c>
      <c r="E1483" s="29" t="n">
        <v>81000</v>
      </c>
      <c r="F1483" s="30" t="n">
        <v>7.75</v>
      </c>
      <c r="G1483" s="31" t="n">
        <f aca="false">IFERROR(F1483/D1483,0)</f>
        <v>7.75</v>
      </c>
    </row>
    <row r="1484" customFormat="false" ht="15" hidden="false" customHeight="false" outlineLevel="0" collapsed="false">
      <c r="A1484" s="28" t="n">
        <v>2021</v>
      </c>
      <c r="B1484" s="28" t="s">
        <v>82</v>
      </c>
      <c r="C1484" s="28" t="s">
        <v>47</v>
      </c>
      <c r="D1484" s="28" t="n">
        <v>114</v>
      </c>
      <c r="E1484" s="29" t="n">
        <v>97200900</v>
      </c>
      <c r="F1484" s="30" t="n">
        <v>614.305</v>
      </c>
      <c r="G1484" s="31" t="n">
        <f aca="false">IFERROR(F1484/D1484,0)</f>
        <v>5.38864035087719</v>
      </c>
    </row>
    <row r="1485" customFormat="false" ht="15" hidden="false" customHeight="false" outlineLevel="0" collapsed="false">
      <c r="A1485" s="28" t="n">
        <v>2021</v>
      </c>
      <c r="B1485" s="28" t="s">
        <v>82</v>
      </c>
      <c r="C1485" s="28" t="s">
        <v>58</v>
      </c>
      <c r="D1485" s="28" t="n">
        <v>1</v>
      </c>
      <c r="E1485" s="29" t="n">
        <v>1660000</v>
      </c>
      <c r="F1485" s="30" t="n">
        <v>6</v>
      </c>
      <c r="G1485" s="31" t="n">
        <f aca="false">IFERROR(F1485/D1485,0)</f>
        <v>6</v>
      </c>
    </row>
    <row r="1486" customFormat="false" ht="15" hidden="false" customHeight="false" outlineLevel="0" collapsed="false">
      <c r="A1486" s="28" t="n">
        <v>2021</v>
      </c>
      <c r="B1486" s="28" t="s">
        <v>82</v>
      </c>
      <c r="C1486" s="28" t="s">
        <v>46</v>
      </c>
      <c r="D1486" s="28" t="n">
        <v>143</v>
      </c>
      <c r="E1486" s="29" t="n">
        <v>60343700</v>
      </c>
      <c r="F1486" s="30" t="n">
        <v>862.33</v>
      </c>
      <c r="G1486" s="31" t="n">
        <f aca="false">IFERROR(F1486/D1486,0)</f>
        <v>6.03027972027972</v>
      </c>
    </row>
    <row r="1487" customFormat="false" ht="15" hidden="false" customHeight="false" outlineLevel="0" collapsed="false">
      <c r="A1487" s="28" t="n">
        <v>2021</v>
      </c>
      <c r="B1487" s="28" t="s">
        <v>82</v>
      </c>
      <c r="C1487" s="28" t="s">
        <v>48</v>
      </c>
      <c r="D1487" s="28" t="n">
        <v>231</v>
      </c>
      <c r="E1487" s="29" t="n">
        <v>106344000</v>
      </c>
      <c r="F1487" s="30" t="n">
        <v>1427.1</v>
      </c>
      <c r="G1487" s="31" t="n">
        <f aca="false">IFERROR(F1487/D1487,0)</f>
        <v>6.17792207792208</v>
      </c>
    </row>
    <row r="1488" customFormat="false" ht="15" hidden="false" customHeight="false" outlineLevel="0" collapsed="false">
      <c r="A1488" s="28" t="n">
        <v>2021</v>
      </c>
      <c r="B1488" s="28" t="s">
        <v>82</v>
      </c>
      <c r="C1488" s="28" t="s">
        <v>53</v>
      </c>
      <c r="D1488" s="28" t="n">
        <v>48</v>
      </c>
      <c r="E1488" s="29" t="n">
        <v>39758300</v>
      </c>
      <c r="F1488" s="30" t="n">
        <v>285.35</v>
      </c>
      <c r="G1488" s="31" t="n">
        <f aca="false">IFERROR(F1488/D1488,0)</f>
        <v>5.94479166666667</v>
      </c>
    </row>
    <row r="1489" customFormat="false" ht="15" hidden="false" customHeight="false" outlineLevel="0" collapsed="false">
      <c r="A1489" s="28" t="n">
        <v>2021</v>
      </c>
      <c r="B1489" s="28" t="s">
        <v>82</v>
      </c>
      <c r="C1489" s="28" t="s">
        <v>43</v>
      </c>
      <c r="D1489" s="28" t="n">
        <v>438</v>
      </c>
      <c r="E1489" s="29" t="n">
        <v>285503700</v>
      </c>
      <c r="F1489" s="30" t="n">
        <v>2611.61</v>
      </c>
      <c r="G1489" s="31" t="n">
        <f aca="false">IFERROR(F1489/D1489,0)</f>
        <v>5.9625799086758</v>
      </c>
    </row>
    <row r="1490" customFormat="false" ht="15" hidden="false" customHeight="false" outlineLevel="0" collapsed="false">
      <c r="A1490" s="28" t="n">
        <v>2021</v>
      </c>
      <c r="B1490" s="28" t="s">
        <v>82</v>
      </c>
      <c r="C1490" s="28" t="s">
        <v>52</v>
      </c>
      <c r="D1490" s="28" t="n">
        <v>71</v>
      </c>
      <c r="E1490" s="29" t="n">
        <v>21255400</v>
      </c>
      <c r="F1490" s="30" t="n">
        <v>458.12</v>
      </c>
      <c r="G1490" s="31" t="n">
        <f aca="false">IFERROR(F1490/D1490,0)</f>
        <v>6.45239436619718</v>
      </c>
    </row>
    <row r="1491" customFormat="false" ht="15" hidden="false" customHeight="false" outlineLevel="0" collapsed="false">
      <c r="A1491" s="28" t="n">
        <v>2021</v>
      </c>
      <c r="B1491" s="28" t="s">
        <v>82</v>
      </c>
      <c r="C1491" s="28" t="s">
        <v>60</v>
      </c>
      <c r="D1491" s="28" t="n">
        <v>6</v>
      </c>
      <c r="E1491" s="29" t="n">
        <v>1275000</v>
      </c>
      <c r="F1491" s="30" t="n">
        <v>34</v>
      </c>
      <c r="G1491" s="31" t="n">
        <f aca="false">IFERROR(F1491/D1491,0)</f>
        <v>5.66666666666667</v>
      </c>
    </row>
    <row r="1492" customFormat="false" ht="15" hidden="false" customHeight="false" outlineLevel="0" collapsed="false">
      <c r="A1492" s="28" t="n">
        <v>2021</v>
      </c>
      <c r="B1492" s="28" t="s">
        <v>82</v>
      </c>
      <c r="C1492" s="28" t="s">
        <v>49</v>
      </c>
      <c r="D1492" s="28" t="n">
        <v>153</v>
      </c>
      <c r="E1492" s="29" t="n">
        <v>100102500</v>
      </c>
      <c r="F1492" s="30" t="n">
        <v>913.15</v>
      </c>
      <c r="G1492" s="31" t="n">
        <f aca="false">IFERROR(F1492/D1492,0)</f>
        <v>5.96830065359477</v>
      </c>
    </row>
    <row r="1493" customFormat="false" ht="15" hidden="false" customHeight="false" outlineLevel="0" collapsed="false">
      <c r="A1493" s="28" t="n">
        <v>2021</v>
      </c>
      <c r="B1493" s="28" t="s">
        <v>84</v>
      </c>
      <c r="C1493" s="28" t="s">
        <v>42</v>
      </c>
      <c r="D1493" s="28" t="n">
        <v>279</v>
      </c>
      <c r="E1493" s="29" t="n">
        <v>148914800</v>
      </c>
      <c r="F1493" s="30" t="n">
        <v>1557.97</v>
      </c>
      <c r="G1493" s="31" t="n">
        <f aca="false">IFERROR(F1493/D1493,0)</f>
        <v>5.58412186379928</v>
      </c>
    </row>
    <row r="1494" customFormat="false" ht="15" hidden="false" customHeight="false" outlineLevel="0" collapsed="false">
      <c r="A1494" s="28" t="n">
        <v>2021</v>
      </c>
      <c r="B1494" s="28" t="s">
        <v>84</v>
      </c>
      <c r="C1494" s="28" t="s">
        <v>50</v>
      </c>
      <c r="D1494" s="28" t="n">
        <v>182</v>
      </c>
      <c r="E1494" s="29" t="n">
        <v>51042600</v>
      </c>
      <c r="F1494" s="30" t="n">
        <v>1003.91</v>
      </c>
      <c r="G1494" s="31" t="n">
        <f aca="false">IFERROR(F1494/D1494,0)</f>
        <v>5.51598901098901</v>
      </c>
    </row>
    <row r="1495" customFormat="false" ht="15" hidden="false" customHeight="false" outlineLevel="0" collapsed="false">
      <c r="A1495" s="28" t="n">
        <v>2021</v>
      </c>
      <c r="B1495" s="28" t="s">
        <v>84</v>
      </c>
      <c r="C1495" s="28" t="s">
        <v>55</v>
      </c>
      <c r="D1495" s="28" t="n">
        <v>17</v>
      </c>
      <c r="E1495" s="29" t="n">
        <v>3706900</v>
      </c>
      <c r="F1495" s="30" t="n">
        <v>91.37</v>
      </c>
      <c r="G1495" s="31" t="n">
        <f aca="false">IFERROR(F1495/D1495,0)</f>
        <v>5.37470588235294</v>
      </c>
    </row>
    <row r="1496" customFormat="false" ht="15" hidden="false" customHeight="false" outlineLevel="0" collapsed="false">
      <c r="A1496" s="28" t="n">
        <v>2021</v>
      </c>
      <c r="B1496" s="28" t="s">
        <v>84</v>
      </c>
      <c r="C1496" s="28" t="s">
        <v>51</v>
      </c>
      <c r="D1496" s="28" t="n">
        <v>67</v>
      </c>
      <c r="E1496" s="29" t="n">
        <v>30944400</v>
      </c>
      <c r="F1496" s="30" t="n">
        <v>382.01</v>
      </c>
      <c r="G1496" s="31" t="n">
        <f aca="false">IFERROR(F1496/D1496,0)</f>
        <v>5.70164179104478</v>
      </c>
    </row>
    <row r="1497" customFormat="false" ht="15" hidden="false" customHeight="false" outlineLevel="0" collapsed="false">
      <c r="A1497" s="28" t="n">
        <v>2021</v>
      </c>
      <c r="B1497" s="28" t="s">
        <v>84</v>
      </c>
      <c r="C1497" s="28" t="s">
        <v>45</v>
      </c>
      <c r="D1497" s="28" t="n">
        <v>399</v>
      </c>
      <c r="E1497" s="29" t="n">
        <v>99685800</v>
      </c>
      <c r="F1497" s="30" t="n">
        <v>2166.225</v>
      </c>
      <c r="G1497" s="31" t="n">
        <f aca="false">IFERROR(F1497/D1497,0)</f>
        <v>5.42913533834587</v>
      </c>
    </row>
    <row r="1498" customFormat="false" ht="15" hidden="false" customHeight="false" outlineLevel="0" collapsed="false">
      <c r="A1498" s="28" t="n">
        <v>2021</v>
      </c>
      <c r="B1498" s="28" t="s">
        <v>84</v>
      </c>
      <c r="C1498" s="28" t="s">
        <v>56</v>
      </c>
      <c r="D1498" s="28" t="n">
        <v>36</v>
      </c>
      <c r="E1498" s="29" t="n">
        <v>4277300</v>
      </c>
      <c r="F1498" s="30" t="n">
        <v>197.45</v>
      </c>
      <c r="G1498" s="31" t="n">
        <f aca="false">IFERROR(F1498/D1498,0)</f>
        <v>5.48472222222222</v>
      </c>
    </row>
    <row r="1499" customFormat="false" ht="15" hidden="false" customHeight="false" outlineLevel="0" collapsed="false">
      <c r="A1499" s="28" t="n">
        <v>2021</v>
      </c>
      <c r="B1499" s="28" t="s">
        <v>84</v>
      </c>
      <c r="C1499" s="28" t="s">
        <v>54</v>
      </c>
      <c r="D1499" s="28" t="n">
        <v>54</v>
      </c>
      <c r="E1499" s="29" t="n">
        <v>20340000</v>
      </c>
      <c r="F1499" s="30" t="n">
        <v>294.98</v>
      </c>
      <c r="G1499" s="31" t="n">
        <f aca="false">IFERROR(F1499/D1499,0)</f>
        <v>5.46259259259259</v>
      </c>
    </row>
    <row r="1500" customFormat="false" ht="15" hidden="false" customHeight="false" outlineLevel="0" collapsed="false">
      <c r="A1500" s="28" t="n">
        <v>2021</v>
      </c>
      <c r="B1500" s="28" t="s">
        <v>84</v>
      </c>
      <c r="C1500" s="28" t="s">
        <v>44</v>
      </c>
      <c r="D1500" s="28" t="n">
        <v>233</v>
      </c>
      <c r="E1500" s="29" t="n">
        <v>91560900</v>
      </c>
      <c r="F1500" s="30" t="n">
        <v>1268.5</v>
      </c>
      <c r="G1500" s="31" t="n">
        <f aca="false">IFERROR(F1500/D1500,0)</f>
        <v>5.44420600858369</v>
      </c>
    </row>
    <row r="1501" customFormat="false" ht="15" hidden="false" customHeight="false" outlineLevel="0" collapsed="false">
      <c r="A1501" s="28" t="n">
        <v>2021</v>
      </c>
      <c r="B1501" s="28" t="s">
        <v>84</v>
      </c>
      <c r="C1501" s="28" t="s">
        <v>57</v>
      </c>
      <c r="D1501" s="28" t="n">
        <v>22</v>
      </c>
      <c r="E1501" s="29" t="n">
        <v>12111300</v>
      </c>
      <c r="F1501" s="30" t="n">
        <v>123.75</v>
      </c>
      <c r="G1501" s="31" t="n">
        <f aca="false">IFERROR(F1501/D1501,0)</f>
        <v>5.625</v>
      </c>
    </row>
    <row r="1502" customFormat="false" ht="15" hidden="false" customHeight="false" outlineLevel="0" collapsed="false">
      <c r="A1502" s="28" t="n">
        <v>2021</v>
      </c>
      <c r="B1502" s="28" t="s">
        <v>84</v>
      </c>
      <c r="C1502" s="28" t="s">
        <v>59</v>
      </c>
      <c r="D1502" s="28" t="n">
        <v>2</v>
      </c>
      <c r="E1502" s="29" t="n">
        <v>3207000</v>
      </c>
      <c r="F1502" s="30" t="n">
        <v>9.25</v>
      </c>
      <c r="G1502" s="31" t="n">
        <f aca="false">IFERROR(F1502/D1502,0)</f>
        <v>4.625</v>
      </c>
    </row>
    <row r="1503" customFormat="false" ht="15" hidden="false" customHeight="false" outlineLevel="0" collapsed="false">
      <c r="A1503" s="28" t="n">
        <v>2021</v>
      </c>
      <c r="B1503" s="28" t="s">
        <v>84</v>
      </c>
      <c r="C1503" s="28" t="s">
        <v>47</v>
      </c>
      <c r="D1503" s="28" t="n">
        <v>243</v>
      </c>
      <c r="E1503" s="29" t="n">
        <v>153525900</v>
      </c>
      <c r="F1503" s="30" t="n">
        <v>1282.21</v>
      </c>
      <c r="G1503" s="31" t="n">
        <f aca="false">IFERROR(F1503/D1503,0)</f>
        <v>5.27658436213992</v>
      </c>
    </row>
    <row r="1504" customFormat="false" ht="15" hidden="false" customHeight="false" outlineLevel="0" collapsed="false">
      <c r="A1504" s="28" t="n">
        <v>2021</v>
      </c>
      <c r="B1504" s="28" t="s">
        <v>84</v>
      </c>
      <c r="C1504" s="28" t="s">
        <v>58</v>
      </c>
      <c r="D1504" s="28" t="n">
        <v>3</v>
      </c>
      <c r="E1504" s="29" t="n">
        <v>4159300</v>
      </c>
      <c r="F1504" s="30" t="n">
        <v>13.75</v>
      </c>
      <c r="G1504" s="31" t="n">
        <f aca="false">IFERROR(F1504/D1504,0)</f>
        <v>4.58333333333333</v>
      </c>
    </row>
    <row r="1505" customFormat="false" ht="15" hidden="false" customHeight="false" outlineLevel="0" collapsed="false">
      <c r="A1505" s="28" t="n">
        <v>2021</v>
      </c>
      <c r="B1505" s="28" t="s">
        <v>84</v>
      </c>
      <c r="C1505" s="28" t="s">
        <v>46</v>
      </c>
      <c r="D1505" s="28" t="n">
        <v>241</v>
      </c>
      <c r="E1505" s="29" t="n">
        <v>70271300</v>
      </c>
      <c r="F1505" s="30" t="n">
        <v>1333.27</v>
      </c>
      <c r="G1505" s="31" t="n">
        <f aca="false">IFERROR(F1505/D1505,0)</f>
        <v>5.53224066390041</v>
      </c>
    </row>
    <row r="1506" customFormat="false" ht="15" hidden="false" customHeight="false" outlineLevel="0" collapsed="false">
      <c r="A1506" s="28" t="n">
        <v>2021</v>
      </c>
      <c r="B1506" s="28" t="s">
        <v>84</v>
      </c>
      <c r="C1506" s="28" t="s">
        <v>48</v>
      </c>
      <c r="D1506" s="28" t="n">
        <v>235</v>
      </c>
      <c r="E1506" s="29" t="n">
        <v>72343500</v>
      </c>
      <c r="F1506" s="30" t="n">
        <v>1306.56</v>
      </c>
      <c r="G1506" s="31" t="n">
        <f aca="false">IFERROR(F1506/D1506,0)</f>
        <v>5.55982978723404</v>
      </c>
    </row>
    <row r="1507" customFormat="false" ht="15" hidden="false" customHeight="false" outlineLevel="0" collapsed="false">
      <c r="A1507" s="28" t="n">
        <v>2021</v>
      </c>
      <c r="B1507" s="28" t="s">
        <v>84</v>
      </c>
      <c r="C1507" s="28" t="s">
        <v>53</v>
      </c>
      <c r="D1507" s="28" t="n">
        <v>67</v>
      </c>
      <c r="E1507" s="29" t="n">
        <v>40191100</v>
      </c>
      <c r="F1507" s="30" t="n">
        <v>360.43</v>
      </c>
      <c r="G1507" s="31" t="n">
        <f aca="false">IFERROR(F1507/D1507,0)</f>
        <v>5.37955223880597</v>
      </c>
    </row>
    <row r="1508" customFormat="false" ht="15" hidden="false" customHeight="false" outlineLevel="0" collapsed="false">
      <c r="A1508" s="28" t="n">
        <v>2021</v>
      </c>
      <c r="B1508" s="28" t="s">
        <v>84</v>
      </c>
      <c r="C1508" s="28" t="s">
        <v>43</v>
      </c>
      <c r="D1508" s="28" t="n">
        <v>280</v>
      </c>
      <c r="E1508" s="29" t="n">
        <v>99979500</v>
      </c>
      <c r="F1508" s="30" t="n">
        <v>1532.565</v>
      </c>
      <c r="G1508" s="31" t="n">
        <f aca="false">IFERROR(F1508/D1508,0)</f>
        <v>5.47344642857143</v>
      </c>
    </row>
    <row r="1509" customFormat="false" ht="15" hidden="false" customHeight="false" outlineLevel="0" collapsed="false">
      <c r="A1509" s="28" t="n">
        <v>2021</v>
      </c>
      <c r="B1509" s="28" t="s">
        <v>84</v>
      </c>
      <c r="C1509" s="28" t="s">
        <v>52</v>
      </c>
      <c r="D1509" s="28" t="n">
        <v>395</v>
      </c>
      <c r="E1509" s="29" t="n">
        <v>61771900</v>
      </c>
      <c r="F1509" s="30" t="n">
        <v>2151.42</v>
      </c>
      <c r="G1509" s="31" t="n">
        <f aca="false">IFERROR(F1509/D1509,0)</f>
        <v>5.44663291139241</v>
      </c>
    </row>
    <row r="1510" customFormat="false" ht="15" hidden="false" customHeight="false" outlineLevel="0" collapsed="false">
      <c r="A1510" s="28" t="n">
        <v>2021</v>
      </c>
      <c r="B1510" s="28" t="s">
        <v>84</v>
      </c>
      <c r="C1510" s="28" t="s">
        <v>60</v>
      </c>
      <c r="D1510" s="28" t="n">
        <v>1</v>
      </c>
      <c r="E1510" s="29" t="n">
        <v>60000</v>
      </c>
      <c r="F1510" s="30" t="n">
        <v>5.25</v>
      </c>
      <c r="G1510" s="31" t="n">
        <f aca="false">IFERROR(F1510/D1510,0)</f>
        <v>5.25</v>
      </c>
    </row>
    <row r="1511" customFormat="false" ht="15" hidden="false" customHeight="false" outlineLevel="0" collapsed="false">
      <c r="A1511" s="28" t="n">
        <v>2021</v>
      </c>
      <c r="B1511" s="28" t="s">
        <v>84</v>
      </c>
      <c r="C1511" s="28" t="s">
        <v>49</v>
      </c>
      <c r="D1511" s="28" t="n">
        <v>106</v>
      </c>
      <c r="E1511" s="29" t="n">
        <v>68169200</v>
      </c>
      <c r="F1511" s="30" t="n">
        <v>575.78</v>
      </c>
      <c r="G1511" s="31" t="n">
        <f aca="false">IFERROR(F1511/D1511,0)</f>
        <v>5.43188679245283</v>
      </c>
    </row>
    <row r="1512" customFormat="false" ht="15" hidden="false" customHeight="false" outlineLevel="0" collapsed="false">
      <c r="A1512" s="28" t="n">
        <v>2021</v>
      </c>
      <c r="B1512" s="28" t="s">
        <v>114</v>
      </c>
      <c r="C1512" s="28" t="s">
        <v>42</v>
      </c>
      <c r="D1512" s="28" t="n">
        <v>68</v>
      </c>
      <c r="E1512" s="29" t="n">
        <v>53804000</v>
      </c>
      <c r="F1512" s="30" t="n">
        <v>344.125</v>
      </c>
      <c r="G1512" s="31" t="n">
        <f aca="false">IFERROR(F1512/D1512,0)</f>
        <v>5.06066176470588</v>
      </c>
    </row>
    <row r="1513" customFormat="false" ht="15" hidden="false" customHeight="false" outlineLevel="0" collapsed="false">
      <c r="A1513" s="28" t="n">
        <v>2021</v>
      </c>
      <c r="B1513" s="28" t="s">
        <v>114</v>
      </c>
      <c r="C1513" s="28" t="s">
        <v>50</v>
      </c>
      <c r="D1513" s="28" t="n">
        <v>26</v>
      </c>
      <c r="E1513" s="29" t="n">
        <v>12903400</v>
      </c>
      <c r="F1513" s="30" t="n">
        <v>138.4</v>
      </c>
      <c r="G1513" s="31" t="n">
        <f aca="false">IFERROR(F1513/D1513,0)</f>
        <v>5.32307692307692</v>
      </c>
    </row>
    <row r="1514" customFormat="false" ht="15" hidden="false" customHeight="false" outlineLevel="0" collapsed="false">
      <c r="A1514" s="28" t="n">
        <v>2021</v>
      </c>
      <c r="B1514" s="28" t="s">
        <v>114</v>
      </c>
      <c r="C1514" s="28" t="s">
        <v>55</v>
      </c>
      <c r="D1514" s="28" t="n">
        <v>3</v>
      </c>
      <c r="E1514" s="29" t="n">
        <v>4747000</v>
      </c>
      <c r="F1514" s="30" t="n">
        <v>15.7</v>
      </c>
      <c r="G1514" s="31" t="n">
        <f aca="false">IFERROR(F1514/D1514,0)</f>
        <v>5.23333333333333</v>
      </c>
    </row>
    <row r="1515" customFormat="false" ht="15" hidden="false" customHeight="false" outlineLevel="0" collapsed="false">
      <c r="A1515" s="28" t="n">
        <v>2021</v>
      </c>
      <c r="B1515" s="28" t="s">
        <v>114</v>
      </c>
      <c r="C1515" s="28" t="s">
        <v>51</v>
      </c>
      <c r="D1515" s="28" t="n">
        <v>14</v>
      </c>
      <c r="E1515" s="29" t="n">
        <v>7045200</v>
      </c>
      <c r="F1515" s="30" t="n">
        <v>79.25</v>
      </c>
      <c r="G1515" s="31" t="n">
        <f aca="false">IFERROR(F1515/D1515,0)</f>
        <v>5.66071428571429</v>
      </c>
    </row>
    <row r="1516" customFormat="false" ht="15" hidden="false" customHeight="false" outlineLevel="0" collapsed="false">
      <c r="A1516" s="28" t="n">
        <v>2021</v>
      </c>
      <c r="B1516" s="28" t="s">
        <v>114</v>
      </c>
      <c r="C1516" s="28" t="s">
        <v>45</v>
      </c>
      <c r="D1516" s="28" t="n">
        <v>51</v>
      </c>
      <c r="E1516" s="29" t="n">
        <v>17526300</v>
      </c>
      <c r="F1516" s="30" t="n">
        <v>270.652</v>
      </c>
      <c r="G1516" s="31" t="n">
        <f aca="false">IFERROR(F1516/D1516,0)</f>
        <v>5.30690196078431</v>
      </c>
    </row>
    <row r="1517" customFormat="false" ht="15" hidden="false" customHeight="false" outlineLevel="0" collapsed="false">
      <c r="A1517" s="28" t="n">
        <v>2021</v>
      </c>
      <c r="B1517" s="28" t="s">
        <v>114</v>
      </c>
      <c r="C1517" s="28" t="s">
        <v>56</v>
      </c>
      <c r="D1517" s="28" t="n">
        <v>6</v>
      </c>
      <c r="E1517" s="29" t="n">
        <v>1219100</v>
      </c>
      <c r="F1517" s="30" t="n">
        <v>32.75</v>
      </c>
      <c r="G1517" s="31" t="n">
        <f aca="false">IFERROR(F1517/D1517,0)</f>
        <v>5.45833333333333</v>
      </c>
    </row>
    <row r="1518" customFormat="false" ht="15" hidden="false" customHeight="false" outlineLevel="0" collapsed="false">
      <c r="A1518" s="28" t="n">
        <v>2021</v>
      </c>
      <c r="B1518" s="28" t="s">
        <v>114</v>
      </c>
      <c r="C1518" s="28" t="s">
        <v>54</v>
      </c>
      <c r="D1518" s="28" t="n">
        <v>21</v>
      </c>
      <c r="E1518" s="29" t="n">
        <v>10983700</v>
      </c>
      <c r="F1518" s="30" t="n">
        <v>103.25</v>
      </c>
      <c r="G1518" s="31" t="n">
        <f aca="false">IFERROR(F1518/D1518,0)</f>
        <v>4.91666666666667</v>
      </c>
    </row>
    <row r="1519" customFormat="false" ht="15" hidden="false" customHeight="false" outlineLevel="0" collapsed="false">
      <c r="A1519" s="28" t="n">
        <v>2021</v>
      </c>
      <c r="B1519" s="28" t="s">
        <v>114</v>
      </c>
      <c r="C1519" s="28" t="s">
        <v>44</v>
      </c>
      <c r="D1519" s="28" t="n">
        <v>48</v>
      </c>
      <c r="E1519" s="29" t="n">
        <v>45584400</v>
      </c>
      <c r="F1519" s="30" t="n">
        <v>238.1</v>
      </c>
      <c r="G1519" s="31" t="n">
        <f aca="false">IFERROR(F1519/D1519,0)</f>
        <v>4.96041666666667</v>
      </c>
    </row>
    <row r="1520" customFormat="false" ht="15" hidden="false" customHeight="false" outlineLevel="0" collapsed="false">
      <c r="A1520" s="28" t="n">
        <v>2021</v>
      </c>
      <c r="B1520" s="28" t="s">
        <v>114</v>
      </c>
      <c r="C1520" s="28" t="s">
        <v>57</v>
      </c>
      <c r="D1520" s="28" t="n">
        <v>2</v>
      </c>
      <c r="E1520" s="29" t="n">
        <v>3100000</v>
      </c>
      <c r="F1520" s="30" t="n">
        <v>9.75</v>
      </c>
      <c r="G1520" s="31" t="n">
        <f aca="false">IFERROR(F1520/D1520,0)</f>
        <v>4.875</v>
      </c>
    </row>
    <row r="1521" customFormat="false" ht="15" hidden="false" customHeight="false" outlineLevel="0" collapsed="false">
      <c r="A1521" s="28" t="n">
        <v>2021</v>
      </c>
      <c r="B1521" s="28" t="s">
        <v>114</v>
      </c>
      <c r="C1521" s="28" t="s">
        <v>59</v>
      </c>
      <c r="D1521" s="28" t="n">
        <v>1</v>
      </c>
      <c r="E1521" s="29" t="n">
        <v>1000000</v>
      </c>
      <c r="F1521" s="30" t="n">
        <v>5.5</v>
      </c>
      <c r="G1521" s="31" t="n">
        <f aca="false">IFERROR(F1521/D1521,0)</f>
        <v>5.5</v>
      </c>
    </row>
    <row r="1522" customFormat="false" ht="15" hidden="false" customHeight="false" outlineLevel="0" collapsed="false">
      <c r="A1522" s="28" t="n">
        <v>2021</v>
      </c>
      <c r="B1522" s="28" t="s">
        <v>114</v>
      </c>
      <c r="C1522" s="28" t="s">
        <v>47</v>
      </c>
      <c r="D1522" s="28" t="n">
        <v>45</v>
      </c>
      <c r="E1522" s="29" t="n">
        <v>42458000</v>
      </c>
      <c r="F1522" s="30" t="n">
        <v>230.303</v>
      </c>
      <c r="G1522" s="31" t="n">
        <f aca="false">IFERROR(F1522/D1522,0)</f>
        <v>5.11784444444445</v>
      </c>
    </row>
    <row r="1523" customFormat="false" ht="15" hidden="false" customHeight="false" outlineLevel="0" collapsed="false">
      <c r="A1523" s="28" t="n">
        <v>2021</v>
      </c>
      <c r="B1523" s="28" t="s">
        <v>114</v>
      </c>
      <c r="C1523" s="28" t="s">
        <v>58</v>
      </c>
      <c r="D1523" s="28" t="n">
        <v>15</v>
      </c>
      <c r="E1523" s="29" t="n">
        <v>9934900</v>
      </c>
      <c r="F1523" s="30" t="n">
        <v>79.636</v>
      </c>
      <c r="G1523" s="31" t="n">
        <f aca="false">IFERROR(F1523/D1523,0)</f>
        <v>5.30906666666667</v>
      </c>
    </row>
    <row r="1524" customFormat="false" ht="15" hidden="false" customHeight="false" outlineLevel="0" collapsed="false">
      <c r="A1524" s="28" t="n">
        <v>2021</v>
      </c>
      <c r="B1524" s="28" t="s">
        <v>114</v>
      </c>
      <c r="C1524" s="28" t="s">
        <v>46</v>
      </c>
      <c r="D1524" s="28" t="n">
        <v>45</v>
      </c>
      <c r="E1524" s="29" t="n">
        <v>31454400</v>
      </c>
      <c r="F1524" s="30" t="n">
        <v>234.6</v>
      </c>
      <c r="G1524" s="31" t="n">
        <f aca="false">IFERROR(F1524/D1524,0)</f>
        <v>5.21333333333333</v>
      </c>
    </row>
    <row r="1525" customFormat="false" ht="15" hidden="false" customHeight="false" outlineLevel="0" collapsed="false">
      <c r="A1525" s="28" t="n">
        <v>2021</v>
      </c>
      <c r="B1525" s="28" t="s">
        <v>114</v>
      </c>
      <c r="C1525" s="28" t="s">
        <v>48</v>
      </c>
      <c r="D1525" s="28" t="n">
        <v>39</v>
      </c>
      <c r="E1525" s="29" t="n">
        <v>25581600</v>
      </c>
      <c r="F1525" s="30" t="n">
        <v>189.74</v>
      </c>
      <c r="G1525" s="31" t="n">
        <f aca="false">IFERROR(F1525/D1525,0)</f>
        <v>4.86512820512821</v>
      </c>
    </row>
    <row r="1526" customFormat="false" ht="15" hidden="false" customHeight="false" outlineLevel="0" collapsed="false">
      <c r="A1526" s="28" t="n">
        <v>2021</v>
      </c>
      <c r="B1526" s="28" t="s">
        <v>114</v>
      </c>
      <c r="C1526" s="28" t="s">
        <v>53</v>
      </c>
      <c r="D1526" s="28" t="n">
        <v>28</v>
      </c>
      <c r="E1526" s="29" t="n">
        <v>14311900</v>
      </c>
      <c r="F1526" s="30" t="n">
        <v>148.8</v>
      </c>
      <c r="G1526" s="31" t="n">
        <f aca="false">IFERROR(F1526/D1526,0)</f>
        <v>5.31428571428572</v>
      </c>
    </row>
    <row r="1527" customFormat="false" ht="15" hidden="false" customHeight="false" outlineLevel="0" collapsed="false">
      <c r="A1527" s="28" t="n">
        <v>2021</v>
      </c>
      <c r="B1527" s="28" t="s">
        <v>114</v>
      </c>
      <c r="C1527" s="28" t="s">
        <v>43</v>
      </c>
      <c r="D1527" s="28" t="n">
        <v>75</v>
      </c>
      <c r="E1527" s="29" t="n">
        <v>43222400</v>
      </c>
      <c r="F1527" s="30" t="n">
        <v>386.404</v>
      </c>
      <c r="G1527" s="31" t="n">
        <f aca="false">IFERROR(F1527/D1527,0)</f>
        <v>5.15205333333333</v>
      </c>
    </row>
    <row r="1528" customFormat="false" ht="15" hidden="false" customHeight="false" outlineLevel="0" collapsed="false">
      <c r="A1528" s="28" t="n">
        <v>2021</v>
      </c>
      <c r="B1528" s="28" t="s">
        <v>114</v>
      </c>
      <c r="C1528" s="28" t="s">
        <v>52</v>
      </c>
      <c r="D1528" s="28" t="n">
        <v>36</v>
      </c>
      <c r="E1528" s="29" t="n">
        <v>17684400</v>
      </c>
      <c r="F1528" s="30" t="n">
        <v>187.781</v>
      </c>
      <c r="G1528" s="31" t="n">
        <f aca="false">IFERROR(F1528/D1528,0)</f>
        <v>5.21613888888889</v>
      </c>
    </row>
    <row r="1529" customFormat="false" ht="15" hidden="false" customHeight="false" outlineLevel="0" collapsed="false">
      <c r="A1529" s="28" t="n">
        <v>2021</v>
      </c>
      <c r="B1529" s="28" t="s">
        <v>114</v>
      </c>
      <c r="C1529" s="28" t="s">
        <v>60</v>
      </c>
      <c r="D1529" s="28" t="n">
        <v>1</v>
      </c>
      <c r="E1529" s="29" t="n">
        <v>299000</v>
      </c>
      <c r="F1529" s="30" t="n">
        <v>5</v>
      </c>
      <c r="G1529" s="31" t="n">
        <f aca="false">IFERROR(F1529/D1529,0)</f>
        <v>5</v>
      </c>
    </row>
    <row r="1530" customFormat="false" ht="15" hidden="false" customHeight="false" outlineLevel="0" collapsed="false">
      <c r="A1530" s="28" t="n">
        <v>2021</v>
      </c>
      <c r="B1530" s="28" t="s">
        <v>114</v>
      </c>
      <c r="C1530" s="28" t="s">
        <v>49</v>
      </c>
      <c r="D1530" s="28" t="n">
        <v>13</v>
      </c>
      <c r="E1530" s="29" t="n">
        <v>8124000</v>
      </c>
      <c r="F1530" s="30" t="n">
        <v>69.5</v>
      </c>
      <c r="G1530" s="31" t="n">
        <f aca="false">IFERROR(F1530/D1530,0)</f>
        <v>5.34615384615385</v>
      </c>
    </row>
    <row r="1531" customFormat="false" ht="15" hidden="false" customHeight="false" outlineLevel="0" collapsed="false">
      <c r="A1531" s="28" t="n">
        <v>2021</v>
      </c>
      <c r="B1531" s="28" t="s">
        <v>108</v>
      </c>
      <c r="C1531" s="28" t="s">
        <v>42</v>
      </c>
      <c r="D1531" s="28" t="n">
        <v>72</v>
      </c>
      <c r="E1531" s="29" t="n">
        <v>71643600</v>
      </c>
      <c r="F1531" s="30" t="n">
        <v>400.26</v>
      </c>
      <c r="G1531" s="31" t="n">
        <f aca="false">IFERROR(F1531/D1531,0)</f>
        <v>5.55916666666667</v>
      </c>
    </row>
    <row r="1532" customFormat="false" ht="15" hidden="false" customHeight="false" outlineLevel="0" collapsed="false">
      <c r="A1532" s="28" t="n">
        <v>2021</v>
      </c>
      <c r="B1532" s="28" t="s">
        <v>108</v>
      </c>
      <c r="C1532" s="28" t="s">
        <v>50</v>
      </c>
      <c r="D1532" s="28" t="n">
        <v>37</v>
      </c>
      <c r="E1532" s="29" t="n">
        <v>14302300</v>
      </c>
      <c r="F1532" s="30" t="n">
        <v>207.97</v>
      </c>
      <c r="G1532" s="31" t="n">
        <f aca="false">IFERROR(F1532/D1532,0)</f>
        <v>5.62081081081081</v>
      </c>
    </row>
    <row r="1533" customFormat="false" ht="15" hidden="false" customHeight="false" outlineLevel="0" collapsed="false">
      <c r="A1533" s="28" t="n">
        <v>2021</v>
      </c>
      <c r="B1533" s="28" t="s">
        <v>108</v>
      </c>
      <c r="C1533" s="28" t="s">
        <v>55</v>
      </c>
      <c r="D1533" s="28" t="n">
        <v>8</v>
      </c>
      <c r="E1533" s="29" t="n">
        <v>7828500</v>
      </c>
      <c r="F1533" s="30" t="n">
        <v>44.81</v>
      </c>
      <c r="G1533" s="31" t="n">
        <f aca="false">IFERROR(F1533/D1533,0)</f>
        <v>5.60125</v>
      </c>
    </row>
    <row r="1534" customFormat="false" ht="15" hidden="false" customHeight="false" outlineLevel="0" collapsed="false">
      <c r="A1534" s="28" t="n">
        <v>2021</v>
      </c>
      <c r="B1534" s="28" t="s">
        <v>108</v>
      </c>
      <c r="C1534" s="28" t="s">
        <v>51</v>
      </c>
      <c r="D1534" s="28" t="n">
        <v>11</v>
      </c>
      <c r="E1534" s="29" t="n">
        <v>8650500</v>
      </c>
      <c r="F1534" s="30" t="n">
        <v>55.903</v>
      </c>
      <c r="G1534" s="31" t="n">
        <f aca="false">IFERROR(F1534/D1534,0)</f>
        <v>5.08209090909091</v>
      </c>
    </row>
    <row r="1535" customFormat="false" ht="15" hidden="false" customHeight="false" outlineLevel="0" collapsed="false">
      <c r="A1535" s="28" t="n">
        <v>2021</v>
      </c>
      <c r="B1535" s="28" t="s">
        <v>108</v>
      </c>
      <c r="C1535" s="28" t="s">
        <v>45</v>
      </c>
      <c r="D1535" s="28" t="n">
        <v>98</v>
      </c>
      <c r="E1535" s="29" t="n">
        <v>40819400</v>
      </c>
      <c r="F1535" s="30" t="n">
        <v>559.48</v>
      </c>
      <c r="G1535" s="31" t="n">
        <f aca="false">IFERROR(F1535/D1535,0)</f>
        <v>5.70897959183673</v>
      </c>
    </row>
    <row r="1536" customFormat="false" ht="15" hidden="false" customHeight="false" outlineLevel="0" collapsed="false">
      <c r="A1536" s="28" t="n">
        <v>2021</v>
      </c>
      <c r="B1536" s="28" t="s">
        <v>108</v>
      </c>
      <c r="C1536" s="28" t="s">
        <v>56</v>
      </c>
      <c r="D1536" s="28" t="n">
        <v>5</v>
      </c>
      <c r="E1536" s="29" t="n">
        <v>1913000</v>
      </c>
      <c r="F1536" s="30" t="n">
        <v>30.74</v>
      </c>
      <c r="G1536" s="31" t="n">
        <f aca="false">IFERROR(F1536/D1536,0)</f>
        <v>6.148</v>
      </c>
    </row>
    <row r="1537" customFormat="false" ht="15" hidden="false" customHeight="false" outlineLevel="0" collapsed="false">
      <c r="A1537" s="28" t="n">
        <v>2021</v>
      </c>
      <c r="B1537" s="28" t="s">
        <v>108</v>
      </c>
      <c r="C1537" s="28" t="s">
        <v>54</v>
      </c>
      <c r="D1537" s="28" t="n">
        <v>21</v>
      </c>
      <c r="E1537" s="29" t="n">
        <v>12656600</v>
      </c>
      <c r="F1537" s="30" t="n">
        <v>109.33</v>
      </c>
      <c r="G1537" s="31" t="n">
        <f aca="false">IFERROR(F1537/D1537,0)</f>
        <v>5.20619047619048</v>
      </c>
    </row>
    <row r="1538" customFormat="false" ht="15" hidden="false" customHeight="false" outlineLevel="0" collapsed="false">
      <c r="A1538" s="28" t="n">
        <v>2021</v>
      </c>
      <c r="B1538" s="28" t="s">
        <v>108</v>
      </c>
      <c r="C1538" s="28" t="s">
        <v>44</v>
      </c>
      <c r="D1538" s="28" t="n">
        <v>52</v>
      </c>
      <c r="E1538" s="29" t="n">
        <v>47171400</v>
      </c>
      <c r="F1538" s="30" t="n">
        <v>285.14</v>
      </c>
      <c r="G1538" s="31" t="n">
        <f aca="false">IFERROR(F1538/D1538,0)</f>
        <v>5.48346153846154</v>
      </c>
    </row>
    <row r="1539" customFormat="false" ht="15" hidden="false" customHeight="false" outlineLevel="0" collapsed="false">
      <c r="A1539" s="28" t="n">
        <v>2021</v>
      </c>
      <c r="B1539" s="28" t="s">
        <v>108</v>
      </c>
      <c r="C1539" s="28" t="s">
        <v>57</v>
      </c>
      <c r="D1539" s="28" t="n">
        <v>7</v>
      </c>
      <c r="E1539" s="29" t="n">
        <v>10801500</v>
      </c>
      <c r="F1539" s="30" t="n">
        <v>35.3</v>
      </c>
      <c r="G1539" s="31" t="n">
        <f aca="false">IFERROR(F1539/D1539,0)</f>
        <v>5.04285714285714</v>
      </c>
    </row>
    <row r="1540" customFormat="false" ht="15" hidden="false" customHeight="false" outlineLevel="0" collapsed="false">
      <c r="A1540" s="28" t="n">
        <v>2021</v>
      </c>
      <c r="B1540" s="28" t="s">
        <v>108</v>
      </c>
      <c r="C1540" s="28" t="s">
        <v>59</v>
      </c>
      <c r="D1540" s="28" t="n">
        <v>1</v>
      </c>
      <c r="E1540" s="29" t="n">
        <v>1304800</v>
      </c>
      <c r="F1540" s="30" t="n">
        <v>4.25</v>
      </c>
      <c r="G1540" s="31" t="n">
        <f aca="false">IFERROR(F1540/D1540,0)</f>
        <v>4.25</v>
      </c>
    </row>
    <row r="1541" customFormat="false" ht="15" hidden="false" customHeight="false" outlineLevel="0" collapsed="false">
      <c r="A1541" s="28" t="n">
        <v>2021</v>
      </c>
      <c r="B1541" s="28" t="s">
        <v>108</v>
      </c>
      <c r="C1541" s="28" t="s">
        <v>47</v>
      </c>
      <c r="D1541" s="28" t="n">
        <v>69</v>
      </c>
      <c r="E1541" s="29" t="n">
        <v>45172700</v>
      </c>
      <c r="F1541" s="30" t="n">
        <v>383.05</v>
      </c>
      <c r="G1541" s="31" t="n">
        <f aca="false">IFERROR(F1541/D1541,0)</f>
        <v>5.55144927536232</v>
      </c>
    </row>
    <row r="1542" customFormat="false" ht="15" hidden="false" customHeight="false" outlineLevel="0" collapsed="false">
      <c r="A1542" s="28" t="n">
        <v>2021</v>
      </c>
      <c r="B1542" s="28" t="s">
        <v>108</v>
      </c>
      <c r="C1542" s="28" t="s">
        <v>58</v>
      </c>
      <c r="D1542" s="28" t="n">
        <v>2</v>
      </c>
      <c r="E1542" s="29" t="n">
        <v>4063800</v>
      </c>
      <c r="F1542" s="30" t="n">
        <v>9.33</v>
      </c>
      <c r="G1542" s="31" t="n">
        <f aca="false">IFERROR(F1542/D1542,0)</f>
        <v>4.665</v>
      </c>
    </row>
    <row r="1543" customFormat="false" ht="15" hidden="false" customHeight="false" outlineLevel="0" collapsed="false">
      <c r="A1543" s="28" t="n">
        <v>2021</v>
      </c>
      <c r="B1543" s="28" t="s">
        <v>108</v>
      </c>
      <c r="C1543" s="28" t="s">
        <v>46</v>
      </c>
      <c r="D1543" s="28" t="n">
        <v>43</v>
      </c>
      <c r="E1543" s="29" t="n">
        <v>18663200</v>
      </c>
      <c r="F1543" s="30" t="n">
        <v>243.49</v>
      </c>
      <c r="G1543" s="31" t="n">
        <f aca="false">IFERROR(F1543/D1543,0)</f>
        <v>5.66255813953488</v>
      </c>
    </row>
    <row r="1544" customFormat="false" ht="15" hidden="false" customHeight="false" outlineLevel="0" collapsed="false">
      <c r="A1544" s="28" t="n">
        <v>2021</v>
      </c>
      <c r="B1544" s="28" t="s">
        <v>108</v>
      </c>
      <c r="C1544" s="28" t="s">
        <v>48</v>
      </c>
      <c r="D1544" s="28" t="n">
        <v>60</v>
      </c>
      <c r="E1544" s="29" t="n">
        <v>38348400</v>
      </c>
      <c r="F1544" s="30" t="n">
        <v>333.69</v>
      </c>
      <c r="G1544" s="31" t="n">
        <f aca="false">IFERROR(F1544/D1544,0)</f>
        <v>5.5615</v>
      </c>
    </row>
    <row r="1545" customFormat="false" ht="15" hidden="false" customHeight="false" outlineLevel="0" collapsed="false">
      <c r="A1545" s="28" t="n">
        <v>2021</v>
      </c>
      <c r="B1545" s="28" t="s">
        <v>108</v>
      </c>
      <c r="C1545" s="28" t="s">
        <v>53</v>
      </c>
      <c r="D1545" s="28" t="n">
        <v>26</v>
      </c>
      <c r="E1545" s="29" t="n">
        <v>19691700</v>
      </c>
      <c r="F1545" s="30" t="n">
        <v>136.27</v>
      </c>
      <c r="G1545" s="31" t="n">
        <f aca="false">IFERROR(F1545/D1545,0)</f>
        <v>5.24115384615385</v>
      </c>
    </row>
    <row r="1546" customFormat="false" ht="15" hidden="false" customHeight="false" outlineLevel="0" collapsed="false">
      <c r="A1546" s="28" t="n">
        <v>2021</v>
      </c>
      <c r="B1546" s="28" t="s">
        <v>108</v>
      </c>
      <c r="C1546" s="28" t="s">
        <v>43</v>
      </c>
      <c r="D1546" s="28" t="n">
        <v>103</v>
      </c>
      <c r="E1546" s="29" t="n">
        <v>89819200</v>
      </c>
      <c r="F1546" s="30" t="n">
        <v>563.13</v>
      </c>
      <c r="G1546" s="31" t="n">
        <f aca="false">IFERROR(F1546/D1546,0)</f>
        <v>5.46728155339806</v>
      </c>
    </row>
    <row r="1547" customFormat="false" ht="15" hidden="false" customHeight="false" outlineLevel="0" collapsed="false">
      <c r="A1547" s="28" t="n">
        <v>2021</v>
      </c>
      <c r="B1547" s="28" t="s">
        <v>108</v>
      </c>
      <c r="C1547" s="28" t="s">
        <v>52</v>
      </c>
      <c r="D1547" s="28" t="n">
        <v>27</v>
      </c>
      <c r="E1547" s="29" t="n">
        <v>19364500</v>
      </c>
      <c r="F1547" s="30" t="n">
        <v>154.16</v>
      </c>
      <c r="G1547" s="31" t="n">
        <f aca="false">IFERROR(F1547/D1547,0)</f>
        <v>5.70962962962963</v>
      </c>
    </row>
    <row r="1548" customFormat="false" ht="15" hidden="false" customHeight="false" outlineLevel="0" collapsed="false">
      <c r="A1548" s="28" t="n">
        <v>2021</v>
      </c>
      <c r="B1548" s="28" t="s">
        <v>108</v>
      </c>
      <c r="C1548" s="28" t="s">
        <v>60</v>
      </c>
      <c r="D1548" s="28" t="n">
        <v>3</v>
      </c>
      <c r="E1548" s="29" t="n">
        <v>245000</v>
      </c>
      <c r="F1548" s="30" t="n">
        <v>17.37</v>
      </c>
      <c r="G1548" s="31" t="n">
        <f aca="false">IFERROR(F1548/D1548,0)</f>
        <v>5.79</v>
      </c>
    </row>
    <row r="1549" customFormat="false" ht="15" hidden="false" customHeight="false" outlineLevel="0" collapsed="false">
      <c r="A1549" s="28" t="n">
        <v>2021</v>
      </c>
      <c r="B1549" s="28" t="s">
        <v>108</v>
      </c>
      <c r="C1549" s="28" t="s">
        <v>49</v>
      </c>
      <c r="D1549" s="28" t="n">
        <v>33</v>
      </c>
      <c r="E1549" s="29" t="n">
        <v>24025600</v>
      </c>
      <c r="F1549" s="30" t="n">
        <v>191.32</v>
      </c>
      <c r="G1549" s="31" t="n">
        <f aca="false">IFERROR(F1549/D1549,0)</f>
        <v>5.79757575757576</v>
      </c>
    </row>
    <row r="1550" customFormat="false" ht="15" hidden="false" customHeight="false" outlineLevel="0" collapsed="false">
      <c r="A1550" s="28" t="n">
        <v>2021</v>
      </c>
      <c r="B1550" s="28" t="s">
        <v>93</v>
      </c>
      <c r="C1550" s="28" t="s">
        <v>42</v>
      </c>
      <c r="D1550" s="28" t="n">
        <v>174</v>
      </c>
      <c r="E1550" s="29" t="n">
        <v>156231900</v>
      </c>
      <c r="F1550" s="30" t="n">
        <v>957.72</v>
      </c>
      <c r="G1550" s="31" t="n">
        <f aca="false">IFERROR(F1550/D1550,0)</f>
        <v>5.50413793103448</v>
      </c>
    </row>
    <row r="1551" customFormat="false" ht="15" hidden="false" customHeight="false" outlineLevel="0" collapsed="false">
      <c r="A1551" s="28" t="n">
        <v>2021</v>
      </c>
      <c r="B1551" s="28" t="s">
        <v>93</v>
      </c>
      <c r="C1551" s="28" t="s">
        <v>50</v>
      </c>
      <c r="D1551" s="28" t="n">
        <v>85</v>
      </c>
      <c r="E1551" s="29" t="n">
        <v>25297700</v>
      </c>
      <c r="F1551" s="30" t="n">
        <v>501.47</v>
      </c>
      <c r="G1551" s="31" t="n">
        <f aca="false">IFERROR(F1551/D1551,0)</f>
        <v>5.89964705882353</v>
      </c>
    </row>
    <row r="1552" customFormat="false" ht="15" hidden="false" customHeight="false" outlineLevel="0" collapsed="false">
      <c r="A1552" s="28" t="n">
        <v>2021</v>
      </c>
      <c r="B1552" s="28" t="s">
        <v>93</v>
      </c>
      <c r="C1552" s="28" t="s">
        <v>55</v>
      </c>
      <c r="D1552" s="28" t="n">
        <v>11</v>
      </c>
      <c r="E1552" s="29" t="n">
        <v>5227400</v>
      </c>
      <c r="F1552" s="30" t="n">
        <v>68</v>
      </c>
      <c r="G1552" s="31" t="n">
        <f aca="false">IFERROR(F1552/D1552,0)</f>
        <v>6.18181818181818</v>
      </c>
    </row>
    <row r="1553" customFormat="false" ht="15" hidden="false" customHeight="false" outlineLevel="0" collapsed="false">
      <c r="A1553" s="28" t="n">
        <v>2021</v>
      </c>
      <c r="B1553" s="28" t="s">
        <v>93</v>
      </c>
      <c r="C1553" s="28" t="s">
        <v>51</v>
      </c>
      <c r="D1553" s="28" t="n">
        <v>44</v>
      </c>
      <c r="E1553" s="29" t="n">
        <v>21795900</v>
      </c>
      <c r="F1553" s="30" t="n">
        <v>251.69</v>
      </c>
      <c r="G1553" s="31" t="n">
        <f aca="false">IFERROR(F1553/D1553,0)</f>
        <v>5.72022727272727</v>
      </c>
    </row>
    <row r="1554" customFormat="false" ht="15" hidden="false" customHeight="false" outlineLevel="0" collapsed="false">
      <c r="A1554" s="28" t="n">
        <v>2021</v>
      </c>
      <c r="B1554" s="28" t="s">
        <v>93</v>
      </c>
      <c r="C1554" s="28" t="s">
        <v>45</v>
      </c>
      <c r="D1554" s="28" t="n">
        <v>146</v>
      </c>
      <c r="E1554" s="29" t="n">
        <v>65081000</v>
      </c>
      <c r="F1554" s="30" t="n">
        <v>850.24</v>
      </c>
      <c r="G1554" s="31" t="n">
        <f aca="false">IFERROR(F1554/D1554,0)</f>
        <v>5.82356164383562</v>
      </c>
    </row>
    <row r="1555" customFormat="false" ht="15" hidden="false" customHeight="false" outlineLevel="0" collapsed="false">
      <c r="A1555" s="28" t="n">
        <v>2021</v>
      </c>
      <c r="B1555" s="28" t="s">
        <v>93</v>
      </c>
      <c r="C1555" s="28" t="s">
        <v>56</v>
      </c>
      <c r="D1555" s="28" t="n">
        <v>18</v>
      </c>
      <c r="E1555" s="29" t="n">
        <v>11250200</v>
      </c>
      <c r="F1555" s="30" t="n">
        <v>110.99</v>
      </c>
      <c r="G1555" s="31" t="n">
        <f aca="false">IFERROR(F1555/D1555,0)</f>
        <v>6.16611111111111</v>
      </c>
    </row>
    <row r="1556" customFormat="false" ht="15" hidden="false" customHeight="false" outlineLevel="0" collapsed="false">
      <c r="A1556" s="28" t="n">
        <v>2021</v>
      </c>
      <c r="B1556" s="28" t="s">
        <v>93</v>
      </c>
      <c r="C1556" s="28" t="s">
        <v>54</v>
      </c>
      <c r="D1556" s="28" t="n">
        <v>33</v>
      </c>
      <c r="E1556" s="29" t="n">
        <v>15787500</v>
      </c>
      <c r="F1556" s="30" t="n">
        <v>187.4</v>
      </c>
      <c r="G1556" s="31" t="n">
        <f aca="false">IFERROR(F1556/D1556,0)</f>
        <v>5.67878787878788</v>
      </c>
    </row>
    <row r="1557" customFormat="false" ht="15" hidden="false" customHeight="false" outlineLevel="0" collapsed="false">
      <c r="A1557" s="28" t="n">
        <v>2021</v>
      </c>
      <c r="B1557" s="28" t="s">
        <v>93</v>
      </c>
      <c r="C1557" s="28" t="s">
        <v>44</v>
      </c>
      <c r="D1557" s="28" t="n">
        <v>119</v>
      </c>
      <c r="E1557" s="29" t="n">
        <v>76044900</v>
      </c>
      <c r="F1557" s="30" t="n">
        <v>660.06</v>
      </c>
      <c r="G1557" s="31" t="n">
        <f aca="false">IFERROR(F1557/D1557,0)</f>
        <v>5.54672268907563</v>
      </c>
    </row>
    <row r="1558" customFormat="false" ht="15" hidden="false" customHeight="false" outlineLevel="0" collapsed="false">
      <c r="A1558" s="28" t="n">
        <v>2021</v>
      </c>
      <c r="B1558" s="28" t="s">
        <v>93</v>
      </c>
      <c r="C1558" s="28" t="s">
        <v>57</v>
      </c>
      <c r="D1558" s="28" t="n">
        <v>12</v>
      </c>
      <c r="E1558" s="29" t="n">
        <v>9059700</v>
      </c>
      <c r="F1558" s="30" t="n">
        <v>73.5</v>
      </c>
      <c r="G1558" s="31" t="n">
        <f aca="false">IFERROR(F1558/D1558,0)</f>
        <v>6.125</v>
      </c>
    </row>
    <row r="1559" customFormat="false" ht="15" hidden="false" customHeight="false" outlineLevel="0" collapsed="false">
      <c r="A1559" s="28" t="n">
        <v>2021</v>
      </c>
      <c r="B1559" s="28" t="s">
        <v>93</v>
      </c>
      <c r="C1559" s="28" t="s">
        <v>47</v>
      </c>
      <c r="D1559" s="28" t="n">
        <v>127</v>
      </c>
      <c r="E1559" s="29" t="n">
        <v>112807800</v>
      </c>
      <c r="F1559" s="30" t="n">
        <v>701.03</v>
      </c>
      <c r="G1559" s="31" t="n">
        <f aca="false">IFERROR(F1559/D1559,0)</f>
        <v>5.51992125984252</v>
      </c>
    </row>
    <row r="1560" customFormat="false" ht="15" hidden="false" customHeight="false" outlineLevel="0" collapsed="false">
      <c r="A1560" s="28" t="n">
        <v>2021</v>
      </c>
      <c r="B1560" s="28" t="s">
        <v>93</v>
      </c>
      <c r="C1560" s="28" t="s">
        <v>58</v>
      </c>
      <c r="D1560" s="28" t="n">
        <v>4</v>
      </c>
      <c r="E1560" s="29" t="n">
        <v>1687900</v>
      </c>
      <c r="F1560" s="30" t="n">
        <v>22.89</v>
      </c>
      <c r="G1560" s="31" t="n">
        <f aca="false">IFERROR(F1560/D1560,0)</f>
        <v>5.7225</v>
      </c>
    </row>
    <row r="1561" customFormat="false" ht="15" hidden="false" customHeight="false" outlineLevel="0" collapsed="false">
      <c r="A1561" s="28" t="n">
        <v>2021</v>
      </c>
      <c r="B1561" s="28" t="s">
        <v>93</v>
      </c>
      <c r="C1561" s="28" t="s">
        <v>46</v>
      </c>
      <c r="D1561" s="28" t="n">
        <v>157</v>
      </c>
      <c r="E1561" s="29" t="n">
        <v>82465200</v>
      </c>
      <c r="F1561" s="30" t="n">
        <v>867.08</v>
      </c>
      <c r="G1561" s="31" t="n">
        <f aca="false">IFERROR(F1561/D1561,0)</f>
        <v>5.5228025477707</v>
      </c>
    </row>
    <row r="1562" customFormat="false" ht="15" hidden="false" customHeight="false" outlineLevel="0" collapsed="false">
      <c r="A1562" s="28" t="n">
        <v>2021</v>
      </c>
      <c r="B1562" s="28" t="s">
        <v>93</v>
      </c>
      <c r="C1562" s="28" t="s">
        <v>48</v>
      </c>
      <c r="D1562" s="28" t="n">
        <v>110</v>
      </c>
      <c r="E1562" s="29" t="n">
        <v>79799800</v>
      </c>
      <c r="F1562" s="30" t="n">
        <v>611.05</v>
      </c>
      <c r="G1562" s="31" t="n">
        <f aca="false">IFERROR(F1562/D1562,0)</f>
        <v>5.555</v>
      </c>
    </row>
    <row r="1563" customFormat="false" ht="15" hidden="false" customHeight="false" outlineLevel="0" collapsed="false">
      <c r="A1563" s="28" t="n">
        <v>2021</v>
      </c>
      <c r="B1563" s="28" t="s">
        <v>93</v>
      </c>
      <c r="C1563" s="28" t="s">
        <v>53</v>
      </c>
      <c r="D1563" s="28" t="n">
        <v>41</v>
      </c>
      <c r="E1563" s="29" t="n">
        <v>25294900</v>
      </c>
      <c r="F1563" s="30" t="n">
        <v>230.2</v>
      </c>
      <c r="G1563" s="31" t="n">
        <f aca="false">IFERROR(F1563/D1563,0)</f>
        <v>5.61463414634146</v>
      </c>
    </row>
    <row r="1564" customFormat="false" ht="15" hidden="false" customHeight="false" outlineLevel="0" collapsed="false">
      <c r="A1564" s="28" t="n">
        <v>2021</v>
      </c>
      <c r="B1564" s="28" t="s">
        <v>93</v>
      </c>
      <c r="C1564" s="28" t="s">
        <v>43</v>
      </c>
      <c r="D1564" s="28" t="n">
        <v>183</v>
      </c>
      <c r="E1564" s="29" t="n">
        <v>102373400</v>
      </c>
      <c r="F1564" s="30" t="n">
        <v>1027.59</v>
      </c>
      <c r="G1564" s="31" t="n">
        <f aca="false">IFERROR(F1564/D1564,0)</f>
        <v>5.61524590163934</v>
      </c>
    </row>
    <row r="1565" customFormat="false" ht="15" hidden="false" customHeight="false" outlineLevel="0" collapsed="false">
      <c r="A1565" s="28" t="n">
        <v>2021</v>
      </c>
      <c r="B1565" s="28" t="s">
        <v>93</v>
      </c>
      <c r="C1565" s="28" t="s">
        <v>52</v>
      </c>
      <c r="D1565" s="28" t="n">
        <v>78</v>
      </c>
      <c r="E1565" s="29" t="n">
        <v>22059600</v>
      </c>
      <c r="F1565" s="30" t="n">
        <v>466.05</v>
      </c>
      <c r="G1565" s="31" t="n">
        <f aca="false">IFERROR(F1565/D1565,0)</f>
        <v>5.975</v>
      </c>
    </row>
    <row r="1566" customFormat="false" ht="15" hidden="false" customHeight="false" outlineLevel="0" collapsed="false">
      <c r="A1566" s="28" t="n">
        <v>2021</v>
      </c>
      <c r="B1566" s="28" t="s">
        <v>93</v>
      </c>
      <c r="C1566" s="28" t="s">
        <v>60</v>
      </c>
      <c r="D1566" s="28" t="n">
        <v>3</v>
      </c>
      <c r="E1566" s="29" t="n">
        <v>1640000</v>
      </c>
      <c r="F1566" s="30" t="n">
        <v>17.5</v>
      </c>
      <c r="G1566" s="31" t="n">
        <f aca="false">IFERROR(F1566/D1566,0)</f>
        <v>5.83333333333333</v>
      </c>
    </row>
    <row r="1567" customFormat="false" ht="15" hidden="false" customHeight="false" outlineLevel="0" collapsed="false">
      <c r="A1567" s="28" t="n">
        <v>2021</v>
      </c>
      <c r="B1567" s="28" t="s">
        <v>93</v>
      </c>
      <c r="C1567" s="28" t="s">
        <v>49</v>
      </c>
      <c r="D1567" s="28" t="n">
        <v>49</v>
      </c>
      <c r="E1567" s="29" t="n">
        <v>34340000</v>
      </c>
      <c r="F1567" s="30" t="n">
        <v>278.46</v>
      </c>
      <c r="G1567" s="31" t="n">
        <f aca="false">IFERROR(F1567/D1567,0)</f>
        <v>5.68285714285714</v>
      </c>
    </row>
    <row r="1568" customFormat="false" ht="15" hidden="false" customHeight="false" outlineLevel="0" collapsed="false">
      <c r="A1568" s="28" t="n">
        <v>2021</v>
      </c>
      <c r="B1568" s="28" t="s">
        <v>120</v>
      </c>
      <c r="C1568" s="28" t="s">
        <v>42</v>
      </c>
      <c r="D1568" s="28" t="n">
        <v>38</v>
      </c>
      <c r="E1568" s="29" t="n">
        <v>7678800</v>
      </c>
      <c r="F1568" s="30" t="n">
        <v>227.5</v>
      </c>
      <c r="G1568" s="31" t="n">
        <f aca="false">IFERROR(F1568/D1568,0)</f>
        <v>5.98684210526316</v>
      </c>
    </row>
    <row r="1569" customFormat="false" ht="15" hidden="false" customHeight="false" outlineLevel="0" collapsed="false">
      <c r="A1569" s="28" t="n">
        <v>2021</v>
      </c>
      <c r="B1569" s="28" t="s">
        <v>120</v>
      </c>
      <c r="C1569" s="28" t="s">
        <v>50</v>
      </c>
      <c r="D1569" s="28" t="n">
        <v>9</v>
      </c>
      <c r="E1569" s="29" t="n">
        <v>1221600</v>
      </c>
      <c r="F1569" s="30" t="n">
        <v>57</v>
      </c>
      <c r="G1569" s="31" t="n">
        <f aca="false">IFERROR(F1569/D1569,0)</f>
        <v>6.33333333333333</v>
      </c>
    </row>
    <row r="1570" customFormat="false" ht="15" hidden="false" customHeight="false" outlineLevel="0" collapsed="false">
      <c r="A1570" s="28" t="n">
        <v>2021</v>
      </c>
      <c r="B1570" s="28" t="s">
        <v>120</v>
      </c>
      <c r="C1570" s="28" t="s">
        <v>51</v>
      </c>
      <c r="D1570" s="28" t="n">
        <v>1</v>
      </c>
      <c r="E1570" s="29" t="n">
        <v>350000</v>
      </c>
      <c r="F1570" s="30" t="n">
        <v>5.5</v>
      </c>
      <c r="G1570" s="31" t="n">
        <f aca="false">IFERROR(F1570/D1570,0)</f>
        <v>5.5</v>
      </c>
    </row>
    <row r="1571" customFormat="false" ht="15" hidden="false" customHeight="false" outlineLevel="0" collapsed="false">
      <c r="A1571" s="28" t="n">
        <v>2021</v>
      </c>
      <c r="B1571" s="28" t="s">
        <v>120</v>
      </c>
      <c r="C1571" s="28" t="s">
        <v>45</v>
      </c>
      <c r="D1571" s="28" t="n">
        <v>25</v>
      </c>
      <c r="E1571" s="29" t="n">
        <v>4779600</v>
      </c>
      <c r="F1571" s="30" t="n">
        <v>170.18</v>
      </c>
      <c r="G1571" s="31" t="n">
        <f aca="false">IFERROR(F1571/D1571,0)</f>
        <v>6.8072</v>
      </c>
    </row>
    <row r="1572" customFormat="false" ht="15" hidden="false" customHeight="false" outlineLevel="0" collapsed="false">
      <c r="A1572" s="28" t="n">
        <v>2021</v>
      </c>
      <c r="B1572" s="28" t="s">
        <v>120</v>
      </c>
      <c r="C1572" s="28" t="s">
        <v>56</v>
      </c>
      <c r="D1572" s="28" t="n">
        <v>4</v>
      </c>
      <c r="E1572" s="29" t="n">
        <v>1244000</v>
      </c>
      <c r="F1572" s="30" t="n">
        <v>27.55</v>
      </c>
      <c r="G1572" s="31" t="n">
        <f aca="false">IFERROR(F1572/D1572,0)</f>
        <v>6.8875</v>
      </c>
    </row>
    <row r="1573" customFormat="false" ht="15" hidden="false" customHeight="false" outlineLevel="0" collapsed="false">
      <c r="A1573" s="28" t="n">
        <v>2021</v>
      </c>
      <c r="B1573" s="28" t="s">
        <v>120</v>
      </c>
      <c r="C1573" s="28" t="s">
        <v>54</v>
      </c>
      <c r="D1573" s="28" t="n">
        <v>2</v>
      </c>
      <c r="E1573" s="29" t="n">
        <v>663900</v>
      </c>
      <c r="F1573" s="30" t="n">
        <v>11.75</v>
      </c>
      <c r="G1573" s="31" t="n">
        <f aca="false">IFERROR(F1573/D1573,0)</f>
        <v>5.875</v>
      </c>
    </row>
    <row r="1574" customFormat="false" ht="15" hidden="false" customHeight="false" outlineLevel="0" collapsed="false">
      <c r="A1574" s="28" t="n">
        <v>2021</v>
      </c>
      <c r="B1574" s="28" t="s">
        <v>120</v>
      </c>
      <c r="C1574" s="28" t="s">
        <v>44</v>
      </c>
      <c r="D1574" s="28" t="n">
        <v>90</v>
      </c>
      <c r="E1574" s="29" t="n">
        <v>17479500</v>
      </c>
      <c r="F1574" s="30" t="n">
        <v>567.51</v>
      </c>
      <c r="G1574" s="31" t="n">
        <f aca="false">IFERROR(F1574/D1574,0)</f>
        <v>6.30566666666667</v>
      </c>
    </row>
    <row r="1575" customFormat="false" ht="15" hidden="false" customHeight="false" outlineLevel="0" collapsed="false">
      <c r="A1575" s="28" t="n">
        <v>2021</v>
      </c>
      <c r="B1575" s="28" t="s">
        <v>120</v>
      </c>
      <c r="C1575" s="28" t="s">
        <v>57</v>
      </c>
      <c r="D1575" s="28" t="n">
        <v>11</v>
      </c>
      <c r="E1575" s="29" t="n">
        <v>3711100</v>
      </c>
      <c r="F1575" s="30" t="n">
        <v>70.1</v>
      </c>
      <c r="G1575" s="31" t="n">
        <f aca="false">IFERROR(F1575/D1575,0)</f>
        <v>6.37272727272727</v>
      </c>
    </row>
    <row r="1576" customFormat="false" ht="15" hidden="false" customHeight="false" outlineLevel="0" collapsed="false">
      <c r="A1576" s="28" t="n">
        <v>2021</v>
      </c>
      <c r="B1576" s="28" t="s">
        <v>120</v>
      </c>
      <c r="C1576" s="28" t="s">
        <v>47</v>
      </c>
      <c r="D1576" s="28" t="n">
        <v>21</v>
      </c>
      <c r="E1576" s="29" t="n">
        <v>4686300</v>
      </c>
      <c r="F1576" s="30" t="n">
        <v>129.25</v>
      </c>
      <c r="G1576" s="31" t="n">
        <f aca="false">IFERROR(F1576/D1576,0)</f>
        <v>6.15476190476191</v>
      </c>
    </row>
    <row r="1577" customFormat="false" ht="15" hidden="false" customHeight="false" outlineLevel="0" collapsed="false">
      <c r="A1577" s="28" t="n">
        <v>2021</v>
      </c>
      <c r="B1577" s="28" t="s">
        <v>120</v>
      </c>
      <c r="C1577" s="28" t="s">
        <v>58</v>
      </c>
      <c r="D1577" s="28" t="n">
        <v>1</v>
      </c>
      <c r="E1577" s="29" t="n">
        <v>90000</v>
      </c>
      <c r="F1577" s="30" t="n">
        <v>6</v>
      </c>
      <c r="G1577" s="31" t="n">
        <f aca="false">IFERROR(F1577/D1577,0)</f>
        <v>6</v>
      </c>
    </row>
    <row r="1578" customFormat="false" ht="15" hidden="false" customHeight="false" outlineLevel="0" collapsed="false">
      <c r="A1578" s="28" t="n">
        <v>2021</v>
      </c>
      <c r="B1578" s="28" t="s">
        <v>120</v>
      </c>
      <c r="C1578" s="28" t="s">
        <v>46</v>
      </c>
      <c r="D1578" s="28" t="n">
        <v>32</v>
      </c>
      <c r="E1578" s="29" t="n">
        <v>6070100</v>
      </c>
      <c r="F1578" s="30" t="n">
        <v>201.5</v>
      </c>
      <c r="G1578" s="31" t="n">
        <f aca="false">IFERROR(F1578/D1578,0)</f>
        <v>6.296875</v>
      </c>
    </row>
    <row r="1579" customFormat="false" ht="15" hidden="false" customHeight="false" outlineLevel="0" collapsed="false">
      <c r="A1579" s="28" t="n">
        <v>2021</v>
      </c>
      <c r="B1579" s="28" t="s">
        <v>120</v>
      </c>
      <c r="C1579" s="28" t="s">
        <v>48</v>
      </c>
      <c r="D1579" s="28" t="n">
        <v>30</v>
      </c>
      <c r="E1579" s="29" t="n">
        <v>4038800</v>
      </c>
      <c r="F1579" s="30" t="n">
        <v>169.75</v>
      </c>
      <c r="G1579" s="31" t="n">
        <f aca="false">IFERROR(F1579/D1579,0)</f>
        <v>5.65833333333333</v>
      </c>
    </row>
    <row r="1580" customFormat="false" ht="15" hidden="false" customHeight="false" outlineLevel="0" collapsed="false">
      <c r="A1580" s="28" t="n">
        <v>2021</v>
      </c>
      <c r="B1580" s="28" t="s">
        <v>120</v>
      </c>
      <c r="C1580" s="28" t="s">
        <v>53</v>
      </c>
      <c r="D1580" s="28" t="n">
        <v>5</v>
      </c>
      <c r="E1580" s="29" t="n">
        <v>561000</v>
      </c>
      <c r="F1580" s="30" t="n">
        <v>34.25</v>
      </c>
      <c r="G1580" s="31" t="n">
        <f aca="false">IFERROR(F1580/D1580,0)</f>
        <v>6.85</v>
      </c>
    </row>
    <row r="1581" customFormat="false" ht="15" hidden="false" customHeight="false" outlineLevel="0" collapsed="false">
      <c r="A1581" s="28" t="n">
        <v>2021</v>
      </c>
      <c r="B1581" s="28" t="s">
        <v>120</v>
      </c>
      <c r="C1581" s="28" t="s">
        <v>43</v>
      </c>
      <c r="D1581" s="28" t="n">
        <v>85</v>
      </c>
      <c r="E1581" s="29" t="n">
        <v>14514300</v>
      </c>
      <c r="F1581" s="30" t="n">
        <v>557.75</v>
      </c>
      <c r="G1581" s="31" t="n">
        <f aca="false">IFERROR(F1581/D1581,0)</f>
        <v>6.56176470588235</v>
      </c>
    </row>
    <row r="1582" customFormat="false" ht="15" hidden="false" customHeight="false" outlineLevel="0" collapsed="false">
      <c r="A1582" s="28" t="n">
        <v>2021</v>
      </c>
      <c r="B1582" s="28" t="s">
        <v>120</v>
      </c>
      <c r="C1582" s="28" t="s">
        <v>52</v>
      </c>
      <c r="D1582" s="28" t="n">
        <v>4</v>
      </c>
      <c r="E1582" s="29" t="n">
        <v>392000</v>
      </c>
      <c r="F1582" s="30" t="n">
        <v>27</v>
      </c>
      <c r="G1582" s="31" t="n">
        <f aca="false">IFERROR(F1582/D1582,0)</f>
        <v>6.75</v>
      </c>
    </row>
    <row r="1583" customFormat="false" ht="15" hidden="false" customHeight="false" outlineLevel="0" collapsed="false">
      <c r="A1583" s="28" t="n">
        <v>2021</v>
      </c>
      <c r="B1583" s="28" t="s">
        <v>120</v>
      </c>
      <c r="C1583" s="28" t="s">
        <v>49</v>
      </c>
      <c r="D1583" s="28" t="n">
        <v>16</v>
      </c>
      <c r="E1583" s="29" t="n">
        <v>11041000</v>
      </c>
      <c r="F1583" s="30" t="n">
        <v>94.35</v>
      </c>
      <c r="G1583" s="31" t="n">
        <f aca="false">IFERROR(F1583/D1583,0)</f>
        <v>5.896875</v>
      </c>
    </row>
    <row r="1584" customFormat="false" ht="15" hidden="false" customHeight="false" outlineLevel="0" collapsed="false">
      <c r="A1584" s="28" t="n">
        <v>2021</v>
      </c>
      <c r="B1584" s="28" t="s">
        <v>121</v>
      </c>
      <c r="C1584" s="28" t="s">
        <v>42</v>
      </c>
      <c r="D1584" s="28" t="n">
        <v>18</v>
      </c>
      <c r="E1584" s="29" t="n">
        <v>20249100</v>
      </c>
      <c r="F1584" s="30" t="n">
        <v>96.5</v>
      </c>
      <c r="G1584" s="31" t="n">
        <f aca="false">IFERROR(F1584/D1584,0)</f>
        <v>5.36111111111111</v>
      </c>
    </row>
    <row r="1585" customFormat="false" ht="15" hidden="false" customHeight="false" outlineLevel="0" collapsed="false">
      <c r="A1585" s="28" t="n">
        <v>2021</v>
      </c>
      <c r="B1585" s="28" t="s">
        <v>121</v>
      </c>
      <c r="C1585" s="28" t="s">
        <v>50</v>
      </c>
      <c r="D1585" s="28" t="n">
        <v>5</v>
      </c>
      <c r="E1585" s="29" t="n">
        <v>760000</v>
      </c>
      <c r="F1585" s="30" t="n">
        <v>28.5</v>
      </c>
      <c r="G1585" s="31" t="n">
        <f aca="false">IFERROR(F1585/D1585,0)</f>
        <v>5.7</v>
      </c>
    </row>
    <row r="1586" customFormat="false" ht="15" hidden="false" customHeight="false" outlineLevel="0" collapsed="false">
      <c r="A1586" s="28" t="n">
        <v>2021</v>
      </c>
      <c r="B1586" s="28" t="s">
        <v>121</v>
      </c>
      <c r="C1586" s="28" t="s">
        <v>55</v>
      </c>
      <c r="D1586" s="28" t="n">
        <v>3</v>
      </c>
      <c r="E1586" s="29" t="n">
        <v>1098700</v>
      </c>
      <c r="F1586" s="30" t="n">
        <v>15</v>
      </c>
      <c r="G1586" s="31" t="n">
        <f aca="false">IFERROR(F1586/D1586,0)</f>
        <v>5</v>
      </c>
    </row>
    <row r="1587" customFormat="false" ht="15" hidden="false" customHeight="false" outlineLevel="0" collapsed="false">
      <c r="A1587" s="28" t="n">
        <v>2021</v>
      </c>
      <c r="B1587" s="28" t="s">
        <v>121</v>
      </c>
      <c r="C1587" s="28" t="s">
        <v>51</v>
      </c>
      <c r="D1587" s="28" t="n">
        <v>4</v>
      </c>
      <c r="E1587" s="29" t="n">
        <v>800900</v>
      </c>
      <c r="F1587" s="30" t="n">
        <v>22.7</v>
      </c>
      <c r="G1587" s="31" t="n">
        <f aca="false">IFERROR(F1587/D1587,0)</f>
        <v>5.675</v>
      </c>
    </row>
    <row r="1588" customFormat="false" ht="15" hidden="false" customHeight="false" outlineLevel="0" collapsed="false">
      <c r="A1588" s="28" t="n">
        <v>2021</v>
      </c>
      <c r="B1588" s="28" t="s">
        <v>121</v>
      </c>
      <c r="C1588" s="28" t="s">
        <v>45</v>
      </c>
      <c r="D1588" s="28" t="n">
        <v>16</v>
      </c>
      <c r="E1588" s="29" t="n">
        <v>7118500</v>
      </c>
      <c r="F1588" s="30" t="n">
        <v>83.04</v>
      </c>
      <c r="G1588" s="31" t="n">
        <f aca="false">IFERROR(F1588/D1588,0)</f>
        <v>5.19</v>
      </c>
    </row>
    <row r="1589" customFormat="false" ht="15" hidden="false" customHeight="false" outlineLevel="0" collapsed="false">
      <c r="A1589" s="28" t="n">
        <v>2021</v>
      </c>
      <c r="B1589" s="28" t="s">
        <v>121</v>
      </c>
      <c r="C1589" s="28" t="s">
        <v>56</v>
      </c>
      <c r="D1589" s="28" t="n">
        <v>4</v>
      </c>
      <c r="E1589" s="29" t="n">
        <v>1040000</v>
      </c>
      <c r="F1589" s="30" t="n">
        <v>19.25</v>
      </c>
      <c r="G1589" s="31" t="n">
        <f aca="false">IFERROR(F1589/D1589,0)</f>
        <v>4.8125</v>
      </c>
    </row>
    <row r="1590" customFormat="false" ht="15" hidden="false" customHeight="false" outlineLevel="0" collapsed="false">
      <c r="A1590" s="28" t="n">
        <v>2021</v>
      </c>
      <c r="B1590" s="28" t="s">
        <v>121</v>
      </c>
      <c r="C1590" s="28" t="s">
        <v>54</v>
      </c>
      <c r="D1590" s="28" t="n">
        <v>5</v>
      </c>
      <c r="E1590" s="29" t="n">
        <v>6280000</v>
      </c>
      <c r="F1590" s="30" t="n">
        <v>23.3</v>
      </c>
      <c r="G1590" s="31" t="n">
        <f aca="false">IFERROR(F1590/D1590,0)</f>
        <v>4.66</v>
      </c>
    </row>
    <row r="1591" customFormat="false" ht="15" hidden="false" customHeight="false" outlineLevel="0" collapsed="false">
      <c r="A1591" s="28" t="n">
        <v>2021</v>
      </c>
      <c r="B1591" s="28" t="s">
        <v>121</v>
      </c>
      <c r="C1591" s="28" t="s">
        <v>44</v>
      </c>
      <c r="D1591" s="28" t="n">
        <v>17</v>
      </c>
      <c r="E1591" s="29" t="n">
        <v>8004700</v>
      </c>
      <c r="F1591" s="30" t="n">
        <v>90.24</v>
      </c>
      <c r="G1591" s="31" t="n">
        <f aca="false">IFERROR(F1591/D1591,0)</f>
        <v>5.30823529411765</v>
      </c>
    </row>
    <row r="1592" customFormat="false" ht="15" hidden="false" customHeight="false" outlineLevel="0" collapsed="false">
      <c r="A1592" s="28" t="n">
        <v>2021</v>
      </c>
      <c r="B1592" s="28" t="s">
        <v>121</v>
      </c>
      <c r="C1592" s="28" t="s">
        <v>57</v>
      </c>
      <c r="D1592" s="28" t="n">
        <v>2</v>
      </c>
      <c r="E1592" s="29" t="n">
        <v>170300</v>
      </c>
      <c r="F1592" s="30" t="n">
        <v>9</v>
      </c>
      <c r="G1592" s="31" t="n">
        <f aca="false">IFERROR(F1592/D1592,0)</f>
        <v>4.5</v>
      </c>
    </row>
    <row r="1593" customFormat="false" ht="15" hidden="false" customHeight="false" outlineLevel="0" collapsed="false">
      <c r="A1593" s="28" t="n">
        <v>2021</v>
      </c>
      <c r="B1593" s="28" t="s">
        <v>121</v>
      </c>
      <c r="C1593" s="28" t="s">
        <v>47</v>
      </c>
      <c r="D1593" s="28" t="n">
        <v>13</v>
      </c>
      <c r="E1593" s="29" t="n">
        <v>17086100</v>
      </c>
      <c r="F1593" s="30" t="n">
        <v>64.09</v>
      </c>
      <c r="G1593" s="31" t="n">
        <f aca="false">IFERROR(F1593/D1593,0)</f>
        <v>4.93</v>
      </c>
    </row>
    <row r="1594" customFormat="false" ht="15" hidden="false" customHeight="false" outlineLevel="0" collapsed="false">
      <c r="A1594" s="28" t="n">
        <v>2021</v>
      </c>
      <c r="B1594" s="28" t="s">
        <v>121</v>
      </c>
      <c r="C1594" s="28" t="s">
        <v>46</v>
      </c>
      <c r="D1594" s="28" t="n">
        <v>10</v>
      </c>
      <c r="E1594" s="29" t="n">
        <v>2732700</v>
      </c>
      <c r="F1594" s="30" t="n">
        <v>54.71</v>
      </c>
      <c r="G1594" s="31" t="n">
        <f aca="false">IFERROR(F1594/D1594,0)</f>
        <v>5.471</v>
      </c>
    </row>
    <row r="1595" customFormat="false" ht="15" hidden="false" customHeight="false" outlineLevel="0" collapsed="false">
      <c r="A1595" s="28" t="n">
        <v>2021</v>
      </c>
      <c r="B1595" s="28" t="s">
        <v>121</v>
      </c>
      <c r="C1595" s="28" t="s">
        <v>48</v>
      </c>
      <c r="D1595" s="28" t="n">
        <v>11</v>
      </c>
      <c r="E1595" s="29" t="n">
        <v>3346300</v>
      </c>
      <c r="F1595" s="30" t="n">
        <v>53.08</v>
      </c>
      <c r="G1595" s="31" t="n">
        <f aca="false">IFERROR(F1595/D1595,0)</f>
        <v>4.82545454545455</v>
      </c>
    </row>
    <row r="1596" customFormat="false" ht="15" hidden="false" customHeight="false" outlineLevel="0" collapsed="false">
      <c r="A1596" s="28" t="n">
        <v>2021</v>
      </c>
      <c r="B1596" s="28" t="s">
        <v>121</v>
      </c>
      <c r="C1596" s="28" t="s">
        <v>53</v>
      </c>
      <c r="D1596" s="28" t="n">
        <v>4</v>
      </c>
      <c r="E1596" s="29" t="n">
        <v>1414000</v>
      </c>
      <c r="F1596" s="30" t="n">
        <v>20.75</v>
      </c>
      <c r="G1596" s="31" t="n">
        <f aca="false">IFERROR(F1596/D1596,0)</f>
        <v>5.1875</v>
      </c>
    </row>
    <row r="1597" customFormat="false" ht="15" hidden="false" customHeight="false" outlineLevel="0" collapsed="false">
      <c r="A1597" s="28" t="n">
        <v>2021</v>
      </c>
      <c r="B1597" s="28" t="s">
        <v>121</v>
      </c>
      <c r="C1597" s="28" t="s">
        <v>43</v>
      </c>
      <c r="D1597" s="28" t="n">
        <v>28</v>
      </c>
      <c r="E1597" s="29" t="n">
        <v>11488900</v>
      </c>
      <c r="F1597" s="30" t="n">
        <v>135.72</v>
      </c>
      <c r="G1597" s="31" t="n">
        <f aca="false">IFERROR(F1597/D1597,0)</f>
        <v>4.84714285714286</v>
      </c>
    </row>
    <row r="1598" customFormat="false" ht="15" hidden="false" customHeight="false" outlineLevel="0" collapsed="false">
      <c r="A1598" s="28" t="n">
        <v>2021</v>
      </c>
      <c r="B1598" s="28" t="s">
        <v>121</v>
      </c>
      <c r="C1598" s="28" t="s">
        <v>52</v>
      </c>
      <c r="D1598" s="28" t="n">
        <v>10</v>
      </c>
      <c r="E1598" s="29" t="n">
        <v>1815300</v>
      </c>
      <c r="F1598" s="30" t="n">
        <v>56.6</v>
      </c>
      <c r="G1598" s="31" t="n">
        <f aca="false">IFERROR(F1598/D1598,0)</f>
        <v>5.66</v>
      </c>
    </row>
    <row r="1599" customFormat="false" ht="15" hidden="false" customHeight="false" outlineLevel="0" collapsed="false">
      <c r="A1599" s="28" t="n">
        <v>2021</v>
      </c>
      <c r="B1599" s="28" t="s">
        <v>121</v>
      </c>
      <c r="C1599" s="28" t="s">
        <v>60</v>
      </c>
      <c r="D1599" s="28" t="n">
        <v>1</v>
      </c>
      <c r="E1599" s="29" t="n">
        <v>700000</v>
      </c>
      <c r="F1599" s="30" t="n">
        <v>5.25</v>
      </c>
      <c r="G1599" s="31" t="n">
        <f aca="false">IFERROR(F1599/D1599,0)</f>
        <v>5.25</v>
      </c>
    </row>
    <row r="1600" customFormat="false" ht="15" hidden="false" customHeight="false" outlineLevel="0" collapsed="false">
      <c r="A1600" s="28" t="n">
        <v>2021</v>
      </c>
      <c r="B1600" s="28" t="s">
        <v>121</v>
      </c>
      <c r="C1600" s="28" t="s">
        <v>49</v>
      </c>
      <c r="D1600" s="28" t="n">
        <v>9</v>
      </c>
      <c r="E1600" s="29" t="n">
        <v>6273300</v>
      </c>
      <c r="F1600" s="30" t="n">
        <v>49.3</v>
      </c>
      <c r="G1600" s="31" t="n">
        <f aca="false">IFERROR(F1600/D1600,0)</f>
        <v>5.47777777777778</v>
      </c>
    </row>
    <row r="1601" customFormat="false" ht="15" hidden="false" customHeight="false" outlineLevel="0" collapsed="false">
      <c r="A1601" s="28" t="n">
        <v>2021</v>
      </c>
      <c r="B1601" s="28" t="s">
        <v>111</v>
      </c>
      <c r="C1601" s="28" t="s">
        <v>42</v>
      </c>
      <c r="D1601" s="28" t="n">
        <v>90</v>
      </c>
      <c r="E1601" s="29" t="n">
        <v>138369500</v>
      </c>
      <c r="F1601" s="30" t="n">
        <v>473.65</v>
      </c>
      <c r="G1601" s="31" t="n">
        <f aca="false">IFERROR(F1601/D1601,0)</f>
        <v>5.26277777777778</v>
      </c>
    </row>
    <row r="1602" customFormat="false" ht="15" hidden="false" customHeight="false" outlineLevel="0" collapsed="false">
      <c r="A1602" s="28" t="n">
        <v>2021</v>
      </c>
      <c r="B1602" s="28" t="s">
        <v>111</v>
      </c>
      <c r="C1602" s="28" t="s">
        <v>50</v>
      </c>
      <c r="D1602" s="28" t="n">
        <v>36</v>
      </c>
      <c r="E1602" s="29" t="n">
        <v>20282400</v>
      </c>
      <c r="F1602" s="30" t="n">
        <v>213.4</v>
      </c>
      <c r="G1602" s="31" t="n">
        <f aca="false">IFERROR(F1602/D1602,0)</f>
        <v>5.92777777777778</v>
      </c>
    </row>
    <row r="1603" customFormat="false" ht="15" hidden="false" customHeight="false" outlineLevel="0" collapsed="false">
      <c r="A1603" s="28" t="n">
        <v>2021</v>
      </c>
      <c r="B1603" s="28" t="s">
        <v>111</v>
      </c>
      <c r="C1603" s="28" t="s">
        <v>55</v>
      </c>
      <c r="D1603" s="28" t="n">
        <v>3</v>
      </c>
      <c r="E1603" s="29" t="n">
        <v>4189500</v>
      </c>
      <c r="F1603" s="30" t="n">
        <v>15.95</v>
      </c>
      <c r="G1603" s="31" t="n">
        <f aca="false">IFERROR(F1603/D1603,0)</f>
        <v>5.31666666666667</v>
      </c>
    </row>
    <row r="1604" customFormat="false" ht="15" hidden="false" customHeight="false" outlineLevel="0" collapsed="false">
      <c r="A1604" s="28" t="n">
        <v>2021</v>
      </c>
      <c r="B1604" s="28" t="s">
        <v>111</v>
      </c>
      <c r="C1604" s="28" t="s">
        <v>51</v>
      </c>
      <c r="D1604" s="28" t="n">
        <v>11</v>
      </c>
      <c r="E1604" s="29" t="n">
        <v>11738100</v>
      </c>
      <c r="F1604" s="30" t="n">
        <v>68.45</v>
      </c>
      <c r="G1604" s="31" t="n">
        <f aca="false">IFERROR(F1604/D1604,0)</f>
        <v>6.22272727272727</v>
      </c>
    </row>
    <row r="1605" customFormat="false" ht="15" hidden="false" customHeight="false" outlineLevel="0" collapsed="false">
      <c r="A1605" s="28" t="n">
        <v>2021</v>
      </c>
      <c r="B1605" s="28" t="s">
        <v>111</v>
      </c>
      <c r="C1605" s="28" t="s">
        <v>45</v>
      </c>
      <c r="D1605" s="28" t="n">
        <v>52</v>
      </c>
      <c r="E1605" s="29" t="n">
        <v>38974800</v>
      </c>
      <c r="F1605" s="30" t="n">
        <v>305.55</v>
      </c>
      <c r="G1605" s="31" t="n">
        <f aca="false">IFERROR(F1605/D1605,0)</f>
        <v>5.87596153846154</v>
      </c>
    </row>
    <row r="1606" customFormat="false" ht="15" hidden="false" customHeight="false" outlineLevel="0" collapsed="false">
      <c r="A1606" s="28" t="n">
        <v>2021</v>
      </c>
      <c r="B1606" s="28" t="s">
        <v>111</v>
      </c>
      <c r="C1606" s="28" t="s">
        <v>56</v>
      </c>
      <c r="D1606" s="28" t="n">
        <v>13</v>
      </c>
      <c r="E1606" s="29" t="n">
        <v>9686900</v>
      </c>
      <c r="F1606" s="30" t="n">
        <v>76.8</v>
      </c>
      <c r="G1606" s="31" t="n">
        <f aca="false">IFERROR(F1606/D1606,0)</f>
        <v>5.90769230769231</v>
      </c>
    </row>
    <row r="1607" customFormat="false" ht="15" hidden="false" customHeight="false" outlineLevel="0" collapsed="false">
      <c r="A1607" s="28" t="n">
        <v>2021</v>
      </c>
      <c r="B1607" s="28" t="s">
        <v>111</v>
      </c>
      <c r="C1607" s="28" t="s">
        <v>54</v>
      </c>
      <c r="D1607" s="28" t="n">
        <v>16</v>
      </c>
      <c r="E1607" s="29" t="n">
        <v>6936000</v>
      </c>
      <c r="F1607" s="30" t="n">
        <v>92.45</v>
      </c>
      <c r="G1607" s="31" t="n">
        <f aca="false">IFERROR(F1607/D1607,0)</f>
        <v>5.778125</v>
      </c>
    </row>
    <row r="1608" customFormat="false" ht="15" hidden="false" customHeight="false" outlineLevel="0" collapsed="false">
      <c r="A1608" s="28" t="n">
        <v>2021</v>
      </c>
      <c r="B1608" s="28" t="s">
        <v>111</v>
      </c>
      <c r="C1608" s="28" t="s">
        <v>44</v>
      </c>
      <c r="D1608" s="28" t="n">
        <v>48</v>
      </c>
      <c r="E1608" s="29" t="n">
        <v>44488400</v>
      </c>
      <c r="F1608" s="30" t="n">
        <v>257.95</v>
      </c>
      <c r="G1608" s="31" t="n">
        <f aca="false">IFERROR(F1608/D1608,0)</f>
        <v>5.37395833333333</v>
      </c>
    </row>
    <row r="1609" customFormat="false" ht="15" hidden="false" customHeight="false" outlineLevel="0" collapsed="false">
      <c r="A1609" s="28" t="n">
        <v>2021</v>
      </c>
      <c r="B1609" s="28" t="s">
        <v>111</v>
      </c>
      <c r="C1609" s="28" t="s">
        <v>57</v>
      </c>
      <c r="D1609" s="28" t="n">
        <v>2</v>
      </c>
      <c r="E1609" s="29" t="n">
        <v>2085000</v>
      </c>
      <c r="F1609" s="30" t="n">
        <v>15.6</v>
      </c>
      <c r="G1609" s="31" t="n">
        <f aca="false">IFERROR(F1609/D1609,0)</f>
        <v>7.8</v>
      </c>
    </row>
    <row r="1610" customFormat="false" ht="15" hidden="false" customHeight="false" outlineLevel="0" collapsed="false">
      <c r="A1610" s="28" t="n">
        <v>2021</v>
      </c>
      <c r="B1610" s="28" t="s">
        <v>111</v>
      </c>
      <c r="C1610" s="28" t="s">
        <v>47</v>
      </c>
      <c r="D1610" s="28" t="n">
        <v>34</v>
      </c>
      <c r="E1610" s="29" t="n">
        <v>31547500</v>
      </c>
      <c r="F1610" s="30" t="n">
        <v>192.65</v>
      </c>
      <c r="G1610" s="31" t="n">
        <f aca="false">IFERROR(F1610/D1610,0)</f>
        <v>5.66617647058824</v>
      </c>
    </row>
    <row r="1611" customFormat="false" ht="15" hidden="false" customHeight="false" outlineLevel="0" collapsed="false">
      <c r="A1611" s="28" t="n">
        <v>2021</v>
      </c>
      <c r="B1611" s="28" t="s">
        <v>111</v>
      </c>
      <c r="C1611" s="28" t="s">
        <v>46</v>
      </c>
      <c r="D1611" s="28" t="n">
        <v>40</v>
      </c>
      <c r="E1611" s="29" t="n">
        <v>30302800</v>
      </c>
      <c r="F1611" s="30" t="n">
        <v>236.45</v>
      </c>
      <c r="G1611" s="31" t="n">
        <f aca="false">IFERROR(F1611/D1611,0)</f>
        <v>5.91125</v>
      </c>
    </row>
    <row r="1612" customFormat="false" ht="15" hidden="false" customHeight="false" outlineLevel="0" collapsed="false">
      <c r="A1612" s="28" t="n">
        <v>2021</v>
      </c>
      <c r="B1612" s="28" t="s">
        <v>111</v>
      </c>
      <c r="C1612" s="28" t="s">
        <v>48</v>
      </c>
      <c r="D1612" s="28" t="n">
        <v>22</v>
      </c>
      <c r="E1612" s="29" t="n">
        <v>18715800</v>
      </c>
      <c r="F1612" s="30" t="n">
        <v>125.1</v>
      </c>
      <c r="G1612" s="31" t="n">
        <f aca="false">IFERROR(F1612/D1612,0)</f>
        <v>5.68636363636364</v>
      </c>
    </row>
    <row r="1613" customFormat="false" ht="15" hidden="false" customHeight="false" outlineLevel="0" collapsed="false">
      <c r="A1613" s="28" t="n">
        <v>2021</v>
      </c>
      <c r="B1613" s="28" t="s">
        <v>111</v>
      </c>
      <c r="C1613" s="28" t="s">
        <v>61</v>
      </c>
      <c r="D1613" s="28" t="n">
        <v>1</v>
      </c>
      <c r="E1613" s="29" t="n">
        <v>124000</v>
      </c>
      <c r="F1613" s="30" t="n">
        <v>6</v>
      </c>
      <c r="G1613" s="31" t="n">
        <f aca="false">IFERROR(F1613/D1613,0)</f>
        <v>6</v>
      </c>
    </row>
    <row r="1614" customFormat="false" ht="15" hidden="false" customHeight="false" outlineLevel="0" collapsed="false">
      <c r="A1614" s="28" t="n">
        <v>2021</v>
      </c>
      <c r="B1614" s="28" t="s">
        <v>111</v>
      </c>
      <c r="C1614" s="28" t="s">
        <v>53</v>
      </c>
      <c r="D1614" s="28" t="n">
        <v>16</v>
      </c>
      <c r="E1614" s="29" t="n">
        <v>23799800</v>
      </c>
      <c r="F1614" s="30" t="n">
        <v>81.55</v>
      </c>
      <c r="G1614" s="31" t="n">
        <f aca="false">IFERROR(F1614/D1614,0)</f>
        <v>5.096875</v>
      </c>
    </row>
    <row r="1615" customFormat="false" ht="15" hidden="false" customHeight="false" outlineLevel="0" collapsed="false">
      <c r="A1615" s="28" t="n">
        <v>2021</v>
      </c>
      <c r="B1615" s="28" t="s">
        <v>111</v>
      </c>
      <c r="C1615" s="28" t="s">
        <v>43</v>
      </c>
      <c r="D1615" s="28" t="n">
        <v>61</v>
      </c>
      <c r="E1615" s="29" t="n">
        <v>54558600</v>
      </c>
      <c r="F1615" s="30" t="n">
        <v>337.521</v>
      </c>
      <c r="G1615" s="31" t="n">
        <f aca="false">IFERROR(F1615/D1615,0)</f>
        <v>5.53313114754098</v>
      </c>
    </row>
    <row r="1616" customFormat="false" ht="15" hidden="false" customHeight="false" outlineLevel="0" collapsed="false">
      <c r="A1616" s="28" t="n">
        <v>2021</v>
      </c>
      <c r="B1616" s="28" t="s">
        <v>111</v>
      </c>
      <c r="C1616" s="28" t="s">
        <v>52</v>
      </c>
      <c r="D1616" s="28" t="n">
        <v>21</v>
      </c>
      <c r="E1616" s="29" t="n">
        <v>14462900</v>
      </c>
      <c r="F1616" s="30" t="n">
        <v>148.62</v>
      </c>
      <c r="G1616" s="31" t="n">
        <f aca="false">IFERROR(F1616/D1616,0)</f>
        <v>7.07714285714286</v>
      </c>
    </row>
    <row r="1617" customFormat="false" ht="15" hidden="false" customHeight="false" outlineLevel="0" collapsed="false">
      <c r="A1617" s="28" t="n">
        <v>2021</v>
      </c>
      <c r="B1617" s="28" t="s">
        <v>111</v>
      </c>
      <c r="C1617" s="28" t="s">
        <v>60</v>
      </c>
      <c r="D1617" s="28" t="n">
        <v>1</v>
      </c>
      <c r="E1617" s="29" t="n">
        <v>200000</v>
      </c>
      <c r="F1617" s="30" t="n">
        <v>6</v>
      </c>
      <c r="G1617" s="31" t="n">
        <f aca="false">IFERROR(F1617/D1617,0)</f>
        <v>6</v>
      </c>
    </row>
    <row r="1618" customFormat="false" ht="15" hidden="false" customHeight="false" outlineLevel="0" collapsed="false">
      <c r="A1618" s="28" t="n">
        <v>2021</v>
      </c>
      <c r="B1618" s="28" t="s">
        <v>111</v>
      </c>
      <c r="C1618" s="28" t="s">
        <v>49</v>
      </c>
      <c r="D1618" s="28" t="n">
        <v>20</v>
      </c>
      <c r="E1618" s="29" t="n">
        <v>36334700</v>
      </c>
      <c r="F1618" s="30" t="n">
        <v>93.83</v>
      </c>
      <c r="G1618" s="31" t="n">
        <f aca="false">IFERROR(F1618/D1618,0)</f>
        <v>4.6915</v>
      </c>
    </row>
    <row r="1619" customFormat="false" ht="15" hidden="false" customHeight="false" outlineLevel="0" collapsed="false">
      <c r="A1619" s="28" t="n">
        <v>2021</v>
      </c>
      <c r="B1619" s="28" t="s">
        <v>122</v>
      </c>
      <c r="C1619" s="28" t="s">
        <v>42</v>
      </c>
      <c r="D1619" s="28" t="n">
        <v>22</v>
      </c>
      <c r="E1619" s="29" t="n">
        <v>16537300</v>
      </c>
      <c r="F1619" s="30" t="n">
        <v>116.725</v>
      </c>
      <c r="G1619" s="31" t="n">
        <f aca="false">IFERROR(F1619/D1619,0)</f>
        <v>5.30568181818182</v>
      </c>
    </row>
    <row r="1620" customFormat="false" ht="15" hidden="false" customHeight="false" outlineLevel="0" collapsed="false">
      <c r="A1620" s="28" t="n">
        <v>2021</v>
      </c>
      <c r="B1620" s="28" t="s">
        <v>122</v>
      </c>
      <c r="C1620" s="28" t="s">
        <v>50</v>
      </c>
      <c r="D1620" s="28" t="n">
        <v>3</v>
      </c>
      <c r="E1620" s="29" t="n">
        <v>118000</v>
      </c>
      <c r="F1620" s="30" t="n">
        <v>16.06</v>
      </c>
      <c r="G1620" s="31" t="n">
        <f aca="false">IFERROR(F1620/D1620,0)</f>
        <v>5.35333333333333</v>
      </c>
    </row>
    <row r="1621" customFormat="false" ht="15" hidden="false" customHeight="false" outlineLevel="0" collapsed="false">
      <c r="A1621" s="28" t="n">
        <v>2021</v>
      </c>
      <c r="B1621" s="28" t="s">
        <v>122</v>
      </c>
      <c r="C1621" s="28" t="s">
        <v>55</v>
      </c>
      <c r="D1621" s="28" t="n">
        <v>10</v>
      </c>
      <c r="E1621" s="29" t="n">
        <v>2294500</v>
      </c>
      <c r="F1621" s="30" t="n">
        <v>50.13</v>
      </c>
      <c r="G1621" s="31" t="n">
        <f aca="false">IFERROR(F1621/D1621,0)</f>
        <v>5.013</v>
      </c>
    </row>
    <row r="1622" customFormat="false" ht="15" hidden="false" customHeight="false" outlineLevel="0" collapsed="false">
      <c r="A1622" s="28" t="n">
        <v>2021</v>
      </c>
      <c r="B1622" s="28" t="s">
        <v>122</v>
      </c>
      <c r="C1622" s="28" t="s">
        <v>51</v>
      </c>
      <c r="D1622" s="28" t="n">
        <v>2</v>
      </c>
      <c r="E1622" s="29" t="n">
        <v>859300</v>
      </c>
      <c r="F1622" s="30" t="n">
        <v>10.25</v>
      </c>
      <c r="G1622" s="31" t="n">
        <f aca="false">IFERROR(F1622/D1622,0)</f>
        <v>5.125</v>
      </c>
    </row>
    <row r="1623" customFormat="false" ht="15" hidden="false" customHeight="false" outlineLevel="0" collapsed="false">
      <c r="A1623" s="28" t="n">
        <v>2021</v>
      </c>
      <c r="B1623" s="28" t="s">
        <v>122</v>
      </c>
      <c r="C1623" s="28" t="s">
        <v>45</v>
      </c>
      <c r="D1623" s="28" t="n">
        <v>21</v>
      </c>
      <c r="E1623" s="29" t="n">
        <v>10711400</v>
      </c>
      <c r="F1623" s="30" t="n">
        <v>112.65</v>
      </c>
      <c r="G1623" s="31" t="n">
        <f aca="false">IFERROR(F1623/D1623,0)</f>
        <v>5.36428571428572</v>
      </c>
    </row>
    <row r="1624" customFormat="false" ht="15" hidden="false" customHeight="false" outlineLevel="0" collapsed="false">
      <c r="A1624" s="28" t="n">
        <v>2021</v>
      </c>
      <c r="B1624" s="28" t="s">
        <v>122</v>
      </c>
      <c r="C1624" s="28" t="s">
        <v>54</v>
      </c>
      <c r="D1624" s="28" t="n">
        <v>3</v>
      </c>
      <c r="E1624" s="29" t="n">
        <v>1996000</v>
      </c>
      <c r="F1624" s="30" t="n">
        <v>15.8</v>
      </c>
      <c r="G1624" s="31" t="n">
        <f aca="false">IFERROR(F1624/D1624,0)</f>
        <v>5.26666666666667</v>
      </c>
    </row>
    <row r="1625" customFormat="false" ht="15" hidden="false" customHeight="false" outlineLevel="0" collapsed="false">
      <c r="A1625" s="28" t="n">
        <v>2021</v>
      </c>
      <c r="B1625" s="28" t="s">
        <v>122</v>
      </c>
      <c r="C1625" s="28" t="s">
        <v>44</v>
      </c>
      <c r="D1625" s="28" t="n">
        <v>12</v>
      </c>
      <c r="E1625" s="29" t="n">
        <v>5109300</v>
      </c>
      <c r="F1625" s="30" t="n">
        <v>63.9</v>
      </c>
      <c r="G1625" s="31" t="n">
        <f aca="false">IFERROR(F1625/D1625,0)</f>
        <v>5.325</v>
      </c>
    </row>
    <row r="1626" customFormat="false" ht="15" hidden="false" customHeight="false" outlineLevel="0" collapsed="false">
      <c r="A1626" s="28" t="n">
        <v>2021</v>
      </c>
      <c r="B1626" s="28" t="s">
        <v>122</v>
      </c>
      <c r="C1626" s="28" t="s">
        <v>57</v>
      </c>
      <c r="D1626" s="28" t="n">
        <v>3</v>
      </c>
      <c r="E1626" s="29" t="n">
        <v>461000</v>
      </c>
      <c r="F1626" s="30" t="n">
        <v>16.3</v>
      </c>
      <c r="G1626" s="31" t="n">
        <f aca="false">IFERROR(F1626/D1626,0)</f>
        <v>5.43333333333333</v>
      </c>
    </row>
    <row r="1627" customFormat="false" ht="15" hidden="false" customHeight="false" outlineLevel="0" collapsed="false">
      <c r="A1627" s="28" t="n">
        <v>2021</v>
      </c>
      <c r="B1627" s="28" t="s">
        <v>122</v>
      </c>
      <c r="C1627" s="28" t="s">
        <v>47</v>
      </c>
      <c r="D1627" s="28" t="n">
        <v>8</v>
      </c>
      <c r="E1627" s="29" t="n">
        <v>2147400</v>
      </c>
      <c r="F1627" s="30" t="n">
        <v>38.81</v>
      </c>
      <c r="G1627" s="31" t="n">
        <f aca="false">IFERROR(F1627/D1627,0)</f>
        <v>4.85125</v>
      </c>
    </row>
    <row r="1628" customFormat="false" ht="15" hidden="false" customHeight="false" outlineLevel="0" collapsed="false">
      <c r="A1628" s="28" t="n">
        <v>2021</v>
      </c>
      <c r="B1628" s="28" t="s">
        <v>122</v>
      </c>
      <c r="C1628" s="28" t="s">
        <v>58</v>
      </c>
      <c r="D1628" s="28" t="n">
        <v>1</v>
      </c>
      <c r="E1628" s="29" t="n">
        <v>4725000</v>
      </c>
      <c r="F1628" s="30" t="n">
        <v>1.5</v>
      </c>
      <c r="G1628" s="31" t="n">
        <f aca="false">IFERROR(F1628/D1628,0)</f>
        <v>1.5</v>
      </c>
    </row>
    <row r="1629" customFormat="false" ht="15" hidden="false" customHeight="false" outlineLevel="0" collapsed="false">
      <c r="A1629" s="28" t="n">
        <v>2021</v>
      </c>
      <c r="B1629" s="28" t="s">
        <v>122</v>
      </c>
      <c r="C1629" s="28" t="s">
        <v>46</v>
      </c>
      <c r="D1629" s="28" t="n">
        <v>18</v>
      </c>
      <c r="E1629" s="29" t="n">
        <v>2970800</v>
      </c>
      <c r="F1629" s="30" t="n">
        <v>101.77</v>
      </c>
      <c r="G1629" s="31" t="n">
        <f aca="false">IFERROR(F1629/D1629,0)</f>
        <v>5.65388888888889</v>
      </c>
    </row>
    <row r="1630" customFormat="false" ht="15" hidden="false" customHeight="false" outlineLevel="0" collapsed="false">
      <c r="A1630" s="28" t="n">
        <v>2021</v>
      </c>
      <c r="B1630" s="28" t="s">
        <v>122</v>
      </c>
      <c r="C1630" s="28" t="s">
        <v>48</v>
      </c>
      <c r="D1630" s="28" t="n">
        <v>5</v>
      </c>
      <c r="E1630" s="29" t="n">
        <v>3123600</v>
      </c>
      <c r="F1630" s="30" t="n">
        <v>26.21</v>
      </c>
      <c r="G1630" s="31" t="n">
        <f aca="false">IFERROR(F1630/D1630,0)</f>
        <v>5.242</v>
      </c>
    </row>
    <row r="1631" customFormat="false" ht="15" hidden="false" customHeight="false" outlineLevel="0" collapsed="false">
      <c r="A1631" s="28" t="n">
        <v>2021</v>
      </c>
      <c r="B1631" s="28" t="s">
        <v>122</v>
      </c>
      <c r="C1631" s="28" t="s">
        <v>53</v>
      </c>
      <c r="D1631" s="28" t="n">
        <v>3</v>
      </c>
      <c r="E1631" s="29" t="n">
        <v>1312000</v>
      </c>
      <c r="F1631" s="30" t="n">
        <v>15.04</v>
      </c>
      <c r="G1631" s="31" t="n">
        <f aca="false">IFERROR(F1631/D1631,0)</f>
        <v>5.01333333333333</v>
      </c>
    </row>
    <row r="1632" customFormat="false" ht="15" hidden="false" customHeight="false" outlineLevel="0" collapsed="false">
      <c r="A1632" s="28" t="n">
        <v>2021</v>
      </c>
      <c r="B1632" s="28" t="s">
        <v>122</v>
      </c>
      <c r="C1632" s="28" t="s">
        <v>43</v>
      </c>
      <c r="D1632" s="28" t="n">
        <v>20</v>
      </c>
      <c r="E1632" s="29" t="n">
        <v>14255800</v>
      </c>
      <c r="F1632" s="30" t="n">
        <v>98.72</v>
      </c>
      <c r="G1632" s="31" t="n">
        <f aca="false">IFERROR(F1632/D1632,0)</f>
        <v>4.936</v>
      </c>
    </row>
    <row r="1633" customFormat="false" ht="15" hidden="false" customHeight="false" outlineLevel="0" collapsed="false">
      <c r="A1633" s="28" t="n">
        <v>2021</v>
      </c>
      <c r="B1633" s="28" t="s">
        <v>122</v>
      </c>
      <c r="C1633" s="28" t="s">
        <v>52</v>
      </c>
      <c r="D1633" s="28" t="n">
        <v>11</v>
      </c>
      <c r="E1633" s="29" t="n">
        <v>1792300</v>
      </c>
      <c r="F1633" s="30" t="n">
        <v>64.19</v>
      </c>
      <c r="G1633" s="31" t="n">
        <f aca="false">IFERROR(F1633/D1633,0)</f>
        <v>5.83545454545455</v>
      </c>
    </row>
    <row r="1634" customFormat="false" ht="15" hidden="false" customHeight="false" outlineLevel="0" collapsed="false">
      <c r="A1634" s="28" t="n">
        <v>2021</v>
      </c>
      <c r="B1634" s="28" t="s">
        <v>122</v>
      </c>
      <c r="C1634" s="28" t="s">
        <v>49</v>
      </c>
      <c r="D1634" s="28" t="n">
        <v>4</v>
      </c>
      <c r="E1634" s="29" t="n">
        <v>3150000</v>
      </c>
      <c r="F1634" s="30" t="n">
        <v>21.5</v>
      </c>
      <c r="G1634" s="31" t="n">
        <f aca="false">IFERROR(F1634/D1634,0)</f>
        <v>5.375</v>
      </c>
    </row>
    <row r="1635" customFormat="false" ht="15" hidden="false" customHeight="false" outlineLevel="0" collapsed="false">
      <c r="A1635" s="28" t="n">
        <v>2021</v>
      </c>
      <c r="B1635" s="28" t="s">
        <v>110</v>
      </c>
      <c r="C1635" s="28" t="s">
        <v>42</v>
      </c>
      <c r="D1635" s="28" t="n">
        <v>87</v>
      </c>
      <c r="E1635" s="29" t="n">
        <v>87532200</v>
      </c>
      <c r="F1635" s="30" t="n">
        <v>481.465</v>
      </c>
      <c r="G1635" s="31" t="n">
        <f aca="false">IFERROR(F1635/D1635,0)</f>
        <v>5.53408045977012</v>
      </c>
    </row>
    <row r="1636" customFormat="false" ht="15" hidden="false" customHeight="false" outlineLevel="0" collapsed="false">
      <c r="A1636" s="28" t="n">
        <v>2021</v>
      </c>
      <c r="B1636" s="28" t="s">
        <v>110</v>
      </c>
      <c r="C1636" s="28" t="s">
        <v>50</v>
      </c>
      <c r="D1636" s="28" t="n">
        <v>28</v>
      </c>
      <c r="E1636" s="29" t="n">
        <v>13947600</v>
      </c>
      <c r="F1636" s="30" t="n">
        <v>167.73</v>
      </c>
      <c r="G1636" s="31" t="n">
        <f aca="false">IFERROR(F1636/D1636,0)</f>
        <v>5.99035714285714</v>
      </c>
    </row>
    <row r="1637" customFormat="false" ht="15" hidden="false" customHeight="false" outlineLevel="0" collapsed="false">
      <c r="A1637" s="28" t="n">
        <v>2021</v>
      </c>
      <c r="B1637" s="28" t="s">
        <v>110</v>
      </c>
      <c r="C1637" s="28" t="s">
        <v>55</v>
      </c>
      <c r="D1637" s="28" t="n">
        <v>12</v>
      </c>
      <c r="E1637" s="29" t="n">
        <v>16331500</v>
      </c>
      <c r="F1637" s="30" t="n">
        <v>58.95</v>
      </c>
      <c r="G1637" s="31" t="n">
        <f aca="false">IFERROR(F1637/D1637,0)</f>
        <v>4.9125</v>
      </c>
    </row>
    <row r="1638" customFormat="false" ht="15" hidden="false" customHeight="false" outlineLevel="0" collapsed="false">
      <c r="A1638" s="28" t="n">
        <v>2021</v>
      </c>
      <c r="B1638" s="28" t="s">
        <v>110</v>
      </c>
      <c r="C1638" s="28" t="s">
        <v>51</v>
      </c>
      <c r="D1638" s="28" t="n">
        <v>23</v>
      </c>
      <c r="E1638" s="29" t="n">
        <v>18006500</v>
      </c>
      <c r="F1638" s="30" t="n">
        <v>135</v>
      </c>
      <c r="G1638" s="31" t="n">
        <f aca="false">IFERROR(F1638/D1638,0)</f>
        <v>5.86956521739131</v>
      </c>
    </row>
    <row r="1639" customFormat="false" ht="15" hidden="false" customHeight="false" outlineLevel="0" collapsed="false">
      <c r="A1639" s="28" t="n">
        <v>2021</v>
      </c>
      <c r="B1639" s="28" t="s">
        <v>110</v>
      </c>
      <c r="C1639" s="28" t="s">
        <v>45</v>
      </c>
      <c r="D1639" s="28" t="n">
        <v>48</v>
      </c>
      <c r="E1639" s="29" t="n">
        <v>27920600</v>
      </c>
      <c r="F1639" s="30" t="n">
        <v>290.97</v>
      </c>
      <c r="G1639" s="31" t="n">
        <f aca="false">IFERROR(F1639/D1639,0)</f>
        <v>6.061875</v>
      </c>
    </row>
    <row r="1640" customFormat="false" ht="15" hidden="false" customHeight="false" outlineLevel="0" collapsed="false">
      <c r="A1640" s="28" t="n">
        <v>2021</v>
      </c>
      <c r="B1640" s="28" t="s">
        <v>110</v>
      </c>
      <c r="C1640" s="28" t="s">
        <v>56</v>
      </c>
      <c r="D1640" s="28" t="n">
        <v>9</v>
      </c>
      <c r="E1640" s="29" t="n">
        <v>9691300</v>
      </c>
      <c r="F1640" s="30" t="n">
        <v>53.25</v>
      </c>
      <c r="G1640" s="31" t="n">
        <f aca="false">IFERROR(F1640/D1640,0)</f>
        <v>5.91666666666667</v>
      </c>
    </row>
    <row r="1641" customFormat="false" ht="15" hidden="false" customHeight="false" outlineLevel="0" collapsed="false">
      <c r="A1641" s="28" t="n">
        <v>2021</v>
      </c>
      <c r="B1641" s="28" t="s">
        <v>110</v>
      </c>
      <c r="C1641" s="28" t="s">
        <v>54</v>
      </c>
      <c r="D1641" s="28" t="n">
        <v>9</v>
      </c>
      <c r="E1641" s="29" t="n">
        <v>6945400</v>
      </c>
      <c r="F1641" s="30" t="n">
        <v>48.66</v>
      </c>
      <c r="G1641" s="31" t="n">
        <f aca="false">IFERROR(F1641/D1641,0)</f>
        <v>5.40666666666667</v>
      </c>
    </row>
    <row r="1642" customFormat="false" ht="15" hidden="false" customHeight="false" outlineLevel="0" collapsed="false">
      <c r="A1642" s="28" t="n">
        <v>2021</v>
      </c>
      <c r="B1642" s="28" t="s">
        <v>110</v>
      </c>
      <c r="C1642" s="28" t="s">
        <v>44</v>
      </c>
      <c r="D1642" s="28" t="n">
        <v>51</v>
      </c>
      <c r="E1642" s="29" t="n">
        <v>64526000</v>
      </c>
      <c r="F1642" s="30" t="n">
        <v>267.675</v>
      </c>
      <c r="G1642" s="31" t="n">
        <f aca="false">IFERROR(F1642/D1642,0)</f>
        <v>5.24852941176471</v>
      </c>
    </row>
    <row r="1643" customFormat="false" ht="15" hidden="false" customHeight="false" outlineLevel="0" collapsed="false">
      <c r="A1643" s="28" t="n">
        <v>2021</v>
      </c>
      <c r="B1643" s="28" t="s">
        <v>110</v>
      </c>
      <c r="C1643" s="28" t="s">
        <v>57</v>
      </c>
      <c r="D1643" s="28" t="n">
        <v>10</v>
      </c>
      <c r="E1643" s="29" t="n">
        <v>9662800</v>
      </c>
      <c r="F1643" s="30" t="n">
        <v>59.5</v>
      </c>
      <c r="G1643" s="31" t="n">
        <f aca="false">IFERROR(F1643/D1643,0)</f>
        <v>5.95</v>
      </c>
    </row>
    <row r="1644" customFormat="false" ht="15" hidden="false" customHeight="false" outlineLevel="0" collapsed="false">
      <c r="A1644" s="28" t="n">
        <v>2021</v>
      </c>
      <c r="B1644" s="28" t="s">
        <v>110</v>
      </c>
      <c r="C1644" s="28" t="s">
        <v>47</v>
      </c>
      <c r="D1644" s="28" t="n">
        <v>35</v>
      </c>
      <c r="E1644" s="29" t="n">
        <v>46037500</v>
      </c>
      <c r="F1644" s="30" t="n">
        <v>185.23</v>
      </c>
      <c r="G1644" s="31" t="n">
        <f aca="false">IFERROR(F1644/D1644,0)</f>
        <v>5.29228571428571</v>
      </c>
    </row>
    <row r="1645" customFormat="false" ht="15" hidden="false" customHeight="false" outlineLevel="0" collapsed="false">
      <c r="A1645" s="28" t="n">
        <v>2021</v>
      </c>
      <c r="B1645" s="28" t="s">
        <v>110</v>
      </c>
      <c r="C1645" s="28" t="s">
        <v>46</v>
      </c>
      <c r="D1645" s="28" t="n">
        <v>48</v>
      </c>
      <c r="E1645" s="29" t="n">
        <v>30504200</v>
      </c>
      <c r="F1645" s="30" t="n">
        <v>269.65</v>
      </c>
      <c r="G1645" s="31" t="n">
        <f aca="false">IFERROR(F1645/D1645,0)</f>
        <v>5.61770833333333</v>
      </c>
    </row>
    <row r="1646" customFormat="false" ht="15" hidden="false" customHeight="false" outlineLevel="0" collapsed="false">
      <c r="A1646" s="28" t="n">
        <v>2021</v>
      </c>
      <c r="B1646" s="28" t="s">
        <v>110</v>
      </c>
      <c r="C1646" s="28" t="s">
        <v>48</v>
      </c>
      <c r="D1646" s="28" t="n">
        <v>33</v>
      </c>
      <c r="E1646" s="29" t="n">
        <v>22456700</v>
      </c>
      <c r="F1646" s="30" t="n">
        <v>177.09</v>
      </c>
      <c r="G1646" s="31" t="n">
        <f aca="false">IFERROR(F1646/D1646,0)</f>
        <v>5.36636363636364</v>
      </c>
    </row>
    <row r="1647" customFormat="false" ht="15" hidden="false" customHeight="false" outlineLevel="0" collapsed="false">
      <c r="A1647" s="28" t="n">
        <v>2021</v>
      </c>
      <c r="B1647" s="28" t="s">
        <v>110</v>
      </c>
      <c r="C1647" s="28" t="s">
        <v>53</v>
      </c>
      <c r="D1647" s="28" t="n">
        <v>16</v>
      </c>
      <c r="E1647" s="29" t="n">
        <v>14084600</v>
      </c>
      <c r="F1647" s="30" t="n">
        <v>85.3</v>
      </c>
      <c r="G1647" s="31" t="n">
        <f aca="false">IFERROR(F1647/D1647,0)</f>
        <v>5.33125</v>
      </c>
    </row>
    <row r="1648" customFormat="false" ht="15" hidden="false" customHeight="false" outlineLevel="0" collapsed="false">
      <c r="A1648" s="28" t="n">
        <v>2021</v>
      </c>
      <c r="B1648" s="28" t="s">
        <v>110</v>
      </c>
      <c r="C1648" s="28" t="s">
        <v>43</v>
      </c>
      <c r="D1648" s="28" t="n">
        <v>65</v>
      </c>
      <c r="E1648" s="29" t="n">
        <v>62399600</v>
      </c>
      <c r="F1648" s="30" t="n">
        <v>344.885</v>
      </c>
      <c r="G1648" s="31" t="n">
        <f aca="false">IFERROR(F1648/D1648,0)</f>
        <v>5.30592307692308</v>
      </c>
    </row>
    <row r="1649" customFormat="false" ht="15" hidden="false" customHeight="false" outlineLevel="0" collapsed="false">
      <c r="A1649" s="28" t="n">
        <v>2021</v>
      </c>
      <c r="B1649" s="28" t="s">
        <v>110</v>
      </c>
      <c r="C1649" s="28" t="s">
        <v>52</v>
      </c>
      <c r="D1649" s="28" t="n">
        <v>22</v>
      </c>
      <c r="E1649" s="29" t="n">
        <v>14627100</v>
      </c>
      <c r="F1649" s="30" t="n">
        <v>130.845</v>
      </c>
      <c r="G1649" s="31" t="n">
        <f aca="false">IFERROR(F1649/D1649,0)</f>
        <v>5.9475</v>
      </c>
    </row>
    <row r="1650" customFormat="false" ht="15" hidden="false" customHeight="false" outlineLevel="0" collapsed="false">
      <c r="A1650" s="28" t="n">
        <v>2021</v>
      </c>
      <c r="B1650" s="28" t="s">
        <v>110</v>
      </c>
      <c r="C1650" s="28" t="s">
        <v>49</v>
      </c>
      <c r="D1650" s="28" t="n">
        <v>16</v>
      </c>
      <c r="E1650" s="29" t="n">
        <v>21995200</v>
      </c>
      <c r="F1650" s="30" t="n">
        <v>89.41</v>
      </c>
      <c r="G1650" s="31" t="n">
        <f aca="false">IFERROR(F1650/D1650,0)</f>
        <v>5.588125</v>
      </c>
    </row>
    <row r="1651" customFormat="false" ht="15" hidden="false" customHeight="false" outlineLevel="0" collapsed="false">
      <c r="A1651" s="28" t="n">
        <v>2021</v>
      </c>
      <c r="B1651" s="28" t="s">
        <v>77</v>
      </c>
      <c r="C1651" s="28" t="s">
        <v>42</v>
      </c>
      <c r="D1651" s="28" t="n">
        <v>526</v>
      </c>
      <c r="E1651" s="29" t="n">
        <v>759897200</v>
      </c>
      <c r="F1651" s="30" t="n">
        <v>2774.578</v>
      </c>
      <c r="G1651" s="31" t="n">
        <f aca="false">IFERROR(F1651/D1651,0)</f>
        <v>5.27486311787072</v>
      </c>
    </row>
    <row r="1652" customFormat="false" ht="15" hidden="false" customHeight="false" outlineLevel="0" collapsed="false">
      <c r="A1652" s="28" t="n">
        <v>2021</v>
      </c>
      <c r="B1652" s="28" t="s">
        <v>77</v>
      </c>
      <c r="C1652" s="28" t="s">
        <v>50</v>
      </c>
      <c r="D1652" s="28" t="n">
        <v>175</v>
      </c>
      <c r="E1652" s="29" t="n">
        <v>77456400</v>
      </c>
      <c r="F1652" s="30" t="n">
        <v>1022.18</v>
      </c>
      <c r="G1652" s="31" t="n">
        <f aca="false">IFERROR(F1652/D1652,0)</f>
        <v>5.84102857142857</v>
      </c>
    </row>
    <row r="1653" customFormat="false" ht="15" hidden="false" customHeight="false" outlineLevel="0" collapsed="false">
      <c r="A1653" s="28" t="n">
        <v>2021</v>
      </c>
      <c r="B1653" s="28" t="s">
        <v>77</v>
      </c>
      <c r="C1653" s="28" t="s">
        <v>55</v>
      </c>
      <c r="D1653" s="28" t="n">
        <v>23</v>
      </c>
      <c r="E1653" s="29" t="n">
        <v>29513900</v>
      </c>
      <c r="F1653" s="30" t="n">
        <v>125.63</v>
      </c>
      <c r="G1653" s="31" t="n">
        <f aca="false">IFERROR(F1653/D1653,0)</f>
        <v>5.46217391304348</v>
      </c>
    </row>
    <row r="1654" customFormat="false" ht="15" hidden="false" customHeight="false" outlineLevel="0" collapsed="false">
      <c r="A1654" s="28" t="n">
        <v>2021</v>
      </c>
      <c r="B1654" s="28" t="s">
        <v>77</v>
      </c>
      <c r="C1654" s="28" t="s">
        <v>51</v>
      </c>
      <c r="D1654" s="28" t="n">
        <v>115</v>
      </c>
      <c r="E1654" s="29" t="n">
        <v>74621100</v>
      </c>
      <c r="F1654" s="30" t="n">
        <v>659.38</v>
      </c>
      <c r="G1654" s="31" t="n">
        <f aca="false">IFERROR(F1654/D1654,0)</f>
        <v>5.73373913043478</v>
      </c>
    </row>
    <row r="1655" customFormat="false" ht="15" hidden="false" customHeight="false" outlineLevel="0" collapsed="false">
      <c r="A1655" s="28" t="n">
        <v>2021</v>
      </c>
      <c r="B1655" s="28" t="s">
        <v>77</v>
      </c>
      <c r="C1655" s="28" t="s">
        <v>45</v>
      </c>
      <c r="D1655" s="28" t="n">
        <v>282</v>
      </c>
      <c r="E1655" s="29" t="n">
        <v>161274500</v>
      </c>
      <c r="F1655" s="30" t="n">
        <v>1648.03</v>
      </c>
      <c r="G1655" s="31" t="n">
        <f aca="false">IFERROR(F1655/D1655,0)</f>
        <v>5.8440780141844</v>
      </c>
    </row>
    <row r="1656" customFormat="false" ht="15" hidden="false" customHeight="false" outlineLevel="0" collapsed="false">
      <c r="A1656" s="28" t="n">
        <v>2021</v>
      </c>
      <c r="B1656" s="28" t="s">
        <v>77</v>
      </c>
      <c r="C1656" s="28" t="s">
        <v>56</v>
      </c>
      <c r="D1656" s="28" t="n">
        <v>53</v>
      </c>
      <c r="E1656" s="29" t="n">
        <v>36794800</v>
      </c>
      <c r="F1656" s="30" t="n">
        <v>282.84</v>
      </c>
      <c r="G1656" s="31" t="n">
        <f aca="false">IFERROR(F1656/D1656,0)</f>
        <v>5.33660377358491</v>
      </c>
    </row>
    <row r="1657" customFormat="false" ht="15" hidden="false" customHeight="false" outlineLevel="0" collapsed="false">
      <c r="A1657" s="28" t="n">
        <v>2021</v>
      </c>
      <c r="B1657" s="28" t="s">
        <v>77</v>
      </c>
      <c r="C1657" s="28" t="s">
        <v>54</v>
      </c>
      <c r="D1657" s="28" t="n">
        <v>111</v>
      </c>
      <c r="E1657" s="29" t="n">
        <v>94919000</v>
      </c>
      <c r="F1657" s="30" t="n">
        <v>611.23</v>
      </c>
      <c r="G1657" s="31" t="n">
        <f aca="false">IFERROR(F1657/D1657,0)</f>
        <v>5.50657657657658</v>
      </c>
    </row>
    <row r="1658" customFormat="false" ht="15" hidden="false" customHeight="false" outlineLevel="0" collapsed="false">
      <c r="A1658" s="28" t="n">
        <v>2021</v>
      </c>
      <c r="B1658" s="28" t="s">
        <v>77</v>
      </c>
      <c r="C1658" s="28" t="s">
        <v>44</v>
      </c>
      <c r="D1658" s="28" t="n">
        <v>426</v>
      </c>
      <c r="E1658" s="29" t="n">
        <v>457100200</v>
      </c>
      <c r="F1658" s="30" t="n">
        <v>2218.935</v>
      </c>
      <c r="G1658" s="31" t="n">
        <f aca="false">IFERROR(F1658/D1658,0)</f>
        <v>5.2087676056338</v>
      </c>
    </row>
    <row r="1659" customFormat="false" ht="15" hidden="false" customHeight="false" outlineLevel="0" collapsed="false">
      <c r="A1659" s="28" t="n">
        <v>2021</v>
      </c>
      <c r="B1659" s="28" t="s">
        <v>77</v>
      </c>
      <c r="C1659" s="28" t="s">
        <v>57</v>
      </c>
      <c r="D1659" s="28" t="n">
        <v>27</v>
      </c>
      <c r="E1659" s="29" t="n">
        <v>24988700</v>
      </c>
      <c r="F1659" s="30" t="n">
        <v>160.72</v>
      </c>
      <c r="G1659" s="31" t="n">
        <f aca="false">IFERROR(F1659/D1659,0)</f>
        <v>5.95259259259259</v>
      </c>
    </row>
    <row r="1660" customFormat="false" ht="15" hidden="false" customHeight="false" outlineLevel="0" collapsed="false">
      <c r="A1660" s="28" t="n">
        <v>2021</v>
      </c>
      <c r="B1660" s="28" t="s">
        <v>77</v>
      </c>
      <c r="C1660" s="28" t="s">
        <v>59</v>
      </c>
      <c r="D1660" s="28" t="n">
        <v>6</v>
      </c>
      <c r="E1660" s="29" t="n">
        <v>5392400</v>
      </c>
      <c r="F1660" s="30" t="n">
        <v>30.9</v>
      </c>
      <c r="G1660" s="31" t="n">
        <f aca="false">IFERROR(F1660/D1660,0)</f>
        <v>5.15</v>
      </c>
    </row>
    <row r="1661" customFormat="false" ht="15" hidden="false" customHeight="false" outlineLevel="0" collapsed="false">
      <c r="A1661" s="28" t="n">
        <v>2021</v>
      </c>
      <c r="B1661" s="28" t="s">
        <v>77</v>
      </c>
      <c r="C1661" s="28" t="s">
        <v>47</v>
      </c>
      <c r="D1661" s="28" t="n">
        <v>202</v>
      </c>
      <c r="E1661" s="29" t="n">
        <v>191456600</v>
      </c>
      <c r="F1661" s="30" t="n">
        <v>1109.46</v>
      </c>
      <c r="G1661" s="31" t="n">
        <f aca="false">IFERROR(F1661/D1661,0)</f>
        <v>5.49237623762376</v>
      </c>
    </row>
    <row r="1662" customFormat="false" ht="15" hidden="false" customHeight="false" outlineLevel="0" collapsed="false">
      <c r="A1662" s="28" t="n">
        <v>2021</v>
      </c>
      <c r="B1662" s="28" t="s">
        <v>77</v>
      </c>
      <c r="C1662" s="28" t="s">
        <v>58</v>
      </c>
      <c r="D1662" s="28" t="n">
        <v>24</v>
      </c>
      <c r="E1662" s="29" t="n">
        <v>31167800</v>
      </c>
      <c r="F1662" s="30" t="n">
        <v>136.95</v>
      </c>
      <c r="G1662" s="31" t="n">
        <f aca="false">IFERROR(F1662/D1662,0)</f>
        <v>5.70625</v>
      </c>
    </row>
    <row r="1663" customFormat="false" ht="15" hidden="false" customHeight="false" outlineLevel="0" collapsed="false">
      <c r="A1663" s="28" t="n">
        <v>2021</v>
      </c>
      <c r="B1663" s="28" t="s">
        <v>77</v>
      </c>
      <c r="C1663" s="28" t="s">
        <v>46</v>
      </c>
      <c r="D1663" s="28" t="n">
        <v>382</v>
      </c>
      <c r="E1663" s="29" t="n">
        <v>341020000</v>
      </c>
      <c r="F1663" s="30" t="n">
        <v>2153.71</v>
      </c>
      <c r="G1663" s="31" t="n">
        <f aca="false">IFERROR(F1663/D1663,0)</f>
        <v>5.63798429319372</v>
      </c>
    </row>
    <row r="1664" customFormat="false" ht="15" hidden="false" customHeight="false" outlineLevel="0" collapsed="false">
      <c r="A1664" s="28" t="n">
        <v>2021</v>
      </c>
      <c r="B1664" s="28" t="s">
        <v>77</v>
      </c>
      <c r="C1664" s="28" t="s">
        <v>48</v>
      </c>
      <c r="D1664" s="28" t="n">
        <v>265</v>
      </c>
      <c r="E1664" s="29" t="n">
        <v>163444000</v>
      </c>
      <c r="F1664" s="30" t="n">
        <v>1544.021</v>
      </c>
      <c r="G1664" s="31" t="n">
        <f aca="false">IFERROR(F1664/D1664,0)</f>
        <v>5.82649433962264</v>
      </c>
    </row>
    <row r="1665" customFormat="false" ht="15" hidden="false" customHeight="false" outlineLevel="0" collapsed="false">
      <c r="A1665" s="28" t="n">
        <v>2021</v>
      </c>
      <c r="B1665" s="28" t="s">
        <v>77</v>
      </c>
      <c r="C1665" s="28" t="s">
        <v>61</v>
      </c>
      <c r="D1665" s="28" t="n">
        <v>1</v>
      </c>
      <c r="E1665" s="29" t="n">
        <v>304000</v>
      </c>
      <c r="F1665" s="30" t="n">
        <v>6</v>
      </c>
      <c r="G1665" s="31" t="n">
        <f aca="false">IFERROR(F1665/D1665,0)</f>
        <v>6</v>
      </c>
    </row>
    <row r="1666" customFormat="false" ht="15" hidden="false" customHeight="false" outlineLevel="0" collapsed="false">
      <c r="A1666" s="28" t="n">
        <v>2021</v>
      </c>
      <c r="B1666" s="28" t="s">
        <v>77</v>
      </c>
      <c r="C1666" s="28" t="s">
        <v>53</v>
      </c>
      <c r="D1666" s="28" t="n">
        <v>124</v>
      </c>
      <c r="E1666" s="29" t="n">
        <v>153367300</v>
      </c>
      <c r="F1666" s="30" t="n">
        <v>623.41</v>
      </c>
      <c r="G1666" s="31" t="n">
        <f aca="false">IFERROR(F1666/D1666,0)</f>
        <v>5.0275</v>
      </c>
    </row>
    <row r="1667" customFormat="false" ht="15" hidden="false" customHeight="false" outlineLevel="0" collapsed="false">
      <c r="A1667" s="28" t="n">
        <v>2021</v>
      </c>
      <c r="B1667" s="28" t="s">
        <v>77</v>
      </c>
      <c r="C1667" s="28" t="s">
        <v>43</v>
      </c>
      <c r="D1667" s="28" t="n">
        <v>527</v>
      </c>
      <c r="E1667" s="29" t="n">
        <v>579802300</v>
      </c>
      <c r="F1667" s="30" t="n">
        <v>2829.48</v>
      </c>
      <c r="G1667" s="31" t="n">
        <f aca="false">IFERROR(F1667/D1667,0)</f>
        <v>5.36903225806452</v>
      </c>
    </row>
    <row r="1668" customFormat="false" ht="15" hidden="false" customHeight="false" outlineLevel="0" collapsed="false">
      <c r="A1668" s="28" t="n">
        <v>2021</v>
      </c>
      <c r="B1668" s="28" t="s">
        <v>77</v>
      </c>
      <c r="C1668" s="28" t="s">
        <v>52</v>
      </c>
      <c r="D1668" s="28" t="n">
        <v>156</v>
      </c>
      <c r="E1668" s="29" t="n">
        <v>94784400</v>
      </c>
      <c r="F1668" s="30" t="n">
        <v>1023.25</v>
      </c>
      <c r="G1668" s="31" t="n">
        <f aca="false">IFERROR(F1668/D1668,0)</f>
        <v>6.55929487179487</v>
      </c>
    </row>
    <row r="1669" customFormat="false" ht="15" hidden="false" customHeight="false" outlineLevel="0" collapsed="false">
      <c r="A1669" s="28" t="n">
        <v>2021</v>
      </c>
      <c r="B1669" s="28" t="s">
        <v>77</v>
      </c>
      <c r="C1669" s="28" t="s">
        <v>60</v>
      </c>
      <c r="D1669" s="28" t="n">
        <v>10</v>
      </c>
      <c r="E1669" s="29" t="n">
        <v>6289700</v>
      </c>
      <c r="F1669" s="30" t="n">
        <v>47</v>
      </c>
      <c r="G1669" s="31" t="n">
        <f aca="false">IFERROR(F1669/D1669,0)</f>
        <v>4.7</v>
      </c>
    </row>
    <row r="1670" customFormat="false" ht="15" hidden="false" customHeight="false" outlineLevel="0" collapsed="false">
      <c r="A1670" s="28" t="n">
        <v>2021</v>
      </c>
      <c r="B1670" s="28" t="s">
        <v>77</v>
      </c>
      <c r="C1670" s="28" t="s">
        <v>49</v>
      </c>
      <c r="D1670" s="28" t="n">
        <v>134</v>
      </c>
      <c r="E1670" s="29" t="n">
        <v>162855300</v>
      </c>
      <c r="F1670" s="30" t="n">
        <v>728.53</v>
      </c>
      <c r="G1670" s="31" t="n">
        <f aca="false">IFERROR(F1670/D1670,0)</f>
        <v>5.43679104477612</v>
      </c>
    </row>
    <row r="1671" customFormat="false" ht="15" hidden="false" customHeight="false" outlineLevel="0" collapsed="false">
      <c r="A1671" s="28" t="n">
        <v>2021</v>
      </c>
      <c r="B1671" s="28" t="s">
        <v>105</v>
      </c>
      <c r="C1671" s="28" t="s">
        <v>42</v>
      </c>
      <c r="D1671" s="28" t="n">
        <v>74</v>
      </c>
      <c r="E1671" s="29" t="n">
        <v>72646300</v>
      </c>
      <c r="F1671" s="30" t="n">
        <v>394.69</v>
      </c>
      <c r="G1671" s="31" t="n">
        <f aca="false">IFERROR(F1671/D1671,0)</f>
        <v>5.33364864864865</v>
      </c>
    </row>
    <row r="1672" customFormat="false" ht="15" hidden="false" customHeight="false" outlineLevel="0" collapsed="false">
      <c r="A1672" s="28" t="n">
        <v>2021</v>
      </c>
      <c r="B1672" s="28" t="s">
        <v>105</v>
      </c>
      <c r="C1672" s="28" t="s">
        <v>50</v>
      </c>
      <c r="D1672" s="28" t="n">
        <v>43</v>
      </c>
      <c r="E1672" s="29" t="n">
        <v>11825600</v>
      </c>
      <c r="F1672" s="30" t="n">
        <v>272.86</v>
      </c>
      <c r="G1672" s="31" t="n">
        <f aca="false">IFERROR(F1672/D1672,0)</f>
        <v>6.34558139534884</v>
      </c>
    </row>
    <row r="1673" customFormat="false" ht="15" hidden="false" customHeight="false" outlineLevel="0" collapsed="false">
      <c r="A1673" s="28" t="n">
        <v>2021</v>
      </c>
      <c r="B1673" s="28" t="s">
        <v>105</v>
      </c>
      <c r="C1673" s="28" t="s">
        <v>55</v>
      </c>
      <c r="D1673" s="28" t="n">
        <v>5</v>
      </c>
      <c r="E1673" s="29" t="n">
        <v>905000</v>
      </c>
      <c r="F1673" s="30" t="n">
        <v>34.75</v>
      </c>
      <c r="G1673" s="31" t="n">
        <f aca="false">IFERROR(F1673/D1673,0)</f>
        <v>6.95</v>
      </c>
    </row>
    <row r="1674" customFormat="false" ht="15" hidden="false" customHeight="false" outlineLevel="0" collapsed="false">
      <c r="A1674" s="28" t="n">
        <v>2021</v>
      </c>
      <c r="B1674" s="28" t="s">
        <v>105</v>
      </c>
      <c r="C1674" s="28" t="s">
        <v>51</v>
      </c>
      <c r="D1674" s="28" t="n">
        <v>24</v>
      </c>
      <c r="E1674" s="29" t="n">
        <v>14232400</v>
      </c>
      <c r="F1674" s="30" t="n">
        <v>135.63</v>
      </c>
      <c r="G1674" s="31" t="n">
        <f aca="false">IFERROR(F1674/D1674,0)</f>
        <v>5.65125</v>
      </c>
    </row>
    <row r="1675" customFormat="false" ht="15" hidden="false" customHeight="false" outlineLevel="0" collapsed="false">
      <c r="A1675" s="28" t="n">
        <v>2021</v>
      </c>
      <c r="B1675" s="28" t="s">
        <v>105</v>
      </c>
      <c r="C1675" s="28" t="s">
        <v>45</v>
      </c>
      <c r="D1675" s="28" t="n">
        <v>102</v>
      </c>
      <c r="E1675" s="29" t="n">
        <v>54576300</v>
      </c>
      <c r="F1675" s="30" t="n">
        <v>585.91</v>
      </c>
      <c r="G1675" s="31" t="n">
        <f aca="false">IFERROR(F1675/D1675,0)</f>
        <v>5.74421568627451</v>
      </c>
    </row>
    <row r="1676" customFormat="false" ht="15" hidden="false" customHeight="false" outlineLevel="0" collapsed="false">
      <c r="A1676" s="28" t="n">
        <v>2021</v>
      </c>
      <c r="B1676" s="28" t="s">
        <v>105</v>
      </c>
      <c r="C1676" s="28" t="s">
        <v>56</v>
      </c>
      <c r="D1676" s="28" t="n">
        <v>16</v>
      </c>
      <c r="E1676" s="29" t="n">
        <v>16949300</v>
      </c>
      <c r="F1676" s="30" t="n">
        <v>89.87</v>
      </c>
      <c r="G1676" s="31" t="n">
        <f aca="false">IFERROR(F1676/D1676,0)</f>
        <v>5.616875</v>
      </c>
    </row>
    <row r="1677" customFormat="false" ht="15" hidden="false" customHeight="false" outlineLevel="0" collapsed="false">
      <c r="A1677" s="28" t="n">
        <v>2021</v>
      </c>
      <c r="B1677" s="28" t="s">
        <v>105</v>
      </c>
      <c r="C1677" s="28" t="s">
        <v>54</v>
      </c>
      <c r="D1677" s="28" t="n">
        <v>14</v>
      </c>
      <c r="E1677" s="29" t="n">
        <v>11214700</v>
      </c>
      <c r="F1677" s="30" t="n">
        <v>79.29</v>
      </c>
      <c r="G1677" s="31" t="n">
        <f aca="false">IFERROR(F1677/D1677,0)</f>
        <v>5.66357142857143</v>
      </c>
    </row>
    <row r="1678" customFormat="false" ht="15" hidden="false" customHeight="false" outlineLevel="0" collapsed="false">
      <c r="A1678" s="28" t="n">
        <v>2021</v>
      </c>
      <c r="B1678" s="28" t="s">
        <v>105</v>
      </c>
      <c r="C1678" s="28" t="s">
        <v>44</v>
      </c>
      <c r="D1678" s="28" t="n">
        <v>83</v>
      </c>
      <c r="E1678" s="29" t="n">
        <v>74597900</v>
      </c>
      <c r="F1678" s="30" t="n">
        <v>442.61</v>
      </c>
      <c r="G1678" s="31" t="n">
        <f aca="false">IFERROR(F1678/D1678,0)</f>
        <v>5.33265060240964</v>
      </c>
    </row>
    <row r="1679" customFormat="false" ht="15" hidden="false" customHeight="false" outlineLevel="0" collapsed="false">
      <c r="A1679" s="28" t="n">
        <v>2021</v>
      </c>
      <c r="B1679" s="28" t="s">
        <v>105</v>
      </c>
      <c r="C1679" s="28" t="s">
        <v>57</v>
      </c>
      <c r="D1679" s="28" t="n">
        <v>5</v>
      </c>
      <c r="E1679" s="29" t="n">
        <v>5537900</v>
      </c>
      <c r="F1679" s="30" t="n">
        <v>28</v>
      </c>
      <c r="G1679" s="31" t="n">
        <f aca="false">IFERROR(F1679/D1679,0)</f>
        <v>5.6</v>
      </c>
    </row>
    <row r="1680" customFormat="false" ht="15" hidden="false" customHeight="false" outlineLevel="0" collapsed="false">
      <c r="A1680" s="28" t="n">
        <v>2021</v>
      </c>
      <c r="B1680" s="28" t="s">
        <v>105</v>
      </c>
      <c r="C1680" s="28" t="s">
        <v>59</v>
      </c>
      <c r="D1680" s="28" t="n">
        <v>1</v>
      </c>
      <c r="E1680" s="29" t="n">
        <v>100000</v>
      </c>
      <c r="F1680" s="30" t="n">
        <v>5</v>
      </c>
      <c r="G1680" s="31" t="n">
        <f aca="false">IFERROR(F1680/D1680,0)</f>
        <v>5</v>
      </c>
    </row>
    <row r="1681" customFormat="false" ht="15" hidden="false" customHeight="false" outlineLevel="0" collapsed="false">
      <c r="A1681" s="28" t="n">
        <v>2021</v>
      </c>
      <c r="B1681" s="28" t="s">
        <v>105</v>
      </c>
      <c r="C1681" s="28" t="s">
        <v>47</v>
      </c>
      <c r="D1681" s="28" t="n">
        <v>81</v>
      </c>
      <c r="E1681" s="29" t="n">
        <v>70814000</v>
      </c>
      <c r="F1681" s="30" t="n">
        <v>429.24</v>
      </c>
      <c r="G1681" s="31" t="n">
        <f aca="false">IFERROR(F1681/D1681,0)</f>
        <v>5.29925925925926</v>
      </c>
    </row>
    <row r="1682" customFormat="false" ht="15" hidden="false" customHeight="false" outlineLevel="0" collapsed="false">
      <c r="A1682" s="28" t="n">
        <v>2021</v>
      </c>
      <c r="B1682" s="28" t="s">
        <v>105</v>
      </c>
      <c r="C1682" s="28" t="s">
        <v>58</v>
      </c>
      <c r="D1682" s="28" t="n">
        <v>1</v>
      </c>
      <c r="E1682" s="29" t="n">
        <v>150000</v>
      </c>
      <c r="F1682" s="30" t="n">
        <v>9.25</v>
      </c>
      <c r="G1682" s="31" t="n">
        <f aca="false">IFERROR(F1682/D1682,0)</f>
        <v>9.25</v>
      </c>
    </row>
    <row r="1683" customFormat="false" ht="15" hidden="false" customHeight="false" outlineLevel="0" collapsed="false">
      <c r="A1683" s="28" t="n">
        <v>2021</v>
      </c>
      <c r="B1683" s="28" t="s">
        <v>105</v>
      </c>
      <c r="C1683" s="28" t="s">
        <v>46</v>
      </c>
      <c r="D1683" s="28" t="n">
        <v>56</v>
      </c>
      <c r="E1683" s="29" t="n">
        <v>28181100</v>
      </c>
      <c r="F1683" s="30" t="n">
        <v>324.16</v>
      </c>
      <c r="G1683" s="31" t="n">
        <f aca="false">IFERROR(F1683/D1683,0)</f>
        <v>5.78857142857143</v>
      </c>
    </row>
    <row r="1684" customFormat="false" ht="15" hidden="false" customHeight="false" outlineLevel="0" collapsed="false">
      <c r="A1684" s="28" t="n">
        <v>2021</v>
      </c>
      <c r="B1684" s="28" t="s">
        <v>105</v>
      </c>
      <c r="C1684" s="28" t="s">
        <v>48</v>
      </c>
      <c r="D1684" s="28" t="n">
        <v>82</v>
      </c>
      <c r="E1684" s="29" t="n">
        <v>49475600</v>
      </c>
      <c r="F1684" s="30" t="n">
        <v>471.15</v>
      </c>
      <c r="G1684" s="31" t="n">
        <f aca="false">IFERROR(F1684/D1684,0)</f>
        <v>5.74573170731707</v>
      </c>
    </row>
    <row r="1685" customFormat="false" ht="15" hidden="false" customHeight="false" outlineLevel="0" collapsed="false">
      <c r="A1685" s="28" t="n">
        <v>2021</v>
      </c>
      <c r="B1685" s="28" t="s">
        <v>105</v>
      </c>
      <c r="C1685" s="28" t="s">
        <v>53</v>
      </c>
      <c r="D1685" s="28" t="n">
        <v>32</v>
      </c>
      <c r="E1685" s="29" t="n">
        <v>27394300</v>
      </c>
      <c r="F1685" s="30" t="n">
        <v>174.14</v>
      </c>
      <c r="G1685" s="31" t="n">
        <f aca="false">IFERROR(F1685/D1685,0)</f>
        <v>5.441875</v>
      </c>
    </row>
    <row r="1686" customFormat="false" ht="15" hidden="false" customHeight="false" outlineLevel="0" collapsed="false">
      <c r="A1686" s="28" t="n">
        <v>2021</v>
      </c>
      <c r="B1686" s="28" t="s">
        <v>105</v>
      </c>
      <c r="C1686" s="28" t="s">
        <v>43</v>
      </c>
      <c r="D1686" s="28" t="n">
        <v>106</v>
      </c>
      <c r="E1686" s="29" t="n">
        <v>62117800</v>
      </c>
      <c r="F1686" s="30" t="n">
        <v>593.17</v>
      </c>
      <c r="G1686" s="31" t="n">
        <f aca="false">IFERROR(F1686/D1686,0)</f>
        <v>5.59594339622641</v>
      </c>
    </row>
    <row r="1687" customFormat="false" ht="15" hidden="false" customHeight="false" outlineLevel="0" collapsed="false">
      <c r="A1687" s="28" t="n">
        <v>2021</v>
      </c>
      <c r="B1687" s="28" t="s">
        <v>105</v>
      </c>
      <c r="C1687" s="28" t="s">
        <v>52</v>
      </c>
      <c r="D1687" s="28" t="n">
        <v>51</v>
      </c>
      <c r="E1687" s="29" t="n">
        <v>26337700</v>
      </c>
      <c r="F1687" s="30" t="n">
        <v>298.58</v>
      </c>
      <c r="G1687" s="31" t="n">
        <f aca="false">IFERROR(F1687/D1687,0)</f>
        <v>5.85450980392157</v>
      </c>
    </row>
    <row r="1688" customFormat="false" ht="15" hidden="false" customHeight="false" outlineLevel="0" collapsed="false">
      <c r="A1688" s="28" t="n">
        <v>2021</v>
      </c>
      <c r="B1688" s="28" t="s">
        <v>105</v>
      </c>
      <c r="C1688" s="28" t="s">
        <v>60</v>
      </c>
      <c r="D1688" s="28" t="n">
        <v>1</v>
      </c>
      <c r="E1688" s="29" t="n">
        <v>10000</v>
      </c>
      <c r="F1688" s="30" t="n">
        <v>7.75</v>
      </c>
      <c r="G1688" s="31" t="n">
        <f aca="false">IFERROR(F1688/D1688,0)</f>
        <v>7.75</v>
      </c>
    </row>
    <row r="1689" customFormat="false" ht="15" hidden="false" customHeight="false" outlineLevel="0" collapsed="false">
      <c r="A1689" s="28" t="n">
        <v>2021</v>
      </c>
      <c r="B1689" s="28" t="s">
        <v>105</v>
      </c>
      <c r="C1689" s="28" t="s">
        <v>49</v>
      </c>
      <c r="D1689" s="28" t="n">
        <v>40</v>
      </c>
      <c r="E1689" s="29" t="n">
        <v>42200600</v>
      </c>
      <c r="F1689" s="30" t="n">
        <v>217.95</v>
      </c>
      <c r="G1689" s="31" t="n">
        <f aca="false">IFERROR(F1689/D1689,0)</f>
        <v>5.44875</v>
      </c>
    </row>
    <row r="1690" customFormat="false" ht="15" hidden="false" customHeight="false" outlineLevel="0" collapsed="false">
      <c r="A1690" s="28" t="n">
        <v>2021</v>
      </c>
      <c r="B1690" s="28" t="s">
        <v>65</v>
      </c>
      <c r="C1690" s="28" t="s">
        <v>42</v>
      </c>
      <c r="D1690" s="28" t="n">
        <v>100</v>
      </c>
      <c r="E1690" s="29" t="n">
        <v>127559300</v>
      </c>
      <c r="F1690" s="30" t="n">
        <v>568.155</v>
      </c>
      <c r="G1690" s="31" t="n">
        <f aca="false">IFERROR(F1690/D1690,0)</f>
        <v>5.68155</v>
      </c>
    </row>
    <row r="1691" customFormat="false" ht="15" hidden="false" customHeight="false" outlineLevel="0" collapsed="false">
      <c r="A1691" s="28" t="n">
        <v>2021</v>
      </c>
      <c r="B1691" s="28" t="s">
        <v>65</v>
      </c>
      <c r="C1691" s="28" t="s">
        <v>50</v>
      </c>
      <c r="D1691" s="28" t="n">
        <v>32</v>
      </c>
      <c r="E1691" s="29" t="n">
        <v>9571200</v>
      </c>
      <c r="F1691" s="30" t="n">
        <v>187.19</v>
      </c>
      <c r="G1691" s="31" t="n">
        <f aca="false">IFERROR(F1691/D1691,0)</f>
        <v>5.8496875</v>
      </c>
    </row>
    <row r="1692" customFormat="false" ht="15" hidden="false" customHeight="false" outlineLevel="0" collapsed="false">
      <c r="A1692" s="28" t="n">
        <v>2021</v>
      </c>
      <c r="B1692" s="28" t="s">
        <v>65</v>
      </c>
      <c r="C1692" s="28" t="s">
        <v>55</v>
      </c>
      <c r="D1692" s="28" t="n">
        <v>6</v>
      </c>
      <c r="E1692" s="29" t="n">
        <v>13566600</v>
      </c>
      <c r="F1692" s="30" t="n">
        <v>28.65</v>
      </c>
      <c r="G1692" s="31" t="n">
        <f aca="false">IFERROR(F1692/D1692,0)</f>
        <v>4.775</v>
      </c>
    </row>
    <row r="1693" customFormat="false" ht="15" hidden="false" customHeight="false" outlineLevel="0" collapsed="false">
      <c r="A1693" s="28" t="n">
        <v>2021</v>
      </c>
      <c r="B1693" s="28" t="s">
        <v>65</v>
      </c>
      <c r="C1693" s="28" t="s">
        <v>51</v>
      </c>
      <c r="D1693" s="28" t="n">
        <v>20</v>
      </c>
      <c r="E1693" s="29" t="n">
        <v>14438800</v>
      </c>
      <c r="F1693" s="30" t="n">
        <v>112.04</v>
      </c>
      <c r="G1693" s="31" t="n">
        <f aca="false">IFERROR(F1693/D1693,0)</f>
        <v>5.602</v>
      </c>
    </row>
    <row r="1694" customFormat="false" ht="15" hidden="false" customHeight="false" outlineLevel="0" collapsed="false">
      <c r="A1694" s="28" t="n">
        <v>2021</v>
      </c>
      <c r="B1694" s="28" t="s">
        <v>65</v>
      </c>
      <c r="C1694" s="28" t="s">
        <v>45</v>
      </c>
      <c r="D1694" s="28" t="n">
        <v>61</v>
      </c>
      <c r="E1694" s="29" t="n">
        <v>56250000</v>
      </c>
      <c r="F1694" s="30" t="n">
        <v>365.28</v>
      </c>
      <c r="G1694" s="31" t="n">
        <f aca="false">IFERROR(F1694/D1694,0)</f>
        <v>5.98819672131148</v>
      </c>
    </row>
    <row r="1695" customFormat="false" ht="15" hidden="false" customHeight="false" outlineLevel="0" collapsed="false">
      <c r="A1695" s="28" t="n">
        <v>2021</v>
      </c>
      <c r="B1695" s="28" t="s">
        <v>65</v>
      </c>
      <c r="C1695" s="28" t="s">
        <v>56</v>
      </c>
      <c r="D1695" s="28" t="n">
        <v>17</v>
      </c>
      <c r="E1695" s="29" t="n">
        <v>12720000</v>
      </c>
      <c r="F1695" s="30" t="n">
        <v>107.24</v>
      </c>
      <c r="G1695" s="31" t="n">
        <f aca="false">IFERROR(F1695/D1695,0)</f>
        <v>6.30823529411765</v>
      </c>
    </row>
    <row r="1696" customFormat="false" ht="15" hidden="false" customHeight="false" outlineLevel="0" collapsed="false">
      <c r="A1696" s="28" t="n">
        <v>2021</v>
      </c>
      <c r="B1696" s="28" t="s">
        <v>65</v>
      </c>
      <c r="C1696" s="28" t="s">
        <v>54</v>
      </c>
      <c r="D1696" s="28" t="n">
        <v>15</v>
      </c>
      <c r="E1696" s="29" t="n">
        <v>7745300</v>
      </c>
      <c r="F1696" s="30" t="n">
        <v>86.29</v>
      </c>
      <c r="G1696" s="31" t="n">
        <f aca="false">IFERROR(F1696/D1696,0)</f>
        <v>5.75266666666667</v>
      </c>
    </row>
    <row r="1697" customFormat="false" ht="15" hidden="false" customHeight="false" outlineLevel="0" collapsed="false">
      <c r="A1697" s="28" t="n">
        <v>2021</v>
      </c>
      <c r="B1697" s="28" t="s">
        <v>65</v>
      </c>
      <c r="C1697" s="28" t="s">
        <v>44</v>
      </c>
      <c r="D1697" s="28" t="n">
        <v>54</v>
      </c>
      <c r="E1697" s="29" t="n">
        <v>43944800</v>
      </c>
      <c r="F1697" s="30" t="n">
        <v>299.35</v>
      </c>
      <c r="G1697" s="31" t="n">
        <f aca="false">IFERROR(F1697/D1697,0)</f>
        <v>5.54351851851852</v>
      </c>
    </row>
    <row r="1698" customFormat="false" ht="15" hidden="false" customHeight="false" outlineLevel="0" collapsed="false">
      <c r="A1698" s="28" t="n">
        <v>2021</v>
      </c>
      <c r="B1698" s="28" t="s">
        <v>65</v>
      </c>
      <c r="C1698" s="28" t="s">
        <v>57</v>
      </c>
      <c r="D1698" s="28" t="n">
        <v>7</v>
      </c>
      <c r="E1698" s="29" t="n">
        <v>3296000</v>
      </c>
      <c r="F1698" s="30" t="n">
        <v>44.25</v>
      </c>
      <c r="G1698" s="31" t="n">
        <f aca="false">IFERROR(F1698/D1698,0)</f>
        <v>6.32142857142857</v>
      </c>
    </row>
    <row r="1699" customFormat="false" ht="15" hidden="false" customHeight="false" outlineLevel="0" collapsed="false">
      <c r="A1699" s="28" t="n">
        <v>2021</v>
      </c>
      <c r="B1699" s="28" t="s">
        <v>65</v>
      </c>
      <c r="C1699" s="28" t="s">
        <v>47</v>
      </c>
      <c r="D1699" s="28" t="n">
        <v>38</v>
      </c>
      <c r="E1699" s="29" t="n">
        <v>31919100</v>
      </c>
      <c r="F1699" s="30" t="n">
        <v>200.15</v>
      </c>
      <c r="G1699" s="31" t="n">
        <f aca="false">IFERROR(F1699/D1699,0)</f>
        <v>5.26710526315789</v>
      </c>
    </row>
    <row r="1700" customFormat="false" ht="15" hidden="false" customHeight="false" outlineLevel="0" collapsed="false">
      <c r="A1700" s="28" t="n">
        <v>2021</v>
      </c>
      <c r="B1700" s="28" t="s">
        <v>65</v>
      </c>
      <c r="C1700" s="28" t="s">
        <v>46</v>
      </c>
      <c r="D1700" s="28" t="n">
        <v>74</v>
      </c>
      <c r="E1700" s="29" t="n">
        <v>41963100</v>
      </c>
      <c r="F1700" s="30" t="n">
        <v>427.93</v>
      </c>
      <c r="G1700" s="31" t="n">
        <f aca="false">IFERROR(F1700/D1700,0)</f>
        <v>5.78283783783784</v>
      </c>
    </row>
    <row r="1701" customFormat="false" ht="15" hidden="false" customHeight="false" outlineLevel="0" collapsed="false">
      <c r="A1701" s="28" t="n">
        <v>2021</v>
      </c>
      <c r="B1701" s="28" t="s">
        <v>65</v>
      </c>
      <c r="C1701" s="28" t="s">
        <v>48</v>
      </c>
      <c r="D1701" s="28" t="n">
        <v>93</v>
      </c>
      <c r="E1701" s="29" t="n">
        <v>52617100</v>
      </c>
      <c r="F1701" s="30" t="n">
        <v>573.44</v>
      </c>
      <c r="G1701" s="31" t="n">
        <f aca="false">IFERROR(F1701/D1701,0)</f>
        <v>6.16602150537635</v>
      </c>
    </row>
    <row r="1702" customFormat="false" ht="15" hidden="false" customHeight="false" outlineLevel="0" collapsed="false">
      <c r="A1702" s="28" t="n">
        <v>2021</v>
      </c>
      <c r="B1702" s="28" t="s">
        <v>65</v>
      </c>
      <c r="C1702" s="28" t="s">
        <v>53</v>
      </c>
      <c r="D1702" s="28" t="n">
        <v>13</v>
      </c>
      <c r="E1702" s="29" t="n">
        <v>9465200</v>
      </c>
      <c r="F1702" s="30" t="n">
        <v>67.11</v>
      </c>
      <c r="G1702" s="31" t="n">
        <f aca="false">IFERROR(F1702/D1702,0)</f>
        <v>5.16230769230769</v>
      </c>
    </row>
    <row r="1703" customFormat="false" ht="15" hidden="false" customHeight="false" outlineLevel="0" collapsed="false">
      <c r="A1703" s="28" t="n">
        <v>2021</v>
      </c>
      <c r="B1703" s="28" t="s">
        <v>65</v>
      </c>
      <c r="C1703" s="28" t="s">
        <v>43</v>
      </c>
      <c r="D1703" s="28" t="n">
        <v>82</v>
      </c>
      <c r="E1703" s="29" t="n">
        <v>52014600</v>
      </c>
      <c r="F1703" s="30" t="n">
        <v>472.79</v>
      </c>
      <c r="G1703" s="31" t="n">
        <f aca="false">IFERROR(F1703/D1703,0)</f>
        <v>5.76573170731707</v>
      </c>
    </row>
    <row r="1704" customFormat="false" ht="15" hidden="false" customHeight="false" outlineLevel="0" collapsed="false">
      <c r="A1704" s="28" t="n">
        <v>2021</v>
      </c>
      <c r="B1704" s="28" t="s">
        <v>65</v>
      </c>
      <c r="C1704" s="28" t="s">
        <v>52</v>
      </c>
      <c r="D1704" s="28" t="n">
        <v>16</v>
      </c>
      <c r="E1704" s="29" t="n">
        <v>5846500</v>
      </c>
      <c r="F1704" s="30" t="n">
        <v>109.04</v>
      </c>
      <c r="G1704" s="31" t="n">
        <f aca="false">IFERROR(F1704/D1704,0)</f>
        <v>6.815</v>
      </c>
    </row>
    <row r="1705" customFormat="false" ht="15" hidden="false" customHeight="false" outlineLevel="0" collapsed="false">
      <c r="A1705" s="28" t="n">
        <v>2021</v>
      </c>
      <c r="B1705" s="28" t="s">
        <v>65</v>
      </c>
      <c r="C1705" s="28" t="s">
        <v>60</v>
      </c>
      <c r="D1705" s="28" t="n">
        <v>2</v>
      </c>
      <c r="E1705" s="29" t="n">
        <v>1716000</v>
      </c>
      <c r="F1705" s="30" t="n">
        <v>14.25</v>
      </c>
      <c r="G1705" s="31" t="n">
        <f aca="false">IFERROR(F1705/D1705,0)</f>
        <v>7.125</v>
      </c>
    </row>
    <row r="1706" customFormat="false" ht="15" hidden="false" customHeight="false" outlineLevel="0" collapsed="false">
      <c r="A1706" s="28" t="n">
        <v>2021</v>
      </c>
      <c r="B1706" s="28" t="s">
        <v>65</v>
      </c>
      <c r="C1706" s="28" t="s">
        <v>49</v>
      </c>
      <c r="D1706" s="28" t="n">
        <v>27</v>
      </c>
      <c r="E1706" s="29" t="n">
        <v>18430900</v>
      </c>
      <c r="F1706" s="30" t="n">
        <v>163.7</v>
      </c>
      <c r="G1706" s="31" t="n">
        <f aca="false">IFERROR(F1706/D1706,0)</f>
        <v>6.06296296296296</v>
      </c>
    </row>
    <row r="1707" customFormat="false" ht="15" hidden="false" customHeight="false" outlineLevel="0" collapsed="false">
      <c r="A1707" s="28" t="n">
        <v>2021</v>
      </c>
      <c r="B1707" s="28" t="s">
        <v>124</v>
      </c>
      <c r="C1707" s="28" t="s">
        <v>42</v>
      </c>
      <c r="D1707" s="28" t="n">
        <v>1</v>
      </c>
      <c r="E1707" s="29" t="n">
        <v>990000</v>
      </c>
      <c r="F1707" s="30" t="n">
        <v>5.5</v>
      </c>
      <c r="G1707" s="31" t="n">
        <f aca="false">IFERROR(F1707/D1707,0)</f>
        <v>5.5</v>
      </c>
    </row>
    <row r="1708" customFormat="false" ht="15" hidden="false" customHeight="false" outlineLevel="0" collapsed="false">
      <c r="A1708" s="28" t="n">
        <v>2021</v>
      </c>
      <c r="B1708" s="28" t="s">
        <v>124</v>
      </c>
      <c r="C1708" s="28" t="s">
        <v>51</v>
      </c>
      <c r="D1708" s="28" t="n">
        <v>1</v>
      </c>
      <c r="E1708" s="29" t="n">
        <v>40000</v>
      </c>
      <c r="F1708" s="30" t="n">
        <v>5.5</v>
      </c>
      <c r="G1708" s="31" t="n">
        <f aca="false">IFERROR(F1708/D1708,0)</f>
        <v>5.5</v>
      </c>
    </row>
    <row r="1709" customFormat="false" ht="15" hidden="false" customHeight="false" outlineLevel="0" collapsed="false">
      <c r="A1709" s="28" t="n">
        <v>2021</v>
      </c>
      <c r="B1709" s="28" t="s">
        <v>124</v>
      </c>
      <c r="C1709" s="28" t="s">
        <v>44</v>
      </c>
      <c r="D1709" s="28" t="n">
        <v>3</v>
      </c>
      <c r="E1709" s="29" t="n">
        <v>1100000</v>
      </c>
      <c r="F1709" s="30" t="n">
        <v>17.5</v>
      </c>
      <c r="G1709" s="31" t="n">
        <f aca="false">IFERROR(F1709/D1709,0)</f>
        <v>5.83333333333333</v>
      </c>
    </row>
    <row r="1710" customFormat="false" ht="15" hidden="false" customHeight="false" outlineLevel="0" collapsed="false">
      <c r="A1710" s="28" t="n">
        <v>2021</v>
      </c>
      <c r="B1710" s="28" t="s">
        <v>124</v>
      </c>
      <c r="C1710" s="28" t="s">
        <v>47</v>
      </c>
      <c r="D1710" s="28" t="n">
        <v>2</v>
      </c>
      <c r="E1710" s="29" t="n">
        <v>3000000</v>
      </c>
      <c r="F1710" s="30" t="n">
        <v>11.5</v>
      </c>
      <c r="G1710" s="31" t="n">
        <f aca="false">IFERROR(F1710/D1710,0)</f>
        <v>5.75</v>
      </c>
    </row>
    <row r="1711" customFormat="false" ht="15" hidden="false" customHeight="false" outlineLevel="0" collapsed="false">
      <c r="A1711" s="28" t="n">
        <v>2021</v>
      </c>
      <c r="B1711" s="28" t="s">
        <v>124</v>
      </c>
      <c r="C1711" s="28" t="s">
        <v>43</v>
      </c>
      <c r="D1711" s="28" t="n">
        <v>1</v>
      </c>
      <c r="E1711" s="29" t="n">
        <v>123400</v>
      </c>
      <c r="F1711" s="30" t="n">
        <v>5.25</v>
      </c>
      <c r="G1711" s="31" t="n">
        <f aca="false">IFERROR(F1711/D1711,0)</f>
        <v>5.25</v>
      </c>
    </row>
    <row r="1712" customFormat="false" ht="15" hidden="false" customHeight="false" outlineLevel="0" collapsed="false">
      <c r="A1712" s="28" t="n">
        <v>2021</v>
      </c>
      <c r="B1712" s="28" t="s">
        <v>126</v>
      </c>
      <c r="C1712" s="28" t="s">
        <v>42</v>
      </c>
      <c r="D1712" s="28" t="n">
        <v>12</v>
      </c>
      <c r="E1712" s="29" t="n">
        <v>4181700</v>
      </c>
      <c r="F1712" s="30" t="n">
        <v>58.01</v>
      </c>
      <c r="G1712" s="31" t="n">
        <f aca="false">IFERROR(F1712/D1712,0)</f>
        <v>4.83416666666667</v>
      </c>
    </row>
    <row r="1713" customFormat="false" ht="15" hidden="false" customHeight="false" outlineLevel="0" collapsed="false">
      <c r="A1713" s="28" t="n">
        <v>2021</v>
      </c>
      <c r="B1713" s="28" t="s">
        <v>126</v>
      </c>
      <c r="C1713" s="28" t="s">
        <v>50</v>
      </c>
      <c r="D1713" s="28" t="n">
        <v>8</v>
      </c>
      <c r="E1713" s="29" t="n">
        <v>1694500</v>
      </c>
      <c r="F1713" s="30" t="n">
        <v>38.86</v>
      </c>
      <c r="G1713" s="31" t="n">
        <f aca="false">IFERROR(F1713/D1713,0)</f>
        <v>4.8575</v>
      </c>
    </row>
    <row r="1714" customFormat="false" ht="15" hidden="false" customHeight="false" outlineLevel="0" collapsed="false">
      <c r="A1714" s="28" t="n">
        <v>2021</v>
      </c>
      <c r="B1714" s="28" t="s">
        <v>126</v>
      </c>
      <c r="C1714" s="28" t="s">
        <v>55</v>
      </c>
      <c r="D1714" s="28" t="n">
        <v>2</v>
      </c>
      <c r="E1714" s="29" t="n">
        <v>85000</v>
      </c>
      <c r="F1714" s="30" t="n">
        <v>10.75</v>
      </c>
      <c r="G1714" s="31" t="n">
        <f aca="false">IFERROR(F1714/D1714,0)</f>
        <v>5.375</v>
      </c>
    </row>
    <row r="1715" customFormat="false" ht="15" hidden="false" customHeight="false" outlineLevel="0" collapsed="false">
      <c r="A1715" s="28" t="n">
        <v>2021</v>
      </c>
      <c r="B1715" s="28" t="s">
        <v>126</v>
      </c>
      <c r="C1715" s="28" t="s">
        <v>51</v>
      </c>
      <c r="D1715" s="28" t="n">
        <v>3</v>
      </c>
      <c r="E1715" s="29" t="n">
        <v>98400</v>
      </c>
      <c r="F1715" s="30" t="n">
        <v>15.6</v>
      </c>
      <c r="G1715" s="31" t="n">
        <f aca="false">IFERROR(F1715/D1715,0)</f>
        <v>5.2</v>
      </c>
    </row>
    <row r="1716" customFormat="false" ht="15" hidden="false" customHeight="false" outlineLevel="0" collapsed="false">
      <c r="A1716" s="28" t="n">
        <v>2021</v>
      </c>
      <c r="B1716" s="28" t="s">
        <v>126</v>
      </c>
      <c r="C1716" s="28" t="s">
        <v>45</v>
      </c>
      <c r="D1716" s="28" t="n">
        <v>16</v>
      </c>
      <c r="E1716" s="29" t="n">
        <v>1128400</v>
      </c>
      <c r="F1716" s="30" t="n">
        <v>93.32</v>
      </c>
      <c r="G1716" s="31" t="n">
        <f aca="false">IFERROR(F1716/D1716,0)</f>
        <v>5.8325</v>
      </c>
    </row>
    <row r="1717" customFormat="false" ht="15" hidden="false" customHeight="false" outlineLevel="0" collapsed="false">
      <c r="A1717" s="28" t="n">
        <v>2021</v>
      </c>
      <c r="B1717" s="28" t="s">
        <v>126</v>
      </c>
      <c r="C1717" s="28" t="s">
        <v>56</v>
      </c>
      <c r="D1717" s="28" t="n">
        <v>2</v>
      </c>
      <c r="E1717" s="29" t="n">
        <v>100000</v>
      </c>
      <c r="F1717" s="30" t="n">
        <v>9</v>
      </c>
      <c r="G1717" s="31" t="n">
        <f aca="false">IFERROR(F1717/D1717,0)</f>
        <v>4.5</v>
      </c>
    </row>
    <row r="1718" customFormat="false" ht="15" hidden="false" customHeight="false" outlineLevel="0" collapsed="false">
      <c r="A1718" s="28" t="n">
        <v>2021</v>
      </c>
      <c r="B1718" s="28" t="s">
        <v>126</v>
      </c>
      <c r="C1718" s="28" t="s">
        <v>54</v>
      </c>
      <c r="D1718" s="28" t="n">
        <v>1</v>
      </c>
      <c r="E1718" s="29" t="n">
        <v>12700</v>
      </c>
      <c r="F1718" s="30" t="n">
        <v>4.25</v>
      </c>
      <c r="G1718" s="31" t="n">
        <f aca="false">IFERROR(F1718/D1718,0)</f>
        <v>4.25</v>
      </c>
    </row>
    <row r="1719" customFormat="false" ht="15" hidden="false" customHeight="false" outlineLevel="0" collapsed="false">
      <c r="A1719" s="28" t="n">
        <v>2021</v>
      </c>
      <c r="B1719" s="28" t="s">
        <v>126</v>
      </c>
      <c r="C1719" s="28" t="s">
        <v>44</v>
      </c>
      <c r="D1719" s="28" t="n">
        <v>10</v>
      </c>
      <c r="E1719" s="29" t="n">
        <v>6908800</v>
      </c>
      <c r="F1719" s="30" t="n">
        <v>59.99</v>
      </c>
      <c r="G1719" s="31" t="n">
        <f aca="false">IFERROR(F1719/D1719,0)</f>
        <v>5.999</v>
      </c>
    </row>
    <row r="1720" customFormat="false" ht="15" hidden="false" customHeight="false" outlineLevel="0" collapsed="false">
      <c r="A1720" s="28" t="n">
        <v>2021</v>
      </c>
      <c r="B1720" s="28" t="s">
        <v>126</v>
      </c>
      <c r="C1720" s="28" t="s">
        <v>47</v>
      </c>
      <c r="D1720" s="28" t="n">
        <v>24</v>
      </c>
      <c r="E1720" s="29" t="n">
        <v>8808300</v>
      </c>
      <c r="F1720" s="30" t="n">
        <v>108.235</v>
      </c>
      <c r="G1720" s="31" t="n">
        <f aca="false">IFERROR(F1720/D1720,0)</f>
        <v>4.50979166666667</v>
      </c>
    </row>
    <row r="1721" customFormat="false" ht="15" hidden="false" customHeight="false" outlineLevel="0" collapsed="false">
      <c r="A1721" s="28" t="n">
        <v>2021</v>
      </c>
      <c r="B1721" s="28" t="s">
        <v>126</v>
      </c>
      <c r="C1721" s="28" t="s">
        <v>46</v>
      </c>
      <c r="D1721" s="28" t="n">
        <v>10</v>
      </c>
      <c r="E1721" s="29" t="n">
        <v>3080400</v>
      </c>
      <c r="F1721" s="30" t="n">
        <v>55.035</v>
      </c>
      <c r="G1721" s="31" t="n">
        <f aca="false">IFERROR(F1721/D1721,0)</f>
        <v>5.5035</v>
      </c>
    </row>
    <row r="1722" customFormat="false" ht="15" hidden="false" customHeight="false" outlineLevel="0" collapsed="false">
      <c r="A1722" s="28" t="n">
        <v>2021</v>
      </c>
      <c r="B1722" s="28" t="s">
        <v>126</v>
      </c>
      <c r="C1722" s="28" t="s">
        <v>48</v>
      </c>
      <c r="D1722" s="28" t="n">
        <v>11</v>
      </c>
      <c r="E1722" s="29" t="n">
        <v>1469800</v>
      </c>
      <c r="F1722" s="30" t="n">
        <v>52.35</v>
      </c>
      <c r="G1722" s="31" t="n">
        <f aca="false">IFERROR(F1722/D1722,0)</f>
        <v>4.75909090909091</v>
      </c>
    </row>
    <row r="1723" customFormat="false" ht="15" hidden="false" customHeight="false" outlineLevel="0" collapsed="false">
      <c r="A1723" s="28" t="n">
        <v>2021</v>
      </c>
      <c r="B1723" s="28" t="s">
        <v>126</v>
      </c>
      <c r="C1723" s="28" t="s">
        <v>61</v>
      </c>
      <c r="D1723" s="28" t="n">
        <v>2</v>
      </c>
      <c r="E1723" s="29" t="n">
        <v>214900</v>
      </c>
      <c r="F1723" s="30" t="n">
        <v>11.33</v>
      </c>
      <c r="G1723" s="31" t="n">
        <f aca="false">IFERROR(F1723/D1723,0)</f>
        <v>5.665</v>
      </c>
    </row>
    <row r="1724" customFormat="false" ht="15" hidden="false" customHeight="false" outlineLevel="0" collapsed="false">
      <c r="A1724" s="28" t="n">
        <v>2021</v>
      </c>
      <c r="B1724" s="28" t="s">
        <v>126</v>
      </c>
      <c r="C1724" s="28" t="s">
        <v>53</v>
      </c>
      <c r="D1724" s="28" t="n">
        <v>3</v>
      </c>
      <c r="E1724" s="29" t="n">
        <v>987500</v>
      </c>
      <c r="F1724" s="30" t="n">
        <v>12.15</v>
      </c>
      <c r="G1724" s="31" t="n">
        <f aca="false">IFERROR(F1724/D1724,0)</f>
        <v>4.05</v>
      </c>
    </row>
    <row r="1725" customFormat="false" ht="15" hidden="false" customHeight="false" outlineLevel="0" collapsed="false">
      <c r="A1725" s="28" t="n">
        <v>2021</v>
      </c>
      <c r="B1725" s="28" t="s">
        <v>126</v>
      </c>
      <c r="C1725" s="28" t="s">
        <v>43</v>
      </c>
      <c r="D1725" s="28" t="n">
        <v>25</v>
      </c>
      <c r="E1725" s="29" t="n">
        <v>8147400</v>
      </c>
      <c r="F1725" s="30" t="n">
        <v>128.065</v>
      </c>
      <c r="G1725" s="31" t="n">
        <f aca="false">IFERROR(F1725/D1725,0)</f>
        <v>5.1226</v>
      </c>
    </row>
    <row r="1726" customFormat="false" ht="15" hidden="false" customHeight="false" outlineLevel="0" collapsed="false">
      <c r="A1726" s="28" t="n">
        <v>2021</v>
      </c>
      <c r="B1726" s="28" t="s">
        <v>126</v>
      </c>
      <c r="C1726" s="28" t="s">
        <v>52</v>
      </c>
      <c r="D1726" s="28" t="n">
        <v>6</v>
      </c>
      <c r="E1726" s="29" t="n">
        <v>462500</v>
      </c>
      <c r="F1726" s="30" t="n">
        <v>32.39</v>
      </c>
      <c r="G1726" s="31" t="n">
        <f aca="false">IFERROR(F1726/D1726,0)</f>
        <v>5.39833333333333</v>
      </c>
    </row>
    <row r="1727" customFormat="false" ht="15" hidden="false" customHeight="false" outlineLevel="0" collapsed="false">
      <c r="A1727" s="28" t="n">
        <v>2021</v>
      </c>
      <c r="B1727" s="28" t="s">
        <v>126</v>
      </c>
      <c r="C1727" s="28" t="s">
        <v>49</v>
      </c>
      <c r="D1727" s="28" t="n">
        <v>4</v>
      </c>
      <c r="E1727" s="29" t="n">
        <v>3750000</v>
      </c>
      <c r="F1727" s="30" t="n">
        <v>20.01</v>
      </c>
      <c r="G1727" s="31" t="n">
        <f aca="false">IFERROR(F1727/D1727,0)</f>
        <v>5.0025</v>
      </c>
    </row>
    <row r="1728" customFormat="false" ht="15" hidden="false" customHeight="false" outlineLevel="0" collapsed="false">
      <c r="A1728" s="28" t="n">
        <v>2021</v>
      </c>
      <c r="B1728" s="28" t="s">
        <v>89</v>
      </c>
      <c r="C1728" s="28" t="s">
        <v>42</v>
      </c>
      <c r="D1728" s="28" t="n">
        <v>162</v>
      </c>
      <c r="E1728" s="29" t="n">
        <v>151510000</v>
      </c>
      <c r="F1728" s="30" t="n">
        <v>856.79</v>
      </c>
      <c r="G1728" s="31" t="n">
        <f aca="false">IFERROR(F1728/D1728,0)</f>
        <v>5.28882716049383</v>
      </c>
    </row>
    <row r="1729" customFormat="false" ht="15" hidden="false" customHeight="false" outlineLevel="0" collapsed="false">
      <c r="A1729" s="28" t="n">
        <v>2021</v>
      </c>
      <c r="B1729" s="28" t="s">
        <v>89</v>
      </c>
      <c r="C1729" s="28" t="s">
        <v>50</v>
      </c>
      <c r="D1729" s="28" t="n">
        <v>57</v>
      </c>
      <c r="E1729" s="29" t="n">
        <v>20846800</v>
      </c>
      <c r="F1729" s="30" t="n">
        <v>307.09</v>
      </c>
      <c r="G1729" s="31" t="n">
        <f aca="false">IFERROR(F1729/D1729,0)</f>
        <v>5.38754385964912</v>
      </c>
    </row>
    <row r="1730" customFormat="false" ht="15" hidden="false" customHeight="false" outlineLevel="0" collapsed="false">
      <c r="A1730" s="28" t="n">
        <v>2021</v>
      </c>
      <c r="B1730" s="28" t="s">
        <v>89</v>
      </c>
      <c r="C1730" s="28" t="s">
        <v>55</v>
      </c>
      <c r="D1730" s="28" t="n">
        <v>27</v>
      </c>
      <c r="E1730" s="29" t="n">
        <v>6020900</v>
      </c>
      <c r="F1730" s="30" t="n">
        <v>150.74</v>
      </c>
      <c r="G1730" s="31" t="n">
        <f aca="false">IFERROR(F1730/D1730,0)</f>
        <v>5.58296296296296</v>
      </c>
    </row>
    <row r="1731" customFormat="false" ht="15" hidden="false" customHeight="false" outlineLevel="0" collapsed="false">
      <c r="A1731" s="28" t="n">
        <v>2021</v>
      </c>
      <c r="B1731" s="28" t="s">
        <v>89</v>
      </c>
      <c r="C1731" s="28" t="s">
        <v>51</v>
      </c>
      <c r="D1731" s="28" t="n">
        <v>27</v>
      </c>
      <c r="E1731" s="29" t="n">
        <v>15288900</v>
      </c>
      <c r="F1731" s="30" t="n">
        <v>149.47</v>
      </c>
      <c r="G1731" s="31" t="n">
        <f aca="false">IFERROR(F1731/D1731,0)</f>
        <v>5.53592592592593</v>
      </c>
    </row>
    <row r="1732" customFormat="false" ht="15" hidden="false" customHeight="false" outlineLevel="0" collapsed="false">
      <c r="A1732" s="28" t="n">
        <v>2021</v>
      </c>
      <c r="B1732" s="28" t="s">
        <v>89</v>
      </c>
      <c r="C1732" s="28" t="s">
        <v>45</v>
      </c>
      <c r="D1732" s="28" t="n">
        <v>128</v>
      </c>
      <c r="E1732" s="29" t="n">
        <v>74329000</v>
      </c>
      <c r="F1732" s="30" t="n">
        <v>701.75</v>
      </c>
      <c r="G1732" s="31" t="n">
        <f aca="false">IFERROR(F1732/D1732,0)</f>
        <v>5.482421875</v>
      </c>
    </row>
    <row r="1733" customFormat="false" ht="15" hidden="false" customHeight="false" outlineLevel="0" collapsed="false">
      <c r="A1733" s="28" t="n">
        <v>2021</v>
      </c>
      <c r="B1733" s="28" t="s">
        <v>89</v>
      </c>
      <c r="C1733" s="28" t="s">
        <v>56</v>
      </c>
      <c r="D1733" s="28" t="n">
        <v>16</v>
      </c>
      <c r="E1733" s="29" t="n">
        <v>15935500</v>
      </c>
      <c r="F1733" s="30" t="n">
        <v>86.06</v>
      </c>
      <c r="G1733" s="31" t="n">
        <f aca="false">IFERROR(F1733/D1733,0)</f>
        <v>5.37875</v>
      </c>
    </row>
    <row r="1734" customFormat="false" ht="15" hidden="false" customHeight="false" outlineLevel="0" collapsed="false">
      <c r="A1734" s="28" t="n">
        <v>2021</v>
      </c>
      <c r="B1734" s="28" t="s">
        <v>89</v>
      </c>
      <c r="C1734" s="28" t="s">
        <v>54</v>
      </c>
      <c r="D1734" s="28" t="n">
        <v>16</v>
      </c>
      <c r="E1734" s="29" t="n">
        <v>8619500</v>
      </c>
      <c r="F1734" s="30" t="n">
        <v>86.48</v>
      </c>
      <c r="G1734" s="31" t="n">
        <f aca="false">IFERROR(F1734/D1734,0)</f>
        <v>5.405</v>
      </c>
    </row>
    <row r="1735" customFormat="false" ht="15" hidden="false" customHeight="false" outlineLevel="0" collapsed="false">
      <c r="A1735" s="28" t="n">
        <v>2021</v>
      </c>
      <c r="B1735" s="28" t="s">
        <v>89</v>
      </c>
      <c r="C1735" s="28" t="s">
        <v>44</v>
      </c>
      <c r="D1735" s="28" t="n">
        <v>157</v>
      </c>
      <c r="E1735" s="29" t="n">
        <v>133327900</v>
      </c>
      <c r="F1735" s="30" t="n">
        <v>789.75</v>
      </c>
      <c r="G1735" s="31" t="n">
        <f aca="false">IFERROR(F1735/D1735,0)</f>
        <v>5.03025477707006</v>
      </c>
    </row>
    <row r="1736" customFormat="false" ht="15" hidden="false" customHeight="false" outlineLevel="0" collapsed="false">
      <c r="A1736" s="28" t="n">
        <v>2021</v>
      </c>
      <c r="B1736" s="28" t="s">
        <v>89</v>
      </c>
      <c r="C1736" s="28" t="s">
        <v>57</v>
      </c>
      <c r="D1736" s="28" t="n">
        <v>5</v>
      </c>
      <c r="E1736" s="29" t="n">
        <v>8280500</v>
      </c>
      <c r="F1736" s="30" t="n">
        <v>22.38</v>
      </c>
      <c r="G1736" s="31" t="n">
        <f aca="false">IFERROR(F1736/D1736,0)</f>
        <v>4.476</v>
      </c>
    </row>
    <row r="1737" customFormat="false" ht="15" hidden="false" customHeight="false" outlineLevel="0" collapsed="false">
      <c r="A1737" s="28" t="n">
        <v>2021</v>
      </c>
      <c r="B1737" s="28" t="s">
        <v>89</v>
      </c>
      <c r="C1737" s="28" t="s">
        <v>47</v>
      </c>
      <c r="D1737" s="28" t="n">
        <v>81</v>
      </c>
      <c r="E1737" s="29" t="n">
        <v>69065400</v>
      </c>
      <c r="F1737" s="30" t="n">
        <v>427.865</v>
      </c>
      <c r="G1737" s="31" t="n">
        <f aca="false">IFERROR(F1737/D1737,0)</f>
        <v>5.28228395061728</v>
      </c>
    </row>
    <row r="1738" customFormat="false" ht="15" hidden="false" customHeight="false" outlineLevel="0" collapsed="false">
      <c r="A1738" s="28" t="n">
        <v>2021</v>
      </c>
      <c r="B1738" s="28" t="s">
        <v>89</v>
      </c>
      <c r="C1738" s="28" t="s">
        <v>58</v>
      </c>
      <c r="D1738" s="28" t="n">
        <v>2</v>
      </c>
      <c r="E1738" s="29" t="n">
        <v>2408400</v>
      </c>
      <c r="F1738" s="30" t="n">
        <v>10.75</v>
      </c>
      <c r="G1738" s="31" t="n">
        <f aca="false">IFERROR(F1738/D1738,0)</f>
        <v>5.375</v>
      </c>
    </row>
    <row r="1739" customFormat="false" ht="15" hidden="false" customHeight="false" outlineLevel="0" collapsed="false">
      <c r="A1739" s="28" t="n">
        <v>2021</v>
      </c>
      <c r="B1739" s="28" t="s">
        <v>89</v>
      </c>
      <c r="C1739" s="28" t="s">
        <v>46</v>
      </c>
      <c r="D1739" s="28" t="n">
        <v>75</v>
      </c>
      <c r="E1739" s="29" t="n">
        <v>38174600</v>
      </c>
      <c r="F1739" s="30" t="n">
        <v>406.92</v>
      </c>
      <c r="G1739" s="31" t="n">
        <f aca="false">IFERROR(F1739/D1739,0)</f>
        <v>5.4256</v>
      </c>
    </row>
    <row r="1740" customFormat="false" ht="15" hidden="false" customHeight="false" outlineLevel="0" collapsed="false">
      <c r="A1740" s="28" t="n">
        <v>2021</v>
      </c>
      <c r="B1740" s="28" t="s">
        <v>89</v>
      </c>
      <c r="C1740" s="28" t="s">
        <v>48</v>
      </c>
      <c r="D1740" s="28" t="n">
        <v>123</v>
      </c>
      <c r="E1740" s="29" t="n">
        <v>78451500</v>
      </c>
      <c r="F1740" s="30" t="n">
        <v>673.64</v>
      </c>
      <c r="G1740" s="31" t="n">
        <f aca="false">IFERROR(F1740/D1740,0)</f>
        <v>5.47674796747968</v>
      </c>
    </row>
    <row r="1741" customFormat="false" ht="15" hidden="false" customHeight="false" outlineLevel="0" collapsed="false">
      <c r="A1741" s="28" t="n">
        <v>2021</v>
      </c>
      <c r="B1741" s="28" t="s">
        <v>89</v>
      </c>
      <c r="C1741" s="28" t="s">
        <v>53</v>
      </c>
      <c r="D1741" s="28" t="n">
        <v>36</v>
      </c>
      <c r="E1741" s="29" t="n">
        <v>20237800</v>
      </c>
      <c r="F1741" s="30" t="n">
        <v>192.31</v>
      </c>
      <c r="G1741" s="31" t="n">
        <f aca="false">IFERROR(F1741/D1741,0)</f>
        <v>5.34194444444445</v>
      </c>
    </row>
    <row r="1742" customFormat="false" ht="15" hidden="false" customHeight="false" outlineLevel="0" collapsed="false">
      <c r="A1742" s="28" t="n">
        <v>2021</v>
      </c>
      <c r="B1742" s="28" t="s">
        <v>89</v>
      </c>
      <c r="C1742" s="28" t="s">
        <v>43</v>
      </c>
      <c r="D1742" s="28" t="n">
        <v>219</v>
      </c>
      <c r="E1742" s="29" t="n">
        <v>251596000</v>
      </c>
      <c r="F1742" s="30" t="n">
        <v>1110.04</v>
      </c>
      <c r="G1742" s="31" t="n">
        <f aca="false">IFERROR(F1742/D1742,0)</f>
        <v>5.06867579908676</v>
      </c>
    </row>
    <row r="1743" customFormat="false" ht="15" hidden="false" customHeight="false" outlineLevel="0" collapsed="false">
      <c r="A1743" s="28" t="n">
        <v>2021</v>
      </c>
      <c r="B1743" s="28" t="s">
        <v>89</v>
      </c>
      <c r="C1743" s="28" t="s">
        <v>52</v>
      </c>
      <c r="D1743" s="28" t="n">
        <v>83</v>
      </c>
      <c r="E1743" s="29" t="n">
        <v>46611800</v>
      </c>
      <c r="F1743" s="30" t="n">
        <v>471.24</v>
      </c>
      <c r="G1743" s="31" t="n">
        <f aca="false">IFERROR(F1743/D1743,0)</f>
        <v>5.67759036144578</v>
      </c>
    </row>
    <row r="1744" customFormat="false" ht="15" hidden="false" customHeight="false" outlineLevel="0" collapsed="false">
      <c r="A1744" s="28" t="n">
        <v>2021</v>
      </c>
      <c r="B1744" s="28" t="s">
        <v>89</v>
      </c>
      <c r="C1744" s="28" t="s">
        <v>60</v>
      </c>
      <c r="D1744" s="28" t="n">
        <v>1</v>
      </c>
      <c r="E1744" s="29" t="n">
        <v>246500</v>
      </c>
      <c r="F1744" s="30" t="n">
        <v>5.25</v>
      </c>
      <c r="G1744" s="31" t="n">
        <f aca="false">IFERROR(F1744/D1744,0)</f>
        <v>5.25</v>
      </c>
    </row>
    <row r="1745" customFormat="false" ht="15" hidden="false" customHeight="false" outlineLevel="0" collapsed="false">
      <c r="A1745" s="28" t="n">
        <v>2021</v>
      </c>
      <c r="B1745" s="28" t="s">
        <v>89</v>
      </c>
      <c r="C1745" s="28" t="s">
        <v>49</v>
      </c>
      <c r="D1745" s="28" t="n">
        <v>47</v>
      </c>
      <c r="E1745" s="29" t="n">
        <v>39855500</v>
      </c>
      <c r="F1745" s="30" t="n">
        <v>248.77</v>
      </c>
      <c r="G1745" s="31" t="n">
        <f aca="false">IFERROR(F1745/D1745,0)</f>
        <v>5.29297872340426</v>
      </c>
    </row>
    <row r="1746" customFormat="false" ht="15" hidden="false" customHeight="false" outlineLevel="0" collapsed="false">
      <c r="A1746" s="28" t="n">
        <v>2021</v>
      </c>
      <c r="B1746" s="28" t="s">
        <v>99</v>
      </c>
      <c r="C1746" s="28" t="s">
        <v>42</v>
      </c>
      <c r="D1746" s="28" t="n">
        <v>149</v>
      </c>
      <c r="E1746" s="29" t="n">
        <v>107711500</v>
      </c>
      <c r="F1746" s="30" t="n">
        <v>770.85</v>
      </c>
      <c r="G1746" s="31" t="n">
        <f aca="false">IFERROR(F1746/D1746,0)</f>
        <v>5.17348993288591</v>
      </c>
    </row>
    <row r="1747" customFormat="false" ht="15" hidden="false" customHeight="false" outlineLevel="0" collapsed="false">
      <c r="A1747" s="28" t="n">
        <v>2021</v>
      </c>
      <c r="B1747" s="28" t="s">
        <v>99</v>
      </c>
      <c r="C1747" s="28" t="s">
        <v>50</v>
      </c>
      <c r="D1747" s="28" t="n">
        <v>60</v>
      </c>
      <c r="E1747" s="29" t="n">
        <v>18236900</v>
      </c>
      <c r="F1747" s="30" t="n">
        <v>310.12</v>
      </c>
      <c r="G1747" s="31" t="n">
        <f aca="false">IFERROR(F1747/D1747,0)</f>
        <v>5.16866666666667</v>
      </c>
    </row>
    <row r="1748" customFormat="false" ht="15" hidden="false" customHeight="false" outlineLevel="0" collapsed="false">
      <c r="A1748" s="28" t="n">
        <v>2021</v>
      </c>
      <c r="B1748" s="28" t="s">
        <v>99</v>
      </c>
      <c r="C1748" s="28" t="s">
        <v>55</v>
      </c>
      <c r="D1748" s="28" t="n">
        <v>22</v>
      </c>
      <c r="E1748" s="29" t="n">
        <v>7097600</v>
      </c>
      <c r="F1748" s="30" t="n">
        <v>100.75</v>
      </c>
      <c r="G1748" s="31" t="n">
        <f aca="false">IFERROR(F1748/D1748,0)</f>
        <v>4.57954545454545</v>
      </c>
    </row>
    <row r="1749" customFormat="false" ht="15" hidden="false" customHeight="false" outlineLevel="0" collapsed="false">
      <c r="A1749" s="28" t="n">
        <v>2021</v>
      </c>
      <c r="B1749" s="28" t="s">
        <v>99</v>
      </c>
      <c r="C1749" s="28" t="s">
        <v>51</v>
      </c>
      <c r="D1749" s="28" t="n">
        <v>38</v>
      </c>
      <c r="E1749" s="29" t="n">
        <v>17667400</v>
      </c>
      <c r="F1749" s="30" t="n">
        <v>202.64</v>
      </c>
      <c r="G1749" s="31" t="n">
        <f aca="false">IFERROR(F1749/D1749,0)</f>
        <v>5.33263157894737</v>
      </c>
    </row>
    <row r="1750" customFormat="false" ht="15" hidden="false" customHeight="false" outlineLevel="0" collapsed="false">
      <c r="A1750" s="28" t="n">
        <v>2021</v>
      </c>
      <c r="B1750" s="28" t="s">
        <v>99</v>
      </c>
      <c r="C1750" s="28" t="s">
        <v>45</v>
      </c>
      <c r="D1750" s="28" t="n">
        <v>134</v>
      </c>
      <c r="E1750" s="29" t="n">
        <v>66595800</v>
      </c>
      <c r="F1750" s="30" t="n">
        <v>667.78</v>
      </c>
      <c r="G1750" s="31" t="n">
        <f aca="false">IFERROR(F1750/D1750,0)</f>
        <v>4.9834328358209</v>
      </c>
    </row>
    <row r="1751" customFormat="false" ht="15" hidden="false" customHeight="false" outlineLevel="0" collapsed="false">
      <c r="A1751" s="28" t="n">
        <v>2021</v>
      </c>
      <c r="B1751" s="28" t="s">
        <v>99</v>
      </c>
      <c r="C1751" s="28" t="s">
        <v>56</v>
      </c>
      <c r="D1751" s="28" t="n">
        <v>6</v>
      </c>
      <c r="E1751" s="29" t="n">
        <v>3597600</v>
      </c>
      <c r="F1751" s="30" t="n">
        <v>33.45</v>
      </c>
      <c r="G1751" s="31" t="n">
        <f aca="false">IFERROR(F1751/D1751,0)</f>
        <v>5.575</v>
      </c>
    </row>
    <row r="1752" customFormat="false" ht="15" hidden="false" customHeight="false" outlineLevel="0" collapsed="false">
      <c r="A1752" s="28" t="n">
        <v>2021</v>
      </c>
      <c r="B1752" s="28" t="s">
        <v>99</v>
      </c>
      <c r="C1752" s="28" t="s">
        <v>54</v>
      </c>
      <c r="D1752" s="28" t="n">
        <v>14</v>
      </c>
      <c r="E1752" s="29" t="n">
        <v>4273100</v>
      </c>
      <c r="F1752" s="30" t="n">
        <v>75.08</v>
      </c>
      <c r="G1752" s="31" t="n">
        <f aca="false">IFERROR(F1752/D1752,0)</f>
        <v>5.36285714285714</v>
      </c>
    </row>
    <row r="1753" customFormat="false" ht="15" hidden="false" customHeight="false" outlineLevel="0" collapsed="false">
      <c r="A1753" s="28" t="n">
        <v>2021</v>
      </c>
      <c r="B1753" s="28" t="s">
        <v>99</v>
      </c>
      <c r="C1753" s="28" t="s">
        <v>44</v>
      </c>
      <c r="D1753" s="28" t="n">
        <v>88</v>
      </c>
      <c r="E1753" s="29" t="n">
        <v>65832500</v>
      </c>
      <c r="F1753" s="30" t="n">
        <v>442.468</v>
      </c>
      <c r="G1753" s="31" t="n">
        <f aca="false">IFERROR(F1753/D1753,0)</f>
        <v>5.02804545454546</v>
      </c>
    </row>
    <row r="1754" customFormat="false" ht="15" hidden="false" customHeight="false" outlineLevel="0" collapsed="false">
      <c r="A1754" s="28" t="n">
        <v>2021</v>
      </c>
      <c r="B1754" s="28" t="s">
        <v>99</v>
      </c>
      <c r="C1754" s="28" t="s">
        <v>57</v>
      </c>
      <c r="D1754" s="28" t="n">
        <v>7</v>
      </c>
      <c r="E1754" s="29" t="n">
        <v>2323200</v>
      </c>
      <c r="F1754" s="30" t="n">
        <v>34.23</v>
      </c>
      <c r="G1754" s="31" t="n">
        <f aca="false">IFERROR(F1754/D1754,0)</f>
        <v>4.89</v>
      </c>
    </row>
    <row r="1755" customFormat="false" ht="15" hidden="false" customHeight="false" outlineLevel="0" collapsed="false">
      <c r="A1755" s="28" t="n">
        <v>2021</v>
      </c>
      <c r="B1755" s="28" t="s">
        <v>99</v>
      </c>
      <c r="C1755" s="28" t="s">
        <v>59</v>
      </c>
      <c r="D1755" s="28" t="n">
        <v>3</v>
      </c>
      <c r="E1755" s="29" t="n">
        <v>362400</v>
      </c>
      <c r="F1755" s="30" t="n">
        <v>17</v>
      </c>
      <c r="G1755" s="31" t="n">
        <f aca="false">IFERROR(F1755/D1755,0)</f>
        <v>5.66666666666667</v>
      </c>
    </row>
    <row r="1756" customFormat="false" ht="15" hidden="false" customHeight="false" outlineLevel="0" collapsed="false">
      <c r="A1756" s="28" t="n">
        <v>2021</v>
      </c>
      <c r="B1756" s="28" t="s">
        <v>99</v>
      </c>
      <c r="C1756" s="28" t="s">
        <v>47</v>
      </c>
      <c r="D1756" s="28" t="n">
        <v>176</v>
      </c>
      <c r="E1756" s="29" t="n">
        <v>129952800</v>
      </c>
      <c r="F1756" s="30" t="n">
        <v>871.155</v>
      </c>
      <c r="G1756" s="31" t="n">
        <f aca="false">IFERROR(F1756/D1756,0)</f>
        <v>4.94974431818182</v>
      </c>
    </row>
    <row r="1757" customFormat="false" ht="15" hidden="false" customHeight="false" outlineLevel="0" collapsed="false">
      <c r="A1757" s="28" t="n">
        <v>2021</v>
      </c>
      <c r="B1757" s="28" t="s">
        <v>99</v>
      </c>
      <c r="C1757" s="28" t="s">
        <v>58</v>
      </c>
      <c r="D1757" s="28" t="n">
        <v>3</v>
      </c>
      <c r="E1757" s="29" t="n">
        <v>3320000</v>
      </c>
      <c r="F1757" s="30" t="n">
        <v>13.85</v>
      </c>
      <c r="G1757" s="31" t="n">
        <f aca="false">IFERROR(F1757/D1757,0)</f>
        <v>4.61666666666667</v>
      </c>
    </row>
    <row r="1758" customFormat="false" ht="15" hidden="false" customHeight="false" outlineLevel="0" collapsed="false">
      <c r="A1758" s="28" t="n">
        <v>2021</v>
      </c>
      <c r="B1758" s="28" t="s">
        <v>99</v>
      </c>
      <c r="C1758" s="28" t="s">
        <v>46</v>
      </c>
      <c r="D1758" s="28" t="n">
        <v>106</v>
      </c>
      <c r="E1758" s="29" t="n">
        <v>52248300</v>
      </c>
      <c r="F1758" s="30" t="n">
        <v>570.67</v>
      </c>
      <c r="G1758" s="31" t="n">
        <f aca="false">IFERROR(F1758/D1758,0)</f>
        <v>5.38367924528302</v>
      </c>
    </row>
    <row r="1759" customFormat="false" ht="15" hidden="false" customHeight="false" outlineLevel="0" collapsed="false">
      <c r="A1759" s="28" t="n">
        <v>2021</v>
      </c>
      <c r="B1759" s="28" t="s">
        <v>99</v>
      </c>
      <c r="C1759" s="28" t="s">
        <v>48</v>
      </c>
      <c r="D1759" s="28" t="n">
        <v>65</v>
      </c>
      <c r="E1759" s="29" t="n">
        <v>31375700</v>
      </c>
      <c r="F1759" s="30" t="n">
        <v>329.45</v>
      </c>
      <c r="G1759" s="31" t="n">
        <f aca="false">IFERROR(F1759/D1759,0)</f>
        <v>5.06846153846154</v>
      </c>
    </row>
    <row r="1760" customFormat="false" ht="15" hidden="false" customHeight="false" outlineLevel="0" collapsed="false">
      <c r="A1760" s="28" t="n">
        <v>2021</v>
      </c>
      <c r="B1760" s="28" t="s">
        <v>99</v>
      </c>
      <c r="C1760" s="28" t="s">
        <v>53</v>
      </c>
      <c r="D1760" s="28" t="n">
        <v>39</v>
      </c>
      <c r="E1760" s="29" t="n">
        <v>28553000</v>
      </c>
      <c r="F1760" s="30" t="n">
        <v>191.59</v>
      </c>
      <c r="G1760" s="31" t="n">
        <f aca="false">IFERROR(F1760/D1760,0)</f>
        <v>4.9125641025641</v>
      </c>
    </row>
    <row r="1761" customFormat="false" ht="15" hidden="false" customHeight="false" outlineLevel="0" collapsed="false">
      <c r="A1761" s="28" t="n">
        <v>2021</v>
      </c>
      <c r="B1761" s="28" t="s">
        <v>99</v>
      </c>
      <c r="C1761" s="28" t="s">
        <v>43</v>
      </c>
      <c r="D1761" s="28" t="n">
        <v>167</v>
      </c>
      <c r="E1761" s="29" t="n">
        <v>119990200</v>
      </c>
      <c r="F1761" s="30" t="n">
        <v>840.6</v>
      </c>
      <c r="G1761" s="31" t="n">
        <f aca="false">IFERROR(F1761/D1761,0)</f>
        <v>5.03353293413174</v>
      </c>
    </row>
    <row r="1762" customFormat="false" ht="15" hidden="false" customHeight="false" outlineLevel="0" collapsed="false">
      <c r="A1762" s="28" t="n">
        <v>2021</v>
      </c>
      <c r="B1762" s="28" t="s">
        <v>99</v>
      </c>
      <c r="C1762" s="28" t="s">
        <v>52</v>
      </c>
      <c r="D1762" s="28" t="n">
        <v>68</v>
      </c>
      <c r="E1762" s="29" t="n">
        <v>27736200</v>
      </c>
      <c r="F1762" s="30" t="n">
        <v>358.27</v>
      </c>
      <c r="G1762" s="31" t="n">
        <f aca="false">IFERROR(F1762/D1762,0)</f>
        <v>5.26867647058824</v>
      </c>
    </row>
    <row r="1763" customFormat="false" ht="15" hidden="false" customHeight="false" outlineLevel="0" collapsed="false">
      <c r="A1763" s="28" t="n">
        <v>2021</v>
      </c>
      <c r="B1763" s="28" t="s">
        <v>99</v>
      </c>
      <c r="C1763" s="28" t="s">
        <v>60</v>
      </c>
      <c r="D1763" s="28" t="n">
        <v>2</v>
      </c>
      <c r="E1763" s="29" t="n">
        <v>1130000</v>
      </c>
      <c r="F1763" s="30" t="n">
        <v>9.25</v>
      </c>
      <c r="G1763" s="31" t="n">
        <f aca="false">IFERROR(F1763/D1763,0)</f>
        <v>4.625</v>
      </c>
    </row>
    <row r="1764" customFormat="false" ht="15" hidden="false" customHeight="false" outlineLevel="0" collapsed="false">
      <c r="A1764" s="28" t="n">
        <v>2021</v>
      </c>
      <c r="B1764" s="28" t="s">
        <v>99</v>
      </c>
      <c r="C1764" s="28" t="s">
        <v>49</v>
      </c>
      <c r="D1764" s="28" t="n">
        <v>41</v>
      </c>
      <c r="E1764" s="29" t="n">
        <v>21716100</v>
      </c>
      <c r="F1764" s="30" t="n">
        <v>215.29</v>
      </c>
      <c r="G1764" s="31" t="n">
        <f aca="false">IFERROR(F1764/D1764,0)</f>
        <v>5.2509756097561</v>
      </c>
    </row>
    <row r="1765" customFormat="false" ht="15" hidden="false" customHeight="false" outlineLevel="0" collapsed="false">
      <c r="A1765" s="28" t="n">
        <v>2021</v>
      </c>
      <c r="B1765" s="28" t="s">
        <v>123</v>
      </c>
      <c r="C1765" s="28" t="s">
        <v>42</v>
      </c>
      <c r="D1765" s="28" t="n">
        <v>32</v>
      </c>
      <c r="E1765" s="29" t="n">
        <v>25097400</v>
      </c>
      <c r="F1765" s="30" t="n">
        <v>176.45</v>
      </c>
      <c r="G1765" s="31" t="n">
        <f aca="false">IFERROR(F1765/D1765,0)</f>
        <v>5.5140625</v>
      </c>
    </row>
    <row r="1766" customFormat="false" ht="15" hidden="false" customHeight="false" outlineLevel="0" collapsed="false">
      <c r="A1766" s="28" t="n">
        <v>2021</v>
      </c>
      <c r="B1766" s="28" t="s">
        <v>123</v>
      </c>
      <c r="C1766" s="28" t="s">
        <v>50</v>
      </c>
      <c r="D1766" s="28" t="n">
        <v>11</v>
      </c>
      <c r="E1766" s="29" t="n">
        <v>3275800</v>
      </c>
      <c r="F1766" s="30" t="n">
        <v>58.6</v>
      </c>
      <c r="G1766" s="31" t="n">
        <f aca="false">IFERROR(F1766/D1766,0)</f>
        <v>5.32727272727273</v>
      </c>
    </row>
    <row r="1767" customFormat="false" ht="15" hidden="false" customHeight="false" outlineLevel="0" collapsed="false">
      <c r="A1767" s="28" t="n">
        <v>2021</v>
      </c>
      <c r="B1767" s="28" t="s">
        <v>123</v>
      </c>
      <c r="C1767" s="28" t="s">
        <v>55</v>
      </c>
      <c r="D1767" s="28" t="n">
        <v>2</v>
      </c>
      <c r="E1767" s="29" t="n">
        <v>949000</v>
      </c>
      <c r="F1767" s="30" t="n">
        <v>9.5</v>
      </c>
      <c r="G1767" s="31" t="n">
        <f aca="false">IFERROR(F1767/D1767,0)</f>
        <v>4.75</v>
      </c>
    </row>
    <row r="1768" customFormat="false" ht="15" hidden="false" customHeight="false" outlineLevel="0" collapsed="false">
      <c r="A1768" s="28" t="n">
        <v>2021</v>
      </c>
      <c r="B1768" s="28" t="s">
        <v>123</v>
      </c>
      <c r="C1768" s="28" t="s">
        <v>51</v>
      </c>
      <c r="D1768" s="28" t="n">
        <v>2</v>
      </c>
      <c r="E1768" s="29" t="n">
        <v>790000</v>
      </c>
      <c r="F1768" s="30" t="n">
        <v>8.75</v>
      </c>
      <c r="G1768" s="31" t="n">
        <f aca="false">IFERROR(F1768/D1768,0)</f>
        <v>4.375</v>
      </c>
    </row>
    <row r="1769" customFormat="false" ht="15" hidden="false" customHeight="false" outlineLevel="0" collapsed="false">
      <c r="A1769" s="28" t="n">
        <v>2021</v>
      </c>
      <c r="B1769" s="28" t="s">
        <v>123</v>
      </c>
      <c r="C1769" s="28" t="s">
        <v>45</v>
      </c>
      <c r="D1769" s="28" t="n">
        <v>18</v>
      </c>
      <c r="E1769" s="29" t="n">
        <v>9459700</v>
      </c>
      <c r="F1769" s="30" t="n">
        <v>99.17</v>
      </c>
      <c r="G1769" s="31" t="n">
        <f aca="false">IFERROR(F1769/D1769,0)</f>
        <v>5.50944444444444</v>
      </c>
    </row>
    <row r="1770" customFormat="false" ht="15" hidden="false" customHeight="false" outlineLevel="0" collapsed="false">
      <c r="A1770" s="28" t="n">
        <v>2021</v>
      </c>
      <c r="B1770" s="28" t="s">
        <v>123</v>
      </c>
      <c r="C1770" s="28" t="s">
        <v>56</v>
      </c>
      <c r="D1770" s="28" t="n">
        <v>2</v>
      </c>
      <c r="E1770" s="29" t="n">
        <v>125000</v>
      </c>
      <c r="F1770" s="30" t="n">
        <v>7</v>
      </c>
      <c r="G1770" s="31" t="n">
        <f aca="false">IFERROR(F1770/D1770,0)</f>
        <v>3.5</v>
      </c>
    </row>
    <row r="1771" customFormat="false" ht="15" hidden="false" customHeight="false" outlineLevel="0" collapsed="false">
      <c r="A1771" s="28" t="n">
        <v>2021</v>
      </c>
      <c r="B1771" s="28" t="s">
        <v>123</v>
      </c>
      <c r="C1771" s="28" t="s">
        <v>54</v>
      </c>
      <c r="D1771" s="28" t="n">
        <v>5</v>
      </c>
      <c r="E1771" s="29" t="n">
        <v>4267500</v>
      </c>
      <c r="F1771" s="30" t="n">
        <v>27.1</v>
      </c>
      <c r="G1771" s="31" t="n">
        <f aca="false">IFERROR(F1771/D1771,0)</f>
        <v>5.42</v>
      </c>
    </row>
    <row r="1772" customFormat="false" ht="15" hidden="false" customHeight="false" outlineLevel="0" collapsed="false">
      <c r="A1772" s="28" t="n">
        <v>2021</v>
      </c>
      <c r="B1772" s="28" t="s">
        <v>123</v>
      </c>
      <c r="C1772" s="28" t="s">
        <v>44</v>
      </c>
      <c r="D1772" s="28" t="n">
        <v>23</v>
      </c>
      <c r="E1772" s="29" t="n">
        <v>7874500</v>
      </c>
      <c r="F1772" s="30" t="n">
        <v>114.48</v>
      </c>
      <c r="G1772" s="31" t="n">
        <f aca="false">IFERROR(F1772/D1772,0)</f>
        <v>4.97739130434783</v>
      </c>
    </row>
    <row r="1773" customFormat="false" ht="15" hidden="false" customHeight="false" outlineLevel="0" collapsed="false">
      <c r="A1773" s="28" t="n">
        <v>2021</v>
      </c>
      <c r="B1773" s="28" t="s">
        <v>123</v>
      </c>
      <c r="C1773" s="28" t="s">
        <v>57</v>
      </c>
      <c r="D1773" s="28" t="n">
        <v>2</v>
      </c>
      <c r="E1773" s="29" t="n">
        <v>191500</v>
      </c>
      <c r="F1773" s="30" t="n">
        <v>10.44</v>
      </c>
      <c r="G1773" s="31" t="n">
        <f aca="false">IFERROR(F1773/D1773,0)</f>
        <v>5.22</v>
      </c>
    </row>
    <row r="1774" customFormat="false" ht="15" hidden="false" customHeight="false" outlineLevel="0" collapsed="false">
      <c r="A1774" s="28" t="n">
        <v>2021</v>
      </c>
      <c r="B1774" s="28" t="s">
        <v>123</v>
      </c>
      <c r="C1774" s="28" t="s">
        <v>59</v>
      </c>
      <c r="D1774" s="28" t="n">
        <v>2</v>
      </c>
      <c r="E1774" s="29" t="n">
        <v>850000</v>
      </c>
      <c r="F1774" s="30" t="n">
        <v>8.54</v>
      </c>
      <c r="G1774" s="31" t="n">
        <f aca="false">IFERROR(F1774/D1774,0)</f>
        <v>4.27</v>
      </c>
    </row>
    <row r="1775" customFormat="false" ht="15" hidden="false" customHeight="false" outlineLevel="0" collapsed="false">
      <c r="A1775" s="28" t="n">
        <v>2021</v>
      </c>
      <c r="B1775" s="28" t="s">
        <v>123</v>
      </c>
      <c r="C1775" s="28" t="s">
        <v>47</v>
      </c>
      <c r="D1775" s="28" t="n">
        <v>2</v>
      </c>
      <c r="E1775" s="29" t="n">
        <v>800000</v>
      </c>
      <c r="F1775" s="30" t="n">
        <v>5</v>
      </c>
      <c r="G1775" s="31" t="n">
        <f aca="false">IFERROR(F1775/D1775,0)</f>
        <v>2.5</v>
      </c>
    </row>
    <row r="1776" customFormat="false" ht="15" hidden="false" customHeight="false" outlineLevel="0" collapsed="false">
      <c r="A1776" s="28" t="n">
        <v>2021</v>
      </c>
      <c r="B1776" s="28" t="s">
        <v>123</v>
      </c>
      <c r="C1776" s="28" t="s">
        <v>46</v>
      </c>
      <c r="D1776" s="28" t="n">
        <v>22</v>
      </c>
      <c r="E1776" s="29" t="n">
        <v>6034200</v>
      </c>
      <c r="F1776" s="30" t="n">
        <v>113.25</v>
      </c>
      <c r="G1776" s="31" t="n">
        <f aca="false">IFERROR(F1776/D1776,0)</f>
        <v>5.14772727272727</v>
      </c>
    </row>
    <row r="1777" customFormat="false" ht="15" hidden="false" customHeight="false" outlineLevel="0" collapsed="false">
      <c r="A1777" s="28" t="n">
        <v>2021</v>
      </c>
      <c r="B1777" s="28" t="s">
        <v>123</v>
      </c>
      <c r="C1777" s="28" t="s">
        <v>48</v>
      </c>
      <c r="D1777" s="28" t="n">
        <v>13</v>
      </c>
      <c r="E1777" s="29" t="n">
        <v>11702200</v>
      </c>
      <c r="F1777" s="30" t="n">
        <v>65.48</v>
      </c>
      <c r="G1777" s="31" t="n">
        <f aca="false">IFERROR(F1777/D1777,0)</f>
        <v>5.03692307692308</v>
      </c>
    </row>
    <row r="1778" customFormat="false" ht="15" hidden="false" customHeight="false" outlineLevel="0" collapsed="false">
      <c r="A1778" s="28" t="n">
        <v>2021</v>
      </c>
      <c r="B1778" s="28" t="s">
        <v>123</v>
      </c>
      <c r="C1778" s="28" t="s">
        <v>53</v>
      </c>
      <c r="D1778" s="28" t="n">
        <v>4</v>
      </c>
      <c r="E1778" s="29" t="n">
        <v>1969000</v>
      </c>
      <c r="F1778" s="30" t="n">
        <v>18.5</v>
      </c>
      <c r="G1778" s="31" t="n">
        <f aca="false">IFERROR(F1778/D1778,0)</f>
        <v>4.625</v>
      </c>
    </row>
    <row r="1779" customFormat="false" ht="15" hidden="false" customHeight="false" outlineLevel="0" collapsed="false">
      <c r="A1779" s="28" t="n">
        <v>2021</v>
      </c>
      <c r="B1779" s="28" t="s">
        <v>123</v>
      </c>
      <c r="C1779" s="28" t="s">
        <v>43</v>
      </c>
      <c r="D1779" s="28" t="n">
        <v>7</v>
      </c>
      <c r="E1779" s="29" t="n">
        <v>3022300</v>
      </c>
      <c r="F1779" s="30" t="n">
        <v>37.75</v>
      </c>
      <c r="G1779" s="31" t="n">
        <f aca="false">IFERROR(F1779/D1779,0)</f>
        <v>5.39285714285714</v>
      </c>
    </row>
    <row r="1780" customFormat="false" ht="15" hidden="false" customHeight="false" outlineLevel="0" collapsed="false">
      <c r="A1780" s="28" t="n">
        <v>2021</v>
      </c>
      <c r="B1780" s="28" t="s">
        <v>123</v>
      </c>
      <c r="C1780" s="28" t="s">
        <v>52</v>
      </c>
      <c r="D1780" s="28" t="n">
        <v>19</v>
      </c>
      <c r="E1780" s="29" t="n">
        <v>3892700</v>
      </c>
      <c r="F1780" s="30" t="n">
        <v>103.32</v>
      </c>
      <c r="G1780" s="31" t="n">
        <f aca="false">IFERROR(F1780/D1780,0)</f>
        <v>5.43789473684211</v>
      </c>
    </row>
    <row r="1781" customFormat="false" ht="15" hidden="false" customHeight="false" outlineLevel="0" collapsed="false">
      <c r="A1781" s="28" t="n">
        <v>2021</v>
      </c>
      <c r="B1781" s="28" t="s">
        <v>123</v>
      </c>
      <c r="C1781" s="28" t="s">
        <v>49</v>
      </c>
      <c r="D1781" s="28" t="n">
        <v>5</v>
      </c>
      <c r="E1781" s="29" t="n">
        <v>4275200</v>
      </c>
      <c r="F1781" s="30" t="n">
        <v>26.5</v>
      </c>
      <c r="G1781" s="31" t="n">
        <f aca="false">IFERROR(F1781/D1781,0)</f>
        <v>5.3</v>
      </c>
    </row>
    <row r="1782" customFormat="false" ht="15" hidden="false" customHeight="false" outlineLevel="0" collapsed="false">
      <c r="A1782" s="28" t="n">
        <v>2021</v>
      </c>
      <c r="B1782" s="28" t="s">
        <v>125</v>
      </c>
      <c r="C1782" s="28" t="s">
        <v>42</v>
      </c>
      <c r="D1782" s="28" t="n">
        <v>26</v>
      </c>
      <c r="E1782" s="29" t="n">
        <v>19930200</v>
      </c>
      <c r="F1782" s="30" t="n">
        <v>135.53</v>
      </c>
      <c r="G1782" s="31" t="n">
        <f aca="false">IFERROR(F1782/D1782,0)</f>
        <v>5.21269230769231</v>
      </c>
    </row>
    <row r="1783" customFormat="false" ht="15" hidden="false" customHeight="false" outlineLevel="0" collapsed="false">
      <c r="A1783" s="28" t="n">
        <v>2021</v>
      </c>
      <c r="B1783" s="28" t="s">
        <v>125</v>
      </c>
      <c r="C1783" s="28" t="s">
        <v>50</v>
      </c>
      <c r="D1783" s="28" t="n">
        <v>5</v>
      </c>
      <c r="E1783" s="29" t="n">
        <v>3821300</v>
      </c>
      <c r="F1783" s="30" t="n">
        <v>22.69</v>
      </c>
      <c r="G1783" s="31" t="n">
        <f aca="false">IFERROR(F1783/D1783,0)</f>
        <v>4.538</v>
      </c>
    </row>
    <row r="1784" customFormat="false" ht="15" hidden="false" customHeight="false" outlineLevel="0" collapsed="false">
      <c r="A1784" s="28" t="n">
        <v>2021</v>
      </c>
      <c r="B1784" s="28" t="s">
        <v>125</v>
      </c>
      <c r="C1784" s="28" t="s">
        <v>55</v>
      </c>
      <c r="D1784" s="28" t="n">
        <v>2</v>
      </c>
      <c r="E1784" s="29" t="n">
        <v>91400</v>
      </c>
      <c r="F1784" s="30" t="n">
        <v>14.5</v>
      </c>
      <c r="G1784" s="31" t="n">
        <f aca="false">IFERROR(F1784/D1784,0)</f>
        <v>7.25</v>
      </c>
    </row>
    <row r="1785" customFormat="false" ht="15" hidden="false" customHeight="false" outlineLevel="0" collapsed="false">
      <c r="A1785" s="28" t="n">
        <v>2021</v>
      </c>
      <c r="B1785" s="28" t="s">
        <v>125</v>
      </c>
      <c r="C1785" s="28" t="s">
        <v>51</v>
      </c>
      <c r="D1785" s="28" t="n">
        <v>2</v>
      </c>
      <c r="E1785" s="29" t="n">
        <v>1798900</v>
      </c>
      <c r="F1785" s="30" t="n">
        <v>11.5</v>
      </c>
      <c r="G1785" s="31" t="n">
        <f aca="false">IFERROR(F1785/D1785,0)</f>
        <v>5.75</v>
      </c>
    </row>
    <row r="1786" customFormat="false" ht="15" hidden="false" customHeight="false" outlineLevel="0" collapsed="false">
      <c r="A1786" s="28" t="n">
        <v>2021</v>
      </c>
      <c r="B1786" s="28" t="s">
        <v>125</v>
      </c>
      <c r="C1786" s="28" t="s">
        <v>45</v>
      </c>
      <c r="D1786" s="28" t="n">
        <v>9</v>
      </c>
      <c r="E1786" s="29" t="n">
        <v>5311700</v>
      </c>
      <c r="F1786" s="30" t="n">
        <v>39.65</v>
      </c>
      <c r="G1786" s="31" t="n">
        <f aca="false">IFERROR(F1786/D1786,0)</f>
        <v>4.40555555555556</v>
      </c>
    </row>
    <row r="1787" customFormat="false" ht="15" hidden="false" customHeight="false" outlineLevel="0" collapsed="false">
      <c r="A1787" s="28" t="n">
        <v>2021</v>
      </c>
      <c r="B1787" s="28" t="s">
        <v>125</v>
      </c>
      <c r="C1787" s="28" t="s">
        <v>54</v>
      </c>
      <c r="D1787" s="28" t="n">
        <v>2</v>
      </c>
      <c r="E1787" s="29" t="n">
        <v>708000</v>
      </c>
      <c r="F1787" s="30" t="n">
        <v>11.25</v>
      </c>
      <c r="G1787" s="31" t="n">
        <f aca="false">IFERROR(F1787/D1787,0)</f>
        <v>5.625</v>
      </c>
    </row>
    <row r="1788" customFormat="false" ht="15" hidden="false" customHeight="false" outlineLevel="0" collapsed="false">
      <c r="A1788" s="28" t="n">
        <v>2021</v>
      </c>
      <c r="B1788" s="28" t="s">
        <v>125</v>
      </c>
      <c r="C1788" s="28" t="s">
        <v>44</v>
      </c>
      <c r="D1788" s="28" t="n">
        <v>2</v>
      </c>
      <c r="E1788" s="29" t="n">
        <v>843500</v>
      </c>
      <c r="F1788" s="30" t="n">
        <v>9.25</v>
      </c>
      <c r="G1788" s="31" t="n">
        <f aca="false">IFERROR(F1788/D1788,0)</f>
        <v>4.625</v>
      </c>
    </row>
    <row r="1789" customFormat="false" ht="15" hidden="false" customHeight="false" outlineLevel="0" collapsed="false">
      <c r="A1789" s="28" t="n">
        <v>2021</v>
      </c>
      <c r="B1789" s="28" t="s">
        <v>125</v>
      </c>
      <c r="C1789" s="28" t="s">
        <v>47</v>
      </c>
      <c r="D1789" s="28" t="n">
        <v>5</v>
      </c>
      <c r="E1789" s="29" t="n">
        <v>4529100</v>
      </c>
      <c r="F1789" s="30" t="n">
        <v>24.875</v>
      </c>
      <c r="G1789" s="31" t="n">
        <f aca="false">IFERROR(F1789/D1789,0)</f>
        <v>4.975</v>
      </c>
    </row>
    <row r="1790" customFormat="false" ht="15" hidden="false" customHeight="false" outlineLevel="0" collapsed="false">
      <c r="A1790" s="28" t="n">
        <v>2021</v>
      </c>
      <c r="B1790" s="28" t="s">
        <v>125</v>
      </c>
      <c r="C1790" s="28" t="s">
        <v>58</v>
      </c>
      <c r="D1790" s="28" t="n">
        <v>2</v>
      </c>
      <c r="E1790" s="29" t="n">
        <v>5697500</v>
      </c>
      <c r="F1790" s="30" t="n">
        <v>10.2</v>
      </c>
      <c r="G1790" s="31" t="n">
        <f aca="false">IFERROR(F1790/D1790,0)</f>
        <v>5.1</v>
      </c>
    </row>
    <row r="1791" customFormat="false" ht="15" hidden="false" customHeight="false" outlineLevel="0" collapsed="false">
      <c r="A1791" s="28" t="n">
        <v>2021</v>
      </c>
      <c r="B1791" s="28" t="s">
        <v>125</v>
      </c>
      <c r="C1791" s="28" t="s">
        <v>46</v>
      </c>
      <c r="D1791" s="28" t="n">
        <v>7</v>
      </c>
      <c r="E1791" s="29" t="n">
        <v>1215500</v>
      </c>
      <c r="F1791" s="30" t="n">
        <v>40.4</v>
      </c>
      <c r="G1791" s="31" t="n">
        <f aca="false">IFERROR(F1791/D1791,0)</f>
        <v>5.77142857142857</v>
      </c>
    </row>
    <row r="1792" customFormat="false" ht="15" hidden="false" customHeight="false" outlineLevel="0" collapsed="false">
      <c r="A1792" s="28" t="n">
        <v>2021</v>
      </c>
      <c r="B1792" s="28" t="s">
        <v>125</v>
      </c>
      <c r="C1792" s="28" t="s">
        <v>48</v>
      </c>
      <c r="D1792" s="28" t="n">
        <v>6</v>
      </c>
      <c r="E1792" s="29" t="n">
        <v>713400</v>
      </c>
      <c r="F1792" s="30" t="n">
        <v>36.94</v>
      </c>
      <c r="G1792" s="31" t="n">
        <f aca="false">IFERROR(F1792/D1792,0)</f>
        <v>6.15666666666667</v>
      </c>
    </row>
    <row r="1793" customFormat="false" ht="15" hidden="false" customHeight="false" outlineLevel="0" collapsed="false">
      <c r="A1793" s="28" t="n">
        <v>2021</v>
      </c>
      <c r="B1793" s="28" t="s">
        <v>125</v>
      </c>
      <c r="C1793" s="28" t="s">
        <v>53</v>
      </c>
      <c r="D1793" s="28" t="n">
        <v>2</v>
      </c>
      <c r="E1793" s="29" t="n">
        <v>521200</v>
      </c>
      <c r="F1793" s="30" t="n">
        <v>7.95</v>
      </c>
      <c r="G1793" s="31" t="n">
        <f aca="false">IFERROR(F1793/D1793,0)</f>
        <v>3.975</v>
      </c>
    </row>
    <row r="1794" customFormat="false" ht="15" hidden="false" customHeight="false" outlineLevel="0" collapsed="false">
      <c r="A1794" s="28" t="n">
        <v>2021</v>
      </c>
      <c r="B1794" s="28" t="s">
        <v>125</v>
      </c>
      <c r="C1794" s="28" t="s">
        <v>43</v>
      </c>
      <c r="D1794" s="28" t="n">
        <v>14</v>
      </c>
      <c r="E1794" s="29" t="n">
        <v>7056600</v>
      </c>
      <c r="F1794" s="30" t="n">
        <v>73.2</v>
      </c>
      <c r="G1794" s="31" t="n">
        <f aca="false">IFERROR(F1794/D1794,0)</f>
        <v>5.22857142857143</v>
      </c>
    </row>
    <row r="1795" customFormat="false" ht="15" hidden="false" customHeight="false" outlineLevel="0" collapsed="false">
      <c r="A1795" s="28" t="n">
        <v>2021</v>
      </c>
      <c r="B1795" s="28" t="s">
        <v>125</v>
      </c>
      <c r="C1795" s="28" t="s">
        <v>52</v>
      </c>
      <c r="D1795" s="28" t="n">
        <v>3</v>
      </c>
      <c r="E1795" s="29" t="n">
        <v>1401900</v>
      </c>
      <c r="F1795" s="30" t="n">
        <v>15.7</v>
      </c>
      <c r="G1795" s="31" t="n">
        <f aca="false">IFERROR(F1795/D1795,0)</f>
        <v>5.23333333333333</v>
      </c>
    </row>
    <row r="1796" customFormat="false" ht="15" hidden="false" customHeight="false" outlineLevel="0" collapsed="false">
      <c r="A1796" s="28" t="n">
        <v>2021</v>
      </c>
      <c r="B1796" s="28" t="s">
        <v>125</v>
      </c>
      <c r="C1796" s="28" t="s">
        <v>49</v>
      </c>
      <c r="D1796" s="28" t="n">
        <v>13</v>
      </c>
      <c r="E1796" s="29" t="n">
        <v>1723900</v>
      </c>
      <c r="F1796" s="30" t="n">
        <v>60.75</v>
      </c>
      <c r="G1796" s="31" t="n">
        <f aca="false">IFERROR(F1796/D1796,0)</f>
        <v>4.67307692307692</v>
      </c>
    </row>
    <row r="1797" customFormat="false" ht="15" hidden="false" customHeight="false" outlineLevel="0" collapsed="false">
      <c r="A1797" s="28" t="n">
        <v>2022</v>
      </c>
      <c r="B1797" s="28" t="s">
        <v>74</v>
      </c>
      <c r="C1797" s="28" t="s">
        <v>42</v>
      </c>
      <c r="D1797" s="28" t="n">
        <v>9</v>
      </c>
      <c r="E1797" s="29" t="n">
        <v>4841000</v>
      </c>
      <c r="F1797" s="30" t="n">
        <v>59</v>
      </c>
      <c r="G1797" s="31" t="n">
        <f aca="false">IFERROR(F1797/D1797,0)</f>
        <v>6.55555555555556</v>
      </c>
    </row>
    <row r="1798" customFormat="false" ht="15" hidden="false" customHeight="false" outlineLevel="0" collapsed="false">
      <c r="A1798" s="28" t="n">
        <v>2022</v>
      </c>
      <c r="B1798" s="28" t="s">
        <v>74</v>
      </c>
      <c r="C1798" s="28" t="s">
        <v>50</v>
      </c>
      <c r="D1798" s="28" t="n">
        <v>7</v>
      </c>
      <c r="E1798" s="29" t="n">
        <v>11479400</v>
      </c>
      <c r="F1798" s="30" t="n">
        <v>53.25</v>
      </c>
      <c r="G1798" s="31" t="n">
        <f aca="false">IFERROR(F1798/D1798,0)</f>
        <v>7.60714285714286</v>
      </c>
    </row>
    <row r="1799" customFormat="false" ht="15" hidden="false" customHeight="false" outlineLevel="0" collapsed="false">
      <c r="A1799" s="28" t="n">
        <v>2022</v>
      </c>
      <c r="B1799" s="28" t="s">
        <v>74</v>
      </c>
      <c r="C1799" s="28" t="s">
        <v>55</v>
      </c>
      <c r="D1799" s="28" t="n">
        <v>3</v>
      </c>
      <c r="E1799" s="29" t="n">
        <v>1815000</v>
      </c>
      <c r="F1799" s="30" t="n">
        <v>16.49</v>
      </c>
      <c r="G1799" s="31" t="n">
        <f aca="false">IFERROR(F1799/D1799,0)</f>
        <v>5.49666666666667</v>
      </c>
    </row>
    <row r="1800" customFormat="false" ht="15" hidden="false" customHeight="false" outlineLevel="0" collapsed="false">
      <c r="A1800" s="28" t="n">
        <v>2022</v>
      </c>
      <c r="B1800" s="28" t="s">
        <v>74</v>
      </c>
      <c r="C1800" s="28" t="s">
        <v>45</v>
      </c>
      <c r="D1800" s="28" t="n">
        <v>13</v>
      </c>
      <c r="E1800" s="29" t="n">
        <v>10087800</v>
      </c>
      <c r="F1800" s="30" t="n">
        <v>95.06</v>
      </c>
      <c r="G1800" s="31" t="n">
        <f aca="false">IFERROR(F1800/D1800,0)</f>
        <v>7.31230769230769</v>
      </c>
    </row>
    <row r="1801" customFormat="false" ht="15" hidden="false" customHeight="false" outlineLevel="0" collapsed="false">
      <c r="A1801" s="28" t="n">
        <v>2022</v>
      </c>
      <c r="B1801" s="28" t="s">
        <v>74</v>
      </c>
      <c r="C1801" s="28" t="s">
        <v>54</v>
      </c>
      <c r="D1801" s="28" t="n">
        <v>1</v>
      </c>
      <c r="E1801" s="29" t="n">
        <v>302500</v>
      </c>
      <c r="F1801" s="30" t="n">
        <v>8.25</v>
      </c>
      <c r="G1801" s="31" t="n">
        <f aca="false">IFERROR(F1801/D1801,0)</f>
        <v>8.25</v>
      </c>
    </row>
    <row r="1802" customFormat="false" ht="15" hidden="false" customHeight="false" outlineLevel="0" collapsed="false">
      <c r="A1802" s="28" t="n">
        <v>2022</v>
      </c>
      <c r="B1802" s="28" t="s">
        <v>74</v>
      </c>
      <c r="C1802" s="28" t="s">
        <v>44</v>
      </c>
      <c r="D1802" s="28" t="n">
        <v>3</v>
      </c>
      <c r="E1802" s="29" t="n">
        <v>2757600</v>
      </c>
      <c r="F1802" s="30" t="n">
        <v>16.6</v>
      </c>
      <c r="G1802" s="31" t="n">
        <f aca="false">IFERROR(F1802/D1802,0)</f>
        <v>5.53333333333333</v>
      </c>
    </row>
    <row r="1803" customFormat="false" ht="15" hidden="false" customHeight="false" outlineLevel="0" collapsed="false">
      <c r="A1803" s="28" t="n">
        <v>2022</v>
      </c>
      <c r="B1803" s="28" t="s">
        <v>74</v>
      </c>
      <c r="C1803" s="28" t="s">
        <v>47</v>
      </c>
      <c r="D1803" s="28" t="n">
        <v>4</v>
      </c>
      <c r="E1803" s="29" t="n">
        <v>3891400</v>
      </c>
      <c r="F1803" s="30" t="n">
        <v>25.25</v>
      </c>
      <c r="G1803" s="31" t="n">
        <f aca="false">IFERROR(F1803/D1803,0)</f>
        <v>6.3125</v>
      </c>
    </row>
    <row r="1804" customFormat="false" ht="15" hidden="false" customHeight="false" outlineLevel="0" collapsed="false">
      <c r="A1804" s="28" t="n">
        <v>2022</v>
      </c>
      <c r="B1804" s="28" t="s">
        <v>74</v>
      </c>
      <c r="C1804" s="28" t="s">
        <v>58</v>
      </c>
      <c r="D1804" s="28" t="n">
        <v>1</v>
      </c>
      <c r="E1804" s="29" t="n">
        <v>450000</v>
      </c>
      <c r="F1804" s="30" t="n">
        <v>7.5</v>
      </c>
      <c r="G1804" s="31" t="n">
        <f aca="false">IFERROR(F1804/D1804,0)</f>
        <v>7.5</v>
      </c>
    </row>
    <row r="1805" customFormat="false" ht="15" hidden="false" customHeight="false" outlineLevel="0" collapsed="false">
      <c r="A1805" s="28" t="n">
        <v>2022</v>
      </c>
      <c r="B1805" s="28" t="s">
        <v>74</v>
      </c>
      <c r="C1805" s="28" t="s">
        <v>46</v>
      </c>
      <c r="D1805" s="28" t="n">
        <v>3</v>
      </c>
      <c r="E1805" s="29" t="n">
        <v>2110000</v>
      </c>
      <c r="F1805" s="30" t="n">
        <v>17.5</v>
      </c>
      <c r="G1805" s="31" t="n">
        <f aca="false">IFERROR(F1805/D1805,0)</f>
        <v>5.83333333333333</v>
      </c>
    </row>
    <row r="1806" customFormat="false" ht="15" hidden="false" customHeight="false" outlineLevel="0" collapsed="false">
      <c r="A1806" s="28" t="n">
        <v>2022</v>
      </c>
      <c r="B1806" s="28" t="s">
        <v>74</v>
      </c>
      <c r="C1806" s="28" t="s">
        <v>48</v>
      </c>
      <c r="D1806" s="28" t="n">
        <v>5</v>
      </c>
      <c r="E1806" s="29" t="n">
        <v>2721000</v>
      </c>
      <c r="F1806" s="30" t="n">
        <v>29</v>
      </c>
      <c r="G1806" s="31" t="n">
        <f aca="false">IFERROR(F1806/D1806,0)</f>
        <v>5.8</v>
      </c>
    </row>
    <row r="1807" customFormat="false" ht="15" hidden="false" customHeight="false" outlineLevel="0" collapsed="false">
      <c r="A1807" s="28" t="n">
        <v>2022</v>
      </c>
      <c r="B1807" s="28" t="s">
        <v>74</v>
      </c>
      <c r="C1807" s="28" t="s">
        <v>53</v>
      </c>
      <c r="D1807" s="28" t="n">
        <v>2</v>
      </c>
      <c r="E1807" s="29" t="n">
        <v>3100000</v>
      </c>
      <c r="F1807" s="30" t="n">
        <v>10.05</v>
      </c>
      <c r="G1807" s="31" t="n">
        <f aca="false">IFERROR(F1807/D1807,0)</f>
        <v>5.025</v>
      </c>
    </row>
    <row r="1808" customFormat="false" ht="15" hidden="false" customHeight="false" outlineLevel="0" collapsed="false">
      <c r="A1808" s="28" t="n">
        <v>2022</v>
      </c>
      <c r="B1808" s="28" t="s">
        <v>74</v>
      </c>
      <c r="C1808" s="28" t="s">
        <v>43</v>
      </c>
      <c r="D1808" s="28" t="n">
        <v>18</v>
      </c>
      <c r="E1808" s="29" t="n">
        <v>7837500</v>
      </c>
      <c r="F1808" s="30" t="n">
        <v>118.85</v>
      </c>
      <c r="G1808" s="31" t="n">
        <f aca="false">IFERROR(F1808/D1808,0)</f>
        <v>6.60277777777778</v>
      </c>
    </row>
    <row r="1809" customFormat="false" ht="15" hidden="false" customHeight="false" outlineLevel="0" collapsed="false">
      <c r="A1809" s="28" t="n">
        <v>2022</v>
      </c>
      <c r="B1809" s="28" t="s">
        <v>74</v>
      </c>
      <c r="C1809" s="28" t="s">
        <v>52</v>
      </c>
      <c r="D1809" s="28" t="n">
        <v>5</v>
      </c>
      <c r="E1809" s="29" t="n">
        <v>3058500</v>
      </c>
      <c r="F1809" s="30" t="n">
        <v>25.25</v>
      </c>
      <c r="G1809" s="31" t="n">
        <f aca="false">IFERROR(F1809/D1809,0)</f>
        <v>5.05</v>
      </c>
    </row>
    <row r="1810" customFormat="false" ht="15" hidden="false" customHeight="false" outlineLevel="0" collapsed="false">
      <c r="A1810" s="28" t="n">
        <v>2022</v>
      </c>
      <c r="B1810" s="28" t="s">
        <v>74</v>
      </c>
      <c r="C1810" s="28" t="s">
        <v>49</v>
      </c>
      <c r="D1810" s="28" t="n">
        <v>2</v>
      </c>
      <c r="E1810" s="29" t="n">
        <v>500000</v>
      </c>
      <c r="F1810" s="30" t="n">
        <v>12.5</v>
      </c>
      <c r="G1810" s="31" t="n">
        <f aca="false">IFERROR(F1810/D1810,0)</f>
        <v>6.25</v>
      </c>
    </row>
    <row r="1811" customFormat="false" ht="15" hidden="false" customHeight="false" outlineLevel="0" collapsed="false">
      <c r="A1811" s="28" t="n">
        <v>2022</v>
      </c>
      <c r="B1811" s="28" t="s">
        <v>76</v>
      </c>
      <c r="C1811" s="28" t="s">
        <v>42</v>
      </c>
      <c r="D1811" s="28" t="n">
        <v>49</v>
      </c>
      <c r="E1811" s="29" t="n">
        <v>46094700</v>
      </c>
      <c r="F1811" s="30" t="n">
        <v>303.43</v>
      </c>
      <c r="G1811" s="31" t="n">
        <f aca="false">IFERROR(F1811/D1811,0)</f>
        <v>6.19244897959184</v>
      </c>
    </row>
    <row r="1812" customFormat="false" ht="15" hidden="false" customHeight="false" outlineLevel="0" collapsed="false">
      <c r="A1812" s="28" t="n">
        <v>2022</v>
      </c>
      <c r="B1812" s="28" t="s">
        <v>76</v>
      </c>
      <c r="C1812" s="28" t="s">
        <v>50</v>
      </c>
      <c r="D1812" s="28" t="n">
        <v>18</v>
      </c>
      <c r="E1812" s="29" t="n">
        <v>9146500</v>
      </c>
      <c r="F1812" s="30" t="n">
        <v>122.15</v>
      </c>
      <c r="G1812" s="31" t="n">
        <f aca="false">IFERROR(F1812/D1812,0)</f>
        <v>6.78611111111111</v>
      </c>
    </row>
    <row r="1813" customFormat="false" ht="15" hidden="false" customHeight="false" outlineLevel="0" collapsed="false">
      <c r="A1813" s="28" t="n">
        <v>2022</v>
      </c>
      <c r="B1813" s="28" t="s">
        <v>76</v>
      </c>
      <c r="C1813" s="28" t="s">
        <v>55</v>
      </c>
      <c r="D1813" s="28" t="n">
        <v>16</v>
      </c>
      <c r="E1813" s="29" t="n">
        <v>12698800</v>
      </c>
      <c r="F1813" s="30" t="n">
        <v>85.25</v>
      </c>
      <c r="G1813" s="31" t="n">
        <f aca="false">IFERROR(F1813/D1813,0)</f>
        <v>5.328125</v>
      </c>
    </row>
    <row r="1814" customFormat="false" ht="15" hidden="false" customHeight="false" outlineLevel="0" collapsed="false">
      <c r="A1814" s="28" t="n">
        <v>2022</v>
      </c>
      <c r="B1814" s="28" t="s">
        <v>76</v>
      </c>
      <c r="C1814" s="28" t="s">
        <v>51</v>
      </c>
      <c r="D1814" s="28" t="n">
        <v>8</v>
      </c>
      <c r="E1814" s="29" t="n">
        <v>2169200</v>
      </c>
      <c r="F1814" s="30" t="n">
        <v>45.9</v>
      </c>
      <c r="G1814" s="31" t="n">
        <f aca="false">IFERROR(F1814/D1814,0)</f>
        <v>5.7375</v>
      </c>
    </row>
    <row r="1815" customFormat="false" ht="15" hidden="false" customHeight="false" outlineLevel="0" collapsed="false">
      <c r="A1815" s="28" t="n">
        <v>2022</v>
      </c>
      <c r="B1815" s="28" t="s">
        <v>76</v>
      </c>
      <c r="C1815" s="28" t="s">
        <v>45</v>
      </c>
      <c r="D1815" s="28" t="n">
        <v>23</v>
      </c>
      <c r="E1815" s="29" t="n">
        <v>6471300</v>
      </c>
      <c r="F1815" s="30" t="n">
        <v>159.08</v>
      </c>
      <c r="G1815" s="31" t="n">
        <f aca="false">IFERROR(F1815/D1815,0)</f>
        <v>6.91652173913044</v>
      </c>
    </row>
    <row r="1816" customFormat="false" ht="15" hidden="false" customHeight="false" outlineLevel="0" collapsed="false">
      <c r="A1816" s="28" t="n">
        <v>2022</v>
      </c>
      <c r="B1816" s="28" t="s">
        <v>76</v>
      </c>
      <c r="C1816" s="28" t="s">
        <v>56</v>
      </c>
      <c r="D1816" s="28" t="n">
        <v>3</v>
      </c>
      <c r="E1816" s="29" t="n">
        <v>1945000</v>
      </c>
      <c r="F1816" s="30" t="n">
        <v>15.4</v>
      </c>
      <c r="G1816" s="31" t="n">
        <f aca="false">IFERROR(F1816/D1816,0)</f>
        <v>5.13333333333333</v>
      </c>
    </row>
    <row r="1817" customFormat="false" ht="15" hidden="false" customHeight="false" outlineLevel="0" collapsed="false">
      <c r="A1817" s="28" t="n">
        <v>2022</v>
      </c>
      <c r="B1817" s="28" t="s">
        <v>76</v>
      </c>
      <c r="C1817" s="28" t="s">
        <v>54</v>
      </c>
      <c r="D1817" s="28" t="n">
        <v>4</v>
      </c>
      <c r="E1817" s="29" t="n">
        <v>5128800</v>
      </c>
      <c r="F1817" s="30" t="n">
        <v>21.75</v>
      </c>
      <c r="G1817" s="31" t="n">
        <f aca="false">IFERROR(F1817/D1817,0)</f>
        <v>5.4375</v>
      </c>
    </row>
    <row r="1818" customFormat="false" ht="15" hidden="false" customHeight="false" outlineLevel="0" collapsed="false">
      <c r="A1818" s="28" t="n">
        <v>2022</v>
      </c>
      <c r="B1818" s="28" t="s">
        <v>76</v>
      </c>
      <c r="C1818" s="28" t="s">
        <v>44</v>
      </c>
      <c r="D1818" s="28" t="n">
        <v>13</v>
      </c>
      <c r="E1818" s="29" t="n">
        <v>13050900</v>
      </c>
      <c r="F1818" s="30" t="n">
        <v>73.77</v>
      </c>
      <c r="G1818" s="31" t="n">
        <f aca="false">IFERROR(F1818/D1818,0)</f>
        <v>5.67461538461538</v>
      </c>
    </row>
    <row r="1819" customFormat="false" ht="15" hidden="false" customHeight="false" outlineLevel="0" collapsed="false">
      <c r="A1819" s="28" t="n">
        <v>2022</v>
      </c>
      <c r="B1819" s="28" t="s">
        <v>76</v>
      </c>
      <c r="C1819" s="28" t="s">
        <v>57</v>
      </c>
      <c r="D1819" s="28" t="n">
        <v>2</v>
      </c>
      <c r="E1819" s="29" t="n">
        <v>424500</v>
      </c>
      <c r="F1819" s="30" t="n">
        <v>15.75</v>
      </c>
      <c r="G1819" s="31" t="n">
        <f aca="false">IFERROR(F1819/D1819,0)</f>
        <v>7.875</v>
      </c>
    </row>
    <row r="1820" customFormat="false" ht="15" hidden="false" customHeight="false" outlineLevel="0" collapsed="false">
      <c r="A1820" s="28" t="n">
        <v>2022</v>
      </c>
      <c r="B1820" s="28" t="s">
        <v>76</v>
      </c>
      <c r="C1820" s="28" t="s">
        <v>47</v>
      </c>
      <c r="D1820" s="28" t="n">
        <v>11</v>
      </c>
      <c r="E1820" s="29" t="n">
        <v>5084000</v>
      </c>
      <c r="F1820" s="30" t="n">
        <v>73</v>
      </c>
      <c r="G1820" s="31" t="n">
        <f aca="false">IFERROR(F1820/D1820,0)</f>
        <v>6.63636363636364</v>
      </c>
    </row>
    <row r="1821" customFormat="false" ht="15" hidden="false" customHeight="false" outlineLevel="0" collapsed="false">
      <c r="A1821" s="28" t="n">
        <v>2022</v>
      </c>
      <c r="B1821" s="28" t="s">
        <v>76</v>
      </c>
      <c r="C1821" s="28" t="s">
        <v>58</v>
      </c>
      <c r="D1821" s="28" t="n">
        <v>2</v>
      </c>
      <c r="E1821" s="29" t="n">
        <v>3465000</v>
      </c>
      <c r="F1821" s="30" t="n">
        <v>12</v>
      </c>
      <c r="G1821" s="31" t="n">
        <f aca="false">IFERROR(F1821/D1821,0)</f>
        <v>6</v>
      </c>
    </row>
    <row r="1822" customFormat="false" ht="15" hidden="false" customHeight="false" outlineLevel="0" collapsed="false">
      <c r="A1822" s="28" t="n">
        <v>2022</v>
      </c>
      <c r="B1822" s="28" t="s">
        <v>76</v>
      </c>
      <c r="C1822" s="28" t="s">
        <v>46</v>
      </c>
      <c r="D1822" s="28" t="n">
        <v>24</v>
      </c>
      <c r="E1822" s="29" t="n">
        <v>15577700</v>
      </c>
      <c r="F1822" s="30" t="n">
        <v>151.58</v>
      </c>
      <c r="G1822" s="31" t="n">
        <f aca="false">IFERROR(F1822/D1822,0)</f>
        <v>6.31583333333333</v>
      </c>
    </row>
    <row r="1823" customFormat="false" ht="15" hidden="false" customHeight="false" outlineLevel="0" collapsed="false">
      <c r="A1823" s="28" t="n">
        <v>2022</v>
      </c>
      <c r="B1823" s="28" t="s">
        <v>76</v>
      </c>
      <c r="C1823" s="28" t="s">
        <v>48</v>
      </c>
      <c r="D1823" s="28" t="n">
        <v>25</v>
      </c>
      <c r="E1823" s="29" t="n">
        <v>8320400</v>
      </c>
      <c r="F1823" s="30" t="n">
        <v>160.46</v>
      </c>
      <c r="G1823" s="31" t="n">
        <f aca="false">IFERROR(F1823/D1823,0)</f>
        <v>6.4184</v>
      </c>
    </row>
    <row r="1824" customFormat="false" ht="15" hidden="false" customHeight="false" outlineLevel="0" collapsed="false">
      <c r="A1824" s="28" t="n">
        <v>2022</v>
      </c>
      <c r="B1824" s="28" t="s">
        <v>76</v>
      </c>
      <c r="C1824" s="28" t="s">
        <v>53</v>
      </c>
      <c r="D1824" s="28" t="n">
        <v>12</v>
      </c>
      <c r="E1824" s="29" t="n">
        <v>12047800</v>
      </c>
      <c r="F1824" s="30" t="n">
        <v>66.2</v>
      </c>
      <c r="G1824" s="31" t="n">
        <f aca="false">IFERROR(F1824/D1824,0)</f>
        <v>5.51666666666667</v>
      </c>
    </row>
    <row r="1825" customFormat="false" ht="15" hidden="false" customHeight="false" outlineLevel="0" collapsed="false">
      <c r="A1825" s="28" t="n">
        <v>2022</v>
      </c>
      <c r="B1825" s="28" t="s">
        <v>76</v>
      </c>
      <c r="C1825" s="28" t="s">
        <v>43</v>
      </c>
      <c r="D1825" s="28" t="n">
        <v>38</v>
      </c>
      <c r="E1825" s="29" t="n">
        <v>16847700</v>
      </c>
      <c r="F1825" s="30" t="n">
        <v>265.775</v>
      </c>
      <c r="G1825" s="31" t="n">
        <f aca="false">IFERROR(F1825/D1825,0)</f>
        <v>6.99407894736842</v>
      </c>
    </row>
    <row r="1826" customFormat="false" ht="15" hidden="false" customHeight="false" outlineLevel="0" collapsed="false">
      <c r="A1826" s="28" t="n">
        <v>2022</v>
      </c>
      <c r="B1826" s="28" t="s">
        <v>76</v>
      </c>
      <c r="C1826" s="28" t="s">
        <v>52</v>
      </c>
      <c r="D1826" s="28" t="n">
        <v>13</v>
      </c>
      <c r="E1826" s="29" t="n">
        <v>1654700</v>
      </c>
      <c r="F1826" s="30" t="n">
        <v>111.99</v>
      </c>
      <c r="G1826" s="31" t="n">
        <f aca="false">IFERROR(F1826/D1826,0)</f>
        <v>8.61461538461538</v>
      </c>
    </row>
    <row r="1827" customFormat="false" ht="15" hidden="false" customHeight="false" outlineLevel="0" collapsed="false">
      <c r="A1827" s="28" t="n">
        <v>2022</v>
      </c>
      <c r="B1827" s="28" t="s">
        <v>76</v>
      </c>
      <c r="C1827" s="28" t="s">
        <v>49</v>
      </c>
      <c r="D1827" s="28" t="n">
        <v>6</v>
      </c>
      <c r="E1827" s="29" t="n">
        <v>2477400</v>
      </c>
      <c r="F1827" s="30" t="n">
        <v>40.5</v>
      </c>
      <c r="G1827" s="31" t="n">
        <f aca="false">IFERROR(F1827/D1827,0)</f>
        <v>6.75</v>
      </c>
    </row>
    <row r="1828" customFormat="false" ht="15" hidden="false" customHeight="false" outlineLevel="0" collapsed="false">
      <c r="A1828" s="28" t="n">
        <v>2022</v>
      </c>
      <c r="B1828" s="28" t="s">
        <v>78</v>
      </c>
      <c r="C1828" s="28" t="s">
        <v>42</v>
      </c>
      <c r="D1828" s="28" t="n">
        <v>39</v>
      </c>
      <c r="E1828" s="29" t="n">
        <v>28209400</v>
      </c>
      <c r="F1828" s="30" t="n">
        <v>224.91</v>
      </c>
      <c r="G1828" s="31" t="n">
        <f aca="false">IFERROR(F1828/D1828,0)</f>
        <v>5.76692307692308</v>
      </c>
    </row>
    <row r="1829" customFormat="false" ht="15" hidden="false" customHeight="false" outlineLevel="0" collapsed="false">
      <c r="A1829" s="28" t="n">
        <v>2022</v>
      </c>
      <c r="B1829" s="28" t="s">
        <v>78</v>
      </c>
      <c r="C1829" s="28" t="s">
        <v>50</v>
      </c>
      <c r="D1829" s="28" t="n">
        <v>9</v>
      </c>
      <c r="E1829" s="29" t="n">
        <v>715500</v>
      </c>
      <c r="F1829" s="30" t="n">
        <v>50.23</v>
      </c>
      <c r="G1829" s="31" t="n">
        <f aca="false">IFERROR(F1829/D1829,0)</f>
        <v>5.58111111111111</v>
      </c>
    </row>
    <row r="1830" customFormat="false" ht="15" hidden="false" customHeight="false" outlineLevel="0" collapsed="false">
      <c r="A1830" s="28" t="n">
        <v>2022</v>
      </c>
      <c r="B1830" s="28" t="s">
        <v>78</v>
      </c>
      <c r="C1830" s="28" t="s">
        <v>55</v>
      </c>
      <c r="D1830" s="28" t="n">
        <v>24</v>
      </c>
      <c r="E1830" s="29" t="n">
        <v>22770800</v>
      </c>
      <c r="F1830" s="30" t="n">
        <v>135.08</v>
      </c>
      <c r="G1830" s="31" t="n">
        <f aca="false">IFERROR(F1830/D1830,0)</f>
        <v>5.62833333333333</v>
      </c>
    </row>
    <row r="1831" customFormat="false" ht="15" hidden="false" customHeight="false" outlineLevel="0" collapsed="false">
      <c r="A1831" s="28" t="n">
        <v>2022</v>
      </c>
      <c r="B1831" s="28" t="s">
        <v>78</v>
      </c>
      <c r="C1831" s="28" t="s">
        <v>51</v>
      </c>
      <c r="D1831" s="28" t="n">
        <v>9</v>
      </c>
      <c r="E1831" s="29" t="n">
        <v>4321500</v>
      </c>
      <c r="F1831" s="30" t="n">
        <v>51.25</v>
      </c>
      <c r="G1831" s="31" t="n">
        <f aca="false">IFERROR(F1831/D1831,0)</f>
        <v>5.69444444444445</v>
      </c>
    </row>
    <row r="1832" customFormat="false" ht="15" hidden="false" customHeight="false" outlineLevel="0" collapsed="false">
      <c r="A1832" s="28" t="n">
        <v>2022</v>
      </c>
      <c r="B1832" s="28" t="s">
        <v>78</v>
      </c>
      <c r="C1832" s="28" t="s">
        <v>45</v>
      </c>
      <c r="D1832" s="28" t="n">
        <v>23</v>
      </c>
      <c r="E1832" s="29" t="n">
        <v>6895000</v>
      </c>
      <c r="F1832" s="30" t="n">
        <v>150.97</v>
      </c>
      <c r="G1832" s="31" t="n">
        <f aca="false">IFERROR(F1832/D1832,0)</f>
        <v>6.56391304347826</v>
      </c>
    </row>
    <row r="1833" customFormat="false" ht="15" hidden="false" customHeight="false" outlineLevel="0" collapsed="false">
      <c r="A1833" s="28" t="n">
        <v>2022</v>
      </c>
      <c r="B1833" s="28" t="s">
        <v>78</v>
      </c>
      <c r="C1833" s="28" t="s">
        <v>56</v>
      </c>
      <c r="D1833" s="28" t="n">
        <v>3</v>
      </c>
      <c r="E1833" s="29" t="n">
        <v>1820200</v>
      </c>
      <c r="F1833" s="30" t="n">
        <v>19</v>
      </c>
      <c r="G1833" s="31" t="n">
        <f aca="false">IFERROR(F1833/D1833,0)</f>
        <v>6.33333333333333</v>
      </c>
    </row>
    <row r="1834" customFormat="false" ht="15" hidden="false" customHeight="false" outlineLevel="0" collapsed="false">
      <c r="A1834" s="28" t="n">
        <v>2022</v>
      </c>
      <c r="B1834" s="28" t="s">
        <v>78</v>
      </c>
      <c r="C1834" s="28" t="s">
        <v>54</v>
      </c>
      <c r="D1834" s="28" t="n">
        <v>3</v>
      </c>
      <c r="E1834" s="29" t="n">
        <v>966000</v>
      </c>
      <c r="F1834" s="30" t="n">
        <v>18.29</v>
      </c>
      <c r="G1834" s="31" t="n">
        <f aca="false">IFERROR(F1834/D1834,0)</f>
        <v>6.09666666666667</v>
      </c>
    </row>
    <row r="1835" customFormat="false" ht="15" hidden="false" customHeight="false" outlineLevel="0" collapsed="false">
      <c r="A1835" s="28" t="n">
        <v>2022</v>
      </c>
      <c r="B1835" s="28" t="s">
        <v>78</v>
      </c>
      <c r="C1835" s="28" t="s">
        <v>44</v>
      </c>
      <c r="D1835" s="28" t="n">
        <v>23</v>
      </c>
      <c r="E1835" s="29" t="n">
        <v>13055700</v>
      </c>
      <c r="F1835" s="30" t="n">
        <v>128.53</v>
      </c>
      <c r="G1835" s="31" t="n">
        <f aca="false">IFERROR(F1835/D1835,0)</f>
        <v>5.58826086956522</v>
      </c>
    </row>
    <row r="1836" customFormat="false" ht="15" hidden="false" customHeight="false" outlineLevel="0" collapsed="false">
      <c r="A1836" s="28" t="n">
        <v>2022</v>
      </c>
      <c r="B1836" s="28" t="s">
        <v>78</v>
      </c>
      <c r="C1836" s="28" t="s">
        <v>57</v>
      </c>
      <c r="D1836" s="28" t="n">
        <v>2</v>
      </c>
      <c r="E1836" s="29" t="n">
        <v>1590100</v>
      </c>
      <c r="F1836" s="30" t="n">
        <v>10.25</v>
      </c>
      <c r="G1836" s="31" t="n">
        <f aca="false">IFERROR(F1836/D1836,0)</f>
        <v>5.125</v>
      </c>
    </row>
    <row r="1837" customFormat="false" ht="15" hidden="false" customHeight="false" outlineLevel="0" collapsed="false">
      <c r="A1837" s="28" t="n">
        <v>2022</v>
      </c>
      <c r="B1837" s="28" t="s">
        <v>78</v>
      </c>
      <c r="C1837" s="28" t="s">
        <v>47</v>
      </c>
      <c r="D1837" s="28" t="n">
        <v>11</v>
      </c>
      <c r="E1837" s="29" t="n">
        <v>10680700</v>
      </c>
      <c r="F1837" s="30" t="n">
        <v>62.45</v>
      </c>
      <c r="G1837" s="31" t="n">
        <f aca="false">IFERROR(F1837/D1837,0)</f>
        <v>5.67727272727273</v>
      </c>
    </row>
    <row r="1838" customFormat="false" ht="15" hidden="false" customHeight="false" outlineLevel="0" collapsed="false">
      <c r="A1838" s="28" t="n">
        <v>2022</v>
      </c>
      <c r="B1838" s="28" t="s">
        <v>78</v>
      </c>
      <c r="C1838" s="28" t="s">
        <v>46</v>
      </c>
      <c r="D1838" s="28" t="n">
        <v>18</v>
      </c>
      <c r="E1838" s="29" t="n">
        <v>10060900</v>
      </c>
      <c r="F1838" s="30" t="n">
        <v>111.24</v>
      </c>
      <c r="G1838" s="31" t="n">
        <f aca="false">IFERROR(F1838/D1838,0)</f>
        <v>6.18</v>
      </c>
    </row>
    <row r="1839" customFormat="false" ht="15" hidden="false" customHeight="false" outlineLevel="0" collapsed="false">
      <c r="A1839" s="28" t="n">
        <v>2022</v>
      </c>
      <c r="B1839" s="28" t="s">
        <v>78</v>
      </c>
      <c r="C1839" s="28" t="s">
        <v>48</v>
      </c>
      <c r="D1839" s="28" t="n">
        <v>12</v>
      </c>
      <c r="E1839" s="29" t="n">
        <v>2789000</v>
      </c>
      <c r="F1839" s="30" t="n">
        <v>72.987</v>
      </c>
      <c r="G1839" s="31" t="n">
        <f aca="false">IFERROR(F1839/D1839,0)</f>
        <v>6.08225</v>
      </c>
    </row>
    <row r="1840" customFormat="false" ht="15" hidden="false" customHeight="false" outlineLevel="0" collapsed="false">
      <c r="A1840" s="28" t="n">
        <v>2022</v>
      </c>
      <c r="B1840" s="28" t="s">
        <v>78</v>
      </c>
      <c r="C1840" s="28" t="s">
        <v>53</v>
      </c>
      <c r="D1840" s="28" t="n">
        <v>11</v>
      </c>
      <c r="E1840" s="29" t="n">
        <v>4084700</v>
      </c>
      <c r="F1840" s="30" t="n">
        <v>65.31</v>
      </c>
      <c r="G1840" s="31" t="n">
        <f aca="false">IFERROR(F1840/D1840,0)</f>
        <v>5.93727272727273</v>
      </c>
    </row>
    <row r="1841" customFormat="false" ht="15" hidden="false" customHeight="false" outlineLevel="0" collapsed="false">
      <c r="A1841" s="28" t="n">
        <v>2022</v>
      </c>
      <c r="B1841" s="28" t="s">
        <v>78</v>
      </c>
      <c r="C1841" s="28" t="s">
        <v>43</v>
      </c>
      <c r="D1841" s="28" t="n">
        <v>32</v>
      </c>
      <c r="E1841" s="29" t="n">
        <v>20106000</v>
      </c>
      <c r="F1841" s="30" t="n">
        <v>187.237</v>
      </c>
      <c r="G1841" s="31" t="n">
        <f aca="false">IFERROR(F1841/D1841,0)</f>
        <v>5.85115625</v>
      </c>
    </row>
    <row r="1842" customFormat="false" ht="15" hidden="false" customHeight="false" outlineLevel="0" collapsed="false">
      <c r="A1842" s="28" t="n">
        <v>2022</v>
      </c>
      <c r="B1842" s="28" t="s">
        <v>78</v>
      </c>
      <c r="C1842" s="28" t="s">
        <v>52</v>
      </c>
      <c r="D1842" s="28" t="n">
        <v>12</v>
      </c>
      <c r="E1842" s="29" t="n">
        <v>3949600</v>
      </c>
      <c r="F1842" s="30" t="n">
        <v>75.98</v>
      </c>
      <c r="G1842" s="31" t="n">
        <f aca="false">IFERROR(F1842/D1842,0)</f>
        <v>6.33166666666667</v>
      </c>
    </row>
    <row r="1843" customFormat="false" ht="15" hidden="false" customHeight="false" outlineLevel="0" collapsed="false">
      <c r="A1843" s="28" t="n">
        <v>2022</v>
      </c>
      <c r="B1843" s="28" t="s">
        <v>78</v>
      </c>
      <c r="C1843" s="28" t="s">
        <v>49</v>
      </c>
      <c r="D1843" s="28" t="n">
        <v>3</v>
      </c>
      <c r="E1843" s="29" t="n">
        <v>333700</v>
      </c>
      <c r="F1843" s="30" t="n">
        <v>17.75</v>
      </c>
      <c r="G1843" s="31" t="n">
        <f aca="false">IFERROR(F1843/D1843,0)</f>
        <v>5.91666666666667</v>
      </c>
    </row>
    <row r="1844" customFormat="false" ht="15" hidden="false" customHeight="false" outlineLevel="0" collapsed="false">
      <c r="A1844" s="28" t="n">
        <v>2022</v>
      </c>
      <c r="B1844" s="28" t="s">
        <v>80</v>
      </c>
      <c r="C1844" s="28" t="s">
        <v>42</v>
      </c>
      <c r="D1844" s="28" t="n">
        <v>84</v>
      </c>
      <c r="E1844" s="29" t="n">
        <v>111500500</v>
      </c>
      <c r="F1844" s="30" t="n">
        <v>526.91</v>
      </c>
      <c r="G1844" s="31" t="n">
        <f aca="false">IFERROR(F1844/D1844,0)</f>
        <v>6.2727380952381</v>
      </c>
    </row>
    <row r="1845" customFormat="false" ht="15" hidden="false" customHeight="false" outlineLevel="0" collapsed="false">
      <c r="A1845" s="28" t="n">
        <v>2022</v>
      </c>
      <c r="B1845" s="28" t="s">
        <v>80</v>
      </c>
      <c r="C1845" s="28" t="s">
        <v>50</v>
      </c>
      <c r="D1845" s="28" t="n">
        <v>27</v>
      </c>
      <c r="E1845" s="29" t="n">
        <v>10235100</v>
      </c>
      <c r="F1845" s="30" t="n">
        <v>187.2</v>
      </c>
      <c r="G1845" s="31" t="n">
        <f aca="false">IFERROR(F1845/D1845,0)</f>
        <v>6.93333333333333</v>
      </c>
    </row>
    <row r="1846" customFormat="false" ht="15" hidden="false" customHeight="false" outlineLevel="0" collapsed="false">
      <c r="A1846" s="28" t="n">
        <v>2022</v>
      </c>
      <c r="B1846" s="28" t="s">
        <v>80</v>
      </c>
      <c r="C1846" s="28" t="s">
        <v>55</v>
      </c>
      <c r="D1846" s="28" t="n">
        <v>3</v>
      </c>
      <c r="E1846" s="29" t="n">
        <v>45000</v>
      </c>
      <c r="F1846" s="30" t="n">
        <v>29.25</v>
      </c>
      <c r="G1846" s="31" t="n">
        <f aca="false">IFERROR(F1846/D1846,0)</f>
        <v>9.75</v>
      </c>
    </row>
    <row r="1847" customFormat="false" ht="15" hidden="false" customHeight="false" outlineLevel="0" collapsed="false">
      <c r="A1847" s="28" t="n">
        <v>2022</v>
      </c>
      <c r="B1847" s="28" t="s">
        <v>80</v>
      </c>
      <c r="C1847" s="28" t="s">
        <v>51</v>
      </c>
      <c r="D1847" s="28" t="n">
        <v>26</v>
      </c>
      <c r="E1847" s="29" t="n">
        <v>12568900</v>
      </c>
      <c r="F1847" s="30" t="n">
        <v>181.6</v>
      </c>
      <c r="G1847" s="31" t="n">
        <f aca="false">IFERROR(F1847/D1847,0)</f>
        <v>6.98461538461539</v>
      </c>
    </row>
    <row r="1848" customFormat="false" ht="15" hidden="false" customHeight="false" outlineLevel="0" collapsed="false">
      <c r="A1848" s="28" t="n">
        <v>2022</v>
      </c>
      <c r="B1848" s="28" t="s">
        <v>80</v>
      </c>
      <c r="C1848" s="28" t="s">
        <v>45</v>
      </c>
      <c r="D1848" s="28" t="n">
        <v>99</v>
      </c>
      <c r="E1848" s="29" t="n">
        <v>56268500</v>
      </c>
      <c r="F1848" s="30" t="n">
        <v>639.36</v>
      </c>
      <c r="G1848" s="31" t="n">
        <f aca="false">IFERROR(F1848/D1848,0)</f>
        <v>6.45818181818182</v>
      </c>
    </row>
    <row r="1849" customFormat="false" ht="15" hidden="false" customHeight="false" outlineLevel="0" collapsed="false">
      <c r="A1849" s="28" t="n">
        <v>2022</v>
      </c>
      <c r="B1849" s="28" t="s">
        <v>80</v>
      </c>
      <c r="C1849" s="28" t="s">
        <v>56</v>
      </c>
      <c r="D1849" s="28" t="n">
        <v>13</v>
      </c>
      <c r="E1849" s="29" t="n">
        <v>7069600</v>
      </c>
      <c r="F1849" s="30" t="n">
        <v>95.785</v>
      </c>
      <c r="G1849" s="31" t="n">
        <f aca="false">IFERROR(F1849/D1849,0)</f>
        <v>7.36807692307692</v>
      </c>
    </row>
    <row r="1850" customFormat="false" ht="15" hidden="false" customHeight="false" outlineLevel="0" collapsed="false">
      <c r="A1850" s="28" t="n">
        <v>2022</v>
      </c>
      <c r="B1850" s="28" t="s">
        <v>80</v>
      </c>
      <c r="C1850" s="28" t="s">
        <v>54</v>
      </c>
      <c r="D1850" s="28" t="n">
        <v>22</v>
      </c>
      <c r="E1850" s="29" t="n">
        <v>15130200</v>
      </c>
      <c r="F1850" s="30" t="n">
        <v>137.66</v>
      </c>
      <c r="G1850" s="31" t="n">
        <f aca="false">IFERROR(F1850/D1850,0)</f>
        <v>6.25727272727273</v>
      </c>
    </row>
    <row r="1851" customFormat="false" ht="15" hidden="false" customHeight="false" outlineLevel="0" collapsed="false">
      <c r="A1851" s="28" t="n">
        <v>2022</v>
      </c>
      <c r="B1851" s="28" t="s">
        <v>80</v>
      </c>
      <c r="C1851" s="28" t="s">
        <v>44</v>
      </c>
      <c r="D1851" s="28" t="n">
        <v>91</v>
      </c>
      <c r="E1851" s="29" t="n">
        <v>61680000</v>
      </c>
      <c r="F1851" s="30" t="n">
        <v>562.77</v>
      </c>
      <c r="G1851" s="31" t="n">
        <f aca="false">IFERROR(F1851/D1851,0)</f>
        <v>6.18428571428571</v>
      </c>
    </row>
    <row r="1852" customFormat="false" ht="15" hidden="false" customHeight="false" outlineLevel="0" collapsed="false">
      <c r="A1852" s="28" t="n">
        <v>2022</v>
      </c>
      <c r="B1852" s="28" t="s">
        <v>80</v>
      </c>
      <c r="C1852" s="28" t="s">
        <v>57</v>
      </c>
      <c r="D1852" s="28" t="n">
        <v>6</v>
      </c>
      <c r="E1852" s="29" t="n">
        <v>1639200</v>
      </c>
      <c r="F1852" s="30" t="n">
        <v>49.133</v>
      </c>
      <c r="G1852" s="31" t="n">
        <f aca="false">IFERROR(F1852/D1852,0)</f>
        <v>8.18883333333333</v>
      </c>
    </row>
    <row r="1853" customFormat="false" ht="15" hidden="false" customHeight="false" outlineLevel="0" collapsed="false">
      <c r="A1853" s="28" t="n">
        <v>2022</v>
      </c>
      <c r="B1853" s="28" t="s">
        <v>80</v>
      </c>
      <c r="C1853" s="28" t="s">
        <v>47</v>
      </c>
      <c r="D1853" s="28" t="n">
        <v>39</v>
      </c>
      <c r="E1853" s="29" t="n">
        <v>20504200</v>
      </c>
      <c r="F1853" s="30" t="n">
        <v>241.15</v>
      </c>
      <c r="G1853" s="31" t="n">
        <f aca="false">IFERROR(F1853/D1853,0)</f>
        <v>6.18333333333333</v>
      </c>
    </row>
    <row r="1854" customFormat="false" ht="15" hidden="false" customHeight="false" outlineLevel="0" collapsed="false">
      <c r="A1854" s="28" t="n">
        <v>2022</v>
      </c>
      <c r="B1854" s="28" t="s">
        <v>80</v>
      </c>
      <c r="C1854" s="28" t="s">
        <v>58</v>
      </c>
      <c r="D1854" s="28" t="n">
        <v>3</v>
      </c>
      <c r="E1854" s="29" t="n">
        <v>3525800</v>
      </c>
      <c r="F1854" s="30" t="n">
        <v>19.25</v>
      </c>
      <c r="G1854" s="31" t="n">
        <f aca="false">IFERROR(F1854/D1854,0)</f>
        <v>6.41666666666667</v>
      </c>
    </row>
    <row r="1855" customFormat="false" ht="15" hidden="false" customHeight="false" outlineLevel="0" collapsed="false">
      <c r="A1855" s="28" t="n">
        <v>2022</v>
      </c>
      <c r="B1855" s="28" t="s">
        <v>80</v>
      </c>
      <c r="C1855" s="28" t="s">
        <v>46</v>
      </c>
      <c r="D1855" s="28" t="n">
        <v>90</v>
      </c>
      <c r="E1855" s="29" t="n">
        <v>57323300</v>
      </c>
      <c r="F1855" s="30" t="n">
        <v>557.23</v>
      </c>
      <c r="G1855" s="31" t="n">
        <f aca="false">IFERROR(F1855/D1855,0)</f>
        <v>6.19144444444444</v>
      </c>
    </row>
    <row r="1856" customFormat="false" ht="15" hidden="false" customHeight="false" outlineLevel="0" collapsed="false">
      <c r="A1856" s="28" t="n">
        <v>2022</v>
      </c>
      <c r="B1856" s="28" t="s">
        <v>80</v>
      </c>
      <c r="C1856" s="28" t="s">
        <v>48</v>
      </c>
      <c r="D1856" s="28" t="n">
        <v>66</v>
      </c>
      <c r="E1856" s="29" t="n">
        <v>36256400</v>
      </c>
      <c r="F1856" s="30" t="n">
        <v>434.53</v>
      </c>
      <c r="G1856" s="31" t="n">
        <f aca="false">IFERROR(F1856/D1856,0)</f>
        <v>6.58378787878788</v>
      </c>
    </row>
    <row r="1857" customFormat="false" ht="15" hidden="false" customHeight="false" outlineLevel="0" collapsed="false">
      <c r="A1857" s="28" t="n">
        <v>2022</v>
      </c>
      <c r="B1857" s="28" t="s">
        <v>80</v>
      </c>
      <c r="C1857" s="28" t="s">
        <v>53</v>
      </c>
      <c r="D1857" s="28" t="n">
        <v>27</v>
      </c>
      <c r="E1857" s="29" t="n">
        <v>18207100</v>
      </c>
      <c r="F1857" s="30" t="n">
        <v>166.3094</v>
      </c>
      <c r="G1857" s="31" t="n">
        <f aca="false">IFERROR(F1857/D1857,0)</f>
        <v>6.15960740740741</v>
      </c>
    </row>
    <row r="1858" customFormat="false" ht="15" hidden="false" customHeight="false" outlineLevel="0" collapsed="false">
      <c r="A1858" s="28" t="n">
        <v>2022</v>
      </c>
      <c r="B1858" s="28" t="s">
        <v>80</v>
      </c>
      <c r="C1858" s="28" t="s">
        <v>43</v>
      </c>
      <c r="D1858" s="28" t="n">
        <v>79</v>
      </c>
      <c r="E1858" s="29" t="n">
        <v>51208200</v>
      </c>
      <c r="F1858" s="30" t="n">
        <v>546.475</v>
      </c>
      <c r="G1858" s="31" t="n">
        <f aca="false">IFERROR(F1858/D1858,0)</f>
        <v>6.91740506329114</v>
      </c>
    </row>
    <row r="1859" customFormat="false" ht="15" hidden="false" customHeight="false" outlineLevel="0" collapsed="false">
      <c r="A1859" s="28" t="n">
        <v>2022</v>
      </c>
      <c r="B1859" s="28" t="s">
        <v>80</v>
      </c>
      <c r="C1859" s="28" t="s">
        <v>52</v>
      </c>
      <c r="D1859" s="28" t="n">
        <v>38</v>
      </c>
      <c r="E1859" s="29" t="n">
        <v>28397100</v>
      </c>
      <c r="F1859" s="30" t="n">
        <v>272.43</v>
      </c>
      <c r="G1859" s="31" t="n">
        <f aca="false">IFERROR(F1859/D1859,0)</f>
        <v>7.16921052631579</v>
      </c>
    </row>
    <row r="1860" customFormat="false" ht="15" hidden="false" customHeight="false" outlineLevel="0" collapsed="false">
      <c r="A1860" s="28" t="n">
        <v>2022</v>
      </c>
      <c r="B1860" s="28" t="s">
        <v>80</v>
      </c>
      <c r="C1860" s="28" t="s">
        <v>60</v>
      </c>
      <c r="D1860" s="28" t="n">
        <v>1</v>
      </c>
      <c r="E1860" s="29" t="n">
        <v>180000</v>
      </c>
      <c r="F1860" s="30" t="n">
        <v>7</v>
      </c>
      <c r="G1860" s="31" t="n">
        <f aca="false">IFERROR(F1860/D1860,0)</f>
        <v>7</v>
      </c>
    </row>
    <row r="1861" customFormat="false" ht="15" hidden="false" customHeight="false" outlineLevel="0" collapsed="false">
      <c r="A1861" s="28" t="n">
        <v>2022</v>
      </c>
      <c r="B1861" s="28" t="s">
        <v>80</v>
      </c>
      <c r="C1861" s="28" t="s">
        <v>49</v>
      </c>
      <c r="D1861" s="28" t="n">
        <v>24</v>
      </c>
      <c r="E1861" s="29" t="n">
        <v>14877900</v>
      </c>
      <c r="F1861" s="30" t="n">
        <v>147.06</v>
      </c>
      <c r="G1861" s="31" t="n">
        <f aca="false">IFERROR(F1861/D1861,0)</f>
        <v>6.1275</v>
      </c>
    </row>
    <row r="1862" customFormat="false" ht="15" hidden="false" customHeight="false" outlineLevel="0" collapsed="false">
      <c r="A1862" s="28" t="n">
        <v>2022</v>
      </c>
      <c r="B1862" s="28" t="s">
        <v>75</v>
      </c>
      <c r="C1862" s="28" t="s">
        <v>42</v>
      </c>
      <c r="D1862" s="28" t="n">
        <v>571</v>
      </c>
      <c r="E1862" s="29" t="n">
        <v>549543900</v>
      </c>
      <c r="F1862" s="30" t="n">
        <v>3532.4715</v>
      </c>
      <c r="G1862" s="31" t="n">
        <f aca="false">IFERROR(F1862/D1862,0)</f>
        <v>6.1864649737303</v>
      </c>
    </row>
    <row r="1863" customFormat="false" ht="15" hidden="false" customHeight="false" outlineLevel="0" collapsed="false">
      <c r="A1863" s="28" t="n">
        <v>2022</v>
      </c>
      <c r="B1863" s="28" t="s">
        <v>75</v>
      </c>
      <c r="C1863" s="28" t="s">
        <v>50</v>
      </c>
      <c r="D1863" s="28" t="n">
        <v>203</v>
      </c>
      <c r="E1863" s="29" t="n">
        <v>82863200</v>
      </c>
      <c r="F1863" s="30" t="n">
        <v>1328.589</v>
      </c>
      <c r="G1863" s="31" t="n">
        <f aca="false">IFERROR(F1863/D1863,0)</f>
        <v>6.54477339901478</v>
      </c>
    </row>
    <row r="1864" customFormat="false" ht="15" hidden="false" customHeight="false" outlineLevel="0" collapsed="false">
      <c r="A1864" s="28" t="n">
        <v>2022</v>
      </c>
      <c r="B1864" s="28" t="s">
        <v>75</v>
      </c>
      <c r="C1864" s="28" t="s">
        <v>55</v>
      </c>
      <c r="D1864" s="28" t="n">
        <v>20</v>
      </c>
      <c r="E1864" s="29" t="n">
        <v>12446500</v>
      </c>
      <c r="F1864" s="30" t="n">
        <v>125.41</v>
      </c>
      <c r="G1864" s="31" t="n">
        <f aca="false">IFERROR(F1864/D1864,0)</f>
        <v>6.2705</v>
      </c>
    </row>
    <row r="1865" customFormat="false" ht="15" hidden="false" customHeight="false" outlineLevel="0" collapsed="false">
      <c r="A1865" s="28" t="n">
        <v>2022</v>
      </c>
      <c r="B1865" s="28" t="s">
        <v>75</v>
      </c>
      <c r="C1865" s="28" t="s">
        <v>51</v>
      </c>
      <c r="D1865" s="28" t="n">
        <v>85</v>
      </c>
      <c r="E1865" s="29" t="n">
        <v>32202900</v>
      </c>
      <c r="F1865" s="30" t="n">
        <v>595.44</v>
      </c>
      <c r="G1865" s="31" t="n">
        <f aca="false">IFERROR(F1865/D1865,0)</f>
        <v>7.00517647058824</v>
      </c>
    </row>
    <row r="1866" customFormat="false" ht="15" hidden="false" customHeight="false" outlineLevel="0" collapsed="false">
      <c r="A1866" s="28" t="n">
        <v>2022</v>
      </c>
      <c r="B1866" s="28" t="s">
        <v>75</v>
      </c>
      <c r="C1866" s="28" t="s">
        <v>45</v>
      </c>
      <c r="D1866" s="28" t="n">
        <v>401</v>
      </c>
      <c r="E1866" s="29" t="n">
        <v>226093300</v>
      </c>
      <c r="F1866" s="30" t="n">
        <v>2623.457</v>
      </c>
      <c r="G1866" s="31" t="n">
        <f aca="false">IFERROR(F1866/D1866,0)</f>
        <v>6.54228678304239</v>
      </c>
    </row>
    <row r="1867" customFormat="false" ht="15" hidden="false" customHeight="false" outlineLevel="0" collapsed="false">
      <c r="A1867" s="28" t="n">
        <v>2022</v>
      </c>
      <c r="B1867" s="28" t="s">
        <v>75</v>
      </c>
      <c r="C1867" s="28" t="s">
        <v>56</v>
      </c>
      <c r="D1867" s="28" t="n">
        <v>65</v>
      </c>
      <c r="E1867" s="29" t="n">
        <v>48582700</v>
      </c>
      <c r="F1867" s="30" t="n">
        <v>421.36</v>
      </c>
      <c r="G1867" s="31" t="n">
        <f aca="false">IFERROR(F1867/D1867,0)</f>
        <v>6.48246153846154</v>
      </c>
    </row>
    <row r="1868" customFormat="false" ht="15" hidden="false" customHeight="false" outlineLevel="0" collapsed="false">
      <c r="A1868" s="28" t="n">
        <v>2022</v>
      </c>
      <c r="B1868" s="28" t="s">
        <v>75</v>
      </c>
      <c r="C1868" s="28" t="s">
        <v>54</v>
      </c>
      <c r="D1868" s="28" t="n">
        <v>89</v>
      </c>
      <c r="E1868" s="29" t="n">
        <v>51178600</v>
      </c>
      <c r="F1868" s="30" t="n">
        <v>572.84</v>
      </c>
      <c r="G1868" s="31" t="n">
        <f aca="false">IFERROR(F1868/D1868,0)</f>
        <v>6.43640449438202</v>
      </c>
    </row>
    <row r="1869" customFormat="false" ht="15" hidden="false" customHeight="false" outlineLevel="0" collapsed="false">
      <c r="A1869" s="28" t="n">
        <v>2022</v>
      </c>
      <c r="B1869" s="28" t="s">
        <v>75</v>
      </c>
      <c r="C1869" s="28" t="s">
        <v>44</v>
      </c>
      <c r="D1869" s="28" t="n">
        <v>418</v>
      </c>
      <c r="E1869" s="29" t="n">
        <v>391426300</v>
      </c>
      <c r="F1869" s="30" t="n">
        <v>2490.2992</v>
      </c>
      <c r="G1869" s="31" t="n">
        <f aca="false">IFERROR(F1869/D1869,0)</f>
        <v>5.95765358851675</v>
      </c>
    </row>
    <row r="1870" customFormat="false" ht="15" hidden="false" customHeight="false" outlineLevel="0" collapsed="false">
      <c r="A1870" s="28" t="n">
        <v>2022</v>
      </c>
      <c r="B1870" s="28" t="s">
        <v>75</v>
      </c>
      <c r="C1870" s="28" t="s">
        <v>57</v>
      </c>
      <c r="D1870" s="28" t="n">
        <v>53</v>
      </c>
      <c r="E1870" s="29" t="n">
        <v>44823200</v>
      </c>
      <c r="F1870" s="30" t="n">
        <v>366.4284</v>
      </c>
      <c r="G1870" s="31" t="n">
        <f aca="false">IFERROR(F1870/D1870,0)</f>
        <v>6.91374339622642</v>
      </c>
    </row>
    <row r="1871" customFormat="false" ht="15" hidden="false" customHeight="false" outlineLevel="0" collapsed="false">
      <c r="A1871" s="28" t="n">
        <v>2022</v>
      </c>
      <c r="B1871" s="28" t="s">
        <v>75</v>
      </c>
      <c r="C1871" s="28" t="s">
        <v>59</v>
      </c>
      <c r="D1871" s="28" t="n">
        <v>1</v>
      </c>
      <c r="E1871" s="29" t="n">
        <v>50000</v>
      </c>
      <c r="F1871" s="30" t="n">
        <v>6.25</v>
      </c>
      <c r="G1871" s="31" t="n">
        <f aca="false">IFERROR(F1871/D1871,0)</f>
        <v>6.25</v>
      </c>
    </row>
    <row r="1872" customFormat="false" ht="15" hidden="false" customHeight="false" outlineLevel="0" collapsed="false">
      <c r="A1872" s="28" t="n">
        <v>2022</v>
      </c>
      <c r="B1872" s="28" t="s">
        <v>75</v>
      </c>
      <c r="C1872" s="28" t="s">
        <v>47</v>
      </c>
      <c r="D1872" s="28" t="n">
        <v>269</v>
      </c>
      <c r="E1872" s="29" t="n">
        <v>201859300</v>
      </c>
      <c r="F1872" s="30" t="n">
        <v>1718.786</v>
      </c>
      <c r="G1872" s="31" t="n">
        <f aca="false">IFERROR(F1872/D1872,0)</f>
        <v>6.38953903345725</v>
      </c>
    </row>
    <row r="1873" customFormat="false" ht="15" hidden="false" customHeight="false" outlineLevel="0" collapsed="false">
      <c r="A1873" s="28" t="n">
        <v>2022</v>
      </c>
      <c r="B1873" s="28" t="s">
        <v>75</v>
      </c>
      <c r="C1873" s="28" t="s">
        <v>46</v>
      </c>
      <c r="D1873" s="28" t="n">
        <v>333</v>
      </c>
      <c r="E1873" s="29" t="n">
        <v>290966500</v>
      </c>
      <c r="F1873" s="30" t="n">
        <v>2152.02</v>
      </c>
      <c r="G1873" s="31" t="n">
        <f aca="false">IFERROR(F1873/D1873,0)</f>
        <v>6.46252252252252</v>
      </c>
    </row>
    <row r="1874" customFormat="false" ht="15" hidden="false" customHeight="false" outlineLevel="0" collapsed="false">
      <c r="A1874" s="28" t="n">
        <v>2022</v>
      </c>
      <c r="B1874" s="28" t="s">
        <v>75</v>
      </c>
      <c r="C1874" s="28" t="s">
        <v>48</v>
      </c>
      <c r="D1874" s="28" t="n">
        <v>449</v>
      </c>
      <c r="E1874" s="29" t="n">
        <v>259973000</v>
      </c>
      <c r="F1874" s="30" t="n">
        <v>2893.441</v>
      </c>
      <c r="G1874" s="31" t="n">
        <f aca="false">IFERROR(F1874/D1874,0)</f>
        <v>6.44418930957684</v>
      </c>
    </row>
    <row r="1875" customFormat="false" ht="15" hidden="false" customHeight="false" outlineLevel="0" collapsed="false">
      <c r="A1875" s="28" t="n">
        <v>2022</v>
      </c>
      <c r="B1875" s="28" t="s">
        <v>75</v>
      </c>
      <c r="C1875" s="28" t="s">
        <v>61</v>
      </c>
      <c r="D1875" s="28" t="n">
        <v>3</v>
      </c>
      <c r="E1875" s="29" t="n">
        <v>850000</v>
      </c>
      <c r="F1875" s="30" t="n">
        <v>20</v>
      </c>
      <c r="G1875" s="31" t="n">
        <f aca="false">IFERROR(F1875/D1875,0)</f>
        <v>6.66666666666667</v>
      </c>
    </row>
    <row r="1876" customFormat="false" ht="15" hidden="false" customHeight="false" outlineLevel="0" collapsed="false">
      <c r="A1876" s="28" t="n">
        <v>2022</v>
      </c>
      <c r="B1876" s="28" t="s">
        <v>75</v>
      </c>
      <c r="C1876" s="28" t="s">
        <v>53</v>
      </c>
      <c r="D1876" s="28" t="n">
        <v>174</v>
      </c>
      <c r="E1876" s="29" t="n">
        <v>142631100</v>
      </c>
      <c r="F1876" s="30" t="n">
        <v>1039.127</v>
      </c>
      <c r="G1876" s="31" t="n">
        <f aca="false">IFERROR(F1876/D1876,0)</f>
        <v>5.97199425287356</v>
      </c>
    </row>
    <row r="1877" customFormat="false" ht="15" hidden="false" customHeight="false" outlineLevel="0" collapsed="false">
      <c r="A1877" s="28" t="n">
        <v>2022</v>
      </c>
      <c r="B1877" s="28" t="s">
        <v>75</v>
      </c>
      <c r="C1877" s="28" t="s">
        <v>43</v>
      </c>
      <c r="D1877" s="28" t="n">
        <v>728</v>
      </c>
      <c r="E1877" s="29" t="n">
        <v>573561300</v>
      </c>
      <c r="F1877" s="30" t="n">
        <v>4589.995</v>
      </c>
      <c r="G1877" s="31" t="n">
        <f aca="false">IFERROR(F1877/D1877,0)</f>
        <v>6.30493818681319</v>
      </c>
    </row>
    <row r="1878" customFormat="false" ht="15" hidden="false" customHeight="false" outlineLevel="0" collapsed="false">
      <c r="A1878" s="28" t="n">
        <v>2022</v>
      </c>
      <c r="B1878" s="28" t="s">
        <v>75</v>
      </c>
      <c r="C1878" s="28" t="s">
        <v>52</v>
      </c>
      <c r="D1878" s="28" t="n">
        <v>225</v>
      </c>
      <c r="E1878" s="29" t="n">
        <v>126361800</v>
      </c>
      <c r="F1878" s="30" t="n">
        <v>1490.532</v>
      </c>
      <c r="G1878" s="31" t="n">
        <f aca="false">IFERROR(F1878/D1878,0)</f>
        <v>6.62458666666667</v>
      </c>
    </row>
    <row r="1879" customFormat="false" ht="15" hidden="false" customHeight="false" outlineLevel="0" collapsed="false">
      <c r="A1879" s="28" t="n">
        <v>2022</v>
      </c>
      <c r="B1879" s="28" t="s">
        <v>75</v>
      </c>
      <c r="C1879" s="28" t="s">
        <v>60</v>
      </c>
      <c r="D1879" s="28" t="n">
        <v>7</v>
      </c>
      <c r="E1879" s="29" t="n">
        <v>4155500</v>
      </c>
      <c r="F1879" s="30" t="n">
        <v>52.1</v>
      </c>
      <c r="G1879" s="31" t="n">
        <f aca="false">IFERROR(F1879/D1879,0)</f>
        <v>7.44285714285714</v>
      </c>
    </row>
    <row r="1880" customFormat="false" ht="15" hidden="false" customHeight="false" outlineLevel="0" collapsed="false">
      <c r="A1880" s="28" t="n">
        <v>2022</v>
      </c>
      <c r="B1880" s="28" t="s">
        <v>75</v>
      </c>
      <c r="C1880" s="28" t="s">
        <v>49</v>
      </c>
      <c r="D1880" s="28" t="n">
        <v>233</v>
      </c>
      <c r="E1880" s="29" t="n">
        <v>229865500</v>
      </c>
      <c r="F1880" s="30" t="n">
        <v>1407.5698</v>
      </c>
      <c r="G1880" s="31" t="n">
        <f aca="false">IFERROR(F1880/D1880,0)</f>
        <v>6.04107210300429</v>
      </c>
    </row>
    <row r="1881" customFormat="false" ht="15" hidden="false" customHeight="false" outlineLevel="0" collapsed="false">
      <c r="A1881" s="28" t="n">
        <v>2022</v>
      </c>
      <c r="B1881" s="28" t="s">
        <v>83</v>
      </c>
      <c r="C1881" s="28" t="s">
        <v>42</v>
      </c>
      <c r="D1881" s="28" t="n">
        <v>131</v>
      </c>
      <c r="E1881" s="29" t="n">
        <v>142519800</v>
      </c>
      <c r="F1881" s="30" t="n">
        <v>801.06</v>
      </c>
      <c r="G1881" s="31" t="n">
        <f aca="false">IFERROR(F1881/D1881,0)</f>
        <v>6.11496183206107</v>
      </c>
    </row>
    <row r="1882" customFormat="false" ht="15" hidden="false" customHeight="false" outlineLevel="0" collapsed="false">
      <c r="A1882" s="28" t="n">
        <v>2022</v>
      </c>
      <c r="B1882" s="28" t="s">
        <v>83</v>
      </c>
      <c r="C1882" s="28" t="s">
        <v>50</v>
      </c>
      <c r="D1882" s="28" t="n">
        <v>48</v>
      </c>
      <c r="E1882" s="29" t="n">
        <v>30405300</v>
      </c>
      <c r="F1882" s="30" t="n">
        <v>309.7</v>
      </c>
      <c r="G1882" s="31" t="n">
        <f aca="false">IFERROR(F1882/D1882,0)</f>
        <v>6.45208333333333</v>
      </c>
    </row>
    <row r="1883" customFormat="false" ht="15" hidden="false" customHeight="false" outlineLevel="0" collapsed="false">
      <c r="A1883" s="28" t="n">
        <v>2022</v>
      </c>
      <c r="B1883" s="28" t="s">
        <v>83</v>
      </c>
      <c r="C1883" s="28" t="s">
        <v>55</v>
      </c>
      <c r="D1883" s="28" t="n">
        <v>5</v>
      </c>
      <c r="E1883" s="29" t="n">
        <v>1062100</v>
      </c>
      <c r="F1883" s="30" t="n">
        <v>32.75</v>
      </c>
      <c r="G1883" s="31" t="n">
        <f aca="false">IFERROR(F1883/D1883,0)</f>
        <v>6.55</v>
      </c>
    </row>
    <row r="1884" customFormat="false" ht="15" hidden="false" customHeight="false" outlineLevel="0" collapsed="false">
      <c r="A1884" s="28" t="n">
        <v>2022</v>
      </c>
      <c r="B1884" s="28" t="s">
        <v>83</v>
      </c>
      <c r="C1884" s="28" t="s">
        <v>51</v>
      </c>
      <c r="D1884" s="28" t="n">
        <v>26</v>
      </c>
      <c r="E1884" s="29" t="n">
        <v>15033400</v>
      </c>
      <c r="F1884" s="30" t="n">
        <v>155.19</v>
      </c>
      <c r="G1884" s="31" t="n">
        <f aca="false">IFERROR(F1884/D1884,0)</f>
        <v>5.96884615384615</v>
      </c>
    </row>
    <row r="1885" customFormat="false" ht="15" hidden="false" customHeight="false" outlineLevel="0" collapsed="false">
      <c r="A1885" s="28" t="n">
        <v>2022</v>
      </c>
      <c r="B1885" s="28" t="s">
        <v>83</v>
      </c>
      <c r="C1885" s="28" t="s">
        <v>45</v>
      </c>
      <c r="D1885" s="28" t="n">
        <v>158</v>
      </c>
      <c r="E1885" s="29" t="n">
        <v>83812700</v>
      </c>
      <c r="F1885" s="30" t="n">
        <v>1044.15</v>
      </c>
      <c r="G1885" s="31" t="n">
        <f aca="false">IFERROR(F1885/D1885,0)</f>
        <v>6.60854430379747</v>
      </c>
    </row>
    <row r="1886" customFormat="false" ht="15" hidden="false" customHeight="false" outlineLevel="0" collapsed="false">
      <c r="A1886" s="28" t="n">
        <v>2022</v>
      </c>
      <c r="B1886" s="28" t="s">
        <v>83</v>
      </c>
      <c r="C1886" s="28" t="s">
        <v>56</v>
      </c>
      <c r="D1886" s="28" t="n">
        <v>11</v>
      </c>
      <c r="E1886" s="29" t="n">
        <v>5632500</v>
      </c>
      <c r="F1886" s="30" t="n">
        <v>71.75</v>
      </c>
      <c r="G1886" s="31" t="n">
        <f aca="false">IFERROR(F1886/D1886,0)</f>
        <v>6.52272727272727</v>
      </c>
    </row>
    <row r="1887" customFormat="false" ht="15" hidden="false" customHeight="false" outlineLevel="0" collapsed="false">
      <c r="A1887" s="28" t="n">
        <v>2022</v>
      </c>
      <c r="B1887" s="28" t="s">
        <v>83</v>
      </c>
      <c r="C1887" s="28" t="s">
        <v>54</v>
      </c>
      <c r="D1887" s="28" t="n">
        <v>13</v>
      </c>
      <c r="E1887" s="29" t="n">
        <v>8654800</v>
      </c>
      <c r="F1887" s="30" t="n">
        <v>83.22</v>
      </c>
      <c r="G1887" s="31" t="n">
        <f aca="false">IFERROR(F1887/D1887,0)</f>
        <v>6.40153846153846</v>
      </c>
    </row>
    <row r="1888" customFormat="false" ht="15" hidden="false" customHeight="false" outlineLevel="0" collapsed="false">
      <c r="A1888" s="28" t="n">
        <v>2022</v>
      </c>
      <c r="B1888" s="28" t="s">
        <v>83</v>
      </c>
      <c r="C1888" s="28" t="s">
        <v>44</v>
      </c>
      <c r="D1888" s="28" t="n">
        <v>112</v>
      </c>
      <c r="E1888" s="29" t="n">
        <v>86424900</v>
      </c>
      <c r="F1888" s="30" t="n">
        <v>679.093</v>
      </c>
      <c r="G1888" s="31" t="n">
        <f aca="false">IFERROR(F1888/D1888,0)</f>
        <v>6.06333035714286</v>
      </c>
    </row>
    <row r="1889" customFormat="false" ht="15" hidden="false" customHeight="false" outlineLevel="0" collapsed="false">
      <c r="A1889" s="28" t="n">
        <v>2022</v>
      </c>
      <c r="B1889" s="28" t="s">
        <v>83</v>
      </c>
      <c r="C1889" s="28" t="s">
        <v>57</v>
      </c>
      <c r="D1889" s="28" t="n">
        <v>8</v>
      </c>
      <c r="E1889" s="29" t="n">
        <v>5963000</v>
      </c>
      <c r="F1889" s="30" t="n">
        <v>49.24</v>
      </c>
      <c r="G1889" s="31" t="n">
        <f aca="false">IFERROR(F1889/D1889,0)</f>
        <v>6.155</v>
      </c>
    </row>
    <row r="1890" customFormat="false" ht="15" hidden="false" customHeight="false" outlineLevel="0" collapsed="false">
      <c r="A1890" s="28" t="n">
        <v>2022</v>
      </c>
      <c r="B1890" s="28" t="s">
        <v>83</v>
      </c>
      <c r="C1890" s="28" t="s">
        <v>47</v>
      </c>
      <c r="D1890" s="28" t="n">
        <v>62</v>
      </c>
      <c r="E1890" s="29" t="n">
        <v>59682100</v>
      </c>
      <c r="F1890" s="30" t="n">
        <v>378.331</v>
      </c>
      <c r="G1890" s="31" t="n">
        <f aca="false">IFERROR(F1890/D1890,0)</f>
        <v>6.10211290322581</v>
      </c>
    </row>
    <row r="1891" customFormat="false" ht="15" hidden="false" customHeight="false" outlineLevel="0" collapsed="false">
      <c r="A1891" s="28" t="n">
        <v>2022</v>
      </c>
      <c r="B1891" s="28" t="s">
        <v>83</v>
      </c>
      <c r="C1891" s="28" t="s">
        <v>58</v>
      </c>
      <c r="D1891" s="28" t="n">
        <v>5</v>
      </c>
      <c r="E1891" s="29" t="n">
        <v>4287700</v>
      </c>
      <c r="F1891" s="30" t="n">
        <v>21</v>
      </c>
      <c r="G1891" s="31" t="n">
        <f aca="false">IFERROR(F1891/D1891,0)</f>
        <v>4.2</v>
      </c>
    </row>
    <row r="1892" customFormat="false" ht="15" hidden="false" customHeight="false" outlineLevel="0" collapsed="false">
      <c r="A1892" s="28" t="n">
        <v>2022</v>
      </c>
      <c r="B1892" s="28" t="s">
        <v>83</v>
      </c>
      <c r="C1892" s="28" t="s">
        <v>46</v>
      </c>
      <c r="D1892" s="28" t="n">
        <v>120</v>
      </c>
      <c r="E1892" s="29" t="n">
        <v>70466900</v>
      </c>
      <c r="F1892" s="30" t="n">
        <v>782.48</v>
      </c>
      <c r="G1892" s="31" t="n">
        <f aca="false">IFERROR(F1892/D1892,0)</f>
        <v>6.52066666666667</v>
      </c>
    </row>
    <row r="1893" customFormat="false" ht="15" hidden="false" customHeight="false" outlineLevel="0" collapsed="false">
      <c r="A1893" s="28" t="n">
        <v>2022</v>
      </c>
      <c r="B1893" s="28" t="s">
        <v>83</v>
      </c>
      <c r="C1893" s="28" t="s">
        <v>48</v>
      </c>
      <c r="D1893" s="28" t="n">
        <v>90</v>
      </c>
      <c r="E1893" s="29" t="n">
        <v>53030300</v>
      </c>
      <c r="F1893" s="30" t="n">
        <v>597.575</v>
      </c>
      <c r="G1893" s="31" t="n">
        <f aca="false">IFERROR(F1893/D1893,0)</f>
        <v>6.63972222222222</v>
      </c>
    </row>
    <row r="1894" customFormat="false" ht="15" hidden="false" customHeight="false" outlineLevel="0" collapsed="false">
      <c r="A1894" s="28" t="n">
        <v>2022</v>
      </c>
      <c r="B1894" s="28" t="s">
        <v>83</v>
      </c>
      <c r="C1894" s="28" t="s">
        <v>53</v>
      </c>
      <c r="D1894" s="28" t="n">
        <v>31</v>
      </c>
      <c r="E1894" s="29" t="n">
        <v>27565500</v>
      </c>
      <c r="F1894" s="30" t="n">
        <v>175.953</v>
      </c>
      <c r="G1894" s="31" t="n">
        <f aca="false">IFERROR(F1894/D1894,0)</f>
        <v>5.67590322580645</v>
      </c>
    </row>
    <row r="1895" customFormat="false" ht="15" hidden="false" customHeight="false" outlineLevel="0" collapsed="false">
      <c r="A1895" s="28" t="n">
        <v>2022</v>
      </c>
      <c r="B1895" s="28" t="s">
        <v>83</v>
      </c>
      <c r="C1895" s="28" t="s">
        <v>43</v>
      </c>
      <c r="D1895" s="28" t="n">
        <v>132</v>
      </c>
      <c r="E1895" s="29" t="n">
        <v>80685300</v>
      </c>
      <c r="F1895" s="30" t="n">
        <v>827.74</v>
      </c>
      <c r="G1895" s="31" t="n">
        <f aca="false">IFERROR(F1895/D1895,0)</f>
        <v>6.27075757575758</v>
      </c>
    </row>
    <row r="1896" customFormat="false" ht="15" hidden="false" customHeight="false" outlineLevel="0" collapsed="false">
      <c r="A1896" s="28" t="n">
        <v>2022</v>
      </c>
      <c r="B1896" s="28" t="s">
        <v>83</v>
      </c>
      <c r="C1896" s="28" t="s">
        <v>52</v>
      </c>
      <c r="D1896" s="28" t="n">
        <v>39</v>
      </c>
      <c r="E1896" s="29" t="n">
        <v>23769200</v>
      </c>
      <c r="F1896" s="30" t="n">
        <v>270.57</v>
      </c>
      <c r="G1896" s="31" t="n">
        <f aca="false">IFERROR(F1896/D1896,0)</f>
        <v>6.93769230769231</v>
      </c>
    </row>
    <row r="1897" customFormat="false" ht="15" hidden="false" customHeight="false" outlineLevel="0" collapsed="false">
      <c r="A1897" s="28" t="n">
        <v>2022</v>
      </c>
      <c r="B1897" s="28" t="s">
        <v>83</v>
      </c>
      <c r="C1897" s="28" t="s">
        <v>49</v>
      </c>
      <c r="D1897" s="28" t="n">
        <v>19</v>
      </c>
      <c r="E1897" s="29" t="n">
        <v>18743700</v>
      </c>
      <c r="F1897" s="30" t="n">
        <v>107.45</v>
      </c>
      <c r="G1897" s="31" t="n">
        <f aca="false">IFERROR(F1897/D1897,0)</f>
        <v>5.65526315789474</v>
      </c>
    </row>
    <row r="1898" customFormat="false" ht="15" hidden="false" customHeight="false" outlineLevel="0" collapsed="false">
      <c r="A1898" s="28" t="n">
        <v>2022</v>
      </c>
      <c r="B1898" s="28" t="s">
        <v>85</v>
      </c>
      <c r="C1898" s="28" t="s">
        <v>42</v>
      </c>
      <c r="D1898" s="28" t="n">
        <v>60</v>
      </c>
      <c r="E1898" s="29" t="n">
        <v>23547100</v>
      </c>
      <c r="F1898" s="30" t="n">
        <v>390.23</v>
      </c>
      <c r="G1898" s="31" t="n">
        <f aca="false">IFERROR(F1898/D1898,0)</f>
        <v>6.50383333333333</v>
      </c>
    </row>
    <row r="1899" customFormat="false" ht="15" hidden="false" customHeight="false" outlineLevel="0" collapsed="false">
      <c r="A1899" s="28" t="n">
        <v>2022</v>
      </c>
      <c r="B1899" s="28" t="s">
        <v>85</v>
      </c>
      <c r="C1899" s="28" t="s">
        <v>50</v>
      </c>
      <c r="D1899" s="28" t="n">
        <v>35</v>
      </c>
      <c r="E1899" s="29" t="n">
        <v>16208500</v>
      </c>
      <c r="F1899" s="30" t="n">
        <v>231.23</v>
      </c>
      <c r="G1899" s="31" t="n">
        <f aca="false">IFERROR(F1899/D1899,0)</f>
        <v>6.60657142857143</v>
      </c>
    </row>
    <row r="1900" customFormat="false" ht="15" hidden="false" customHeight="false" outlineLevel="0" collapsed="false">
      <c r="A1900" s="28" t="n">
        <v>2022</v>
      </c>
      <c r="B1900" s="28" t="s">
        <v>85</v>
      </c>
      <c r="C1900" s="28" t="s">
        <v>51</v>
      </c>
      <c r="D1900" s="28" t="n">
        <v>18</v>
      </c>
      <c r="E1900" s="29" t="n">
        <v>6132900</v>
      </c>
      <c r="F1900" s="30" t="n">
        <v>117.59</v>
      </c>
      <c r="G1900" s="31" t="n">
        <f aca="false">IFERROR(F1900/D1900,0)</f>
        <v>6.53277777777778</v>
      </c>
    </row>
    <row r="1901" customFormat="false" ht="15" hidden="false" customHeight="false" outlineLevel="0" collapsed="false">
      <c r="A1901" s="28" t="n">
        <v>2022</v>
      </c>
      <c r="B1901" s="28" t="s">
        <v>85</v>
      </c>
      <c r="C1901" s="28" t="s">
        <v>45</v>
      </c>
      <c r="D1901" s="28" t="n">
        <v>83</v>
      </c>
      <c r="E1901" s="29" t="n">
        <v>22008300</v>
      </c>
      <c r="F1901" s="30" t="n">
        <v>568.92</v>
      </c>
      <c r="G1901" s="31" t="n">
        <f aca="false">IFERROR(F1901/D1901,0)</f>
        <v>6.8544578313253</v>
      </c>
    </row>
    <row r="1902" customFormat="false" ht="15" hidden="false" customHeight="false" outlineLevel="0" collapsed="false">
      <c r="A1902" s="28" t="n">
        <v>2022</v>
      </c>
      <c r="B1902" s="28" t="s">
        <v>85</v>
      </c>
      <c r="C1902" s="28" t="s">
        <v>56</v>
      </c>
      <c r="D1902" s="28" t="n">
        <v>12</v>
      </c>
      <c r="E1902" s="29" t="n">
        <v>1998800</v>
      </c>
      <c r="F1902" s="30" t="n">
        <v>73.91</v>
      </c>
      <c r="G1902" s="31" t="n">
        <f aca="false">IFERROR(F1902/D1902,0)</f>
        <v>6.15916666666667</v>
      </c>
    </row>
    <row r="1903" customFormat="false" ht="15" hidden="false" customHeight="false" outlineLevel="0" collapsed="false">
      <c r="A1903" s="28" t="n">
        <v>2022</v>
      </c>
      <c r="B1903" s="28" t="s">
        <v>85</v>
      </c>
      <c r="C1903" s="28" t="s">
        <v>54</v>
      </c>
      <c r="D1903" s="28" t="n">
        <v>10</v>
      </c>
      <c r="E1903" s="29" t="n">
        <v>5976100</v>
      </c>
      <c r="F1903" s="30" t="n">
        <v>55.64</v>
      </c>
      <c r="G1903" s="31" t="n">
        <f aca="false">IFERROR(F1903/D1903,0)</f>
        <v>5.564</v>
      </c>
    </row>
    <row r="1904" customFormat="false" ht="15" hidden="false" customHeight="false" outlineLevel="0" collapsed="false">
      <c r="A1904" s="28" t="n">
        <v>2022</v>
      </c>
      <c r="B1904" s="28" t="s">
        <v>85</v>
      </c>
      <c r="C1904" s="28" t="s">
        <v>44</v>
      </c>
      <c r="D1904" s="28" t="n">
        <v>57</v>
      </c>
      <c r="E1904" s="29" t="n">
        <v>12886000</v>
      </c>
      <c r="F1904" s="30" t="n">
        <v>381.85</v>
      </c>
      <c r="G1904" s="31" t="n">
        <f aca="false">IFERROR(F1904/D1904,0)</f>
        <v>6.69912280701754</v>
      </c>
    </row>
    <row r="1905" customFormat="false" ht="15" hidden="false" customHeight="false" outlineLevel="0" collapsed="false">
      <c r="A1905" s="28" t="n">
        <v>2022</v>
      </c>
      <c r="B1905" s="28" t="s">
        <v>85</v>
      </c>
      <c r="C1905" s="28" t="s">
        <v>57</v>
      </c>
      <c r="D1905" s="28" t="n">
        <v>4</v>
      </c>
      <c r="E1905" s="29" t="n">
        <v>470000</v>
      </c>
      <c r="F1905" s="30" t="n">
        <v>27.75</v>
      </c>
      <c r="G1905" s="31" t="n">
        <f aca="false">IFERROR(F1905/D1905,0)</f>
        <v>6.9375</v>
      </c>
    </row>
    <row r="1906" customFormat="false" ht="15" hidden="false" customHeight="false" outlineLevel="0" collapsed="false">
      <c r="A1906" s="28" t="n">
        <v>2022</v>
      </c>
      <c r="B1906" s="28" t="s">
        <v>85</v>
      </c>
      <c r="C1906" s="28" t="s">
        <v>47</v>
      </c>
      <c r="D1906" s="28" t="n">
        <v>35</v>
      </c>
      <c r="E1906" s="29" t="n">
        <v>26368600</v>
      </c>
      <c r="F1906" s="30" t="n">
        <v>212.18</v>
      </c>
      <c r="G1906" s="31" t="n">
        <f aca="false">IFERROR(F1906/D1906,0)</f>
        <v>6.06228571428571</v>
      </c>
    </row>
    <row r="1907" customFormat="false" ht="15" hidden="false" customHeight="false" outlineLevel="0" collapsed="false">
      <c r="A1907" s="28" t="n">
        <v>2022</v>
      </c>
      <c r="B1907" s="28" t="s">
        <v>85</v>
      </c>
      <c r="C1907" s="28" t="s">
        <v>58</v>
      </c>
      <c r="D1907" s="28" t="n">
        <v>4</v>
      </c>
      <c r="E1907" s="29" t="n">
        <v>5524000</v>
      </c>
      <c r="F1907" s="30" t="n">
        <v>25.5</v>
      </c>
      <c r="G1907" s="31" t="n">
        <f aca="false">IFERROR(F1907/D1907,0)</f>
        <v>6.375</v>
      </c>
    </row>
    <row r="1908" customFormat="false" ht="15" hidden="false" customHeight="false" outlineLevel="0" collapsed="false">
      <c r="A1908" s="28" t="n">
        <v>2022</v>
      </c>
      <c r="B1908" s="28" t="s">
        <v>85</v>
      </c>
      <c r="C1908" s="28" t="s">
        <v>46</v>
      </c>
      <c r="D1908" s="28" t="n">
        <v>40</v>
      </c>
      <c r="E1908" s="29" t="n">
        <v>15407700</v>
      </c>
      <c r="F1908" s="30" t="n">
        <v>269.36</v>
      </c>
      <c r="G1908" s="31" t="n">
        <f aca="false">IFERROR(F1908/D1908,0)</f>
        <v>6.734</v>
      </c>
    </row>
    <row r="1909" customFormat="false" ht="15" hidden="false" customHeight="false" outlineLevel="0" collapsed="false">
      <c r="A1909" s="28" t="n">
        <v>2022</v>
      </c>
      <c r="B1909" s="28" t="s">
        <v>85</v>
      </c>
      <c r="C1909" s="28" t="s">
        <v>48</v>
      </c>
      <c r="D1909" s="28" t="n">
        <v>45</v>
      </c>
      <c r="E1909" s="29" t="n">
        <v>12855200</v>
      </c>
      <c r="F1909" s="30" t="n">
        <v>298.14</v>
      </c>
      <c r="G1909" s="31" t="n">
        <f aca="false">IFERROR(F1909/D1909,0)</f>
        <v>6.62533333333333</v>
      </c>
    </row>
    <row r="1910" customFormat="false" ht="15" hidden="false" customHeight="false" outlineLevel="0" collapsed="false">
      <c r="A1910" s="28" t="n">
        <v>2022</v>
      </c>
      <c r="B1910" s="28" t="s">
        <v>85</v>
      </c>
      <c r="C1910" s="28" t="s">
        <v>53</v>
      </c>
      <c r="D1910" s="28" t="n">
        <v>18</v>
      </c>
      <c r="E1910" s="29" t="n">
        <v>13995000</v>
      </c>
      <c r="F1910" s="30" t="n">
        <v>113.05</v>
      </c>
      <c r="G1910" s="31" t="n">
        <f aca="false">IFERROR(F1910/D1910,0)</f>
        <v>6.28055555555556</v>
      </c>
    </row>
    <row r="1911" customFormat="false" ht="15" hidden="false" customHeight="false" outlineLevel="0" collapsed="false">
      <c r="A1911" s="28" t="n">
        <v>2022</v>
      </c>
      <c r="B1911" s="28" t="s">
        <v>85</v>
      </c>
      <c r="C1911" s="28" t="s">
        <v>43</v>
      </c>
      <c r="D1911" s="28" t="n">
        <v>72</v>
      </c>
      <c r="E1911" s="29" t="n">
        <v>23473200</v>
      </c>
      <c r="F1911" s="30" t="n">
        <v>491.01</v>
      </c>
      <c r="G1911" s="31" t="n">
        <f aca="false">IFERROR(F1911/D1911,0)</f>
        <v>6.81958333333333</v>
      </c>
    </row>
    <row r="1912" customFormat="false" ht="15" hidden="false" customHeight="false" outlineLevel="0" collapsed="false">
      <c r="A1912" s="28" t="n">
        <v>2022</v>
      </c>
      <c r="B1912" s="28" t="s">
        <v>85</v>
      </c>
      <c r="C1912" s="28" t="s">
        <v>52</v>
      </c>
      <c r="D1912" s="28" t="n">
        <v>23</v>
      </c>
      <c r="E1912" s="29" t="n">
        <v>6199900</v>
      </c>
      <c r="F1912" s="30" t="n">
        <v>180.97</v>
      </c>
      <c r="G1912" s="31" t="n">
        <f aca="false">IFERROR(F1912/D1912,0)</f>
        <v>7.86826086956522</v>
      </c>
    </row>
    <row r="1913" customFormat="false" ht="15" hidden="false" customHeight="false" outlineLevel="0" collapsed="false">
      <c r="A1913" s="28" t="n">
        <v>2022</v>
      </c>
      <c r="B1913" s="28" t="s">
        <v>85</v>
      </c>
      <c r="C1913" s="28" t="s">
        <v>49</v>
      </c>
      <c r="D1913" s="28" t="n">
        <v>24</v>
      </c>
      <c r="E1913" s="29" t="n">
        <v>11185900</v>
      </c>
      <c r="F1913" s="30" t="n">
        <v>145.93</v>
      </c>
      <c r="G1913" s="31" t="n">
        <f aca="false">IFERROR(F1913/D1913,0)</f>
        <v>6.08041666666667</v>
      </c>
    </row>
    <row r="1914" customFormat="false" ht="15" hidden="false" customHeight="false" outlineLevel="0" collapsed="false">
      <c r="A1914" s="28" t="n">
        <v>2022</v>
      </c>
      <c r="B1914" s="28" t="s">
        <v>87</v>
      </c>
      <c r="C1914" s="28" t="s">
        <v>42</v>
      </c>
      <c r="D1914" s="28" t="n">
        <v>12</v>
      </c>
      <c r="E1914" s="29" t="n">
        <v>4940800</v>
      </c>
      <c r="F1914" s="30" t="n">
        <v>80.1</v>
      </c>
      <c r="G1914" s="31" t="n">
        <f aca="false">IFERROR(F1914/D1914,0)</f>
        <v>6.675</v>
      </c>
    </row>
    <row r="1915" customFormat="false" ht="15" hidden="false" customHeight="false" outlineLevel="0" collapsed="false">
      <c r="A1915" s="28" t="n">
        <v>2022</v>
      </c>
      <c r="B1915" s="28" t="s">
        <v>87</v>
      </c>
      <c r="C1915" s="28" t="s">
        <v>50</v>
      </c>
      <c r="D1915" s="28" t="n">
        <v>3</v>
      </c>
      <c r="E1915" s="29" t="n">
        <v>125200</v>
      </c>
      <c r="F1915" s="30" t="n">
        <v>25.24</v>
      </c>
      <c r="G1915" s="31" t="n">
        <f aca="false">IFERROR(F1915/D1915,0)</f>
        <v>8.41333333333333</v>
      </c>
    </row>
    <row r="1916" customFormat="false" ht="15" hidden="false" customHeight="false" outlineLevel="0" collapsed="false">
      <c r="A1916" s="28" t="n">
        <v>2022</v>
      </c>
      <c r="B1916" s="28" t="s">
        <v>87</v>
      </c>
      <c r="C1916" s="28" t="s">
        <v>45</v>
      </c>
      <c r="D1916" s="28" t="n">
        <v>4</v>
      </c>
      <c r="E1916" s="29" t="n">
        <v>700000</v>
      </c>
      <c r="F1916" s="30" t="n">
        <v>30</v>
      </c>
      <c r="G1916" s="31" t="n">
        <f aca="false">IFERROR(F1916/D1916,0)</f>
        <v>7.5</v>
      </c>
    </row>
    <row r="1917" customFormat="false" ht="15" hidden="false" customHeight="false" outlineLevel="0" collapsed="false">
      <c r="A1917" s="28" t="n">
        <v>2022</v>
      </c>
      <c r="B1917" s="28" t="s">
        <v>87</v>
      </c>
      <c r="C1917" s="28" t="s">
        <v>56</v>
      </c>
      <c r="D1917" s="28" t="n">
        <v>3</v>
      </c>
      <c r="E1917" s="29" t="n">
        <v>3212000</v>
      </c>
      <c r="F1917" s="30" t="n">
        <v>20.2</v>
      </c>
      <c r="G1917" s="31" t="n">
        <f aca="false">IFERROR(F1917/D1917,0)</f>
        <v>6.73333333333333</v>
      </c>
    </row>
    <row r="1918" customFormat="false" ht="15" hidden="false" customHeight="false" outlineLevel="0" collapsed="false">
      <c r="A1918" s="28" t="n">
        <v>2022</v>
      </c>
      <c r="B1918" s="28" t="s">
        <v>87</v>
      </c>
      <c r="C1918" s="28" t="s">
        <v>54</v>
      </c>
      <c r="D1918" s="28" t="n">
        <v>2</v>
      </c>
      <c r="E1918" s="29" t="n">
        <v>600000</v>
      </c>
      <c r="F1918" s="30" t="n">
        <v>13</v>
      </c>
      <c r="G1918" s="31" t="n">
        <f aca="false">IFERROR(F1918/D1918,0)</f>
        <v>6.5</v>
      </c>
    </row>
    <row r="1919" customFormat="false" ht="15" hidden="false" customHeight="false" outlineLevel="0" collapsed="false">
      <c r="A1919" s="28" t="n">
        <v>2022</v>
      </c>
      <c r="B1919" s="28" t="s">
        <v>87</v>
      </c>
      <c r="C1919" s="28" t="s">
        <v>44</v>
      </c>
      <c r="D1919" s="28" t="n">
        <v>9</v>
      </c>
      <c r="E1919" s="29" t="n">
        <v>4873100</v>
      </c>
      <c r="F1919" s="30" t="n">
        <v>66.89</v>
      </c>
      <c r="G1919" s="31" t="n">
        <f aca="false">IFERROR(F1919/D1919,0)</f>
        <v>7.43222222222222</v>
      </c>
    </row>
    <row r="1920" customFormat="false" ht="15" hidden="false" customHeight="false" outlineLevel="0" collapsed="false">
      <c r="A1920" s="28" t="n">
        <v>2022</v>
      </c>
      <c r="B1920" s="28" t="s">
        <v>87</v>
      </c>
      <c r="C1920" s="28" t="s">
        <v>57</v>
      </c>
      <c r="D1920" s="28" t="n">
        <v>4</v>
      </c>
      <c r="E1920" s="29" t="n">
        <v>435000</v>
      </c>
      <c r="F1920" s="30" t="n">
        <v>23.89</v>
      </c>
      <c r="G1920" s="31" t="n">
        <f aca="false">IFERROR(F1920/D1920,0)</f>
        <v>5.9725</v>
      </c>
    </row>
    <row r="1921" customFormat="false" ht="15" hidden="false" customHeight="false" outlineLevel="0" collapsed="false">
      <c r="A1921" s="28" t="n">
        <v>2022</v>
      </c>
      <c r="B1921" s="28" t="s">
        <v>87</v>
      </c>
      <c r="C1921" s="28" t="s">
        <v>47</v>
      </c>
      <c r="D1921" s="28" t="n">
        <v>4</v>
      </c>
      <c r="E1921" s="29" t="n">
        <v>1980000</v>
      </c>
      <c r="F1921" s="30" t="n">
        <v>32</v>
      </c>
      <c r="G1921" s="31" t="n">
        <f aca="false">IFERROR(F1921/D1921,0)</f>
        <v>8</v>
      </c>
    </row>
    <row r="1922" customFormat="false" ht="15" hidden="false" customHeight="false" outlineLevel="0" collapsed="false">
      <c r="A1922" s="28" t="n">
        <v>2022</v>
      </c>
      <c r="B1922" s="28" t="s">
        <v>87</v>
      </c>
      <c r="C1922" s="28" t="s">
        <v>46</v>
      </c>
      <c r="D1922" s="28" t="n">
        <v>2</v>
      </c>
      <c r="E1922" s="29" t="n">
        <v>1528000</v>
      </c>
      <c r="F1922" s="30" t="n">
        <v>14.25</v>
      </c>
      <c r="G1922" s="31" t="n">
        <f aca="false">IFERROR(F1922/D1922,0)</f>
        <v>7.125</v>
      </c>
    </row>
    <row r="1923" customFormat="false" ht="15" hidden="false" customHeight="false" outlineLevel="0" collapsed="false">
      <c r="A1923" s="28" t="n">
        <v>2022</v>
      </c>
      <c r="B1923" s="28" t="s">
        <v>87</v>
      </c>
      <c r="C1923" s="28" t="s">
        <v>48</v>
      </c>
      <c r="D1923" s="28" t="n">
        <v>18</v>
      </c>
      <c r="E1923" s="29" t="n">
        <v>4482500</v>
      </c>
      <c r="F1923" s="30" t="n">
        <v>129</v>
      </c>
      <c r="G1923" s="31" t="n">
        <f aca="false">IFERROR(F1923/D1923,0)</f>
        <v>7.16666666666667</v>
      </c>
    </row>
    <row r="1924" customFormat="false" ht="15" hidden="false" customHeight="false" outlineLevel="0" collapsed="false">
      <c r="A1924" s="28" t="n">
        <v>2022</v>
      </c>
      <c r="B1924" s="28" t="s">
        <v>87</v>
      </c>
      <c r="C1924" s="28" t="s">
        <v>53</v>
      </c>
      <c r="D1924" s="28" t="n">
        <v>1</v>
      </c>
      <c r="E1924" s="29" t="n">
        <v>50000</v>
      </c>
      <c r="F1924" s="30" t="n">
        <v>7.75</v>
      </c>
      <c r="G1924" s="31" t="n">
        <f aca="false">IFERROR(F1924/D1924,0)</f>
        <v>7.75</v>
      </c>
    </row>
    <row r="1925" customFormat="false" ht="15" hidden="false" customHeight="false" outlineLevel="0" collapsed="false">
      <c r="A1925" s="28" t="n">
        <v>2022</v>
      </c>
      <c r="B1925" s="28" t="s">
        <v>87</v>
      </c>
      <c r="C1925" s="28" t="s">
        <v>43</v>
      </c>
      <c r="D1925" s="28" t="n">
        <v>24</v>
      </c>
      <c r="E1925" s="29" t="n">
        <v>16298200</v>
      </c>
      <c r="F1925" s="30" t="n">
        <v>165.25</v>
      </c>
      <c r="G1925" s="31" t="n">
        <f aca="false">IFERROR(F1925/D1925,0)</f>
        <v>6.88541666666667</v>
      </c>
    </row>
    <row r="1926" customFormat="false" ht="15" hidden="false" customHeight="false" outlineLevel="0" collapsed="false">
      <c r="A1926" s="28" t="n">
        <v>2022</v>
      </c>
      <c r="B1926" s="28" t="s">
        <v>87</v>
      </c>
      <c r="C1926" s="28" t="s">
        <v>52</v>
      </c>
      <c r="D1926" s="28" t="n">
        <v>1</v>
      </c>
      <c r="E1926" s="29" t="n">
        <v>2135000</v>
      </c>
      <c r="F1926" s="30" t="n">
        <v>8.25</v>
      </c>
      <c r="G1926" s="31" t="n">
        <f aca="false">IFERROR(F1926/D1926,0)</f>
        <v>8.25</v>
      </c>
    </row>
    <row r="1927" customFormat="false" ht="15" hidden="false" customHeight="false" outlineLevel="0" collapsed="false">
      <c r="A1927" s="28" t="n">
        <v>2022</v>
      </c>
      <c r="B1927" s="28" t="s">
        <v>87</v>
      </c>
      <c r="C1927" s="28" t="s">
        <v>49</v>
      </c>
      <c r="D1927" s="28" t="n">
        <v>1</v>
      </c>
      <c r="E1927" s="29" t="n">
        <v>35000</v>
      </c>
      <c r="F1927" s="30" t="n">
        <v>7</v>
      </c>
      <c r="G1927" s="31" t="n">
        <f aca="false">IFERROR(F1927/D1927,0)</f>
        <v>7</v>
      </c>
    </row>
    <row r="1928" customFormat="false" ht="15" hidden="false" customHeight="false" outlineLevel="0" collapsed="false">
      <c r="A1928" s="28" t="n">
        <v>2022</v>
      </c>
      <c r="B1928" s="28" t="s">
        <v>88</v>
      </c>
      <c r="C1928" s="28" t="s">
        <v>42</v>
      </c>
      <c r="D1928" s="28" t="n">
        <v>7</v>
      </c>
      <c r="E1928" s="29" t="n">
        <v>2004000</v>
      </c>
      <c r="F1928" s="30" t="n">
        <v>53.58</v>
      </c>
      <c r="G1928" s="31" t="n">
        <f aca="false">IFERROR(F1928/D1928,0)</f>
        <v>7.65428571428571</v>
      </c>
    </row>
    <row r="1929" customFormat="false" ht="15" hidden="false" customHeight="false" outlineLevel="0" collapsed="false">
      <c r="A1929" s="28" t="n">
        <v>2022</v>
      </c>
      <c r="B1929" s="28" t="s">
        <v>88</v>
      </c>
      <c r="C1929" s="28" t="s">
        <v>50</v>
      </c>
      <c r="D1929" s="28" t="n">
        <v>14</v>
      </c>
      <c r="E1929" s="29" t="n">
        <v>979900</v>
      </c>
      <c r="F1929" s="30" t="n">
        <v>108.1</v>
      </c>
      <c r="G1929" s="31" t="n">
        <f aca="false">IFERROR(F1929/D1929,0)</f>
        <v>7.72142857142857</v>
      </c>
    </row>
    <row r="1930" customFormat="false" ht="15" hidden="false" customHeight="false" outlineLevel="0" collapsed="false">
      <c r="A1930" s="28" t="n">
        <v>2022</v>
      </c>
      <c r="B1930" s="28" t="s">
        <v>88</v>
      </c>
      <c r="C1930" s="28" t="s">
        <v>55</v>
      </c>
      <c r="D1930" s="28" t="n">
        <v>2</v>
      </c>
      <c r="E1930" s="29" t="n">
        <v>4580000</v>
      </c>
      <c r="F1930" s="30" t="n">
        <v>16.6</v>
      </c>
      <c r="G1930" s="31" t="n">
        <f aca="false">IFERROR(F1930/D1930,0)</f>
        <v>8.3</v>
      </c>
    </row>
    <row r="1931" customFormat="false" ht="15" hidden="false" customHeight="false" outlineLevel="0" collapsed="false">
      <c r="A1931" s="28" t="n">
        <v>2022</v>
      </c>
      <c r="B1931" s="28" t="s">
        <v>88</v>
      </c>
      <c r="C1931" s="28" t="s">
        <v>51</v>
      </c>
      <c r="D1931" s="28" t="n">
        <v>3</v>
      </c>
      <c r="E1931" s="29" t="n">
        <v>1464000</v>
      </c>
      <c r="F1931" s="30" t="n">
        <v>19</v>
      </c>
      <c r="G1931" s="31" t="n">
        <f aca="false">IFERROR(F1931/D1931,0)</f>
        <v>6.33333333333333</v>
      </c>
    </row>
    <row r="1932" customFormat="false" ht="15" hidden="false" customHeight="false" outlineLevel="0" collapsed="false">
      <c r="A1932" s="28" t="n">
        <v>2022</v>
      </c>
      <c r="B1932" s="28" t="s">
        <v>88</v>
      </c>
      <c r="C1932" s="28" t="s">
        <v>45</v>
      </c>
      <c r="D1932" s="28" t="n">
        <v>12</v>
      </c>
      <c r="E1932" s="29" t="n">
        <v>6096000</v>
      </c>
      <c r="F1932" s="30" t="n">
        <v>89.55</v>
      </c>
      <c r="G1932" s="31" t="n">
        <f aca="false">IFERROR(F1932/D1932,0)</f>
        <v>7.4625</v>
      </c>
    </row>
    <row r="1933" customFormat="false" ht="15" hidden="false" customHeight="false" outlineLevel="0" collapsed="false">
      <c r="A1933" s="28" t="n">
        <v>2022</v>
      </c>
      <c r="B1933" s="28" t="s">
        <v>88</v>
      </c>
      <c r="C1933" s="28" t="s">
        <v>56</v>
      </c>
      <c r="D1933" s="28" t="n">
        <v>6</v>
      </c>
      <c r="E1933" s="29" t="n">
        <v>641500</v>
      </c>
      <c r="F1933" s="30" t="n">
        <v>50.25</v>
      </c>
      <c r="G1933" s="31" t="n">
        <f aca="false">IFERROR(F1933/D1933,0)</f>
        <v>8.375</v>
      </c>
    </row>
    <row r="1934" customFormat="false" ht="15" hidden="false" customHeight="false" outlineLevel="0" collapsed="false">
      <c r="A1934" s="28" t="n">
        <v>2022</v>
      </c>
      <c r="B1934" s="28" t="s">
        <v>88</v>
      </c>
      <c r="C1934" s="28" t="s">
        <v>54</v>
      </c>
      <c r="D1934" s="28" t="n">
        <v>2</v>
      </c>
      <c r="E1934" s="29" t="n">
        <v>68500</v>
      </c>
      <c r="F1934" s="30" t="n">
        <v>16.25</v>
      </c>
      <c r="G1934" s="31" t="n">
        <f aca="false">IFERROR(F1934/D1934,0)</f>
        <v>8.125</v>
      </c>
    </row>
    <row r="1935" customFormat="false" ht="15" hidden="false" customHeight="false" outlineLevel="0" collapsed="false">
      <c r="A1935" s="28" t="n">
        <v>2022</v>
      </c>
      <c r="B1935" s="28" t="s">
        <v>88</v>
      </c>
      <c r="C1935" s="28" t="s">
        <v>44</v>
      </c>
      <c r="D1935" s="28" t="n">
        <v>11</v>
      </c>
      <c r="E1935" s="29" t="n">
        <v>5923500</v>
      </c>
      <c r="F1935" s="30" t="n">
        <v>67.65</v>
      </c>
      <c r="G1935" s="31" t="n">
        <f aca="false">IFERROR(F1935/D1935,0)</f>
        <v>6.15</v>
      </c>
    </row>
    <row r="1936" customFormat="false" ht="15" hidden="false" customHeight="false" outlineLevel="0" collapsed="false">
      <c r="A1936" s="28" t="n">
        <v>2022</v>
      </c>
      <c r="B1936" s="28" t="s">
        <v>88</v>
      </c>
      <c r="C1936" s="28" t="s">
        <v>57</v>
      </c>
      <c r="D1936" s="28" t="n">
        <v>2</v>
      </c>
      <c r="E1936" s="29" t="n">
        <v>15000</v>
      </c>
      <c r="F1936" s="30" t="n">
        <v>21.75</v>
      </c>
      <c r="G1936" s="31" t="n">
        <f aca="false">IFERROR(F1936/D1936,0)</f>
        <v>10.875</v>
      </c>
    </row>
    <row r="1937" customFormat="false" ht="15" hidden="false" customHeight="false" outlineLevel="0" collapsed="false">
      <c r="A1937" s="28" t="n">
        <v>2022</v>
      </c>
      <c r="B1937" s="28" t="s">
        <v>88</v>
      </c>
      <c r="C1937" s="28" t="s">
        <v>47</v>
      </c>
      <c r="D1937" s="28" t="n">
        <v>6</v>
      </c>
      <c r="E1937" s="29" t="n">
        <v>4709500</v>
      </c>
      <c r="F1937" s="30" t="n">
        <v>33.24</v>
      </c>
      <c r="G1937" s="31" t="n">
        <f aca="false">IFERROR(F1937/D1937,0)</f>
        <v>5.54</v>
      </c>
    </row>
    <row r="1938" customFormat="false" ht="15" hidden="false" customHeight="false" outlineLevel="0" collapsed="false">
      <c r="A1938" s="28" t="n">
        <v>2022</v>
      </c>
      <c r="B1938" s="28" t="s">
        <v>88</v>
      </c>
      <c r="C1938" s="28" t="s">
        <v>46</v>
      </c>
      <c r="D1938" s="28" t="n">
        <v>19</v>
      </c>
      <c r="E1938" s="29" t="n">
        <v>7037600</v>
      </c>
      <c r="F1938" s="30" t="n">
        <v>138</v>
      </c>
      <c r="G1938" s="31" t="n">
        <f aca="false">IFERROR(F1938/D1938,0)</f>
        <v>7.26315789473684</v>
      </c>
    </row>
    <row r="1939" customFormat="false" ht="15" hidden="false" customHeight="false" outlineLevel="0" collapsed="false">
      <c r="A1939" s="28" t="n">
        <v>2022</v>
      </c>
      <c r="B1939" s="28" t="s">
        <v>88</v>
      </c>
      <c r="C1939" s="28" t="s">
        <v>48</v>
      </c>
      <c r="D1939" s="28" t="n">
        <v>19</v>
      </c>
      <c r="E1939" s="29" t="n">
        <v>4655000</v>
      </c>
      <c r="F1939" s="30" t="n">
        <v>145.95</v>
      </c>
      <c r="G1939" s="31" t="n">
        <f aca="false">IFERROR(F1939/D1939,0)</f>
        <v>7.68157894736842</v>
      </c>
    </row>
    <row r="1940" customFormat="false" ht="15" hidden="false" customHeight="false" outlineLevel="0" collapsed="false">
      <c r="A1940" s="28" t="n">
        <v>2022</v>
      </c>
      <c r="B1940" s="28" t="s">
        <v>88</v>
      </c>
      <c r="C1940" s="28" t="s">
        <v>53</v>
      </c>
      <c r="D1940" s="28" t="n">
        <v>2</v>
      </c>
      <c r="E1940" s="29" t="n">
        <v>1198000</v>
      </c>
      <c r="F1940" s="30" t="n">
        <v>12</v>
      </c>
      <c r="G1940" s="31" t="n">
        <f aca="false">IFERROR(F1940/D1940,0)</f>
        <v>6</v>
      </c>
    </row>
    <row r="1941" customFormat="false" ht="15" hidden="false" customHeight="false" outlineLevel="0" collapsed="false">
      <c r="A1941" s="28" t="n">
        <v>2022</v>
      </c>
      <c r="B1941" s="28" t="s">
        <v>88</v>
      </c>
      <c r="C1941" s="28" t="s">
        <v>43</v>
      </c>
      <c r="D1941" s="28" t="n">
        <v>11</v>
      </c>
      <c r="E1941" s="29" t="n">
        <v>4738500</v>
      </c>
      <c r="F1941" s="30" t="n">
        <v>90.05</v>
      </c>
      <c r="G1941" s="31" t="n">
        <f aca="false">IFERROR(F1941/D1941,0)</f>
        <v>8.18636363636364</v>
      </c>
    </row>
    <row r="1942" customFormat="false" ht="15" hidden="false" customHeight="false" outlineLevel="0" collapsed="false">
      <c r="A1942" s="28" t="n">
        <v>2022</v>
      </c>
      <c r="B1942" s="28" t="s">
        <v>88</v>
      </c>
      <c r="C1942" s="28" t="s">
        <v>52</v>
      </c>
      <c r="D1942" s="28" t="n">
        <v>16</v>
      </c>
      <c r="E1942" s="29" t="n">
        <v>1997800</v>
      </c>
      <c r="F1942" s="30" t="n">
        <v>141.9</v>
      </c>
      <c r="G1942" s="31" t="n">
        <f aca="false">IFERROR(F1942/D1942,0)</f>
        <v>8.86875</v>
      </c>
    </row>
    <row r="1943" customFormat="false" ht="15" hidden="false" customHeight="false" outlineLevel="0" collapsed="false">
      <c r="A1943" s="28" t="n">
        <v>2022</v>
      </c>
      <c r="B1943" s="28" t="s">
        <v>88</v>
      </c>
      <c r="C1943" s="28" t="s">
        <v>60</v>
      </c>
      <c r="D1943" s="28" t="n">
        <v>1</v>
      </c>
      <c r="E1943" s="29" t="n">
        <v>100000</v>
      </c>
      <c r="F1943" s="30" t="n">
        <v>3.75</v>
      </c>
      <c r="G1943" s="31" t="n">
        <f aca="false">IFERROR(F1943/D1943,0)</f>
        <v>3.75</v>
      </c>
    </row>
    <row r="1944" customFormat="false" ht="15" hidden="false" customHeight="false" outlineLevel="0" collapsed="false">
      <c r="A1944" s="28" t="n">
        <v>2022</v>
      </c>
      <c r="B1944" s="28" t="s">
        <v>88</v>
      </c>
      <c r="C1944" s="28" t="s">
        <v>49</v>
      </c>
      <c r="D1944" s="28" t="n">
        <v>3</v>
      </c>
      <c r="E1944" s="29" t="n">
        <v>941200</v>
      </c>
      <c r="F1944" s="30" t="n">
        <v>21.05</v>
      </c>
      <c r="G1944" s="31" t="n">
        <f aca="false">IFERROR(F1944/D1944,0)</f>
        <v>7.01666666666667</v>
      </c>
    </row>
    <row r="1945" customFormat="false" ht="15" hidden="false" customHeight="false" outlineLevel="0" collapsed="false">
      <c r="A1945" s="28" t="n">
        <v>2022</v>
      </c>
      <c r="B1945" s="28" t="s">
        <v>79</v>
      </c>
      <c r="C1945" s="28" t="s">
        <v>42</v>
      </c>
      <c r="D1945" s="28" t="n">
        <v>290</v>
      </c>
      <c r="E1945" s="29" t="n">
        <v>244385300</v>
      </c>
      <c r="F1945" s="30" t="n">
        <v>1929.61</v>
      </c>
      <c r="G1945" s="31" t="n">
        <f aca="false">IFERROR(F1945/D1945,0)</f>
        <v>6.6538275862069</v>
      </c>
    </row>
    <row r="1946" customFormat="false" ht="15" hidden="false" customHeight="false" outlineLevel="0" collapsed="false">
      <c r="A1946" s="28" t="n">
        <v>2022</v>
      </c>
      <c r="B1946" s="28" t="s">
        <v>79</v>
      </c>
      <c r="C1946" s="28" t="s">
        <v>50</v>
      </c>
      <c r="D1946" s="28" t="n">
        <v>182</v>
      </c>
      <c r="E1946" s="29" t="n">
        <v>100263200</v>
      </c>
      <c r="F1946" s="30" t="n">
        <v>1240.353</v>
      </c>
      <c r="G1946" s="31" t="n">
        <f aca="false">IFERROR(F1946/D1946,0)</f>
        <v>6.81512637362637</v>
      </c>
    </row>
    <row r="1947" customFormat="false" ht="15" hidden="false" customHeight="false" outlineLevel="0" collapsed="false">
      <c r="A1947" s="28" t="n">
        <v>2022</v>
      </c>
      <c r="B1947" s="28" t="s">
        <v>79</v>
      </c>
      <c r="C1947" s="28" t="s">
        <v>55</v>
      </c>
      <c r="D1947" s="28" t="n">
        <v>12</v>
      </c>
      <c r="E1947" s="29" t="n">
        <v>12948500</v>
      </c>
      <c r="F1947" s="30" t="n">
        <v>81.74</v>
      </c>
      <c r="G1947" s="31" t="n">
        <f aca="false">IFERROR(F1947/D1947,0)</f>
        <v>6.81166666666667</v>
      </c>
    </row>
    <row r="1948" customFormat="false" ht="15" hidden="false" customHeight="false" outlineLevel="0" collapsed="false">
      <c r="A1948" s="28" t="n">
        <v>2022</v>
      </c>
      <c r="B1948" s="28" t="s">
        <v>79</v>
      </c>
      <c r="C1948" s="28" t="s">
        <v>51</v>
      </c>
      <c r="D1948" s="28" t="n">
        <v>86</v>
      </c>
      <c r="E1948" s="29" t="n">
        <v>51925500</v>
      </c>
      <c r="F1948" s="30" t="n">
        <v>587.74</v>
      </c>
      <c r="G1948" s="31" t="n">
        <f aca="false">IFERROR(F1948/D1948,0)</f>
        <v>6.83418604651163</v>
      </c>
    </row>
    <row r="1949" customFormat="false" ht="15" hidden="false" customHeight="false" outlineLevel="0" collapsed="false">
      <c r="A1949" s="28" t="n">
        <v>2022</v>
      </c>
      <c r="B1949" s="28" t="s">
        <v>79</v>
      </c>
      <c r="C1949" s="28" t="s">
        <v>45</v>
      </c>
      <c r="D1949" s="28" t="n">
        <v>349</v>
      </c>
      <c r="E1949" s="29" t="n">
        <v>195440600</v>
      </c>
      <c r="F1949" s="30" t="n">
        <v>2431.71</v>
      </c>
      <c r="G1949" s="31" t="n">
        <f aca="false">IFERROR(F1949/D1949,0)</f>
        <v>6.96765042979943</v>
      </c>
    </row>
    <row r="1950" customFormat="false" ht="15" hidden="false" customHeight="false" outlineLevel="0" collapsed="false">
      <c r="A1950" s="28" t="n">
        <v>2022</v>
      </c>
      <c r="B1950" s="28" t="s">
        <v>79</v>
      </c>
      <c r="C1950" s="28" t="s">
        <v>56</v>
      </c>
      <c r="D1950" s="28" t="n">
        <v>45</v>
      </c>
      <c r="E1950" s="29" t="n">
        <v>27650100</v>
      </c>
      <c r="F1950" s="30" t="n">
        <v>310.69</v>
      </c>
      <c r="G1950" s="31" t="n">
        <f aca="false">IFERROR(F1950/D1950,0)</f>
        <v>6.90422222222222</v>
      </c>
    </row>
    <row r="1951" customFormat="false" ht="15" hidden="false" customHeight="false" outlineLevel="0" collapsed="false">
      <c r="A1951" s="28" t="n">
        <v>2022</v>
      </c>
      <c r="B1951" s="28" t="s">
        <v>79</v>
      </c>
      <c r="C1951" s="28" t="s">
        <v>54</v>
      </c>
      <c r="D1951" s="28" t="n">
        <v>84</v>
      </c>
      <c r="E1951" s="29" t="n">
        <v>48833400</v>
      </c>
      <c r="F1951" s="30" t="n">
        <v>544.94</v>
      </c>
      <c r="G1951" s="31" t="n">
        <f aca="false">IFERROR(F1951/D1951,0)</f>
        <v>6.48738095238095</v>
      </c>
    </row>
    <row r="1952" customFormat="false" ht="15" hidden="false" customHeight="false" outlineLevel="0" collapsed="false">
      <c r="A1952" s="28" t="n">
        <v>2022</v>
      </c>
      <c r="B1952" s="28" t="s">
        <v>79</v>
      </c>
      <c r="C1952" s="28" t="s">
        <v>44</v>
      </c>
      <c r="D1952" s="28" t="n">
        <v>314</v>
      </c>
      <c r="E1952" s="29" t="n">
        <v>231659900</v>
      </c>
      <c r="F1952" s="30" t="n">
        <v>2040.5</v>
      </c>
      <c r="G1952" s="31" t="n">
        <f aca="false">IFERROR(F1952/D1952,0)</f>
        <v>6.4984076433121</v>
      </c>
    </row>
    <row r="1953" customFormat="false" ht="15" hidden="false" customHeight="false" outlineLevel="0" collapsed="false">
      <c r="A1953" s="28" t="n">
        <v>2022</v>
      </c>
      <c r="B1953" s="28" t="s">
        <v>79</v>
      </c>
      <c r="C1953" s="28" t="s">
        <v>57</v>
      </c>
      <c r="D1953" s="28" t="n">
        <v>27</v>
      </c>
      <c r="E1953" s="29" t="n">
        <v>7003000</v>
      </c>
      <c r="F1953" s="30" t="n">
        <v>188.9</v>
      </c>
      <c r="G1953" s="31" t="n">
        <f aca="false">IFERROR(F1953/D1953,0)</f>
        <v>6.9962962962963</v>
      </c>
    </row>
    <row r="1954" customFormat="false" ht="15" hidden="false" customHeight="false" outlineLevel="0" collapsed="false">
      <c r="A1954" s="28" t="n">
        <v>2022</v>
      </c>
      <c r="B1954" s="28" t="s">
        <v>79</v>
      </c>
      <c r="C1954" s="28" t="s">
        <v>59</v>
      </c>
      <c r="D1954" s="28" t="n">
        <v>7</v>
      </c>
      <c r="E1954" s="29" t="n">
        <v>7696300</v>
      </c>
      <c r="F1954" s="30" t="n">
        <v>35.17</v>
      </c>
      <c r="G1954" s="31" t="n">
        <f aca="false">IFERROR(F1954/D1954,0)</f>
        <v>5.02428571428572</v>
      </c>
    </row>
    <row r="1955" customFormat="false" ht="15" hidden="false" customHeight="false" outlineLevel="0" collapsed="false">
      <c r="A1955" s="28" t="n">
        <v>2022</v>
      </c>
      <c r="B1955" s="28" t="s">
        <v>79</v>
      </c>
      <c r="C1955" s="28" t="s">
        <v>47</v>
      </c>
      <c r="D1955" s="28" t="n">
        <v>164</v>
      </c>
      <c r="E1955" s="29" t="n">
        <v>124873400</v>
      </c>
      <c r="F1955" s="30" t="n">
        <v>1097.3</v>
      </c>
      <c r="G1955" s="31" t="n">
        <f aca="false">IFERROR(F1955/D1955,0)</f>
        <v>6.69085365853659</v>
      </c>
    </row>
    <row r="1956" customFormat="false" ht="15" hidden="false" customHeight="false" outlineLevel="0" collapsed="false">
      <c r="A1956" s="28" t="n">
        <v>2022</v>
      </c>
      <c r="B1956" s="28" t="s">
        <v>79</v>
      </c>
      <c r="C1956" s="28" t="s">
        <v>58</v>
      </c>
      <c r="D1956" s="28" t="n">
        <v>2</v>
      </c>
      <c r="E1956" s="29" t="n">
        <v>2310000</v>
      </c>
      <c r="F1956" s="30" t="n">
        <v>12.5</v>
      </c>
      <c r="G1956" s="31" t="n">
        <f aca="false">IFERROR(F1956/D1956,0)</f>
        <v>6.25</v>
      </c>
    </row>
    <row r="1957" customFormat="false" ht="15" hidden="false" customHeight="false" outlineLevel="0" collapsed="false">
      <c r="A1957" s="28" t="n">
        <v>2022</v>
      </c>
      <c r="B1957" s="28" t="s">
        <v>79</v>
      </c>
      <c r="C1957" s="28" t="s">
        <v>46</v>
      </c>
      <c r="D1957" s="28" t="n">
        <v>223</v>
      </c>
      <c r="E1957" s="29" t="n">
        <v>115165100</v>
      </c>
      <c r="F1957" s="30" t="n">
        <v>1563.54</v>
      </c>
      <c r="G1957" s="31" t="n">
        <f aca="false">IFERROR(F1957/D1957,0)</f>
        <v>7.01139013452915</v>
      </c>
    </row>
    <row r="1958" customFormat="false" ht="15" hidden="false" customHeight="false" outlineLevel="0" collapsed="false">
      <c r="A1958" s="28" t="n">
        <v>2022</v>
      </c>
      <c r="B1958" s="28" t="s">
        <v>79</v>
      </c>
      <c r="C1958" s="28" t="s">
        <v>48</v>
      </c>
      <c r="D1958" s="28" t="n">
        <v>302</v>
      </c>
      <c r="E1958" s="29" t="n">
        <v>139543300</v>
      </c>
      <c r="F1958" s="30" t="n">
        <v>2120.51</v>
      </c>
      <c r="G1958" s="31" t="n">
        <f aca="false">IFERROR(F1958/D1958,0)</f>
        <v>7.02155629139073</v>
      </c>
    </row>
    <row r="1959" customFormat="false" ht="15" hidden="false" customHeight="false" outlineLevel="0" collapsed="false">
      <c r="A1959" s="28" t="n">
        <v>2022</v>
      </c>
      <c r="B1959" s="28" t="s">
        <v>79</v>
      </c>
      <c r="C1959" s="28" t="s">
        <v>61</v>
      </c>
      <c r="D1959" s="28" t="n">
        <v>1</v>
      </c>
      <c r="E1959" s="29" t="n">
        <v>104000</v>
      </c>
      <c r="F1959" s="30" t="n">
        <v>8.25</v>
      </c>
      <c r="G1959" s="31" t="n">
        <f aca="false">IFERROR(F1959/D1959,0)</f>
        <v>8.25</v>
      </c>
    </row>
    <row r="1960" customFormat="false" ht="15" hidden="false" customHeight="false" outlineLevel="0" collapsed="false">
      <c r="A1960" s="28" t="n">
        <v>2022</v>
      </c>
      <c r="B1960" s="28" t="s">
        <v>79</v>
      </c>
      <c r="C1960" s="28" t="s">
        <v>53</v>
      </c>
      <c r="D1960" s="28" t="n">
        <v>82</v>
      </c>
      <c r="E1960" s="29" t="n">
        <v>42590700</v>
      </c>
      <c r="F1960" s="30" t="n">
        <v>586.87</v>
      </c>
      <c r="G1960" s="31" t="n">
        <f aca="false">IFERROR(F1960/D1960,0)</f>
        <v>7.1569512195122</v>
      </c>
    </row>
    <row r="1961" customFormat="false" ht="15" hidden="false" customHeight="false" outlineLevel="0" collapsed="false">
      <c r="A1961" s="28" t="n">
        <v>2022</v>
      </c>
      <c r="B1961" s="28" t="s">
        <v>79</v>
      </c>
      <c r="C1961" s="28" t="s">
        <v>43</v>
      </c>
      <c r="D1961" s="28" t="n">
        <v>350</v>
      </c>
      <c r="E1961" s="29" t="n">
        <v>193697700</v>
      </c>
      <c r="F1961" s="30" t="n">
        <v>2429.311</v>
      </c>
      <c r="G1961" s="31" t="n">
        <f aca="false">IFERROR(F1961/D1961,0)</f>
        <v>6.94088857142857</v>
      </c>
    </row>
    <row r="1962" customFormat="false" ht="15" hidden="false" customHeight="false" outlineLevel="0" collapsed="false">
      <c r="A1962" s="28" t="n">
        <v>2022</v>
      </c>
      <c r="B1962" s="28" t="s">
        <v>79</v>
      </c>
      <c r="C1962" s="28" t="s">
        <v>52</v>
      </c>
      <c r="D1962" s="28" t="n">
        <v>174</v>
      </c>
      <c r="E1962" s="29" t="n">
        <v>50792600</v>
      </c>
      <c r="F1962" s="30" t="n">
        <v>1355.26</v>
      </c>
      <c r="G1962" s="31" t="n">
        <f aca="false">IFERROR(F1962/D1962,0)</f>
        <v>7.78885057471264</v>
      </c>
    </row>
    <row r="1963" customFormat="false" ht="15" hidden="false" customHeight="false" outlineLevel="0" collapsed="false">
      <c r="A1963" s="28" t="n">
        <v>2022</v>
      </c>
      <c r="B1963" s="28" t="s">
        <v>79</v>
      </c>
      <c r="C1963" s="28" t="s">
        <v>60</v>
      </c>
      <c r="D1963" s="28" t="n">
        <v>4</v>
      </c>
      <c r="E1963" s="29" t="n">
        <v>3670000</v>
      </c>
      <c r="F1963" s="30" t="n">
        <v>32</v>
      </c>
      <c r="G1963" s="31" t="n">
        <f aca="false">IFERROR(F1963/D1963,0)</f>
        <v>8</v>
      </c>
    </row>
    <row r="1964" customFormat="false" ht="15" hidden="false" customHeight="false" outlineLevel="0" collapsed="false">
      <c r="A1964" s="28" t="n">
        <v>2022</v>
      </c>
      <c r="B1964" s="28" t="s">
        <v>79</v>
      </c>
      <c r="C1964" s="28" t="s">
        <v>49</v>
      </c>
      <c r="D1964" s="28" t="n">
        <v>192</v>
      </c>
      <c r="E1964" s="29" t="n">
        <v>155078500</v>
      </c>
      <c r="F1964" s="30" t="n">
        <v>1301.765</v>
      </c>
      <c r="G1964" s="31" t="n">
        <f aca="false">IFERROR(F1964/D1964,0)</f>
        <v>6.78002604166667</v>
      </c>
    </row>
    <row r="1965" customFormat="false" ht="15" hidden="false" customHeight="false" outlineLevel="0" collapsed="false">
      <c r="A1965" s="28" t="n">
        <v>2022</v>
      </c>
      <c r="B1965" s="28" t="s">
        <v>81</v>
      </c>
      <c r="C1965" s="28" t="s">
        <v>42</v>
      </c>
      <c r="D1965" s="28" t="n">
        <v>224</v>
      </c>
      <c r="E1965" s="29" t="n">
        <v>248043900</v>
      </c>
      <c r="F1965" s="30" t="n">
        <v>1367.629</v>
      </c>
      <c r="G1965" s="31" t="n">
        <f aca="false">IFERROR(F1965/D1965,0)</f>
        <v>6.10548660714286</v>
      </c>
    </row>
    <row r="1966" customFormat="false" ht="15" hidden="false" customHeight="false" outlineLevel="0" collapsed="false">
      <c r="A1966" s="28" t="n">
        <v>2022</v>
      </c>
      <c r="B1966" s="28" t="s">
        <v>81</v>
      </c>
      <c r="C1966" s="28" t="s">
        <v>50</v>
      </c>
      <c r="D1966" s="28" t="n">
        <v>47</v>
      </c>
      <c r="E1966" s="29" t="n">
        <v>36008900</v>
      </c>
      <c r="F1966" s="30" t="n">
        <v>311.69</v>
      </c>
      <c r="G1966" s="31" t="n">
        <f aca="false">IFERROR(F1966/D1966,0)</f>
        <v>6.63170212765957</v>
      </c>
    </row>
    <row r="1967" customFormat="false" ht="15" hidden="false" customHeight="false" outlineLevel="0" collapsed="false">
      <c r="A1967" s="28" t="n">
        <v>2022</v>
      </c>
      <c r="B1967" s="28" t="s">
        <v>81</v>
      </c>
      <c r="C1967" s="28" t="s">
        <v>55</v>
      </c>
      <c r="D1967" s="28" t="n">
        <v>35</v>
      </c>
      <c r="E1967" s="29" t="n">
        <v>53307100</v>
      </c>
      <c r="F1967" s="30" t="n">
        <v>219.4</v>
      </c>
      <c r="G1967" s="31" t="n">
        <f aca="false">IFERROR(F1967/D1967,0)</f>
        <v>6.26857142857143</v>
      </c>
    </row>
    <row r="1968" customFormat="false" ht="15" hidden="false" customHeight="false" outlineLevel="0" collapsed="false">
      <c r="A1968" s="28" t="n">
        <v>2022</v>
      </c>
      <c r="B1968" s="28" t="s">
        <v>81</v>
      </c>
      <c r="C1968" s="28" t="s">
        <v>51</v>
      </c>
      <c r="D1968" s="28" t="n">
        <v>41</v>
      </c>
      <c r="E1968" s="29" t="n">
        <v>29727200</v>
      </c>
      <c r="F1968" s="30" t="n">
        <v>265.375</v>
      </c>
      <c r="G1968" s="31" t="n">
        <f aca="false">IFERROR(F1968/D1968,0)</f>
        <v>6.47256097560976</v>
      </c>
    </row>
    <row r="1969" customFormat="false" ht="15" hidden="false" customHeight="false" outlineLevel="0" collapsed="false">
      <c r="A1969" s="28" t="n">
        <v>2022</v>
      </c>
      <c r="B1969" s="28" t="s">
        <v>81</v>
      </c>
      <c r="C1969" s="28" t="s">
        <v>45</v>
      </c>
      <c r="D1969" s="28" t="n">
        <v>86</v>
      </c>
      <c r="E1969" s="29" t="n">
        <v>39514300</v>
      </c>
      <c r="F1969" s="30" t="n">
        <v>578.005</v>
      </c>
      <c r="G1969" s="31" t="n">
        <f aca="false">IFERROR(F1969/D1969,0)</f>
        <v>6.72098837209302</v>
      </c>
    </row>
    <row r="1970" customFormat="false" ht="15" hidden="false" customHeight="false" outlineLevel="0" collapsed="false">
      <c r="A1970" s="28" t="n">
        <v>2022</v>
      </c>
      <c r="B1970" s="28" t="s">
        <v>81</v>
      </c>
      <c r="C1970" s="28" t="s">
        <v>56</v>
      </c>
      <c r="D1970" s="28" t="n">
        <v>15</v>
      </c>
      <c r="E1970" s="29" t="n">
        <v>5665600</v>
      </c>
      <c r="F1970" s="30" t="n">
        <v>105.5</v>
      </c>
      <c r="G1970" s="31" t="n">
        <f aca="false">IFERROR(F1970/D1970,0)</f>
        <v>7.03333333333333</v>
      </c>
    </row>
    <row r="1971" customFormat="false" ht="15" hidden="false" customHeight="false" outlineLevel="0" collapsed="false">
      <c r="A1971" s="28" t="n">
        <v>2022</v>
      </c>
      <c r="B1971" s="28" t="s">
        <v>81</v>
      </c>
      <c r="C1971" s="28" t="s">
        <v>54</v>
      </c>
      <c r="D1971" s="28" t="n">
        <v>29</v>
      </c>
      <c r="E1971" s="29" t="n">
        <v>14810500</v>
      </c>
      <c r="F1971" s="30" t="n">
        <v>193.45</v>
      </c>
      <c r="G1971" s="31" t="n">
        <f aca="false">IFERROR(F1971/D1971,0)</f>
        <v>6.67068965517241</v>
      </c>
    </row>
    <row r="1972" customFormat="false" ht="15" hidden="false" customHeight="false" outlineLevel="0" collapsed="false">
      <c r="A1972" s="28" t="n">
        <v>2022</v>
      </c>
      <c r="B1972" s="28" t="s">
        <v>81</v>
      </c>
      <c r="C1972" s="28" t="s">
        <v>44</v>
      </c>
      <c r="D1972" s="28" t="n">
        <v>120</v>
      </c>
      <c r="E1972" s="29" t="n">
        <v>109380100</v>
      </c>
      <c r="F1972" s="30" t="n">
        <v>759.919</v>
      </c>
      <c r="G1972" s="31" t="n">
        <f aca="false">IFERROR(F1972/D1972,0)</f>
        <v>6.33265833333333</v>
      </c>
    </row>
    <row r="1973" customFormat="false" ht="15" hidden="false" customHeight="false" outlineLevel="0" collapsed="false">
      <c r="A1973" s="28" t="n">
        <v>2022</v>
      </c>
      <c r="B1973" s="28" t="s">
        <v>81</v>
      </c>
      <c r="C1973" s="28" t="s">
        <v>57</v>
      </c>
      <c r="D1973" s="28" t="n">
        <v>9</v>
      </c>
      <c r="E1973" s="29" t="n">
        <v>3740200</v>
      </c>
      <c r="F1973" s="30" t="n">
        <v>65.49</v>
      </c>
      <c r="G1973" s="31" t="n">
        <f aca="false">IFERROR(F1973/D1973,0)</f>
        <v>7.27666666666667</v>
      </c>
    </row>
    <row r="1974" customFormat="false" ht="15" hidden="false" customHeight="false" outlineLevel="0" collapsed="false">
      <c r="A1974" s="28" t="n">
        <v>2022</v>
      </c>
      <c r="B1974" s="28" t="s">
        <v>81</v>
      </c>
      <c r="C1974" s="28" t="s">
        <v>59</v>
      </c>
      <c r="D1974" s="28" t="n">
        <v>1</v>
      </c>
      <c r="E1974" s="29" t="n">
        <v>1020000</v>
      </c>
      <c r="F1974" s="30" t="n">
        <v>5.975</v>
      </c>
      <c r="G1974" s="31" t="n">
        <f aca="false">IFERROR(F1974/D1974,0)</f>
        <v>5.975</v>
      </c>
    </row>
    <row r="1975" customFormat="false" ht="15" hidden="false" customHeight="false" outlineLevel="0" collapsed="false">
      <c r="A1975" s="28" t="n">
        <v>2022</v>
      </c>
      <c r="B1975" s="28" t="s">
        <v>81</v>
      </c>
      <c r="C1975" s="28" t="s">
        <v>47</v>
      </c>
      <c r="D1975" s="28" t="n">
        <v>65</v>
      </c>
      <c r="E1975" s="29" t="n">
        <v>46448800</v>
      </c>
      <c r="F1975" s="30" t="n">
        <v>410.225</v>
      </c>
      <c r="G1975" s="31" t="n">
        <f aca="false">IFERROR(F1975/D1975,0)</f>
        <v>6.31115384615385</v>
      </c>
    </row>
    <row r="1976" customFormat="false" ht="15" hidden="false" customHeight="false" outlineLevel="0" collapsed="false">
      <c r="A1976" s="28" t="n">
        <v>2022</v>
      </c>
      <c r="B1976" s="28" t="s">
        <v>81</v>
      </c>
      <c r="C1976" s="28" t="s">
        <v>58</v>
      </c>
      <c r="D1976" s="28" t="n">
        <v>2</v>
      </c>
      <c r="E1976" s="29" t="n">
        <v>2310000</v>
      </c>
      <c r="F1976" s="30" t="n">
        <v>13.75</v>
      </c>
      <c r="G1976" s="31" t="n">
        <f aca="false">IFERROR(F1976/D1976,0)</f>
        <v>6.875</v>
      </c>
    </row>
    <row r="1977" customFormat="false" ht="15" hidden="false" customHeight="false" outlineLevel="0" collapsed="false">
      <c r="A1977" s="28" t="n">
        <v>2022</v>
      </c>
      <c r="B1977" s="28" t="s">
        <v>81</v>
      </c>
      <c r="C1977" s="28" t="s">
        <v>46</v>
      </c>
      <c r="D1977" s="28" t="n">
        <v>126</v>
      </c>
      <c r="E1977" s="29" t="n">
        <v>107569400</v>
      </c>
      <c r="F1977" s="30" t="n">
        <v>799.065</v>
      </c>
      <c r="G1977" s="31" t="n">
        <f aca="false">IFERROR(F1977/D1977,0)</f>
        <v>6.34178571428572</v>
      </c>
    </row>
    <row r="1978" customFormat="false" ht="15" hidden="false" customHeight="false" outlineLevel="0" collapsed="false">
      <c r="A1978" s="28" t="n">
        <v>2022</v>
      </c>
      <c r="B1978" s="28" t="s">
        <v>81</v>
      </c>
      <c r="C1978" s="28" t="s">
        <v>48</v>
      </c>
      <c r="D1978" s="28" t="n">
        <v>93</v>
      </c>
      <c r="E1978" s="29" t="n">
        <v>46619300</v>
      </c>
      <c r="F1978" s="30" t="n">
        <v>626.154</v>
      </c>
      <c r="G1978" s="31" t="n">
        <f aca="false">IFERROR(F1978/D1978,0)</f>
        <v>6.73283870967742</v>
      </c>
    </row>
    <row r="1979" customFormat="false" ht="15" hidden="false" customHeight="false" outlineLevel="0" collapsed="false">
      <c r="A1979" s="28" t="n">
        <v>2022</v>
      </c>
      <c r="B1979" s="28" t="s">
        <v>81</v>
      </c>
      <c r="C1979" s="28" t="s">
        <v>53</v>
      </c>
      <c r="D1979" s="28" t="n">
        <v>26</v>
      </c>
      <c r="E1979" s="29" t="n">
        <v>10519700</v>
      </c>
      <c r="F1979" s="30" t="n">
        <v>162.4</v>
      </c>
      <c r="G1979" s="31" t="n">
        <f aca="false">IFERROR(F1979/D1979,0)</f>
        <v>6.24615384615385</v>
      </c>
    </row>
    <row r="1980" customFormat="false" ht="15" hidden="false" customHeight="false" outlineLevel="0" collapsed="false">
      <c r="A1980" s="28" t="n">
        <v>2022</v>
      </c>
      <c r="B1980" s="28" t="s">
        <v>81</v>
      </c>
      <c r="C1980" s="28" t="s">
        <v>43</v>
      </c>
      <c r="D1980" s="28" t="n">
        <v>184</v>
      </c>
      <c r="E1980" s="29" t="n">
        <v>198011300</v>
      </c>
      <c r="F1980" s="30" t="n">
        <v>1128.015</v>
      </c>
      <c r="G1980" s="31" t="n">
        <f aca="false">IFERROR(F1980/D1980,0)</f>
        <v>6.13051630434783</v>
      </c>
    </row>
    <row r="1981" customFormat="false" ht="15" hidden="false" customHeight="false" outlineLevel="0" collapsed="false">
      <c r="A1981" s="28" t="n">
        <v>2022</v>
      </c>
      <c r="B1981" s="28" t="s">
        <v>81</v>
      </c>
      <c r="C1981" s="28" t="s">
        <v>52</v>
      </c>
      <c r="D1981" s="28" t="n">
        <v>87</v>
      </c>
      <c r="E1981" s="29" t="n">
        <v>28137300</v>
      </c>
      <c r="F1981" s="30" t="n">
        <v>693.85</v>
      </c>
      <c r="G1981" s="31" t="n">
        <f aca="false">IFERROR(F1981/D1981,0)</f>
        <v>7.97528735632184</v>
      </c>
    </row>
    <row r="1982" customFormat="false" ht="15" hidden="false" customHeight="false" outlineLevel="0" collapsed="false">
      <c r="A1982" s="28" t="n">
        <v>2022</v>
      </c>
      <c r="B1982" s="28" t="s">
        <v>81</v>
      </c>
      <c r="C1982" s="28" t="s">
        <v>60</v>
      </c>
      <c r="D1982" s="28" t="n">
        <v>2</v>
      </c>
      <c r="E1982" s="29" t="n">
        <v>1263000</v>
      </c>
      <c r="F1982" s="30" t="n">
        <v>10.25</v>
      </c>
      <c r="G1982" s="31" t="n">
        <f aca="false">IFERROR(F1982/D1982,0)</f>
        <v>5.125</v>
      </c>
    </row>
    <row r="1983" customFormat="false" ht="15" hidden="false" customHeight="false" outlineLevel="0" collapsed="false">
      <c r="A1983" s="28" t="n">
        <v>2022</v>
      </c>
      <c r="B1983" s="28" t="s">
        <v>81</v>
      </c>
      <c r="C1983" s="28" t="s">
        <v>49</v>
      </c>
      <c r="D1983" s="28" t="n">
        <v>41</v>
      </c>
      <c r="E1983" s="29" t="n">
        <v>53179400</v>
      </c>
      <c r="F1983" s="30" t="n">
        <v>257.05</v>
      </c>
      <c r="G1983" s="31" t="n">
        <f aca="false">IFERROR(F1983/D1983,0)</f>
        <v>6.26951219512195</v>
      </c>
    </row>
    <row r="1984" customFormat="false" ht="15" hidden="false" customHeight="false" outlineLevel="0" collapsed="false">
      <c r="A1984" s="28" t="n">
        <v>2022</v>
      </c>
      <c r="B1984" s="28" t="s">
        <v>92</v>
      </c>
      <c r="C1984" s="28" t="s">
        <v>42</v>
      </c>
      <c r="D1984" s="28" t="n">
        <v>2</v>
      </c>
      <c r="E1984" s="29" t="n">
        <v>285000</v>
      </c>
      <c r="F1984" s="30" t="n">
        <v>11.25</v>
      </c>
      <c r="G1984" s="31" t="n">
        <f aca="false">IFERROR(F1984/D1984,0)</f>
        <v>5.625</v>
      </c>
    </row>
    <row r="1985" customFormat="false" ht="15" hidden="false" customHeight="false" outlineLevel="0" collapsed="false">
      <c r="A1985" s="28" t="n">
        <v>2022</v>
      </c>
      <c r="B1985" s="28" t="s">
        <v>92</v>
      </c>
      <c r="C1985" s="28" t="s">
        <v>51</v>
      </c>
      <c r="D1985" s="28" t="n">
        <v>1</v>
      </c>
      <c r="E1985" s="29" t="n">
        <v>133200</v>
      </c>
      <c r="F1985" s="30" t="n">
        <v>6.5</v>
      </c>
      <c r="G1985" s="31" t="n">
        <f aca="false">IFERROR(F1985/D1985,0)</f>
        <v>6.5</v>
      </c>
    </row>
    <row r="1986" customFormat="false" ht="15" hidden="false" customHeight="false" outlineLevel="0" collapsed="false">
      <c r="A1986" s="28" t="n">
        <v>2022</v>
      </c>
      <c r="B1986" s="28" t="s">
        <v>92</v>
      </c>
      <c r="C1986" s="28" t="s">
        <v>44</v>
      </c>
      <c r="D1986" s="28" t="n">
        <v>1</v>
      </c>
      <c r="E1986" s="29" t="n">
        <v>100000</v>
      </c>
      <c r="F1986" s="30" t="n">
        <v>7.25</v>
      </c>
      <c r="G1986" s="31" t="n">
        <f aca="false">IFERROR(F1986/D1986,0)</f>
        <v>7.25</v>
      </c>
    </row>
    <row r="1987" customFormat="false" ht="15" hidden="false" customHeight="false" outlineLevel="0" collapsed="false">
      <c r="A1987" s="28" t="n">
        <v>2022</v>
      </c>
      <c r="B1987" s="28" t="s">
        <v>92</v>
      </c>
      <c r="C1987" s="28" t="s">
        <v>47</v>
      </c>
      <c r="D1987" s="28" t="n">
        <v>2</v>
      </c>
      <c r="E1987" s="29" t="n">
        <v>95000</v>
      </c>
      <c r="F1987" s="30" t="n">
        <v>12.75</v>
      </c>
      <c r="G1987" s="31" t="n">
        <f aca="false">IFERROR(F1987/D1987,0)</f>
        <v>6.375</v>
      </c>
    </row>
    <row r="1988" customFormat="false" ht="15" hidden="false" customHeight="false" outlineLevel="0" collapsed="false">
      <c r="A1988" s="28" t="n">
        <v>2022</v>
      </c>
      <c r="B1988" s="28" t="s">
        <v>92</v>
      </c>
      <c r="C1988" s="28" t="s">
        <v>46</v>
      </c>
      <c r="D1988" s="28" t="n">
        <v>2</v>
      </c>
      <c r="E1988" s="29" t="n">
        <v>3032600</v>
      </c>
      <c r="F1988" s="30" t="n">
        <v>11.5</v>
      </c>
      <c r="G1988" s="31" t="n">
        <f aca="false">IFERROR(F1988/D1988,0)</f>
        <v>5.75</v>
      </c>
    </row>
    <row r="1989" customFormat="false" ht="15" hidden="false" customHeight="false" outlineLevel="0" collapsed="false">
      <c r="A1989" s="28" t="n">
        <v>2022</v>
      </c>
      <c r="B1989" s="28" t="s">
        <v>92</v>
      </c>
      <c r="C1989" s="28" t="s">
        <v>53</v>
      </c>
      <c r="D1989" s="28" t="n">
        <v>1</v>
      </c>
      <c r="E1989" s="29" t="n">
        <v>117300</v>
      </c>
      <c r="F1989" s="30" t="n">
        <v>7.75</v>
      </c>
      <c r="G1989" s="31" t="n">
        <f aca="false">IFERROR(F1989/D1989,0)</f>
        <v>7.75</v>
      </c>
    </row>
    <row r="1990" customFormat="false" ht="15" hidden="false" customHeight="false" outlineLevel="0" collapsed="false">
      <c r="A1990" s="28" t="n">
        <v>2022</v>
      </c>
      <c r="B1990" s="28" t="s">
        <v>92</v>
      </c>
      <c r="C1990" s="28" t="s">
        <v>43</v>
      </c>
      <c r="D1990" s="28" t="n">
        <v>1</v>
      </c>
      <c r="E1990" s="29" t="n">
        <v>75000</v>
      </c>
      <c r="F1990" s="30" t="n">
        <v>7.75</v>
      </c>
      <c r="G1990" s="31" t="n">
        <f aca="false">IFERROR(F1990/D1990,0)</f>
        <v>7.75</v>
      </c>
    </row>
    <row r="1991" customFormat="false" ht="15" hidden="false" customHeight="false" outlineLevel="0" collapsed="false">
      <c r="A1991" s="28" t="n">
        <v>2022</v>
      </c>
      <c r="B1991" s="28" t="s">
        <v>92</v>
      </c>
      <c r="C1991" s="28" t="s">
        <v>52</v>
      </c>
      <c r="D1991" s="28" t="n">
        <v>1</v>
      </c>
      <c r="E1991" s="29" t="n">
        <v>750000</v>
      </c>
      <c r="F1991" s="30" t="n">
        <v>5</v>
      </c>
      <c r="G1991" s="31" t="n">
        <f aca="false">IFERROR(F1991/D1991,0)</f>
        <v>5</v>
      </c>
    </row>
    <row r="1992" customFormat="false" ht="15" hidden="false" customHeight="false" outlineLevel="0" collapsed="false">
      <c r="A1992" s="28" t="n">
        <v>2022</v>
      </c>
      <c r="B1992" s="28" t="s">
        <v>92</v>
      </c>
      <c r="C1992" s="28" t="s">
        <v>49</v>
      </c>
      <c r="D1992" s="28" t="n">
        <v>1</v>
      </c>
      <c r="E1992" s="29" t="n">
        <v>200000</v>
      </c>
      <c r="F1992" s="30" t="n">
        <v>7.5</v>
      </c>
      <c r="G1992" s="31" t="n">
        <f aca="false">IFERROR(F1992/D1992,0)</f>
        <v>7.5</v>
      </c>
    </row>
    <row r="1993" customFormat="false" ht="15" hidden="false" customHeight="false" outlineLevel="0" collapsed="false">
      <c r="A1993" s="28" t="n">
        <v>2022</v>
      </c>
      <c r="B1993" s="28" t="s">
        <v>94</v>
      </c>
      <c r="C1993" s="28" t="s">
        <v>42</v>
      </c>
      <c r="D1993" s="28" t="n">
        <v>18</v>
      </c>
      <c r="E1993" s="29" t="n">
        <v>1808300</v>
      </c>
      <c r="F1993" s="30" t="n">
        <v>118.75</v>
      </c>
      <c r="G1993" s="31" t="n">
        <f aca="false">IFERROR(F1993/D1993,0)</f>
        <v>6.59722222222222</v>
      </c>
    </row>
    <row r="1994" customFormat="false" ht="15" hidden="false" customHeight="false" outlineLevel="0" collapsed="false">
      <c r="A1994" s="28" t="n">
        <v>2022</v>
      </c>
      <c r="B1994" s="28" t="s">
        <v>94</v>
      </c>
      <c r="C1994" s="28" t="s">
        <v>50</v>
      </c>
      <c r="D1994" s="28" t="n">
        <v>5</v>
      </c>
      <c r="E1994" s="29" t="n">
        <v>305000</v>
      </c>
      <c r="F1994" s="30" t="n">
        <v>32.75</v>
      </c>
      <c r="G1994" s="31" t="n">
        <f aca="false">IFERROR(F1994/D1994,0)</f>
        <v>6.55</v>
      </c>
    </row>
    <row r="1995" customFormat="false" ht="15" hidden="false" customHeight="false" outlineLevel="0" collapsed="false">
      <c r="A1995" s="28" t="n">
        <v>2022</v>
      </c>
      <c r="B1995" s="28" t="s">
        <v>94</v>
      </c>
      <c r="C1995" s="28" t="s">
        <v>55</v>
      </c>
      <c r="D1995" s="28" t="n">
        <v>1</v>
      </c>
      <c r="E1995" s="29" t="n">
        <v>15000</v>
      </c>
      <c r="F1995" s="30" t="n">
        <v>7.25</v>
      </c>
      <c r="G1995" s="31" t="n">
        <f aca="false">IFERROR(F1995/D1995,0)</f>
        <v>7.25</v>
      </c>
    </row>
    <row r="1996" customFormat="false" ht="15" hidden="false" customHeight="false" outlineLevel="0" collapsed="false">
      <c r="A1996" s="28" t="n">
        <v>2022</v>
      </c>
      <c r="B1996" s="28" t="s">
        <v>94</v>
      </c>
      <c r="C1996" s="28" t="s">
        <v>51</v>
      </c>
      <c r="D1996" s="28" t="n">
        <v>2</v>
      </c>
      <c r="E1996" s="29" t="n">
        <v>100000</v>
      </c>
      <c r="F1996" s="30" t="n">
        <v>13.25</v>
      </c>
      <c r="G1996" s="31" t="n">
        <f aca="false">IFERROR(F1996/D1996,0)</f>
        <v>6.625</v>
      </c>
    </row>
    <row r="1997" customFormat="false" ht="15" hidden="false" customHeight="false" outlineLevel="0" collapsed="false">
      <c r="A1997" s="28" t="n">
        <v>2022</v>
      </c>
      <c r="B1997" s="28" t="s">
        <v>94</v>
      </c>
      <c r="C1997" s="28" t="s">
        <v>45</v>
      </c>
      <c r="D1997" s="28" t="n">
        <v>23</v>
      </c>
      <c r="E1997" s="29" t="n">
        <v>2320000</v>
      </c>
      <c r="F1997" s="30" t="n">
        <v>163.75</v>
      </c>
      <c r="G1997" s="31" t="n">
        <f aca="false">IFERROR(F1997/D1997,0)</f>
        <v>7.11956521739131</v>
      </c>
    </row>
    <row r="1998" customFormat="false" ht="15" hidden="false" customHeight="false" outlineLevel="0" collapsed="false">
      <c r="A1998" s="28" t="n">
        <v>2022</v>
      </c>
      <c r="B1998" s="28" t="s">
        <v>94</v>
      </c>
      <c r="C1998" s="28" t="s">
        <v>54</v>
      </c>
      <c r="D1998" s="28" t="n">
        <v>5</v>
      </c>
      <c r="E1998" s="29" t="n">
        <v>160000</v>
      </c>
      <c r="F1998" s="30" t="n">
        <v>34.75</v>
      </c>
      <c r="G1998" s="31" t="n">
        <f aca="false">IFERROR(F1998/D1998,0)</f>
        <v>6.95</v>
      </c>
    </row>
    <row r="1999" customFormat="false" ht="15" hidden="false" customHeight="false" outlineLevel="0" collapsed="false">
      <c r="A1999" s="28" t="n">
        <v>2022</v>
      </c>
      <c r="B1999" s="28" t="s">
        <v>94</v>
      </c>
      <c r="C1999" s="28" t="s">
        <v>44</v>
      </c>
      <c r="D1999" s="28" t="n">
        <v>6</v>
      </c>
      <c r="E1999" s="29" t="n">
        <v>727000</v>
      </c>
      <c r="F1999" s="30" t="n">
        <v>36.25</v>
      </c>
      <c r="G1999" s="31" t="n">
        <f aca="false">IFERROR(F1999/D1999,0)</f>
        <v>6.04166666666667</v>
      </c>
    </row>
    <row r="2000" customFormat="false" ht="15" hidden="false" customHeight="false" outlineLevel="0" collapsed="false">
      <c r="A2000" s="28" t="n">
        <v>2022</v>
      </c>
      <c r="B2000" s="28" t="s">
        <v>94</v>
      </c>
      <c r="C2000" s="28" t="s">
        <v>57</v>
      </c>
      <c r="D2000" s="28" t="n">
        <v>2</v>
      </c>
      <c r="E2000" s="29" t="n">
        <v>702600</v>
      </c>
      <c r="F2000" s="30" t="n">
        <v>18.25</v>
      </c>
      <c r="G2000" s="31" t="n">
        <f aca="false">IFERROR(F2000/D2000,0)</f>
        <v>9.125</v>
      </c>
    </row>
    <row r="2001" customFormat="false" ht="15" hidden="false" customHeight="false" outlineLevel="0" collapsed="false">
      <c r="A2001" s="28" t="n">
        <v>2022</v>
      </c>
      <c r="B2001" s="28" t="s">
        <v>94</v>
      </c>
      <c r="C2001" s="28" t="s">
        <v>47</v>
      </c>
      <c r="D2001" s="28" t="n">
        <v>2</v>
      </c>
      <c r="E2001" s="29" t="n">
        <v>60000</v>
      </c>
      <c r="F2001" s="30" t="n">
        <v>14</v>
      </c>
      <c r="G2001" s="31" t="n">
        <f aca="false">IFERROR(F2001/D2001,0)</f>
        <v>7</v>
      </c>
    </row>
    <row r="2002" customFormat="false" ht="15" hidden="false" customHeight="false" outlineLevel="0" collapsed="false">
      <c r="A2002" s="28" t="n">
        <v>2022</v>
      </c>
      <c r="B2002" s="28" t="s">
        <v>94</v>
      </c>
      <c r="C2002" s="28" t="s">
        <v>46</v>
      </c>
      <c r="D2002" s="28" t="n">
        <v>3</v>
      </c>
      <c r="E2002" s="29" t="n">
        <v>4160900</v>
      </c>
      <c r="F2002" s="30" t="n">
        <v>17.75</v>
      </c>
      <c r="G2002" s="31" t="n">
        <f aca="false">IFERROR(F2002/D2002,0)</f>
        <v>5.91666666666667</v>
      </c>
    </row>
    <row r="2003" customFormat="false" ht="15" hidden="false" customHeight="false" outlineLevel="0" collapsed="false">
      <c r="A2003" s="28" t="n">
        <v>2022</v>
      </c>
      <c r="B2003" s="28" t="s">
        <v>94</v>
      </c>
      <c r="C2003" s="28" t="s">
        <v>48</v>
      </c>
      <c r="D2003" s="28" t="n">
        <v>12</v>
      </c>
      <c r="E2003" s="29" t="n">
        <v>883000</v>
      </c>
      <c r="F2003" s="30" t="n">
        <v>74</v>
      </c>
      <c r="G2003" s="31" t="n">
        <f aca="false">IFERROR(F2003/D2003,0)</f>
        <v>6.16666666666667</v>
      </c>
    </row>
    <row r="2004" customFormat="false" ht="15" hidden="false" customHeight="false" outlineLevel="0" collapsed="false">
      <c r="A2004" s="28" t="n">
        <v>2022</v>
      </c>
      <c r="B2004" s="28" t="s">
        <v>94</v>
      </c>
      <c r="C2004" s="28" t="s">
        <v>53</v>
      </c>
      <c r="D2004" s="28" t="n">
        <v>5</v>
      </c>
      <c r="E2004" s="29" t="n">
        <v>538000</v>
      </c>
      <c r="F2004" s="30" t="n">
        <v>37.25</v>
      </c>
      <c r="G2004" s="31" t="n">
        <f aca="false">IFERROR(F2004/D2004,0)</f>
        <v>7.45</v>
      </c>
    </row>
    <row r="2005" customFormat="false" ht="15" hidden="false" customHeight="false" outlineLevel="0" collapsed="false">
      <c r="A2005" s="28" t="n">
        <v>2022</v>
      </c>
      <c r="B2005" s="28" t="s">
        <v>94</v>
      </c>
      <c r="C2005" s="28" t="s">
        <v>43</v>
      </c>
      <c r="D2005" s="28" t="n">
        <v>11</v>
      </c>
      <c r="E2005" s="29" t="n">
        <v>3973700</v>
      </c>
      <c r="F2005" s="30" t="n">
        <v>78.14</v>
      </c>
      <c r="G2005" s="31" t="n">
        <f aca="false">IFERROR(F2005/D2005,0)</f>
        <v>7.10363636363636</v>
      </c>
    </row>
    <row r="2006" customFormat="false" ht="15" hidden="false" customHeight="false" outlineLevel="0" collapsed="false">
      <c r="A2006" s="28" t="n">
        <v>2022</v>
      </c>
      <c r="B2006" s="28" t="s">
        <v>94</v>
      </c>
      <c r="C2006" s="28" t="s">
        <v>52</v>
      </c>
      <c r="D2006" s="28" t="n">
        <v>5</v>
      </c>
      <c r="E2006" s="29" t="n">
        <v>1906600</v>
      </c>
      <c r="F2006" s="30" t="n">
        <v>38.25</v>
      </c>
      <c r="G2006" s="31" t="n">
        <f aca="false">IFERROR(F2006/D2006,0)</f>
        <v>7.65</v>
      </c>
    </row>
    <row r="2007" customFormat="false" ht="15" hidden="false" customHeight="false" outlineLevel="0" collapsed="false">
      <c r="A2007" s="28" t="n">
        <v>2022</v>
      </c>
      <c r="B2007" s="28" t="s">
        <v>94</v>
      </c>
      <c r="C2007" s="28" t="s">
        <v>49</v>
      </c>
      <c r="D2007" s="28" t="n">
        <v>3</v>
      </c>
      <c r="E2007" s="29" t="n">
        <v>300000</v>
      </c>
      <c r="F2007" s="30" t="n">
        <v>23.25</v>
      </c>
      <c r="G2007" s="31" t="n">
        <f aca="false">IFERROR(F2007/D2007,0)</f>
        <v>7.75</v>
      </c>
    </row>
    <row r="2008" customFormat="false" ht="15" hidden="false" customHeight="false" outlineLevel="0" collapsed="false">
      <c r="A2008" s="28" t="n">
        <v>2022</v>
      </c>
      <c r="B2008" s="28" t="s">
        <v>96</v>
      </c>
      <c r="C2008" s="28" t="s">
        <v>42</v>
      </c>
      <c r="D2008" s="28" t="n">
        <v>59</v>
      </c>
      <c r="E2008" s="29" t="n">
        <v>24762600</v>
      </c>
      <c r="F2008" s="30" t="n">
        <v>320.704</v>
      </c>
      <c r="G2008" s="31" t="n">
        <f aca="false">IFERROR(F2008/D2008,0)</f>
        <v>5.43566101694915</v>
      </c>
    </row>
    <row r="2009" customFormat="false" ht="15" hidden="false" customHeight="false" outlineLevel="0" collapsed="false">
      <c r="A2009" s="28" t="n">
        <v>2022</v>
      </c>
      <c r="B2009" s="28" t="s">
        <v>96</v>
      </c>
      <c r="C2009" s="28" t="s">
        <v>50</v>
      </c>
      <c r="D2009" s="28" t="n">
        <v>22</v>
      </c>
      <c r="E2009" s="29" t="n">
        <v>6710300</v>
      </c>
      <c r="F2009" s="30" t="n">
        <v>132.58</v>
      </c>
      <c r="G2009" s="31" t="n">
        <f aca="false">IFERROR(F2009/D2009,0)</f>
        <v>6.02636363636364</v>
      </c>
    </row>
    <row r="2010" customFormat="false" ht="15" hidden="false" customHeight="false" outlineLevel="0" collapsed="false">
      <c r="A2010" s="28" t="n">
        <v>2022</v>
      </c>
      <c r="B2010" s="28" t="s">
        <v>96</v>
      </c>
      <c r="C2010" s="28" t="s">
        <v>55</v>
      </c>
      <c r="D2010" s="28" t="n">
        <v>7</v>
      </c>
      <c r="E2010" s="29" t="n">
        <v>2666000</v>
      </c>
      <c r="F2010" s="30" t="n">
        <v>32.89</v>
      </c>
      <c r="G2010" s="31" t="n">
        <f aca="false">IFERROR(F2010/D2010,0)</f>
        <v>4.69857142857143</v>
      </c>
    </row>
    <row r="2011" customFormat="false" ht="15" hidden="false" customHeight="false" outlineLevel="0" collapsed="false">
      <c r="A2011" s="28" t="n">
        <v>2022</v>
      </c>
      <c r="B2011" s="28" t="s">
        <v>96</v>
      </c>
      <c r="C2011" s="28" t="s">
        <v>51</v>
      </c>
      <c r="D2011" s="28" t="n">
        <v>15</v>
      </c>
      <c r="E2011" s="29" t="n">
        <v>5105500</v>
      </c>
      <c r="F2011" s="30" t="n">
        <v>73.09</v>
      </c>
      <c r="G2011" s="31" t="n">
        <f aca="false">IFERROR(F2011/D2011,0)</f>
        <v>4.87266666666667</v>
      </c>
    </row>
    <row r="2012" customFormat="false" ht="15" hidden="false" customHeight="false" outlineLevel="0" collapsed="false">
      <c r="A2012" s="28" t="n">
        <v>2022</v>
      </c>
      <c r="B2012" s="28" t="s">
        <v>96</v>
      </c>
      <c r="C2012" s="28" t="s">
        <v>45</v>
      </c>
      <c r="D2012" s="28" t="n">
        <v>26</v>
      </c>
      <c r="E2012" s="29" t="n">
        <v>8645400</v>
      </c>
      <c r="F2012" s="30" t="n">
        <v>162.169</v>
      </c>
      <c r="G2012" s="31" t="n">
        <f aca="false">IFERROR(F2012/D2012,0)</f>
        <v>6.23726923076923</v>
      </c>
    </row>
    <row r="2013" customFormat="false" ht="15" hidden="false" customHeight="false" outlineLevel="0" collapsed="false">
      <c r="A2013" s="28" t="n">
        <v>2022</v>
      </c>
      <c r="B2013" s="28" t="s">
        <v>96</v>
      </c>
      <c r="C2013" s="28" t="s">
        <v>56</v>
      </c>
      <c r="D2013" s="28" t="n">
        <v>2</v>
      </c>
      <c r="E2013" s="29" t="n">
        <v>485000</v>
      </c>
      <c r="F2013" s="30" t="n">
        <v>11.75</v>
      </c>
      <c r="G2013" s="31" t="n">
        <f aca="false">IFERROR(F2013/D2013,0)</f>
        <v>5.875</v>
      </c>
    </row>
    <row r="2014" customFormat="false" ht="15" hidden="false" customHeight="false" outlineLevel="0" collapsed="false">
      <c r="A2014" s="28" t="n">
        <v>2022</v>
      </c>
      <c r="B2014" s="28" t="s">
        <v>96</v>
      </c>
      <c r="C2014" s="28" t="s">
        <v>54</v>
      </c>
      <c r="D2014" s="28" t="n">
        <v>7</v>
      </c>
      <c r="E2014" s="29" t="n">
        <v>1678000</v>
      </c>
      <c r="F2014" s="30" t="n">
        <v>38.35</v>
      </c>
      <c r="G2014" s="31" t="n">
        <f aca="false">IFERROR(F2014/D2014,0)</f>
        <v>5.47857142857143</v>
      </c>
    </row>
    <row r="2015" customFormat="false" ht="15" hidden="false" customHeight="false" outlineLevel="0" collapsed="false">
      <c r="A2015" s="28" t="n">
        <v>2022</v>
      </c>
      <c r="B2015" s="28" t="s">
        <v>96</v>
      </c>
      <c r="C2015" s="28" t="s">
        <v>44</v>
      </c>
      <c r="D2015" s="28" t="n">
        <v>20</v>
      </c>
      <c r="E2015" s="29" t="n">
        <v>6344100</v>
      </c>
      <c r="F2015" s="30" t="n">
        <v>111.15</v>
      </c>
      <c r="G2015" s="31" t="n">
        <f aca="false">IFERROR(F2015/D2015,0)</f>
        <v>5.5575</v>
      </c>
    </row>
    <row r="2016" customFormat="false" ht="15" hidden="false" customHeight="false" outlineLevel="0" collapsed="false">
      <c r="A2016" s="28" t="n">
        <v>2022</v>
      </c>
      <c r="B2016" s="28" t="s">
        <v>96</v>
      </c>
      <c r="C2016" s="28" t="s">
        <v>57</v>
      </c>
      <c r="D2016" s="28" t="n">
        <v>3</v>
      </c>
      <c r="E2016" s="29" t="n">
        <v>225500</v>
      </c>
      <c r="F2016" s="30" t="n">
        <v>17.5</v>
      </c>
      <c r="G2016" s="31" t="n">
        <f aca="false">IFERROR(F2016/D2016,0)</f>
        <v>5.83333333333333</v>
      </c>
    </row>
    <row r="2017" customFormat="false" ht="15" hidden="false" customHeight="false" outlineLevel="0" collapsed="false">
      <c r="A2017" s="28" t="n">
        <v>2022</v>
      </c>
      <c r="B2017" s="28" t="s">
        <v>96</v>
      </c>
      <c r="C2017" s="28" t="s">
        <v>59</v>
      </c>
      <c r="D2017" s="28" t="n">
        <v>1</v>
      </c>
      <c r="E2017" s="29" t="n">
        <v>217200</v>
      </c>
      <c r="F2017" s="30" t="n">
        <v>4.25</v>
      </c>
      <c r="G2017" s="31" t="n">
        <f aca="false">IFERROR(F2017/D2017,0)</f>
        <v>4.25</v>
      </c>
    </row>
    <row r="2018" customFormat="false" ht="15" hidden="false" customHeight="false" outlineLevel="0" collapsed="false">
      <c r="A2018" s="28" t="n">
        <v>2022</v>
      </c>
      <c r="B2018" s="28" t="s">
        <v>96</v>
      </c>
      <c r="C2018" s="28" t="s">
        <v>47</v>
      </c>
      <c r="D2018" s="28" t="n">
        <v>19</v>
      </c>
      <c r="E2018" s="29" t="n">
        <v>13075600</v>
      </c>
      <c r="F2018" s="30" t="n">
        <v>104.67</v>
      </c>
      <c r="G2018" s="31" t="n">
        <f aca="false">IFERROR(F2018/D2018,0)</f>
        <v>5.50894736842105</v>
      </c>
    </row>
    <row r="2019" customFormat="false" ht="15" hidden="false" customHeight="false" outlineLevel="0" collapsed="false">
      <c r="A2019" s="28" t="n">
        <v>2022</v>
      </c>
      <c r="B2019" s="28" t="s">
        <v>96</v>
      </c>
      <c r="C2019" s="28" t="s">
        <v>46</v>
      </c>
      <c r="D2019" s="28" t="n">
        <v>46</v>
      </c>
      <c r="E2019" s="29" t="n">
        <v>15727700</v>
      </c>
      <c r="F2019" s="30" t="n">
        <v>261.805</v>
      </c>
      <c r="G2019" s="31" t="n">
        <f aca="false">IFERROR(F2019/D2019,0)</f>
        <v>5.69141304347826</v>
      </c>
    </row>
    <row r="2020" customFormat="false" ht="15" hidden="false" customHeight="false" outlineLevel="0" collapsed="false">
      <c r="A2020" s="28" t="n">
        <v>2022</v>
      </c>
      <c r="B2020" s="28" t="s">
        <v>96</v>
      </c>
      <c r="C2020" s="28" t="s">
        <v>48</v>
      </c>
      <c r="D2020" s="28" t="n">
        <v>12</v>
      </c>
      <c r="E2020" s="29" t="n">
        <v>4175200</v>
      </c>
      <c r="F2020" s="30" t="n">
        <v>69.625</v>
      </c>
      <c r="G2020" s="31" t="n">
        <f aca="false">IFERROR(F2020/D2020,0)</f>
        <v>5.80208333333333</v>
      </c>
    </row>
    <row r="2021" customFormat="false" ht="15" hidden="false" customHeight="false" outlineLevel="0" collapsed="false">
      <c r="A2021" s="28" t="n">
        <v>2022</v>
      </c>
      <c r="B2021" s="28" t="s">
        <v>96</v>
      </c>
      <c r="C2021" s="28" t="s">
        <v>53</v>
      </c>
      <c r="D2021" s="28" t="n">
        <v>13</v>
      </c>
      <c r="E2021" s="29" t="n">
        <v>5075400</v>
      </c>
      <c r="F2021" s="30" t="n">
        <v>74.87</v>
      </c>
      <c r="G2021" s="31" t="n">
        <f aca="false">IFERROR(F2021/D2021,0)</f>
        <v>5.75923076923077</v>
      </c>
    </row>
    <row r="2022" customFormat="false" ht="15" hidden="false" customHeight="false" outlineLevel="0" collapsed="false">
      <c r="A2022" s="28" t="n">
        <v>2022</v>
      </c>
      <c r="B2022" s="28" t="s">
        <v>96</v>
      </c>
      <c r="C2022" s="28" t="s">
        <v>43</v>
      </c>
      <c r="D2022" s="28" t="n">
        <v>47</v>
      </c>
      <c r="E2022" s="29" t="n">
        <v>21825700</v>
      </c>
      <c r="F2022" s="30" t="n">
        <v>253.715</v>
      </c>
      <c r="G2022" s="31" t="n">
        <f aca="false">IFERROR(F2022/D2022,0)</f>
        <v>5.3981914893617</v>
      </c>
    </row>
    <row r="2023" customFormat="false" ht="15" hidden="false" customHeight="false" outlineLevel="0" collapsed="false">
      <c r="A2023" s="28" t="n">
        <v>2022</v>
      </c>
      <c r="B2023" s="28" t="s">
        <v>96</v>
      </c>
      <c r="C2023" s="28" t="s">
        <v>52</v>
      </c>
      <c r="D2023" s="28" t="n">
        <v>15</v>
      </c>
      <c r="E2023" s="29" t="n">
        <v>2358200</v>
      </c>
      <c r="F2023" s="30" t="n">
        <v>78.35</v>
      </c>
      <c r="G2023" s="31" t="n">
        <f aca="false">IFERROR(F2023/D2023,0)</f>
        <v>5.22333333333333</v>
      </c>
    </row>
    <row r="2024" customFormat="false" ht="15" hidden="false" customHeight="false" outlineLevel="0" collapsed="false">
      <c r="A2024" s="28" t="n">
        <v>2022</v>
      </c>
      <c r="B2024" s="28" t="s">
        <v>96</v>
      </c>
      <c r="C2024" s="28" t="s">
        <v>49</v>
      </c>
      <c r="D2024" s="28" t="n">
        <v>14</v>
      </c>
      <c r="E2024" s="29" t="n">
        <v>10024300</v>
      </c>
      <c r="F2024" s="30" t="n">
        <v>86.04</v>
      </c>
      <c r="G2024" s="31" t="n">
        <f aca="false">IFERROR(F2024/D2024,0)</f>
        <v>6.14571428571429</v>
      </c>
    </row>
    <row r="2025" customFormat="false" ht="15" hidden="false" customHeight="false" outlineLevel="0" collapsed="false">
      <c r="A2025" s="28" t="n">
        <v>2022</v>
      </c>
      <c r="B2025" s="28" t="s">
        <v>97</v>
      </c>
      <c r="C2025" s="28" t="s">
        <v>42</v>
      </c>
      <c r="D2025" s="28" t="n">
        <v>54</v>
      </c>
      <c r="E2025" s="29" t="n">
        <v>38003900</v>
      </c>
      <c r="F2025" s="30" t="n">
        <v>343.24</v>
      </c>
      <c r="G2025" s="31" t="n">
        <f aca="false">IFERROR(F2025/D2025,0)</f>
        <v>6.3562962962963</v>
      </c>
    </row>
    <row r="2026" customFormat="false" ht="15" hidden="false" customHeight="false" outlineLevel="0" collapsed="false">
      <c r="A2026" s="28" t="n">
        <v>2022</v>
      </c>
      <c r="B2026" s="28" t="s">
        <v>97</v>
      </c>
      <c r="C2026" s="28" t="s">
        <v>50</v>
      </c>
      <c r="D2026" s="28" t="n">
        <v>18</v>
      </c>
      <c r="E2026" s="29" t="n">
        <v>6060500</v>
      </c>
      <c r="F2026" s="30" t="n">
        <v>123.74</v>
      </c>
      <c r="G2026" s="31" t="n">
        <f aca="false">IFERROR(F2026/D2026,0)</f>
        <v>6.87444444444444</v>
      </c>
    </row>
    <row r="2027" customFormat="false" ht="15" hidden="false" customHeight="false" outlineLevel="0" collapsed="false">
      <c r="A2027" s="28" t="n">
        <v>2022</v>
      </c>
      <c r="B2027" s="28" t="s">
        <v>97</v>
      </c>
      <c r="C2027" s="28" t="s">
        <v>55</v>
      </c>
      <c r="D2027" s="28" t="n">
        <v>7</v>
      </c>
      <c r="E2027" s="29" t="n">
        <v>2235100</v>
      </c>
      <c r="F2027" s="30" t="n">
        <v>39</v>
      </c>
      <c r="G2027" s="31" t="n">
        <f aca="false">IFERROR(F2027/D2027,0)</f>
        <v>5.57142857142857</v>
      </c>
    </row>
    <row r="2028" customFormat="false" ht="15" hidden="false" customHeight="false" outlineLevel="0" collapsed="false">
      <c r="A2028" s="28" t="n">
        <v>2022</v>
      </c>
      <c r="B2028" s="28" t="s">
        <v>97</v>
      </c>
      <c r="C2028" s="28" t="s">
        <v>51</v>
      </c>
      <c r="D2028" s="28" t="n">
        <v>13</v>
      </c>
      <c r="E2028" s="29" t="n">
        <v>7979000</v>
      </c>
      <c r="F2028" s="30" t="n">
        <v>84.99</v>
      </c>
      <c r="G2028" s="31" t="n">
        <f aca="false">IFERROR(F2028/D2028,0)</f>
        <v>6.53769230769231</v>
      </c>
    </row>
    <row r="2029" customFormat="false" ht="15" hidden="false" customHeight="false" outlineLevel="0" collapsed="false">
      <c r="A2029" s="28" t="n">
        <v>2022</v>
      </c>
      <c r="B2029" s="28" t="s">
        <v>97</v>
      </c>
      <c r="C2029" s="28" t="s">
        <v>45</v>
      </c>
      <c r="D2029" s="28" t="n">
        <v>70</v>
      </c>
      <c r="E2029" s="29" t="n">
        <v>23926700</v>
      </c>
      <c r="F2029" s="30" t="n">
        <v>472.43</v>
      </c>
      <c r="G2029" s="31" t="n">
        <f aca="false">IFERROR(F2029/D2029,0)</f>
        <v>6.749</v>
      </c>
    </row>
    <row r="2030" customFormat="false" ht="15" hidden="false" customHeight="false" outlineLevel="0" collapsed="false">
      <c r="A2030" s="28" t="n">
        <v>2022</v>
      </c>
      <c r="B2030" s="28" t="s">
        <v>97</v>
      </c>
      <c r="C2030" s="28" t="s">
        <v>56</v>
      </c>
      <c r="D2030" s="28" t="n">
        <v>5</v>
      </c>
      <c r="E2030" s="29" t="n">
        <v>1753000</v>
      </c>
      <c r="F2030" s="30" t="n">
        <v>32</v>
      </c>
      <c r="G2030" s="31" t="n">
        <f aca="false">IFERROR(F2030/D2030,0)</f>
        <v>6.4</v>
      </c>
    </row>
    <row r="2031" customFormat="false" ht="15" hidden="false" customHeight="false" outlineLevel="0" collapsed="false">
      <c r="A2031" s="28" t="n">
        <v>2022</v>
      </c>
      <c r="B2031" s="28" t="s">
        <v>97</v>
      </c>
      <c r="C2031" s="28" t="s">
        <v>54</v>
      </c>
      <c r="D2031" s="28" t="n">
        <v>5</v>
      </c>
      <c r="E2031" s="29" t="n">
        <v>937500</v>
      </c>
      <c r="F2031" s="30" t="n">
        <v>28.83</v>
      </c>
      <c r="G2031" s="31" t="n">
        <f aca="false">IFERROR(F2031/D2031,0)</f>
        <v>5.766</v>
      </c>
    </row>
    <row r="2032" customFormat="false" ht="15" hidden="false" customHeight="false" outlineLevel="0" collapsed="false">
      <c r="A2032" s="28" t="n">
        <v>2022</v>
      </c>
      <c r="B2032" s="28" t="s">
        <v>97</v>
      </c>
      <c r="C2032" s="28" t="s">
        <v>44</v>
      </c>
      <c r="D2032" s="28" t="n">
        <v>36</v>
      </c>
      <c r="E2032" s="29" t="n">
        <v>17421700</v>
      </c>
      <c r="F2032" s="30" t="n">
        <v>231.6</v>
      </c>
      <c r="G2032" s="31" t="n">
        <f aca="false">IFERROR(F2032/D2032,0)</f>
        <v>6.43333333333333</v>
      </c>
    </row>
    <row r="2033" customFormat="false" ht="15" hidden="false" customHeight="false" outlineLevel="0" collapsed="false">
      <c r="A2033" s="28" t="n">
        <v>2022</v>
      </c>
      <c r="B2033" s="28" t="s">
        <v>97</v>
      </c>
      <c r="C2033" s="28" t="s">
        <v>47</v>
      </c>
      <c r="D2033" s="28" t="n">
        <v>30</v>
      </c>
      <c r="E2033" s="29" t="n">
        <v>13529700</v>
      </c>
      <c r="F2033" s="30" t="n">
        <v>182.41</v>
      </c>
      <c r="G2033" s="31" t="n">
        <f aca="false">IFERROR(F2033/D2033,0)</f>
        <v>6.08033333333333</v>
      </c>
    </row>
    <row r="2034" customFormat="false" ht="15" hidden="false" customHeight="false" outlineLevel="0" collapsed="false">
      <c r="A2034" s="28" t="n">
        <v>2022</v>
      </c>
      <c r="B2034" s="28" t="s">
        <v>97</v>
      </c>
      <c r="C2034" s="28" t="s">
        <v>58</v>
      </c>
      <c r="D2034" s="28" t="n">
        <v>2</v>
      </c>
      <c r="E2034" s="29" t="n">
        <v>100000</v>
      </c>
      <c r="F2034" s="30" t="n">
        <v>14.25</v>
      </c>
      <c r="G2034" s="31" t="n">
        <f aca="false">IFERROR(F2034/D2034,0)</f>
        <v>7.125</v>
      </c>
    </row>
    <row r="2035" customFormat="false" ht="15" hidden="false" customHeight="false" outlineLevel="0" collapsed="false">
      <c r="A2035" s="28" t="n">
        <v>2022</v>
      </c>
      <c r="B2035" s="28" t="s">
        <v>97</v>
      </c>
      <c r="C2035" s="28" t="s">
        <v>46</v>
      </c>
      <c r="D2035" s="28" t="n">
        <v>34</v>
      </c>
      <c r="E2035" s="29" t="n">
        <v>14962000</v>
      </c>
      <c r="F2035" s="30" t="n">
        <v>226.39</v>
      </c>
      <c r="G2035" s="31" t="n">
        <f aca="false">IFERROR(F2035/D2035,0)</f>
        <v>6.65852941176471</v>
      </c>
    </row>
    <row r="2036" customFormat="false" ht="15" hidden="false" customHeight="false" outlineLevel="0" collapsed="false">
      <c r="A2036" s="28" t="n">
        <v>2022</v>
      </c>
      <c r="B2036" s="28" t="s">
        <v>97</v>
      </c>
      <c r="C2036" s="28" t="s">
        <v>48</v>
      </c>
      <c r="D2036" s="28" t="n">
        <v>23</v>
      </c>
      <c r="E2036" s="29" t="n">
        <v>9576000</v>
      </c>
      <c r="F2036" s="30" t="n">
        <v>143.9</v>
      </c>
      <c r="G2036" s="31" t="n">
        <f aca="false">IFERROR(F2036/D2036,0)</f>
        <v>6.25652173913044</v>
      </c>
    </row>
    <row r="2037" customFormat="false" ht="15" hidden="false" customHeight="false" outlineLevel="0" collapsed="false">
      <c r="A2037" s="28" t="n">
        <v>2022</v>
      </c>
      <c r="B2037" s="28" t="s">
        <v>97</v>
      </c>
      <c r="C2037" s="28" t="s">
        <v>53</v>
      </c>
      <c r="D2037" s="28" t="n">
        <v>17</v>
      </c>
      <c r="E2037" s="29" t="n">
        <v>18972700</v>
      </c>
      <c r="F2037" s="30" t="n">
        <v>115.35</v>
      </c>
      <c r="G2037" s="31" t="n">
        <f aca="false">IFERROR(F2037/D2037,0)</f>
        <v>6.78529411764706</v>
      </c>
    </row>
    <row r="2038" customFormat="false" ht="15" hidden="false" customHeight="false" outlineLevel="0" collapsed="false">
      <c r="A2038" s="28" t="n">
        <v>2022</v>
      </c>
      <c r="B2038" s="28" t="s">
        <v>97</v>
      </c>
      <c r="C2038" s="28" t="s">
        <v>43</v>
      </c>
      <c r="D2038" s="28" t="n">
        <v>41</v>
      </c>
      <c r="E2038" s="29" t="n">
        <v>18249400</v>
      </c>
      <c r="F2038" s="30" t="n">
        <v>256.98</v>
      </c>
      <c r="G2038" s="31" t="n">
        <f aca="false">IFERROR(F2038/D2038,0)</f>
        <v>6.26780487804878</v>
      </c>
    </row>
    <row r="2039" customFormat="false" ht="15" hidden="false" customHeight="false" outlineLevel="0" collapsed="false">
      <c r="A2039" s="28" t="n">
        <v>2022</v>
      </c>
      <c r="B2039" s="28" t="s">
        <v>97</v>
      </c>
      <c r="C2039" s="28" t="s">
        <v>52</v>
      </c>
      <c r="D2039" s="28" t="n">
        <v>17</v>
      </c>
      <c r="E2039" s="29" t="n">
        <v>3378400</v>
      </c>
      <c r="F2039" s="30" t="n">
        <v>115.14</v>
      </c>
      <c r="G2039" s="31" t="n">
        <f aca="false">IFERROR(F2039/D2039,0)</f>
        <v>6.77294117647059</v>
      </c>
    </row>
    <row r="2040" customFormat="false" ht="15" hidden="false" customHeight="false" outlineLevel="0" collapsed="false">
      <c r="A2040" s="28" t="n">
        <v>2022</v>
      </c>
      <c r="B2040" s="28" t="s">
        <v>97</v>
      </c>
      <c r="C2040" s="28" t="s">
        <v>49</v>
      </c>
      <c r="D2040" s="28" t="n">
        <v>10</v>
      </c>
      <c r="E2040" s="29" t="n">
        <v>2555900</v>
      </c>
      <c r="F2040" s="30" t="n">
        <v>63.49</v>
      </c>
      <c r="G2040" s="31" t="n">
        <f aca="false">IFERROR(F2040/D2040,0)</f>
        <v>6.349</v>
      </c>
    </row>
    <row r="2041" customFormat="false" ht="15" hidden="false" customHeight="false" outlineLevel="0" collapsed="false">
      <c r="A2041" s="28" t="n">
        <v>2022</v>
      </c>
      <c r="B2041" s="28" t="s">
        <v>86</v>
      </c>
      <c r="C2041" s="28" t="s">
        <v>42</v>
      </c>
      <c r="D2041" s="28" t="n">
        <v>211</v>
      </c>
      <c r="E2041" s="29" t="n">
        <v>200597900</v>
      </c>
      <c r="F2041" s="30" t="n">
        <v>1274.11</v>
      </c>
      <c r="G2041" s="31" t="n">
        <f aca="false">IFERROR(F2041/D2041,0)</f>
        <v>6.03843601895735</v>
      </c>
    </row>
    <row r="2042" customFormat="false" ht="15" hidden="false" customHeight="false" outlineLevel="0" collapsed="false">
      <c r="A2042" s="28" t="n">
        <v>2022</v>
      </c>
      <c r="B2042" s="28" t="s">
        <v>86</v>
      </c>
      <c r="C2042" s="28" t="s">
        <v>50</v>
      </c>
      <c r="D2042" s="28" t="n">
        <v>78</v>
      </c>
      <c r="E2042" s="29" t="n">
        <v>30847900</v>
      </c>
      <c r="F2042" s="30" t="n">
        <v>459.28</v>
      </c>
      <c r="G2042" s="31" t="n">
        <f aca="false">IFERROR(F2042/D2042,0)</f>
        <v>5.88820512820513</v>
      </c>
    </row>
    <row r="2043" customFormat="false" ht="15" hidden="false" customHeight="false" outlineLevel="0" collapsed="false">
      <c r="A2043" s="28" t="n">
        <v>2022</v>
      </c>
      <c r="B2043" s="28" t="s">
        <v>86</v>
      </c>
      <c r="C2043" s="28" t="s">
        <v>55</v>
      </c>
      <c r="D2043" s="28" t="n">
        <v>6</v>
      </c>
      <c r="E2043" s="29" t="n">
        <v>3190100</v>
      </c>
      <c r="F2043" s="30" t="n">
        <v>37</v>
      </c>
      <c r="G2043" s="31" t="n">
        <f aca="false">IFERROR(F2043/D2043,0)</f>
        <v>6.16666666666667</v>
      </c>
    </row>
    <row r="2044" customFormat="false" ht="15" hidden="false" customHeight="false" outlineLevel="0" collapsed="false">
      <c r="A2044" s="28" t="n">
        <v>2022</v>
      </c>
      <c r="B2044" s="28" t="s">
        <v>86</v>
      </c>
      <c r="C2044" s="28" t="s">
        <v>51</v>
      </c>
      <c r="D2044" s="28" t="n">
        <v>43</v>
      </c>
      <c r="E2044" s="29" t="n">
        <v>14724500</v>
      </c>
      <c r="F2044" s="30" t="n">
        <v>268.09</v>
      </c>
      <c r="G2044" s="31" t="n">
        <f aca="false">IFERROR(F2044/D2044,0)</f>
        <v>6.2346511627907</v>
      </c>
    </row>
    <row r="2045" customFormat="false" ht="15" hidden="false" customHeight="false" outlineLevel="0" collapsed="false">
      <c r="A2045" s="28" t="n">
        <v>2022</v>
      </c>
      <c r="B2045" s="28" t="s">
        <v>86</v>
      </c>
      <c r="C2045" s="28" t="s">
        <v>45</v>
      </c>
      <c r="D2045" s="28" t="n">
        <v>145</v>
      </c>
      <c r="E2045" s="29" t="n">
        <v>56378800</v>
      </c>
      <c r="F2045" s="30" t="n">
        <v>903.8</v>
      </c>
      <c r="G2045" s="31" t="n">
        <f aca="false">IFERROR(F2045/D2045,0)</f>
        <v>6.23310344827586</v>
      </c>
    </row>
    <row r="2046" customFormat="false" ht="15" hidden="false" customHeight="false" outlineLevel="0" collapsed="false">
      <c r="A2046" s="28" t="n">
        <v>2022</v>
      </c>
      <c r="B2046" s="28" t="s">
        <v>86</v>
      </c>
      <c r="C2046" s="28" t="s">
        <v>56</v>
      </c>
      <c r="D2046" s="28" t="n">
        <v>16</v>
      </c>
      <c r="E2046" s="29" t="n">
        <v>11414300</v>
      </c>
      <c r="F2046" s="30" t="n">
        <v>116.075</v>
      </c>
      <c r="G2046" s="31" t="n">
        <f aca="false">IFERROR(F2046/D2046,0)</f>
        <v>7.2546875</v>
      </c>
    </row>
    <row r="2047" customFormat="false" ht="15" hidden="false" customHeight="false" outlineLevel="0" collapsed="false">
      <c r="A2047" s="28" t="n">
        <v>2022</v>
      </c>
      <c r="B2047" s="28" t="s">
        <v>86</v>
      </c>
      <c r="C2047" s="28" t="s">
        <v>54</v>
      </c>
      <c r="D2047" s="28" t="n">
        <v>28</v>
      </c>
      <c r="E2047" s="29" t="n">
        <v>11623700</v>
      </c>
      <c r="F2047" s="30" t="n">
        <v>157.28</v>
      </c>
      <c r="G2047" s="31" t="n">
        <f aca="false">IFERROR(F2047/D2047,0)</f>
        <v>5.61714285714286</v>
      </c>
    </row>
    <row r="2048" customFormat="false" ht="15" hidden="false" customHeight="false" outlineLevel="0" collapsed="false">
      <c r="A2048" s="28" t="n">
        <v>2022</v>
      </c>
      <c r="B2048" s="28" t="s">
        <v>86</v>
      </c>
      <c r="C2048" s="28" t="s">
        <v>44</v>
      </c>
      <c r="D2048" s="28" t="n">
        <v>126</v>
      </c>
      <c r="E2048" s="29" t="n">
        <v>77685700</v>
      </c>
      <c r="F2048" s="30" t="n">
        <v>755.149</v>
      </c>
      <c r="G2048" s="31" t="n">
        <f aca="false">IFERROR(F2048/D2048,0)</f>
        <v>5.99324603174603</v>
      </c>
    </row>
    <row r="2049" customFormat="false" ht="15" hidden="false" customHeight="false" outlineLevel="0" collapsed="false">
      <c r="A2049" s="28" t="n">
        <v>2022</v>
      </c>
      <c r="B2049" s="28" t="s">
        <v>86</v>
      </c>
      <c r="C2049" s="28" t="s">
        <v>57</v>
      </c>
      <c r="D2049" s="28" t="n">
        <v>14</v>
      </c>
      <c r="E2049" s="29" t="n">
        <v>13520100</v>
      </c>
      <c r="F2049" s="30" t="n">
        <v>93.9</v>
      </c>
      <c r="G2049" s="31" t="n">
        <f aca="false">IFERROR(F2049/D2049,0)</f>
        <v>6.70714285714286</v>
      </c>
    </row>
    <row r="2050" customFormat="false" ht="15" hidden="false" customHeight="false" outlineLevel="0" collapsed="false">
      <c r="A2050" s="28" t="n">
        <v>2022</v>
      </c>
      <c r="B2050" s="28" t="s">
        <v>86</v>
      </c>
      <c r="C2050" s="28" t="s">
        <v>59</v>
      </c>
      <c r="D2050" s="28" t="n">
        <v>1</v>
      </c>
      <c r="E2050" s="29" t="n">
        <v>270000</v>
      </c>
      <c r="F2050" s="30" t="n">
        <v>5.25</v>
      </c>
      <c r="G2050" s="31" t="n">
        <f aca="false">IFERROR(F2050/D2050,0)</f>
        <v>5.25</v>
      </c>
    </row>
    <row r="2051" customFormat="false" ht="15" hidden="false" customHeight="false" outlineLevel="0" collapsed="false">
      <c r="A2051" s="28" t="n">
        <v>2022</v>
      </c>
      <c r="B2051" s="28" t="s">
        <v>86</v>
      </c>
      <c r="C2051" s="28" t="s">
        <v>47</v>
      </c>
      <c r="D2051" s="28" t="n">
        <v>85</v>
      </c>
      <c r="E2051" s="29" t="n">
        <v>72770600</v>
      </c>
      <c r="F2051" s="30" t="n">
        <v>506.261</v>
      </c>
      <c r="G2051" s="31" t="n">
        <f aca="false">IFERROR(F2051/D2051,0)</f>
        <v>5.95601176470588</v>
      </c>
    </row>
    <row r="2052" customFormat="false" ht="15" hidden="false" customHeight="false" outlineLevel="0" collapsed="false">
      <c r="A2052" s="28" t="n">
        <v>2022</v>
      </c>
      <c r="B2052" s="28" t="s">
        <v>86</v>
      </c>
      <c r="C2052" s="28" t="s">
        <v>46</v>
      </c>
      <c r="D2052" s="28" t="n">
        <v>120</v>
      </c>
      <c r="E2052" s="29" t="n">
        <v>66778100</v>
      </c>
      <c r="F2052" s="30" t="n">
        <v>719.83</v>
      </c>
      <c r="G2052" s="31" t="n">
        <f aca="false">IFERROR(F2052/D2052,0)</f>
        <v>5.99858333333333</v>
      </c>
    </row>
    <row r="2053" customFormat="false" ht="15" hidden="false" customHeight="false" outlineLevel="0" collapsed="false">
      <c r="A2053" s="28" t="n">
        <v>2022</v>
      </c>
      <c r="B2053" s="28" t="s">
        <v>86</v>
      </c>
      <c r="C2053" s="28" t="s">
        <v>48</v>
      </c>
      <c r="D2053" s="28" t="n">
        <v>119</v>
      </c>
      <c r="E2053" s="29" t="n">
        <v>65159000</v>
      </c>
      <c r="F2053" s="30" t="n">
        <v>730.683</v>
      </c>
      <c r="G2053" s="31" t="n">
        <f aca="false">IFERROR(F2053/D2053,0)</f>
        <v>6.14019327731092</v>
      </c>
    </row>
    <row r="2054" customFormat="false" ht="15" hidden="false" customHeight="false" outlineLevel="0" collapsed="false">
      <c r="A2054" s="28" t="n">
        <v>2022</v>
      </c>
      <c r="B2054" s="28" t="s">
        <v>86</v>
      </c>
      <c r="C2054" s="28" t="s">
        <v>53</v>
      </c>
      <c r="D2054" s="28" t="n">
        <v>36</v>
      </c>
      <c r="E2054" s="29" t="n">
        <v>30223300</v>
      </c>
      <c r="F2054" s="30" t="n">
        <v>215.35</v>
      </c>
      <c r="G2054" s="31" t="n">
        <f aca="false">IFERROR(F2054/D2054,0)</f>
        <v>5.98194444444444</v>
      </c>
    </row>
    <row r="2055" customFormat="false" ht="15" hidden="false" customHeight="false" outlineLevel="0" collapsed="false">
      <c r="A2055" s="28" t="n">
        <v>2022</v>
      </c>
      <c r="B2055" s="28" t="s">
        <v>86</v>
      </c>
      <c r="C2055" s="28" t="s">
        <v>43</v>
      </c>
      <c r="D2055" s="28" t="n">
        <v>162</v>
      </c>
      <c r="E2055" s="29" t="n">
        <v>117373900</v>
      </c>
      <c r="F2055" s="30" t="n">
        <v>993.652</v>
      </c>
      <c r="G2055" s="31" t="n">
        <f aca="false">IFERROR(F2055/D2055,0)</f>
        <v>6.13365432098765</v>
      </c>
    </row>
    <row r="2056" customFormat="false" ht="15" hidden="false" customHeight="false" outlineLevel="0" collapsed="false">
      <c r="A2056" s="28" t="n">
        <v>2022</v>
      </c>
      <c r="B2056" s="28" t="s">
        <v>86</v>
      </c>
      <c r="C2056" s="28" t="s">
        <v>52</v>
      </c>
      <c r="D2056" s="28" t="n">
        <v>217</v>
      </c>
      <c r="E2056" s="29" t="n">
        <v>51817800</v>
      </c>
      <c r="F2056" s="30" t="n">
        <v>1315.68</v>
      </c>
      <c r="G2056" s="31" t="n">
        <f aca="false">IFERROR(F2056/D2056,0)</f>
        <v>6.06304147465438</v>
      </c>
    </row>
    <row r="2057" customFormat="false" ht="15" hidden="false" customHeight="false" outlineLevel="0" collapsed="false">
      <c r="A2057" s="28" t="n">
        <v>2022</v>
      </c>
      <c r="B2057" s="28" t="s">
        <v>86</v>
      </c>
      <c r="C2057" s="28" t="s">
        <v>60</v>
      </c>
      <c r="D2057" s="28" t="n">
        <v>1</v>
      </c>
      <c r="E2057" s="29" t="n">
        <v>80000</v>
      </c>
      <c r="F2057" s="30" t="n">
        <v>3.25</v>
      </c>
      <c r="G2057" s="31" t="n">
        <f aca="false">IFERROR(F2057/D2057,0)</f>
        <v>3.25</v>
      </c>
    </row>
    <row r="2058" customFormat="false" ht="15" hidden="false" customHeight="false" outlineLevel="0" collapsed="false">
      <c r="A2058" s="28" t="n">
        <v>2022</v>
      </c>
      <c r="B2058" s="28" t="s">
        <v>86</v>
      </c>
      <c r="C2058" s="28" t="s">
        <v>49</v>
      </c>
      <c r="D2058" s="28" t="n">
        <v>55</v>
      </c>
      <c r="E2058" s="29" t="n">
        <v>43444800</v>
      </c>
      <c r="F2058" s="30" t="n">
        <v>347.08</v>
      </c>
      <c r="G2058" s="31" t="n">
        <f aca="false">IFERROR(F2058/D2058,0)</f>
        <v>6.31054545454545</v>
      </c>
    </row>
    <row r="2059" customFormat="false" ht="15" hidden="false" customHeight="false" outlineLevel="0" collapsed="false">
      <c r="A2059" s="28" t="n">
        <v>2022</v>
      </c>
      <c r="B2059" s="28" t="s">
        <v>100</v>
      </c>
      <c r="C2059" s="28" t="s">
        <v>42</v>
      </c>
      <c r="D2059" s="28" t="n">
        <v>148</v>
      </c>
      <c r="E2059" s="29" t="n">
        <v>108309200</v>
      </c>
      <c r="F2059" s="30" t="n">
        <v>863.59</v>
      </c>
      <c r="G2059" s="31" t="n">
        <f aca="false">IFERROR(F2059/D2059,0)</f>
        <v>5.83506756756757</v>
      </c>
    </row>
    <row r="2060" customFormat="false" ht="15" hidden="false" customHeight="false" outlineLevel="0" collapsed="false">
      <c r="A2060" s="28" t="n">
        <v>2022</v>
      </c>
      <c r="B2060" s="28" t="s">
        <v>100</v>
      </c>
      <c r="C2060" s="28" t="s">
        <v>50</v>
      </c>
      <c r="D2060" s="28" t="n">
        <v>55</v>
      </c>
      <c r="E2060" s="29" t="n">
        <v>18626900</v>
      </c>
      <c r="F2060" s="30" t="n">
        <v>335.63</v>
      </c>
      <c r="G2060" s="31" t="n">
        <f aca="false">IFERROR(F2060/D2060,0)</f>
        <v>6.10236363636364</v>
      </c>
    </row>
    <row r="2061" customFormat="false" ht="15" hidden="false" customHeight="false" outlineLevel="0" collapsed="false">
      <c r="A2061" s="28" t="n">
        <v>2022</v>
      </c>
      <c r="B2061" s="28" t="s">
        <v>100</v>
      </c>
      <c r="C2061" s="28" t="s">
        <v>55</v>
      </c>
      <c r="D2061" s="28" t="n">
        <v>2</v>
      </c>
      <c r="E2061" s="29" t="n">
        <v>823900</v>
      </c>
      <c r="F2061" s="30" t="n">
        <v>14</v>
      </c>
      <c r="G2061" s="31" t="n">
        <f aca="false">IFERROR(F2061/D2061,0)</f>
        <v>7</v>
      </c>
    </row>
    <row r="2062" customFormat="false" ht="15" hidden="false" customHeight="false" outlineLevel="0" collapsed="false">
      <c r="A2062" s="28" t="n">
        <v>2022</v>
      </c>
      <c r="B2062" s="28" t="s">
        <v>100</v>
      </c>
      <c r="C2062" s="28" t="s">
        <v>51</v>
      </c>
      <c r="D2062" s="28" t="n">
        <v>42</v>
      </c>
      <c r="E2062" s="29" t="n">
        <v>18556800</v>
      </c>
      <c r="F2062" s="30" t="n">
        <v>254.75</v>
      </c>
      <c r="G2062" s="31" t="n">
        <f aca="false">IFERROR(F2062/D2062,0)</f>
        <v>6.06547619047619</v>
      </c>
    </row>
    <row r="2063" customFormat="false" ht="15" hidden="false" customHeight="false" outlineLevel="0" collapsed="false">
      <c r="A2063" s="28" t="n">
        <v>2022</v>
      </c>
      <c r="B2063" s="28" t="s">
        <v>100</v>
      </c>
      <c r="C2063" s="28" t="s">
        <v>45</v>
      </c>
      <c r="D2063" s="28" t="n">
        <v>110</v>
      </c>
      <c r="E2063" s="29" t="n">
        <v>37420000</v>
      </c>
      <c r="F2063" s="30" t="n">
        <v>681.245</v>
      </c>
      <c r="G2063" s="31" t="n">
        <f aca="false">IFERROR(F2063/D2063,0)</f>
        <v>6.19313636363636</v>
      </c>
    </row>
    <row r="2064" customFormat="false" ht="15" hidden="false" customHeight="false" outlineLevel="0" collapsed="false">
      <c r="A2064" s="28" t="n">
        <v>2022</v>
      </c>
      <c r="B2064" s="28" t="s">
        <v>100</v>
      </c>
      <c r="C2064" s="28" t="s">
        <v>56</v>
      </c>
      <c r="D2064" s="28" t="n">
        <v>19</v>
      </c>
      <c r="E2064" s="29" t="n">
        <v>9744800</v>
      </c>
      <c r="F2064" s="30" t="n">
        <v>117.569</v>
      </c>
      <c r="G2064" s="31" t="n">
        <f aca="false">IFERROR(F2064/D2064,0)</f>
        <v>6.18784210526316</v>
      </c>
    </row>
    <row r="2065" customFormat="false" ht="15" hidden="false" customHeight="false" outlineLevel="0" collapsed="false">
      <c r="A2065" s="28" t="n">
        <v>2022</v>
      </c>
      <c r="B2065" s="28" t="s">
        <v>100</v>
      </c>
      <c r="C2065" s="28" t="s">
        <v>54</v>
      </c>
      <c r="D2065" s="28" t="n">
        <v>23</v>
      </c>
      <c r="E2065" s="29" t="n">
        <v>5969900</v>
      </c>
      <c r="F2065" s="30" t="n">
        <v>137.28</v>
      </c>
      <c r="G2065" s="31" t="n">
        <f aca="false">IFERROR(F2065/D2065,0)</f>
        <v>5.96869565217391</v>
      </c>
    </row>
    <row r="2066" customFormat="false" ht="15" hidden="false" customHeight="false" outlineLevel="0" collapsed="false">
      <c r="A2066" s="28" t="n">
        <v>2022</v>
      </c>
      <c r="B2066" s="28" t="s">
        <v>100</v>
      </c>
      <c r="C2066" s="28" t="s">
        <v>44</v>
      </c>
      <c r="D2066" s="28" t="n">
        <v>70</v>
      </c>
      <c r="E2066" s="29" t="n">
        <v>35892700</v>
      </c>
      <c r="F2066" s="30" t="n">
        <v>427.77</v>
      </c>
      <c r="G2066" s="31" t="n">
        <f aca="false">IFERROR(F2066/D2066,0)</f>
        <v>6.111</v>
      </c>
    </row>
    <row r="2067" customFormat="false" ht="15" hidden="false" customHeight="false" outlineLevel="0" collapsed="false">
      <c r="A2067" s="28" t="n">
        <v>2022</v>
      </c>
      <c r="B2067" s="28" t="s">
        <v>100</v>
      </c>
      <c r="C2067" s="28" t="s">
        <v>57</v>
      </c>
      <c r="D2067" s="28" t="n">
        <v>4</v>
      </c>
      <c r="E2067" s="29" t="n">
        <v>875000</v>
      </c>
      <c r="F2067" s="30" t="n">
        <v>21.5</v>
      </c>
      <c r="G2067" s="31" t="n">
        <f aca="false">IFERROR(F2067/D2067,0)</f>
        <v>5.375</v>
      </c>
    </row>
    <row r="2068" customFormat="false" ht="15" hidden="false" customHeight="false" outlineLevel="0" collapsed="false">
      <c r="A2068" s="28" t="n">
        <v>2022</v>
      </c>
      <c r="B2068" s="28" t="s">
        <v>100</v>
      </c>
      <c r="C2068" s="28" t="s">
        <v>59</v>
      </c>
      <c r="D2068" s="28" t="n">
        <v>4</v>
      </c>
      <c r="E2068" s="29" t="n">
        <v>5119400</v>
      </c>
      <c r="F2068" s="30" t="n">
        <v>21.25</v>
      </c>
      <c r="G2068" s="31" t="n">
        <f aca="false">IFERROR(F2068/D2068,0)</f>
        <v>5.3125</v>
      </c>
    </row>
    <row r="2069" customFormat="false" ht="15" hidden="false" customHeight="false" outlineLevel="0" collapsed="false">
      <c r="A2069" s="28" t="n">
        <v>2022</v>
      </c>
      <c r="B2069" s="28" t="s">
        <v>100</v>
      </c>
      <c r="C2069" s="28" t="s">
        <v>47</v>
      </c>
      <c r="D2069" s="28" t="n">
        <v>78</v>
      </c>
      <c r="E2069" s="29" t="n">
        <v>43360200</v>
      </c>
      <c r="F2069" s="30" t="n">
        <v>479.605</v>
      </c>
      <c r="G2069" s="31" t="n">
        <f aca="false">IFERROR(F2069/D2069,0)</f>
        <v>6.14878205128205</v>
      </c>
    </row>
    <row r="2070" customFormat="false" ht="15" hidden="false" customHeight="false" outlineLevel="0" collapsed="false">
      <c r="A2070" s="28" t="n">
        <v>2022</v>
      </c>
      <c r="B2070" s="28" t="s">
        <v>100</v>
      </c>
      <c r="C2070" s="28" t="s">
        <v>46</v>
      </c>
      <c r="D2070" s="28" t="n">
        <v>96</v>
      </c>
      <c r="E2070" s="29" t="n">
        <v>34232800</v>
      </c>
      <c r="F2070" s="30" t="n">
        <v>580.885</v>
      </c>
      <c r="G2070" s="31" t="n">
        <f aca="false">IFERROR(F2070/D2070,0)</f>
        <v>6.05088541666667</v>
      </c>
    </row>
    <row r="2071" customFormat="false" ht="15" hidden="false" customHeight="false" outlineLevel="0" collapsed="false">
      <c r="A2071" s="28" t="n">
        <v>2022</v>
      </c>
      <c r="B2071" s="28" t="s">
        <v>100</v>
      </c>
      <c r="C2071" s="28" t="s">
        <v>48</v>
      </c>
      <c r="D2071" s="28" t="n">
        <v>79</v>
      </c>
      <c r="E2071" s="29" t="n">
        <v>41026300</v>
      </c>
      <c r="F2071" s="30" t="n">
        <v>472.16</v>
      </c>
      <c r="G2071" s="31" t="n">
        <f aca="false">IFERROR(F2071/D2071,0)</f>
        <v>5.97670886075949</v>
      </c>
    </row>
    <row r="2072" customFormat="false" ht="15" hidden="false" customHeight="false" outlineLevel="0" collapsed="false">
      <c r="A2072" s="28" t="n">
        <v>2022</v>
      </c>
      <c r="B2072" s="28" t="s">
        <v>100</v>
      </c>
      <c r="C2072" s="28" t="s">
        <v>53</v>
      </c>
      <c r="D2072" s="28" t="n">
        <v>20</v>
      </c>
      <c r="E2072" s="29" t="n">
        <v>14058200</v>
      </c>
      <c r="F2072" s="30" t="n">
        <v>113</v>
      </c>
      <c r="G2072" s="31" t="n">
        <f aca="false">IFERROR(F2072/D2072,0)</f>
        <v>5.65</v>
      </c>
    </row>
    <row r="2073" customFormat="false" ht="15" hidden="false" customHeight="false" outlineLevel="0" collapsed="false">
      <c r="A2073" s="28" t="n">
        <v>2022</v>
      </c>
      <c r="B2073" s="28" t="s">
        <v>100</v>
      </c>
      <c r="C2073" s="28" t="s">
        <v>43</v>
      </c>
      <c r="D2073" s="28" t="n">
        <v>85</v>
      </c>
      <c r="E2073" s="29" t="n">
        <v>34319500</v>
      </c>
      <c r="F2073" s="30" t="n">
        <v>494.746</v>
      </c>
      <c r="G2073" s="31" t="n">
        <f aca="false">IFERROR(F2073/D2073,0)</f>
        <v>5.82054117647059</v>
      </c>
    </row>
    <row r="2074" customFormat="false" ht="15" hidden="false" customHeight="false" outlineLevel="0" collapsed="false">
      <c r="A2074" s="28" t="n">
        <v>2022</v>
      </c>
      <c r="B2074" s="28" t="s">
        <v>100</v>
      </c>
      <c r="C2074" s="28" t="s">
        <v>52</v>
      </c>
      <c r="D2074" s="28" t="n">
        <v>137</v>
      </c>
      <c r="E2074" s="29" t="n">
        <v>23621600</v>
      </c>
      <c r="F2074" s="30" t="n">
        <v>875.84</v>
      </c>
      <c r="G2074" s="31" t="n">
        <f aca="false">IFERROR(F2074/D2074,0)</f>
        <v>6.39299270072993</v>
      </c>
    </row>
    <row r="2075" customFormat="false" ht="15" hidden="false" customHeight="false" outlineLevel="0" collapsed="false">
      <c r="A2075" s="28" t="n">
        <v>2022</v>
      </c>
      <c r="B2075" s="28" t="s">
        <v>100</v>
      </c>
      <c r="C2075" s="28" t="s">
        <v>49</v>
      </c>
      <c r="D2075" s="28" t="n">
        <v>31</v>
      </c>
      <c r="E2075" s="29" t="n">
        <v>15994200</v>
      </c>
      <c r="F2075" s="30" t="n">
        <v>181.08</v>
      </c>
      <c r="G2075" s="31" t="n">
        <f aca="false">IFERROR(F2075/D2075,0)</f>
        <v>5.84129032258065</v>
      </c>
    </row>
    <row r="2076" customFormat="false" ht="15" hidden="false" customHeight="false" outlineLevel="0" collapsed="false">
      <c r="A2076" s="28" t="n">
        <v>2022</v>
      </c>
      <c r="B2076" s="28" t="s">
        <v>101</v>
      </c>
      <c r="C2076" s="28" t="s">
        <v>42</v>
      </c>
      <c r="D2076" s="28" t="n">
        <v>41</v>
      </c>
      <c r="E2076" s="29" t="n">
        <v>37943400</v>
      </c>
      <c r="F2076" s="30" t="n">
        <v>239.86</v>
      </c>
      <c r="G2076" s="31" t="n">
        <f aca="false">IFERROR(F2076/D2076,0)</f>
        <v>5.85024390243903</v>
      </c>
    </row>
    <row r="2077" customFormat="false" ht="15" hidden="false" customHeight="false" outlineLevel="0" collapsed="false">
      <c r="A2077" s="28" t="n">
        <v>2022</v>
      </c>
      <c r="B2077" s="28" t="s">
        <v>101</v>
      </c>
      <c r="C2077" s="28" t="s">
        <v>50</v>
      </c>
      <c r="D2077" s="28" t="n">
        <v>21</v>
      </c>
      <c r="E2077" s="29" t="n">
        <v>8223600</v>
      </c>
      <c r="F2077" s="30" t="n">
        <v>126.74</v>
      </c>
      <c r="G2077" s="31" t="n">
        <f aca="false">IFERROR(F2077/D2077,0)</f>
        <v>6.0352380952381</v>
      </c>
    </row>
    <row r="2078" customFormat="false" ht="15" hidden="false" customHeight="false" outlineLevel="0" collapsed="false">
      <c r="A2078" s="28" t="n">
        <v>2022</v>
      </c>
      <c r="B2078" s="28" t="s">
        <v>101</v>
      </c>
      <c r="C2078" s="28" t="s">
        <v>55</v>
      </c>
      <c r="D2078" s="28" t="n">
        <v>6</v>
      </c>
      <c r="E2078" s="29" t="n">
        <v>1089100</v>
      </c>
      <c r="F2078" s="30" t="n">
        <v>41</v>
      </c>
      <c r="G2078" s="31" t="n">
        <f aca="false">IFERROR(F2078/D2078,0)</f>
        <v>6.83333333333333</v>
      </c>
    </row>
    <row r="2079" customFormat="false" ht="15" hidden="false" customHeight="false" outlineLevel="0" collapsed="false">
      <c r="A2079" s="28" t="n">
        <v>2022</v>
      </c>
      <c r="B2079" s="28" t="s">
        <v>101</v>
      </c>
      <c r="C2079" s="28" t="s">
        <v>51</v>
      </c>
      <c r="D2079" s="28" t="n">
        <v>17</v>
      </c>
      <c r="E2079" s="29" t="n">
        <v>3306400</v>
      </c>
      <c r="F2079" s="30" t="n">
        <v>110.23</v>
      </c>
      <c r="G2079" s="31" t="n">
        <f aca="false">IFERROR(F2079/D2079,0)</f>
        <v>6.48411764705882</v>
      </c>
    </row>
    <row r="2080" customFormat="false" ht="15" hidden="false" customHeight="false" outlineLevel="0" collapsed="false">
      <c r="A2080" s="28" t="n">
        <v>2022</v>
      </c>
      <c r="B2080" s="28" t="s">
        <v>101</v>
      </c>
      <c r="C2080" s="28" t="s">
        <v>45</v>
      </c>
      <c r="D2080" s="28" t="n">
        <v>36</v>
      </c>
      <c r="E2080" s="29" t="n">
        <v>8203900</v>
      </c>
      <c r="F2080" s="30" t="n">
        <v>220.311</v>
      </c>
      <c r="G2080" s="31" t="n">
        <f aca="false">IFERROR(F2080/D2080,0)</f>
        <v>6.11975</v>
      </c>
    </row>
    <row r="2081" customFormat="false" ht="15" hidden="false" customHeight="false" outlineLevel="0" collapsed="false">
      <c r="A2081" s="28" t="n">
        <v>2022</v>
      </c>
      <c r="B2081" s="28" t="s">
        <v>101</v>
      </c>
      <c r="C2081" s="28" t="s">
        <v>56</v>
      </c>
      <c r="D2081" s="28" t="n">
        <v>4</v>
      </c>
      <c r="E2081" s="29" t="n">
        <v>2674600</v>
      </c>
      <c r="F2081" s="30" t="n">
        <v>24.5</v>
      </c>
      <c r="G2081" s="31" t="n">
        <f aca="false">IFERROR(F2081/D2081,0)</f>
        <v>6.125</v>
      </c>
    </row>
    <row r="2082" customFormat="false" ht="15" hidden="false" customHeight="false" outlineLevel="0" collapsed="false">
      <c r="A2082" s="28" t="n">
        <v>2022</v>
      </c>
      <c r="B2082" s="28" t="s">
        <v>101</v>
      </c>
      <c r="C2082" s="28" t="s">
        <v>54</v>
      </c>
      <c r="D2082" s="28" t="n">
        <v>5</v>
      </c>
      <c r="E2082" s="29" t="n">
        <v>2107500</v>
      </c>
      <c r="F2082" s="30" t="n">
        <v>31.249</v>
      </c>
      <c r="G2082" s="31" t="n">
        <f aca="false">IFERROR(F2082/D2082,0)</f>
        <v>6.2498</v>
      </c>
    </row>
    <row r="2083" customFormat="false" ht="15" hidden="false" customHeight="false" outlineLevel="0" collapsed="false">
      <c r="A2083" s="28" t="n">
        <v>2022</v>
      </c>
      <c r="B2083" s="28" t="s">
        <v>101</v>
      </c>
      <c r="C2083" s="28" t="s">
        <v>44</v>
      </c>
      <c r="D2083" s="28" t="n">
        <v>28</v>
      </c>
      <c r="E2083" s="29" t="n">
        <v>6036900</v>
      </c>
      <c r="F2083" s="30" t="n">
        <v>166.51</v>
      </c>
      <c r="G2083" s="31" t="n">
        <f aca="false">IFERROR(F2083/D2083,0)</f>
        <v>5.94678571428571</v>
      </c>
    </row>
    <row r="2084" customFormat="false" ht="15" hidden="false" customHeight="false" outlineLevel="0" collapsed="false">
      <c r="A2084" s="28" t="n">
        <v>2022</v>
      </c>
      <c r="B2084" s="28" t="s">
        <v>101</v>
      </c>
      <c r="C2084" s="28" t="s">
        <v>57</v>
      </c>
      <c r="D2084" s="28" t="n">
        <v>1</v>
      </c>
      <c r="E2084" s="29" t="n">
        <v>100000</v>
      </c>
      <c r="F2084" s="30" t="n">
        <v>6.75</v>
      </c>
      <c r="G2084" s="31" t="n">
        <f aca="false">IFERROR(F2084/D2084,0)</f>
        <v>6.75</v>
      </c>
    </row>
    <row r="2085" customFormat="false" ht="15" hidden="false" customHeight="false" outlineLevel="0" collapsed="false">
      <c r="A2085" s="28" t="n">
        <v>2022</v>
      </c>
      <c r="B2085" s="28" t="s">
        <v>101</v>
      </c>
      <c r="C2085" s="28" t="s">
        <v>59</v>
      </c>
      <c r="D2085" s="28" t="n">
        <v>1</v>
      </c>
      <c r="E2085" s="29" t="n">
        <v>238000</v>
      </c>
      <c r="F2085" s="30" t="n">
        <v>4.91</v>
      </c>
      <c r="G2085" s="31" t="n">
        <f aca="false">IFERROR(F2085/D2085,0)</f>
        <v>4.91</v>
      </c>
    </row>
    <row r="2086" customFormat="false" ht="15" hidden="false" customHeight="false" outlineLevel="0" collapsed="false">
      <c r="A2086" s="28" t="n">
        <v>2022</v>
      </c>
      <c r="B2086" s="28" t="s">
        <v>101</v>
      </c>
      <c r="C2086" s="28" t="s">
        <v>47</v>
      </c>
      <c r="D2086" s="28" t="n">
        <v>17</v>
      </c>
      <c r="E2086" s="29" t="n">
        <v>4969900</v>
      </c>
      <c r="F2086" s="30" t="n">
        <v>102.443</v>
      </c>
      <c r="G2086" s="31" t="n">
        <f aca="false">IFERROR(F2086/D2086,0)</f>
        <v>6.02605882352941</v>
      </c>
    </row>
    <row r="2087" customFormat="false" ht="15" hidden="false" customHeight="false" outlineLevel="0" collapsed="false">
      <c r="A2087" s="28" t="n">
        <v>2022</v>
      </c>
      <c r="B2087" s="28" t="s">
        <v>101</v>
      </c>
      <c r="C2087" s="28" t="s">
        <v>58</v>
      </c>
      <c r="D2087" s="28" t="n">
        <v>8</v>
      </c>
      <c r="E2087" s="29" t="n">
        <v>6741200</v>
      </c>
      <c r="F2087" s="30" t="n">
        <v>43.111</v>
      </c>
      <c r="G2087" s="31" t="n">
        <f aca="false">IFERROR(F2087/D2087,0)</f>
        <v>5.388875</v>
      </c>
    </row>
    <row r="2088" customFormat="false" ht="15" hidden="false" customHeight="false" outlineLevel="0" collapsed="false">
      <c r="A2088" s="28" t="n">
        <v>2022</v>
      </c>
      <c r="B2088" s="28" t="s">
        <v>101</v>
      </c>
      <c r="C2088" s="28" t="s">
        <v>46</v>
      </c>
      <c r="D2088" s="28" t="n">
        <v>45</v>
      </c>
      <c r="E2088" s="29" t="n">
        <v>19236600</v>
      </c>
      <c r="F2088" s="30" t="n">
        <v>270.08</v>
      </c>
      <c r="G2088" s="31" t="n">
        <f aca="false">IFERROR(F2088/D2088,0)</f>
        <v>6.00177777777778</v>
      </c>
    </row>
    <row r="2089" customFormat="false" ht="15" hidden="false" customHeight="false" outlineLevel="0" collapsed="false">
      <c r="A2089" s="28" t="n">
        <v>2022</v>
      </c>
      <c r="B2089" s="28" t="s">
        <v>101</v>
      </c>
      <c r="C2089" s="28" t="s">
        <v>48</v>
      </c>
      <c r="D2089" s="28" t="n">
        <v>22</v>
      </c>
      <c r="E2089" s="29" t="n">
        <v>7874100</v>
      </c>
      <c r="F2089" s="30" t="n">
        <v>122.86</v>
      </c>
      <c r="G2089" s="31" t="n">
        <f aca="false">IFERROR(F2089/D2089,0)</f>
        <v>5.58454545454546</v>
      </c>
    </row>
    <row r="2090" customFormat="false" ht="15" hidden="false" customHeight="false" outlineLevel="0" collapsed="false">
      <c r="A2090" s="28" t="n">
        <v>2022</v>
      </c>
      <c r="B2090" s="28" t="s">
        <v>101</v>
      </c>
      <c r="C2090" s="28" t="s">
        <v>53</v>
      </c>
      <c r="D2090" s="28" t="n">
        <v>18</v>
      </c>
      <c r="E2090" s="29" t="n">
        <v>7127300</v>
      </c>
      <c r="F2090" s="30" t="n">
        <v>99.48</v>
      </c>
      <c r="G2090" s="31" t="n">
        <f aca="false">IFERROR(F2090/D2090,0)</f>
        <v>5.52666666666667</v>
      </c>
    </row>
    <row r="2091" customFormat="false" ht="15" hidden="false" customHeight="false" outlineLevel="0" collapsed="false">
      <c r="A2091" s="28" t="n">
        <v>2022</v>
      </c>
      <c r="B2091" s="28" t="s">
        <v>101</v>
      </c>
      <c r="C2091" s="28" t="s">
        <v>43</v>
      </c>
      <c r="D2091" s="28" t="n">
        <v>52</v>
      </c>
      <c r="E2091" s="29" t="n">
        <v>20780300</v>
      </c>
      <c r="F2091" s="30" t="n">
        <v>297.24</v>
      </c>
      <c r="G2091" s="31" t="n">
        <f aca="false">IFERROR(F2091/D2091,0)</f>
        <v>5.71615384615385</v>
      </c>
    </row>
    <row r="2092" customFormat="false" ht="15" hidden="false" customHeight="false" outlineLevel="0" collapsed="false">
      <c r="A2092" s="28" t="n">
        <v>2022</v>
      </c>
      <c r="B2092" s="28" t="s">
        <v>101</v>
      </c>
      <c r="C2092" s="28" t="s">
        <v>52</v>
      </c>
      <c r="D2092" s="28" t="n">
        <v>21</v>
      </c>
      <c r="E2092" s="29" t="n">
        <v>2411100</v>
      </c>
      <c r="F2092" s="30" t="n">
        <v>134.061</v>
      </c>
      <c r="G2092" s="31" t="n">
        <f aca="false">IFERROR(F2092/D2092,0)</f>
        <v>6.38385714285714</v>
      </c>
    </row>
    <row r="2093" customFormat="false" ht="15" hidden="false" customHeight="false" outlineLevel="0" collapsed="false">
      <c r="A2093" s="28" t="n">
        <v>2022</v>
      </c>
      <c r="B2093" s="28" t="s">
        <v>101</v>
      </c>
      <c r="C2093" s="28" t="s">
        <v>49</v>
      </c>
      <c r="D2093" s="28" t="n">
        <v>17</v>
      </c>
      <c r="E2093" s="29" t="n">
        <v>8076300</v>
      </c>
      <c r="F2093" s="30" t="n">
        <v>93.327</v>
      </c>
      <c r="G2093" s="31" t="n">
        <f aca="false">IFERROR(F2093/D2093,0)</f>
        <v>5.48982352941176</v>
      </c>
    </row>
    <row r="2094" customFormat="false" ht="15" hidden="false" customHeight="false" outlineLevel="0" collapsed="false">
      <c r="A2094" s="28" t="n">
        <v>2022</v>
      </c>
      <c r="B2094" s="28" t="s">
        <v>102</v>
      </c>
      <c r="C2094" s="28" t="s">
        <v>42</v>
      </c>
      <c r="D2094" s="28" t="n">
        <v>48</v>
      </c>
      <c r="E2094" s="29" t="n">
        <v>27883600</v>
      </c>
      <c r="F2094" s="30" t="n">
        <v>297.46</v>
      </c>
      <c r="G2094" s="31" t="n">
        <f aca="false">IFERROR(F2094/D2094,0)</f>
        <v>6.19708333333333</v>
      </c>
    </row>
    <row r="2095" customFormat="false" ht="15" hidden="false" customHeight="false" outlineLevel="0" collapsed="false">
      <c r="A2095" s="28" t="n">
        <v>2022</v>
      </c>
      <c r="B2095" s="28" t="s">
        <v>102</v>
      </c>
      <c r="C2095" s="28" t="s">
        <v>50</v>
      </c>
      <c r="D2095" s="28" t="n">
        <v>16</v>
      </c>
      <c r="E2095" s="29" t="n">
        <v>8821500</v>
      </c>
      <c r="F2095" s="30" t="n">
        <v>93.94</v>
      </c>
      <c r="G2095" s="31" t="n">
        <f aca="false">IFERROR(F2095/D2095,0)</f>
        <v>5.87125</v>
      </c>
    </row>
    <row r="2096" customFormat="false" ht="15" hidden="false" customHeight="false" outlineLevel="0" collapsed="false">
      <c r="A2096" s="28" t="n">
        <v>2022</v>
      </c>
      <c r="B2096" s="28" t="s">
        <v>102</v>
      </c>
      <c r="C2096" s="28" t="s">
        <v>55</v>
      </c>
      <c r="D2096" s="28" t="n">
        <v>7</v>
      </c>
      <c r="E2096" s="29" t="n">
        <v>642100</v>
      </c>
      <c r="F2096" s="30" t="n">
        <v>38.24</v>
      </c>
      <c r="G2096" s="31" t="n">
        <f aca="false">IFERROR(F2096/D2096,0)</f>
        <v>5.46285714285714</v>
      </c>
    </row>
    <row r="2097" customFormat="false" ht="15" hidden="false" customHeight="false" outlineLevel="0" collapsed="false">
      <c r="A2097" s="28" t="n">
        <v>2022</v>
      </c>
      <c r="B2097" s="28" t="s">
        <v>102</v>
      </c>
      <c r="C2097" s="28" t="s">
        <v>51</v>
      </c>
      <c r="D2097" s="28" t="n">
        <v>6</v>
      </c>
      <c r="E2097" s="29" t="n">
        <v>992000</v>
      </c>
      <c r="F2097" s="30" t="n">
        <v>36.15</v>
      </c>
      <c r="G2097" s="31" t="n">
        <f aca="false">IFERROR(F2097/D2097,0)</f>
        <v>6.025</v>
      </c>
    </row>
    <row r="2098" customFormat="false" ht="15" hidden="false" customHeight="false" outlineLevel="0" collapsed="false">
      <c r="A2098" s="28" t="n">
        <v>2022</v>
      </c>
      <c r="B2098" s="28" t="s">
        <v>102</v>
      </c>
      <c r="C2098" s="28" t="s">
        <v>45</v>
      </c>
      <c r="D2098" s="28" t="n">
        <v>54</v>
      </c>
      <c r="E2098" s="29" t="n">
        <v>26764800</v>
      </c>
      <c r="F2098" s="30" t="n">
        <v>362.56</v>
      </c>
      <c r="G2098" s="31" t="n">
        <f aca="false">IFERROR(F2098/D2098,0)</f>
        <v>6.71407407407407</v>
      </c>
    </row>
    <row r="2099" customFormat="false" ht="15" hidden="false" customHeight="false" outlineLevel="0" collapsed="false">
      <c r="A2099" s="28" t="n">
        <v>2022</v>
      </c>
      <c r="B2099" s="28" t="s">
        <v>102</v>
      </c>
      <c r="C2099" s="28" t="s">
        <v>56</v>
      </c>
      <c r="D2099" s="28" t="n">
        <v>2</v>
      </c>
      <c r="E2099" s="29" t="n">
        <v>35000</v>
      </c>
      <c r="F2099" s="30" t="n">
        <v>14.74</v>
      </c>
      <c r="G2099" s="31" t="n">
        <f aca="false">IFERROR(F2099/D2099,0)</f>
        <v>7.37</v>
      </c>
    </row>
    <row r="2100" customFormat="false" ht="15" hidden="false" customHeight="false" outlineLevel="0" collapsed="false">
      <c r="A2100" s="28" t="n">
        <v>2022</v>
      </c>
      <c r="B2100" s="28" t="s">
        <v>102</v>
      </c>
      <c r="C2100" s="28" t="s">
        <v>54</v>
      </c>
      <c r="D2100" s="28" t="n">
        <v>8</v>
      </c>
      <c r="E2100" s="29" t="n">
        <v>5020000</v>
      </c>
      <c r="F2100" s="30" t="n">
        <v>44.76</v>
      </c>
      <c r="G2100" s="31" t="n">
        <f aca="false">IFERROR(F2100/D2100,0)</f>
        <v>5.595</v>
      </c>
    </row>
    <row r="2101" customFormat="false" ht="15" hidden="false" customHeight="false" outlineLevel="0" collapsed="false">
      <c r="A2101" s="28" t="n">
        <v>2022</v>
      </c>
      <c r="B2101" s="28" t="s">
        <v>102</v>
      </c>
      <c r="C2101" s="28" t="s">
        <v>44</v>
      </c>
      <c r="D2101" s="28" t="n">
        <v>33</v>
      </c>
      <c r="E2101" s="29" t="n">
        <v>12429300</v>
      </c>
      <c r="F2101" s="30" t="n">
        <v>180.83</v>
      </c>
      <c r="G2101" s="31" t="n">
        <f aca="false">IFERROR(F2101/D2101,0)</f>
        <v>5.47969696969697</v>
      </c>
    </row>
    <row r="2102" customFormat="false" ht="15" hidden="false" customHeight="false" outlineLevel="0" collapsed="false">
      <c r="A2102" s="28" t="n">
        <v>2022</v>
      </c>
      <c r="B2102" s="28" t="s">
        <v>102</v>
      </c>
      <c r="C2102" s="28" t="s">
        <v>57</v>
      </c>
      <c r="D2102" s="28" t="n">
        <v>5</v>
      </c>
      <c r="E2102" s="29" t="n">
        <v>2753100</v>
      </c>
      <c r="F2102" s="30" t="n">
        <v>30.02</v>
      </c>
      <c r="G2102" s="31" t="n">
        <f aca="false">IFERROR(F2102/D2102,0)</f>
        <v>6.004</v>
      </c>
    </row>
    <row r="2103" customFormat="false" ht="15" hidden="false" customHeight="false" outlineLevel="0" collapsed="false">
      <c r="A2103" s="28" t="n">
        <v>2022</v>
      </c>
      <c r="B2103" s="28" t="s">
        <v>102</v>
      </c>
      <c r="C2103" s="28" t="s">
        <v>47</v>
      </c>
      <c r="D2103" s="28" t="n">
        <v>24</v>
      </c>
      <c r="E2103" s="29" t="n">
        <v>14727700</v>
      </c>
      <c r="F2103" s="30" t="n">
        <v>137.68</v>
      </c>
      <c r="G2103" s="31" t="n">
        <f aca="false">IFERROR(F2103/D2103,0)</f>
        <v>5.73666666666667</v>
      </c>
    </row>
    <row r="2104" customFormat="false" ht="15" hidden="false" customHeight="false" outlineLevel="0" collapsed="false">
      <c r="A2104" s="28" t="n">
        <v>2022</v>
      </c>
      <c r="B2104" s="28" t="s">
        <v>102</v>
      </c>
      <c r="C2104" s="28" t="s">
        <v>58</v>
      </c>
      <c r="D2104" s="28" t="n">
        <v>1</v>
      </c>
      <c r="E2104" s="29" t="n">
        <v>1000000</v>
      </c>
      <c r="F2104" s="30" t="n">
        <v>4.75</v>
      </c>
      <c r="G2104" s="31" t="n">
        <f aca="false">IFERROR(F2104/D2104,0)</f>
        <v>4.75</v>
      </c>
    </row>
    <row r="2105" customFormat="false" ht="15" hidden="false" customHeight="false" outlineLevel="0" collapsed="false">
      <c r="A2105" s="28" t="n">
        <v>2022</v>
      </c>
      <c r="B2105" s="28" t="s">
        <v>102</v>
      </c>
      <c r="C2105" s="28" t="s">
        <v>46</v>
      </c>
      <c r="D2105" s="28" t="n">
        <v>48</v>
      </c>
      <c r="E2105" s="29" t="n">
        <v>21250900</v>
      </c>
      <c r="F2105" s="30" t="n">
        <v>284.715</v>
      </c>
      <c r="G2105" s="31" t="n">
        <f aca="false">IFERROR(F2105/D2105,0)</f>
        <v>5.9315625</v>
      </c>
    </row>
    <row r="2106" customFormat="false" ht="15" hidden="false" customHeight="false" outlineLevel="0" collapsed="false">
      <c r="A2106" s="28" t="n">
        <v>2022</v>
      </c>
      <c r="B2106" s="28" t="s">
        <v>102</v>
      </c>
      <c r="C2106" s="28" t="s">
        <v>48</v>
      </c>
      <c r="D2106" s="28" t="n">
        <v>29</v>
      </c>
      <c r="E2106" s="29" t="n">
        <v>10091600</v>
      </c>
      <c r="F2106" s="30" t="n">
        <v>176.39</v>
      </c>
      <c r="G2106" s="31" t="n">
        <f aca="false">IFERROR(F2106/D2106,0)</f>
        <v>6.08241379310345</v>
      </c>
    </row>
    <row r="2107" customFormat="false" ht="15" hidden="false" customHeight="false" outlineLevel="0" collapsed="false">
      <c r="A2107" s="28" t="n">
        <v>2022</v>
      </c>
      <c r="B2107" s="28" t="s">
        <v>102</v>
      </c>
      <c r="C2107" s="28" t="s">
        <v>53</v>
      </c>
      <c r="D2107" s="28" t="n">
        <v>7</v>
      </c>
      <c r="E2107" s="29" t="n">
        <v>2993900</v>
      </c>
      <c r="F2107" s="30" t="n">
        <v>45.13</v>
      </c>
      <c r="G2107" s="31" t="n">
        <f aca="false">IFERROR(F2107/D2107,0)</f>
        <v>6.44714285714286</v>
      </c>
    </row>
    <row r="2108" customFormat="false" ht="15" hidden="false" customHeight="false" outlineLevel="0" collapsed="false">
      <c r="A2108" s="28" t="n">
        <v>2022</v>
      </c>
      <c r="B2108" s="28" t="s">
        <v>102</v>
      </c>
      <c r="C2108" s="28" t="s">
        <v>43</v>
      </c>
      <c r="D2108" s="28" t="n">
        <v>41</v>
      </c>
      <c r="E2108" s="29" t="n">
        <v>23589300</v>
      </c>
      <c r="F2108" s="30" t="n">
        <v>232.055</v>
      </c>
      <c r="G2108" s="31" t="n">
        <f aca="false">IFERROR(F2108/D2108,0)</f>
        <v>5.65987804878049</v>
      </c>
    </row>
    <row r="2109" customFormat="false" ht="15" hidden="false" customHeight="false" outlineLevel="0" collapsed="false">
      <c r="A2109" s="28" t="n">
        <v>2022</v>
      </c>
      <c r="B2109" s="28" t="s">
        <v>102</v>
      </c>
      <c r="C2109" s="28" t="s">
        <v>52</v>
      </c>
      <c r="D2109" s="28" t="n">
        <v>21</v>
      </c>
      <c r="E2109" s="29" t="n">
        <v>1889100</v>
      </c>
      <c r="F2109" s="30" t="n">
        <v>130.13</v>
      </c>
      <c r="G2109" s="31" t="n">
        <f aca="false">IFERROR(F2109/D2109,0)</f>
        <v>6.19666666666667</v>
      </c>
    </row>
    <row r="2110" customFormat="false" ht="15" hidden="false" customHeight="false" outlineLevel="0" collapsed="false">
      <c r="A2110" s="28" t="n">
        <v>2022</v>
      </c>
      <c r="B2110" s="28" t="s">
        <v>102</v>
      </c>
      <c r="C2110" s="28" t="s">
        <v>49</v>
      </c>
      <c r="D2110" s="28" t="n">
        <v>10</v>
      </c>
      <c r="E2110" s="29" t="n">
        <v>8228000</v>
      </c>
      <c r="F2110" s="30" t="n">
        <v>75.49</v>
      </c>
      <c r="G2110" s="31" t="n">
        <f aca="false">IFERROR(F2110/D2110,0)</f>
        <v>7.549</v>
      </c>
    </row>
    <row r="2111" customFormat="false" ht="15" hidden="false" customHeight="false" outlineLevel="0" collapsed="false">
      <c r="A2111" s="28" t="n">
        <v>2022</v>
      </c>
      <c r="B2111" s="28" t="s">
        <v>104</v>
      </c>
      <c r="C2111" s="28" t="s">
        <v>42</v>
      </c>
      <c r="D2111" s="28" t="n">
        <v>69</v>
      </c>
      <c r="E2111" s="29" t="n">
        <v>107288100</v>
      </c>
      <c r="F2111" s="30" t="n">
        <v>424.93</v>
      </c>
      <c r="G2111" s="31" t="n">
        <f aca="false">IFERROR(F2111/D2111,0)</f>
        <v>6.15840579710145</v>
      </c>
    </row>
    <row r="2112" customFormat="false" ht="15" hidden="false" customHeight="false" outlineLevel="0" collapsed="false">
      <c r="A2112" s="28" t="n">
        <v>2022</v>
      </c>
      <c r="B2112" s="28" t="s">
        <v>104</v>
      </c>
      <c r="C2112" s="28" t="s">
        <v>50</v>
      </c>
      <c r="D2112" s="28" t="n">
        <v>15</v>
      </c>
      <c r="E2112" s="29" t="n">
        <v>4722900</v>
      </c>
      <c r="F2112" s="30" t="n">
        <v>99.65</v>
      </c>
      <c r="G2112" s="31" t="n">
        <f aca="false">IFERROR(F2112/D2112,0)</f>
        <v>6.64333333333333</v>
      </c>
    </row>
    <row r="2113" customFormat="false" ht="15" hidden="false" customHeight="false" outlineLevel="0" collapsed="false">
      <c r="A2113" s="28" t="n">
        <v>2022</v>
      </c>
      <c r="B2113" s="28" t="s">
        <v>104</v>
      </c>
      <c r="C2113" s="28" t="s">
        <v>55</v>
      </c>
      <c r="D2113" s="28" t="n">
        <v>2</v>
      </c>
      <c r="E2113" s="29" t="n">
        <v>1345000</v>
      </c>
      <c r="F2113" s="30" t="n">
        <v>12.55</v>
      </c>
      <c r="G2113" s="31" t="n">
        <f aca="false">IFERROR(F2113/D2113,0)</f>
        <v>6.275</v>
      </c>
    </row>
    <row r="2114" customFormat="false" ht="15" hidden="false" customHeight="false" outlineLevel="0" collapsed="false">
      <c r="A2114" s="28" t="n">
        <v>2022</v>
      </c>
      <c r="B2114" s="28" t="s">
        <v>104</v>
      </c>
      <c r="C2114" s="28" t="s">
        <v>51</v>
      </c>
      <c r="D2114" s="28" t="n">
        <v>18</v>
      </c>
      <c r="E2114" s="29" t="n">
        <v>14242500</v>
      </c>
      <c r="F2114" s="30" t="n">
        <v>113.75</v>
      </c>
      <c r="G2114" s="31" t="n">
        <f aca="false">IFERROR(F2114/D2114,0)</f>
        <v>6.31944444444445</v>
      </c>
    </row>
    <row r="2115" customFormat="false" ht="15" hidden="false" customHeight="false" outlineLevel="0" collapsed="false">
      <c r="A2115" s="28" t="n">
        <v>2022</v>
      </c>
      <c r="B2115" s="28" t="s">
        <v>104</v>
      </c>
      <c r="C2115" s="28" t="s">
        <v>45</v>
      </c>
      <c r="D2115" s="28" t="n">
        <v>28</v>
      </c>
      <c r="E2115" s="29" t="n">
        <v>20653500</v>
      </c>
      <c r="F2115" s="30" t="n">
        <v>196.6</v>
      </c>
      <c r="G2115" s="31" t="n">
        <f aca="false">IFERROR(F2115/D2115,0)</f>
        <v>7.02142857142857</v>
      </c>
    </row>
    <row r="2116" customFormat="false" ht="15" hidden="false" customHeight="false" outlineLevel="0" collapsed="false">
      <c r="A2116" s="28" t="n">
        <v>2022</v>
      </c>
      <c r="B2116" s="28" t="s">
        <v>104</v>
      </c>
      <c r="C2116" s="28" t="s">
        <v>56</v>
      </c>
      <c r="D2116" s="28" t="n">
        <v>6</v>
      </c>
      <c r="E2116" s="29" t="n">
        <v>4489600</v>
      </c>
      <c r="F2116" s="30" t="n">
        <v>31.65</v>
      </c>
      <c r="G2116" s="31" t="n">
        <f aca="false">IFERROR(F2116/D2116,0)</f>
        <v>5.275</v>
      </c>
    </row>
    <row r="2117" customFormat="false" ht="15" hidden="false" customHeight="false" outlineLevel="0" collapsed="false">
      <c r="A2117" s="28" t="n">
        <v>2022</v>
      </c>
      <c r="B2117" s="28" t="s">
        <v>104</v>
      </c>
      <c r="C2117" s="28" t="s">
        <v>54</v>
      </c>
      <c r="D2117" s="28" t="n">
        <v>2</v>
      </c>
      <c r="E2117" s="29" t="n">
        <v>1870000</v>
      </c>
      <c r="F2117" s="30" t="n">
        <v>11.99</v>
      </c>
      <c r="G2117" s="31" t="n">
        <f aca="false">IFERROR(F2117/D2117,0)</f>
        <v>5.995</v>
      </c>
    </row>
    <row r="2118" customFormat="false" ht="15" hidden="false" customHeight="false" outlineLevel="0" collapsed="false">
      <c r="A2118" s="28" t="n">
        <v>2022</v>
      </c>
      <c r="B2118" s="28" t="s">
        <v>104</v>
      </c>
      <c r="C2118" s="28" t="s">
        <v>44</v>
      </c>
      <c r="D2118" s="28" t="n">
        <v>31</v>
      </c>
      <c r="E2118" s="29" t="n">
        <v>16275400</v>
      </c>
      <c r="F2118" s="30" t="n">
        <v>222.58</v>
      </c>
      <c r="G2118" s="31" t="n">
        <f aca="false">IFERROR(F2118/D2118,0)</f>
        <v>7.18</v>
      </c>
    </row>
    <row r="2119" customFormat="false" ht="15" hidden="false" customHeight="false" outlineLevel="0" collapsed="false">
      <c r="A2119" s="28" t="n">
        <v>2022</v>
      </c>
      <c r="B2119" s="28" t="s">
        <v>104</v>
      </c>
      <c r="C2119" s="28" t="s">
        <v>57</v>
      </c>
      <c r="D2119" s="28" t="n">
        <v>2</v>
      </c>
      <c r="E2119" s="29" t="n">
        <v>6966800</v>
      </c>
      <c r="F2119" s="30" t="n">
        <v>12.75</v>
      </c>
      <c r="G2119" s="31" t="n">
        <f aca="false">IFERROR(F2119/D2119,0)</f>
        <v>6.375</v>
      </c>
    </row>
    <row r="2120" customFormat="false" ht="15" hidden="false" customHeight="false" outlineLevel="0" collapsed="false">
      <c r="A2120" s="28" t="n">
        <v>2022</v>
      </c>
      <c r="B2120" s="28" t="s">
        <v>104</v>
      </c>
      <c r="C2120" s="28" t="s">
        <v>47</v>
      </c>
      <c r="D2120" s="28" t="n">
        <v>16</v>
      </c>
      <c r="E2120" s="29" t="n">
        <v>7839500</v>
      </c>
      <c r="F2120" s="30" t="n">
        <v>104.76</v>
      </c>
      <c r="G2120" s="31" t="n">
        <f aca="false">IFERROR(F2120/D2120,0)</f>
        <v>6.5475</v>
      </c>
    </row>
    <row r="2121" customFormat="false" ht="15" hidden="false" customHeight="false" outlineLevel="0" collapsed="false">
      <c r="A2121" s="28" t="n">
        <v>2022</v>
      </c>
      <c r="B2121" s="28" t="s">
        <v>104</v>
      </c>
      <c r="C2121" s="28" t="s">
        <v>58</v>
      </c>
      <c r="D2121" s="28" t="n">
        <v>2</v>
      </c>
      <c r="E2121" s="29" t="n">
        <v>8600000</v>
      </c>
      <c r="F2121" s="30" t="n">
        <v>12.25</v>
      </c>
      <c r="G2121" s="31" t="n">
        <f aca="false">IFERROR(F2121/D2121,0)</f>
        <v>6.125</v>
      </c>
    </row>
    <row r="2122" customFormat="false" ht="15" hidden="false" customHeight="false" outlineLevel="0" collapsed="false">
      <c r="A2122" s="28" t="n">
        <v>2022</v>
      </c>
      <c r="B2122" s="28" t="s">
        <v>104</v>
      </c>
      <c r="C2122" s="28" t="s">
        <v>46</v>
      </c>
      <c r="D2122" s="28" t="n">
        <v>25</v>
      </c>
      <c r="E2122" s="29" t="n">
        <v>10698600</v>
      </c>
      <c r="F2122" s="30" t="n">
        <v>157.13</v>
      </c>
      <c r="G2122" s="31" t="n">
        <f aca="false">IFERROR(F2122/D2122,0)</f>
        <v>6.2852</v>
      </c>
    </row>
    <row r="2123" customFormat="false" ht="15" hidden="false" customHeight="false" outlineLevel="0" collapsed="false">
      <c r="A2123" s="28" t="n">
        <v>2022</v>
      </c>
      <c r="B2123" s="28" t="s">
        <v>104</v>
      </c>
      <c r="C2123" s="28" t="s">
        <v>48</v>
      </c>
      <c r="D2123" s="28" t="n">
        <v>20</v>
      </c>
      <c r="E2123" s="29" t="n">
        <v>10314000</v>
      </c>
      <c r="F2123" s="30" t="n">
        <v>132.4</v>
      </c>
      <c r="G2123" s="31" t="n">
        <f aca="false">IFERROR(F2123/D2123,0)</f>
        <v>6.62</v>
      </c>
    </row>
    <row r="2124" customFormat="false" ht="15" hidden="false" customHeight="false" outlineLevel="0" collapsed="false">
      <c r="A2124" s="28" t="n">
        <v>2022</v>
      </c>
      <c r="B2124" s="28" t="s">
        <v>104</v>
      </c>
      <c r="C2124" s="28" t="s">
        <v>53</v>
      </c>
      <c r="D2124" s="28" t="n">
        <v>12</v>
      </c>
      <c r="E2124" s="29" t="n">
        <v>16442200</v>
      </c>
      <c r="F2124" s="30" t="n">
        <v>69.95</v>
      </c>
      <c r="G2124" s="31" t="n">
        <f aca="false">IFERROR(F2124/D2124,0)</f>
        <v>5.82916666666667</v>
      </c>
    </row>
    <row r="2125" customFormat="false" ht="15" hidden="false" customHeight="false" outlineLevel="0" collapsed="false">
      <c r="A2125" s="28" t="n">
        <v>2022</v>
      </c>
      <c r="B2125" s="28" t="s">
        <v>104</v>
      </c>
      <c r="C2125" s="28" t="s">
        <v>43</v>
      </c>
      <c r="D2125" s="28" t="n">
        <v>37</v>
      </c>
      <c r="E2125" s="29" t="n">
        <v>21772100</v>
      </c>
      <c r="F2125" s="30" t="n">
        <v>239</v>
      </c>
      <c r="G2125" s="31" t="n">
        <f aca="false">IFERROR(F2125/D2125,0)</f>
        <v>6.45945945945946</v>
      </c>
    </row>
    <row r="2126" customFormat="false" ht="15" hidden="false" customHeight="false" outlineLevel="0" collapsed="false">
      <c r="A2126" s="28" t="n">
        <v>2022</v>
      </c>
      <c r="B2126" s="28" t="s">
        <v>104</v>
      </c>
      <c r="C2126" s="28" t="s">
        <v>52</v>
      </c>
      <c r="D2126" s="28" t="n">
        <v>15</v>
      </c>
      <c r="E2126" s="29" t="n">
        <v>2584200</v>
      </c>
      <c r="F2126" s="30" t="n">
        <v>110.43</v>
      </c>
      <c r="G2126" s="31" t="n">
        <f aca="false">IFERROR(F2126/D2126,0)</f>
        <v>7.362</v>
      </c>
    </row>
    <row r="2127" customFormat="false" ht="15" hidden="false" customHeight="false" outlineLevel="0" collapsed="false">
      <c r="A2127" s="28" t="n">
        <v>2022</v>
      </c>
      <c r="B2127" s="28" t="s">
        <v>104</v>
      </c>
      <c r="C2127" s="28" t="s">
        <v>60</v>
      </c>
      <c r="D2127" s="28" t="n">
        <v>2</v>
      </c>
      <c r="E2127" s="29" t="n">
        <v>2400000</v>
      </c>
      <c r="F2127" s="30" t="n">
        <v>13.75</v>
      </c>
      <c r="G2127" s="31" t="n">
        <f aca="false">IFERROR(F2127/D2127,0)</f>
        <v>6.875</v>
      </c>
    </row>
    <row r="2128" customFormat="false" ht="15" hidden="false" customHeight="false" outlineLevel="0" collapsed="false">
      <c r="A2128" s="28" t="n">
        <v>2022</v>
      </c>
      <c r="B2128" s="28" t="s">
        <v>104</v>
      </c>
      <c r="C2128" s="28" t="s">
        <v>49</v>
      </c>
      <c r="D2128" s="28" t="n">
        <v>6</v>
      </c>
      <c r="E2128" s="29" t="n">
        <v>3593000</v>
      </c>
      <c r="F2128" s="30" t="n">
        <v>35.75</v>
      </c>
      <c r="G2128" s="31" t="n">
        <f aca="false">IFERROR(F2128/D2128,0)</f>
        <v>5.95833333333333</v>
      </c>
    </row>
    <row r="2129" customFormat="false" ht="15" hidden="false" customHeight="false" outlineLevel="0" collapsed="false">
      <c r="A2129" s="28" t="n">
        <v>2022</v>
      </c>
      <c r="B2129" s="28" t="s">
        <v>106</v>
      </c>
      <c r="C2129" s="28" t="s">
        <v>42</v>
      </c>
      <c r="D2129" s="28" t="n">
        <v>96</v>
      </c>
      <c r="E2129" s="29" t="n">
        <v>28769600</v>
      </c>
      <c r="F2129" s="30" t="n">
        <v>594.2</v>
      </c>
      <c r="G2129" s="31" t="n">
        <f aca="false">IFERROR(F2129/D2129,0)</f>
        <v>6.18958333333333</v>
      </c>
    </row>
    <row r="2130" customFormat="false" ht="15" hidden="false" customHeight="false" outlineLevel="0" collapsed="false">
      <c r="A2130" s="28" t="n">
        <v>2022</v>
      </c>
      <c r="B2130" s="28" t="s">
        <v>106</v>
      </c>
      <c r="C2130" s="28" t="s">
        <v>50</v>
      </c>
      <c r="D2130" s="28" t="n">
        <v>81</v>
      </c>
      <c r="E2130" s="29" t="n">
        <v>17102800</v>
      </c>
      <c r="F2130" s="30" t="n">
        <v>537.15</v>
      </c>
      <c r="G2130" s="31" t="n">
        <f aca="false">IFERROR(F2130/D2130,0)</f>
        <v>6.63148148148148</v>
      </c>
    </row>
    <row r="2131" customFormat="false" ht="15" hidden="false" customHeight="false" outlineLevel="0" collapsed="false">
      <c r="A2131" s="28" t="n">
        <v>2022</v>
      </c>
      <c r="B2131" s="28" t="s">
        <v>106</v>
      </c>
      <c r="C2131" s="28" t="s">
        <v>55</v>
      </c>
      <c r="D2131" s="28" t="n">
        <v>7</v>
      </c>
      <c r="E2131" s="29" t="n">
        <v>1615400</v>
      </c>
      <c r="F2131" s="30" t="n">
        <v>42.47</v>
      </c>
      <c r="G2131" s="31" t="n">
        <f aca="false">IFERROR(F2131/D2131,0)</f>
        <v>6.06714285714286</v>
      </c>
    </row>
    <row r="2132" customFormat="false" ht="15" hidden="false" customHeight="false" outlineLevel="0" collapsed="false">
      <c r="A2132" s="28" t="n">
        <v>2022</v>
      </c>
      <c r="B2132" s="28" t="s">
        <v>106</v>
      </c>
      <c r="C2132" s="28" t="s">
        <v>51</v>
      </c>
      <c r="D2132" s="28" t="n">
        <v>26</v>
      </c>
      <c r="E2132" s="29" t="n">
        <v>7715100</v>
      </c>
      <c r="F2132" s="30" t="n">
        <v>169.425</v>
      </c>
      <c r="G2132" s="31" t="n">
        <f aca="false">IFERROR(F2132/D2132,0)</f>
        <v>6.51634615384615</v>
      </c>
    </row>
    <row r="2133" customFormat="false" ht="15" hidden="false" customHeight="false" outlineLevel="0" collapsed="false">
      <c r="A2133" s="28" t="n">
        <v>2022</v>
      </c>
      <c r="B2133" s="28" t="s">
        <v>106</v>
      </c>
      <c r="C2133" s="28" t="s">
        <v>45</v>
      </c>
      <c r="D2133" s="28" t="n">
        <v>172</v>
      </c>
      <c r="E2133" s="29" t="n">
        <v>23986900</v>
      </c>
      <c r="F2133" s="30" t="n">
        <v>1123.555</v>
      </c>
      <c r="G2133" s="31" t="n">
        <f aca="false">IFERROR(F2133/D2133,0)</f>
        <v>6.53229651162791</v>
      </c>
    </row>
    <row r="2134" customFormat="false" ht="15" hidden="false" customHeight="false" outlineLevel="0" collapsed="false">
      <c r="A2134" s="28" t="n">
        <v>2022</v>
      </c>
      <c r="B2134" s="28" t="s">
        <v>106</v>
      </c>
      <c r="C2134" s="28" t="s">
        <v>56</v>
      </c>
      <c r="D2134" s="28" t="n">
        <v>13</v>
      </c>
      <c r="E2134" s="29" t="n">
        <v>7975000</v>
      </c>
      <c r="F2134" s="30" t="n">
        <v>82</v>
      </c>
      <c r="G2134" s="31" t="n">
        <f aca="false">IFERROR(F2134/D2134,0)</f>
        <v>6.30769230769231</v>
      </c>
    </row>
    <row r="2135" customFormat="false" ht="15" hidden="false" customHeight="false" outlineLevel="0" collapsed="false">
      <c r="A2135" s="28" t="n">
        <v>2022</v>
      </c>
      <c r="B2135" s="28" t="s">
        <v>106</v>
      </c>
      <c r="C2135" s="28" t="s">
        <v>54</v>
      </c>
      <c r="D2135" s="28" t="n">
        <v>15</v>
      </c>
      <c r="E2135" s="29" t="n">
        <v>12939400</v>
      </c>
      <c r="F2135" s="30" t="n">
        <v>98.93</v>
      </c>
      <c r="G2135" s="31" t="n">
        <f aca="false">IFERROR(F2135/D2135,0)</f>
        <v>6.59533333333333</v>
      </c>
    </row>
    <row r="2136" customFormat="false" ht="15" hidden="false" customHeight="false" outlineLevel="0" collapsed="false">
      <c r="A2136" s="28" t="n">
        <v>2022</v>
      </c>
      <c r="B2136" s="28" t="s">
        <v>106</v>
      </c>
      <c r="C2136" s="28" t="s">
        <v>44</v>
      </c>
      <c r="D2136" s="28" t="n">
        <v>71</v>
      </c>
      <c r="E2136" s="29" t="n">
        <v>29533100</v>
      </c>
      <c r="F2136" s="30" t="n">
        <v>436.72</v>
      </c>
      <c r="G2136" s="31" t="n">
        <f aca="false">IFERROR(F2136/D2136,0)</f>
        <v>6.15098591549296</v>
      </c>
    </row>
    <row r="2137" customFormat="false" ht="15" hidden="false" customHeight="false" outlineLevel="0" collapsed="false">
      <c r="A2137" s="28" t="n">
        <v>2022</v>
      </c>
      <c r="B2137" s="28" t="s">
        <v>106</v>
      </c>
      <c r="C2137" s="28" t="s">
        <v>57</v>
      </c>
      <c r="D2137" s="28" t="n">
        <v>6</v>
      </c>
      <c r="E2137" s="29" t="n">
        <v>4037500</v>
      </c>
      <c r="F2137" s="30" t="n">
        <v>41.99</v>
      </c>
      <c r="G2137" s="31" t="n">
        <f aca="false">IFERROR(F2137/D2137,0)</f>
        <v>6.99833333333333</v>
      </c>
    </row>
    <row r="2138" customFormat="false" ht="15" hidden="false" customHeight="false" outlineLevel="0" collapsed="false">
      <c r="A2138" s="28" t="n">
        <v>2022</v>
      </c>
      <c r="B2138" s="28" t="s">
        <v>106</v>
      </c>
      <c r="C2138" s="28" t="s">
        <v>47</v>
      </c>
      <c r="D2138" s="28" t="n">
        <v>76</v>
      </c>
      <c r="E2138" s="29" t="n">
        <v>27474600</v>
      </c>
      <c r="F2138" s="30" t="n">
        <v>480.35</v>
      </c>
      <c r="G2138" s="31" t="n">
        <f aca="false">IFERROR(F2138/D2138,0)</f>
        <v>6.32039473684211</v>
      </c>
    </row>
    <row r="2139" customFormat="false" ht="15" hidden="false" customHeight="false" outlineLevel="0" collapsed="false">
      <c r="A2139" s="28" t="n">
        <v>2022</v>
      </c>
      <c r="B2139" s="28" t="s">
        <v>106</v>
      </c>
      <c r="C2139" s="28" t="s">
        <v>46</v>
      </c>
      <c r="D2139" s="28" t="n">
        <v>95</v>
      </c>
      <c r="E2139" s="29" t="n">
        <v>27090400</v>
      </c>
      <c r="F2139" s="30" t="n">
        <v>637.7</v>
      </c>
      <c r="G2139" s="31" t="n">
        <f aca="false">IFERROR(F2139/D2139,0)</f>
        <v>6.71263157894737</v>
      </c>
    </row>
    <row r="2140" customFormat="false" ht="15" hidden="false" customHeight="false" outlineLevel="0" collapsed="false">
      <c r="A2140" s="28" t="n">
        <v>2022</v>
      </c>
      <c r="B2140" s="28" t="s">
        <v>106</v>
      </c>
      <c r="C2140" s="28" t="s">
        <v>48</v>
      </c>
      <c r="D2140" s="28" t="n">
        <v>116</v>
      </c>
      <c r="E2140" s="29" t="n">
        <v>22319000</v>
      </c>
      <c r="F2140" s="30" t="n">
        <v>721.01</v>
      </c>
      <c r="G2140" s="31" t="n">
        <f aca="false">IFERROR(F2140/D2140,0)</f>
        <v>6.21560344827586</v>
      </c>
    </row>
    <row r="2141" customFormat="false" ht="15" hidden="false" customHeight="false" outlineLevel="0" collapsed="false">
      <c r="A2141" s="28" t="n">
        <v>2022</v>
      </c>
      <c r="B2141" s="28" t="s">
        <v>106</v>
      </c>
      <c r="C2141" s="28" t="s">
        <v>53</v>
      </c>
      <c r="D2141" s="28" t="n">
        <v>30</v>
      </c>
      <c r="E2141" s="29" t="n">
        <v>17029700</v>
      </c>
      <c r="F2141" s="30" t="n">
        <v>200.03</v>
      </c>
      <c r="G2141" s="31" t="n">
        <f aca="false">IFERROR(F2141/D2141,0)</f>
        <v>6.66766666666667</v>
      </c>
    </row>
    <row r="2142" customFormat="false" ht="15" hidden="false" customHeight="false" outlineLevel="0" collapsed="false">
      <c r="A2142" s="28" t="n">
        <v>2022</v>
      </c>
      <c r="B2142" s="28" t="s">
        <v>106</v>
      </c>
      <c r="C2142" s="28" t="s">
        <v>43</v>
      </c>
      <c r="D2142" s="28" t="n">
        <v>114</v>
      </c>
      <c r="E2142" s="29" t="n">
        <v>36774000</v>
      </c>
      <c r="F2142" s="30" t="n">
        <v>723.46</v>
      </c>
      <c r="G2142" s="31" t="n">
        <f aca="false">IFERROR(F2142/D2142,0)</f>
        <v>6.34614035087719</v>
      </c>
    </row>
    <row r="2143" customFormat="false" ht="15" hidden="false" customHeight="false" outlineLevel="0" collapsed="false">
      <c r="A2143" s="28" t="n">
        <v>2022</v>
      </c>
      <c r="B2143" s="28" t="s">
        <v>106</v>
      </c>
      <c r="C2143" s="28" t="s">
        <v>52</v>
      </c>
      <c r="D2143" s="28" t="n">
        <v>31</v>
      </c>
      <c r="E2143" s="29" t="n">
        <v>9154200</v>
      </c>
      <c r="F2143" s="30" t="n">
        <v>206.66</v>
      </c>
      <c r="G2143" s="31" t="n">
        <f aca="false">IFERROR(F2143/D2143,0)</f>
        <v>6.66645161290323</v>
      </c>
    </row>
    <row r="2144" customFormat="false" ht="15" hidden="false" customHeight="false" outlineLevel="0" collapsed="false">
      <c r="A2144" s="28" t="n">
        <v>2022</v>
      </c>
      <c r="B2144" s="28" t="s">
        <v>106</v>
      </c>
      <c r="C2144" s="28" t="s">
        <v>60</v>
      </c>
      <c r="D2144" s="28" t="n">
        <v>5</v>
      </c>
      <c r="E2144" s="29" t="n">
        <v>388000</v>
      </c>
      <c r="F2144" s="30" t="n">
        <v>27.25</v>
      </c>
      <c r="G2144" s="31" t="n">
        <f aca="false">IFERROR(F2144/D2144,0)</f>
        <v>5.45</v>
      </c>
    </row>
    <row r="2145" customFormat="false" ht="15" hidden="false" customHeight="false" outlineLevel="0" collapsed="false">
      <c r="A2145" s="28" t="n">
        <v>2022</v>
      </c>
      <c r="B2145" s="28" t="s">
        <v>106</v>
      </c>
      <c r="C2145" s="28" t="s">
        <v>49</v>
      </c>
      <c r="D2145" s="28" t="n">
        <v>44</v>
      </c>
      <c r="E2145" s="29" t="n">
        <v>16577500</v>
      </c>
      <c r="F2145" s="30" t="n">
        <v>296.8</v>
      </c>
      <c r="G2145" s="31" t="n">
        <f aca="false">IFERROR(F2145/D2145,0)</f>
        <v>6.74545454545455</v>
      </c>
    </row>
    <row r="2146" customFormat="false" ht="15" hidden="false" customHeight="false" outlineLevel="0" collapsed="false">
      <c r="A2146" s="28" t="n">
        <v>2022</v>
      </c>
      <c r="B2146" s="28" t="s">
        <v>107</v>
      </c>
      <c r="C2146" s="28" t="s">
        <v>42</v>
      </c>
      <c r="D2146" s="28" t="n">
        <v>72</v>
      </c>
      <c r="E2146" s="29" t="n">
        <v>37599900</v>
      </c>
      <c r="F2146" s="30" t="n">
        <v>494.38</v>
      </c>
      <c r="G2146" s="31" t="n">
        <f aca="false">IFERROR(F2146/D2146,0)</f>
        <v>6.86638888888889</v>
      </c>
    </row>
    <row r="2147" customFormat="false" ht="15" hidden="false" customHeight="false" outlineLevel="0" collapsed="false">
      <c r="A2147" s="28" t="n">
        <v>2022</v>
      </c>
      <c r="B2147" s="28" t="s">
        <v>107</v>
      </c>
      <c r="C2147" s="28" t="s">
        <v>50</v>
      </c>
      <c r="D2147" s="28" t="n">
        <v>32</v>
      </c>
      <c r="E2147" s="29" t="n">
        <v>15290000</v>
      </c>
      <c r="F2147" s="30" t="n">
        <v>229.69</v>
      </c>
      <c r="G2147" s="31" t="n">
        <f aca="false">IFERROR(F2147/D2147,0)</f>
        <v>7.1778125</v>
      </c>
    </row>
    <row r="2148" customFormat="false" ht="15" hidden="false" customHeight="false" outlineLevel="0" collapsed="false">
      <c r="A2148" s="28" t="n">
        <v>2022</v>
      </c>
      <c r="B2148" s="28" t="s">
        <v>107</v>
      </c>
      <c r="C2148" s="28" t="s">
        <v>55</v>
      </c>
      <c r="D2148" s="28" t="n">
        <v>11</v>
      </c>
      <c r="E2148" s="29" t="n">
        <v>6667600</v>
      </c>
      <c r="F2148" s="30" t="n">
        <v>85.35</v>
      </c>
      <c r="G2148" s="31" t="n">
        <f aca="false">IFERROR(F2148/D2148,0)</f>
        <v>7.75909090909091</v>
      </c>
    </row>
    <row r="2149" customFormat="false" ht="15" hidden="false" customHeight="false" outlineLevel="0" collapsed="false">
      <c r="A2149" s="28" t="n">
        <v>2022</v>
      </c>
      <c r="B2149" s="28" t="s">
        <v>107</v>
      </c>
      <c r="C2149" s="28" t="s">
        <v>51</v>
      </c>
      <c r="D2149" s="28" t="n">
        <v>17</v>
      </c>
      <c r="E2149" s="29" t="n">
        <v>11423700</v>
      </c>
      <c r="F2149" s="30" t="n">
        <v>113.44</v>
      </c>
      <c r="G2149" s="31" t="n">
        <f aca="false">IFERROR(F2149/D2149,0)</f>
        <v>6.67294117647059</v>
      </c>
    </row>
    <row r="2150" customFormat="false" ht="15" hidden="false" customHeight="false" outlineLevel="0" collapsed="false">
      <c r="A2150" s="28" t="n">
        <v>2022</v>
      </c>
      <c r="B2150" s="28" t="s">
        <v>107</v>
      </c>
      <c r="C2150" s="28" t="s">
        <v>45</v>
      </c>
      <c r="D2150" s="28" t="n">
        <v>70</v>
      </c>
      <c r="E2150" s="29" t="n">
        <v>27896800</v>
      </c>
      <c r="F2150" s="30" t="n">
        <v>504.25</v>
      </c>
      <c r="G2150" s="31" t="n">
        <f aca="false">IFERROR(F2150/D2150,0)</f>
        <v>7.20357142857143</v>
      </c>
    </row>
    <row r="2151" customFormat="false" ht="15" hidden="false" customHeight="false" outlineLevel="0" collapsed="false">
      <c r="A2151" s="28" t="n">
        <v>2022</v>
      </c>
      <c r="B2151" s="28" t="s">
        <v>107</v>
      </c>
      <c r="C2151" s="28" t="s">
        <v>56</v>
      </c>
      <c r="D2151" s="28" t="n">
        <v>11</v>
      </c>
      <c r="E2151" s="29" t="n">
        <v>1595000</v>
      </c>
      <c r="F2151" s="30" t="n">
        <v>83.5</v>
      </c>
      <c r="G2151" s="31" t="n">
        <f aca="false">IFERROR(F2151/D2151,0)</f>
        <v>7.59090909090909</v>
      </c>
    </row>
    <row r="2152" customFormat="false" ht="15" hidden="false" customHeight="false" outlineLevel="0" collapsed="false">
      <c r="A2152" s="28" t="n">
        <v>2022</v>
      </c>
      <c r="B2152" s="28" t="s">
        <v>107</v>
      </c>
      <c r="C2152" s="28" t="s">
        <v>54</v>
      </c>
      <c r="D2152" s="28" t="n">
        <v>24</v>
      </c>
      <c r="E2152" s="29" t="n">
        <v>6068800</v>
      </c>
      <c r="F2152" s="30" t="n">
        <v>179.05</v>
      </c>
      <c r="G2152" s="31" t="n">
        <f aca="false">IFERROR(F2152/D2152,0)</f>
        <v>7.46041666666667</v>
      </c>
    </row>
    <row r="2153" customFormat="false" ht="15" hidden="false" customHeight="false" outlineLevel="0" collapsed="false">
      <c r="A2153" s="28" t="n">
        <v>2022</v>
      </c>
      <c r="B2153" s="28" t="s">
        <v>107</v>
      </c>
      <c r="C2153" s="28" t="s">
        <v>44</v>
      </c>
      <c r="D2153" s="28" t="n">
        <v>84</v>
      </c>
      <c r="E2153" s="29" t="n">
        <v>33331700</v>
      </c>
      <c r="F2153" s="30" t="n">
        <v>565.42</v>
      </c>
      <c r="G2153" s="31" t="n">
        <f aca="false">IFERROR(F2153/D2153,0)</f>
        <v>6.73119047619048</v>
      </c>
    </row>
    <row r="2154" customFormat="false" ht="15" hidden="false" customHeight="false" outlineLevel="0" collapsed="false">
      <c r="A2154" s="28" t="n">
        <v>2022</v>
      </c>
      <c r="B2154" s="28" t="s">
        <v>107</v>
      </c>
      <c r="C2154" s="28" t="s">
        <v>57</v>
      </c>
      <c r="D2154" s="28" t="n">
        <v>13</v>
      </c>
      <c r="E2154" s="29" t="n">
        <v>5492000</v>
      </c>
      <c r="F2154" s="30" t="n">
        <v>84</v>
      </c>
      <c r="G2154" s="31" t="n">
        <f aca="false">IFERROR(F2154/D2154,0)</f>
        <v>6.46153846153846</v>
      </c>
    </row>
    <row r="2155" customFormat="false" ht="15" hidden="false" customHeight="false" outlineLevel="0" collapsed="false">
      <c r="A2155" s="28" t="n">
        <v>2022</v>
      </c>
      <c r="B2155" s="28" t="s">
        <v>107</v>
      </c>
      <c r="C2155" s="28" t="s">
        <v>47</v>
      </c>
      <c r="D2155" s="28" t="n">
        <v>41</v>
      </c>
      <c r="E2155" s="29" t="n">
        <v>40895800</v>
      </c>
      <c r="F2155" s="30" t="n">
        <v>272.26</v>
      </c>
      <c r="G2155" s="31" t="n">
        <f aca="false">IFERROR(F2155/D2155,0)</f>
        <v>6.64048780487805</v>
      </c>
    </row>
    <row r="2156" customFormat="false" ht="15" hidden="false" customHeight="false" outlineLevel="0" collapsed="false">
      <c r="A2156" s="28" t="n">
        <v>2022</v>
      </c>
      <c r="B2156" s="28" t="s">
        <v>107</v>
      </c>
      <c r="C2156" s="28" t="s">
        <v>46</v>
      </c>
      <c r="D2156" s="28" t="n">
        <v>41</v>
      </c>
      <c r="E2156" s="29" t="n">
        <v>15944500</v>
      </c>
      <c r="F2156" s="30" t="n">
        <v>303.9</v>
      </c>
      <c r="G2156" s="31" t="n">
        <f aca="false">IFERROR(F2156/D2156,0)</f>
        <v>7.41219512195122</v>
      </c>
    </row>
    <row r="2157" customFormat="false" ht="15" hidden="false" customHeight="false" outlineLevel="0" collapsed="false">
      <c r="A2157" s="28" t="n">
        <v>2022</v>
      </c>
      <c r="B2157" s="28" t="s">
        <v>107</v>
      </c>
      <c r="C2157" s="28" t="s">
        <v>48</v>
      </c>
      <c r="D2157" s="28" t="n">
        <v>90</v>
      </c>
      <c r="E2157" s="29" t="n">
        <v>39564000</v>
      </c>
      <c r="F2157" s="30" t="n">
        <v>638.81</v>
      </c>
      <c r="G2157" s="31" t="n">
        <f aca="false">IFERROR(F2157/D2157,0)</f>
        <v>7.09788888888889</v>
      </c>
    </row>
    <row r="2158" customFormat="false" ht="15" hidden="false" customHeight="false" outlineLevel="0" collapsed="false">
      <c r="A2158" s="28" t="n">
        <v>2022</v>
      </c>
      <c r="B2158" s="28" t="s">
        <v>107</v>
      </c>
      <c r="C2158" s="28" t="s">
        <v>53</v>
      </c>
      <c r="D2158" s="28" t="n">
        <v>20</v>
      </c>
      <c r="E2158" s="29" t="n">
        <v>13265200</v>
      </c>
      <c r="F2158" s="30" t="n">
        <v>156.65</v>
      </c>
      <c r="G2158" s="31" t="n">
        <f aca="false">IFERROR(F2158/D2158,0)</f>
        <v>7.8325</v>
      </c>
    </row>
    <row r="2159" customFormat="false" ht="15" hidden="false" customHeight="false" outlineLevel="0" collapsed="false">
      <c r="A2159" s="28" t="n">
        <v>2022</v>
      </c>
      <c r="B2159" s="28" t="s">
        <v>107</v>
      </c>
      <c r="C2159" s="28" t="s">
        <v>43</v>
      </c>
      <c r="D2159" s="28" t="n">
        <v>77</v>
      </c>
      <c r="E2159" s="29" t="n">
        <v>34414400</v>
      </c>
      <c r="F2159" s="30" t="n">
        <v>552.11</v>
      </c>
      <c r="G2159" s="31" t="n">
        <f aca="false">IFERROR(F2159/D2159,0)</f>
        <v>7.17025974025974</v>
      </c>
    </row>
    <row r="2160" customFormat="false" ht="15" hidden="false" customHeight="false" outlineLevel="0" collapsed="false">
      <c r="A2160" s="28" t="n">
        <v>2022</v>
      </c>
      <c r="B2160" s="28" t="s">
        <v>107</v>
      </c>
      <c r="C2160" s="28" t="s">
        <v>52</v>
      </c>
      <c r="D2160" s="28" t="n">
        <v>45</v>
      </c>
      <c r="E2160" s="29" t="n">
        <v>8847700</v>
      </c>
      <c r="F2160" s="30" t="n">
        <v>345.96</v>
      </c>
      <c r="G2160" s="31" t="n">
        <f aca="false">IFERROR(F2160/D2160,0)</f>
        <v>7.688</v>
      </c>
    </row>
    <row r="2161" customFormat="false" ht="15" hidden="false" customHeight="false" outlineLevel="0" collapsed="false">
      <c r="A2161" s="28" t="n">
        <v>2022</v>
      </c>
      <c r="B2161" s="28" t="s">
        <v>107</v>
      </c>
      <c r="C2161" s="28" t="s">
        <v>60</v>
      </c>
      <c r="D2161" s="28" t="n">
        <v>1</v>
      </c>
      <c r="E2161" s="29" t="n">
        <v>30000</v>
      </c>
      <c r="F2161" s="30" t="n">
        <v>9.75</v>
      </c>
      <c r="G2161" s="31" t="n">
        <f aca="false">IFERROR(F2161/D2161,0)</f>
        <v>9.75</v>
      </c>
    </row>
    <row r="2162" customFormat="false" ht="15" hidden="false" customHeight="false" outlineLevel="0" collapsed="false">
      <c r="A2162" s="28" t="n">
        <v>2022</v>
      </c>
      <c r="B2162" s="28" t="s">
        <v>107</v>
      </c>
      <c r="C2162" s="28" t="s">
        <v>49</v>
      </c>
      <c r="D2162" s="28" t="n">
        <v>20</v>
      </c>
      <c r="E2162" s="29" t="n">
        <v>9499000</v>
      </c>
      <c r="F2162" s="30" t="n">
        <v>143.25</v>
      </c>
      <c r="G2162" s="31" t="n">
        <f aca="false">IFERROR(F2162/D2162,0)</f>
        <v>7.1625</v>
      </c>
    </row>
    <row r="2163" customFormat="false" ht="15" hidden="false" customHeight="false" outlineLevel="0" collapsed="false">
      <c r="A2163" s="28" t="n">
        <v>2022</v>
      </c>
      <c r="B2163" s="28" t="s">
        <v>109</v>
      </c>
      <c r="C2163" s="28" t="s">
        <v>42</v>
      </c>
      <c r="D2163" s="28" t="n">
        <v>38</v>
      </c>
      <c r="E2163" s="29" t="n">
        <v>16447100</v>
      </c>
      <c r="F2163" s="30" t="n">
        <v>212.015</v>
      </c>
      <c r="G2163" s="31" t="n">
        <f aca="false">IFERROR(F2163/D2163,0)</f>
        <v>5.57934210526316</v>
      </c>
    </row>
    <row r="2164" customFormat="false" ht="15" hidden="false" customHeight="false" outlineLevel="0" collapsed="false">
      <c r="A2164" s="28" t="n">
        <v>2022</v>
      </c>
      <c r="B2164" s="28" t="s">
        <v>109</v>
      </c>
      <c r="C2164" s="28" t="s">
        <v>50</v>
      </c>
      <c r="D2164" s="28" t="n">
        <v>12</v>
      </c>
      <c r="E2164" s="29" t="n">
        <v>1070100</v>
      </c>
      <c r="F2164" s="30" t="n">
        <v>85.8</v>
      </c>
      <c r="G2164" s="31" t="n">
        <f aca="false">IFERROR(F2164/D2164,0)</f>
        <v>7.15</v>
      </c>
    </row>
    <row r="2165" customFormat="false" ht="15" hidden="false" customHeight="false" outlineLevel="0" collapsed="false">
      <c r="A2165" s="28" t="n">
        <v>2022</v>
      </c>
      <c r="B2165" s="28" t="s">
        <v>109</v>
      </c>
      <c r="C2165" s="28" t="s">
        <v>55</v>
      </c>
      <c r="D2165" s="28" t="n">
        <v>12</v>
      </c>
      <c r="E2165" s="29" t="n">
        <v>1075100</v>
      </c>
      <c r="F2165" s="30" t="n">
        <v>87.625</v>
      </c>
      <c r="G2165" s="31" t="n">
        <f aca="false">IFERROR(F2165/D2165,0)</f>
        <v>7.30208333333333</v>
      </c>
    </row>
    <row r="2166" customFormat="false" ht="15" hidden="false" customHeight="false" outlineLevel="0" collapsed="false">
      <c r="A2166" s="28" t="n">
        <v>2022</v>
      </c>
      <c r="B2166" s="28" t="s">
        <v>109</v>
      </c>
      <c r="C2166" s="28" t="s">
        <v>51</v>
      </c>
      <c r="D2166" s="28" t="n">
        <v>15</v>
      </c>
      <c r="E2166" s="29" t="n">
        <v>1821300</v>
      </c>
      <c r="F2166" s="30" t="n">
        <v>88.39</v>
      </c>
      <c r="G2166" s="31" t="n">
        <f aca="false">IFERROR(F2166/D2166,0)</f>
        <v>5.89266666666667</v>
      </c>
    </row>
    <row r="2167" customFormat="false" ht="15" hidden="false" customHeight="false" outlineLevel="0" collapsed="false">
      <c r="A2167" s="28" t="n">
        <v>2022</v>
      </c>
      <c r="B2167" s="28" t="s">
        <v>109</v>
      </c>
      <c r="C2167" s="28" t="s">
        <v>45</v>
      </c>
      <c r="D2167" s="28" t="n">
        <v>32</v>
      </c>
      <c r="E2167" s="29" t="n">
        <v>7549900</v>
      </c>
      <c r="F2167" s="30" t="n">
        <v>209.51</v>
      </c>
      <c r="G2167" s="31" t="n">
        <f aca="false">IFERROR(F2167/D2167,0)</f>
        <v>6.5471875</v>
      </c>
    </row>
    <row r="2168" customFormat="false" ht="15" hidden="false" customHeight="false" outlineLevel="0" collapsed="false">
      <c r="A2168" s="28" t="n">
        <v>2022</v>
      </c>
      <c r="B2168" s="28" t="s">
        <v>109</v>
      </c>
      <c r="C2168" s="28" t="s">
        <v>54</v>
      </c>
      <c r="D2168" s="28" t="n">
        <v>1</v>
      </c>
      <c r="E2168" s="29" t="n">
        <v>12000</v>
      </c>
      <c r="F2168" s="30" t="n">
        <v>11.3</v>
      </c>
      <c r="G2168" s="31" t="n">
        <f aca="false">IFERROR(F2168/D2168,0)</f>
        <v>11.3</v>
      </c>
    </row>
    <row r="2169" customFormat="false" ht="15" hidden="false" customHeight="false" outlineLevel="0" collapsed="false">
      <c r="A2169" s="28" t="n">
        <v>2022</v>
      </c>
      <c r="B2169" s="28" t="s">
        <v>109</v>
      </c>
      <c r="C2169" s="28" t="s">
        <v>44</v>
      </c>
      <c r="D2169" s="28" t="n">
        <v>15</v>
      </c>
      <c r="E2169" s="29" t="n">
        <v>5230500</v>
      </c>
      <c r="F2169" s="30" t="n">
        <v>92.3</v>
      </c>
      <c r="G2169" s="31" t="n">
        <f aca="false">IFERROR(F2169/D2169,0)</f>
        <v>6.15333333333333</v>
      </c>
    </row>
    <row r="2170" customFormat="false" ht="15" hidden="false" customHeight="false" outlineLevel="0" collapsed="false">
      <c r="A2170" s="28" t="n">
        <v>2022</v>
      </c>
      <c r="B2170" s="28" t="s">
        <v>109</v>
      </c>
      <c r="C2170" s="28" t="s">
        <v>57</v>
      </c>
      <c r="D2170" s="28" t="n">
        <v>2</v>
      </c>
      <c r="E2170" s="29" t="n">
        <v>599000</v>
      </c>
      <c r="F2170" s="30" t="n">
        <v>9.95</v>
      </c>
      <c r="G2170" s="31" t="n">
        <f aca="false">IFERROR(F2170/D2170,0)</f>
        <v>4.975</v>
      </c>
    </row>
    <row r="2171" customFormat="false" ht="15" hidden="false" customHeight="false" outlineLevel="0" collapsed="false">
      <c r="A2171" s="28" t="n">
        <v>2022</v>
      </c>
      <c r="B2171" s="28" t="s">
        <v>109</v>
      </c>
      <c r="C2171" s="28" t="s">
        <v>47</v>
      </c>
      <c r="D2171" s="28" t="n">
        <v>22</v>
      </c>
      <c r="E2171" s="29" t="n">
        <v>5063900</v>
      </c>
      <c r="F2171" s="30" t="n">
        <v>123.82</v>
      </c>
      <c r="G2171" s="31" t="n">
        <f aca="false">IFERROR(F2171/D2171,0)</f>
        <v>5.62818181818182</v>
      </c>
    </row>
    <row r="2172" customFormat="false" ht="15" hidden="false" customHeight="false" outlineLevel="0" collapsed="false">
      <c r="A2172" s="28" t="n">
        <v>2022</v>
      </c>
      <c r="B2172" s="28" t="s">
        <v>109</v>
      </c>
      <c r="C2172" s="28" t="s">
        <v>46</v>
      </c>
      <c r="D2172" s="28" t="n">
        <v>13</v>
      </c>
      <c r="E2172" s="29" t="n">
        <v>5143300</v>
      </c>
      <c r="F2172" s="30" t="n">
        <v>84.98</v>
      </c>
      <c r="G2172" s="31" t="n">
        <f aca="false">IFERROR(F2172/D2172,0)</f>
        <v>6.53692307692308</v>
      </c>
    </row>
    <row r="2173" customFormat="false" ht="15" hidden="false" customHeight="false" outlineLevel="0" collapsed="false">
      <c r="A2173" s="28" t="n">
        <v>2022</v>
      </c>
      <c r="B2173" s="28" t="s">
        <v>109</v>
      </c>
      <c r="C2173" s="28" t="s">
        <v>48</v>
      </c>
      <c r="D2173" s="28" t="n">
        <v>13</v>
      </c>
      <c r="E2173" s="29" t="n">
        <v>2533000</v>
      </c>
      <c r="F2173" s="30" t="n">
        <v>72.5</v>
      </c>
      <c r="G2173" s="31" t="n">
        <f aca="false">IFERROR(F2173/D2173,0)</f>
        <v>5.57692307692308</v>
      </c>
    </row>
    <row r="2174" customFormat="false" ht="15" hidden="false" customHeight="false" outlineLevel="0" collapsed="false">
      <c r="A2174" s="28" t="n">
        <v>2022</v>
      </c>
      <c r="B2174" s="28" t="s">
        <v>109</v>
      </c>
      <c r="C2174" s="28" t="s">
        <v>53</v>
      </c>
      <c r="D2174" s="28" t="n">
        <v>10</v>
      </c>
      <c r="E2174" s="29" t="n">
        <v>5812800</v>
      </c>
      <c r="F2174" s="30" t="n">
        <v>51.335</v>
      </c>
      <c r="G2174" s="31" t="n">
        <f aca="false">IFERROR(F2174/D2174,0)</f>
        <v>5.1335</v>
      </c>
    </row>
    <row r="2175" customFormat="false" ht="15" hidden="false" customHeight="false" outlineLevel="0" collapsed="false">
      <c r="A2175" s="28" t="n">
        <v>2022</v>
      </c>
      <c r="B2175" s="28" t="s">
        <v>109</v>
      </c>
      <c r="C2175" s="28" t="s">
        <v>43</v>
      </c>
      <c r="D2175" s="28" t="n">
        <v>33</v>
      </c>
      <c r="E2175" s="29" t="n">
        <v>7167000</v>
      </c>
      <c r="F2175" s="30" t="n">
        <v>190.85</v>
      </c>
      <c r="G2175" s="31" t="n">
        <f aca="false">IFERROR(F2175/D2175,0)</f>
        <v>5.78333333333333</v>
      </c>
    </row>
    <row r="2176" customFormat="false" ht="15" hidden="false" customHeight="false" outlineLevel="0" collapsed="false">
      <c r="A2176" s="28" t="n">
        <v>2022</v>
      </c>
      <c r="B2176" s="28" t="s">
        <v>109</v>
      </c>
      <c r="C2176" s="28" t="s">
        <v>52</v>
      </c>
      <c r="D2176" s="28" t="n">
        <v>11</v>
      </c>
      <c r="E2176" s="29" t="n">
        <v>829800</v>
      </c>
      <c r="F2176" s="30" t="n">
        <v>65.45</v>
      </c>
      <c r="G2176" s="31" t="n">
        <f aca="false">IFERROR(F2176/D2176,0)</f>
        <v>5.95</v>
      </c>
    </row>
    <row r="2177" customFormat="false" ht="15" hidden="false" customHeight="false" outlineLevel="0" collapsed="false">
      <c r="A2177" s="28" t="n">
        <v>2022</v>
      </c>
      <c r="B2177" s="28" t="s">
        <v>109</v>
      </c>
      <c r="C2177" s="28" t="s">
        <v>49</v>
      </c>
      <c r="D2177" s="28" t="n">
        <v>6</v>
      </c>
      <c r="E2177" s="29" t="n">
        <v>1285000</v>
      </c>
      <c r="F2177" s="30" t="n">
        <v>33.64</v>
      </c>
      <c r="G2177" s="31" t="n">
        <f aca="false">IFERROR(F2177/D2177,0)</f>
        <v>5.60666666666667</v>
      </c>
    </row>
    <row r="2178" customFormat="false" ht="15" hidden="false" customHeight="false" outlineLevel="0" collapsed="false">
      <c r="A2178" s="28" t="n">
        <v>2022</v>
      </c>
      <c r="B2178" s="28" t="s">
        <v>95</v>
      </c>
      <c r="C2178" s="28" t="s">
        <v>42</v>
      </c>
      <c r="D2178" s="28" t="n">
        <v>217</v>
      </c>
      <c r="E2178" s="29" t="n">
        <v>128046800</v>
      </c>
      <c r="F2178" s="30" t="n">
        <v>1338.13</v>
      </c>
      <c r="G2178" s="31" t="n">
        <f aca="false">IFERROR(F2178/D2178,0)</f>
        <v>6.16649769585254</v>
      </c>
    </row>
    <row r="2179" customFormat="false" ht="15" hidden="false" customHeight="false" outlineLevel="0" collapsed="false">
      <c r="A2179" s="28" t="n">
        <v>2022</v>
      </c>
      <c r="B2179" s="28" t="s">
        <v>95</v>
      </c>
      <c r="C2179" s="28" t="s">
        <v>50</v>
      </c>
      <c r="D2179" s="28" t="n">
        <v>109</v>
      </c>
      <c r="E2179" s="29" t="n">
        <v>44688400</v>
      </c>
      <c r="F2179" s="30" t="n">
        <v>662.42</v>
      </c>
      <c r="G2179" s="31" t="n">
        <f aca="false">IFERROR(F2179/D2179,0)</f>
        <v>6.07724770642202</v>
      </c>
    </row>
    <row r="2180" customFormat="false" ht="15" hidden="false" customHeight="false" outlineLevel="0" collapsed="false">
      <c r="A2180" s="28" t="n">
        <v>2022</v>
      </c>
      <c r="B2180" s="28" t="s">
        <v>95</v>
      </c>
      <c r="C2180" s="28" t="s">
        <v>55</v>
      </c>
      <c r="D2180" s="28" t="n">
        <v>10</v>
      </c>
      <c r="E2180" s="29" t="n">
        <v>5701000</v>
      </c>
      <c r="F2180" s="30" t="n">
        <v>63.85</v>
      </c>
      <c r="G2180" s="31" t="n">
        <f aca="false">IFERROR(F2180/D2180,0)</f>
        <v>6.385</v>
      </c>
    </row>
    <row r="2181" customFormat="false" ht="15" hidden="false" customHeight="false" outlineLevel="0" collapsed="false">
      <c r="A2181" s="28" t="n">
        <v>2022</v>
      </c>
      <c r="B2181" s="28" t="s">
        <v>95</v>
      </c>
      <c r="C2181" s="28" t="s">
        <v>51</v>
      </c>
      <c r="D2181" s="28" t="n">
        <v>40</v>
      </c>
      <c r="E2181" s="29" t="n">
        <v>19565700</v>
      </c>
      <c r="F2181" s="30" t="n">
        <v>251.3</v>
      </c>
      <c r="G2181" s="31" t="n">
        <f aca="false">IFERROR(F2181/D2181,0)</f>
        <v>6.2825</v>
      </c>
    </row>
    <row r="2182" customFormat="false" ht="15" hidden="false" customHeight="false" outlineLevel="0" collapsed="false">
      <c r="A2182" s="28" t="n">
        <v>2022</v>
      </c>
      <c r="B2182" s="28" t="s">
        <v>95</v>
      </c>
      <c r="C2182" s="28" t="s">
        <v>45</v>
      </c>
      <c r="D2182" s="28" t="n">
        <v>246</v>
      </c>
      <c r="E2182" s="29" t="n">
        <v>80904000</v>
      </c>
      <c r="F2182" s="30" t="n">
        <v>1510.19</v>
      </c>
      <c r="G2182" s="31" t="n">
        <f aca="false">IFERROR(F2182/D2182,0)</f>
        <v>6.1389837398374</v>
      </c>
    </row>
    <row r="2183" customFormat="false" ht="15" hidden="false" customHeight="false" outlineLevel="0" collapsed="false">
      <c r="A2183" s="28" t="n">
        <v>2022</v>
      </c>
      <c r="B2183" s="28" t="s">
        <v>95</v>
      </c>
      <c r="C2183" s="28" t="s">
        <v>56</v>
      </c>
      <c r="D2183" s="28" t="n">
        <v>26</v>
      </c>
      <c r="E2183" s="29" t="n">
        <v>9918200</v>
      </c>
      <c r="F2183" s="30" t="n">
        <v>171.49</v>
      </c>
      <c r="G2183" s="31" t="n">
        <f aca="false">IFERROR(F2183/D2183,0)</f>
        <v>6.59576923076923</v>
      </c>
    </row>
    <row r="2184" customFormat="false" ht="15" hidden="false" customHeight="false" outlineLevel="0" collapsed="false">
      <c r="A2184" s="28" t="n">
        <v>2022</v>
      </c>
      <c r="B2184" s="28" t="s">
        <v>95</v>
      </c>
      <c r="C2184" s="28" t="s">
        <v>54</v>
      </c>
      <c r="D2184" s="28" t="n">
        <v>44</v>
      </c>
      <c r="E2184" s="29" t="n">
        <v>17494400</v>
      </c>
      <c r="F2184" s="30" t="n">
        <v>291.26</v>
      </c>
      <c r="G2184" s="31" t="n">
        <f aca="false">IFERROR(F2184/D2184,0)</f>
        <v>6.61954545454545</v>
      </c>
    </row>
    <row r="2185" customFormat="false" ht="15" hidden="false" customHeight="false" outlineLevel="0" collapsed="false">
      <c r="A2185" s="28" t="n">
        <v>2022</v>
      </c>
      <c r="B2185" s="28" t="s">
        <v>95</v>
      </c>
      <c r="C2185" s="28" t="s">
        <v>44</v>
      </c>
      <c r="D2185" s="28" t="n">
        <v>139</v>
      </c>
      <c r="E2185" s="29" t="n">
        <v>52974500</v>
      </c>
      <c r="F2185" s="30" t="n">
        <v>836.907</v>
      </c>
      <c r="G2185" s="31" t="n">
        <f aca="false">IFERROR(F2185/D2185,0)</f>
        <v>6.02091366906475</v>
      </c>
    </row>
    <row r="2186" customFormat="false" ht="15" hidden="false" customHeight="false" outlineLevel="0" collapsed="false">
      <c r="A2186" s="28" t="n">
        <v>2022</v>
      </c>
      <c r="B2186" s="28" t="s">
        <v>95</v>
      </c>
      <c r="C2186" s="28" t="s">
        <v>57</v>
      </c>
      <c r="D2186" s="28" t="n">
        <v>10</v>
      </c>
      <c r="E2186" s="29" t="n">
        <v>6214800</v>
      </c>
      <c r="F2186" s="30" t="n">
        <v>58.95</v>
      </c>
      <c r="G2186" s="31" t="n">
        <f aca="false">IFERROR(F2186/D2186,0)</f>
        <v>5.895</v>
      </c>
    </row>
    <row r="2187" customFormat="false" ht="15" hidden="false" customHeight="false" outlineLevel="0" collapsed="false">
      <c r="A2187" s="28" t="n">
        <v>2022</v>
      </c>
      <c r="B2187" s="28" t="s">
        <v>95</v>
      </c>
      <c r="C2187" s="28" t="s">
        <v>59</v>
      </c>
      <c r="D2187" s="28" t="n">
        <v>2</v>
      </c>
      <c r="E2187" s="29" t="n">
        <v>700000</v>
      </c>
      <c r="F2187" s="30" t="n">
        <v>12.5</v>
      </c>
      <c r="G2187" s="31" t="n">
        <f aca="false">IFERROR(F2187/D2187,0)</f>
        <v>6.25</v>
      </c>
    </row>
    <row r="2188" customFormat="false" ht="15" hidden="false" customHeight="false" outlineLevel="0" collapsed="false">
      <c r="A2188" s="28" t="n">
        <v>2022</v>
      </c>
      <c r="B2188" s="28" t="s">
        <v>95</v>
      </c>
      <c r="C2188" s="28" t="s">
        <v>47</v>
      </c>
      <c r="D2188" s="28" t="n">
        <v>119</v>
      </c>
      <c r="E2188" s="29" t="n">
        <v>54556400</v>
      </c>
      <c r="F2188" s="30" t="n">
        <v>698.71</v>
      </c>
      <c r="G2188" s="31" t="n">
        <f aca="false">IFERROR(F2188/D2188,0)</f>
        <v>5.87151260504202</v>
      </c>
    </row>
    <row r="2189" customFormat="false" ht="15" hidden="false" customHeight="false" outlineLevel="0" collapsed="false">
      <c r="A2189" s="28" t="n">
        <v>2022</v>
      </c>
      <c r="B2189" s="28" t="s">
        <v>95</v>
      </c>
      <c r="C2189" s="28" t="s">
        <v>58</v>
      </c>
      <c r="D2189" s="28" t="n">
        <v>3</v>
      </c>
      <c r="E2189" s="29" t="n">
        <v>634000</v>
      </c>
      <c r="F2189" s="30" t="n">
        <v>17.75</v>
      </c>
      <c r="G2189" s="31" t="n">
        <f aca="false">IFERROR(F2189/D2189,0)</f>
        <v>5.91666666666667</v>
      </c>
    </row>
    <row r="2190" customFormat="false" ht="15" hidden="false" customHeight="false" outlineLevel="0" collapsed="false">
      <c r="A2190" s="28" t="n">
        <v>2022</v>
      </c>
      <c r="B2190" s="28" t="s">
        <v>95</v>
      </c>
      <c r="C2190" s="28" t="s">
        <v>46</v>
      </c>
      <c r="D2190" s="28" t="n">
        <v>187</v>
      </c>
      <c r="E2190" s="29" t="n">
        <v>68097100</v>
      </c>
      <c r="F2190" s="30" t="n">
        <v>1117.41</v>
      </c>
      <c r="G2190" s="31" t="n">
        <f aca="false">IFERROR(F2190/D2190,0)</f>
        <v>5.97545454545455</v>
      </c>
    </row>
    <row r="2191" customFormat="false" ht="15" hidden="false" customHeight="false" outlineLevel="0" collapsed="false">
      <c r="A2191" s="28" t="n">
        <v>2022</v>
      </c>
      <c r="B2191" s="28" t="s">
        <v>95</v>
      </c>
      <c r="C2191" s="28" t="s">
        <v>48</v>
      </c>
      <c r="D2191" s="28" t="n">
        <v>104</v>
      </c>
      <c r="E2191" s="29" t="n">
        <v>29709200</v>
      </c>
      <c r="F2191" s="30" t="n">
        <v>639.64</v>
      </c>
      <c r="G2191" s="31" t="n">
        <f aca="false">IFERROR(F2191/D2191,0)</f>
        <v>6.15038461538462</v>
      </c>
    </row>
    <row r="2192" customFormat="false" ht="15" hidden="false" customHeight="false" outlineLevel="0" collapsed="false">
      <c r="A2192" s="28" t="n">
        <v>2022</v>
      </c>
      <c r="B2192" s="28" t="s">
        <v>95</v>
      </c>
      <c r="C2192" s="28" t="s">
        <v>61</v>
      </c>
      <c r="D2192" s="28" t="n">
        <v>1</v>
      </c>
      <c r="E2192" s="29" t="n">
        <v>45000</v>
      </c>
      <c r="F2192" s="30" t="n">
        <v>5.25</v>
      </c>
      <c r="G2192" s="31" t="n">
        <f aca="false">IFERROR(F2192/D2192,0)</f>
        <v>5.25</v>
      </c>
    </row>
    <row r="2193" customFormat="false" ht="15" hidden="false" customHeight="false" outlineLevel="0" collapsed="false">
      <c r="A2193" s="28" t="n">
        <v>2022</v>
      </c>
      <c r="B2193" s="28" t="s">
        <v>95</v>
      </c>
      <c r="C2193" s="28" t="s">
        <v>53</v>
      </c>
      <c r="D2193" s="28" t="n">
        <v>36</v>
      </c>
      <c r="E2193" s="29" t="n">
        <v>22931700</v>
      </c>
      <c r="F2193" s="30" t="n">
        <v>206.39</v>
      </c>
      <c r="G2193" s="31" t="n">
        <f aca="false">IFERROR(F2193/D2193,0)</f>
        <v>5.73305555555556</v>
      </c>
    </row>
    <row r="2194" customFormat="false" ht="15" hidden="false" customHeight="false" outlineLevel="0" collapsed="false">
      <c r="A2194" s="28" t="n">
        <v>2022</v>
      </c>
      <c r="B2194" s="28" t="s">
        <v>95</v>
      </c>
      <c r="C2194" s="28" t="s">
        <v>43</v>
      </c>
      <c r="D2194" s="28" t="n">
        <v>195</v>
      </c>
      <c r="E2194" s="29" t="n">
        <v>118556700</v>
      </c>
      <c r="F2194" s="30" t="n">
        <v>1209.705</v>
      </c>
      <c r="G2194" s="31" t="n">
        <f aca="false">IFERROR(F2194/D2194,0)</f>
        <v>6.20361538461538</v>
      </c>
    </row>
    <row r="2195" customFormat="false" ht="15" hidden="false" customHeight="false" outlineLevel="0" collapsed="false">
      <c r="A2195" s="28" t="n">
        <v>2022</v>
      </c>
      <c r="B2195" s="28" t="s">
        <v>95</v>
      </c>
      <c r="C2195" s="28" t="s">
        <v>52</v>
      </c>
      <c r="D2195" s="28" t="n">
        <v>284</v>
      </c>
      <c r="E2195" s="29" t="n">
        <v>40195400</v>
      </c>
      <c r="F2195" s="30" t="n">
        <v>1786.98</v>
      </c>
      <c r="G2195" s="31" t="n">
        <f aca="false">IFERROR(F2195/D2195,0)</f>
        <v>6.29218309859155</v>
      </c>
    </row>
    <row r="2196" customFormat="false" ht="15" hidden="false" customHeight="false" outlineLevel="0" collapsed="false">
      <c r="A2196" s="28" t="n">
        <v>2022</v>
      </c>
      <c r="B2196" s="28" t="s">
        <v>95</v>
      </c>
      <c r="C2196" s="28" t="s">
        <v>60</v>
      </c>
      <c r="D2196" s="28" t="n">
        <v>2</v>
      </c>
      <c r="E2196" s="29" t="n">
        <v>200000</v>
      </c>
      <c r="F2196" s="30" t="n">
        <v>11.5</v>
      </c>
      <c r="G2196" s="31" t="n">
        <f aca="false">IFERROR(F2196/D2196,0)</f>
        <v>5.75</v>
      </c>
    </row>
    <row r="2197" customFormat="false" ht="15" hidden="false" customHeight="false" outlineLevel="0" collapsed="false">
      <c r="A2197" s="28" t="n">
        <v>2022</v>
      </c>
      <c r="B2197" s="28" t="s">
        <v>95</v>
      </c>
      <c r="C2197" s="28" t="s">
        <v>49</v>
      </c>
      <c r="D2197" s="28" t="n">
        <v>95</v>
      </c>
      <c r="E2197" s="29" t="n">
        <v>41564800</v>
      </c>
      <c r="F2197" s="30" t="n">
        <v>580.74</v>
      </c>
      <c r="G2197" s="31" t="n">
        <f aca="false">IFERROR(F2197/D2197,0)</f>
        <v>6.11305263157895</v>
      </c>
    </row>
    <row r="2198" customFormat="false" ht="15" hidden="false" customHeight="false" outlineLevel="0" collapsed="false">
      <c r="A2198" s="28" t="n">
        <v>2022</v>
      </c>
      <c r="B2198" s="28" t="s">
        <v>98</v>
      </c>
      <c r="C2198" s="28" t="s">
        <v>42</v>
      </c>
      <c r="D2198" s="28" t="n">
        <v>134</v>
      </c>
      <c r="E2198" s="29" t="n">
        <v>72911400</v>
      </c>
      <c r="F2198" s="30" t="n">
        <v>777.315</v>
      </c>
      <c r="G2198" s="31" t="n">
        <f aca="false">IFERROR(F2198/D2198,0)</f>
        <v>5.80085820895522</v>
      </c>
    </row>
    <row r="2199" customFormat="false" ht="15" hidden="false" customHeight="false" outlineLevel="0" collapsed="false">
      <c r="A2199" s="28" t="n">
        <v>2022</v>
      </c>
      <c r="B2199" s="28" t="s">
        <v>98</v>
      </c>
      <c r="C2199" s="28" t="s">
        <v>50</v>
      </c>
      <c r="D2199" s="28" t="n">
        <v>66</v>
      </c>
      <c r="E2199" s="29" t="n">
        <v>25338500</v>
      </c>
      <c r="F2199" s="30" t="n">
        <v>396.09</v>
      </c>
      <c r="G2199" s="31" t="n">
        <f aca="false">IFERROR(F2199/D2199,0)</f>
        <v>6.00136363636364</v>
      </c>
    </row>
    <row r="2200" customFormat="false" ht="15" hidden="false" customHeight="false" outlineLevel="0" collapsed="false">
      <c r="A2200" s="28" t="n">
        <v>2022</v>
      </c>
      <c r="B2200" s="28" t="s">
        <v>98</v>
      </c>
      <c r="C2200" s="28" t="s">
        <v>55</v>
      </c>
      <c r="D2200" s="28" t="n">
        <v>28</v>
      </c>
      <c r="E2200" s="29" t="n">
        <v>6339200</v>
      </c>
      <c r="F2200" s="30" t="n">
        <v>149.44</v>
      </c>
      <c r="G2200" s="31" t="n">
        <f aca="false">IFERROR(F2200/D2200,0)</f>
        <v>5.33714285714286</v>
      </c>
    </row>
    <row r="2201" customFormat="false" ht="15" hidden="false" customHeight="false" outlineLevel="0" collapsed="false">
      <c r="A2201" s="28" t="n">
        <v>2022</v>
      </c>
      <c r="B2201" s="28" t="s">
        <v>98</v>
      </c>
      <c r="C2201" s="28" t="s">
        <v>51</v>
      </c>
      <c r="D2201" s="28" t="n">
        <v>41</v>
      </c>
      <c r="E2201" s="29" t="n">
        <v>16351400</v>
      </c>
      <c r="F2201" s="30" t="n">
        <v>246.21</v>
      </c>
      <c r="G2201" s="31" t="n">
        <f aca="false">IFERROR(F2201/D2201,0)</f>
        <v>6.00512195121951</v>
      </c>
    </row>
    <row r="2202" customFormat="false" ht="15" hidden="false" customHeight="false" outlineLevel="0" collapsed="false">
      <c r="A2202" s="28" t="n">
        <v>2022</v>
      </c>
      <c r="B2202" s="28" t="s">
        <v>98</v>
      </c>
      <c r="C2202" s="28" t="s">
        <v>45</v>
      </c>
      <c r="D2202" s="28" t="n">
        <v>160</v>
      </c>
      <c r="E2202" s="29" t="n">
        <v>63145100</v>
      </c>
      <c r="F2202" s="30" t="n">
        <v>947.81</v>
      </c>
      <c r="G2202" s="31" t="n">
        <f aca="false">IFERROR(F2202/D2202,0)</f>
        <v>5.9238125</v>
      </c>
    </row>
    <row r="2203" customFormat="false" ht="15" hidden="false" customHeight="false" outlineLevel="0" collapsed="false">
      <c r="A2203" s="28" t="n">
        <v>2022</v>
      </c>
      <c r="B2203" s="28" t="s">
        <v>98</v>
      </c>
      <c r="C2203" s="28" t="s">
        <v>56</v>
      </c>
      <c r="D2203" s="28" t="n">
        <v>15</v>
      </c>
      <c r="E2203" s="29" t="n">
        <v>5553400</v>
      </c>
      <c r="F2203" s="30" t="n">
        <v>101.85</v>
      </c>
      <c r="G2203" s="31" t="n">
        <f aca="false">IFERROR(F2203/D2203,0)</f>
        <v>6.79</v>
      </c>
    </row>
    <row r="2204" customFormat="false" ht="15" hidden="false" customHeight="false" outlineLevel="0" collapsed="false">
      <c r="A2204" s="28" t="n">
        <v>2022</v>
      </c>
      <c r="B2204" s="28" t="s">
        <v>98</v>
      </c>
      <c r="C2204" s="28" t="s">
        <v>54</v>
      </c>
      <c r="D2204" s="28" t="n">
        <v>27</v>
      </c>
      <c r="E2204" s="29" t="n">
        <v>10868600</v>
      </c>
      <c r="F2204" s="30" t="n">
        <v>158.37</v>
      </c>
      <c r="G2204" s="31" t="n">
        <f aca="false">IFERROR(F2204/D2204,0)</f>
        <v>5.86555555555556</v>
      </c>
    </row>
    <row r="2205" customFormat="false" ht="15" hidden="false" customHeight="false" outlineLevel="0" collapsed="false">
      <c r="A2205" s="28" t="n">
        <v>2022</v>
      </c>
      <c r="B2205" s="28" t="s">
        <v>98</v>
      </c>
      <c r="C2205" s="28" t="s">
        <v>44</v>
      </c>
      <c r="D2205" s="28" t="n">
        <v>112</v>
      </c>
      <c r="E2205" s="29" t="n">
        <v>54440200</v>
      </c>
      <c r="F2205" s="30" t="n">
        <v>657.71</v>
      </c>
      <c r="G2205" s="31" t="n">
        <f aca="false">IFERROR(F2205/D2205,0)</f>
        <v>5.87241071428571</v>
      </c>
    </row>
    <row r="2206" customFormat="false" ht="15" hidden="false" customHeight="false" outlineLevel="0" collapsed="false">
      <c r="A2206" s="28" t="n">
        <v>2022</v>
      </c>
      <c r="B2206" s="28" t="s">
        <v>98</v>
      </c>
      <c r="C2206" s="28" t="s">
        <v>57</v>
      </c>
      <c r="D2206" s="28" t="n">
        <v>11</v>
      </c>
      <c r="E2206" s="29" t="n">
        <v>1935000</v>
      </c>
      <c r="F2206" s="30" t="n">
        <v>79.44</v>
      </c>
      <c r="G2206" s="31" t="n">
        <f aca="false">IFERROR(F2206/D2206,0)</f>
        <v>7.22181818181818</v>
      </c>
    </row>
    <row r="2207" customFormat="false" ht="15" hidden="false" customHeight="false" outlineLevel="0" collapsed="false">
      <c r="A2207" s="28" t="n">
        <v>2022</v>
      </c>
      <c r="B2207" s="28" t="s">
        <v>98</v>
      </c>
      <c r="C2207" s="28" t="s">
        <v>47</v>
      </c>
      <c r="D2207" s="28" t="n">
        <v>137</v>
      </c>
      <c r="E2207" s="29" t="n">
        <v>76600200</v>
      </c>
      <c r="F2207" s="30" t="n">
        <v>791.94</v>
      </c>
      <c r="G2207" s="31" t="n">
        <f aca="false">IFERROR(F2207/D2207,0)</f>
        <v>5.78058394160584</v>
      </c>
    </row>
    <row r="2208" customFormat="false" ht="15" hidden="false" customHeight="false" outlineLevel="0" collapsed="false">
      <c r="A2208" s="28" t="n">
        <v>2022</v>
      </c>
      <c r="B2208" s="28" t="s">
        <v>98</v>
      </c>
      <c r="C2208" s="28" t="s">
        <v>58</v>
      </c>
      <c r="D2208" s="28" t="n">
        <v>4</v>
      </c>
      <c r="E2208" s="29" t="n">
        <v>2530000</v>
      </c>
      <c r="F2208" s="30" t="n">
        <v>24</v>
      </c>
      <c r="G2208" s="31" t="n">
        <f aca="false">IFERROR(F2208/D2208,0)</f>
        <v>6</v>
      </c>
    </row>
    <row r="2209" customFormat="false" ht="15" hidden="false" customHeight="false" outlineLevel="0" collapsed="false">
      <c r="A2209" s="28" t="n">
        <v>2022</v>
      </c>
      <c r="B2209" s="28" t="s">
        <v>98</v>
      </c>
      <c r="C2209" s="28" t="s">
        <v>46</v>
      </c>
      <c r="D2209" s="28" t="n">
        <v>130</v>
      </c>
      <c r="E2209" s="29" t="n">
        <v>66750000</v>
      </c>
      <c r="F2209" s="30" t="n">
        <v>754.915</v>
      </c>
      <c r="G2209" s="31" t="n">
        <f aca="false">IFERROR(F2209/D2209,0)</f>
        <v>5.80703846153846</v>
      </c>
    </row>
    <row r="2210" customFormat="false" ht="15" hidden="false" customHeight="false" outlineLevel="0" collapsed="false">
      <c r="A2210" s="28" t="n">
        <v>2022</v>
      </c>
      <c r="B2210" s="28" t="s">
        <v>98</v>
      </c>
      <c r="C2210" s="28" t="s">
        <v>48</v>
      </c>
      <c r="D2210" s="28" t="n">
        <v>106</v>
      </c>
      <c r="E2210" s="29" t="n">
        <v>29712900</v>
      </c>
      <c r="F2210" s="30" t="n">
        <v>663.32</v>
      </c>
      <c r="G2210" s="31" t="n">
        <f aca="false">IFERROR(F2210/D2210,0)</f>
        <v>6.2577358490566</v>
      </c>
    </row>
    <row r="2211" customFormat="false" ht="15" hidden="false" customHeight="false" outlineLevel="0" collapsed="false">
      <c r="A2211" s="28" t="n">
        <v>2022</v>
      </c>
      <c r="B2211" s="28" t="s">
        <v>98</v>
      </c>
      <c r="C2211" s="28" t="s">
        <v>61</v>
      </c>
      <c r="D2211" s="28" t="n">
        <v>1</v>
      </c>
      <c r="E2211" s="29" t="n">
        <v>500000</v>
      </c>
      <c r="F2211" s="30" t="n">
        <v>6</v>
      </c>
      <c r="G2211" s="31" t="n">
        <f aca="false">IFERROR(F2211/D2211,0)</f>
        <v>6</v>
      </c>
    </row>
    <row r="2212" customFormat="false" ht="15" hidden="false" customHeight="false" outlineLevel="0" collapsed="false">
      <c r="A2212" s="28" t="n">
        <v>2022</v>
      </c>
      <c r="B2212" s="28" t="s">
        <v>98</v>
      </c>
      <c r="C2212" s="28" t="s">
        <v>53</v>
      </c>
      <c r="D2212" s="28" t="n">
        <v>36</v>
      </c>
      <c r="E2212" s="29" t="n">
        <v>11951700</v>
      </c>
      <c r="F2212" s="30" t="n">
        <v>200.33</v>
      </c>
      <c r="G2212" s="31" t="n">
        <f aca="false">IFERROR(F2212/D2212,0)</f>
        <v>5.56472222222222</v>
      </c>
    </row>
    <row r="2213" customFormat="false" ht="15" hidden="false" customHeight="false" outlineLevel="0" collapsed="false">
      <c r="A2213" s="28" t="n">
        <v>2022</v>
      </c>
      <c r="B2213" s="28" t="s">
        <v>98</v>
      </c>
      <c r="C2213" s="28" t="s">
        <v>43</v>
      </c>
      <c r="D2213" s="28" t="n">
        <v>171</v>
      </c>
      <c r="E2213" s="29" t="n">
        <v>78770400</v>
      </c>
      <c r="F2213" s="30" t="n">
        <v>1035.34</v>
      </c>
      <c r="G2213" s="31" t="n">
        <f aca="false">IFERROR(F2213/D2213,0)</f>
        <v>6.05461988304094</v>
      </c>
    </row>
    <row r="2214" customFormat="false" ht="15" hidden="false" customHeight="false" outlineLevel="0" collapsed="false">
      <c r="A2214" s="28" t="n">
        <v>2022</v>
      </c>
      <c r="B2214" s="28" t="s">
        <v>98</v>
      </c>
      <c r="C2214" s="28" t="s">
        <v>52</v>
      </c>
      <c r="D2214" s="28" t="n">
        <v>98</v>
      </c>
      <c r="E2214" s="29" t="n">
        <v>26112300</v>
      </c>
      <c r="F2214" s="30" t="n">
        <v>627.76</v>
      </c>
      <c r="G2214" s="31" t="n">
        <f aca="false">IFERROR(F2214/D2214,0)</f>
        <v>6.40571428571429</v>
      </c>
    </row>
    <row r="2215" customFormat="false" ht="15" hidden="false" customHeight="false" outlineLevel="0" collapsed="false">
      <c r="A2215" s="28" t="n">
        <v>2022</v>
      </c>
      <c r="B2215" s="28" t="s">
        <v>98</v>
      </c>
      <c r="C2215" s="28" t="s">
        <v>60</v>
      </c>
      <c r="D2215" s="28" t="n">
        <v>4</v>
      </c>
      <c r="E2215" s="29" t="n">
        <v>125000</v>
      </c>
      <c r="F2215" s="30" t="n">
        <v>26.75</v>
      </c>
      <c r="G2215" s="31" t="n">
        <f aca="false">IFERROR(F2215/D2215,0)</f>
        <v>6.6875</v>
      </c>
    </row>
    <row r="2216" customFormat="false" ht="15" hidden="false" customHeight="false" outlineLevel="0" collapsed="false">
      <c r="A2216" s="28" t="n">
        <v>2022</v>
      </c>
      <c r="B2216" s="28" t="s">
        <v>98</v>
      </c>
      <c r="C2216" s="28" t="s">
        <v>49</v>
      </c>
      <c r="D2216" s="28" t="n">
        <v>56</v>
      </c>
      <c r="E2216" s="29" t="n">
        <v>32017700</v>
      </c>
      <c r="F2216" s="30" t="n">
        <v>350.68</v>
      </c>
      <c r="G2216" s="31" t="n">
        <f aca="false">IFERROR(F2216/D2216,0)</f>
        <v>6.26214285714286</v>
      </c>
    </row>
    <row r="2217" customFormat="false" ht="15" hidden="false" customHeight="false" outlineLevel="0" collapsed="false">
      <c r="A2217" s="28" t="n">
        <v>2022</v>
      </c>
      <c r="B2217" s="28" t="s">
        <v>103</v>
      </c>
      <c r="C2217" s="28" t="s">
        <v>42</v>
      </c>
      <c r="D2217" s="28" t="n">
        <v>116</v>
      </c>
      <c r="E2217" s="29" t="n">
        <v>65268800</v>
      </c>
      <c r="F2217" s="30" t="n">
        <v>714.755</v>
      </c>
      <c r="G2217" s="31" t="n">
        <f aca="false">IFERROR(F2217/D2217,0)</f>
        <v>6.16168103448276</v>
      </c>
    </row>
    <row r="2218" customFormat="false" ht="15" hidden="false" customHeight="false" outlineLevel="0" collapsed="false">
      <c r="A2218" s="28" t="n">
        <v>2022</v>
      </c>
      <c r="B2218" s="28" t="s">
        <v>103</v>
      </c>
      <c r="C2218" s="28" t="s">
        <v>50</v>
      </c>
      <c r="D2218" s="28" t="n">
        <v>50</v>
      </c>
      <c r="E2218" s="29" t="n">
        <v>18329400</v>
      </c>
      <c r="F2218" s="30" t="n">
        <v>308.56</v>
      </c>
      <c r="G2218" s="31" t="n">
        <f aca="false">IFERROR(F2218/D2218,0)</f>
        <v>6.1712</v>
      </c>
    </row>
    <row r="2219" customFormat="false" ht="15" hidden="false" customHeight="false" outlineLevel="0" collapsed="false">
      <c r="A2219" s="28" t="n">
        <v>2022</v>
      </c>
      <c r="B2219" s="28" t="s">
        <v>103</v>
      </c>
      <c r="C2219" s="28" t="s">
        <v>55</v>
      </c>
      <c r="D2219" s="28" t="n">
        <v>16</v>
      </c>
      <c r="E2219" s="29" t="n">
        <v>9915100</v>
      </c>
      <c r="F2219" s="30" t="n">
        <v>102.6</v>
      </c>
      <c r="G2219" s="31" t="n">
        <f aca="false">IFERROR(F2219/D2219,0)</f>
        <v>6.4125</v>
      </c>
    </row>
    <row r="2220" customFormat="false" ht="15" hidden="false" customHeight="false" outlineLevel="0" collapsed="false">
      <c r="A2220" s="28" t="n">
        <v>2022</v>
      </c>
      <c r="B2220" s="28" t="s">
        <v>103</v>
      </c>
      <c r="C2220" s="28" t="s">
        <v>51</v>
      </c>
      <c r="D2220" s="28" t="n">
        <v>38</v>
      </c>
      <c r="E2220" s="29" t="n">
        <v>20286600</v>
      </c>
      <c r="F2220" s="30" t="n">
        <v>242.24</v>
      </c>
      <c r="G2220" s="31" t="n">
        <f aca="false">IFERROR(F2220/D2220,0)</f>
        <v>6.37473684210526</v>
      </c>
    </row>
    <row r="2221" customFormat="false" ht="15" hidden="false" customHeight="false" outlineLevel="0" collapsed="false">
      <c r="A2221" s="28" t="n">
        <v>2022</v>
      </c>
      <c r="B2221" s="28" t="s">
        <v>103</v>
      </c>
      <c r="C2221" s="28" t="s">
        <v>45</v>
      </c>
      <c r="D2221" s="28" t="n">
        <v>96</v>
      </c>
      <c r="E2221" s="29" t="n">
        <v>38299700</v>
      </c>
      <c r="F2221" s="30" t="n">
        <v>617.565</v>
      </c>
      <c r="G2221" s="31" t="n">
        <f aca="false">IFERROR(F2221/D2221,0)</f>
        <v>6.43296875</v>
      </c>
    </row>
    <row r="2222" customFormat="false" ht="15" hidden="false" customHeight="false" outlineLevel="0" collapsed="false">
      <c r="A2222" s="28" t="n">
        <v>2022</v>
      </c>
      <c r="B2222" s="28" t="s">
        <v>103</v>
      </c>
      <c r="C2222" s="28" t="s">
        <v>56</v>
      </c>
      <c r="D2222" s="28" t="n">
        <v>10</v>
      </c>
      <c r="E2222" s="29" t="n">
        <v>3255500</v>
      </c>
      <c r="F2222" s="30" t="n">
        <v>61.45</v>
      </c>
      <c r="G2222" s="31" t="n">
        <f aca="false">IFERROR(F2222/D2222,0)</f>
        <v>6.145</v>
      </c>
    </row>
    <row r="2223" customFormat="false" ht="15" hidden="false" customHeight="false" outlineLevel="0" collapsed="false">
      <c r="A2223" s="28" t="n">
        <v>2022</v>
      </c>
      <c r="B2223" s="28" t="s">
        <v>103</v>
      </c>
      <c r="C2223" s="28" t="s">
        <v>54</v>
      </c>
      <c r="D2223" s="28" t="n">
        <v>21</v>
      </c>
      <c r="E2223" s="29" t="n">
        <v>8268300</v>
      </c>
      <c r="F2223" s="30" t="n">
        <v>128.05</v>
      </c>
      <c r="G2223" s="31" t="n">
        <f aca="false">IFERROR(F2223/D2223,0)</f>
        <v>6.09761904761905</v>
      </c>
    </row>
    <row r="2224" customFormat="false" ht="15" hidden="false" customHeight="false" outlineLevel="0" collapsed="false">
      <c r="A2224" s="28" t="n">
        <v>2022</v>
      </c>
      <c r="B2224" s="28" t="s">
        <v>103</v>
      </c>
      <c r="C2224" s="28" t="s">
        <v>44</v>
      </c>
      <c r="D2224" s="28" t="n">
        <v>69</v>
      </c>
      <c r="E2224" s="29" t="n">
        <v>21967800</v>
      </c>
      <c r="F2224" s="30" t="n">
        <v>440.52</v>
      </c>
      <c r="G2224" s="31" t="n">
        <f aca="false">IFERROR(F2224/D2224,0)</f>
        <v>6.38434782608696</v>
      </c>
    </row>
    <row r="2225" customFormat="false" ht="15" hidden="false" customHeight="false" outlineLevel="0" collapsed="false">
      <c r="A2225" s="28" t="n">
        <v>2022</v>
      </c>
      <c r="B2225" s="28" t="s">
        <v>103</v>
      </c>
      <c r="C2225" s="28" t="s">
        <v>57</v>
      </c>
      <c r="D2225" s="28" t="n">
        <v>8</v>
      </c>
      <c r="E2225" s="29" t="n">
        <v>726200</v>
      </c>
      <c r="F2225" s="30" t="n">
        <v>50.99</v>
      </c>
      <c r="G2225" s="31" t="n">
        <f aca="false">IFERROR(F2225/D2225,0)</f>
        <v>6.37375</v>
      </c>
    </row>
    <row r="2226" customFormat="false" ht="15" hidden="false" customHeight="false" outlineLevel="0" collapsed="false">
      <c r="A2226" s="28" t="n">
        <v>2022</v>
      </c>
      <c r="B2226" s="28" t="s">
        <v>103</v>
      </c>
      <c r="C2226" s="28" t="s">
        <v>47</v>
      </c>
      <c r="D2226" s="28" t="n">
        <v>62</v>
      </c>
      <c r="E2226" s="29" t="n">
        <v>35614600</v>
      </c>
      <c r="F2226" s="30" t="n">
        <v>377.03</v>
      </c>
      <c r="G2226" s="31" t="n">
        <f aca="false">IFERROR(F2226/D2226,0)</f>
        <v>6.08112903225806</v>
      </c>
    </row>
    <row r="2227" customFormat="false" ht="15" hidden="false" customHeight="false" outlineLevel="0" collapsed="false">
      <c r="A2227" s="28" t="n">
        <v>2022</v>
      </c>
      <c r="B2227" s="28" t="s">
        <v>103</v>
      </c>
      <c r="C2227" s="28" t="s">
        <v>58</v>
      </c>
      <c r="D2227" s="28" t="n">
        <v>1</v>
      </c>
      <c r="E2227" s="29" t="n">
        <v>1155000</v>
      </c>
      <c r="F2227" s="30" t="n">
        <v>8.25</v>
      </c>
      <c r="G2227" s="31" t="n">
        <f aca="false">IFERROR(F2227/D2227,0)</f>
        <v>8.25</v>
      </c>
    </row>
    <row r="2228" customFormat="false" ht="15" hidden="false" customHeight="false" outlineLevel="0" collapsed="false">
      <c r="A2228" s="28" t="n">
        <v>2022</v>
      </c>
      <c r="B2228" s="28" t="s">
        <v>103</v>
      </c>
      <c r="C2228" s="28" t="s">
        <v>46</v>
      </c>
      <c r="D2228" s="28" t="n">
        <v>81</v>
      </c>
      <c r="E2228" s="29" t="n">
        <v>32304200</v>
      </c>
      <c r="F2228" s="30" t="n">
        <v>515.825</v>
      </c>
      <c r="G2228" s="31" t="n">
        <f aca="false">IFERROR(F2228/D2228,0)</f>
        <v>6.36820987654321</v>
      </c>
    </row>
    <row r="2229" customFormat="false" ht="15" hidden="false" customHeight="false" outlineLevel="0" collapsed="false">
      <c r="A2229" s="28" t="n">
        <v>2022</v>
      </c>
      <c r="B2229" s="28" t="s">
        <v>103</v>
      </c>
      <c r="C2229" s="28" t="s">
        <v>48</v>
      </c>
      <c r="D2229" s="28" t="n">
        <v>62</v>
      </c>
      <c r="E2229" s="29" t="n">
        <v>29702100</v>
      </c>
      <c r="F2229" s="30" t="n">
        <v>373.03</v>
      </c>
      <c r="G2229" s="31" t="n">
        <f aca="false">IFERROR(F2229/D2229,0)</f>
        <v>6.01661290322581</v>
      </c>
    </row>
    <row r="2230" customFormat="false" ht="15" hidden="false" customHeight="false" outlineLevel="0" collapsed="false">
      <c r="A2230" s="28" t="n">
        <v>2022</v>
      </c>
      <c r="B2230" s="28" t="s">
        <v>103</v>
      </c>
      <c r="C2230" s="28" t="s">
        <v>53</v>
      </c>
      <c r="D2230" s="28" t="n">
        <v>26</v>
      </c>
      <c r="E2230" s="29" t="n">
        <v>18254600</v>
      </c>
      <c r="F2230" s="30" t="n">
        <v>147.56</v>
      </c>
      <c r="G2230" s="31" t="n">
        <f aca="false">IFERROR(F2230/D2230,0)</f>
        <v>5.67538461538462</v>
      </c>
    </row>
    <row r="2231" customFormat="false" ht="15" hidden="false" customHeight="false" outlineLevel="0" collapsed="false">
      <c r="A2231" s="28" t="n">
        <v>2022</v>
      </c>
      <c r="B2231" s="28" t="s">
        <v>103</v>
      </c>
      <c r="C2231" s="28" t="s">
        <v>43</v>
      </c>
      <c r="D2231" s="28" t="n">
        <v>91</v>
      </c>
      <c r="E2231" s="29" t="n">
        <v>46924100</v>
      </c>
      <c r="F2231" s="30" t="n">
        <v>556.513</v>
      </c>
      <c r="G2231" s="31" t="n">
        <f aca="false">IFERROR(F2231/D2231,0)</f>
        <v>6.11552747252747</v>
      </c>
    </row>
    <row r="2232" customFormat="false" ht="15" hidden="false" customHeight="false" outlineLevel="0" collapsed="false">
      <c r="A2232" s="28" t="n">
        <v>2022</v>
      </c>
      <c r="B2232" s="28" t="s">
        <v>103</v>
      </c>
      <c r="C2232" s="28" t="s">
        <v>52</v>
      </c>
      <c r="D2232" s="28" t="n">
        <v>46</v>
      </c>
      <c r="E2232" s="29" t="n">
        <v>14910200</v>
      </c>
      <c r="F2232" s="30" t="n">
        <v>309.08</v>
      </c>
      <c r="G2232" s="31" t="n">
        <f aca="false">IFERROR(F2232/D2232,0)</f>
        <v>6.71913043478261</v>
      </c>
    </row>
    <row r="2233" customFormat="false" ht="15" hidden="false" customHeight="false" outlineLevel="0" collapsed="false">
      <c r="A2233" s="28" t="n">
        <v>2022</v>
      </c>
      <c r="B2233" s="28" t="s">
        <v>103</v>
      </c>
      <c r="C2233" s="28" t="s">
        <v>49</v>
      </c>
      <c r="D2233" s="28" t="n">
        <v>29</v>
      </c>
      <c r="E2233" s="29" t="n">
        <v>17814700</v>
      </c>
      <c r="F2233" s="30" t="n">
        <v>171.66</v>
      </c>
      <c r="G2233" s="31" t="n">
        <f aca="false">IFERROR(F2233/D2233,0)</f>
        <v>5.91931034482759</v>
      </c>
    </row>
    <row r="2234" customFormat="false" ht="15" hidden="false" customHeight="false" outlineLevel="0" collapsed="false">
      <c r="A2234" s="28" t="n">
        <v>2022</v>
      </c>
      <c r="B2234" s="28" t="s">
        <v>113</v>
      </c>
      <c r="C2234" s="28" t="s">
        <v>42</v>
      </c>
      <c r="D2234" s="28" t="n">
        <v>40</v>
      </c>
      <c r="E2234" s="29" t="n">
        <v>36276100</v>
      </c>
      <c r="F2234" s="30" t="n">
        <v>240</v>
      </c>
      <c r="G2234" s="31" t="n">
        <f aca="false">IFERROR(F2234/D2234,0)</f>
        <v>6</v>
      </c>
    </row>
    <row r="2235" customFormat="false" ht="15" hidden="false" customHeight="false" outlineLevel="0" collapsed="false">
      <c r="A2235" s="28" t="n">
        <v>2022</v>
      </c>
      <c r="B2235" s="28" t="s">
        <v>113</v>
      </c>
      <c r="C2235" s="28" t="s">
        <v>50</v>
      </c>
      <c r="D2235" s="28" t="n">
        <v>14</v>
      </c>
      <c r="E2235" s="29" t="n">
        <v>4218100</v>
      </c>
      <c r="F2235" s="30" t="n">
        <v>92.5</v>
      </c>
      <c r="G2235" s="31" t="n">
        <f aca="false">IFERROR(F2235/D2235,0)</f>
        <v>6.60714285714286</v>
      </c>
    </row>
    <row r="2236" customFormat="false" ht="15" hidden="false" customHeight="false" outlineLevel="0" collapsed="false">
      <c r="A2236" s="28" t="n">
        <v>2022</v>
      </c>
      <c r="B2236" s="28" t="s">
        <v>113</v>
      </c>
      <c r="C2236" s="28" t="s">
        <v>55</v>
      </c>
      <c r="D2236" s="28" t="n">
        <v>49</v>
      </c>
      <c r="E2236" s="29" t="n">
        <v>27557100</v>
      </c>
      <c r="F2236" s="30" t="n">
        <v>271.26</v>
      </c>
      <c r="G2236" s="31" t="n">
        <f aca="false">IFERROR(F2236/D2236,0)</f>
        <v>5.53591836734694</v>
      </c>
    </row>
    <row r="2237" customFormat="false" ht="15" hidden="false" customHeight="false" outlineLevel="0" collapsed="false">
      <c r="A2237" s="28" t="n">
        <v>2022</v>
      </c>
      <c r="B2237" s="28" t="s">
        <v>113</v>
      </c>
      <c r="C2237" s="28" t="s">
        <v>51</v>
      </c>
      <c r="D2237" s="28" t="n">
        <v>9</v>
      </c>
      <c r="E2237" s="29" t="n">
        <v>1946100</v>
      </c>
      <c r="F2237" s="30" t="n">
        <v>56</v>
      </c>
      <c r="G2237" s="31" t="n">
        <f aca="false">IFERROR(F2237/D2237,0)</f>
        <v>6.22222222222222</v>
      </c>
    </row>
    <row r="2238" customFormat="false" ht="15" hidden="false" customHeight="false" outlineLevel="0" collapsed="false">
      <c r="A2238" s="28" t="n">
        <v>2022</v>
      </c>
      <c r="B2238" s="28" t="s">
        <v>113</v>
      </c>
      <c r="C2238" s="28" t="s">
        <v>45</v>
      </c>
      <c r="D2238" s="28" t="n">
        <v>14</v>
      </c>
      <c r="E2238" s="29" t="n">
        <v>2803800</v>
      </c>
      <c r="F2238" s="30" t="n">
        <v>79.59</v>
      </c>
      <c r="G2238" s="31" t="n">
        <f aca="false">IFERROR(F2238/D2238,0)</f>
        <v>5.685</v>
      </c>
    </row>
    <row r="2239" customFormat="false" ht="15" hidden="false" customHeight="false" outlineLevel="0" collapsed="false">
      <c r="A2239" s="28" t="n">
        <v>2022</v>
      </c>
      <c r="B2239" s="28" t="s">
        <v>113</v>
      </c>
      <c r="C2239" s="28" t="s">
        <v>56</v>
      </c>
      <c r="D2239" s="28" t="n">
        <v>1</v>
      </c>
      <c r="E2239" s="29" t="n">
        <v>15200</v>
      </c>
      <c r="F2239" s="30" t="n">
        <v>4.25</v>
      </c>
      <c r="G2239" s="31" t="n">
        <f aca="false">IFERROR(F2239/D2239,0)</f>
        <v>4.25</v>
      </c>
    </row>
    <row r="2240" customFormat="false" ht="15" hidden="false" customHeight="false" outlineLevel="0" collapsed="false">
      <c r="A2240" s="28" t="n">
        <v>2022</v>
      </c>
      <c r="B2240" s="28" t="s">
        <v>113</v>
      </c>
      <c r="C2240" s="28" t="s">
        <v>54</v>
      </c>
      <c r="D2240" s="28" t="n">
        <v>10</v>
      </c>
      <c r="E2240" s="29" t="n">
        <v>4634800</v>
      </c>
      <c r="F2240" s="30" t="n">
        <v>62.48</v>
      </c>
      <c r="G2240" s="31" t="n">
        <f aca="false">IFERROR(F2240/D2240,0)</f>
        <v>6.248</v>
      </c>
    </row>
    <row r="2241" customFormat="false" ht="15" hidden="false" customHeight="false" outlineLevel="0" collapsed="false">
      <c r="A2241" s="28" t="n">
        <v>2022</v>
      </c>
      <c r="B2241" s="28" t="s">
        <v>113</v>
      </c>
      <c r="C2241" s="28" t="s">
        <v>44</v>
      </c>
      <c r="D2241" s="28" t="n">
        <v>21</v>
      </c>
      <c r="E2241" s="29" t="n">
        <v>11024000</v>
      </c>
      <c r="F2241" s="30" t="n">
        <v>121.29</v>
      </c>
      <c r="G2241" s="31" t="n">
        <f aca="false">IFERROR(F2241/D2241,0)</f>
        <v>5.77571428571429</v>
      </c>
    </row>
    <row r="2242" customFormat="false" ht="15" hidden="false" customHeight="false" outlineLevel="0" collapsed="false">
      <c r="A2242" s="28" t="n">
        <v>2022</v>
      </c>
      <c r="B2242" s="28" t="s">
        <v>113</v>
      </c>
      <c r="C2242" s="28" t="s">
        <v>57</v>
      </c>
      <c r="D2242" s="28" t="n">
        <v>1</v>
      </c>
      <c r="E2242" s="29" t="n">
        <v>223600</v>
      </c>
      <c r="F2242" s="30" t="n">
        <v>5</v>
      </c>
      <c r="G2242" s="31" t="n">
        <f aca="false">IFERROR(F2242/D2242,0)</f>
        <v>5</v>
      </c>
    </row>
    <row r="2243" customFormat="false" ht="15" hidden="false" customHeight="false" outlineLevel="0" collapsed="false">
      <c r="A2243" s="28" t="n">
        <v>2022</v>
      </c>
      <c r="B2243" s="28" t="s">
        <v>113</v>
      </c>
      <c r="C2243" s="28" t="s">
        <v>47</v>
      </c>
      <c r="D2243" s="28" t="n">
        <v>8</v>
      </c>
      <c r="E2243" s="29" t="n">
        <v>5499200</v>
      </c>
      <c r="F2243" s="30" t="n">
        <v>48.18</v>
      </c>
      <c r="G2243" s="31" t="n">
        <f aca="false">IFERROR(F2243/D2243,0)</f>
        <v>6.0225</v>
      </c>
    </row>
    <row r="2244" customFormat="false" ht="15" hidden="false" customHeight="false" outlineLevel="0" collapsed="false">
      <c r="A2244" s="28" t="n">
        <v>2022</v>
      </c>
      <c r="B2244" s="28" t="s">
        <v>113</v>
      </c>
      <c r="C2244" s="28" t="s">
        <v>58</v>
      </c>
      <c r="D2244" s="28" t="n">
        <v>1</v>
      </c>
      <c r="E2244" s="29" t="n">
        <v>55600</v>
      </c>
      <c r="F2244" s="30" t="n">
        <v>6</v>
      </c>
      <c r="G2244" s="31" t="n">
        <f aca="false">IFERROR(F2244/D2244,0)</f>
        <v>6</v>
      </c>
    </row>
    <row r="2245" customFormat="false" ht="15" hidden="false" customHeight="false" outlineLevel="0" collapsed="false">
      <c r="A2245" s="28" t="n">
        <v>2022</v>
      </c>
      <c r="B2245" s="28" t="s">
        <v>113</v>
      </c>
      <c r="C2245" s="28" t="s">
        <v>46</v>
      </c>
      <c r="D2245" s="28" t="n">
        <v>19</v>
      </c>
      <c r="E2245" s="29" t="n">
        <v>6225600</v>
      </c>
      <c r="F2245" s="30" t="n">
        <v>114.13</v>
      </c>
      <c r="G2245" s="31" t="n">
        <f aca="false">IFERROR(F2245/D2245,0)</f>
        <v>6.00684210526316</v>
      </c>
    </row>
    <row r="2246" customFormat="false" ht="15" hidden="false" customHeight="false" outlineLevel="0" collapsed="false">
      <c r="A2246" s="28" t="n">
        <v>2022</v>
      </c>
      <c r="B2246" s="28" t="s">
        <v>113</v>
      </c>
      <c r="C2246" s="28" t="s">
        <v>48</v>
      </c>
      <c r="D2246" s="28" t="n">
        <v>12</v>
      </c>
      <c r="E2246" s="29" t="n">
        <v>4272100</v>
      </c>
      <c r="F2246" s="30" t="n">
        <v>82</v>
      </c>
      <c r="G2246" s="31" t="n">
        <f aca="false">IFERROR(F2246/D2246,0)</f>
        <v>6.83333333333333</v>
      </c>
    </row>
    <row r="2247" customFormat="false" ht="15" hidden="false" customHeight="false" outlineLevel="0" collapsed="false">
      <c r="A2247" s="28" t="n">
        <v>2022</v>
      </c>
      <c r="B2247" s="28" t="s">
        <v>113</v>
      </c>
      <c r="C2247" s="28" t="s">
        <v>53</v>
      </c>
      <c r="D2247" s="28" t="n">
        <v>2</v>
      </c>
      <c r="E2247" s="29" t="n">
        <v>1107000</v>
      </c>
      <c r="F2247" s="30" t="n">
        <v>10.25</v>
      </c>
      <c r="G2247" s="31" t="n">
        <f aca="false">IFERROR(F2247/D2247,0)</f>
        <v>5.125</v>
      </c>
    </row>
    <row r="2248" customFormat="false" ht="15" hidden="false" customHeight="false" outlineLevel="0" collapsed="false">
      <c r="A2248" s="28" t="n">
        <v>2022</v>
      </c>
      <c r="B2248" s="28" t="s">
        <v>113</v>
      </c>
      <c r="C2248" s="28" t="s">
        <v>43</v>
      </c>
      <c r="D2248" s="28" t="n">
        <v>24</v>
      </c>
      <c r="E2248" s="29" t="n">
        <v>7786600</v>
      </c>
      <c r="F2248" s="30" t="n">
        <v>139.85</v>
      </c>
      <c r="G2248" s="31" t="n">
        <f aca="false">IFERROR(F2248/D2248,0)</f>
        <v>5.82708333333333</v>
      </c>
    </row>
    <row r="2249" customFormat="false" ht="15" hidden="false" customHeight="false" outlineLevel="0" collapsed="false">
      <c r="A2249" s="28" t="n">
        <v>2022</v>
      </c>
      <c r="B2249" s="28" t="s">
        <v>113</v>
      </c>
      <c r="C2249" s="28" t="s">
        <v>52</v>
      </c>
      <c r="D2249" s="28" t="n">
        <v>34</v>
      </c>
      <c r="E2249" s="29" t="n">
        <v>3946700</v>
      </c>
      <c r="F2249" s="30" t="n">
        <v>210.99</v>
      </c>
      <c r="G2249" s="31" t="n">
        <f aca="false">IFERROR(F2249/D2249,0)</f>
        <v>6.20558823529412</v>
      </c>
    </row>
    <row r="2250" customFormat="false" ht="15" hidden="false" customHeight="false" outlineLevel="0" collapsed="false">
      <c r="A2250" s="28" t="n">
        <v>2022</v>
      </c>
      <c r="B2250" s="28" t="s">
        <v>113</v>
      </c>
      <c r="C2250" s="28" t="s">
        <v>49</v>
      </c>
      <c r="D2250" s="28" t="n">
        <v>7</v>
      </c>
      <c r="E2250" s="29" t="n">
        <v>4395700</v>
      </c>
      <c r="F2250" s="30" t="n">
        <v>46.97</v>
      </c>
      <c r="G2250" s="31" t="n">
        <f aca="false">IFERROR(F2250/D2250,0)</f>
        <v>6.71</v>
      </c>
    </row>
    <row r="2251" customFormat="false" ht="15" hidden="false" customHeight="false" outlineLevel="0" collapsed="false">
      <c r="A2251" s="28" t="n">
        <v>2022</v>
      </c>
      <c r="B2251" s="28" t="s">
        <v>115</v>
      </c>
      <c r="C2251" s="28" t="s">
        <v>42</v>
      </c>
      <c r="D2251" s="28" t="n">
        <v>22</v>
      </c>
      <c r="E2251" s="29" t="n">
        <v>13973300</v>
      </c>
      <c r="F2251" s="30" t="n">
        <v>124.24</v>
      </c>
      <c r="G2251" s="31" t="n">
        <f aca="false">IFERROR(F2251/D2251,0)</f>
        <v>5.64727272727273</v>
      </c>
    </row>
    <row r="2252" customFormat="false" ht="15" hidden="false" customHeight="false" outlineLevel="0" collapsed="false">
      <c r="A2252" s="28" t="n">
        <v>2022</v>
      </c>
      <c r="B2252" s="28" t="s">
        <v>115</v>
      </c>
      <c r="C2252" s="28" t="s">
        <v>50</v>
      </c>
      <c r="D2252" s="28" t="n">
        <v>7</v>
      </c>
      <c r="E2252" s="29" t="n">
        <v>1052600</v>
      </c>
      <c r="F2252" s="30" t="n">
        <v>46.83</v>
      </c>
      <c r="G2252" s="31" t="n">
        <f aca="false">IFERROR(F2252/D2252,0)</f>
        <v>6.69</v>
      </c>
    </row>
    <row r="2253" customFormat="false" ht="15" hidden="false" customHeight="false" outlineLevel="0" collapsed="false">
      <c r="A2253" s="28" t="n">
        <v>2022</v>
      </c>
      <c r="B2253" s="28" t="s">
        <v>115</v>
      </c>
      <c r="C2253" s="28" t="s">
        <v>55</v>
      </c>
      <c r="D2253" s="28" t="n">
        <v>9</v>
      </c>
      <c r="E2253" s="29" t="n">
        <v>964400</v>
      </c>
      <c r="F2253" s="30" t="n">
        <v>53.75</v>
      </c>
      <c r="G2253" s="31" t="n">
        <f aca="false">IFERROR(F2253/D2253,0)</f>
        <v>5.97222222222222</v>
      </c>
    </row>
    <row r="2254" customFormat="false" ht="15" hidden="false" customHeight="false" outlineLevel="0" collapsed="false">
      <c r="A2254" s="28" t="n">
        <v>2022</v>
      </c>
      <c r="B2254" s="28" t="s">
        <v>115</v>
      </c>
      <c r="C2254" s="28" t="s">
        <v>51</v>
      </c>
      <c r="D2254" s="28" t="n">
        <v>4</v>
      </c>
      <c r="E2254" s="29" t="n">
        <v>5203500</v>
      </c>
      <c r="F2254" s="30" t="n">
        <v>21.75</v>
      </c>
      <c r="G2254" s="31" t="n">
        <f aca="false">IFERROR(F2254/D2254,0)</f>
        <v>5.4375</v>
      </c>
    </row>
    <row r="2255" customFormat="false" ht="15" hidden="false" customHeight="false" outlineLevel="0" collapsed="false">
      <c r="A2255" s="28" t="n">
        <v>2022</v>
      </c>
      <c r="B2255" s="28" t="s">
        <v>115</v>
      </c>
      <c r="C2255" s="28" t="s">
        <v>45</v>
      </c>
      <c r="D2255" s="28" t="n">
        <v>26</v>
      </c>
      <c r="E2255" s="29" t="n">
        <v>6701700</v>
      </c>
      <c r="F2255" s="30" t="n">
        <v>164.25</v>
      </c>
      <c r="G2255" s="31" t="n">
        <f aca="false">IFERROR(F2255/D2255,0)</f>
        <v>6.31730769230769</v>
      </c>
    </row>
    <row r="2256" customFormat="false" ht="15" hidden="false" customHeight="false" outlineLevel="0" collapsed="false">
      <c r="A2256" s="28" t="n">
        <v>2022</v>
      </c>
      <c r="B2256" s="28" t="s">
        <v>115</v>
      </c>
      <c r="C2256" s="28" t="s">
        <v>54</v>
      </c>
      <c r="D2256" s="28" t="n">
        <v>5</v>
      </c>
      <c r="E2256" s="29" t="n">
        <v>2198000</v>
      </c>
      <c r="F2256" s="30" t="n">
        <v>30.75</v>
      </c>
      <c r="G2256" s="31" t="n">
        <f aca="false">IFERROR(F2256/D2256,0)</f>
        <v>6.15</v>
      </c>
    </row>
    <row r="2257" customFormat="false" ht="15" hidden="false" customHeight="false" outlineLevel="0" collapsed="false">
      <c r="A2257" s="28" t="n">
        <v>2022</v>
      </c>
      <c r="B2257" s="28" t="s">
        <v>115</v>
      </c>
      <c r="C2257" s="28" t="s">
        <v>44</v>
      </c>
      <c r="D2257" s="28" t="n">
        <v>14</v>
      </c>
      <c r="E2257" s="29" t="n">
        <v>4038300</v>
      </c>
      <c r="F2257" s="30" t="n">
        <v>97.35</v>
      </c>
      <c r="G2257" s="31" t="n">
        <f aca="false">IFERROR(F2257/D2257,0)</f>
        <v>6.95357142857143</v>
      </c>
    </row>
    <row r="2258" customFormat="false" ht="15" hidden="false" customHeight="false" outlineLevel="0" collapsed="false">
      <c r="A2258" s="28" t="n">
        <v>2022</v>
      </c>
      <c r="B2258" s="28" t="s">
        <v>115</v>
      </c>
      <c r="C2258" s="28" t="s">
        <v>57</v>
      </c>
      <c r="D2258" s="28" t="n">
        <v>1</v>
      </c>
      <c r="E2258" s="29" t="n">
        <v>25000</v>
      </c>
      <c r="F2258" s="30" t="n">
        <v>6.5</v>
      </c>
      <c r="G2258" s="31" t="n">
        <f aca="false">IFERROR(F2258/D2258,0)</f>
        <v>6.5</v>
      </c>
    </row>
    <row r="2259" customFormat="false" ht="15" hidden="false" customHeight="false" outlineLevel="0" collapsed="false">
      <c r="A2259" s="28" t="n">
        <v>2022</v>
      </c>
      <c r="B2259" s="28" t="s">
        <v>115</v>
      </c>
      <c r="C2259" s="28" t="s">
        <v>59</v>
      </c>
      <c r="D2259" s="28" t="n">
        <v>1</v>
      </c>
      <c r="E2259" s="29" t="n">
        <v>382500</v>
      </c>
      <c r="F2259" s="30" t="n">
        <v>5.25</v>
      </c>
      <c r="G2259" s="31" t="n">
        <f aca="false">IFERROR(F2259/D2259,0)</f>
        <v>5.25</v>
      </c>
    </row>
    <row r="2260" customFormat="false" ht="15" hidden="false" customHeight="false" outlineLevel="0" collapsed="false">
      <c r="A2260" s="28" t="n">
        <v>2022</v>
      </c>
      <c r="B2260" s="28" t="s">
        <v>115</v>
      </c>
      <c r="C2260" s="28" t="s">
        <v>47</v>
      </c>
      <c r="D2260" s="28" t="n">
        <v>17</v>
      </c>
      <c r="E2260" s="29" t="n">
        <v>8481300</v>
      </c>
      <c r="F2260" s="30" t="n">
        <v>94.6</v>
      </c>
      <c r="G2260" s="31" t="n">
        <f aca="false">IFERROR(F2260/D2260,0)</f>
        <v>5.56470588235294</v>
      </c>
    </row>
    <row r="2261" customFormat="false" ht="15" hidden="false" customHeight="false" outlineLevel="0" collapsed="false">
      <c r="A2261" s="28" t="n">
        <v>2022</v>
      </c>
      <c r="B2261" s="28" t="s">
        <v>115</v>
      </c>
      <c r="C2261" s="28" t="s">
        <v>46</v>
      </c>
      <c r="D2261" s="28" t="n">
        <v>12</v>
      </c>
      <c r="E2261" s="29" t="n">
        <v>10819500</v>
      </c>
      <c r="F2261" s="30" t="n">
        <v>77.25</v>
      </c>
      <c r="G2261" s="31" t="n">
        <f aca="false">IFERROR(F2261/D2261,0)</f>
        <v>6.4375</v>
      </c>
    </row>
    <row r="2262" customFormat="false" ht="15" hidden="false" customHeight="false" outlineLevel="0" collapsed="false">
      <c r="A2262" s="28" t="n">
        <v>2022</v>
      </c>
      <c r="B2262" s="28" t="s">
        <v>115</v>
      </c>
      <c r="C2262" s="28" t="s">
        <v>48</v>
      </c>
      <c r="D2262" s="28" t="n">
        <v>5</v>
      </c>
      <c r="E2262" s="29" t="n">
        <v>2981200</v>
      </c>
      <c r="F2262" s="30" t="n">
        <v>30.85</v>
      </c>
      <c r="G2262" s="31" t="n">
        <f aca="false">IFERROR(F2262/D2262,0)</f>
        <v>6.17</v>
      </c>
    </row>
    <row r="2263" customFormat="false" ht="15" hidden="false" customHeight="false" outlineLevel="0" collapsed="false">
      <c r="A2263" s="28" t="n">
        <v>2022</v>
      </c>
      <c r="B2263" s="28" t="s">
        <v>115</v>
      </c>
      <c r="C2263" s="28" t="s">
        <v>53</v>
      </c>
      <c r="D2263" s="28" t="n">
        <v>3</v>
      </c>
      <c r="E2263" s="29" t="n">
        <v>2199500</v>
      </c>
      <c r="F2263" s="30" t="n">
        <v>15.5</v>
      </c>
      <c r="G2263" s="31" t="n">
        <f aca="false">IFERROR(F2263/D2263,0)</f>
        <v>5.16666666666667</v>
      </c>
    </row>
    <row r="2264" customFormat="false" ht="15" hidden="false" customHeight="false" outlineLevel="0" collapsed="false">
      <c r="A2264" s="28" t="n">
        <v>2022</v>
      </c>
      <c r="B2264" s="28" t="s">
        <v>115</v>
      </c>
      <c r="C2264" s="28" t="s">
        <v>43</v>
      </c>
      <c r="D2264" s="28" t="n">
        <v>12</v>
      </c>
      <c r="E2264" s="29" t="n">
        <v>4920500</v>
      </c>
      <c r="F2264" s="30" t="n">
        <v>76.87</v>
      </c>
      <c r="G2264" s="31" t="n">
        <f aca="false">IFERROR(F2264/D2264,0)</f>
        <v>6.40583333333333</v>
      </c>
    </row>
    <row r="2265" customFormat="false" ht="15" hidden="false" customHeight="false" outlineLevel="0" collapsed="false">
      <c r="A2265" s="28" t="n">
        <v>2022</v>
      </c>
      <c r="B2265" s="28" t="s">
        <v>115</v>
      </c>
      <c r="C2265" s="28" t="s">
        <v>52</v>
      </c>
      <c r="D2265" s="28" t="n">
        <v>3</v>
      </c>
      <c r="E2265" s="29" t="n">
        <v>363900</v>
      </c>
      <c r="F2265" s="30" t="n">
        <v>17.75</v>
      </c>
      <c r="G2265" s="31" t="n">
        <f aca="false">IFERROR(F2265/D2265,0)</f>
        <v>5.91666666666667</v>
      </c>
    </row>
    <row r="2266" customFormat="false" ht="15" hidden="false" customHeight="false" outlineLevel="0" collapsed="false">
      <c r="A2266" s="28" t="n">
        <v>2022</v>
      </c>
      <c r="B2266" s="28" t="s">
        <v>115</v>
      </c>
      <c r="C2266" s="28" t="s">
        <v>49</v>
      </c>
      <c r="D2266" s="28" t="n">
        <v>9</v>
      </c>
      <c r="E2266" s="29" t="n">
        <v>8685000</v>
      </c>
      <c r="F2266" s="30" t="n">
        <v>52.33</v>
      </c>
      <c r="G2266" s="31" t="n">
        <f aca="false">IFERROR(F2266/D2266,0)</f>
        <v>5.81444444444444</v>
      </c>
    </row>
    <row r="2267" customFormat="false" ht="15" hidden="false" customHeight="false" outlineLevel="0" collapsed="false">
      <c r="A2267" s="28" t="n">
        <v>2022</v>
      </c>
      <c r="B2267" s="28" t="s">
        <v>90</v>
      </c>
      <c r="C2267" s="28" t="s">
        <v>42</v>
      </c>
      <c r="D2267" s="28" t="n">
        <v>155</v>
      </c>
      <c r="E2267" s="29" t="n">
        <v>193787200</v>
      </c>
      <c r="F2267" s="30" t="n">
        <v>992.45</v>
      </c>
      <c r="G2267" s="31" t="n">
        <f aca="false">IFERROR(F2267/D2267,0)</f>
        <v>6.40290322580645</v>
      </c>
    </row>
    <row r="2268" customFormat="false" ht="15" hidden="false" customHeight="false" outlineLevel="0" collapsed="false">
      <c r="A2268" s="28" t="n">
        <v>2022</v>
      </c>
      <c r="B2268" s="28" t="s">
        <v>90</v>
      </c>
      <c r="C2268" s="28" t="s">
        <v>50</v>
      </c>
      <c r="D2268" s="28" t="n">
        <v>37</v>
      </c>
      <c r="E2268" s="29" t="n">
        <v>17507400</v>
      </c>
      <c r="F2268" s="30" t="n">
        <v>246.25</v>
      </c>
      <c r="G2268" s="31" t="n">
        <f aca="false">IFERROR(F2268/D2268,0)</f>
        <v>6.65540540540541</v>
      </c>
    </row>
    <row r="2269" customFormat="false" ht="15" hidden="false" customHeight="false" outlineLevel="0" collapsed="false">
      <c r="A2269" s="28" t="n">
        <v>2022</v>
      </c>
      <c r="B2269" s="28" t="s">
        <v>90</v>
      </c>
      <c r="C2269" s="28" t="s">
        <v>55</v>
      </c>
      <c r="D2269" s="28" t="n">
        <v>27</v>
      </c>
      <c r="E2269" s="29" t="n">
        <v>35842800</v>
      </c>
      <c r="F2269" s="30" t="n">
        <v>142.15</v>
      </c>
      <c r="G2269" s="31" t="n">
        <f aca="false">IFERROR(F2269/D2269,0)</f>
        <v>5.26481481481482</v>
      </c>
    </row>
    <row r="2270" customFormat="false" ht="15" hidden="false" customHeight="false" outlineLevel="0" collapsed="false">
      <c r="A2270" s="28" t="n">
        <v>2022</v>
      </c>
      <c r="B2270" s="28" t="s">
        <v>90</v>
      </c>
      <c r="C2270" s="28" t="s">
        <v>51</v>
      </c>
      <c r="D2270" s="28" t="n">
        <v>52</v>
      </c>
      <c r="E2270" s="29" t="n">
        <v>33897800</v>
      </c>
      <c r="F2270" s="30" t="n">
        <v>350.4</v>
      </c>
      <c r="G2270" s="31" t="n">
        <f aca="false">IFERROR(F2270/D2270,0)</f>
        <v>6.73846153846154</v>
      </c>
    </row>
    <row r="2271" customFormat="false" ht="15" hidden="false" customHeight="false" outlineLevel="0" collapsed="false">
      <c r="A2271" s="28" t="n">
        <v>2022</v>
      </c>
      <c r="B2271" s="28" t="s">
        <v>90</v>
      </c>
      <c r="C2271" s="28" t="s">
        <v>45</v>
      </c>
      <c r="D2271" s="28" t="n">
        <v>84</v>
      </c>
      <c r="E2271" s="29" t="n">
        <v>44431100</v>
      </c>
      <c r="F2271" s="30" t="n">
        <v>588.16</v>
      </c>
      <c r="G2271" s="31" t="n">
        <f aca="false">IFERROR(F2271/D2271,0)</f>
        <v>7.00190476190476</v>
      </c>
    </row>
    <row r="2272" customFormat="false" ht="15" hidden="false" customHeight="false" outlineLevel="0" collapsed="false">
      <c r="A2272" s="28" t="n">
        <v>2022</v>
      </c>
      <c r="B2272" s="28" t="s">
        <v>90</v>
      </c>
      <c r="C2272" s="28" t="s">
        <v>56</v>
      </c>
      <c r="D2272" s="28" t="n">
        <v>19</v>
      </c>
      <c r="E2272" s="29" t="n">
        <v>10500700</v>
      </c>
      <c r="F2272" s="30" t="n">
        <v>129.5</v>
      </c>
      <c r="G2272" s="31" t="n">
        <f aca="false">IFERROR(F2272/D2272,0)</f>
        <v>6.81578947368421</v>
      </c>
    </row>
    <row r="2273" customFormat="false" ht="15" hidden="false" customHeight="false" outlineLevel="0" collapsed="false">
      <c r="A2273" s="28" t="n">
        <v>2022</v>
      </c>
      <c r="B2273" s="28" t="s">
        <v>90</v>
      </c>
      <c r="C2273" s="28" t="s">
        <v>54</v>
      </c>
      <c r="D2273" s="28" t="n">
        <v>11</v>
      </c>
      <c r="E2273" s="29" t="n">
        <v>7706100</v>
      </c>
      <c r="F2273" s="30" t="n">
        <v>74.12</v>
      </c>
      <c r="G2273" s="31" t="n">
        <f aca="false">IFERROR(F2273/D2273,0)</f>
        <v>6.73818181818182</v>
      </c>
    </row>
    <row r="2274" customFormat="false" ht="15" hidden="false" customHeight="false" outlineLevel="0" collapsed="false">
      <c r="A2274" s="28" t="n">
        <v>2022</v>
      </c>
      <c r="B2274" s="28" t="s">
        <v>90</v>
      </c>
      <c r="C2274" s="28" t="s">
        <v>44</v>
      </c>
      <c r="D2274" s="28" t="n">
        <v>65</v>
      </c>
      <c r="E2274" s="29" t="n">
        <v>45779000</v>
      </c>
      <c r="F2274" s="30" t="n">
        <v>428.674</v>
      </c>
      <c r="G2274" s="31" t="n">
        <f aca="false">IFERROR(F2274/D2274,0)</f>
        <v>6.59498461538462</v>
      </c>
    </row>
    <row r="2275" customFormat="false" ht="15" hidden="false" customHeight="false" outlineLevel="0" collapsed="false">
      <c r="A2275" s="28" t="n">
        <v>2022</v>
      </c>
      <c r="B2275" s="28" t="s">
        <v>90</v>
      </c>
      <c r="C2275" s="28" t="s">
        <v>57</v>
      </c>
      <c r="D2275" s="28" t="n">
        <v>5</v>
      </c>
      <c r="E2275" s="29" t="n">
        <v>1300800</v>
      </c>
      <c r="F2275" s="30" t="n">
        <v>33</v>
      </c>
      <c r="G2275" s="31" t="n">
        <f aca="false">IFERROR(F2275/D2275,0)</f>
        <v>6.6</v>
      </c>
    </row>
    <row r="2276" customFormat="false" ht="15" hidden="false" customHeight="false" outlineLevel="0" collapsed="false">
      <c r="A2276" s="28" t="n">
        <v>2022</v>
      </c>
      <c r="B2276" s="28" t="s">
        <v>90</v>
      </c>
      <c r="C2276" s="28" t="s">
        <v>59</v>
      </c>
      <c r="D2276" s="28" t="n">
        <v>1</v>
      </c>
      <c r="E2276" s="29" t="n">
        <v>5000000</v>
      </c>
      <c r="F2276" s="30" t="n">
        <v>5</v>
      </c>
      <c r="G2276" s="31" t="n">
        <f aca="false">IFERROR(F2276/D2276,0)</f>
        <v>5</v>
      </c>
    </row>
    <row r="2277" customFormat="false" ht="15" hidden="false" customHeight="false" outlineLevel="0" collapsed="false">
      <c r="A2277" s="28" t="n">
        <v>2022</v>
      </c>
      <c r="B2277" s="28" t="s">
        <v>90</v>
      </c>
      <c r="C2277" s="28" t="s">
        <v>47</v>
      </c>
      <c r="D2277" s="28" t="n">
        <v>68</v>
      </c>
      <c r="E2277" s="29" t="n">
        <v>58932400</v>
      </c>
      <c r="F2277" s="30" t="n">
        <v>426.33</v>
      </c>
      <c r="G2277" s="31" t="n">
        <f aca="false">IFERROR(F2277/D2277,0)</f>
        <v>6.26955882352941</v>
      </c>
    </row>
    <row r="2278" customFormat="false" ht="15" hidden="false" customHeight="false" outlineLevel="0" collapsed="false">
      <c r="A2278" s="28" t="n">
        <v>2022</v>
      </c>
      <c r="B2278" s="28" t="s">
        <v>90</v>
      </c>
      <c r="C2278" s="28" t="s">
        <v>46</v>
      </c>
      <c r="D2278" s="28" t="n">
        <v>85</v>
      </c>
      <c r="E2278" s="29" t="n">
        <v>48429500</v>
      </c>
      <c r="F2278" s="30" t="n">
        <v>554.54</v>
      </c>
      <c r="G2278" s="31" t="n">
        <f aca="false">IFERROR(F2278/D2278,0)</f>
        <v>6.524</v>
      </c>
    </row>
    <row r="2279" customFormat="false" ht="15" hidden="false" customHeight="false" outlineLevel="0" collapsed="false">
      <c r="A2279" s="28" t="n">
        <v>2022</v>
      </c>
      <c r="B2279" s="28" t="s">
        <v>90</v>
      </c>
      <c r="C2279" s="28" t="s">
        <v>48</v>
      </c>
      <c r="D2279" s="28" t="n">
        <v>69</v>
      </c>
      <c r="E2279" s="29" t="n">
        <v>36186500</v>
      </c>
      <c r="F2279" s="30" t="n">
        <v>455.84</v>
      </c>
      <c r="G2279" s="31" t="n">
        <f aca="false">IFERROR(F2279/D2279,0)</f>
        <v>6.6063768115942</v>
      </c>
    </row>
    <row r="2280" customFormat="false" ht="15" hidden="false" customHeight="false" outlineLevel="0" collapsed="false">
      <c r="A2280" s="28" t="n">
        <v>2022</v>
      </c>
      <c r="B2280" s="28" t="s">
        <v>90</v>
      </c>
      <c r="C2280" s="28" t="s">
        <v>61</v>
      </c>
      <c r="D2280" s="28" t="n">
        <v>2</v>
      </c>
      <c r="E2280" s="29" t="n">
        <v>400000</v>
      </c>
      <c r="F2280" s="30" t="n">
        <v>14.25</v>
      </c>
      <c r="G2280" s="31" t="n">
        <f aca="false">IFERROR(F2280/D2280,0)</f>
        <v>7.125</v>
      </c>
    </row>
    <row r="2281" customFormat="false" ht="15" hidden="false" customHeight="false" outlineLevel="0" collapsed="false">
      <c r="A2281" s="28" t="n">
        <v>2022</v>
      </c>
      <c r="B2281" s="28" t="s">
        <v>90</v>
      </c>
      <c r="C2281" s="28" t="s">
        <v>53</v>
      </c>
      <c r="D2281" s="28" t="n">
        <v>25</v>
      </c>
      <c r="E2281" s="29" t="n">
        <v>23280000</v>
      </c>
      <c r="F2281" s="30" t="n">
        <v>139.82</v>
      </c>
      <c r="G2281" s="31" t="n">
        <f aca="false">IFERROR(F2281/D2281,0)</f>
        <v>5.5928</v>
      </c>
    </row>
    <row r="2282" customFormat="false" ht="15" hidden="false" customHeight="false" outlineLevel="0" collapsed="false">
      <c r="A2282" s="28" t="n">
        <v>2022</v>
      </c>
      <c r="B2282" s="28" t="s">
        <v>90</v>
      </c>
      <c r="C2282" s="28" t="s">
        <v>43</v>
      </c>
      <c r="D2282" s="28" t="n">
        <v>104</v>
      </c>
      <c r="E2282" s="29" t="n">
        <v>65401200</v>
      </c>
      <c r="F2282" s="30" t="n">
        <v>693.268</v>
      </c>
      <c r="G2282" s="31" t="n">
        <f aca="false">IFERROR(F2282/D2282,0)</f>
        <v>6.66603846153846</v>
      </c>
    </row>
    <row r="2283" customFormat="false" ht="15" hidden="false" customHeight="false" outlineLevel="0" collapsed="false">
      <c r="A2283" s="28" t="n">
        <v>2022</v>
      </c>
      <c r="B2283" s="28" t="s">
        <v>90</v>
      </c>
      <c r="C2283" s="28" t="s">
        <v>52</v>
      </c>
      <c r="D2283" s="28" t="n">
        <v>41</v>
      </c>
      <c r="E2283" s="29" t="n">
        <v>18428800</v>
      </c>
      <c r="F2283" s="30" t="n">
        <v>308.65</v>
      </c>
      <c r="G2283" s="31" t="n">
        <f aca="false">IFERROR(F2283/D2283,0)</f>
        <v>7.5280487804878</v>
      </c>
    </row>
    <row r="2284" customFormat="false" ht="15" hidden="false" customHeight="false" outlineLevel="0" collapsed="false">
      <c r="A2284" s="28" t="n">
        <v>2022</v>
      </c>
      <c r="B2284" s="28" t="s">
        <v>90</v>
      </c>
      <c r="C2284" s="28" t="s">
        <v>49</v>
      </c>
      <c r="D2284" s="28" t="n">
        <v>25</v>
      </c>
      <c r="E2284" s="29" t="n">
        <v>18909900</v>
      </c>
      <c r="F2284" s="30" t="n">
        <v>182.53</v>
      </c>
      <c r="G2284" s="31" t="n">
        <f aca="false">IFERROR(F2284/D2284,0)</f>
        <v>7.3012</v>
      </c>
    </row>
    <row r="2285" customFormat="false" ht="15" hidden="false" customHeight="false" outlineLevel="0" collapsed="false">
      <c r="A2285" s="28" t="n">
        <v>2022</v>
      </c>
      <c r="B2285" s="28" t="s">
        <v>116</v>
      </c>
      <c r="C2285" s="28" t="s">
        <v>42</v>
      </c>
      <c r="D2285" s="28" t="n">
        <v>14</v>
      </c>
      <c r="E2285" s="29" t="n">
        <v>13848000</v>
      </c>
      <c r="F2285" s="30" t="n">
        <v>77.83</v>
      </c>
      <c r="G2285" s="31" t="n">
        <f aca="false">IFERROR(F2285/D2285,0)</f>
        <v>5.55928571428571</v>
      </c>
    </row>
    <row r="2286" customFormat="false" ht="15" hidden="false" customHeight="false" outlineLevel="0" collapsed="false">
      <c r="A2286" s="28" t="n">
        <v>2022</v>
      </c>
      <c r="B2286" s="28" t="s">
        <v>116</v>
      </c>
      <c r="C2286" s="28" t="s">
        <v>50</v>
      </c>
      <c r="D2286" s="28" t="n">
        <v>10</v>
      </c>
      <c r="E2286" s="29" t="n">
        <v>1686000</v>
      </c>
      <c r="F2286" s="30" t="n">
        <v>55.99</v>
      </c>
      <c r="G2286" s="31" t="n">
        <f aca="false">IFERROR(F2286/D2286,0)</f>
        <v>5.599</v>
      </c>
    </row>
    <row r="2287" customFormat="false" ht="15" hidden="false" customHeight="false" outlineLevel="0" collapsed="false">
      <c r="A2287" s="28" t="n">
        <v>2022</v>
      </c>
      <c r="B2287" s="28" t="s">
        <v>116</v>
      </c>
      <c r="C2287" s="28" t="s">
        <v>55</v>
      </c>
      <c r="D2287" s="28" t="n">
        <v>2</v>
      </c>
      <c r="E2287" s="29" t="n">
        <v>380300</v>
      </c>
      <c r="F2287" s="30" t="n">
        <v>9</v>
      </c>
      <c r="G2287" s="31" t="n">
        <f aca="false">IFERROR(F2287/D2287,0)</f>
        <v>4.5</v>
      </c>
    </row>
    <row r="2288" customFormat="false" ht="15" hidden="false" customHeight="false" outlineLevel="0" collapsed="false">
      <c r="A2288" s="28" t="n">
        <v>2022</v>
      </c>
      <c r="B2288" s="28" t="s">
        <v>116</v>
      </c>
      <c r="C2288" s="28" t="s">
        <v>51</v>
      </c>
      <c r="D2288" s="28" t="n">
        <v>8</v>
      </c>
      <c r="E2288" s="29" t="n">
        <v>1334700</v>
      </c>
      <c r="F2288" s="30" t="n">
        <v>49</v>
      </c>
      <c r="G2288" s="31" t="n">
        <f aca="false">IFERROR(F2288/D2288,0)</f>
        <v>6.125</v>
      </c>
    </row>
    <row r="2289" customFormat="false" ht="15" hidden="false" customHeight="false" outlineLevel="0" collapsed="false">
      <c r="A2289" s="28" t="n">
        <v>2022</v>
      </c>
      <c r="B2289" s="28" t="s">
        <v>116</v>
      </c>
      <c r="C2289" s="28" t="s">
        <v>45</v>
      </c>
      <c r="D2289" s="28" t="n">
        <v>18</v>
      </c>
      <c r="E2289" s="29" t="n">
        <v>1940500</v>
      </c>
      <c r="F2289" s="30" t="n">
        <v>96.71</v>
      </c>
      <c r="G2289" s="31" t="n">
        <f aca="false">IFERROR(F2289/D2289,0)</f>
        <v>5.37277777777778</v>
      </c>
    </row>
    <row r="2290" customFormat="false" ht="15" hidden="false" customHeight="false" outlineLevel="0" collapsed="false">
      <c r="A2290" s="28" t="n">
        <v>2022</v>
      </c>
      <c r="B2290" s="28" t="s">
        <v>116</v>
      </c>
      <c r="C2290" s="28" t="s">
        <v>54</v>
      </c>
      <c r="D2290" s="28" t="n">
        <v>2</v>
      </c>
      <c r="E2290" s="29" t="n">
        <v>837000</v>
      </c>
      <c r="F2290" s="30" t="n">
        <v>12.75</v>
      </c>
      <c r="G2290" s="31" t="n">
        <f aca="false">IFERROR(F2290/D2290,0)</f>
        <v>6.375</v>
      </c>
    </row>
    <row r="2291" customFormat="false" ht="15" hidden="false" customHeight="false" outlineLevel="0" collapsed="false">
      <c r="A2291" s="28" t="n">
        <v>2022</v>
      </c>
      <c r="B2291" s="28" t="s">
        <v>116</v>
      </c>
      <c r="C2291" s="28" t="s">
        <v>44</v>
      </c>
      <c r="D2291" s="28" t="n">
        <v>10</v>
      </c>
      <c r="E2291" s="29" t="n">
        <v>1818000</v>
      </c>
      <c r="F2291" s="30" t="n">
        <v>52.75</v>
      </c>
      <c r="G2291" s="31" t="n">
        <f aca="false">IFERROR(F2291/D2291,0)</f>
        <v>5.275</v>
      </c>
    </row>
    <row r="2292" customFormat="false" ht="15" hidden="false" customHeight="false" outlineLevel="0" collapsed="false">
      <c r="A2292" s="28" t="n">
        <v>2022</v>
      </c>
      <c r="B2292" s="28" t="s">
        <v>116</v>
      </c>
      <c r="C2292" s="28" t="s">
        <v>47</v>
      </c>
      <c r="D2292" s="28" t="n">
        <v>3</v>
      </c>
      <c r="E2292" s="29" t="n">
        <v>2087800</v>
      </c>
      <c r="F2292" s="30" t="n">
        <v>11.75</v>
      </c>
      <c r="G2292" s="31" t="n">
        <f aca="false">IFERROR(F2292/D2292,0)</f>
        <v>3.91666666666667</v>
      </c>
    </row>
    <row r="2293" customFormat="false" ht="15" hidden="false" customHeight="false" outlineLevel="0" collapsed="false">
      <c r="A2293" s="28" t="n">
        <v>2022</v>
      </c>
      <c r="B2293" s="28" t="s">
        <v>116</v>
      </c>
      <c r="C2293" s="28" t="s">
        <v>58</v>
      </c>
      <c r="D2293" s="28" t="n">
        <v>3</v>
      </c>
      <c r="E2293" s="29" t="n">
        <v>3025500</v>
      </c>
      <c r="F2293" s="30" t="n">
        <v>18.25</v>
      </c>
      <c r="G2293" s="31" t="n">
        <f aca="false">IFERROR(F2293/D2293,0)</f>
        <v>6.08333333333333</v>
      </c>
    </row>
    <row r="2294" customFormat="false" ht="15" hidden="false" customHeight="false" outlineLevel="0" collapsed="false">
      <c r="A2294" s="28" t="n">
        <v>2022</v>
      </c>
      <c r="B2294" s="28" t="s">
        <v>116</v>
      </c>
      <c r="C2294" s="28" t="s">
        <v>46</v>
      </c>
      <c r="D2294" s="28" t="n">
        <v>8</v>
      </c>
      <c r="E2294" s="29" t="n">
        <v>2810300</v>
      </c>
      <c r="F2294" s="30" t="n">
        <v>47.39</v>
      </c>
      <c r="G2294" s="31" t="n">
        <f aca="false">IFERROR(F2294/D2294,0)</f>
        <v>5.92375</v>
      </c>
    </row>
    <row r="2295" customFormat="false" ht="15" hidden="false" customHeight="false" outlineLevel="0" collapsed="false">
      <c r="A2295" s="28" t="n">
        <v>2022</v>
      </c>
      <c r="B2295" s="28" t="s">
        <v>116</v>
      </c>
      <c r="C2295" s="28" t="s">
        <v>48</v>
      </c>
      <c r="D2295" s="28" t="n">
        <v>11</v>
      </c>
      <c r="E2295" s="29" t="n">
        <v>1587700</v>
      </c>
      <c r="F2295" s="30" t="n">
        <v>65.98</v>
      </c>
      <c r="G2295" s="31" t="n">
        <f aca="false">IFERROR(F2295/D2295,0)</f>
        <v>5.99818181818182</v>
      </c>
    </row>
    <row r="2296" customFormat="false" ht="15" hidden="false" customHeight="false" outlineLevel="0" collapsed="false">
      <c r="A2296" s="28" t="n">
        <v>2022</v>
      </c>
      <c r="B2296" s="28" t="s">
        <v>116</v>
      </c>
      <c r="C2296" s="28" t="s">
        <v>53</v>
      </c>
      <c r="D2296" s="28" t="n">
        <v>2</v>
      </c>
      <c r="E2296" s="29" t="n">
        <v>280000</v>
      </c>
      <c r="F2296" s="30" t="n">
        <v>10</v>
      </c>
      <c r="G2296" s="31" t="n">
        <f aca="false">IFERROR(F2296/D2296,0)</f>
        <v>5</v>
      </c>
    </row>
    <row r="2297" customFormat="false" ht="15" hidden="false" customHeight="false" outlineLevel="0" collapsed="false">
      <c r="A2297" s="28" t="n">
        <v>2022</v>
      </c>
      <c r="B2297" s="28" t="s">
        <v>116</v>
      </c>
      <c r="C2297" s="28" t="s">
        <v>43</v>
      </c>
      <c r="D2297" s="28" t="n">
        <v>13</v>
      </c>
      <c r="E2297" s="29" t="n">
        <v>5952500</v>
      </c>
      <c r="F2297" s="30" t="n">
        <v>70.6</v>
      </c>
      <c r="G2297" s="31" t="n">
        <f aca="false">IFERROR(F2297/D2297,0)</f>
        <v>5.43076923076923</v>
      </c>
    </row>
    <row r="2298" customFormat="false" ht="15" hidden="false" customHeight="false" outlineLevel="0" collapsed="false">
      <c r="A2298" s="28" t="n">
        <v>2022</v>
      </c>
      <c r="B2298" s="28" t="s">
        <v>116</v>
      </c>
      <c r="C2298" s="28" t="s">
        <v>52</v>
      </c>
      <c r="D2298" s="28" t="n">
        <v>4</v>
      </c>
      <c r="E2298" s="29" t="n">
        <v>745200</v>
      </c>
      <c r="F2298" s="30" t="n">
        <v>21.05</v>
      </c>
      <c r="G2298" s="31" t="n">
        <f aca="false">IFERROR(F2298/D2298,0)</f>
        <v>5.2625</v>
      </c>
    </row>
    <row r="2299" customFormat="false" ht="15" hidden="false" customHeight="false" outlineLevel="0" collapsed="false">
      <c r="A2299" s="28" t="n">
        <v>2022</v>
      </c>
      <c r="B2299" s="28" t="s">
        <v>117</v>
      </c>
      <c r="C2299" s="28" t="s">
        <v>42</v>
      </c>
      <c r="D2299" s="28" t="n">
        <v>34</v>
      </c>
      <c r="E2299" s="29" t="n">
        <v>16004100</v>
      </c>
      <c r="F2299" s="30" t="n">
        <v>189.475</v>
      </c>
      <c r="G2299" s="31" t="n">
        <f aca="false">IFERROR(F2299/D2299,0)</f>
        <v>5.57279411764706</v>
      </c>
    </row>
    <row r="2300" customFormat="false" ht="15" hidden="false" customHeight="false" outlineLevel="0" collapsed="false">
      <c r="A2300" s="28" t="n">
        <v>2022</v>
      </c>
      <c r="B2300" s="28" t="s">
        <v>117</v>
      </c>
      <c r="C2300" s="28" t="s">
        <v>50</v>
      </c>
      <c r="D2300" s="28" t="n">
        <v>12</v>
      </c>
      <c r="E2300" s="29" t="n">
        <v>3029200</v>
      </c>
      <c r="F2300" s="30" t="n">
        <v>74.49</v>
      </c>
      <c r="G2300" s="31" t="n">
        <f aca="false">IFERROR(F2300/D2300,0)</f>
        <v>6.2075</v>
      </c>
    </row>
    <row r="2301" customFormat="false" ht="15" hidden="false" customHeight="false" outlineLevel="0" collapsed="false">
      <c r="A2301" s="28" t="n">
        <v>2022</v>
      </c>
      <c r="B2301" s="28" t="s">
        <v>117</v>
      </c>
      <c r="C2301" s="28" t="s">
        <v>55</v>
      </c>
      <c r="D2301" s="28" t="n">
        <v>7</v>
      </c>
      <c r="E2301" s="29" t="n">
        <v>6821700</v>
      </c>
      <c r="F2301" s="30" t="n">
        <v>37.68</v>
      </c>
      <c r="G2301" s="31" t="n">
        <f aca="false">IFERROR(F2301/D2301,0)</f>
        <v>5.38285714285714</v>
      </c>
    </row>
    <row r="2302" customFormat="false" ht="15" hidden="false" customHeight="false" outlineLevel="0" collapsed="false">
      <c r="A2302" s="28" t="n">
        <v>2022</v>
      </c>
      <c r="B2302" s="28" t="s">
        <v>117</v>
      </c>
      <c r="C2302" s="28" t="s">
        <v>51</v>
      </c>
      <c r="D2302" s="28" t="n">
        <v>14</v>
      </c>
      <c r="E2302" s="29" t="n">
        <v>5281000</v>
      </c>
      <c r="F2302" s="30" t="n">
        <v>79.55</v>
      </c>
      <c r="G2302" s="31" t="n">
        <f aca="false">IFERROR(F2302/D2302,0)</f>
        <v>5.68214285714286</v>
      </c>
    </row>
    <row r="2303" customFormat="false" ht="15" hidden="false" customHeight="false" outlineLevel="0" collapsed="false">
      <c r="A2303" s="28" t="n">
        <v>2022</v>
      </c>
      <c r="B2303" s="28" t="s">
        <v>117</v>
      </c>
      <c r="C2303" s="28" t="s">
        <v>45</v>
      </c>
      <c r="D2303" s="28" t="n">
        <v>37</v>
      </c>
      <c r="E2303" s="29" t="n">
        <v>7292300</v>
      </c>
      <c r="F2303" s="30" t="n">
        <v>214.38</v>
      </c>
      <c r="G2303" s="31" t="n">
        <f aca="false">IFERROR(F2303/D2303,0)</f>
        <v>5.79405405405405</v>
      </c>
    </row>
    <row r="2304" customFormat="false" ht="15" hidden="false" customHeight="false" outlineLevel="0" collapsed="false">
      <c r="A2304" s="28" t="n">
        <v>2022</v>
      </c>
      <c r="B2304" s="28" t="s">
        <v>117</v>
      </c>
      <c r="C2304" s="28" t="s">
        <v>56</v>
      </c>
      <c r="D2304" s="28" t="n">
        <v>7</v>
      </c>
      <c r="E2304" s="29" t="n">
        <v>1725800</v>
      </c>
      <c r="F2304" s="30" t="n">
        <v>39.6</v>
      </c>
      <c r="G2304" s="31" t="n">
        <f aca="false">IFERROR(F2304/D2304,0)</f>
        <v>5.65714285714286</v>
      </c>
    </row>
    <row r="2305" customFormat="false" ht="15" hidden="false" customHeight="false" outlineLevel="0" collapsed="false">
      <c r="A2305" s="28" t="n">
        <v>2022</v>
      </c>
      <c r="B2305" s="28" t="s">
        <v>117</v>
      </c>
      <c r="C2305" s="28" t="s">
        <v>54</v>
      </c>
      <c r="D2305" s="28" t="n">
        <v>7</v>
      </c>
      <c r="E2305" s="29" t="n">
        <v>2294500</v>
      </c>
      <c r="F2305" s="30" t="n">
        <v>35.84</v>
      </c>
      <c r="G2305" s="31" t="n">
        <f aca="false">IFERROR(F2305/D2305,0)</f>
        <v>5.12</v>
      </c>
    </row>
    <row r="2306" customFormat="false" ht="15" hidden="false" customHeight="false" outlineLevel="0" collapsed="false">
      <c r="A2306" s="28" t="n">
        <v>2022</v>
      </c>
      <c r="B2306" s="28" t="s">
        <v>117</v>
      </c>
      <c r="C2306" s="28" t="s">
        <v>44</v>
      </c>
      <c r="D2306" s="28" t="n">
        <v>27</v>
      </c>
      <c r="E2306" s="29" t="n">
        <v>13715500</v>
      </c>
      <c r="F2306" s="30" t="n">
        <v>147.14</v>
      </c>
      <c r="G2306" s="31" t="n">
        <f aca="false">IFERROR(F2306/D2306,0)</f>
        <v>5.44962962962963</v>
      </c>
    </row>
    <row r="2307" customFormat="false" ht="15" hidden="false" customHeight="false" outlineLevel="0" collapsed="false">
      <c r="A2307" s="28" t="n">
        <v>2022</v>
      </c>
      <c r="B2307" s="28" t="s">
        <v>117</v>
      </c>
      <c r="C2307" s="28" t="s">
        <v>57</v>
      </c>
      <c r="D2307" s="28" t="n">
        <v>3</v>
      </c>
      <c r="E2307" s="29" t="n">
        <v>996800</v>
      </c>
      <c r="F2307" s="30" t="n">
        <v>19.5</v>
      </c>
      <c r="G2307" s="31" t="n">
        <f aca="false">IFERROR(F2307/D2307,0)</f>
        <v>6.5</v>
      </c>
    </row>
    <row r="2308" customFormat="false" ht="15" hidden="false" customHeight="false" outlineLevel="0" collapsed="false">
      <c r="A2308" s="28" t="n">
        <v>2022</v>
      </c>
      <c r="B2308" s="28" t="s">
        <v>117</v>
      </c>
      <c r="C2308" s="28" t="s">
        <v>47</v>
      </c>
      <c r="D2308" s="28" t="n">
        <v>23</v>
      </c>
      <c r="E2308" s="29" t="n">
        <v>10538000</v>
      </c>
      <c r="F2308" s="30" t="n">
        <v>125.58</v>
      </c>
      <c r="G2308" s="31" t="n">
        <f aca="false">IFERROR(F2308/D2308,0)</f>
        <v>5.46</v>
      </c>
    </row>
    <row r="2309" customFormat="false" ht="15" hidden="false" customHeight="false" outlineLevel="0" collapsed="false">
      <c r="A2309" s="28" t="n">
        <v>2022</v>
      </c>
      <c r="B2309" s="28" t="s">
        <v>117</v>
      </c>
      <c r="C2309" s="28" t="s">
        <v>46</v>
      </c>
      <c r="D2309" s="28" t="n">
        <v>23</v>
      </c>
      <c r="E2309" s="29" t="n">
        <v>7779000</v>
      </c>
      <c r="F2309" s="30" t="n">
        <v>128.513</v>
      </c>
      <c r="G2309" s="31" t="n">
        <f aca="false">IFERROR(F2309/D2309,0)</f>
        <v>5.58752173913044</v>
      </c>
    </row>
    <row r="2310" customFormat="false" ht="15" hidden="false" customHeight="false" outlineLevel="0" collapsed="false">
      <c r="A2310" s="28" t="n">
        <v>2022</v>
      </c>
      <c r="B2310" s="28" t="s">
        <v>117</v>
      </c>
      <c r="C2310" s="28" t="s">
        <v>48</v>
      </c>
      <c r="D2310" s="28" t="n">
        <v>18</v>
      </c>
      <c r="E2310" s="29" t="n">
        <v>7315900</v>
      </c>
      <c r="F2310" s="30" t="n">
        <v>111.74</v>
      </c>
      <c r="G2310" s="31" t="n">
        <f aca="false">IFERROR(F2310/D2310,0)</f>
        <v>6.20777777777778</v>
      </c>
    </row>
    <row r="2311" customFormat="false" ht="15" hidden="false" customHeight="false" outlineLevel="0" collapsed="false">
      <c r="A2311" s="28" t="n">
        <v>2022</v>
      </c>
      <c r="B2311" s="28" t="s">
        <v>117</v>
      </c>
      <c r="C2311" s="28" t="s">
        <v>53</v>
      </c>
      <c r="D2311" s="28" t="n">
        <v>8</v>
      </c>
      <c r="E2311" s="29" t="n">
        <v>10999900</v>
      </c>
      <c r="F2311" s="30" t="n">
        <v>38.8</v>
      </c>
      <c r="G2311" s="31" t="n">
        <f aca="false">IFERROR(F2311/D2311,0)</f>
        <v>4.85</v>
      </c>
    </row>
    <row r="2312" customFormat="false" ht="15" hidden="false" customHeight="false" outlineLevel="0" collapsed="false">
      <c r="A2312" s="28" t="n">
        <v>2022</v>
      </c>
      <c r="B2312" s="28" t="s">
        <v>117</v>
      </c>
      <c r="C2312" s="28" t="s">
        <v>43</v>
      </c>
      <c r="D2312" s="28" t="n">
        <v>27</v>
      </c>
      <c r="E2312" s="29" t="n">
        <v>6249700</v>
      </c>
      <c r="F2312" s="30" t="n">
        <v>146.465</v>
      </c>
      <c r="G2312" s="31" t="n">
        <f aca="false">IFERROR(F2312/D2312,0)</f>
        <v>5.42462962962963</v>
      </c>
    </row>
    <row r="2313" customFormat="false" ht="15" hidden="false" customHeight="false" outlineLevel="0" collapsed="false">
      <c r="A2313" s="28" t="n">
        <v>2022</v>
      </c>
      <c r="B2313" s="28" t="s">
        <v>117</v>
      </c>
      <c r="C2313" s="28" t="s">
        <v>52</v>
      </c>
      <c r="D2313" s="28" t="n">
        <v>14</v>
      </c>
      <c r="E2313" s="29" t="n">
        <v>3426200</v>
      </c>
      <c r="F2313" s="30" t="n">
        <v>93.5</v>
      </c>
      <c r="G2313" s="31" t="n">
        <f aca="false">IFERROR(F2313/D2313,0)</f>
        <v>6.67857142857143</v>
      </c>
    </row>
    <row r="2314" customFormat="false" ht="15" hidden="false" customHeight="false" outlineLevel="0" collapsed="false">
      <c r="A2314" s="28" t="n">
        <v>2022</v>
      </c>
      <c r="B2314" s="28" t="s">
        <v>117</v>
      </c>
      <c r="C2314" s="28" t="s">
        <v>60</v>
      </c>
      <c r="D2314" s="28" t="n">
        <v>1</v>
      </c>
      <c r="E2314" s="29" t="n">
        <v>700000</v>
      </c>
      <c r="F2314" s="30" t="n">
        <v>5.5</v>
      </c>
      <c r="G2314" s="31" t="n">
        <f aca="false">IFERROR(F2314/D2314,0)</f>
        <v>5.5</v>
      </c>
    </row>
    <row r="2315" customFormat="false" ht="15" hidden="false" customHeight="false" outlineLevel="0" collapsed="false">
      <c r="A2315" s="28" t="n">
        <v>2022</v>
      </c>
      <c r="B2315" s="28" t="s">
        <v>117</v>
      </c>
      <c r="C2315" s="28" t="s">
        <v>49</v>
      </c>
      <c r="D2315" s="28" t="n">
        <v>12</v>
      </c>
      <c r="E2315" s="29" t="n">
        <v>9753300</v>
      </c>
      <c r="F2315" s="30" t="n">
        <v>63.35</v>
      </c>
      <c r="G2315" s="31" t="n">
        <f aca="false">IFERROR(F2315/D2315,0)</f>
        <v>5.27916666666667</v>
      </c>
    </row>
    <row r="2316" customFormat="false" ht="15" hidden="false" customHeight="false" outlineLevel="0" collapsed="false">
      <c r="A2316" s="28" t="n">
        <v>2022</v>
      </c>
      <c r="B2316" s="28" t="s">
        <v>118</v>
      </c>
      <c r="C2316" s="28" t="s">
        <v>42</v>
      </c>
      <c r="D2316" s="28" t="n">
        <v>45</v>
      </c>
      <c r="E2316" s="29" t="n">
        <v>18222300</v>
      </c>
      <c r="F2316" s="30" t="n">
        <v>264.16</v>
      </c>
      <c r="G2316" s="31" t="n">
        <f aca="false">IFERROR(F2316/D2316,0)</f>
        <v>5.87022222222222</v>
      </c>
    </row>
    <row r="2317" customFormat="false" ht="15" hidden="false" customHeight="false" outlineLevel="0" collapsed="false">
      <c r="A2317" s="28" t="n">
        <v>2022</v>
      </c>
      <c r="B2317" s="28" t="s">
        <v>118</v>
      </c>
      <c r="C2317" s="28" t="s">
        <v>50</v>
      </c>
      <c r="D2317" s="28" t="n">
        <v>24</v>
      </c>
      <c r="E2317" s="29" t="n">
        <v>2868800</v>
      </c>
      <c r="F2317" s="30" t="n">
        <v>144.8</v>
      </c>
      <c r="G2317" s="31" t="n">
        <f aca="false">IFERROR(F2317/D2317,0)</f>
        <v>6.03333333333333</v>
      </c>
    </row>
    <row r="2318" customFormat="false" ht="15" hidden="false" customHeight="false" outlineLevel="0" collapsed="false">
      <c r="A2318" s="28" t="n">
        <v>2022</v>
      </c>
      <c r="B2318" s="28" t="s">
        <v>118</v>
      </c>
      <c r="C2318" s="28" t="s">
        <v>55</v>
      </c>
      <c r="D2318" s="28" t="n">
        <v>3</v>
      </c>
      <c r="E2318" s="29" t="n">
        <v>250000</v>
      </c>
      <c r="F2318" s="30" t="n">
        <v>15.3</v>
      </c>
      <c r="G2318" s="31" t="n">
        <f aca="false">IFERROR(F2318/D2318,0)</f>
        <v>5.1</v>
      </c>
    </row>
    <row r="2319" customFormat="false" ht="15" hidden="false" customHeight="false" outlineLevel="0" collapsed="false">
      <c r="A2319" s="28" t="n">
        <v>2022</v>
      </c>
      <c r="B2319" s="28" t="s">
        <v>118</v>
      </c>
      <c r="C2319" s="28" t="s">
        <v>51</v>
      </c>
      <c r="D2319" s="28" t="n">
        <v>19</v>
      </c>
      <c r="E2319" s="29" t="n">
        <v>6673300</v>
      </c>
      <c r="F2319" s="30" t="n">
        <v>116.22</v>
      </c>
      <c r="G2319" s="31" t="n">
        <f aca="false">IFERROR(F2319/D2319,0)</f>
        <v>6.11684210526316</v>
      </c>
    </row>
    <row r="2320" customFormat="false" ht="15" hidden="false" customHeight="false" outlineLevel="0" collapsed="false">
      <c r="A2320" s="28" t="n">
        <v>2022</v>
      </c>
      <c r="B2320" s="28" t="s">
        <v>118</v>
      </c>
      <c r="C2320" s="28" t="s">
        <v>45</v>
      </c>
      <c r="D2320" s="28" t="n">
        <v>57</v>
      </c>
      <c r="E2320" s="29" t="n">
        <v>12227600</v>
      </c>
      <c r="F2320" s="30" t="n">
        <v>377.295</v>
      </c>
      <c r="G2320" s="31" t="n">
        <f aca="false">IFERROR(F2320/D2320,0)</f>
        <v>6.61921052631579</v>
      </c>
    </row>
    <row r="2321" customFormat="false" ht="15" hidden="false" customHeight="false" outlineLevel="0" collapsed="false">
      <c r="A2321" s="28" t="n">
        <v>2022</v>
      </c>
      <c r="B2321" s="28" t="s">
        <v>118</v>
      </c>
      <c r="C2321" s="28" t="s">
        <v>56</v>
      </c>
      <c r="D2321" s="28" t="n">
        <v>8</v>
      </c>
      <c r="E2321" s="29" t="n">
        <v>1310900</v>
      </c>
      <c r="F2321" s="30" t="n">
        <v>45.28</v>
      </c>
      <c r="G2321" s="31" t="n">
        <f aca="false">IFERROR(F2321/D2321,0)</f>
        <v>5.66</v>
      </c>
    </row>
    <row r="2322" customFormat="false" ht="15" hidden="false" customHeight="false" outlineLevel="0" collapsed="false">
      <c r="A2322" s="28" t="n">
        <v>2022</v>
      </c>
      <c r="B2322" s="28" t="s">
        <v>118</v>
      </c>
      <c r="C2322" s="28" t="s">
        <v>54</v>
      </c>
      <c r="D2322" s="28" t="n">
        <v>4</v>
      </c>
      <c r="E2322" s="29" t="n">
        <v>696600</v>
      </c>
      <c r="F2322" s="30" t="n">
        <v>23.49</v>
      </c>
      <c r="G2322" s="31" t="n">
        <f aca="false">IFERROR(F2322/D2322,0)</f>
        <v>5.8725</v>
      </c>
    </row>
    <row r="2323" customFormat="false" ht="15" hidden="false" customHeight="false" outlineLevel="0" collapsed="false">
      <c r="A2323" s="28" t="n">
        <v>2022</v>
      </c>
      <c r="B2323" s="28" t="s">
        <v>118</v>
      </c>
      <c r="C2323" s="28" t="s">
        <v>44</v>
      </c>
      <c r="D2323" s="28" t="n">
        <v>22</v>
      </c>
      <c r="E2323" s="29" t="n">
        <v>15126200</v>
      </c>
      <c r="F2323" s="30" t="n">
        <v>128.48</v>
      </c>
      <c r="G2323" s="31" t="n">
        <f aca="false">IFERROR(F2323/D2323,0)</f>
        <v>5.84</v>
      </c>
    </row>
    <row r="2324" customFormat="false" ht="15" hidden="false" customHeight="false" outlineLevel="0" collapsed="false">
      <c r="A2324" s="28" t="n">
        <v>2022</v>
      </c>
      <c r="B2324" s="28" t="s">
        <v>118</v>
      </c>
      <c r="C2324" s="28" t="s">
        <v>57</v>
      </c>
      <c r="D2324" s="28" t="n">
        <v>5</v>
      </c>
      <c r="E2324" s="29" t="n">
        <v>714000</v>
      </c>
      <c r="F2324" s="30" t="n">
        <v>28.98</v>
      </c>
      <c r="G2324" s="31" t="n">
        <f aca="false">IFERROR(F2324/D2324,0)</f>
        <v>5.796</v>
      </c>
    </row>
    <row r="2325" customFormat="false" ht="15" hidden="false" customHeight="false" outlineLevel="0" collapsed="false">
      <c r="A2325" s="28" t="n">
        <v>2022</v>
      </c>
      <c r="B2325" s="28" t="s">
        <v>118</v>
      </c>
      <c r="C2325" s="28" t="s">
        <v>47</v>
      </c>
      <c r="D2325" s="28" t="n">
        <v>21</v>
      </c>
      <c r="E2325" s="29" t="n">
        <v>9502200</v>
      </c>
      <c r="F2325" s="30" t="n">
        <v>109.85</v>
      </c>
      <c r="G2325" s="31" t="n">
        <f aca="false">IFERROR(F2325/D2325,0)</f>
        <v>5.23095238095238</v>
      </c>
    </row>
    <row r="2326" customFormat="false" ht="15" hidden="false" customHeight="false" outlineLevel="0" collapsed="false">
      <c r="A2326" s="28" t="n">
        <v>2022</v>
      </c>
      <c r="B2326" s="28" t="s">
        <v>118</v>
      </c>
      <c r="C2326" s="28" t="s">
        <v>58</v>
      </c>
      <c r="D2326" s="28" t="n">
        <v>1</v>
      </c>
      <c r="E2326" s="29" t="n">
        <v>35000</v>
      </c>
      <c r="F2326" s="30" t="n">
        <v>6.49</v>
      </c>
      <c r="G2326" s="31" t="n">
        <f aca="false">IFERROR(F2326/D2326,0)</f>
        <v>6.49</v>
      </c>
    </row>
    <row r="2327" customFormat="false" ht="15" hidden="false" customHeight="false" outlineLevel="0" collapsed="false">
      <c r="A2327" s="28" t="n">
        <v>2022</v>
      </c>
      <c r="B2327" s="28" t="s">
        <v>118</v>
      </c>
      <c r="C2327" s="28" t="s">
        <v>46</v>
      </c>
      <c r="D2327" s="28" t="n">
        <v>27</v>
      </c>
      <c r="E2327" s="29" t="n">
        <v>5950200</v>
      </c>
      <c r="F2327" s="30" t="n">
        <v>187.72</v>
      </c>
      <c r="G2327" s="31" t="n">
        <f aca="false">IFERROR(F2327/D2327,0)</f>
        <v>6.95259259259259</v>
      </c>
    </row>
    <row r="2328" customFormat="false" ht="15" hidden="false" customHeight="false" outlineLevel="0" collapsed="false">
      <c r="A2328" s="28" t="n">
        <v>2022</v>
      </c>
      <c r="B2328" s="28" t="s">
        <v>118</v>
      </c>
      <c r="C2328" s="28" t="s">
        <v>48</v>
      </c>
      <c r="D2328" s="28" t="n">
        <v>31</v>
      </c>
      <c r="E2328" s="29" t="n">
        <v>9310500</v>
      </c>
      <c r="F2328" s="30" t="n">
        <v>199.6</v>
      </c>
      <c r="G2328" s="31" t="n">
        <f aca="false">IFERROR(F2328/D2328,0)</f>
        <v>6.43870967741936</v>
      </c>
    </row>
    <row r="2329" customFormat="false" ht="15" hidden="false" customHeight="false" outlineLevel="0" collapsed="false">
      <c r="A2329" s="28" t="n">
        <v>2022</v>
      </c>
      <c r="B2329" s="28" t="s">
        <v>118</v>
      </c>
      <c r="C2329" s="28" t="s">
        <v>61</v>
      </c>
      <c r="D2329" s="28" t="n">
        <v>1</v>
      </c>
      <c r="E2329" s="29" t="n">
        <v>150000</v>
      </c>
      <c r="F2329" s="30" t="n">
        <v>5.25</v>
      </c>
      <c r="G2329" s="31" t="n">
        <f aca="false">IFERROR(F2329/D2329,0)</f>
        <v>5.25</v>
      </c>
    </row>
    <row r="2330" customFormat="false" ht="15" hidden="false" customHeight="false" outlineLevel="0" collapsed="false">
      <c r="A2330" s="28" t="n">
        <v>2022</v>
      </c>
      <c r="B2330" s="28" t="s">
        <v>118</v>
      </c>
      <c r="C2330" s="28" t="s">
        <v>53</v>
      </c>
      <c r="D2330" s="28" t="n">
        <v>12</v>
      </c>
      <c r="E2330" s="29" t="n">
        <v>2430300</v>
      </c>
      <c r="F2330" s="30" t="n">
        <v>64.765</v>
      </c>
      <c r="G2330" s="31" t="n">
        <f aca="false">IFERROR(F2330/D2330,0)</f>
        <v>5.39708333333333</v>
      </c>
    </row>
    <row r="2331" customFormat="false" ht="15" hidden="false" customHeight="false" outlineLevel="0" collapsed="false">
      <c r="A2331" s="28" t="n">
        <v>2022</v>
      </c>
      <c r="B2331" s="28" t="s">
        <v>118</v>
      </c>
      <c r="C2331" s="28" t="s">
        <v>43</v>
      </c>
      <c r="D2331" s="28" t="n">
        <v>31</v>
      </c>
      <c r="E2331" s="29" t="n">
        <v>14700500</v>
      </c>
      <c r="F2331" s="30" t="n">
        <v>182.46</v>
      </c>
      <c r="G2331" s="31" t="n">
        <f aca="false">IFERROR(F2331/D2331,0)</f>
        <v>5.8858064516129</v>
      </c>
    </row>
    <row r="2332" customFormat="false" ht="15" hidden="false" customHeight="false" outlineLevel="0" collapsed="false">
      <c r="A2332" s="28" t="n">
        <v>2022</v>
      </c>
      <c r="B2332" s="28" t="s">
        <v>118</v>
      </c>
      <c r="C2332" s="28" t="s">
        <v>52</v>
      </c>
      <c r="D2332" s="28" t="n">
        <v>16</v>
      </c>
      <c r="E2332" s="29" t="n">
        <v>2021200</v>
      </c>
      <c r="F2332" s="30" t="n">
        <v>93.18</v>
      </c>
      <c r="G2332" s="31" t="n">
        <f aca="false">IFERROR(F2332/D2332,0)</f>
        <v>5.82375</v>
      </c>
    </row>
    <row r="2333" customFormat="false" ht="15" hidden="false" customHeight="false" outlineLevel="0" collapsed="false">
      <c r="A2333" s="28" t="n">
        <v>2022</v>
      </c>
      <c r="B2333" s="28" t="s">
        <v>118</v>
      </c>
      <c r="C2333" s="28" t="s">
        <v>49</v>
      </c>
      <c r="D2333" s="28" t="n">
        <v>13</v>
      </c>
      <c r="E2333" s="29" t="n">
        <v>6180000</v>
      </c>
      <c r="F2333" s="30" t="n">
        <v>73.98</v>
      </c>
      <c r="G2333" s="31" t="n">
        <f aca="false">IFERROR(F2333/D2333,0)</f>
        <v>5.69076923076923</v>
      </c>
    </row>
    <row r="2334" customFormat="false" ht="15" hidden="false" customHeight="false" outlineLevel="0" collapsed="false">
      <c r="A2334" s="28" t="n">
        <v>2022</v>
      </c>
      <c r="B2334" s="28" t="s">
        <v>91</v>
      </c>
      <c r="C2334" s="28" t="s">
        <v>42</v>
      </c>
      <c r="D2334" s="28" t="n">
        <v>161</v>
      </c>
      <c r="E2334" s="29" t="n">
        <v>100545800</v>
      </c>
      <c r="F2334" s="30" t="n">
        <v>1119.47</v>
      </c>
      <c r="G2334" s="31" t="n">
        <f aca="false">IFERROR(F2334/D2334,0)</f>
        <v>6.9532298136646</v>
      </c>
    </row>
    <row r="2335" customFormat="false" ht="15" hidden="false" customHeight="false" outlineLevel="0" collapsed="false">
      <c r="A2335" s="28" t="n">
        <v>2022</v>
      </c>
      <c r="B2335" s="28" t="s">
        <v>91</v>
      </c>
      <c r="C2335" s="28" t="s">
        <v>50</v>
      </c>
      <c r="D2335" s="28" t="n">
        <v>74</v>
      </c>
      <c r="E2335" s="29" t="n">
        <v>20889000</v>
      </c>
      <c r="F2335" s="30" t="n">
        <v>545.94</v>
      </c>
      <c r="G2335" s="31" t="n">
        <f aca="false">IFERROR(F2335/D2335,0)</f>
        <v>7.37756756756757</v>
      </c>
    </row>
    <row r="2336" customFormat="false" ht="15" hidden="false" customHeight="false" outlineLevel="0" collapsed="false">
      <c r="A2336" s="28" t="n">
        <v>2022</v>
      </c>
      <c r="B2336" s="28" t="s">
        <v>91</v>
      </c>
      <c r="C2336" s="28" t="s">
        <v>55</v>
      </c>
      <c r="D2336" s="28" t="n">
        <v>3</v>
      </c>
      <c r="E2336" s="29" t="n">
        <v>480000</v>
      </c>
      <c r="F2336" s="30" t="n">
        <v>19.25</v>
      </c>
      <c r="G2336" s="31" t="n">
        <f aca="false">IFERROR(F2336/D2336,0)</f>
        <v>6.41666666666667</v>
      </c>
    </row>
    <row r="2337" customFormat="false" ht="15" hidden="false" customHeight="false" outlineLevel="0" collapsed="false">
      <c r="A2337" s="28" t="n">
        <v>2022</v>
      </c>
      <c r="B2337" s="28" t="s">
        <v>91</v>
      </c>
      <c r="C2337" s="28" t="s">
        <v>51</v>
      </c>
      <c r="D2337" s="28" t="n">
        <v>34</v>
      </c>
      <c r="E2337" s="29" t="n">
        <v>20914100</v>
      </c>
      <c r="F2337" s="30" t="n">
        <v>242.15</v>
      </c>
      <c r="G2337" s="31" t="n">
        <f aca="false">IFERROR(F2337/D2337,0)</f>
        <v>7.12205882352941</v>
      </c>
    </row>
    <row r="2338" customFormat="false" ht="15" hidden="false" customHeight="false" outlineLevel="0" collapsed="false">
      <c r="A2338" s="28" t="n">
        <v>2022</v>
      </c>
      <c r="B2338" s="28" t="s">
        <v>91</v>
      </c>
      <c r="C2338" s="28" t="s">
        <v>45</v>
      </c>
      <c r="D2338" s="28" t="n">
        <v>178</v>
      </c>
      <c r="E2338" s="29" t="n">
        <v>53103000</v>
      </c>
      <c r="F2338" s="30" t="n">
        <v>1356.34</v>
      </c>
      <c r="G2338" s="31" t="n">
        <f aca="false">IFERROR(F2338/D2338,0)</f>
        <v>7.61988764044944</v>
      </c>
    </row>
    <row r="2339" customFormat="false" ht="15" hidden="false" customHeight="false" outlineLevel="0" collapsed="false">
      <c r="A2339" s="28" t="n">
        <v>2022</v>
      </c>
      <c r="B2339" s="28" t="s">
        <v>91</v>
      </c>
      <c r="C2339" s="28" t="s">
        <v>56</v>
      </c>
      <c r="D2339" s="28" t="n">
        <v>24</v>
      </c>
      <c r="E2339" s="29" t="n">
        <v>4546700</v>
      </c>
      <c r="F2339" s="30" t="n">
        <v>194.07</v>
      </c>
      <c r="G2339" s="31" t="n">
        <f aca="false">IFERROR(F2339/D2339,0)</f>
        <v>8.08625</v>
      </c>
    </row>
    <row r="2340" customFormat="false" ht="15" hidden="false" customHeight="false" outlineLevel="0" collapsed="false">
      <c r="A2340" s="28" t="n">
        <v>2022</v>
      </c>
      <c r="B2340" s="28" t="s">
        <v>91</v>
      </c>
      <c r="C2340" s="28" t="s">
        <v>54</v>
      </c>
      <c r="D2340" s="28" t="n">
        <v>29</v>
      </c>
      <c r="E2340" s="29" t="n">
        <v>15051000</v>
      </c>
      <c r="F2340" s="30" t="n">
        <v>200.77</v>
      </c>
      <c r="G2340" s="31" t="n">
        <f aca="false">IFERROR(F2340/D2340,0)</f>
        <v>6.92310344827586</v>
      </c>
    </row>
    <row r="2341" customFormat="false" ht="15" hidden="false" customHeight="false" outlineLevel="0" collapsed="false">
      <c r="A2341" s="28" t="n">
        <v>2022</v>
      </c>
      <c r="B2341" s="28" t="s">
        <v>91</v>
      </c>
      <c r="C2341" s="28" t="s">
        <v>44</v>
      </c>
      <c r="D2341" s="28" t="n">
        <v>115</v>
      </c>
      <c r="E2341" s="29" t="n">
        <v>74529800</v>
      </c>
      <c r="F2341" s="30" t="n">
        <v>714.82</v>
      </c>
      <c r="G2341" s="31" t="n">
        <f aca="false">IFERROR(F2341/D2341,0)</f>
        <v>6.21582608695652</v>
      </c>
    </row>
    <row r="2342" customFormat="false" ht="15" hidden="false" customHeight="false" outlineLevel="0" collapsed="false">
      <c r="A2342" s="28" t="n">
        <v>2022</v>
      </c>
      <c r="B2342" s="28" t="s">
        <v>91</v>
      </c>
      <c r="C2342" s="28" t="s">
        <v>57</v>
      </c>
      <c r="D2342" s="28" t="n">
        <v>17</v>
      </c>
      <c r="E2342" s="29" t="n">
        <v>13406500</v>
      </c>
      <c r="F2342" s="30" t="n">
        <v>129.69</v>
      </c>
      <c r="G2342" s="31" t="n">
        <f aca="false">IFERROR(F2342/D2342,0)</f>
        <v>7.62882352941177</v>
      </c>
    </row>
    <row r="2343" customFormat="false" ht="15" hidden="false" customHeight="false" outlineLevel="0" collapsed="false">
      <c r="A2343" s="28" t="n">
        <v>2022</v>
      </c>
      <c r="B2343" s="28" t="s">
        <v>91</v>
      </c>
      <c r="C2343" s="28" t="s">
        <v>47</v>
      </c>
      <c r="D2343" s="28" t="n">
        <v>71</v>
      </c>
      <c r="E2343" s="29" t="n">
        <v>61859500</v>
      </c>
      <c r="F2343" s="30" t="n">
        <v>487.32</v>
      </c>
      <c r="G2343" s="31" t="n">
        <f aca="false">IFERROR(F2343/D2343,0)</f>
        <v>6.86366197183099</v>
      </c>
    </row>
    <row r="2344" customFormat="false" ht="15" hidden="false" customHeight="false" outlineLevel="0" collapsed="false">
      <c r="A2344" s="28" t="n">
        <v>2022</v>
      </c>
      <c r="B2344" s="28" t="s">
        <v>91</v>
      </c>
      <c r="C2344" s="28" t="s">
        <v>58</v>
      </c>
      <c r="D2344" s="28" t="n">
        <v>2</v>
      </c>
      <c r="E2344" s="29" t="n">
        <v>1675000</v>
      </c>
      <c r="F2344" s="30" t="n">
        <v>11.25</v>
      </c>
      <c r="G2344" s="31" t="n">
        <f aca="false">IFERROR(F2344/D2344,0)</f>
        <v>5.625</v>
      </c>
    </row>
    <row r="2345" customFormat="false" ht="15" hidden="false" customHeight="false" outlineLevel="0" collapsed="false">
      <c r="A2345" s="28" t="n">
        <v>2022</v>
      </c>
      <c r="B2345" s="28" t="s">
        <v>91</v>
      </c>
      <c r="C2345" s="28" t="s">
        <v>46</v>
      </c>
      <c r="D2345" s="28" t="n">
        <v>111</v>
      </c>
      <c r="E2345" s="29" t="n">
        <v>48814900</v>
      </c>
      <c r="F2345" s="30" t="n">
        <v>804.76</v>
      </c>
      <c r="G2345" s="31" t="n">
        <f aca="false">IFERROR(F2345/D2345,0)</f>
        <v>7.25009009009009</v>
      </c>
    </row>
    <row r="2346" customFormat="false" ht="15" hidden="false" customHeight="false" outlineLevel="0" collapsed="false">
      <c r="A2346" s="28" t="n">
        <v>2022</v>
      </c>
      <c r="B2346" s="28" t="s">
        <v>91</v>
      </c>
      <c r="C2346" s="28" t="s">
        <v>48</v>
      </c>
      <c r="D2346" s="28" t="n">
        <v>108</v>
      </c>
      <c r="E2346" s="29" t="n">
        <v>36957500</v>
      </c>
      <c r="F2346" s="30" t="n">
        <v>810.32</v>
      </c>
      <c r="G2346" s="31" t="n">
        <f aca="false">IFERROR(F2346/D2346,0)</f>
        <v>7.50296296296296</v>
      </c>
    </row>
    <row r="2347" customFormat="false" ht="15" hidden="false" customHeight="false" outlineLevel="0" collapsed="false">
      <c r="A2347" s="28" t="n">
        <v>2022</v>
      </c>
      <c r="B2347" s="28" t="s">
        <v>91</v>
      </c>
      <c r="C2347" s="28" t="s">
        <v>53</v>
      </c>
      <c r="D2347" s="28" t="n">
        <v>33</v>
      </c>
      <c r="E2347" s="29" t="n">
        <v>20680900</v>
      </c>
      <c r="F2347" s="30" t="n">
        <v>245.6</v>
      </c>
      <c r="G2347" s="31" t="n">
        <f aca="false">IFERROR(F2347/D2347,0)</f>
        <v>7.44242424242424</v>
      </c>
    </row>
    <row r="2348" customFormat="false" ht="15" hidden="false" customHeight="false" outlineLevel="0" collapsed="false">
      <c r="A2348" s="28" t="n">
        <v>2022</v>
      </c>
      <c r="B2348" s="28" t="s">
        <v>91</v>
      </c>
      <c r="C2348" s="28" t="s">
        <v>43</v>
      </c>
      <c r="D2348" s="28" t="n">
        <v>156</v>
      </c>
      <c r="E2348" s="29" t="n">
        <v>98141600</v>
      </c>
      <c r="F2348" s="30" t="n">
        <v>1071.93</v>
      </c>
      <c r="G2348" s="31" t="n">
        <f aca="false">IFERROR(F2348/D2348,0)</f>
        <v>6.87134615384615</v>
      </c>
    </row>
    <row r="2349" customFormat="false" ht="15" hidden="false" customHeight="false" outlineLevel="0" collapsed="false">
      <c r="A2349" s="28" t="n">
        <v>2022</v>
      </c>
      <c r="B2349" s="28" t="s">
        <v>91</v>
      </c>
      <c r="C2349" s="28" t="s">
        <v>52</v>
      </c>
      <c r="D2349" s="28" t="n">
        <v>108</v>
      </c>
      <c r="E2349" s="29" t="n">
        <v>18658500</v>
      </c>
      <c r="F2349" s="30" t="n">
        <v>897.99</v>
      </c>
      <c r="G2349" s="31" t="n">
        <f aca="false">IFERROR(F2349/D2349,0)</f>
        <v>8.31472222222222</v>
      </c>
    </row>
    <row r="2350" customFormat="false" ht="15" hidden="false" customHeight="false" outlineLevel="0" collapsed="false">
      <c r="A2350" s="28" t="n">
        <v>2022</v>
      </c>
      <c r="B2350" s="28" t="s">
        <v>91</v>
      </c>
      <c r="C2350" s="28" t="s">
        <v>60</v>
      </c>
      <c r="D2350" s="28" t="n">
        <v>1</v>
      </c>
      <c r="E2350" s="29" t="n">
        <v>593000</v>
      </c>
      <c r="F2350" s="30" t="n">
        <v>6</v>
      </c>
      <c r="G2350" s="31" t="n">
        <f aca="false">IFERROR(F2350/D2350,0)</f>
        <v>6</v>
      </c>
    </row>
    <row r="2351" customFormat="false" ht="15" hidden="false" customHeight="false" outlineLevel="0" collapsed="false">
      <c r="A2351" s="28" t="n">
        <v>2022</v>
      </c>
      <c r="B2351" s="28" t="s">
        <v>91</v>
      </c>
      <c r="C2351" s="28" t="s">
        <v>49</v>
      </c>
      <c r="D2351" s="28" t="n">
        <v>83</v>
      </c>
      <c r="E2351" s="29" t="n">
        <v>52569800</v>
      </c>
      <c r="F2351" s="30" t="n">
        <v>592.548</v>
      </c>
      <c r="G2351" s="31" t="n">
        <f aca="false">IFERROR(F2351/D2351,0)</f>
        <v>7.13913253012048</v>
      </c>
    </row>
    <row r="2352" customFormat="false" ht="15" hidden="false" customHeight="false" outlineLevel="0" collapsed="false">
      <c r="A2352" s="28" t="n">
        <v>2022</v>
      </c>
      <c r="B2352" s="28" t="s">
        <v>119</v>
      </c>
      <c r="C2352" s="28" t="s">
        <v>42</v>
      </c>
      <c r="D2352" s="28" t="n">
        <v>37</v>
      </c>
      <c r="E2352" s="29" t="n">
        <v>41508200</v>
      </c>
      <c r="F2352" s="30" t="n">
        <v>216.215</v>
      </c>
      <c r="G2352" s="31" t="n">
        <f aca="false">IFERROR(F2352/D2352,0)</f>
        <v>5.84364864864865</v>
      </c>
    </row>
    <row r="2353" customFormat="false" ht="15" hidden="false" customHeight="false" outlineLevel="0" collapsed="false">
      <c r="A2353" s="28" t="n">
        <v>2022</v>
      </c>
      <c r="B2353" s="28" t="s">
        <v>119</v>
      </c>
      <c r="C2353" s="28" t="s">
        <v>50</v>
      </c>
      <c r="D2353" s="28" t="n">
        <v>6</v>
      </c>
      <c r="E2353" s="29" t="n">
        <v>2808400</v>
      </c>
      <c r="F2353" s="30" t="n">
        <v>41.73</v>
      </c>
      <c r="G2353" s="31" t="n">
        <f aca="false">IFERROR(F2353/D2353,0)</f>
        <v>6.955</v>
      </c>
    </row>
    <row r="2354" customFormat="false" ht="15" hidden="false" customHeight="false" outlineLevel="0" collapsed="false">
      <c r="A2354" s="28" t="n">
        <v>2022</v>
      </c>
      <c r="B2354" s="28" t="s">
        <v>119</v>
      </c>
      <c r="C2354" s="28" t="s">
        <v>55</v>
      </c>
      <c r="D2354" s="28" t="n">
        <v>2</v>
      </c>
      <c r="E2354" s="29" t="n">
        <v>597000</v>
      </c>
      <c r="F2354" s="30" t="n">
        <v>12</v>
      </c>
      <c r="G2354" s="31" t="n">
        <f aca="false">IFERROR(F2354/D2354,0)</f>
        <v>6</v>
      </c>
    </row>
    <row r="2355" customFormat="false" ht="15" hidden="false" customHeight="false" outlineLevel="0" collapsed="false">
      <c r="A2355" s="28" t="n">
        <v>2022</v>
      </c>
      <c r="B2355" s="28" t="s">
        <v>119</v>
      </c>
      <c r="C2355" s="28" t="s">
        <v>51</v>
      </c>
      <c r="D2355" s="28" t="n">
        <v>5</v>
      </c>
      <c r="E2355" s="29" t="n">
        <v>1813500</v>
      </c>
      <c r="F2355" s="30" t="n">
        <v>27.75</v>
      </c>
      <c r="G2355" s="31" t="n">
        <f aca="false">IFERROR(F2355/D2355,0)</f>
        <v>5.55</v>
      </c>
    </row>
    <row r="2356" customFormat="false" ht="15" hidden="false" customHeight="false" outlineLevel="0" collapsed="false">
      <c r="A2356" s="28" t="n">
        <v>2022</v>
      </c>
      <c r="B2356" s="28" t="s">
        <v>119</v>
      </c>
      <c r="C2356" s="28" t="s">
        <v>45</v>
      </c>
      <c r="D2356" s="28" t="n">
        <v>13</v>
      </c>
      <c r="E2356" s="29" t="n">
        <v>4214500</v>
      </c>
      <c r="F2356" s="30" t="n">
        <v>72.32</v>
      </c>
      <c r="G2356" s="31" t="n">
        <f aca="false">IFERROR(F2356/D2356,0)</f>
        <v>5.56307692307692</v>
      </c>
    </row>
    <row r="2357" customFormat="false" ht="15" hidden="false" customHeight="false" outlineLevel="0" collapsed="false">
      <c r="A2357" s="28" t="n">
        <v>2022</v>
      </c>
      <c r="B2357" s="28" t="s">
        <v>119</v>
      </c>
      <c r="C2357" s="28" t="s">
        <v>56</v>
      </c>
      <c r="D2357" s="28" t="n">
        <v>2</v>
      </c>
      <c r="E2357" s="29" t="n">
        <v>165000</v>
      </c>
      <c r="F2357" s="30" t="n">
        <v>15.75</v>
      </c>
      <c r="G2357" s="31" t="n">
        <f aca="false">IFERROR(F2357/D2357,0)</f>
        <v>7.875</v>
      </c>
    </row>
    <row r="2358" customFormat="false" ht="15" hidden="false" customHeight="false" outlineLevel="0" collapsed="false">
      <c r="A2358" s="28" t="n">
        <v>2022</v>
      </c>
      <c r="B2358" s="28" t="s">
        <v>119</v>
      </c>
      <c r="C2358" s="28" t="s">
        <v>44</v>
      </c>
      <c r="D2358" s="28" t="n">
        <v>23</v>
      </c>
      <c r="E2358" s="29" t="n">
        <v>10699900</v>
      </c>
      <c r="F2358" s="30" t="n">
        <v>133.07</v>
      </c>
      <c r="G2358" s="31" t="n">
        <f aca="false">IFERROR(F2358/D2358,0)</f>
        <v>5.78565217391304</v>
      </c>
    </row>
    <row r="2359" customFormat="false" ht="15" hidden="false" customHeight="false" outlineLevel="0" collapsed="false">
      <c r="A2359" s="28" t="n">
        <v>2022</v>
      </c>
      <c r="B2359" s="28" t="s">
        <v>119</v>
      </c>
      <c r="C2359" s="28" t="s">
        <v>57</v>
      </c>
      <c r="D2359" s="28" t="n">
        <v>2</v>
      </c>
      <c r="E2359" s="29" t="n">
        <v>4832000</v>
      </c>
      <c r="F2359" s="30" t="n">
        <v>12.25</v>
      </c>
      <c r="G2359" s="31" t="n">
        <f aca="false">IFERROR(F2359/D2359,0)</f>
        <v>6.125</v>
      </c>
    </row>
    <row r="2360" customFormat="false" ht="15" hidden="false" customHeight="false" outlineLevel="0" collapsed="false">
      <c r="A2360" s="28" t="n">
        <v>2022</v>
      </c>
      <c r="B2360" s="28" t="s">
        <v>119</v>
      </c>
      <c r="C2360" s="28" t="s">
        <v>47</v>
      </c>
      <c r="D2360" s="28" t="n">
        <v>12</v>
      </c>
      <c r="E2360" s="29" t="n">
        <v>6943300</v>
      </c>
      <c r="F2360" s="30" t="n">
        <v>73.59</v>
      </c>
      <c r="G2360" s="31" t="n">
        <f aca="false">IFERROR(F2360/D2360,0)</f>
        <v>6.1325</v>
      </c>
    </row>
    <row r="2361" customFormat="false" ht="15" hidden="false" customHeight="false" outlineLevel="0" collapsed="false">
      <c r="A2361" s="28" t="n">
        <v>2022</v>
      </c>
      <c r="B2361" s="28" t="s">
        <v>119</v>
      </c>
      <c r="C2361" s="28" t="s">
        <v>58</v>
      </c>
      <c r="D2361" s="28" t="n">
        <v>12</v>
      </c>
      <c r="E2361" s="29" t="n">
        <v>4671600</v>
      </c>
      <c r="F2361" s="30" t="n">
        <v>75.66</v>
      </c>
      <c r="G2361" s="31" t="n">
        <f aca="false">IFERROR(F2361/D2361,0)</f>
        <v>6.305</v>
      </c>
    </row>
    <row r="2362" customFormat="false" ht="15" hidden="false" customHeight="false" outlineLevel="0" collapsed="false">
      <c r="A2362" s="28" t="n">
        <v>2022</v>
      </c>
      <c r="B2362" s="28" t="s">
        <v>119</v>
      </c>
      <c r="C2362" s="28" t="s">
        <v>46</v>
      </c>
      <c r="D2362" s="28" t="n">
        <v>24</v>
      </c>
      <c r="E2362" s="29" t="n">
        <v>10206800</v>
      </c>
      <c r="F2362" s="30" t="n">
        <v>151.55</v>
      </c>
      <c r="G2362" s="31" t="n">
        <f aca="false">IFERROR(F2362/D2362,0)</f>
        <v>6.31458333333333</v>
      </c>
    </row>
    <row r="2363" customFormat="false" ht="15" hidden="false" customHeight="false" outlineLevel="0" collapsed="false">
      <c r="A2363" s="28" t="n">
        <v>2022</v>
      </c>
      <c r="B2363" s="28" t="s">
        <v>119</v>
      </c>
      <c r="C2363" s="28" t="s">
        <v>48</v>
      </c>
      <c r="D2363" s="28" t="n">
        <v>15</v>
      </c>
      <c r="E2363" s="29" t="n">
        <v>8441600</v>
      </c>
      <c r="F2363" s="30" t="n">
        <v>91.09</v>
      </c>
      <c r="G2363" s="31" t="n">
        <f aca="false">IFERROR(F2363/D2363,0)</f>
        <v>6.07266666666667</v>
      </c>
    </row>
    <row r="2364" customFormat="false" ht="15" hidden="false" customHeight="false" outlineLevel="0" collapsed="false">
      <c r="A2364" s="28" t="n">
        <v>2022</v>
      </c>
      <c r="B2364" s="28" t="s">
        <v>119</v>
      </c>
      <c r="C2364" s="28" t="s">
        <v>53</v>
      </c>
      <c r="D2364" s="28" t="n">
        <v>4</v>
      </c>
      <c r="E2364" s="29" t="n">
        <v>1141400</v>
      </c>
      <c r="F2364" s="30" t="n">
        <v>26.05</v>
      </c>
      <c r="G2364" s="31" t="n">
        <f aca="false">IFERROR(F2364/D2364,0)</f>
        <v>6.5125</v>
      </c>
    </row>
    <row r="2365" customFormat="false" ht="15" hidden="false" customHeight="false" outlineLevel="0" collapsed="false">
      <c r="A2365" s="28" t="n">
        <v>2022</v>
      </c>
      <c r="B2365" s="28" t="s">
        <v>119</v>
      </c>
      <c r="C2365" s="28" t="s">
        <v>43</v>
      </c>
      <c r="D2365" s="28" t="n">
        <v>16</v>
      </c>
      <c r="E2365" s="29" t="n">
        <v>13345800</v>
      </c>
      <c r="F2365" s="30" t="n">
        <v>87.19</v>
      </c>
      <c r="G2365" s="31" t="n">
        <f aca="false">IFERROR(F2365/D2365,0)</f>
        <v>5.449375</v>
      </c>
    </row>
    <row r="2366" customFormat="false" ht="15" hidden="false" customHeight="false" outlineLevel="0" collapsed="false">
      <c r="A2366" s="28" t="n">
        <v>2022</v>
      </c>
      <c r="B2366" s="28" t="s">
        <v>119</v>
      </c>
      <c r="C2366" s="28" t="s">
        <v>52</v>
      </c>
      <c r="D2366" s="28" t="n">
        <v>10</v>
      </c>
      <c r="E2366" s="29" t="n">
        <v>671900</v>
      </c>
      <c r="F2366" s="30" t="n">
        <v>81</v>
      </c>
      <c r="G2366" s="31" t="n">
        <f aca="false">IFERROR(F2366/D2366,0)</f>
        <v>8.1</v>
      </c>
    </row>
    <row r="2367" customFormat="false" ht="15" hidden="false" customHeight="false" outlineLevel="0" collapsed="false">
      <c r="A2367" s="28" t="n">
        <v>2022</v>
      </c>
      <c r="B2367" s="28" t="s">
        <v>119</v>
      </c>
      <c r="C2367" s="28" t="s">
        <v>49</v>
      </c>
      <c r="D2367" s="28" t="n">
        <v>5</v>
      </c>
      <c r="E2367" s="29" t="n">
        <v>2685000</v>
      </c>
      <c r="F2367" s="30" t="n">
        <v>33</v>
      </c>
      <c r="G2367" s="31" t="n">
        <f aca="false">IFERROR(F2367/D2367,0)</f>
        <v>6.6</v>
      </c>
    </row>
    <row r="2368" customFormat="false" ht="15" hidden="false" customHeight="false" outlineLevel="0" collapsed="false">
      <c r="A2368" s="28" t="n">
        <v>2022</v>
      </c>
      <c r="B2368" s="28" t="s">
        <v>112</v>
      </c>
      <c r="C2368" s="28" t="s">
        <v>42</v>
      </c>
      <c r="D2368" s="28" t="n">
        <v>55</v>
      </c>
      <c r="E2368" s="29" t="n">
        <v>33470900</v>
      </c>
      <c r="F2368" s="30" t="n">
        <v>339.43</v>
      </c>
      <c r="G2368" s="31" t="n">
        <f aca="false">IFERROR(F2368/D2368,0)</f>
        <v>6.17145454545455</v>
      </c>
    </row>
    <row r="2369" customFormat="false" ht="15" hidden="false" customHeight="false" outlineLevel="0" collapsed="false">
      <c r="A2369" s="28" t="n">
        <v>2022</v>
      </c>
      <c r="B2369" s="28" t="s">
        <v>112</v>
      </c>
      <c r="C2369" s="28" t="s">
        <v>50</v>
      </c>
      <c r="D2369" s="28" t="n">
        <v>26</v>
      </c>
      <c r="E2369" s="29" t="n">
        <v>6705500</v>
      </c>
      <c r="F2369" s="30" t="n">
        <v>173.03</v>
      </c>
      <c r="G2369" s="31" t="n">
        <f aca="false">IFERROR(F2369/D2369,0)</f>
        <v>6.655</v>
      </c>
    </row>
    <row r="2370" customFormat="false" ht="15" hidden="false" customHeight="false" outlineLevel="0" collapsed="false">
      <c r="A2370" s="28" t="n">
        <v>2022</v>
      </c>
      <c r="B2370" s="28" t="s">
        <v>112</v>
      </c>
      <c r="C2370" s="28" t="s">
        <v>51</v>
      </c>
      <c r="D2370" s="28" t="n">
        <v>10</v>
      </c>
      <c r="E2370" s="29" t="n">
        <v>2179900</v>
      </c>
      <c r="F2370" s="30" t="n">
        <v>64.73</v>
      </c>
      <c r="G2370" s="31" t="n">
        <f aca="false">IFERROR(F2370/D2370,0)</f>
        <v>6.473</v>
      </c>
    </row>
    <row r="2371" customFormat="false" ht="15" hidden="false" customHeight="false" outlineLevel="0" collapsed="false">
      <c r="A2371" s="28" t="n">
        <v>2022</v>
      </c>
      <c r="B2371" s="28" t="s">
        <v>112</v>
      </c>
      <c r="C2371" s="28" t="s">
        <v>45</v>
      </c>
      <c r="D2371" s="28" t="n">
        <v>35</v>
      </c>
      <c r="E2371" s="29" t="n">
        <v>19919400</v>
      </c>
      <c r="F2371" s="30" t="n">
        <v>232.82</v>
      </c>
      <c r="G2371" s="31" t="n">
        <f aca="false">IFERROR(F2371/D2371,0)</f>
        <v>6.652</v>
      </c>
    </row>
    <row r="2372" customFormat="false" ht="15" hidden="false" customHeight="false" outlineLevel="0" collapsed="false">
      <c r="A2372" s="28" t="n">
        <v>2022</v>
      </c>
      <c r="B2372" s="28" t="s">
        <v>112</v>
      </c>
      <c r="C2372" s="28" t="s">
        <v>56</v>
      </c>
      <c r="D2372" s="28" t="n">
        <v>4</v>
      </c>
      <c r="E2372" s="29" t="n">
        <v>2440400</v>
      </c>
      <c r="F2372" s="30" t="n">
        <v>35.25</v>
      </c>
      <c r="G2372" s="31" t="n">
        <f aca="false">IFERROR(F2372/D2372,0)</f>
        <v>8.8125</v>
      </c>
    </row>
    <row r="2373" customFormat="false" ht="15" hidden="false" customHeight="false" outlineLevel="0" collapsed="false">
      <c r="A2373" s="28" t="n">
        <v>2022</v>
      </c>
      <c r="B2373" s="28" t="s">
        <v>112</v>
      </c>
      <c r="C2373" s="28" t="s">
        <v>54</v>
      </c>
      <c r="D2373" s="28" t="n">
        <v>7</v>
      </c>
      <c r="E2373" s="29" t="n">
        <v>3690300</v>
      </c>
      <c r="F2373" s="30" t="n">
        <v>42.24</v>
      </c>
      <c r="G2373" s="31" t="n">
        <f aca="false">IFERROR(F2373/D2373,0)</f>
        <v>6.03428571428572</v>
      </c>
    </row>
    <row r="2374" customFormat="false" ht="15" hidden="false" customHeight="false" outlineLevel="0" collapsed="false">
      <c r="A2374" s="28" t="n">
        <v>2022</v>
      </c>
      <c r="B2374" s="28" t="s">
        <v>112</v>
      </c>
      <c r="C2374" s="28" t="s">
        <v>44</v>
      </c>
      <c r="D2374" s="28" t="n">
        <v>37</v>
      </c>
      <c r="E2374" s="29" t="n">
        <v>27116900</v>
      </c>
      <c r="F2374" s="30" t="n">
        <v>212.69</v>
      </c>
      <c r="G2374" s="31" t="n">
        <f aca="false">IFERROR(F2374/D2374,0)</f>
        <v>5.74837837837838</v>
      </c>
    </row>
    <row r="2375" customFormat="false" ht="15" hidden="false" customHeight="false" outlineLevel="0" collapsed="false">
      <c r="A2375" s="28" t="n">
        <v>2022</v>
      </c>
      <c r="B2375" s="28" t="s">
        <v>112</v>
      </c>
      <c r="C2375" s="28" t="s">
        <v>57</v>
      </c>
      <c r="D2375" s="28" t="n">
        <v>4</v>
      </c>
      <c r="E2375" s="29" t="n">
        <v>1486000</v>
      </c>
      <c r="F2375" s="30" t="n">
        <v>28.5</v>
      </c>
      <c r="G2375" s="31" t="n">
        <f aca="false">IFERROR(F2375/D2375,0)</f>
        <v>7.125</v>
      </c>
    </row>
    <row r="2376" customFormat="false" ht="15" hidden="false" customHeight="false" outlineLevel="0" collapsed="false">
      <c r="A2376" s="28" t="n">
        <v>2022</v>
      </c>
      <c r="B2376" s="28" t="s">
        <v>112</v>
      </c>
      <c r="C2376" s="28" t="s">
        <v>47</v>
      </c>
      <c r="D2376" s="28" t="n">
        <v>16</v>
      </c>
      <c r="E2376" s="29" t="n">
        <v>14708800</v>
      </c>
      <c r="F2376" s="30" t="n">
        <v>88.24</v>
      </c>
      <c r="G2376" s="31" t="n">
        <f aca="false">IFERROR(F2376/D2376,0)</f>
        <v>5.515</v>
      </c>
    </row>
    <row r="2377" customFormat="false" ht="15" hidden="false" customHeight="false" outlineLevel="0" collapsed="false">
      <c r="A2377" s="28" t="n">
        <v>2022</v>
      </c>
      <c r="B2377" s="28" t="s">
        <v>112</v>
      </c>
      <c r="C2377" s="28" t="s">
        <v>58</v>
      </c>
      <c r="D2377" s="28" t="n">
        <v>1</v>
      </c>
      <c r="E2377" s="29" t="n">
        <v>1195600</v>
      </c>
      <c r="F2377" s="30" t="n">
        <v>6.5</v>
      </c>
      <c r="G2377" s="31" t="n">
        <f aca="false">IFERROR(F2377/D2377,0)</f>
        <v>6.5</v>
      </c>
    </row>
    <row r="2378" customFormat="false" ht="15" hidden="false" customHeight="false" outlineLevel="0" collapsed="false">
      <c r="A2378" s="28" t="n">
        <v>2022</v>
      </c>
      <c r="B2378" s="28" t="s">
        <v>112</v>
      </c>
      <c r="C2378" s="28" t="s">
        <v>46</v>
      </c>
      <c r="D2378" s="28" t="n">
        <v>46</v>
      </c>
      <c r="E2378" s="29" t="n">
        <v>17929500</v>
      </c>
      <c r="F2378" s="30" t="n">
        <v>336.65</v>
      </c>
      <c r="G2378" s="31" t="n">
        <f aca="false">IFERROR(F2378/D2378,0)</f>
        <v>7.31847826086957</v>
      </c>
    </row>
    <row r="2379" customFormat="false" ht="15" hidden="false" customHeight="false" outlineLevel="0" collapsed="false">
      <c r="A2379" s="28" t="n">
        <v>2022</v>
      </c>
      <c r="B2379" s="28" t="s">
        <v>112</v>
      </c>
      <c r="C2379" s="28" t="s">
        <v>48</v>
      </c>
      <c r="D2379" s="28" t="n">
        <v>36</v>
      </c>
      <c r="E2379" s="29" t="n">
        <v>12945700</v>
      </c>
      <c r="F2379" s="30" t="n">
        <v>253.22</v>
      </c>
      <c r="G2379" s="31" t="n">
        <f aca="false">IFERROR(F2379/D2379,0)</f>
        <v>7.03388888888889</v>
      </c>
    </row>
    <row r="2380" customFormat="false" ht="15" hidden="false" customHeight="false" outlineLevel="0" collapsed="false">
      <c r="A2380" s="28" t="n">
        <v>2022</v>
      </c>
      <c r="B2380" s="28" t="s">
        <v>112</v>
      </c>
      <c r="C2380" s="28" t="s">
        <v>53</v>
      </c>
      <c r="D2380" s="28" t="n">
        <v>16</v>
      </c>
      <c r="E2380" s="29" t="n">
        <v>9837500</v>
      </c>
      <c r="F2380" s="30" t="n">
        <v>100.089</v>
      </c>
      <c r="G2380" s="31" t="n">
        <f aca="false">IFERROR(F2380/D2380,0)</f>
        <v>6.2555625</v>
      </c>
    </row>
    <row r="2381" customFormat="false" ht="15" hidden="false" customHeight="false" outlineLevel="0" collapsed="false">
      <c r="A2381" s="28" t="n">
        <v>2022</v>
      </c>
      <c r="B2381" s="28" t="s">
        <v>112</v>
      </c>
      <c r="C2381" s="28" t="s">
        <v>43</v>
      </c>
      <c r="D2381" s="28" t="n">
        <v>42</v>
      </c>
      <c r="E2381" s="29" t="n">
        <v>26546800</v>
      </c>
      <c r="F2381" s="30" t="n">
        <v>281.59</v>
      </c>
      <c r="G2381" s="31" t="n">
        <f aca="false">IFERROR(F2381/D2381,0)</f>
        <v>6.70452380952381</v>
      </c>
    </row>
    <row r="2382" customFormat="false" ht="15" hidden="false" customHeight="false" outlineLevel="0" collapsed="false">
      <c r="A2382" s="28" t="n">
        <v>2022</v>
      </c>
      <c r="B2382" s="28" t="s">
        <v>112</v>
      </c>
      <c r="C2382" s="28" t="s">
        <v>52</v>
      </c>
      <c r="D2382" s="28" t="n">
        <v>23</v>
      </c>
      <c r="E2382" s="29" t="n">
        <v>6978000</v>
      </c>
      <c r="F2382" s="30" t="n">
        <v>162.49</v>
      </c>
      <c r="G2382" s="31" t="n">
        <f aca="false">IFERROR(F2382/D2382,0)</f>
        <v>7.06478260869565</v>
      </c>
    </row>
    <row r="2383" customFormat="false" ht="15" hidden="false" customHeight="false" outlineLevel="0" collapsed="false">
      <c r="A2383" s="28" t="n">
        <v>2022</v>
      </c>
      <c r="B2383" s="28" t="s">
        <v>112</v>
      </c>
      <c r="C2383" s="28" t="s">
        <v>60</v>
      </c>
      <c r="D2383" s="28" t="n">
        <v>1</v>
      </c>
      <c r="E2383" s="29" t="n">
        <v>350000</v>
      </c>
      <c r="F2383" s="30" t="n">
        <v>6.75</v>
      </c>
      <c r="G2383" s="31" t="n">
        <f aca="false">IFERROR(F2383/D2383,0)</f>
        <v>6.75</v>
      </c>
    </row>
    <row r="2384" customFormat="false" ht="15" hidden="false" customHeight="false" outlineLevel="0" collapsed="false">
      <c r="A2384" s="28" t="n">
        <v>2022</v>
      </c>
      <c r="B2384" s="28" t="s">
        <v>112</v>
      </c>
      <c r="C2384" s="28" t="s">
        <v>49</v>
      </c>
      <c r="D2384" s="28" t="n">
        <v>14</v>
      </c>
      <c r="E2384" s="29" t="n">
        <v>7405000</v>
      </c>
      <c r="F2384" s="30" t="n">
        <v>95.23</v>
      </c>
      <c r="G2384" s="31" t="n">
        <f aca="false">IFERROR(F2384/D2384,0)</f>
        <v>6.80214285714286</v>
      </c>
    </row>
    <row r="2385" customFormat="false" ht="15" hidden="false" customHeight="false" outlineLevel="0" collapsed="false">
      <c r="A2385" s="28" t="n">
        <v>2022</v>
      </c>
      <c r="B2385" s="28" t="s">
        <v>82</v>
      </c>
      <c r="C2385" s="28" t="s">
        <v>42</v>
      </c>
      <c r="D2385" s="28" t="n">
        <v>256</v>
      </c>
      <c r="E2385" s="29" t="n">
        <v>157306500</v>
      </c>
      <c r="F2385" s="30" t="n">
        <v>1794.135</v>
      </c>
      <c r="G2385" s="31" t="n">
        <f aca="false">IFERROR(F2385/D2385,0)</f>
        <v>7.00833984375</v>
      </c>
    </row>
    <row r="2386" customFormat="false" ht="15" hidden="false" customHeight="false" outlineLevel="0" collapsed="false">
      <c r="A2386" s="28" t="n">
        <v>2022</v>
      </c>
      <c r="B2386" s="28" t="s">
        <v>82</v>
      </c>
      <c r="C2386" s="28" t="s">
        <v>50</v>
      </c>
      <c r="D2386" s="28" t="n">
        <v>122</v>
      </c>
      <c r="E2386" s="29" t="n">
        <v>29186100</v>
      </c>
      <c r="F2386" s="30" t="n">
        <v>884.45</v>
      </c>
      <c r="G2386" s="31" t="n">
        <f aca="false">IFERROR(F2386/D2386,0)</f>
        <v>7.24959016393443</v>
      </c>
    </row>
    <row r="2387" customFormat="false" ht="15" hidden="false" customHeight="false" outlineLevel="0" collapsed="false">
      <c r="A2387" s="28" t="n">
        <v>2022</v>
      </c>
      <c r="B2387" s="28" t="s">
        <v>82</v>
      </c>
      <c r="C2387" s="28" t="s">
        <v>55</v>
      </c>
      <c r="D2387" s="28" t="n">
        <v>20</v>
      </c>
      <c r="E2387" s="29" t="n">
        <v>3907400</v>
      </c>
      <c r="F2387" s="30" t="n">
        <v>118.73</v>
      </c>
      <c r="G2387" s="31" t="n">
        <f aca="false">IFERROR(F2387/D2387,0)</f>
        <v>5.9365</v>
      </c>
    </row>
    <row r="2388" customFormat="false" ht="15" hidden="false" customHeight="false" outlineLevel="0" collapsed="false">
      <c r="A2388" s="28" t="n">
        <v>2022</v>
      </c>
      <c r="B2388" s="28" t="s">
        <v>82</v>
      </c>
      <c r="C2388" s="28" t="s">
        <v>51</v>
      </c>
      <c r="D2388" s="28" t="n">
        <v>65</v>
      </c>
      <c r="E2388" s="29" t="n">
        <v>20857400</v>
      </c>
      <c r="F2388" s="30" t="n">
        <v>456.12</v>
      </c>
      <c r="G2388" s="31" t="n">
        <f aca="false">IFERROR(F2388/D2388,0)</f>
        <v>7.01723076923077</v>
      </c>
    </row>
    <row r="2389" customFormat="false" ht="15" hidden="false" customHeight="false" outlineLevel="0" collapsed="false">
      <c r="A2389" s="28" t="n">
        <v>2022</v>
      </c>
      <c r="B2389" s="28" t="s">
        <v>82</v>
      </c>
      <c r="C2389" s="28" t="s">
        <v>45</v>
      </c>
      <c r="D2389" s="28" t="n">
        <v>332</v>
      </c>
      <c r="E2389" s="29" t="n">
        <v>81364600</v>
      </c>
      <c r="F2389" s="30" t="n">
        <v>2380.41</v>
      </c>
      <c r="G2389" s="31" t="n">
        <f aca="false">IFERROR(F2389/D2389,0)</f>
        <v>7.16990963855422</v>
      </c>
    </row>
    <row r="2390" customFormat="false" ht="15" hidden="false" customHeight="false" outlineLevel="0" collapsed="false">
      <c r="A2390" s="28" t="n">
        <v>2022</v>
      </c>
      <c r="B2390" s="28" t="s">
        <v>82</v>
      </c>
      <c r="C2390" s="28" t="s">
        <v>56</v>
      </c>
      <c r="D2390" s="28" t="n">
        <v>39</v>
      </c>
      <c r="E2390" s="29" t="n">
        <v>10526500</v>
      </c>
      <c r="F2390" s="30" t="n">
        <v>277.88</v>
      </c>
      <c r="G2390" s="31" t="n">
        <f aca="false">IFERROR(F2390/D2390,0)</f>
        <v>7.12512820512821</v>
      </c>
    </row>
    <row r="2391" customFormat="false" ht="15" hidden="false" customHeight="false" outlineLevel="0" collapsed="false">
      <c r="A2391" s="28" t="n">
        <v>2022</v>
      </c>
      <c r="B2391" s="28" t="s">
        <v>82</v>
      </c>
      <c r="C2391" s="28" t="s">
        <v>54</v>
      </c>
      <c r="D2391" s="28" t="n">
        <v>55</v>
      </c>
      <c r="E2391" s="29" t="n">
        <v>13294400</v>
      </c>
      <c r="F2391" s="30" t="n">
        <v>410.77</v>
      </c>
      <c r="G2391" s="31" t="n">
        <f aca="false">IFERROR(F2391/D2391,0)</f>
        <v>7.46854545454545</v>
      </c>
    </row>
    <row r="2392" customFormat="false" ht="15" hidden="false" customHeight="false" outlineLevel="0" collapsed="false">
      <c r="A2392" s="28" t="n">
        <v>2022</v>
      </c>
      <c r="B2392" s="28" t="s">
        <v>82</v>
      </c>
      <c r="C2392" s="28" t="s">
        <v>44</v>
      </c>
      <c r="D2392" s="28" t="n">
        <v>147</v>
      </c>
      <c r="E2392" s="29" t="n">
        <v>73471700</v>
      </c>
      <c r="F2392" s="30" t="n">
        <v>944.922</v>
      </c>
      <c r="G2392" s="31" t="n">
        <f aca="false">IFERROR(F2392/D2392,0)</f>
        <v>6.42804081632653</v>
      </c>
    </row>
    <row r="2393" customFormat="false" ht="15" hidden="false" customHeight="false" outlineLevel="0" collapsed="false">
      <c r="A2393" s="28" t="n">
        <v>2022</v>
      </c>
      <c r="B2393" s="28" t="s">
        <v>82</v>
      </c>
      <c r="C2393" s="28" t="s">
        <v>57</v>
      </c>
      <c r="D2393" s="28" t="n">
        <v>31</v>
      </c>
      <c r="E2393" s="29" t="n">
        <v>10008600</v>
      </c>
      <c r="F2393" s="30" t="n">
        <v>233.29</v>
      </c>
      <c r="G2393" s="31" t="n">
        <f aca="false">IFERROR(F2393/D2393,0)</f>
        <v>7.52548387096774</v>
      </c>
    </row>
    <row r="2394" customFormat="false" ht="15" hidden="false" customHeight="false" outlineLevel="0" collapsed="false">
      <c r="A2394" s="28" t="n">
        <v>2022</v>
      </c>
      <c r="B2394" s="28" t="s">
        <v>82</v>
      </c>
      <c r="C2394" s="28" t="s">
        <v>59</v>
      </c>
      <c r="D2394" s="28" t="n">
        <v>1</v>
      </c>
      <c r="E2394" s="29" t="n">
        <v>5000000</v>
      </c>
      <c r="F2394" s="30" t="n">
        <v>5.75</v>
      </c>
      <c r="G2394" s="31" t="n">
        <f aca="false">IFERROR(F2394/D2394,0)</f>
        <v>5.75</v>
      </c>
    </row>
    <row r="2395" customFormat="false" ht="15" hidden="false" customHeight="false" outlineLevel="0" collapsed="false">
      <c r="A2395" s="28" t="n">
        <v>2022</v>
      </c>
      <c r="B2395" s="28" t="s">
        <v>82</v>
      </c>
      <c r="C2395" s="28" t="s">
        <v>47</v>
      </c>
      <c r="D2395" s="28" t="n">
        <v>114</v>
      </c>
      <c r="E2395" s="29" t="n">
        <v>48351800</v>
      </c>
      <c r="F2395" s="30" t="n">
        <v>734.998</v>
      </c>
      <c r="G2395" s="31" t="n">
        <f aca="false">IFERROR(F2395/D2395,0)</f>
        <v>6.44735087719298</v>
      </c>
    </row>
    <row r="2396" customFormat="false" ht="15" hidden="false" customHeight="false" outlineLevel="0" collapsed="false">
      <c r="A2396" s="28" t="n">
        <v>2022</v>
      </c>
      <c r="B2396" s="28" t="s">
        <v>82</v>
      </c>
      <c r="C2396" s="28" t="s">
        <v>58</v>
      </c>
      <c r="D2396" s="28" t="n">
        <v>4</v>
      </c>
      <c r="E2396" s="29" t="n">
        <v>3190000</v>
      </c>
      <c r="F2396" s="30" t="n">
        <v>30.5</v>
      </c>
      <c r="G2396" s="31" t="n">
        <f aca="false">IFERROR(F2396/D2396,0)</f>
        <v>7.625</v>
      </c>
    </row>
    <row r="2397" customFormat="false" ht="15" hidden="false" customHeight="false" outlineLevel="0" collapsed="false">
      <c r="A2397" s="28" t="n">
        <v>2022</v>
      </c>
      <c r="B2397" s="28" t="s">
        <v>82</v>
      </c>
      <c r="C2397" s="28" t="s">
        <v>46</v>
      </c>
      <c r="D2397" s="28" t="n">
        <v>209</v>
      </c>
      <c r="E2397" s="29" t="n">
        <v>74381000</v>
      </c>
      <c r="F2397" s="30" t="n">
        <v>1546.13</v>
      </c>
      <c r="G2397" s="31" t="n">
        <f aca="false">IFERROR(F2397/D2397,0)</f>
        <v>7.39775119617225</v>
      </c>
    </row>
    <row r="2398" customFormat="false" ht="15" hidden="false" customHeight="false" outlineLevel="0" collapsed="false">
      <c r="A2398" s="28" t="n">
        <v>2022</v>
      </c>
      <c r="B2398" s="28" t="s">
        <v>82</v>
      </c>
      <c r="C2398" s="28" t="s">
        <v>48</v>
      </c>
      <c r="D2398" s="28" t="n">
        <v>273</v>
      </c>
      <c r="E2398" s="29" t="n">
        <v>89189100</v>
      </c>
      <c r="F2398" s="30" t="n">
        <v>2024.157</v>
      </c>
      <c r="G2398" s="31" t="n">
        <f aca="false">IFERROR(F2398/D2398,0)</f>
        <v>7.41449450549451</v>
      </c>
    </row>
    <row r="2399" customFormat="false" ht="15" hidden="false" customHeight="false" outlineLevel="0" collapsed="false">
      <c r="A2399" s="28" t="n">
        <v>2022</v>
      </c>
      <c r="B2399" s="28" t="s">
        <v>82</v>
      </c>
      <c r="C2399" s="28" t="s">
        <v>61</v>
      </c>
      <c r="D2399" s="28" t="n">
        <v>1</v>
      </c>
      <c r="E2399" s="29" t="n">
        <v>75000</v>
      </c>
      <c r="F2399" s="30" t="n">
        <v>5.75</v>
      </c>
      <c r="G2399" s="31" t="n">
        <f aca="false">IFERROR(F2399/D2399,0)</f>
        <v>5.75</v>
      </c>
    </row>
    <row r="2400" customFormat="false" ht="15" hidden="false" customHeight="false" outlineLevel="0" collapsed="false">
      <c r="A2400" s="28" t="n">
        <v>2022</v>
      </c>
      <c r="B2400" s="28" t="s">
        <v>82</v>
      </c>
      <c r="C2400" s="28" t="s">
        <v>53</v>
      </c>
      <c r="D2400" s="28" t="n">
        <v>70</v>
      </c>
      <c r="E2400" s="29" t="n">
        <v>37007300</v>
      </c>
      <c r="F2400" s="30" t="n">
        <v>495.53</v>
      </c>
      <c r="G2400" s="31" t="n">
        <f aca="false">IFERROR(F2400/D2400,0)</f>
        <v>7.079</v>
      </c>
    </row>
    <row r="2401" customFormat="false" ht="15" hidden="false" customHeight="false" outlineLevel="0" collapsed="false">
      <c r="A2401" s="28" t="n">
        <v>2022</v>
      </c>
      <c r="B2401" s="28" t="s">
        <v>82</v>
      </c>
      <c r="C2401" s="28" t="s">
        <v>43</v>
      </c>
      <c r="D2401" s="28" t="n">
        <v>347</v>
      </c>
      <c r="E2401" s="29" t="n">
        <v>140486800</v>
      </c>
      <c r="F2401" s="30" t="n">
        <v>2462.074</v>
      </c>
      <c r="G2401" s="31" t="n">
        <f aca="false">IFERROR(F2401/D2401,0)</f>
        <v>7.09531412103747</v>
      </c>
    </row>
    <row r="2402" customFormat="false" ht="15" hidden="false" customHeight="false" outlineLevel="0" collapsed="false">
      <c r="A2402" s="28" t="n">
        <v>2022</v>
      </c>
      <c r="B2402" s="28" t="s">
        <v>82</v>
      </c>
      <c r="C2402" s="28" t="s">
        <v>52</v>
      </c>
      <c r="D2402" s="28" t="n">
        <v>97</v>
      </c>
      <c r="E2402" s="29" t="n">
        <v>17467800</v>
      </c>
      <c r="F2402" s="30" t="n">
        <v>748.98</v>
      </c>
      <c r="G2402" s="31" t="n">
        <f aca="false">IFERROR(F2402/D2402,0)</f>
        <v>7.72144329896907</v>
      </c>
    </row>
    <row r="2403" customFormat="false" ht="15" hidden="false" customHeight="false" outlineLevel="0" collapsed="false">
      <c r="A2403" s="28" t="n">
        <v>2022</v>
      </c>
      <c r="B2403" s="28" t="s">
        <v>82</v>
      </c>
      <c r="C2403" s="28" t="s">
        <v>60</v>
      </c>
      <c r="D2403" s="28" t="n">
        <v>2</v>
      </c>
      <c r="E2403" s="29" t="n">
        <v>785000</v>
      </c>
      <c r="F2403" s="30" t="n">
        <v>16.5</v>
      </c>
      <c r="G2403" s="31" t="n">
        <f aca="false">IFERROR(F2403/D2403,0)</f>
        <v>8.25</v>
      </c>
    </row>
    <row r="2404" customFormat="false" ht="15" hidden="false" customHeight="false" outlineLevel="0" collapsed="false">
      <c r="A2404" s="28" t="n">
        <v>2022</v>
      </c>
      <c r="B2404" s="28" t="s">
        <v>82</v>
      </c>
      <c r="C2404" s="28" t="s">
        <v>49</v>
      </c>
      <c r="D2404" s="28" t="n">
        <v>180</v>
      </c>
      <c r="E2404" s="29" t="n">
        <v>106283700</v>
      </c>
      <c r="F2404" s="30" t="n">
        <v>1248.345</v>
      </c>
      <c r="G2404" s="31" t="n">
        <f aca="false">IFERROR(F2404/D2404,0)</f>
        <v>6.93525</v>
      </c>
    </row>
    <row r="2405" customFormat="false" ht="15" hidden="false" customHeight="false" outlineLevel="0" collapsed="false">
      <c r="A2405" s="28" t="n">
        <v>2022</v>
      </c>
      <c r="B2405" s="28" t="s">
        <v>84</v>
      </c>
      <c r="C2405" s="28" t="s">
        <v>42</v>
      </c>
      <c r="D2405" s="28" t="n">
        <v>348</v>
      </c>
      <c r="E2405" s="29" t="n">
        <v>220598200</v>
      </c>
      <c r="F2405" s="30" t="n">
        <v>2174.615</v>
      </c>
      <c r="G2405" s="31" t="n">
        <f aca="false">IFERROR(F2405/D2405,0)</f>
        <v>6.24889367816092</v>
      </c>
    </row>
    <row r="2406" customFormat="false" ht="15" hidden="false" customHeight="false" outlineLevel="0" collapsed="false">
      <c r="A2406" s="28" t="n">
        <v>2022</v>
      </c>
      <c r="B2406" s="28" t="s">
        <v>84</v>
      </c>
      <c r="C2406" s="28" t="s">
        <v>50</v>
      </c>
      <c r="D2406" s="28" t="n">
        <v>176</v>
      </c>
      <c r="E2406" s="29" t="n">
        <v>28442000</v>
      </c>
      <c r="F2406" s="30" t="n">
        <v>1083.505</v>
      </c>
      <c r="G2406" s="31" t="n">
        <f aca="false">IFERROR(F2406/D2406,0)</f>
        <v>6.15627840909091</v>
      </c>
    </row>
    <row r="2407" customFormat="false" ht="15" hidden="false" customHeight="false" outlineLevel="0" collapsed="false">
      <c r="A2407" s="28" t="n">
        <v>2022</v>
      </c>
      <c r="B2407" s="28" t="s">
        <v>84</v>
      </c>
      <c r="C2407" s="28" t="s">
        <v>55</v>
      </c>
      <c r="D2407" s="28" t="n">
        <v>15</v>
      </c>
      <c r="E2407" s="29" t="n">
        <v>9341100</v>
      </c>
      <c r="F2407" s="30" t="n">
        <v>80.5</v>
      </c>
      <c r="G2407" s="31" t="n">
        <f aca="false">IFERROR(F2407/D2407,0)</f>
        <v>5.36666666666667</v>
      </c>
    </row>
    <row r="2408" customFormat="false" ht="15" hidden="false" customHeight="false" outlineLevel="0" collapsed="false">
      <c r="A2408" s="28" t="n">
        <v>2022</v>
      </c>
      <c r="B2408" s="28" t="s">
        <v>84</v>
      </c>
      <c r="C2408" s="28" t="s">
        <v>51</v>
      </c>
      <c r="D2408" s="28" t="n">
        <v>104</v>
      </c>
      <c r="E2408" s="29" t="n">
        <v>28992100</v>
      </c>
      <c r="F2408" s="30" t="n">
        <v>651.765</v>
      </c>
      <c r="G2408" s="31" t="n">
        <f aca="false">IFERROR(F2408/D2408,0)</f>
        <v>6.26697115384615</v>
      </c>
    </row>
    <row r="2409" customFormat="false" ht="15" hidden="false" customHeight="false" outlineLevel="0" collapsed="false">
      <c r="A2409" s="28" t="n">
        <v>2022</v>
      </c>
      <c r="B2409" s="28" t="s">
        <v>84</v>
      </c>
      <c r="C2409" s="28" t="s">
        <v>45</v>
      </c>
      <c r="D2409" s="28" t="n">
        <v>510</v>
      </c>
      <c r="E2409" s="29" t="n">
        <v>97507300</v>
      </c>
      <c r="F2409" s="30" t="n">
        <v>3217.94</v>
      </c>
      <c r="G2409" s="31" t="n">
        <f aca="false">IFERROR(F2409/D2409,0)</f>
        <v>6.3096862745098</v>
      </c>
    </row>
    <row r="2410" customFormat="false" ht="15" hidden="false" customHeight="false" outlineLevel="0" collapsed="false">
      <c r="A2410" s="28" t="n">
        <v>2022</v>
      </c>
      <c r="B2410" s="28" t="s">
        <v>84</v>
      </c>
      <c r="C2410" s="28" t="s">
        <v>56</v>
      </c>
      <c r="D2410" s="28" t="n">
        <v>44</v>
      </c>
      <c r="E2410" s="29" t="n">
        <v>6100800</v>
      </c>
      <c r="F2410" s="30" t="n">
        <v>278.69</v>
      </c>
      <c r="G2410" s="31" t="n">
        <f aca="false">IFERROR(F2410/D2410,0)</f>
        <v>6.33386363636364</v>
      </c>
    </row>
    <row r="2411" customFormat="false" ht="15" hidden="false" customHeight="false" outlineLevel="0" collapsed="false">
      <c r="A2411" s="28" t="n">
        <v>2022</v>
      </c>
      <c r="B2411" s="28" t="s">
        <v>84</v>
      </c>
      <c r="C2411" s="28" t="s">
        <v>54</v>
      </c>
      <c r="D2411" s="28" t="n">
        <v>47</v>
      </c>
      <c r="E2411" s="29" t="n">
        <v>12380900</v>
      </c>
      <c r="F2411" s="30" t="n">
        <v>271.32</v>
      </c>
      <c r="G2411" s="31" t="n">
        <f aca="false">IFERROR(F2411/D2411,0)</f>
        <v>5.77276595744681</v>
      </c>
    </row>
    <row r="2412" customFormat="false" ht="15" hidden="false" customHeight="false" outlineLevel="0" collapsed="false">
      <c r="A2412" s="28" t="n">
        <v>2022</v>
      </c>
      <c r="B2412" s="28" t="s">
        <v>84</v>
      </c>
      <c r="C2412" s="28" t="s">
        <v>44</v>
      </c>
      <c r="D2412" s="28" t="n">
        <v>252</v>
      </c>
      <c r="E2412" s="29" t="n">
        <v>79301000</v>
      </c>
      <c r="F2412" s="30" t="n">
        <v>1554.075</v>
      </c>
      <c r="G2412" s="31" t="n">
        <f aca="false">IFERROR(F2412/D2412,0)</f>
        <v>6.16696428571429</v>
      </c>
    </row>
    <row r="2413" customFormat="false" ht="15" hidden="false" customHeight="false" outlineLevel="0" collapsed="false">
      <c r="A2413" s="28" t="n">
        <v>2022</v>
      </c>
      <c r="B2413" s="28" t="s">
        <v>84</v>
      </c>
      <c r="C2413" s="28" t="s">
        <v>57</v>
      </c>
      <c r="D2413" s="28" t="n">
        <v>18</v>
      </c>
      <c r="E2413" s="29" t="n">
        <v>15399300</v>
      </c>
      <c r="F2413" s="30" t="n">
        <v>121.45</v>
      </c>
      <c r="G2413" s="31" t="n">
        <f aca="false">IFERROR(F2413/D2413,0)</f>
        <v>6.74722222222222</v>
      </c>
    </row>
    <row r="2414" customFormat="false" ht="15" hidden="false" customHeight="false" outlineLevel="0" collapsed="false">
      <c r="A2414" s="28" t="n">
        <v>2022</v>
      </c>
      <c r="B2414" s="28" t="s">
        <v>84</v>
      </c>
      <c r="C2414" s="28" t="s">
        <v>59</v>
      </c>
      <c r="D2414" s="28" t="n">
        <v>4</v>
      </c>
      <c r="E2414" s="29" t="n">
        <v>6411000</v>
      </c>
      <c r="F2414" s="30" t="n">
        <v>25</v>
      </c>
      <c r="G2414" s="31" t="n">
        <f aca="false">IFERROR(F2414/D2414,0)</f>
        <v>6.25</v>
      </c>
    </row>
    <row r="2415" customFormat="false" ht="15" hidden="false" customHeight="false" outlineLevel="0" collapsed="false">
      <c r="A2415" s="28" t="n">
        <v>2022</v>
      </c>
      <c r="B2415" s="28" t="s">
        <v>84</v>
      </c>
      <c r="C2415" s="28" t="s">
        <v>47</v>
      </c>
      <c r="D2415" s="28" t="n">
        <v>242</v>
      </c>
      <c r="E2415" s="29" t="n">
        <v>101938500</v>
      </c>
      <c r="F2415" s="30" t="n">
        <v>1463.62</v>
      </c>
      <c r="G2415" s="31" t="n">
        <f aca="false">IFERROR(F2415/D2415,0)</f>
        <v>6.04801652892562</v>
      </c>
    </row>
    <row r="2416" customFormat="false" ht="15" hidden="false" customHeight="false" outlineLevel="0" collapsed="false">
      <c r="A2416" s="28" t="n">
        <v>2022</v>
      </c>
      <c r="B2416" s="28" t="s">
        <v>84</v>
      </c>
      <c r="C2416" s="28" t="s">
        <v>58</v>
      </c>
      <c r="D2416" s="28" t="n">
        <v>1</v>
      </c>
      <c r="E2416" s="29" t="n">
        <v>140000</v>
      </c>
      <c r="F2416" s="30" t="n">
        <v>7.5</v>
      </c>
      <c r="G2416" s="31" t="n">
        <f aca="false">IFERROR(F2416/D2416,0)</f>
        <v>7.5</v>
      </c>
    </row>
    <row r="2417" customFormat="false" ht="15" hidden="false" customHeight="false" outlineLevel="0" collapsed="false">
      <c r="A2417" s="28" t="n">
        <v>2022</v>
      </c>
      <c r="B2417" s="28" t="s">
        <v>84</v>
      </c>
      <c r="C2417" s="28" t="s">
        <v>46</v>
      </c>
      <c r="D2417" s="28" t="n">
        <v>310</v>
      </c>
      <c r="E2417" s="29" t="n">
        <v>86599500</v>
      </c>
      <c r="F2417" s="30" t="n">
        <v>1923.34</v>
      </c>
      <c r="G2417" s="31" t="n">
        <f aca="false">IFERROR(F2417/D2417,0)</f>
        <v>6.20432258064516</v>
      </c>
    </row>
    <row r="2418" customFormat="false" ht="15" hidden="false" customHeight="false" outlineLevel="0" collapsed="false">
      <c r="A2418" s="28" t="n">
        <v>2022</v>
      </c>
      <c r="B2418" s="28" t="s">
        <v>84</v>
      </c>
      <c r="C2418" s="28" t="s">
        <v>48</v>
      </c>
      <c r="D2418" s="28" t="n">
        <v>217</v>
      </c>
      <c r="E2418" s="29" t="n">
        <v>52756200</v>
      </c>
      <c r="F2418" s="30" t="n">
        <v>1323.42</v>
      </c>
      <c r="G2418" s="31" t="n">
        <f aca="false">IFERROR(F2418/D2418,0)</f>
        <v>6.09870967741936</v>
      </c>
    </row>
    <row r="2419" customFormat="false" ht="15" hidden="false" customHeight="false" outlineLevel="0" collapsed="false">
      <c r="A2419" s="28" t="n">
        <v>2022</v>
      </c>
      <c r="B2419" s="28" t="s">
        <v>84</v>
      </c>
      <c r="C2419" s="28" t="s">
        <v>53</v>
      </c>
      <c r="D2419" s="28" t="n">
        <v>58</v>
      </c>
      <c r="E2419" s="29" t="n">
        <v>33777000</v>
      </c>
      <c r="F2419" s="30" t="n">
        <v>353.71</v>
      </c>
      <c r="G2419" s="31" t="n">
        <f aca="false">IFERROR(F2419/D2419,0)</f>
        <v>6.09844827586207</v>
      </c>
    </row>
    <row r="2420" customFormat="false" ht="15" hidden="false" customHeight="false" outlineLevel="0" collapsed="false">
      <c r="A2420" s="28" t="n">
        <v>2022</v>
      </c>
      <c r="B2420" s="28" t="s">
        <v>84</v>
      </c>
      <c r="C2420" s="28" t="s">
        <v>43</v>
      </c>
      <c r="D2420" s="28" t="n">
        <v>245</v>
      </c>
      <c r="E2420" s="29" t="n">
        <v>62369100</v>
      </c>
      <c r="F2420" s="30" t="n">
        <v>1529.36</v>
      </c>
      <c r="G2420" s="31" t="n">
        <f aca="false">IFERROR(F2420/D2420,0)</f>
        <v>6.24228571428571</v>
      </c>
    </row>
    <row r="2421" customFormat="false" ht="15" hidden="false" customHeight="false" outlineLevel="0" collapsed="false">
      <c r="A2421" s="28" t="n">
        <v>2022</v>
      </c>
      <c r="B2421" s="28" t="s">
        <v>84</v>
      </c>
      <c r="C2421" s="28" t="s">
        <v>52</v>
      </c>
      <c r="D2421" s="28" t="n">
        <v>447</v>
      </c>
      <c r="E2421" s="29" t="n">
        <v>56514500</v>
      </c>
      <c r="F2421" s="30" t="n">
        <v>2793.025</v>
      </c>
      <c r="G2421" s="31" t="n">
        <f aca="false">IFERROR(F2421/D2421,0)</f>
        <v>6.24837807606264</v>
      </c>
    </row>
    <row r="2422" customFormat="false" ht="15" hidden="false" customHeight="false" outlineLevel="0" collapsed="false">
      <c r="A2422" s="28" t="n">
        <v>2022</v>
      </c>
      <c r="B2422" s="28" t="s">
        <v>84</v>
      </c>
      <c r="C2422" s="28" t="s">
        <v>60</v>
      </c>
      <c r="D2422" s="28" t="n">
        <v>9</v>
      </c>
      <c r="E2422" s="29" t="n">
        <v>424600</v>
      </c>
      <c r="F2422" s="30" t="n">
        <v>51.05</v>
      </c>
      <c r="G2422" s="31" t="n">
        <f aca="false">IFERROR(F2422/D2422,0)</f>
        <v>5.67222222222222</v>
      </c>
    </row>
    <row r="2423" customFormat="false" ht="15" hidden="false" customHeight="false" outlineLevel="0" collapsed="false">
      <c r="A2423" s="28" t="n">
        <v>2022</v>
      </c>
      <c r="B2423" s="28" t="s">
        <v>84</v>
      </c>
      <c r="C2423" s="28" t="s">
        <v>49</v>
      </c>
      <c r="D2423" s="28" t="n">
        <v>104</v>
      </c>
      <c r="E2423" s="29" t="n">
        <v>54158300</v>
      </c>
      <c r="F2423" s="30" t="n">
        <v>633.29</v>
      </c>
      <c r="G2423" s="31" t="n">
        <f aca="false">IFERROR(F2423/D2423,0)</f>
        <v>6.08932692307692</v>
      </c>
    </row>
    <row r="2424" customFormat="false" ht="15" hidden="false" customHeight="false" outlineLevel="0" collapsed="false">
      <c r="A2424" s="28" t="n">
        <v>2022</v>
      </c>
      <c r="B2424" s="28" t="s">
        <v>114</v>
      </c>
      <c r="C2424" s="28" t="s">
        <v>42</v>
      </c>
      <c r="D2424" s="28" t="n">
        <v>84</v>
      </c>
      <c r="E2424" s="29" t="n">
        <v>76277500</v>
      </c>
      <c r="F2424" s="30" t="n">
        <v>477.114</v>
      </c>
      <c r="G2424" s="31" t="n">
        <f aca="false">IFERROR(F2424/D2424,0)</f>
        <v>5.67992857142857</v>
      </c>
    </row>
    <row r="2425" customFormat="false" ht="15" hidden="false" customHeight="false" outlineLevel="0" collapsed="false">
      <c r="A2425" s="28" t="n">
        <v>2022</v>
      </c>
      <c r="B2425" s="28" t="s">
        <v>114</v>
      </c>
      <c r="C2425" s="28" t="s">
        <v>50</v>
      </c>
      <c r="D2425" s="28" t="n">
        <v>21</v>
      </c>
      <c r="E2425" s="29" t="n">
        <v>4244100</v>
      </c>
      <c r="F2425" s="30" t="n">
        <v>137.2</v>
      </c>
      <c r="G2425" s="31" t="n">
        <f aca="false">IFERROR(F2425/D2425,0)</f>
        <v>6.53333333333333</v>
      </c>
    </row>
    <row r="2426" customFormat="false" ht="15" hidden="false" customHeight="false" outlineLevel="0" collapsed="false">
      <c r="A2426" s="28" t="n">
        <v>2022</v>
      </c>
      <c r="B2426" s="28" t="s">
        <v>114</v>
      </c>
      <c r="C2426" s="28" t="s">
        <v>55</v>
      </c>
      <c r="D2426" s="28" t="n">
        <v>13</v>
      </c>
      <c r="E2426" s="29" t="n">
        <v>9819000</v>
      </c>
      <c r="F2426" s="30" t="n">
        <v>76.4</v>
      </c>
      <c r="G2426" s="31" t="n">
        <f aca="false">IFERROR(F2426/D2426,0)</f>
        <v>5.87692307692308</v>
      </c>
    </row>
    <row r="2427" customFormat="false" ht="15" hidden="false" customHeight="false" outlineLevel="0" collapsed="false">
      <c r="A2427" s="28" t="n">
        <v>2022</v>
      </c>
      <c r="B2427" s="28" t="s">
        <v>114</v>
      </c>
      <c r="C2427" s="28" t="s">
        <v>51</v>
      </c>
      <c r="D2427" s="28" t="n">
        <v>10</v>
      </c>
      <c r="E2427" s="29" t="n">
        <v>2036400</v>
      </c>
      <c r="F2427" s="30" t="n">
        <v>55</v>
      </c>
      <c r="G2427" s="31" t="n">
        <f aca="false">IFERROR(F2427/D2427,0)</f>
        <v>5.5</v>
      </c>
    </row>
    <row r="2428" customFormat="false" ht="15" hidden="false" customHeight="false" outlineLevel="0" collapsed="false">
      <c r="A2428" s="28" t="n">
        <v>2022</v>
      </c>
      <c r="B2428" s="28" t="s">
        <v>114</v>
      </c>
      <c r="C2428" s="28" t="s">
        <v>45</v>
      </c>
      <c r="D2428" s="28" t="n">
        <v>53</v>
      </c>
      <c r="E2428" s="29" t="n">
        <v>24221600</v>
      </c>
      <c r="F2428" s="30" t="n">
        <v>305.17</v>
      </c>
      <c r="G2428" s="31" t="n">
        <f aca="false">IFERROR(F2428/D2428,0)</f>
        <v>5.75792452830189</v>
      </c>
    </row>
    <row r="2429" customFormat="false" ht="15" hidden="false" customHeight="false" outlineLevel="0" collapsed="false">
      <c r="A2429" s="28" t="n">
        <v>2022</v>
      </c>
      <c r="B2429" s="28" t="s">
        <v>114</v>
      </c>
      <c r="C2429" s="28" t="s">
        <v>56</v>
      </c>
      <c r="D2429" s="28" t="n">
        <v>6</v>
      </c>
      <c r="E2429" s="29" t="n">
        <v>1762200</v>
      </c>
      <c r="F2429" s="30" t="n">
        <v>38.25</v>
      </c>
      <c r="G2429" s="31" t="n">
        <f aca="false">IFERROR(F2429/D2429,0)</f>
        <v>6.375</v>
      </c>
    </row>
    <row r="2430" customFormat="false" ht="15" hidden="false" customHeight="false" outlineLevel="0" collapsed="false">
      <c r="A2430" s="28" t="n">
        <v>2022</v>
      </c>
      <c r="B2430" s="28" t="s">
        <v>114</v>
      </c>
      <c r="C2430" s="28" t="s">
        <v>54</v>
      </c>
      <c r="D2430" s="28" t="n">
        <v>20</v>
      </c>
      <c r="E2430" s="29" t="n">
        <v>8578600</v>
      </c>
      <c r="F2430" s="30" t="n">
        <v>124.64</v>
      </c>
      <c r="G2430" s="31" t="n">
        <f aca="false">IFERROR(F2430/D2430,0)</f>
        <v>6.232</v>
      </c>
    </row>
    <row r="2431" customFormat="false" ht="15" hidden="false" customHeight="false" outlineLevel="0" collapsed="false">
      <c r="A2431" s="28" t="n">
        <v>2022</v>
      </c>
      <c r="B2431" s="28" t="s">
        <v>114</v>
      </c>
      <c r="C2431" s="28" t="s">
        <v>44</v>
      </c>
      <c r="D2431" s="28" t="n">
        <v>38</v>
      </c>
      <c r="E2431" s="29" t="n">
        <v>16337900</v>
      </c>
      <c r="F2431" s="30" t="n">
        <v>216.366</v>
      </c>
      <c r="G2431" s="31" t="n">
        <f aca="false">IFERROR(F2431/D2431,0)</f>
        <v>5.69384210526316</v>
      </c>
    </row>
    <row r="2432" customFormat="false" ht="15" hidden="false" customHeight="false" outlineLevel="0" collapsed="false">
      <c r="A2432" s="28" t="n">
        <v>2022</v>
      </c>
      <c r="B2432" s="28" t="s">
        <v>114</v>
      </c>
      <c r="C2432" s="28" t="s">
        <v>57</v>
      </c>
      <c r="D2432" s="28" t="n">
        <v>4</v>
      </c>
      <c r="E2432" s="29" t="n">
        <v>586700</v>
      </c>
      <c r="F2432" s="30" t="n">
        <v>24.8</v>
      </c>
      <c r="G2432" s="31" t="n">
        <f aca="false">IFERROR(F2432/D2432,0)</f>
        <v>6.2</v>
      </c>
    </row>
    <row r="2433" customFormat="false" ht="15" hidden="false" customHeight="false" outlineLevel="0" collapsed="false">
      <c r="A2433" s="28" t="n">
        <v>2022</v>
      </c>
      <c r="B2433" s="28" t="s">
        <v>114</v>
      </c>
      <c r="C2433" s="28" t="s">
        <v>59</v>
      </c>
      <c r="D2433" s="28" t="n">
        <v>1</v>
      </c>
      <c r="E2433" s="29" t="n">
        <v>361000</v>
      </c>
      <c r="F2433" s="30" t="n">
        <v>4.25</v>
      </c>
      <c r="G2433" s="31" t="n">
        <f aca="false">IFERROR(F2433/D2433,0)</f>
        <v>4.25</v>
      </c>
    </row>
    <row r="2434" customFormat="false" ht="15" hidden="false" customHeight="false" outlineLevel="0" collapsed="false">
      <c r="A2434" s="28" t="n">
        <v>2022</v>
      </c>
      <c r="B2434" s="28" t="s">
        <v>114</v>
      </c>
      <c r="C2434" s="28" t="s">
        <v>47</v>
      </c>
      <c r="D2434" s="28" t="n">
        <v>28</v>
      </c>
      <c r="E2434" s="29" t="n">
        <v>20091200</v>
      </c>
      <c r="F2434" s="30" t="n">
        <v>160.546</v>
      </c>
      <c r="G2434" s="31" t="n">
        <f aca="false">IFERROR(F2434/D2434,0)</f>
        <v>5.73378571428571</v>
      </c>
    </row>
    <row r="2435" customFormat="false" ht="15" hidden="false" customHeight="false" outlineLevel="0" collapsed="false">
      <c r="A2435" s="28" t="n">
        <v>2022</v>
      </c>
      <c r="B2435" s="28" t="s">
        <v>114</v>
      </c>
      <c r="C2435" s="28" t="s">
        <v>58</v>
      </c>
      <c r="D2435" s="28" t="n">
        <v>6</v>
      </c>
      <c r="E2435" s="29" t="n">
        <v>2986600</v>
      </c>
      <c r="F2435" s="30" t="n">
        <v>32.95</v>
      </c>
      <c r="G2435" s="31" t="n">
        <f aca="false">IFERROR(F2435/D2435,0)</f>
        <v>5.49166666666667</v>
      </c>
    </row>
    <row r="2436" customFormat="false" ht="15" hidden="false" customHeight="false" outlineLevel="0" collapsed="false">
      <c r="A2436" s="28" t="n">
        <v>2022</v>
      </c>
      <c r="B2436" s="28" t="s">
        <v>114</v>
      </c>
      <c r="C2436" s="28" t="s">
        <v>46</v>
      </c>
      <c r="D2436" s="28" t="n">
        <v>52</v>
      </c>
      <c r="E2436" s="29" t="n">
        <v>20620600</v>
      </c>
      <c r="F2436" s="30" t="n">
        <v>304.488</v>
      </c>
      <c r="G2436" s="31" t="n">
        <f aca="false">IFERROR(F2436/D2436,0)</f>
        <v>5.85553846153846</v>
      </c>
    </row>
    <row r="2437" customFormat="false" ht="15" hidden="false" customHeight="false" outlineLevel="0" collapsed="false">
      <c r="A2437" s="28" t="n">
        <v>2022</v>
      </c>
      <c r="B2437" s="28" t="s">
        <v>114</v>
      </c>
      <c r="C2437" s="28" t="s">
        <v>48</v>
      </c>
      <c r="D2437" s="28" t="n">
        <v>33</v>
      </c>
      <c r="E2437" s="29" t="n">
        <v>14919100</v>
      </c>
      <c r="F2437" s="30" t="n">
        <v>181.259</v>
      </c>
      <c r="G2437" s="31" t="n">
        <f aca="false">IFERROR(F2437/D2437,0)</f>
        <v>5.49269696969697</v>
      </c>
    </row>
    <row r="2438" customFormat="false" ht="15" hidden="false" customHeight="false" outlineLevel="0" collapsed="false">
      <c r="A2438" s="28" t="n">
        <v>2022</v>
      </c>
      <c r="B2438" s="28" t="s">
        <v>114</v>
      </c>
      <c r="C2438" s="28" t="s">
        <v>53</v>
      </c>
      <c r="D2438" s="28" t="n">
        <v>8</v>
      </c>
      <c r="E2438" s="29" t="n">
        <v>1683900</v>
      </c>
      <c r="F2438" s="30" t="n">
        <v>45.03</v>
      </c>
      <c r="G2438" s="31" t="n">
        <f aca="false">IFERROR(F2438/D2438,0)</f>
        <v>5.62875</v>
      </c>
    </row>
    <row r="2439" customFormat="false" ht="15" hidden="false" customHeight="false" outlineLevel="0" collapsed="false">
      <c r="A2439" s="28" t="n">
        <v>2022</v>
      </c>
      <c r="B2439" s="28" t="s">
        <v>114</v>
      </c>
      <c r="C2439" s="28" t="s">
        <v>43</v>
      </c>
      <c r="D2439" s="28" t="n">
        <v>65</v>
      </c>
      <c r="E2439" s="29" t="n">
        <v>29046500</v>
      </c>
      <c r="F2439" s="30" t="n">
        <v>372.845</v>
      </c>
      <c r="G2439" s="31" t="n">
        <f aca="false">IFERROR(F2439/D2439,0)</f>
        <v>5.73607692307692</v>
      </c>
    </row>
    <row r="2440" customFormat="false" ht="15" hidden="false" customHeight="false" outlineLevel="0" collapsed="false">
      <c r="A2440" s="28" t="n">
        <v>2022</v>
      </c>
      <c r="B2440" s="28" t="s">
        <v>114</v>
      </c>
      <c r="C2440" s="28" t="s">
        <v>52</v>
      </c>
      <c r="D2440" s="28" t="n">
        <v>45</v>
      </c>
      <c r="E2440" s="29" t="n">
        <v>8726300</v>
      </c>
      <c r="F2440" s="30" t="n">
        <v>267.437</v>
      </c>
      <c r="G2440" s="31" t="n">
        <f aca="false">IFERROR(F2440/D2440,0)</f>
        <v>5.94304444444444</v>
      </c>
    </row>
    <row r="2441" customFormat="false" ht="15" hidden="false" customHeight="false" outlineLevel="0" collapsed="false">
      <c r="A2441" s="28" t="n">
        <v>2022</v>
      </c>
      <c r="B2441" s="28" t="s">
        <v>114</v>
      </c>
      <c r="C2441" s="28" t="s">
        <v>60</v>
      </c>
      <c r="D2441" s="28" t="n">
        <v>1</v>
      </c>
      <c r="E2441" s="29" t="n">
        <v>500000</v>
      </c>
      <c r="F2441" s="30" t="n">
        <v>6.25</v>
      </c>
      <c r="G2441" s="31" t="n">
        <f aca="false">IFERROR(F2441/D2441,0)</f>
        <v>6.25</v>
      </c>
    </row>
    <row r="2442" customFormat="false" ht="15" hidden="false" customHeight="false" outlineLevel="0" collapsed="false">
      <c r="A2442" s="28" t="n">
        <v>2022</v>
      </c>
      <c r="B2442" s="28" t="s">
        <v>114</v>
      </c>
      <c r="C2442" s="28" t="s">
        <v>49</v>
      </c>
      <c r="D2442" s="28" t="n">
        <v>13</v>
      </c>
      <c r="E2442" s="29" t="n">
        <v>16049000</v>
      </c>
      <c r="F2442" s="30" t="n">
        <v>77.15</v>
      </c>
      <c r="G2442" s="31" t="n">
        <f aca="false">IFERROR(F2442/D2442,0)</f>
        <v>5.93461538461539</v>
      </c>
    </row>
    <row r="2443" customFormat="false" ht="15" hidden="false" customHeight="false" outlineLevel="0" collapsed="false">
      <c r="A2443" s="28" t="n">
        <v>2022</v>
      </c>
      <c r="B2443" s="28" t="s">
        <v>108</v>
      </c>
      <c r="C2443" s="28" t="s">
        <v>42</v>
      </c>
      <c r="D2443" s="28" t="n">
        <v>66</v>
      </c>
      <c r="E2443" s="29" t="n">
        <v>55181600</v>
      </c>
      <c r="F2443" s="30" t="n">
        <v>413.97</v>
      </c>
      <c r="G2443" s="31" t="n">
        <f aca="false">IFERROR(F2443/D2443,0)</f>
        <v>6.27227272727273</v>
      </c>
    </row>
    <row r="2444" customFormat="false" ht="15" hidden="false" customHeight="false" outlineLevel="0" collapsed="false">
      <c r="A2444" s="28" t="n">
        <v>2022</v>
      </c>
      <c r="B2444" s="28" t="s">
        <v>108</v>
      </c>
      <c r="C2444" s="28" t="s">
        <v>50</v>
      </c>
      <c r="D2444" s="28" t="n">
        <v>36</v>
      </c>
      <c r="E2444" s="29" t="n">
        <v>9119100</v>
      </c>
      <c r="F2444" s="30" t="n">
        <v>222.18</v>
      </c>
      <c r="G2444" s="31" t="n">
        <f aca="false">IFERROR(F2444/D2444,0)</f>
        <v>6.17166666666667</v>
      </c>
    </row>
    <row r="2445" customFormat="false" ht="15" hidden="false" customHeight="false" outlineLevel="0" collapsed="false">
      <c r="A2445" s="28" t="n">
        <v>2022</v>
      </c>
      <c r="B2445" s="28" t="s">
        <v>108</v>
      </c>
      <c r="C2445" s="28" t="s">
        <v>55</v>
      </c>
      <c r="D2445" s="28" t="n">
        <v>14</v>
      </c>
      <c r="E2445" s="29" t="n">
        <v>2089000</v>
      </c>
      <c r="F2445" s="30" t="n">
        <v>92.75</v>
      </c>
      <c r="G2445" s="31" t="n">
        <f aca="false">IFERROR(F2445/D2445,0)</f>
        <v>6.625</v>
      </c>
    </row>
    <row r="2446" customFormat="false" ht="15" hidden="false" customHeight="false" outlineLevel="0" collapsed="false">
      <c r="A2446" s="28" t="n">
        <v>2022</v>
      </c>
      <c r="B2446" s="28" t="s">
        <v>108</v>
      </c>
      <c r="C2446" s="28" t="s">
        <v>51</v>
      </c>
      <c r="D2446" s="28" t="n">
        <v>18</v>
      </c>
      <c r="E2446" s="29" t="n">
        <v>9319100</v>
      </c>
      <c r="F2446" s="30" t="n">
        <v>106.34</v>
      </c>
      <c r="G2446" s="31" t="n">
        <f aca="false">IFERROR(F2446/D2446,0)</f>
        <v>5.90777777777778</v>
      </c>
    </row>
    <row r="2447" customFormat="false" ht="15" hidden="false" customHeight="false" outlineLevel="0" collapsed="false">
      <c r="A2447" s="28" t="n">
        <v>2022</v>
      </c>
      <c r="B2447" s="28" t="s">
        <v>108</v>
      </c>
      <c r="C2447" s="28" t="s">
        <v>45</v>
      </c>
      <c r="D2447" s="28" t="n">
        <v>87</v>
      </c>
      <c r="E2447" s="29" t="n">
        <v>28842900</v>
      </c>
      <c r="F2447" s="30" t="n">
        <v>541.47</v>
      </c>
      <c r="G2447" s="31" t="n">
        <f aca="false">IFERROR(F2447/D2447,0)</f>
        <v>6.22379310344828</v>
      </c>
    </row>
    <row r="2448" customFormat="false" ht="15" hidden="false" customHeight="false" outlineLevel="0" collapsed="false">
      <c r="A2448" s="28" t="n">
        <v>2022</v>
      </c>
      <c r="B2448" s="28" t="s">
        <v>108</v>
      </c>
      <c r="C2448" s="28" t="s">
        <v>56</v>
      </c>
      <c r="D2448" s="28" t="n">
        <v>7</v>
      </c>
      <c r="E2448" s="29" t="n">
        <v>6737600</v>
      </c>
      <c r="F2448" s="30" t="n">
        <v>45.99</v>
      </c>
      <c r="G2448" s="31" t="n">
        <f aca="false">IFERROR(F2448/D2448,0)</f>
        <v>6.57</v>
      </c>
    </row>
    <row r="2449" customFormat="false" ht="15" hidden="false" customHeight="false" outlineLevel="0" collapsed="false">
      <c r="A2449" s="28" t="n">
        <v>2022</v>
      </c>
      <c r="B2449" s="28" t="s">
        <v>108</v>
      </c>
      <c r="C2449" s="28" t="s">
        <v>54</v>
      </c>
      <c r="D2449" s="28" t="n">
        <v>15</v>
      </c>
      <c r="E2449" s="29" t="n">
        <v>5851100</v>
      </c>
      <c r="F2449" s="30" t="n">
        <v>86.717</v>
      </c>
      <c r="G2449" s="31" t="n">
        <f aca="false">IFERROR(F2449/D2449,0)</f>
        <v>5.78113333333333</v>
      </c>
    </row>
    <row r="2450" customFormat="false" ht="15" hidden="false" customHeight="false" outlineLevel="0" collapsed="false">
      <c r="A2450" s="28" t="n">
        <v>2022</v>
      </c>
      <c r="B2450" s="28" t="s">
        <v>108</v>
      </c>
      <c r="C2450" s="28" t="s">
        <v>44</v>
      </c>
      <c r="D2450" s="28" t="n">
        <v>50</v>
      </c>
      <c r="E2450" s="29" t="n">
        <v>33279500</v>
      </c>
      <c r="F2450" s="30" t="n">
        <v>318.02</v>
      </c>
      <c r="G2450" s="31" t="n">
        <f aca="false">IFERROR(F2450/D2450,0)</f>
        <v>6.3604</v>
      </c>
    </row>
    <row r="2451" customFormat="false" ht="15" hidden="false" customHeight="false" outlineLevel="0" collapsed="false">
      <c r="A2451" s="28" t="n">
        <v>2022</v>
      </c>
      <c r="B2451" s="28" t="s">
        <v>108</v>
      </c>
      <c r="C2451" s="28" t="s">
        <v>57</v>
      </c>
      <c r="D2451" s="28" t="n">
        <v>5</v>
      </c>
      <c r="E2451" s="29" t="n">
        <v>1987900</v>
      </c>
      <c r="F2451" s="30" t="n">
        <v>35.38</v>
      </c>
      <c r="G2451" s="31" t="n">
        <f aca="false">IFERROR(F2451/D2451,0)</f>
        <v>7.076</v>
      </c>
    </row>
    <row r="2452" customFormat="false" ht="15" hidden="false" customHeight="false" outlineLevel="0" collapsed="false">
      <c r="A2452" s="28" t="n">
        <v>2022</v>
      </c>
      <c r="B2452" s="28" t="s">
        <v>108</v>
      </c>
      <c r="C2452" s="28" t="s">
        <v>47</v>
      </c>
      <c r="D2452" s="28" t="n">
        <v>54</v>
      </c>
      <c r="E2452" s="29" t="n">
        <v>47354600</v>
      </c>
      <c r="F2452" s="30" t="n">
        <v>339.43</v>
      </c>
      <c r="G2452" s="31" t="n">
        <f aca="false">IFERROR(F2452/D2452,0)</f>
        <v>6.28574074074074</v>
      </c>
    </row>
    <row r="2453" customFormat="false" ht="15" hidden="false" customHeight="false" outlineLevel="0" collapsed="false">
      <c r="A2453" s="28" t="n">
        <v>2022</v>
      </c>
      <c r="B2453" s="28" t="s">
        <v>108</v>
      </c>
      <c r="C2453" s="28" t="s">
        <v>46</v>
      </c>
      <c r="D2453" s="28" t="n">
        <v>43</v>
      </c>
      <c r="E2453" s="29" t="n">
        <v>20441900</v>
      </c>
      <c r="F2453" s="30" t="n">
        <v>261.75</v>
      </c>
      <c r="G2453" s="31" t="n">
        <f aca="false">IFERROR(F2453/D2453,0)</f>
        <v>6.08720930232558</v>
      </c>
    </row>
    <row r="2454" customFormat="false" ht="15" hidden="false" customHeight="false" outlineLevel="0" collapsed="false">
      <c r="A2454" s="28" t="n">
        <v>2022</v>
      </c>
      <c r="B2454" s="28" t="s">
        <v>108</v>
      </c>
      <c r="C2454" s="28" t="s">
        <v>48</v>
      </c>
      <c r="D2454" s="28" t="n">
        <v>59</v>
      </c>
      <c r="E2454" s="29" t="n">
        <v>21291200</v>
      </c>
      <c r="F2454" s="30" t="n">
        <v>391.45</v>
      </c>
      <c r="G2454" s="31" t="n">
        <f aca="false">IFERROR(F2454/D2454,0)</f>
        <v>6.63474576271186</v>
      </c>
    </row>
    <row r="2455" customFormat="false" ht="15" hidden="false" customHeight="false" outlineLevel="0" collapsed="false">
      <c r="A2455" s="28" t="n">
        <v>2022</v>
      </c>
      <c r="B2455" s="28" t="s">
        <v>108</v>
      </c>
      <c r="C2455" s="28" t="s">
        <v>53</v>
      </c>
      <c r="D2455" s="28" t="n">
        <v>23</v>
      </c>
      <c r="E2455" s="29" t="n">
        <v>20078400</v>
      </c>
      <c r="F2455" s="30" t="n">
        <v>135.095</v>
      </c>
      <c r="G2455" s="31" t="n">
        <f aca="false">IFERROR(F2455/D2455,0)</f>
        <v>5.87369565217391</v>
      </c>
    </row>
    <row r="2456" customFormat="false" ht="15" hidden="false" customHeight="false" outlineLevel="0" collapsed="false">
      <c r="A2456" s="28" t="n">
        <v>2022</v>
      </c>
      <c r="B2456" s="28" t="s">
        <v>108</v>
      </c>
      <c r="C2456" s="28" t="s">
        <v>43</v>
      </c>
      <c r="D2456" s="28" t="n">
        <v>91</v>
      </c>
      <c r="E2456" s="29" t="n">
        <v>69239100</v>
      </c>
      <c r="F2456" s="30" t="n">
        <v>555.44</v>
      </c>
      <c r="G2456" s="31" t="n">
        <f aca="false">IFERROR(F2456/D2456,0)</f>
        <v>6.10373626373626</v>
      </c>
    </row>
    <row r="2457" customFormat="false" ht="15" hidden="false" customHeight="false" outlineLevel="0" collapsed="false">
      <c r="A2457" s="28" t="n">
        <v>2022</v>
      </c>
      <c r="B2457" s="28" t="s">
        <v>108</v>
      </c>
      <c r="C2457" s="28" t="s">
        <v>52</v>
      </c>
      <c r="D2457" s="28" t="n">
        <v>22</v>
      </c>
      <c r="E2457" s="29" t="n">
        <v>7595000</v>
      </c>
      <c r="F2457" s="30" t="n">
        <v>148.95</v>
      </c>
      <c r="G2457" s="31" t="n">
        <f aca="false">IFERROR(F2457/D2457,0)</f>
        <v>6.77045454545455</v>
      </c>
    </row>
    <row r="2458" customFormat="false" ht="15" hidden="false" customHeight="false" outlineLevel="0" collapsed="false">
      <c r="A2458" s="28" t="n">
        <v>2022</v>
      </c>
      <c r="B2458" s="28" t="s">
        <v>108</v>
      </c>
      <c r="C2458" s="28" t="s">
        <v>49</v>
      </c>
      <c r="D2458" s="28" t="n">
        <v>27</v>
      </c>
      <c r="E2458" s="29" t="n">
        <v>20950200</v>
      </c>
      <c r="F2458" s="30" t="n">
        <v>168.039</v>
      </c>
      <c r="G2458" s="31" t="n">
        <f aca="false">IFERROR(F2458/D2458,0)</f>
        <v>6.22366666666667</v>
      </c>
    </row>
    <row r="2459" customFormat="false" ht="15" hidden="false" customHeight="false" outlineLevel="0" collapsed="false">
      <c r="A2459" s="28" t="n">
        <v>2022</v>
      </c>
      <c r="B2459" s="28" t="s">
        <v>93</v>
      </c>
      <c r="C2459" s="28" t="s">
        <v>42</v>
      </c>
      <c r="D2459" s="28" t="n">
        <v>186</v>
      </c>
      <c r="E2459" s="29" t="n">
        <v>114017400</v>
      </c>
      <c r="F2459" s="30" t="n">
        <v>1192.76</v>
      </c>
      <c r="G2459" s="31" t="n">
        <f aca="false">IFERROR(F2459/D2459,0)</f>
        <v>6.41268817204301</v>
      </c>
    </row>
    <row r="2460" customFormat="false" ht="15" hidden="false" customHeight="false" outlineLevel="0" collapsed="false">
      <c r="A2460" s="28" t="n">
        <v>2022</v>
      </c>
      <c r="B2460" s="28" t="s">
        <v>93</v>
      </c>
      <c r="C2460" s="28" t="s">
        <v>50</v>
      </c>
      <c r="D2460" s="28" t="n">
        <v>83</v>
      </c>
      <c r="E2460" s="29" t="n">
        <v>27935400</v>
      </c>
      <c r="F2460" s="30" t="n">
        <v>544.95</v>
      </c>
      <c r="G2460" s="31" t="n">
        <f aca="false">IFERROR(F2460/D2460,0)</f>
        <v>6.56566265060241</v>
      </c>
    </row>
    <row r="2461" customFormat="false" ht="15" hidden="false" customHeight="false" outlineLevel="0" collapsed="false">
      <c r="A2461" s="28" t="n">
        <v>2022</v>
      </c>
      <c r="B2461" s="28" t="s">
        <v>93</v>
      </c>
      <c r="C2461" s="28" t="s">
        <v>55</v>
      </c>
      <c r="D2461" s="28" t="n">
        <v>3</v>
      </c>
      <c r="E2461" s="29" t="n">
        <v>167400</v>
      </c>
      <c r="F2461" s="30" t="n">
        <v>24.25</v>
      </c>
      <c r="G2461" s="31" t="n">
        <f aca="false">IFERROR(F2461/D2461,0)</f>
        <v>8.08333333333333</v>
      </c>
    </row>
    <row r="2462" customFormat="false" ht="15" hidden="false" customHeight="false" outlineLevel="0" collapsed="false">
      <c r="A2462" s="28" t="n">
        <v>2022</v>
      </c>
      <c r="B2462" s="28" t="s">
        <v>93</v>
      </c>
      <c r="C2462" s="28" t="s">
        <v>51</v>
      </c>
      <c r="D2462" s="28" t="n">
        <v>43</v>
      </c>
      <c r="E2462" s="29" t="n">
        <v>32950800</v>
      </c>
      <c r="F2462" s="30" t="n">
        <v>305.9</v>
      </c>
      <c r="G2462" s="31" t="n">
        <f aca="false">IFERROR(F2462/D2462,0)</f>
        <v>7.11395348837209</v>
      </c>
    </row>
    <row r="2463" customFormat="false" ht="15" hidden="false" customHeight="false" outlineLevel="0" collapsed="false">
      <c r="A2463" s="28" t="n">
        <v>2022</v>
      </c>
      <c r="B2463" s="28" t="s">
        <v>93</v>
      </c>
      <c r="C2463" s="28" t="s">
        <v>45</v>
      </c>
      <c r="D2463" s="28" t="n">
        <v>220</v>
      </c>
      <c r="E2463" s="29" t="n">
        <v>84573800</v>
      </c>
      <c r="F2463" s="30" t="n">
        <v>1525.71</v>
      </c>
      <c r="G2463" s="31" t="n">
        <f aca="false">IFERROR(F2463/D2463,0)</f>
        <v>6.93504545454545</v>
      </c>
    </row>
    <row r="2464" customFormat="false" ht="15" hidden="false" customHeight="false" outlineLevel="0" collapsed="false">
      <c r="A2464" s="28" t="n">
        <v>2022</v>
      </c>
      <c r="B2464" s="28" t="s">
        <v>93</v>
      </c>
      <c r="C2464" s="28" t="s">
        <v>56</v>
      </c>
      <c r="D2464" s="28" t="n">
        <v>35</v>
      </c>
      <c r="E2464" s="29" t="n">
        <v>18898100</v>
      </c>
      <c r="F2464" s="30" t="n">
        <v>247.75</v>
      </c>
      <c r="G2464" s="31" t="n">
        <f aca="false">IFERROR(F2464/D2464,0)</f>
        <v>7.07857142857143</v>
      </c>
    </row>
    <row r="2465" customFormat="false" ht="15" hidden="false" customHeight="false" outlineLevel="0" collapsed="false">
      <c r="A2465" s="28" t="n">
        <v>2022</v>
      </c>
      <c r="B2465" s="28" t="s">
        <v>93</v>
      </c>
      <c r="C2465" s="28" t="s">
        <v>54</v>
      </c>
      <c r="D2465" s="28" t="n">
        <v>24</v>
      </c>
      <c r="E2465" s="29" t="n">
        <v>14535700</v>
      </c>
      <c r="F2465" s="30" t="n">
        <v>154.22</v>
      </c>
      <c r="G2465" s="31" t="n">
        <f aca="false">IFERROR(F2465/D2465,0)</f>
        <v>6.42583333333333</v>
      </c>
    </row>
    <row r="2466" customFormat="false" ht="15" hidden="false" customHeight="false" outlineLevel="0" collapsed="false">
      <c r="A2466" s="28" t="n">
        <v>2022</v>
      </c>
      <c r="B2466" s="28" t="s">
        <v>93</v>
      </c>
      <c r="C2466" s="28" t="s">
        <v>44</v>
      </c>
      <c r="D2466" s="28" t="n">
        <v>132</v>
      </c>
      <c r="E2466" s="29" t="n">
        <v>64312000</v>
      </c>
      <c r="F2466" s="30" t="n">
        <v>831.69</v>
      </c>
      <c r="G2466" s="31" t="n">
        <f aca="false">IFERROR(F2466/D2466,0)</f>
        <v>6.30068181818182</v>
      </c>
    </row>
    <row r="2467" customFormat="false" ht="15" hidden="false" customHeight="false" outlineLevel="0" collapsed="false">
      <c r="A2467" s="28" t="n">
        <v>2022</v>
      </c>
      <c r="B2467" s="28" t="s">
        <v>93</v>
      </c>
      <c r="C2467" s="28" t="s">
        <v>57</v>
      </c>
      <c r="D2467" s="28" t="n">
        <v>14</v>
      </c>
      <c r="E2467" s="29" t="n">
        <v>9420500</v>
      </c>
      <c r="F2467" s="30" t="n">
        <v>93.74</v>
      </c>
      <c r="G2467" s="31" t="n">
        <f aca="false">IFERROR(F2467/D2467,0)</f>
        <v>6.69571428571429</v>
      </c>
    </row>
    <row r="2468" customFormat="false" ht="15" hidden="false" customHeight="false" outlineLevel="0" collapsed="false">
      <c r="A2468" s="28" t="n">
        <v>2022</v>
      </c>
      <c r="B2468" s="28" t="s">
        <v>93</v>
      </c>
      <c r="C2468" s="28" t="s">
        <v>59</v>
      </c>
      <c r="D2468" s="28" t="n">
        <v>3</v>
      </c>
      <c r="E2468" s="29" t="n">
        <v>5030000</v>
      </c>
      <c r="F2468" s="30" t="n">
        <v>18</v>
      </c>
      <c r="G2468" s="31" t="n">
        <f aca="false">IFERROR(F2468/D2468,0)</f>
        <v>6</v>
      </c>
    </row>
    <row r="2469" customFormat="false" ht="15" hidden="false" customHeight="false" outlineLevel="0" collapsed="false">
      <c r="A2469" s="28" t="n">
        <v>2022</v>
      </c>
      <c r="B2469" s="28" t="s">
        <v>93</v>
      </c>
      <c r="C2469" s="28" t="s">
        <v>47</v>
      </c>
      <c r="D2469" s="28" t="n">
        <v>98</v>
      </c>
      <c r="E2469" s="29" t="n">
        <v>59956800</v>
      </c>
      <c r="F2469" s="30" t="n">
        <v>628.7</v>
      </c>
      <c r="G2469" s="31" t="n">
        <f aca="false">IFERROR(F2469/D2469,0)</f>
        <v>6.41530612244898</v>
      </c>
    </row>
    <row r="2470" customFormat="false" ht="15" hidden="false" customHeight="false" outlineLevel="0" collapsed="false">
      <c r="A2470" s="28" t="n">
        <v>2022</v>
      </c>
      <c r="B2470" s="28" t="s">
        <v>93</v>
      </c>
      <c r="C2470" s="28" t="s">
        <v>58</v>
      </c>
      <c r="D2470" s="28" t="n">
        <v>1</v>
      </c>
      <c r="E2470" s="29" t="n">
        <v>5000000</v>
      </c>
      <c r="F2470" s="30" t="n">
        <v>8.25</v>
      </c>
      <c r="G2470" s="31" t="n">
        <f aca="false">IFERROR(F2470/D2470,0)</f>
        <v>8.25</v>
      </c>
    </row>
    <row r="2471" customFormat="false" ht="15" hidden="false" customHeight="false" outlineLevel="0" collapsed="false">
      <c r="A2471" s="28" t="n">
        <v>2022</v>
      </c>
      <c r="B2471" s="28" t="s">
        <v>93</v>
      </c>
      <c r="C2471" s="28" t="s">
        <v>46</v>
      </c>
      <c r="D2471" s="28" t="n">
        <v>156</v>
      </c>
      <c r="E2471" s="29" t="n">
        <v>69544100</v>
      </c>
      <c r="F2471" s="30" t="n">
        <v>1063.7</v>
      </c>
      <c r="G2471" s="31" t="n">
        <f aca="false">IFERROR(F2471/D2471,0)</f>
        <v>6.81858974358974</v>
      </c>
    </row>
    <row r="2472" customFormat="false" ht="15" hidden="false" customHeight="false" outlineLevel="0" collapsed="false">
      <c r="A2472" s="28" t="n">
        <v>2022</v>
      </c>
      <c r="B2472" s="28" t="s">
        <v>93</v>
      </c>
      <c r="C2472" s="28" t="s">
        <v>48</v>
      </c>
      <c r="D2472" s="28" t="n">
        <v>143</v>
      </c>
      <c r="E2472" s="29" t="n">
        <v>61774100</v>
      </c>
      <c r="F2472" s="30" t="n">
        <v>944.22</v>
      </c>
      <c r="G2472" s="31" t="n">
        <f aca="false">IFERROR(F2472/D2472,0)</f>
        <v>6.60293706293706</v>
      </c>
    </row>
    <row r="2473" customFormat="false" ht="15" hidden="false" customHeight="false" outlineLevel="0" collapsed="false">
      <c r="A2473" s="28" t="n">
        <v>2022</v>
      </c>
      <c r="B2473" s="28" t="s">
        <v>93</v>
      </c>
      <c r="C2473" s="28" t="s">
        <v>53</v>
      </c>
      <c r="D2473" s="28" t="n">
        <v>41</v>
      </c>
      <c r="E2473" s="29" t="n">
        <v>21835200</v>
      </c>
      <c r="F2473" s="30" t="n">
        <v>262.07</v>
      </c>
      <c r="G2473" s="31" t="n">
        <f aca="false">IFERROR(F2473/D2473,0)</f>
        <v>6.3919512195122</v>
      </c>
    </row>
    <row r="2474" customFormat="false" ht="15" hidden="false" customHeight="false" outlineLevel="0" collapsed="false">
      <c r="A2474" s="28" t="n">
        <v>2022</v>
      </c>
      <c r="B2474" s="28" t="s">
        <v>93</v>
      </c>
      <c r="C2474" s="28" t="s">
        <v>43</v>
      </c>
      <c r="D2474" s="28" t="n">
        <v>169</v>
      </c>
      <c r="E2474" s="29" t="n">
        <v>98230500</v>
      </c>
      <c r="F2474" s="30" t="n">
        <v>1051.278</v>
      </c>
      <c r="G2474" s="31" t="n">
        <f aca="false">IFERROR(F2474/D2474,0)</f>
        <v>6.22057988165681</v>
      </c>
    </row>
    <row r="2475" customFormat="false" ht="15" hidden="false" customHeight="false" outlineLevel="0" collapsed="false">
      <c r="A2475" s="28" t="n">
        <v>2022</v>
      </c>
      <c r="B2475" s="28" t="s">
        <v>93</v>
      </c>
      <c r="C2475" s="28" t="s">
        <v>52</v>
      </c>
      <c r="D2475" s="28" t="n">
        <v>134</v>
      </c>
      <c r="E2475" s="29" t="n">
        <v>31928200</v>
      </c>
      <c r="F2475" s="30" t="n">
        <v>994.68</v>
      </c>
      <c r="G2475" s="31" t="n">
        <f aca="false">IFERROR(F2475/D2475,0)</f>
        <v>7.42298507462687</v>
      </c>
    </row>
    <row r="2476" customFormat="false" ht="15" hidden="false" customHeight="false" outlineLevel="0" collapsed="false">
      <c r="A2476" s="28" t="n">
        <v>2022</v>
      </c>
      <c r="B2476" s="28" t="s">
        <v>93</v>
      </c>
      <c r="C2476" s="28" t="s">
        <v>60</v>
      </c>
      <c r="D2476" s="28" t="n">
        <v>1</v>
      </c>
      <c r="E2476" s="29" t="n">
        <v>216000</v>
      </c>
      <c r="F2476" s="30" t="n">
        <v>9.5</v>
      </c>
      <c r="G2476" s="31" t="n">
        <f aca="false">IFERROR(F2476/D2476,0)</f>
        <v>9.5</v>
      </c>
    </row>
    <row r="2477" customFormat="false" ht="15" hidden="false" customHeight="false" outlineLevel="0" collapsed="false">
      <c r="A2477" s="28" t="n">
        <v>2022</v>
      </c>
      <c r="B2477" s="28" t="s">
        <v>93</v>
      </c>
      <c r="C2477" s="28" t="s">
        <v>49</v>
      </c>
      <c r="D2477" s="28" t="n">
        <v>63</v>
      </c>
      <c r="E2477" s="29" t="n">
        <v>46877000</v>
      </c>
      <c r="F2477" s="30" t="n">
        <v>400.58</v>
      </c>
      <c r="G2477" s="31" t="n">
        <f aca="false">IFERROR(F2477/D2477,0)</f>
        <v>6.3584126984127</v>
      </c>
    </row>
    <row r="2478" customFormat="false" ht="15" hidden="false" customHeight="false" outlineLevel="0" collapsed="false">
      <c r="A2478" s="28" t="n">
        <v>2022</v>
      </c>
      <c r="B2478" s="28" t="s">
        <v>120</v>
      </c>
      <c r="C2478" s="28" t="s">
        <v>42</v>
      </c>
      <c r="D2478" s="28" t="n">
        <v>36</v>
      </c>
      <c r="E2478" s="29" t="n">
        <v>7049300</v>
      </c>
      <c r="F2478" s="30" t="n">
        <v>257</v>
      </c>
      <c r="G2478" s="31" t="n">
        <f aca="false">IFERROR(F2478/D2478,0)</f>
        <v>7.13888888888889</v>
      </c>
    </row>
    <row r="2479" customFormat="false" ht="15" hidden="false" customHeight="false" outlineLevel="0" collapsed="false">
      <c r="A2479" s="28" t="n">
        <v>2022</v>
      </c>
      <c r="B2479" s="28" t="s">
        <v>120</v>
      </c>
      <c r="C2479" s="28" t="s">
        <v>50</v>
      </c>
      <c r="D2479" s="28" t="n">
        <v>18</v>
      </c>
      <c r="E2479" s="29" t="n">
        <v>4128000</v>
      </c>
      <c r="F2479" s="30" t="n">
        <v>117.25</v>
      </c>
      <c r="G2479" s="31" t="n">
        <f aca="false">IFERROR(F2479/D2479,0)</f>
        <v>6.51388888888889</v>
      </c>
    </row>
    <row r="2480" customFormat="false" ht="15" hidden="false" customHeight="false" outlineLevel="0" collapsed="false">
      <c r="A2480" s="28" t="n">
        <v>2022</v>
      </c>
      <c r="B2480" s="28" t="s">
        <v>120</v>
      </c>
      <c r="C2480" s="28" t="s">
        <v>55</v>
      </c>
      <c r="D2480" s="28" t="n">
        <v>7</v>
      </c>
      <c r="E2480" s="29" t="n">
        <v>961500</v>
      </c>
      <c r="F2480" s="30" t="n">
        <v>65.5</v>
      </c>
      <c r="G2480" s="31" t="n">
        <f aca="false">IFERROR(F2480/D2480,0)</f>
        <v>9.35714285714286</v>
      </c>
    </row>
    <row r="2481" customFormat="false" ht="15" hidden="false" customHeight="false" outlineLevel="0" collapsed="false">
      <c r="A2481" s="28" t="n">
        <v>2022</v>
      </c>
      <c r="B2481" s="28" t="s">
        <v>120</v>
      </c>
      <c r="C2481" s="28" t="s">
        <v>51</v>
      </c>
      <c r="D2481" s="28" t="n">
        <v>5</v>
      </c>
      <c r="E2481" s="29" t="n">
        <v>464700</v>
      </c>
      <c r="F2481" s="30" t="n">
        <v>38.25</v>
      </c>
      <c r="G2481" s="31" t="n">
        <f aca="false">IFERROR(F2481/D2481,0)</f>
        <v>7.65</v>
      </c>
    </row>
    <row r="2482" customFormat="false" ht="15" hidden="false" customHeight="false" outlineLevel="0" collapsed="false">
      <c r="A2482" s="28" t="n">
        <v>2022</v>
      </c>
      <c r="B2482" s="28" t="s">
        <v>120</v>
      </c>
      <c r="C2482" s="28" t="s">
        <v>45</v>
      </c>
      <c r="D2482" s="28" t="n">
        <v>28</v>
      </c>
      <c r="E2482" s="29" t="n">
        <v>3208500</v>
      </c>
      <c r="F2482" s="30" t="n">
        <v>212</v>
      </c>
      <c r="G2482" s="31" t="n">
        <f aca="false">IFERROR(F2482/D2482,0)</f>
        <v>7.57142857142857</v>
      </c>
    </row>
    <row r="2483" customFormat="false" ht="15" hidden="false" customHeight="false" outlineLevel="0" collapsed="false">
      <c r="A2483" s="28" t="n">
        <v>2022</v>
      </c>
      <c r="B2483" s="28" t="s">
        <v>120</v>
      </c>
      <c r="C2483" s="28" t="s">
        <v>56</v>
      </c>
      <c r="D2483" s="28" t="n">
        <v>3</v>
      </c>
      <c r="E2483" s="29" t="n">
        <v>245000</v>
      </c>
      <c r="F2483" s="30" t="n">
        <v>20.25</v>
      </c>
      <c r="G2483" s="31" t="n">
        <f aca="false">IFERROR(F2483/D2483,0)</f>
        <v>6.75</v>
      </c>
    </row>
    <row r="2484" customFormat="false" ht="15" hidden="false" customHeight="false" outlineLevel="0" collapsed="false">
      <c r="A2484" s="28" t="n">
        <v>2022</v>
      </c>
      <c r="B2484" s="28" t="s">
        <v>120</v>
      </c>
      <c r="C2484" s="28" t="s">
        <v>54</v>
      </c>
      <c r="D2484" s="28" t="n">
        <v>1</v>
      </c>
      <c r="E2484" s="29" t="n">
        <v>30000</v>
      </c>
      <c r="F2484" s="30" t="n">
        <v>9.75</v>
      </c>
      <c r="G2484" s="31" t="n">
        <f aca="false">IFERROR(F2484/D2484,0)</f>
        <v>9.75</v>
      </c>
    </row>
    <row r="2485" customFormat="false" ht="15" hidden="false" customHeight="false" outlineLevel="0" collapsed="false">
      <c r="A2485" s="28" t="n">
        <v>2022</v>
      </c>
      <c r="B2485" s="28" t="s">
        <v>120</v>
      </c>
      <c r="C2485" s="28" t="s">
        <v>44</v>
      </c>
      <c r="D2485" s="28" t="n">
        <v>76</v>
      </c>
      <c r="E2485" s="29" t="n">
        <v>10194600</v>
      </c>
      <c r="F2485" s="30" t="n">
        <v>569.3</v>
      </c>
      <c r="G2485" s="31" t="n">
        <f aca="false">IFERROR(F2485/D2485,0)</f>
        <v>7.49078947368421</v>
      </c>
    </row>
    <row r="2486" customFormat="false" ht="15" hidden="false" customHeight="false" outlineLevel="0" collapsed="false">
      <c r="A2486" s="28" t="n">
        <v>2022</v>
      </c>
      <c r="B2486" s="28" t="s">
        <v>120</v>
      </c>
      <c r="C2486" s="28" t="s">
        <v>57</v>
      </c>
      <c r="D2486" s="28" t="n">
        <v>4</v>
      </c>
      <c r="E2486" s="29" t="n">
        <v>1323300</v>
      </c>
      <c r="F2486" s="30" t="n">
        <v>29.75</v>
      </c>
      <c r="G2486" s="31" t="n">
        <f aca="false">IFERROR(F2486/D2486,0)</f>
        <v>7.4375</v>
      </c>
    </row>
    <row r="2487" customFormat="false" ht="15" hidden="false" customHeight="false" outlineLevel="0" collapsed="false">
      <c r="A2487" s="28" t="n">
        <v>2022</v>
      </c>
      <c r="B2487" s="28" t="s">
        <v>120</v>
      </c>
      <c r="C2487" s="28" t="s">
        <v>47</v>
      </c>
      <c r="D2487" s="28" t="n">
        <v>34</v>
      </c>
      <c r="E2487" s="29" t="n">
        <v>6619700</v>
      </c>
      <c r="F2487" s="30" t="n">
        <v>247.25</v>
      </c>
      <c r="G2487" s="31" t="n">
        <f aca="false">IFERROR(F2487/D2487,0)</f>
        <v>7.27205882352941</v>
      </c>
    </row>
    <row r="2488" customFormat="false" ht="15" hidden="false" customHeight="false" outlineLevel="0" collapsed="false">
      <c r="A2488" s="28" t="n">
        <v>2022</v>
      </c>
      <c r="B2488" s="28" t="s">
        <v>120</v>
      </c>
      <c r="C2488" s="28" t="s">
        <v>46</v>
      </c>
      <c r="D2488" s="28" t="n">
        <v>27</v>
      </c>
      <c r="E2488" s="29" t="n">
        <v>2528000</v>
      </c>
      <c r="F2488" s="30" t="n">
        <v>202</v>
      </c>
      <c r="G2488" s="31" t="n">
        <f aca="false">IFERROR(F2488/D2488,0)</f>
        <v>7.48148148148148</v>
      </c>
    </row>
    <row r="2489" customFormat="false" ht="15" hidden="false" customHeight="false" outlineLevel="0" collapsed="false">
      <c r="A2489" s="28" t="n">
        <v>2022</v>
      </c>
      <c r="B2489" s="28" t="s">
        <v>120</v>
      </c>
      <c r="C2489" s="28" t="s">
        <v>48</v>
      </c>
      <c r="D2489" s="28" t="n">
        <v>29</v>
      </c>
      <c r="E2489" s="29" t="n">
        <v>7634300</v>
      </c>
      <c r="F2489" s="30" t="n">
        <v>219.4</v>
      </c>
      <c r="G2489" s="31" t="n">
        <f aca="false">IFERROR(F2489/D2489,0)</f>
        <v>7.56551724137931</v>
      </c>
    </row>
    <row r="2490" customFormat="false" ht="15" hidden="false" customHeight="false" outlineLevel="0" collapsed="false">
      <c r="A2490" s="28" t="n">
        <v>2022</v>
      </c>
      <c r="B2490" s="28" t="s">
        <v>120</v>
      </c>
      <c r="C2490" s="28" t="s">
        <v>53</v>
      </c>
      <c r="D2490" s="28" t="n">
        <v>8</v>
      </c>
      <c r="E2490" s="29" t="n">
        <v>1206200</v>
      </c>
      <c r="F2490" s="30" t="n">
        <v>58.5</v>
      </c>
      <c r="G2490" s="31" t="n">
        <f aca="false">IFERROR(F2490/D2490,0)</f>
        <v>7.3125</v>
      </c>
    </row>
    <row r="2491" customFormat="false" ht="15" hidden="false" customHeight="false" outlineLevel="0" collapsed="false">
      <c r="A2491" s="28" t="n">
        <v>2022</v>
      </c>
      <c r="B2491" s="28" t="s">
        <v>120</v>
      </c>
      <c r="C2491" s="28" t="s">
        <v>43</v>
      </c>
      <c r="D2491" s="28" t="n">
        <v>57</v>
      </c>
      <c r="E2491" s="29" t="n">
        <v>9287200</v>
      </c>
      <c r="F2491" s="30" t="n">
        <v>448.5</v>
      </c>
      <c r="G2491" s="31" t="n">
        <f aca="false">IFERROR(F2491/D2491,0)</f>
        <v>7.86842105263158</v>
      </c>
    </row>
    <row r="2492" customFormat="false" ht="15" hidden="false" customHeight="false" outlineLevel="0" collapsed="false">
      <c r="A2492" s="28" t="n">
        <v>2022</v>
      </c>
      <c r="B2492" s="28" t="s">
        <v>120</v>
      </c>
      <c r="C2492" s="28" t="s">
        <v>52</v>
      </c>
      <c r="D2492" s="28" t="n">
        <v>6</v>
      </c>
      <c r="E2492" s="29" t="n">
        <v>4811000</v>
      </c>
      <c r="F2492" s="30" t="n">
        <v>43.75</v>
      </c>
      <c r="G2492" s="31" t="n">
        <f aca="false">IFERROR(F2492/D2492,0)</f>
        <v>7.29166666666667</v>
      </c>
    </row>
    <row r="2493" customFormat="false" ht="15" hidden="false" customHeight="false" outlineLevel="0" collapsed="false">
      <c r="A2493" s="28" t="n">
        <v>2022</v>
      </c>
      <c r="B2493" s="28" t="s">
        <v>120</v>
      </c>
      <c r="C2493" s="28" t="s">
        <v>60</v>
      </c>
      <c r="D2493" s="28" t="n">
        <v>2</v>
      </c>
      <c r="E2493" s="29" t="n">
        <v>600000</v>
      </c>
      <c r="F2493" s="30" t="n">
        <v>13.5</v>
      </c>
      <c r="G2493" s="31" t="n">
        <f aca="false">IFERROR(F2493/D2493,0)</f>
        <v>6.75</v>
      </c>
    </row>
    <row r="2494" customFormat="false" ht="15" hidden="false" customHeight="false" outlineLevel="0" collapsed="false">
      <c r="A2494" s="28" t="n">
        <v>2022</v>
      </c>
      <c r="B2494" s="28" t="s">
        <v>120</v>
      </c>
      <c r="C2494" s="28" t="s">
        <v>49</v>
      </c>
      <c r="D2494" s="28" t="n">
        <v>29</v>
      </c>
      <c r="E2494" s="29" t="n">
        <v>6914100</v>
      </c>
      <c r="F2494" s="30" t="n">
        <v>205.5</v>
      </c>
      <c r="G2494" s="31" t="n">
        <f aca="false">IFERROR(F2494/D2494,0)</f>
        <v>7.08620689655172</v>
      </c>
    </row>
    <row r="2495" customFormat="false" ht="15" hidden="false" customHeight="false" outlineLevel="0" collapsed="false">
      <c r="A2495" s="28" t="n">
        <v>2022</v>
      </c>
      <c r="B2495" s="28" t="s">
        <v>121</v>
      </c>
      <c r="C2495" s="28" t="s">
        <v>42</v>
      </c>
      <c r="D2495" s="28" t="n">
        <v>24</v>
      </c>
      <c r="E2495" s="29" t="n">
        <v>8629700</v>
      </c>
      <c r="F2495" s="30" t="n">
        <v>158.04</v>
      </c>
      <c r="G2495" s="31" t="n">
        <f aca="false">IFERROR(F2495/D2495,0)</f>
        <v>6.585</v>
      </c>
    </row>
    <row r="2496" customFormat="false" ht="15" hidden="false" customHeight="false" outlineLevel="0" collapsed="false">
      <c r="A2496" s="28" t="n">
        <v>2022</v>
      </c>
      <c r="B2496" s="28" t="s">
        <v>121</v>
      </c>
      <c r="C2496" s="28" t="s">
        <v>50</v>
      </c>
      <c r="D2496" s="28" t="n">
        <v>3</v>
      </c>
      <c r="E2496" s="29" t="n">
        <v>949400</v>
      </c>
      <c r="F2496" s="30" t="n">
        <v>15.24</v>
      </c>
      <c r="G2496" s="31" t="n">
        <f aca="false">IFERROR(F2496/D2496,0)</f>
        <v>5.08</v>
      </c>
    </row>
    <row r="2497" customFormat="false" ht="15" hidden="false" customHeight="false" outlineLevel="0" collapsed="false">
      <c r="A2497" s="28" t="n">
        <v>2022</v>
      </c>
      <c r="B2497" s="28" t="s">
        <v>121</v>
      </c>
      <c r="C2497" s="28" t="s">
        <v>55</v>
      </c>
      <c r="D2497" s="28" t="n">
        <v>4</v>
      </c>
      <c r="E2497" s="29" t="n">
        <v>414000</v>
      </c>
      <c r="F2497" s="30" t="n">
        <v>37.55</v>
      </c>
      <c r="G2497" s="31" t="n">
        <f aca="false">IFERROR(F2497/D2497,0)</f>
        <v>9.3875</v>
      </c>
    </row>
    <row r="2498" customFormat="false" ht="15" hidden="false" customHeight="false" outlineLevel="0" collapsed="false">
      <c r="A2498" s="28" t="n">
        <v>2022</v>
      </c>
      <c r="B2498" s="28" t="s">
        <v>121</v>
      </c>
      <c r="C2498" s="28" t="s">
        <v>51</v>
      </c>
      <c r="D2498" s="28" t="n">
        <v>3</v>
      </c>
      <c r="E2498" s="29" t="n">
        <v>1384000</v>
      </c>
      <c r="F2498" s="30" t="n">
        <v>21.39</v>
      </c>
      <c r="G2498" s="31" t="n">
        <f aca="false">IFERROR(F2498/D2498,0)</f>
        <v>7.13</v>
      </c>
    </row>
    <row r="2499" customFormat="false" ht="15" hidden="false" customHeight="false" outlineLevel="0" collapsed="false">
      <c r="A2499" s="28" t="n">
        <v>2022</v>
      </c>
      <c r="B2499" s="28" t="s">
        <v>121</v>
      </c>
      <c r="C2499" s="28" t="s">
        <v>45</v>
      </c>
      <c r="D2499" s="28" t="n">
        <v>19</v>
      </c>
      <c r="E2499" s="29" t="n">
        <v>3910000</v>
      </c>
      <c r="F2499" s="30" t="n">
        <v>141.98</v>
      </c>
      <c r="G2499" s="31" t="n">
        <f aca="false">IFERROR(F2499/D2499,0)</f>
        <v>7.47263157894737</v>
      </c>
    </row>
    <row r="2500" customFormat="false" ht="15" hidden="false" customHeight="false" outlineLevel="0" collapsed="false">
      <c r="A2500" s="28" t="n">
        <v>2022</v>
      </c>
      <c r="B2500" s="28" t="s">
        <v>121</v>
      </c>
      <c r="C2500" s="28" t="s">
        <v>56</v>
      </c>
      <c r="D2500" s="28" t="n">
        <v>1</v>
      </c>
      <c r="E2500" s="29" t="n">
        <v>10000</v>
      </c>
      <c r="F2500" s="30" t="n">
        <v>11.25</v>
      </c>
      <c r="G2500" s="31" t="n">
        <f aca="false">IFERROR(F2500/D2500,0)</f>
        <v>11.25</v>
      </c>
    </row>
    <row r="2501" customFormat="false" ht="15" hidden="false" customHeight="false" outlineLevel="0" collapsed="false">
      <c r="A2501" s="28" t="n">
        <v>2022</v>
      </c>
      <c r="B2501" s="28" t="s">
        <v>121</v>
      </c>
      <c r="C2501" s="28" t="s">
        <v>44</v>
      </c>
      <c r="D2501" s="28" t="n">
        <v>15</v>
      </c>
      <c r="E2501" s="29" t="n">
        <v>4089500</v>
      </c>
      <c r="F2501" s="30" t="n">
        <v>96.09</v>
      </c>
      <c r="G2501" s="31" t="n">
        <f aca="false">IFERROR(F2501/D2501,0)</f>
        <v>6.406</v>
      </c>
    </row>
    <row r="2502" customFormat="false" ht="15" hidden="false" customHeight="false" outlineLevel="0" collapsed="false">
      <c r="A2502" s="28" t="n">
        <v>2022</v>
      </c>
      <c r="B2502" s="28" t="s">
        <v>121</v>
      </c>
      <c r="C2502" s="28" t="s">
        <v>47</v>
      </c>
      <c r="D2502" s="28" t="n">
        <v>10</v>
      </c>
      <c r="E2502" s="29" t="n">
        <v>1606400</v>
      </c>
      <c r="F2502" s="30" t="n">
        <v>66.18</v>
      </c>
      <c r="G2502" s="31" t="n">
        <f aca="false">IFERROR(F2502/D2502,0)</f>
        <v>6.618</v>
      </c>
    </row>
    <row r="2503" customFormat="false" ht="15" hidden="false" customHeight="false" outlineLevel="0" collapsed="false">
      <c r="A2503" s="28" t="n">
        <v>2022</v>
      </c>
      <c r="B2503" s="28" t="s">
        <v>121</v>
      </c>
      <c r="C2503" s="28" t="s">
        <v>46</v>
      </c>
      <c r="D2503" s="28" t="n">
        <v>13</v>
      </c>
      <c r="E2503" s="29" t="n">
        <v>3541600</v>
      </c>
      <c r="F2503" s="30" t="n">
        <v>98.05</v>
      </c>
      <c r="G2503" s="31" t="n">
        <f aca="false">IFERROR(F2503/D2503,0)</f>
        <v>7.54230769230769</v>
      </c>
    </row>
    <row r="2504" customFormat="false" ht="15" hidden="false" customHeight="false" outlineLevel="0" collapsed="false">
      <c r="A2504" s="28" t="n">
        <v>2022</v>
      </c>
      <c r="B2504" s="28" t="s">
        <v>121</v>
      </c>
      <c r="C2504" s="28" t="s">
        <v>48</v>
      </c>
      <c r="D2504" s="28" t="n">
        <v>6</v>
      </c>
      <c r="E2504" s="29" t="n">
        <v>736000</v>
      </c>
      <c r="F2504" s="30" t="n">
        <v>32.75</v>
      </c>
      <c r="G2504" s="31" t="n">
        <f aca="false">IFERROR(F2504/D2504,0)</f>
        <v>5.45833333333333</v>
      </c>
    </row>
    <row r="2505" customFormat="false" ht="15" hidden="false" customHeight="false" outlineLevel="0" collapsed="false">
      <c r="A2505" s="28" t="n">
        <v>2022</v>
      </c>
      <c r="B2505" s="28" t="s">
        <v>121</v>
      </c>
      <c r="C2505" s="28" t="s">
        <v>53</v>
      </c>
      <c r="D2505" s="28" t="n">
        <v>5</v>
      </c>
      <c r="E2505" s="29" t="n">
        <v>1195000</v>
      </c>
      <c r="F2505" s="30" t="n">
        <v>31.57</v>
      </c>
      <c r="G2505" s="31" t="n">
        <f aca="false">IFERROR(F2505/D2505,0)</f>
        <v>6.314</v>
      </c>
    </row>
    <row r="2506" customFormat="false" ht="15" hidden="false" customHeight="false" outlineLevel="0" collapsed="false">
      <c r="A2506" s="28" t="n">
        <v>2022</v>
      </c>
      <c r="B2506" s="28" t="s">
        <v>121</v>
      </c>
      <c r="C2506" s="28" t="s">
        <v>43</v>
      </c>
      <c r="D2506" s="28" t="n">
        <v>28</v>
      </c>
      <c r="E2506" s="29" t="n">
        <v>18433200</v>
      </c>
      <c r="F2506" s="30" t="n">
        <v>162.13</v>
      </c>
      <c r="G2506" s="31" t="n">
        <f aca="false">IFERROR(F2506/D2506,0)</f>
        <v>5.79035714285714</v>
      </c>
    </row>
    <row r="2507" customFormat="false" ht="15" hidden="false" customHeight="false" outlineLevel="0" collapsed="false">
      <c r="A2507" s="28" t="n">
        <v>2022</v>
      </c>
      <c r="B2507" s="28" t="s">
        <v>121</v>
      </c>
      <c r="C2507" s="28" t="s">
        <v>52</v>
      </c>
      <c r="D2507" s="28" t="n">
        <v>5</v>
      </c>
      <c r="E2507" s="29" t="n">
        <v>2412000</v>
      </c>
      <c r="F2507" s="30" t="n">
        <v>35.04</v>
      </c>
      <c r="G2507" s="31" t="n">
        <f aca="false">IFERROR(F2507/D2507,0)</f>
        <v>7.008</v>
      </c>
    </row>
    <row r="2508" customFormat="false" ht="15" hidden="false" customHeight="false" outlineLevel="0" collapsed="false">
      <c r="A2508" s="28" t="n">
        <v>2022</v>
      </c>
      <c r="B2508" s="28" t="s">
        <v>121</v>
      </c>
      <c r="C2508" s="28" t="s">
        <v>49</v>
      </c>
      <c r="D2508" s="28" t="n">
        <v>7</v>
      </c>
      <c r="E2508" s="29" t="n">
        <v>5850000</v>
      </c>
      <c r="F2508" s="30" t="n">
        <v>42.54</v>
      </c>
      <c r="G2508" s="31" t="n">
        <f aca="false">IFERROR(F2508/D2508,0)</f>
        <v>6.07714285714286</v>
      </c>
    </row>
    <row r="2509" customFormat="false" ht="15" hidden="false" customHeight="false" outlineLevel="0" collapsed="false">
      <c r="A2509" s="28" t="n">
        <v>2022</v>
      </c>
      <c r="B2509" s="28" t="s">
        <v>111</v>
      </c>
      <c r="C2509" s="28" t="s">
        <v>42</v>
      </c>
      <c r="D2509" s="28" t="n">
        <v>84</v>
      </c>
      <c r="E2509" s="29" t="n">
        <v>88578800</v>
      </c>
      <c r="F2509" s="30" t="n">
        <v>550.34</v>
      </c>
      <c r="G2509" s="31" t="n">
        <f aca="false">IFERROR(F2509/D2509,0)</f>
        <v>6.55166666666667</v>
      </c>
    </row>
    <row r="2510" customFormat="false" ht="15" hidden="false" customHeight="false" outlineLevel="0" collapsed="false">
      <c r="A2510" s="28" t="n">
        <v>2022</v>
      </c>
      <c r="B2510" s="28" t="s">
        <v>111</v>
      </c>
      <c r="C2510" s="28" t="s">
        <v>50</v>
      </c>
      <c r="D2510" s="28" t="n">
        <v>34</v>
      </c>
      <c r="E2510" s="29" t="n">
        <v>14357700</v>
      </c>
      <c r="F2510" s="30" t="n">
        <v>242.45</v>
      </c>
      <c r="G2510" s="31" t="n">
        <f aca="false">IFERROR(F2510/D2510,0)</f>
        <v>7.13088235294118</v>
      </c>
    </row>
    <row r="2511" customFormat="false" ht="15" hidden="false" customHeight="false" outlineLevel="0" collapsed="false">
      <c r="A2511" s="28" t="n">
        <v>2022</v>
      </c>
      <c r="B2511" s="28" t="s">
        <v>111</v>
      </c>
      <c r="C2511" s="28" t="s">
        <v>55</v>
      </c>
      <c r="D2511" s="28" t="n">
        <v>3</v>
      </c>
      <c r="E2511" s="29" t="n">
        <v>687800</v>
      </c>
      <c r="F2511" s="30" t="n">
        <v>18</v>
      </c>
      <c r="G2511" s="31" t="n">
        <f aca="false">IFERROR(F2511/D2511,0)</f>
        <v>6</v>
      </c>
    </row>
    <row r="2512" customFormat="false" ht="15" hidden="false" customHeight="false" outlineLevel="0" collapsed="false">
      <c r="A2512" s="28" t="n">
        <v>2022</v>
      </c>
      <c r="B2512" s="28" t="s">
        <v>111</v>
      </c>
      <c r="C2512" s="28" t="s">
        <v>51</v>
      </c>
      <c r="D2512" s="28" t="n">
        <v>7</v>
      </c>
      <c r="E2512" s="29" t="n">
        <v>6489600</v>
      </c>
      <c r="F2512" s="30" t="n">
        <v>53.8</v>
      </c>
      <c r="G2512" s="31" t="n">
        <f aca="false">IFERROR(F2512/D2512,0)</f>
        <v>7.68571428571429</v>
      </c>
    </row>
    <row r="2513" customFormat="false" ht="15" hidden="false" customHeight="false" outlineLevel="0" collapsed="false">
      <c r="A2513" s="28" t="n">
        <v>2022</v>
      </c>
      <c r="B2513" s="28" t="s">
        <v>111</v>
      </c>
      <c r="C2513" s="28" t="s">
        <v>45</v>
      </c>
      <c r="D2513" s="28" t="n">
        <v>54</v>
      </c>
      <c r="E2513" s="29" t="n">
        <v>23287900</v>
      </c>
      <c r="F2513" s="30" t="n">
        <v>393.69</v>
      </c>
      <c r="G2513" s="31" t="n">
        <f aca="false">IFERROR(F2513/D2513,0)</f>
        <v>7.29055555555556</v>
      </c>
    </row>
    <row r="2514" customFormat="false" ht="15" hidden="false" customHeight="false" outlineLevel="0" collapsed="false">
      <c r="A2514" s="28" t="n">
        <v>2022</v>
      </c>
      <c r="B2514" s="28" t="s">
        <v>111</v>
      </c>
      <c r="C2514" s="28" t="s">
        <v>56</v>
      </c>
      <c r="D2514" s="28" t="n">
        <v>8</v>
      </c>
      <c r="E2514" s="29" t="n">
        <v>1974100</v>
      </c>
      <c r="F2514" s="30" t="n">
        <v>57.5</v>
      </c>
      <c r="G2514" s="31" t="n">
        <f aca="false">IFERROR(F2514/D2514,0)</f>
        <v>7.1875</v>
      </c>
    </row>
    <row r="2515" customFormat="false" ht="15" hidden="false" customHeight="false" outlineLevel="0" collapsed="false">
      <c r="A2515" s="28" t="n">
        <v>2022</v>
      </c>
      <c r="B2515" s="28" t="s">
        <v>111</v>
      </c>
      <c r="C2515" s="28" t="s">
        <v>54</v>
      </c>
      <c r="D2515" s="28" t="n">
        <v>13</v>
      </c>
      <c r="E2515" s="29" t="n">
        <v>8770800</v>
      </c>
      <c r="F2515" s="30" t="n">
        <v>76.91</v>
      </c>
      <c r="G2515" s="31" t="n">
        <f aca="false">IFERROR(F2515/D2515,0)</f>
        <v>5.91615384615385</v>
      </c>
    </row>
    <row r="2516" customFormat="false" ht="15" hidden="false" customHeight="false" outlineLevel="0" collapsed="false">
      <c r="A2516" s="28" t="n">
        <v>2022</v>
      </c>
      <c r="B2516" s="28" t="s">
        <v>111</v>
      </c>
      <c r="C2516" s="28" t="s">
        <v>44</v>
      </c>
      <c r="D2516" s="28" t="n">
        <v>62</v>
      </c>
      <c r="E2516" s="29" t="n">
        <v>36606500</v>
      </c>
      <c r="F2516" s="30" t="n">
        <v>393.75</v>
      </c>
      <c r="G2516" s="31" t="n">
        <f aca="false">IFERROR(F2516/D2516,0)</f>
        <v>6.3508064516129</v>
      </c>
    </row>
    <row r="2517" customFormat="false" ht="15" hidden="false" customHeight="false" outlineLevel="0" collapsed="false">
      <c r="A2517" s="28" t="n">
        <v>2022</v>
      </c>
      <c r="B2517" s="28" t="s">
        <v>111</v>
      </c>
      <c r="C2517" s="28" t="s">
        <v>57</v>
      </c>
      <c r="D2517" s="28" t="n">
        <v>8</v>
      </c>
      <c r="E2517" s="29" t="n">
        <v>1420000</v>
      </c>
      <c r="F2517" s="30" t="n">
        <v>49.73</v>
      </c>
      <c r="G2517" s="31" t="n">
        <f aca="false">IFERROR(F2517/D2517,0)</f>
        <v>6.21625</v>
      </c>
    </row>
    <row r="2518" customFormat="false" ht="15" hidden="false" customHeight="false" outlineLevel="0" collapsed="false">
      <c r="A2518" s="28" t="n">
        <v>2022</v>
      </c>
      <c r="B2518" s="28" t="s">
        <v>111</v>
      </c>
      <c r="C2518" s="28" t="s">
        <v>47</v>
      </c>
      <c r="D2518" s="28" t="n">
        <v>36</v>
      </c>
      <c r="E2518" s="29" t="n">
        <v>41197000</v>
      </c>
      <c r="F2518" s="30" t="n">
        <v>236.71</v>
      </c>
      <c r="G2518" s="31" t="n">
        <f aca="false">IFERROR(F2518/D2518,0)</f>
        <v>6.57527777777778</v>
      </c>
    </row>
    <row r="2519" customFormat="false" ht="15" hidden="false" customHeight="false" outlineLevel="0" collapsed="false">
      <c r="A2519" s="28" t="n">
        <v>2022</v>
      </c>
      <c r="B2519" s="28" t="s">
        <v>111</v>
      </c>
      <c r="C2519" s="28" t="s">
        <v>46</v>
      </c>
      <c r="D2519" s="28" t="n">
        <v>39</v>
      </c>
      <c r="E2519" s="29" t="n">
        <v>13929500</v>
      </c>
      <c r="F2519" s="30" t="n">
        <v>276.4</v>
      </c>
      <c r="G2519" s="31" t="n">
        <f aca="false">IFERROR(F2519/D2519,0)</f>
        <v>7.08717948717949</v>
      </c>
    </row>
    <row r="2520" customFormat="false" ht="15" hidden="false" customHeight="false" outlineLevel="0" collapsed="false">
      <c r="A2520" s="28" t="n">
        <v>2022</v>
      </c>
      <c r="B2520" s="28" t="s">
        <v>111</v>
      </c>
      <c r="C2520" s="28" t="s">
        <v>48</v>
      </c>
      <c r="D2520" s="28" t="n">
        <v>30</v>
      </c>
      <c r="E2520" s="29" t="n">
        <v>13859800</v>
      </c>
      <c r="F2520" s="30" t="n">
        <v>218.3</v>
      </c>
      <c r="G2520" s="31" t="n">
        <f aca="false">IFERROR(F2520/D2520,0)</f>
        <v>7.27666666666667</v>
      </c>
    </row>
    <row r="2521" customFormat="false" ht="15" hidden="false" customHeight="false" outlineLevel="0" collapsed="false">
      <c r="A2521" s="28" t="n">
        <v>2022</v>
      </c>
      <c r="B2521" s="28" t="s">
        <v>111</v>
      </c>
      <c r="C2521" s="28" t="s">
        <v>53</v>
      </c>
      <c r="D2521" s="28" t="n">
        <v>11</v>
      </c>
      <c r="E2521" s="29" t="n">
        <v>9106000</v>
      </c>
      <c r="F2521" s="30" t="n">
        <v>69.5</v>
      </c>
      <c r="G2521" s="31" t="n">
        <f aca="false">IFERROR(F2521/D2521,0)</f>
        <v>6.31818181818182</v>
      </c>
    </row>
    <row r="2522" customFormat="false" ht="15" hidden="false" customHeight="false" outlineLevel="0" collapsed="false">
      <c r="A2522" s="28" t="n">
        <v>2022</v>
      </c>
      <c r="B2522" s="28" t="s">
        <v>111</v>
      </c>
      <c r="C2522" s="28" t="s">
        <v>43</v>
      </c>
      <c r="D2522" s="28" t="n">
        <v>68</v>
      </c>
      <c r="E2522" s="29" t="n">
        <v>33463800</v>
      </c>
      <c r="F2522" s="30" t="n">
        <v>455.58</v>
      </c>
      <c r="G2522" s="31" t="n">
        <f aca="false">IFERROR(F2522/D2522,0)</f>
        <v>6.69970588235294</v>
      </c>
    </row>
    <row r="2523" customFormat="false" ht="15" hidden="false" customHeight="false" outlineLevel="0" collapsed="false">
      <c r="A2523" s="28" t="n">
        <v>2022</v>
      </c>
      <c r="B2523" s="28" t="s">
        <v>111</v>
      </c>
      <c r="C2523" s="28" t="s">
        <v>52</v>
      </c>
      <c r="D2523" s="28" t="n">
        <v>29</v>
      </c>
      <c r="E2523" s="29" t="n">
        <v>9875400</v>
      </c>
      <c r="F2523" s="30" t="n">
        <v>237.74</v>
      </c>
      <c r="G2523" s="31" t="n">
        <f aca="false">IFERROR(F2523/D2523,0)</f>
        <v>8.19793103448276</v>
      </c>
    </row>
    <row r="2524" customFormat="false" ht="15" hidden="false" customHeight="false" outlineLevel="0" collapsed="false">
      <c r="A2524" s="28" t="n">
        <v>2022</v>
      </c>
      <c r="B2524" s="28" t="s">
        <v>111</v>
      </c>
      <c r="C2524" s="28" t="s">
        <v>49</v>
      </c>
      <c r="D2524" s="28" t="n">
        <v>16</v>
      </c>
      <c r="E2524" s="29" t="n">
        <v>8706200</v>
      </c>
      <c r="F2524" s="30" t="n">
        <v>86.93</v>
      </c>
      <c r="G2524" s="31" t="n">
        <f aca="false">IFERROR(F2524/D2524,0)</f>
        <v>5.433125</v>
      </c>
    </row>
    <row r="2525" customFormat="false" ht="15" hidden="false" customHeight="false" outlineLevel="0" collapsed="false">
      <c r="A2525" s="28" t="n">
        <v>2022</v>
      </c>
      <c r="B2525" s="28" t="s">
        <v>122</v>
      </c>
      <c r="C2525" s="28" t="s">
        <v>42</v>
      </c>
      <c r="D2525" s="28" t="n">
        <v>15</v>
      </c>
      <c r="E2525" s="29" t="n">
        <v>5174300</v>
      </c>
      <c r="F2525" s="30" t="n">
        <v>86.74</v>
      </c>
      <c r="G2525" s="31" t="n">
        <f aca="false">IFERROR(F2525/D2525,0)</f>
        <v>5.78266666666667</v>
      </c>
    </row>
    <row r="2526" customFormat="false" ht="15" hidden="false" customHeight="false" outlineLevel="0" collapsed="false">
      <c r="A2526" s="28" t="n">
        <v>2022</v>
      </c>
      <c r="B2526" s="28" t="s">
        <v>122</v>
      </c>
      <c r="C2526" s="28" t="s">
        <v>50</v>
      </c>
      <c r="D2526" s="28" t="n">
        <v>9</v>
      </c>
      <c r="E2526" s="29" t="n">
        <v>4153500</v>
      </c>
      <c r="F2526" s="30" t="n">
        <v>51.18</v>
      </c>
      <c r="G2526" s="31" t="n">
        <f aca="false">IFERROR(F2526/D2526,0)</f>
        <v>5.68666666666667</v>
      </c>
    </row>
    <row r="2527" customFormat="false" ht="15" hidden="false" customHeight="false" outlineLevel="0" collapsed="false">
      <c r="A2527" s="28" t="n">
        <v>2022</v>
      </c>
      <c r="B2527" s="28" t="s">
        <v>122</v>
      </c>
      <c r="C2527" s="28" t="s">
        <v>55</v>
      </c>
      <c r="D2527" s="28" t="n">
        <v>3</v>
      </c>
      <c r="E2527" s="29" t="n">
        <v>653500</v>
      </c>
      <c r="F2527" s="30" t="n">
        <v>14.4</v>
      </c>
      <c r="G2527" s="31" t="n">
        <f aca="false">IFERROR(F2527/D2527,0)</f>
        <v>4.8</v>
      </c>
    </row>
    <row r="2528" customFormat="false" ht="15" hidden="false" customHeight="false" outlineLevel="0" collapsed="false">
      <c r="A2528" s="28" t="n">
        <v>2022</v>
      </c>
      <c r="B2528" s="28" t="s">
        <v>122</v>
      </c>
      <c r="C2528" s="28" t="s">
        <v>51</v>
      </c>
      <c r="D2528" s="28" t="n">
        <v>2</v>
      </c>
      <c r="E2528" s="29" t="n">
        <v>336500</v>
      </c>
      <c r="F2528" s="30" t="n">
        <v>15.25</v>
      </c>
      <c r="G2528" s="31" t="n">
        <f aca="false">IFERROR(F2528/D2528,0)</f>
        <v>7.625</v>
      </c>
    </row>
    <row r="2529" customFormat="false" ht="15" hidden="false" customHeight="false" outlineLevel="0" collapsed="false">
      <c r="A2529" s="28" t="n">
        <v>2022</v>
      </c>
      <c r="B2529" s="28" t="s">
        <v>122</v>
      </c>
      <c r="C2529" s="28" t="s">
        <v>45</v>
      </c>
      <c r="D2529" s="28" t="n">
        <v>10</v>
      </c>
      <c r="E2529" s="29" t="n">
        <v>1168000</v>
      </c>
      <c r="F2529" s="30" t="n">
        <v>56.97</v>
      </c>
      <c r="G2529" s="31" t="n">
        <f aca="false">IFERROR(F2529/D2529,0)</f>
        <v>5.697</v>
      </c>
    </row>
    <row r="2530" customFormat="false" ht="15" hidden="false" customHeight="false" outlineLevel="0" collapsed="false">
      <c r="A2530" s="28" t="n">
        <v>2022</v>
      </c>
      <c r="B2530" s="28" t="s">
        <v>122</v>
      </c>
      <c r="C2530" s="28" t="s">
        <v>56</v>
      </c>
      <c r="D2530" s="28" t="n">
        <v>1</v>
      </c>
      <c r="E2530" s="29" t="n">
        <v>10000</v>
      </c>
      <c r="F2530" s="30" t="n">
        <v>7.75</v>
      </c>
      <c r="G2530" s="31" t="n">
        <f aca="false">IFERROR(F2530/D2530,0)</f>
        <v>7.75</v>
      </c>
    </row>
    <row r="2531" customFormat="false" ht="15" hidden="false" customHeight="false" outlineLevel="0" collapsed="false">
      <c r="A2531" s="28" t="n">
        <v>2022</v>
      </c>
      <c r="B2531" s="28" t="s">
        <v>122</v>
      </c>
      <c r="C2531" s="28" t="s">
        <v>44</v>
      </c>
      <c r="D2531" s="28" t="n">
        <v>7</v>
      </c>
      <c r="E2531" s="29" t="n">
        <v>2448700</v>
      </c>
      <c r="F2531" s="30" t="n">
        <v>43.5</v>
      </c>
      <c r="G2531" s="31" t="n">
        <f aca="false">IFERROR(F2531/D2531,0)</f>
        <v>6.21428571428571</v>
      </c>
    </row>
    <row r="2532" customFormat="false" ht="15" hidden="false" customHeight="false" outlineLevel="0" collapsed="false">
      <c r="A2532" s="28" t="n">
        <v>2022</v>
      </c>
      <c r="B2532" s="28" t="s">
        <v>122</v>
      </c>
      <c r="C2532" s="28" t="s">
        <v>57</v>
      </c>
      <c r="D2532" s="28" t="n">
        <v>2</v>
      </c>
      <c r="E2532" s="29" t="n">
        <v>91100</v>
      </c>
      <c r="F2532" s="30" t="n">
        <v>10.34</v>
      </c>
      <c r="G2532" s="31" t="n">
        <f aca="false">IFERROR(F2532/D2532,0)</f>
        <v>5.17</v>
      </c>
    </row>
    <row r="2533" customFormat="false" ht="15" hidden="false" customHeight="false" outlineLevel="0" collapsed="false">
      <c r="A2533" s="28" t="n">
        <v>2022</v>
      </c>
      <c r="B2533" s="28" t="s">
        <v>122</v>
      </c>
      <c r="C2533" s="28" t="s">
        <v>47</v>
      </c>
      <c r="D2533" s="28" t="n">
        <v>6</v>
      </c>
      <c r="E2533" s="29" t="n">
        <v>2255000</v>
      </c>
      <c r="F2533" s="30" t="n">
        <v>31.4</v>
      </c>
      <c r="G2533" s="31" t="n">
        <f aca="false">IFERROR(F2533/D2533,0)</f>
        <v>5.23333333333333</v>
      </c>
    </row>
    <row r="2534" customFormat="false" ht="15" hidden="false" customHeight="false" outlineLevel="0" collapsed="false">
      <c r="A2534" s="28" t="n">
        <v>2022</v>
      </c>
      <c r="B2534" s="28" t="s">
        <v>122</v>
      </c>
      <c r="C2534" s="28" t="s">
        <v>58</v>
      </c>
      <c r="D2534" s="28" t="n">
        <v>1</v>
      </c>
      <c r="E2534" s="29" t="n">
        <v>142000</v>
      </c>
      <c r="F2534" s="30" t="n">
        <v>4.15</v>
      </c>
      <c r="G2534" s="31" t="n">
        <f aca="false">IFERROR(F2534/D2534,0)</f>
        <v>4.15</v>
      </c>
    </row>
    <row r="2535" customFormat="false" ht="15" hidden="false" customHeight="false" outlineLevel="0" collapsed="false">
      <c r="A2535" s="28" t="n">
        <v>2022</v>
      </c>
      <c r="B2535" s="28" t="s">
        <v>122</v>
      </c>
      <c r="C2535" s="28" t="s">
        <v>46</v>
      </c>
      <c r="D2535" s="28" t="n">
        <v>11</v>
      </c>
      <c r="E2535" s="29" t="n">
        <v>2727800</v>
      </c>
      <c r="F2535" s="30" t="n">
        <v>65.16</v>
      </c>
      <c r="G2535" s="31" t="n">
        <f aca="false">IFERROR(F2535/D2535,0)</f>
        <v>5.92363636363636</v>
      </c>
    </row>
    <row r="2536" customFormat="false" ht="15" hidden="false" customHeight="false" outlineLevel="0" collapsed="false">
      <c r="A2536" s="28" t="n">
        <v>2022</v>
      </c>
      <c r="B2536" s="28" t="s">
        <v>122</v>
      </c>
      <c r="C2536" s="28" t="s">
        <v>48</v>
      </c>
      <c r="D2536" s="28" t="n">
        <v>6</v>
      </c>
      <c r="E2536" s="29" t="n">
        <v>1806100</v>
      </c>
      <c r="F2536" s="30" t="n">
        <v>43.58</v>
      </c>
      <c r="G2536" s="31" t="n">
        <f aca="false">IFERROR(F2536/D2536,0)</f>
        <v>7.26333333333333</v>
      </c>
    </row>
    <row r="2537" customFormat="false" ht="15" hidden="false" customHeight="false" outlineLevel="0" collapsed="false">
      <c r="A2537" s="28" t="n">
        <v>2022</v>
      </c>
      <c r="B2537" s="28" t="s">
        <v>122</v>
      </c>
      <c r="C2537" s="28" t="s">
        <v>53</v>
      </c>
      <c r="D2537" s="28" t="n">
        <v>1</v>
      </c>
      <c r="E2537" s="29" t="n">
        <v>90500</v>
      </c>
      <c r="F2537" s="30" t="n">
        <v>6.25</v>
      </c>
      <c r="G2537" s="31" t="n">
        <f aca="false">IFERROR(F2537/D2537,0)</f>
        <v>6.25</v>
      </c>
    </row>
    <row r="2538" customFormat="false" ht="15" hidden="false" customHeight="false" outlineLevel="0" collapsed="false">
      <c r="A2538" s="28" t="n">
        <v>2022</v>
      </c>
      <c r="B2538" s="28" t="s">
        <v>122</v>
      </c>
      <c r="C2538" s="28" t="s">
        <v>43</v>
      </c>
      <c r="D2538" s="28" t="n">
        <v>17</v>
      </c>
      <c r="E2538" s="29" t="n">
        <v>3514800</v>
      </c>
      <c r="F2538" s="30" t="n">
        <v>98.21</v>
      </c>
      <c r="G2538" s="31" t="n">
        <f aca="false">IFERROR(F2538/D2538,0)</f>
        <v>5.77705882352941</v>
      </c>
    </row>
    <row r="2539" customFormat="false" ht="15" hidden="false" customHeight="false" outlineLevel="0" collapsed="false">
      <c r="A2539" s="28" t="n">
        <v>2022</v>
      </c>
      <c r="B2539" s="28" t="s">
        <v>122</v>
      </c>
      <c r="C2539" s="28" t="s">
        <v>52</v>
      </c>
      <c r="D2539" s="28" t="n">
        <v>13</v>
      </c>
      <c r="E2539" s="29" t="n">
        <v>4206600</v>
      </c>
      <c r="F2539" s="30" t="n">
        <v>81.55</v>
      </c>
      <c r="G2539" s="31" t="n">
        <f aca="false">IFERROR(F2539/D2539,0)</f>
        <v>6.27307692307692</v>
      </c>
    </row>
    <row r="2540" customFormat="false" ht="15" hidden="false" customHeight="false" outlineLevel="0" collapsed="false">
      <c r="A2540" s="28" t="n">
        <v>2022</v>
      </c>
      <c r="B2540" s="28" t="s">
        <v>122</v>
      </c>
      <c r="C2540" s="28" t="s">
        <v>49</v>
      </c>
      <c r="D2540" s="28" t="n">
        <v>2</v>
      </c>
      <c r="E2540" s="29" t="n">
        <v>3535000</v>
      </c>
      <c r="F2540" s="30" t="n">
        <v>12.5</v>
      </c>
      <c r="G2540" s="31" t="n">
        <f aca="false">IFERROR(F2540/D2540,0)</f>
        <v>6.25</v>
      </c>
    </row>
    <row r="2541" customFormat="false" ht="15" hidden="false" customHeight="false" outlineLevel="0" collapsed="false">
      <c r="A2541" s="28" t="n">
        <v>2022</v>
      </c>
      <c r="B2541" s="28" t="s">
        <v>110</v>
      </c>
      <c r="C2541" s="28" t="s">
        <v>42</v>
      </c>
      <c r="D2541" s="28" t="n">
        <v>74</v>
      </c>
      <c r="E2541" s="29" t="n">
        <v>70589900</v>
      </c>
      <c r="F2541" s="30" t="n">
        <v>470.9</v>
      </c>
      <c r="G2541" s="31" t="n">
        <f aca="false">IFERROR(F2541/D2541,0)</f>
        <v>6.36351351351351</v>
      </c>
    </row>
    <row r="2542" customFormat="false" ht="15" hidden="false" customHeight="false" outlineLevel="0" collapsed="false">
      <c r="A2542" s="28" t="n">
        <v>2022</v>
      </c>
      <c r="B2542" s="28" t="s">
        <v>110</v>
      </c>
      <c r="C2542" s="28" t="s">
        <v>50</v>
      </c>
      <c r="D2542" s="28" t="n">
        <v>30</v>
      </c>
      <c r="E2542" s="29" t="n">
        <v>10164200</v>
      </c>
      <c r="F2542" s="30" t="n">
        <v>188.97</v>
      </c>
      <c r="G2542" s="31" t="n">
        <f aca="false">IFERROR(F2542/D2542,0)</f>
        <v>6.299</v>
      </c>
    </row>
    <row r="2543" customFormat="false" ht="15" hidden="false" customHeight="false" outlineLevel="0" collapsed="false">
      <c r="A2543" s="28" t="n">
        <v>2022</v>
      </c>
      <c r="B2543" s="28" t="s">
        <v>110</v>
      </c>
      <c r="C2543" s="28" t="s">
        <v>55</v>
      </c>
      <c r="D2543" s="28" t="n">
        <v>18</v>
      </c>
      <c r="E2543" s="29" t="n">
        <v>43054900</v>
      </c>
      <c r="F2543" s="30" t="n">
        <v>94.65</v>
      </c>
      <c r="G2543" s="31" t="n">
        <f aca="false">IFERROR(F2543/D2543,0)</f>
        <v>5.25833333333333</v>
      </c>
    </row>
    <row r="2544" customFormat="false" ht="15" hidden="false" customHeight="false" outlineLevel="0" collapsed="false">
      <c r="A2544" s="28" t="n">
        <v>2022</v>
      </c>
      <c r="B2544" s="28" t="s">
        <v>110</v>
      </c>
      <c r="C2544" s="28" t="s">
        <v>51</v>
      </c>
      <c r="D2544" s="28" t="n">
        <v>29</v>
      </c>
      <c r="E2544" s="29" t="n">
        <v>13408400</v>
      </c>
      <c r="F2544" s="30" t="n">
        <v>187.72</v>
      </c>
      <c r="G2544" s="31" t="n">
        <f aca="false">IFERROR(F2544/D2544,0)</f>
        <v>6.47310344827586</v>
      </c>
    </row>
    <row r="2545" customFormat="false" ht="15" hidden="false" customHeight="false" outlineLevel="0" collapsed="false">
      <c r="A2545" s="28" t="n">
        <v>2022</v>
      </c>
      <c r="B2545" s="28" t="s">
        <v>110</v>
      </c>
      <c r="C2545" s="28" t="s">
        <v>45</v>
      </c>
      <c r="D2545" s="28" t="n">
        <v>56</v>
      </c>
      <c r="E2545" s="29" t="n">
        <v>16490400</v>
      </c>
      <c r="F2545" s="30" t="n">
        <v>381.08</v>
      </c>
      <c r="G2545" s="31" t="n">
        <f aca="false">IFERROR(F2545/D2545,0)</f>
        <v>6.805</v>
      </c>
    </row>
    <row r="2546" customFormat="false" ht="15" hidden="false" customHeight="false" outlineLevel="0" collapsed="false">
      <c r="A2546" s="28" t="n">
        <v>2022</v>
      </c>
      <c r="B2546" s="28" t="s">
        <v>110</v>
      </c>
      <c r="C2546" s="28" t="s">
        <v>56</v>
      </c>
      <c r="D2546" s="28" t="n">
        <v>13</v>
      </c>
      <c r="E2546" s="29" t="n">
        <v>10620400</v>
      </c>
      <c r="F2546" s="30" t="n">
        <v>82.74</v>
      </c>
      <c r="G2546" s="31" t="n">
        <f aca="false">IFERROR(F2546/D2546,0)</f>
        <v>6.36461538461539</v>
      </c>
    </row>
    <row r="2547" customFormat="false" ht="15" hidden="false" customHeight="false" outlineLevel="0" collapsed="false">
      <c r="A2547" s="28" t="n">
        <v>2022</v>
      </c>
      <c r="B2547" s="28" t="s">
        <v>110</v>
      </c>
      <c r="C2547" s="28" t="s">
        <v>54</v>
      </c>
      <c r="D2547" s="28" t="n">
        <v>10</v>
      </c>
      <c r="E2547" s="29" t="n">
        <v>2334500</v>
      </c>
      <c r="F2547" s="30" t="n">
        <v>61.74</v>
      </c>
      <c r="G2547" s="31" t="n">
        <f aca="false">IFERROR(F2547/D2547,0)</f>
        <v>6.174</v>
      </c>
    </row>
    <row r="2548" customFormat="false" ht="15" hidden="false" customHeight="false" outlineLevel="0" collapsed="false">
      <c r="A2548" s="28" t="n">
        <v>2022</v>
      </c>
      <c r="B2548" s="28" t="s">
        <v>110</v>
      </c>
      <c r="C2548" s="28" t="s">
        <v>44</v>
      </c>
      <c r="D2548" s="28" t="n">
        <v>37</v>
      </c>
      <c r="E2548" s="29" t="n">
        <v>34254000</v>
      </c>
      <c r="F2548" s="30" t="n">
        <v>233.53</v>
      </c>
      <c r="G2548" s="31" t="n">
        <f aca="false">IFERROR(F2548/D2548,0)</f>
        <v>6.31162162162162</v>
      </c>
    </row>
    <row r="2549" customFormat="false" ht="15" hidden="false" customHeight="false" outlineLevel="0" collapsed="false">
      <c r="A2549" s="28" t="n">
        <v>2022</v>
      </c>
      <c r="B2549" s="28" t="s">
        <v>110</v>
      </c>
      <c r="C2549" s="28" t="s">
        <v>57</v>
      </c>
      <c r="D2549" s="28" t="n">
        <v>8</v>
      </c>
      <c r="E2549" s="29" t="n">
        <v>789800</v>
      </c>
      <c r="F2549" s="30" t="n">
        <v>64.49</v>
      </c>
      <c r="G2549" s="31" t="n">
        <f aca="false">IFERROR(F2549/D2549,0)</f>
        <v>8.06125</v>
      </c>
    </row>
    <row r="2550" customFormat="false" ht="15" hidden="false" customHeight="false" outlineLevel="0" collapsed="false">
      <c r="A2550" s="28" t="n">
        <v>2022</v>
      </c>
      <c r="B2550" s="28" t="s">
        <v>110</v>
      </c>
      <c r="C2550" s="28" t="s">
        <v>59</v>
      </c>
      <c r="D2550" s="28" t="n">
        <v>1</v>
      </c>
      <c r="E2550" s="29" t="n">
        <v>657800</v>
      </c>
      <c r="F2550" s="30" t="n">
        <v>6.75</v>
      </c>
      <c r="G2550" s="31" t="n">
        <f aca="false">IFERROR(F2550/D2550,0)</f>
        <v>6.75</v>
      </c>
    </row>
    <row r="2551" customFormat="false" ht="15" hidden="false" customHeight="false" outlineLevel="0" collapsed="false">
      <c r="A2551" s="28" t="n">
        <v>2022</v>
      </c>
      <c r="B2551" s="28" t="s">
        <v>110</v>
      </c>
      <c r="C2551" s="28" t="s">
        <v>47</v>
      </c>
      <c r="D2551" s="28" t="n">
        <v>22</v>
      </c>
      <c r="E2551" s="29" t="n">
        <v>23448600</v>
      </c>
      <c r="F2551" s="30" t="n">
        <v>139.9</v>
      </c>
      <c r="G2551" s="31" t="n">
        <f aca="false">IFERROR(F2551/D2551,0)</f>
        <v>6.35909090909091</v>
      </c>
    </row>
    <row r="2552" customFormat="false" ht="15" hidden="false" customHeight="false" outlineLevel="0" collapsed="false">
      <c r="A2552" s="28" t="n">
        <v>2022</v>
      </c>
      <c r="B2552" s="28" t="s">
        <v>110</v>
      </c>
      <c r="C2552" s="28" t="s">
        <v>58</v>
      </c>
      <c r="D2552" s="28" t="n">
        <v>1</v>
      </c>
      <c r="E2552" s="29" t="n">
        <v>1155000</v>
      </c>
      <c r="F2552" s="30" t="n">
        <v>6.25</v>
      </c>
      <c r="G2552" s="31" t="n">
        <f aca="false">IFERROR(F2552/D2552,0)</f>
        <v>6.25</v>
      </c>
    </row>
    <row r="2553" customFormat="false" ht="15" hidden="false" customHeight="false" outlineLevel="0" collapsed="false">
      <c r="A2553" s="28" t="n">
        <v>2022</v>
      </c>
      <c r="B2553" s="28" t="s">
        <v>110</v>
      </c>
      <c r="C2553" s="28" t="s">
        <v>46</v>
      </c>
      <c r="D2553" s="28" t="n">
        <v>45</v>
      </c>
      <c r="E2553" s="29" t="n">
        <v>16839300</v>
      </c>
      <c r="F2553" s="30" t="n">
        <v>293.97</v>
      </c>
      <c r="G2553" s="31" t="n">
        <f aca="false">IFERROR(F2553/D2553,0)</f>
        <v>6.53266666666667</v>
      </c>
    </row>
    <row r="2554" customFormat="false" ht="15" hidden="false" customHeight="false" outlineLevel="0" collapsed="false">
      <c r="A2554" s="28" t="n">
        <v>2022</v>
      </c>
      <c r="B2554" s="28" t="s">
        <v>110</v>
      </c>
      <c r="C2554" s="28" t="s">
        <v>48</v>
      </c>
      <c r="D2554" s="28" t="n">
        <v>38</v>
      </c>
      <c r="E2554" s="29" t="n">
        <v>25824400</v>
      </c>
      <c r="F2554" s="30" t="n">
        <v>253.97</v>
      </c>
      <c r="G2554" s="31" t="n">
        <f aca="false">IFERROR(F2554/D2554,0)</f>
        <v>6.68342105263158</v>
      </c>
    </row>
    <row r="2555" customFormat="false" ht="15" hidden="false" customHeight="false" outlineLevel="0" collapsed="false">
      <c r="A2555" s="28" t="n">
        <v>2022</v>
      </c>
      <c r="B2555" s="28" t="s">
        <v>110</v>
      </c>
      <c r="C2555" s="28" t="s">
        <v>53</v>
      </c>
      <c r="D2555" s="28" t="n">
        <v>15</v>
      </c>
      <c r="E2555" s="29" t="n">
        <v>11638600</v>
      </c>
      <c r="F2555" s="30" t="n">
        <v>89.5</v>
      </c>
      <c r="G2555" s="31" t="n">
        <f aca="false">IFERROR(F2555/D2555,0)</f>
        <v>5.96666666666667</v>
      </c>
    </row>
    <row r="2556" customFormat="false" ht="15" hidden="false" customHeight="false" outlineLevel="0" collapsed="false">
      <c r="A2556" s="28" t="n">
        <v>2022</v>
      </c>
      <c r="B2556" s="28" t="s">
        <v>110</v>
      </c>
      <c r="C2556" s="28" t="s">
        <v>43</v>
      </c>
      <c r="D2556" s="28" t="n">
        <v>58</v>
      </c>
      <c r="E2556" s="29" t="n">
        <v>27973700</v>
      </c>
      <c r="F2556" s="30" t="n">
        <v>367.61</v>
      </c>
      <c r="G2556" s="31" t="n">
        <f aca="false">IFERROR(F2556/D2556,0)</f>
        <v>6.33810344827586</v>
      </c>
    </row>
    <row r="2557" customFormat="false" ht="15" hidden="false" customHeight="false" outlineLevel="0" collapsed="false">
      <c r="A2557" s="28" t="n">
        <v>2022</v>
      </c>
      <c r="B2557" s="28" t="s">
        <v>110</v>
      </c>
      <c r="C2557" s="28" t="s">
        <v>52</v>
      </c>
      <c r="D2557" s="28" t="n">
        <v>22</v>
      </c>
      <c r="E2557" s="29" t="n">
        <v>5453000</v>
      </c>
      <c r="F2557" s="30" t="n">
        <v>145.385</v>
      </c>
      <c r="G2557" s="31" t="n">
        <f aca="false">IFERROR(F2557/D2557,0)</f>
        <v>6.60840909090909</v>
      </c>
    </row>
    <row r="2558" customFormat="false" ht="15" hidden="false" customHeight="false" outlineLevel="0" collapsed="false">
      <c r="A2558" s="28" t="n">
        <v>2022</v>
      </c>
      <c r="B2558" s="28" t="s">
        <v>110</v>
      </c>
      <c r="C2558" s="28" t="s">
        <v>49</v>
      </c>
      <c r="D2558" s="28" t="n">
        <v>18</v>
      </c>
      <c r="E2558" s="29" t="n">
        <v>14549400</v>
      </c>
      <c r="F2558" s="30" t="n">
        <v>119</v>
      </c>
      <c r="G2558" s="31" t="n">
        <f aca="false">IFERROR(F2558/D2558,0)</f>
        <v>6.61111111111111</v>
      </c>
    </row>
    <row r="2559" customFormat="false" ht="15" hidden="false" customHeight="false" outlineLevel="0" collapsed="false">
      <c r="A2559" s="28" t="n">
        <v>2022</v>
      </c>
      <c r="B2559" s="28" t="s">
        <v>77</v>
      </c>
      <c r="C2559" s="28" t="s">
        <v>42</v>
      </c>
      <c r="D2559" s="28" t="n">
        <v>472</v>
      </c>
      <c r="E2559" s="29" t="n">
        <v>566411100</v>
      </c>
      <c r="F2559" s="30" t="n">
        <v>2861.585</v>
      </c>
      <c r="G2559" s="31" t="n">
        <f aca="false">IFERROR(F2559/D2559,0)</f>
        <v>6.06268008474576</v>
      </c>
    </row>
    <row r="2560" customFormat="false" ht="15" hidden="false" customHeight="false" outlineLevel="0" collapsed="false">
      <c r="A2560" s="28" t="n">
        <v>2022</v>
      </c>
      <c r="B2560" s="28" t="s">
        <v>77</v>
      </c>
      <c r="C2560" s="28" t="s">
        <v>50</v>
      </c>
      <c r="D2560" s="28" t="n">
        <v>155</v>
      </c>
      <c r="E2560" s="29" t="n">
        <v>84042000</v>
      </c>
      <c r="F2560" s="30" t="n">
        <v>1021.3</v>
      </c>
      <c r="G2560" s="31" t="n">
        <f aca="false">IFERROR(F2560/D2560,0)</f>
        <v>6.58903225806452</v>
      </c>
    </row>
    <row r="2561" customFormat="false" ht="15" hidden="false" customHeight="false" outlineLevel="0" collapsed="false">
      <c r="A2561" s="28" t="n">
        <v>2022</v>
      </c>
      <c r="B2561" s="28" t="s">
        <v>77</v>
      </c>
      <c r="C2561" s="28" t="s">
        <v>55</v>
      </c>
      <c r="D2561" s="28" t="n">
        <v>26</v>
      </c>
      <c r="E2561" s="29" t="n">
        <v>48983300</v>
      </c>
      <c r="F2561" s="30" t="n">
        <v>150.89</v>
      </c>
      <c r="G2561" s="31" t="n">
        <f aca="false">IFERROR(F2561/D2561,0)</f>
        <v>5.80346153846154</v>
      </c>
    </row>
    <row r="2562" customFormat="false" ht="15" hidden="false" customHeight="false" outlineLevel="0" collapsed="false">
      <c r="A2562" s="28" t="n">
        <v>2022</v>
      </c>
      <c r="B2562" s="28" t="s">
        <v>77</v>
      </c>
      <c r="C2562" s="28" t="s">
        <v>51</v>
      </c>
      <c r="D2562" s="28" t="n">
        <v>128</v>
      </c>
      <c r="E2562" s="29" t="n">
        <v>87707700</v>
      </c>
      <c r="F2562" s="30" t="n">
        <v>852.47</v>
      </c>
      <c r="G2562" s="31" t="n">
        <f aca="false">IFERROR(F2562/D2562,0)</f>
        <v>6.659921875</v>
      </c>
    </row>
    <row r="2563" customFormat="false" ht="15" hidden="false" customHeight="false" outlineLevel="0" collapsed="false">
      <c r="A2563" s="28" t="n">
        <v>2022</v>
      </c>
      <c r="B2563" s="28" t="s">
        <v>77</v>
      </c>
      <c r="C2563" s="28" t="s">
        <v>45</v>
      </c>
      <c r="D2563" s="28" t="n">
        <v>319</v>
      </c>
      <c r="E2563" s="29" t="n">
        <v>167234800</v>
      </c>
      <c r="F2563" s="30" t="n">
        <v>2109.918</v>
      </c>
      <c r="G2563" s="31" t="n">
        <f aca="false">IFERROR(F2563/D2563,0)</f>
        <v>6.61416300940439</v>
      </c>
    </row>
    <row r="2564" customFormat="false" ht="15" hidden="false" customHeight="false" outlineLevel="0" collapsed="false">
      <c r="A2564" s="28" t="n">
        <v>2022</v>
      </c>
      <c r="B2564" s="28" t="s">
        <v>77</v>
      </c>
      <c r="C2564" s="28" t="s">
        <v>56</v>
      </c>
      <c r="D2564" s="28" t="n">
        <v>66</v>
      </c>
      <c r="E2564" s="29" t="n">
        <v>30128100</v>
      </c>
      <c r="F2564" s="30" t="n">
        <v>415.68</v>
      </c>
      <c r="G2564" s="31" t="n">
        <f aca="false">IFERROR(F2564/D2564,0)</f>
        <v>6.29818181818182</v>
      </c>
    </row>
    <row r="2565" customFormat="false" ht="15" hidden="false" customHeight="false" outlineLevel="0" collapsed="false">
      <c r="A2565" s="28" t="n">
        <v>2022</v>
      </c>
      <c r="B2565" s="28" t="s">
        <v>77</v>
      </c>
      <c r="C2565" s="28" t="s">
        <v>54</v>
      </c>
      <c r="D2565" s="28" t="n">
        <v>71</v>
      </c>
      <c r="E2565" s="29" t="n">
        <v>33544100</v>
      </c>
      <c r="F2565" s="30" t="n">
        <v>457.684</v>
      </c>
      <c r="G2565" s="31" t="n">
        <f aca="false">IFERROR(F2565/D2565,0)</f>
        <v>6.44625352112676</v>
      </c>
    </row>
    <row r="2566" customFormat="false" ht="15" hidden="false" customHeight="false" outlineLevel="0" collapsed="false">
      <c r="A2566" s="28" t="n">
        <v>2022</v>
      </c>
      <c r="B2566" s="28" t="s">
        <v>77</v>
      </c>
      <c r="C2566" s="28" t="s">
        <v>44</v>
      </c>
      <c r="D2566" s="28" t="n">
        <v>342</v>
      </c>
      <c r="E2566" s="29" t="n">
        <v>296887200</v>
      </c>
      <c r="F2566" s="30" t="n">
        <v>1984.134</v>
      </c>
      <c r="G2566" s="31" t="n">
        <f aca="false">IFERROR(F2566/D2566,0)</f>
        <v>5.80156140350877</v>
      </c>
    </row>
    <row r="2567" customFormat="false" ht="15" hidden="false" customHeight="false" outlineLevel="0" collapsed="false">
      <c r="A2567" s="28" t="n">
        <v>2022</v>
      </c>
      <c r="B2567" s="28" t="s">
        <v>77</v>
      </c>
      <c r="C2567" s="28" t="s">
        <v>57</v>
      </c>
      <c r="D2567" s="28" t="n">
        <v>24</v>
      </c>
      <c r="E2567" s="29" t="n">
        <v>11639800</v>
      </c>
      <c r="F2567" s="30" t="n">
        <v>167.55</v>
      </c>
      <c r="G2567" s="31" t="n">
        <f aca="false">IFERROR(F2567/D2567,0)</f>
        <v>6.98125</v>
      </c>
    </row>
    <row r="2568" customFormat="false" ht="15" hidden="false" customHeight="false" outlineLevel="0" collapsed="false">
      <c r="A2568" s="28" t="n">
        <v>2022</v>
      </c>
      <c r="B2568" s="28" t="s">
        <v>77</v>
      </c>
      <c r="C2568" s="28" t="s">
        <v>59</v>
      </c>
      <c r="D2568" s="28" t="n">
        <v>4</v>
      </c>
      <c r="E2568" s="29" t="n">
        <v>8534200</v>
      </c>
      <c r="F2568" s="30" t="n">
        <v>22.49</v>
      </c>
      <c r="G2568" s="31" t="n">
        <f aca="false">IFERROR(F2568/D2568,0)</f>
        <v>5.6225</v>
      </c>
    </row>
    <row r="2569" customFormat="false" ht="15" hidden="false" customHeight="false" outlineLevel="0" collapsed="false">
      <c r="A2569" s="28" t="n">
        <v>2022</v>
      </c>
      <c r="B2569" s="28" t="s">
        <v>77</v>
      </c>
      <c r="C2569" s="28" t="s">
        <v>47</v>
      </c>
      <c r="D2569" s="28" t="n">
        <v>172</v>
      </c>
      <c r="E2569" s="29" t="n">
        <v>150737900</v>
      </c>
      <c r="F2569" s="30" t="n">
        <v>1049.65</v>
      </c>
      <c r="G2569" s="31" t="n">
        <f aca="false">IFERROR(F2569/D2569,0)</f>
        <v>6.10261627906977</v>
      </c>
    </row>
    <row r="2570" customFormat="false" ht="15" hidden="false" customHeight="false" outlineLevel="0" collapsed="false">
      <c r="A2570" s="28" t="n">
        <v>2022</v>
      </c>
      <c r="B2570" s="28" t="s">
        <v>77</v>
      </c>
      <c r="C2570" s="28" t="s">
        <v>58</v>
      </c>
      <c r="D2570" s="28" t="n">
        <v>16</v>
      </c>
      <c r="E2570" s="29" t="n">
        <v>21725900</v>
      </c>
      <c r="F2570" s="30" t="n">
        <v>99.5</v>
      </c>
      <c r="G2570" s="31" t="n">
        <f aca="false">IFERROR(F2570/D2570,0)</f>
        <v>6.21875</v>
      </c>
    </row>
    <row r="2571" customFormat="false" ht="15" hidden="false" customHeight="false" outlineLevel="0" collapsed="false">
      <c r="A2571" s="28" t="n">
        <v>2022</v>
      </c>
      <c r="B2571" s="28" t="s">
        <v>77</v>
      </c>
      <c r="C2571" s="28" t="s">
        <v>46</v>
      </c>
      <c r="D2571" s="28" t="n">
        <v>295</v>
      </c>
      <c r="E2571" s="29" t="n">
        <v>223488000</v>
      </c>
      <c r="F2571" s="30" t="n">
        <v>1819.583</v>
      </c>
      <c r="G2571" s="31" t="n">
        <f aca="false">IFERROR(F2571/D2571,0)</f>
        <v>6.1680779661017</v>
      </c>
    </row>
    <row r="2572" customFormat="false" ht="15" hidden="false" customHeight="false" outlineLevel="0" collapsed="false">
      <c r="A2572" s="28" t="n">
        <v>2022</v>
      </c>
      <c r="B2572" s="28" t="s">
        <v>77</v>
      </c>
      <c r="C2572" s="28" t="s">
        <v>48</v>
      </c>
      <c r="D2572" s="28" t="n">
        <v>240</v>
      </c>
      <c r="E2572" s="29" t="n">
        <v>148535200</v>
      </c>
      <c r="F2572" s="30" t="n">
        <v>1553.37</v>
      </c>
      <c r="G2572" s="31" t="n">
        <f aca="false">IFERROR(F2572/D2572,0)</f>
        <v>6.472375</v>
      </c>
    </row>
    <row r="2573" customFormat="false" ht="15" hidden="false" customHeight="false" outlineLevel="0" collapsed="false">
      <c r="A2573" s="28" t="n">
        <v>2022</v>
      </c>
      <c r="B2573" s="28" t="s">
        <v>77</v>
      </c>
      <c r="C2573" s="28" t="s">
        <v>61</v>
      </c>
      <c r="D2573" s="28" t="n">
        <v>1</v>
      </c>
      <c r="E2573" s="29" t="n">
        <v>104500</v>
      </c>
      <c r="F2573" s="30" t="n">
        <v>6.25</v>
      </c>
      <c r="G2573" s="31" t="n">
        <f aca="false">IFERROR(F2573/D2573,0)</f>
        <v>6.25</v>
      </c>
    </row>
    <row r="2574" customFormat="false" ht="15" hidden="false" customHeight="false" outlineLevel="0" collapsed="false">
      <c r="A2574" s="28" t="n">
        <v>2022</v>
      </c>
      <c r="B2574" s="28" t="s">
        <v>77</v>
      </c>
      <c r="C2574" s="28" t="s">
        <v>53</v>
      </c>
      <c r="D2574" s="28" t="n">
        <v>75</v>
      </c>
      <c r="E2574" s="29" t="n">
        <v>57479000</v>
      </c>
      <c r="F2574" s="30" t="n">
        <v>452.81</v>
      </c>
      <c r="G2574" s="31" t="n">
        <f aca="false">IFERROR(F2574/D2574,0)</f>
        <v>6.03746666666667</v>
      </c>
    </row>
    <row r="2575" customFormat="false" ht="15" hidden="false" customHeight="false" outlineLevel="0" collapsed="false">
      <c r="A2575" s="28" t="n">
        <v>2022</v>
      </c>
      <c r="B2575" s="28" t="s">
        <v>77</v>
      </c>
      <c r="C2575" s="28" t="s">
        <v>43</v>
      </c>
      <c r="D2575" s="28" t="n">
        <v>394</v>
      </c>
      <c r="E2575" s="29" t="n">
        <v>369931400</v>
      </c>
      <c r="F2575" s="30" t="n">
        <v>2439.782</v>
      </c>
      <c r="G2575" s="31" t="n">
        <f aca="false">IFERROR(F2575/D2575,0)</f>
        <v>6.19234010152284</v>
      </c>
    </row>
    <row r="2576" customFormat="false" ht="15" hidden="false" customHeight="false" outlineLevel="0" collapsed="false">
      <c r="A2576" s="28" t="n">
        <v>2022</v>
      </c>
      <c r="B2576" s="28" t="s">
        <v>77</v>
      </c>
      <c r="C2576" s="28" t="s">
        <v>52</v>
      </c>
      <c r="D2576" s="28" t="n">
        <v>163</v>
      </c>
      <c r="E2576" s="29" t="n">
        <v>65631300</v>
      </c>
      <c r="F2576" s="30" t="n">
        <v>1229.69</v>
      </c>
      <c r="G2576" s="31" t="n">
        <f aca="false">IFERROR(F2576/D2576,0)</f>
        <v>7.54411042944785</v>
      </c>
    </row>
    <row r="2577" customFormat="false" ht="15" hidden="false" customHeight="false" outlineLevel="0" collapsed="false">
      <c r="A2577" s="28" t="n">
        <v>2022</v>
      </c>
      <c r="B2577" s="28" t="s">
        <v>77</v>
      </c>
      <c r="C2577" s="28" t="s">
        <v>60</v>
      </c>
      <c r="D2577" s="28" t="n">
        <v>7</v>
      </c>
      <c r="E2577" s="29" t="n">
        <v>1042200</v>
      </c>
      <c r="F2577" s="30" t="n">
        <v>53.25</v>
      </c>
      <c r="G2577" s="31" t="n">
        <f aca="false">IFERROR(F2577/D2577,0)</f>
        <v>7.60714285714286</v>
      </c>
    </row>
    <row r="2578" customFormat="false" ht="15" hidden="false" customHeight="false" outlineLevel="0" collapsed="false">
      <c r="A2578" s="28" t="n">
        <v>2022</v>
      </c>
      <c r="B2578" s="28" t="s">
        <v>77</v>
      </c>
      <c r="C2578" s="28" t="s">
        <v>49</v>
      </c>
      <c r="D2578" s="28" t="n">
        <v>128</v>
      </c>
      <c r="E2578" s="29" t="n">
        <v>116433800</v>
      </c>
      <c r="F2578" s="30" t="n">
        <v>792.65</v>
      </c>
      <c r="G2578" s="31" t="n">
        <f aca="false">IFERROR(F2578/D2578,0)</f>
        <v>6.192578125</v>
      </c>
    </row>
    <row r="2579" customFormat="false" ht="15" hidden="false" customHeight="false" outlineLevel="0" collapsed="false">
      <c r="A2579" s="28" t="n">
        <v>2022</v>
      </c>
      <c r="B2579" s="28" t="s">
        <v>105</v>
      </c>
      <c r="C2579" s="28" t="s">
        <v>42</v>
      </c>
      <c r="D2579" s="28" t="n">
        <v>83</v>
      </c>
      <c r="E2579" s="29" t="n">
        <v>56934600</v>
      </c>
      <c r="F2579" s="30" t="n">
        <v>526.36</v>
      </c>
      <c r="G2579" s="31" t="n">
        <f aca="false">IFERROR(F2579/D2579,0)</f>
        <v>6.34168674698795</v>
      </c>
    </row>
    <row r="2580" customFormat="false" ht="15" hidden="false" customHeight="false" outlineLevel="0" collapsed="false">
      <c r="A2580" s="28" t="n">
        <v>2022</v>
      </c>
      <c r="B2580" s="28" t="s">
        <v>105</v>
      </c>
      <c r="C2580" s="28" t="s">
        <v>50</v>
      </c>
      <c r="D2580" s="28" t="n">
        <v>43</v>
      </c>
      <c r="E2580" s="29" t="n">
        <v>15471000</v>
      </c>
      <c r="F2580" s="30" t="n">
        <v>273.99</v>
      </c>
      <c r="G2580" s="31" t="n">
        <f aca="false">IFERROR(F2580/D2580,0)</f>
        <v>6.37186046511628</v>
      </c>
    </row>
    <row r="2581" customFormat="false" ht="15" hidden="false" customHeight="false" outlineLevel="0" collapsed="false">
      <c r="A2581" s="28" t="n">
        <v>2022</v>
      </c>
      <c r="B2581" s="28" t="s">
        <v>105</v>
      </c>
      <c r="C2581" s="28" t="s">
        <v>55</v>
      </c>
      <c r="D2581" s="28" t="n">
        <v>6</v>
      </c>
      <c r="E2581" s="29" t="n">
        <v>2480200</v>
      </c>
      <c r="F2581" s="30" t="n">
        <v>31.07</v>
      </c>
      <c r="G2581" s="31" t="n">
        <f aca="false">IFERROR(F2581/D2581,0)</f>
        <v>5.17833333333333</v>
      </c>
    </row>
    <row r="2582" customFormat="false" ht="15" hidden="false" customHeight="false" outlineLevel="0" collapsed="false">
      <c r="A2582" s="28" t="n">
        <v>2022</v>
      </c>
      <c r="B2582" s="28" t="s">
        <v>105</v>
      </c>
      <c r="C2582" s="28" t="s">
        <v>51</v>
      </c>
      <c r="D2582" s="28" t="n">
        <v>33</v>
      </c>
      <c r="E2582" s="29" t="n">
        <v>22052500</v>
      </c>
      <c r="F2582" s="30" t="n">
        <v>223.69</v>
      </c>
      <c r="G2582" s="31" t="n">
        <f aca="false">IFERROR(F2582/D2582,0)</f>
        <v>6.77848484848485</v>
      </c>
    </row>
    <row r="2583" customFormat="false" ht="15" hidden="false" customHeight="false" outlineLevel="0" collapsed="false">
      <c r="A2583" s="28" t="n">
        <v>2022</v>
      </c>
      <c r="B2583" s="28" t="s">
        <v>105</v>
      </c>
      <c r="C2583" s="28" t="s">
        <v>45</v>
      </c>
      <c r="D2583" s="28" t="n">
        <v>89</v>
      </c>
      <c r="E2583" s="29" t="n">
        <v>35662200</v>
      </c>
      <c r="F2583" s="30" t="n">
        <v>615.95</v>
      </c>
      <c r="G2583" s="31" t="n">
        <f aca="false">IFERROR(F2583/D2583,0)</f>
        <v>6.92078651685393</v>
      </c>
    </row>
    <row r="2584" customFormat="false" ht="15" hidden="false" customHeight="false" outlineLevel="0" collapsed="false">
      <c r="A2584" s="28" t="n">
        <v>2022</v>
      </c>
      <c r="B2584" s="28" t="s">
        <v>105</v>
      </c>
      <c r="C2584" s="28" t="s">
        <v>56</v>
      </c>
      <c r="D2584" s="28" t="n">
        <v>16</v>
      </c>
      <c r="E2584" s="29" t="n">
        <v>11882800</v>
      </c>
      <c r="F2584" s="30" t="n">
        <v>105.6</v>
      </c>
      <c r="G2584" s="31" t="n">
        <f aca="false">IFERROR(F2584/D2584,0)</f>
        <v>6.6</v>
      </c>
    </row>
    <row r="2585" customFormat="false" ht="15" hidden="false" customHeight="false" outlineLevel="0" collapsed="false">
      <c r="A2585" s="28" t="n">
        <v>2022</v>
      </c>
      <c r="B2585" s="28" t="s">
        <v>105</v>
      </c>
      <c r="C2585" s="28" t="s">
        <v>54</v>
      </c>
      <c r="D2585" s="28" t="n">
        <v>11</v>
      </c>
      <c r="E2585" s="29" t="n">
        <v>3723300</v>
      </c>
      <c r="F2585" s="30" t="n">
        <v>70.7</v>
      </c>
      <c r="G2585" s="31" t="n">
        <f aca="false">IFERROR(F2585/D2585,0)</f>
        <v>6.42727272727273</v>
      </c>
    </row>
    <row r="2586" customFormat="false" ht="15" hidden="false" customHeight="false" outlineLevel="0" collapsed="false">
      <c r="A2586" s="28" t="n">
        <v>2022</v>
      </c>
      <c r="B2586" s="28" t="s">
        <v>105</v>
      </c>
      <c r="C2586" s="28" t="s">
        <v>44</v>
      </c>
      <c r="D2586" s="28" t="n">
        <v>71</v>
      </c>
      <c r="E2586" s="29" t="n">
        <v>48910300</v>
      </c>
      <c r="F2586" s="30" t="n">
        <v>430.203</v>
      </c>
      <c r="G2586" s="31" t="n">
        <f aca="false">IFERROR(F2586/D2586,0)</f>
        <v>6.05919718309859</v>
      </c>
    </row>
    <row r="2587" customFormat="false" ht="15" hidden="false" customHeight="false" outlineLevel="0" collapsed="false">
      <c r="A2587" s="28" t="n">
        <v>2022</v>
      </c>
      <c r="B2587" s="28" t="s">
        <v>105</v>
      </c>
      <c r="C2587" s="28" t="s">
        <v>59</v>
      </c>
      <c r="D2587" s="28" t="n">
        <v>1</v>
      </c>
      <c r="E2587" s="29" t="n">
        <v>50000</v>
      </c>
      <c r="F2587" s="30" t="n">
        <v>9.25</v>
      </c>
      <c r="G2587" s="31" t="n">
        <f aca="false">IFERROR(F2587/D2587,0)</f>
        <v>9.25</v>
      </c>
    </row>
    <row r="2588" customFormat="false" ht="15" hidden="false" customHeight="false" outlineLevel="0" collapsed="false">
      <c r="A2588" s="28" t="n">
        <v>2022</v>
      </c>
      <c r="B2588" s="28" t="s">
        <v>105</v>
      </c>
      <c r="C2588" s="28" t="s">
        <v>47</v>
      </c>
      <c r="D2588" s="28" t="n">
        <v>49</v>
      </c>
      <c r="E2588" s="29" t="n">
        <v>37469700</v>
      </c>
      <c r="F2588" s="30" t="n">
        <v>302.56</v>
      </c>
      <c r="G2588" s="31" t="n">
        <f aca="false">IFERROR(F2588/D2588,0)</f>
        <v>6.17469387755102</v>
      </c>
    </row>
    <row r="2589" customFormat="false" ht="15" hidden="false" customHeight="false" outlineLevel="0" collapsed="false">
      <c r="A2589" s="28" t="n">
        <v>2022</v>
      </c>
      <c r="B2589" s="28" t="s">
        <v>105</v>
      </c>
      <c r="C2589" s="28" t="s">
        <v>58</v>
      </c>
      <c r="D2589" s="28" t="n">
        <v>6</v>
      </c>
      <c r="E2589" s="29" t="n">
        <v>6921000</v>
      </c>
      <c r="F2589" s="30" t="n">
        <v>31.24</v>
      </c>
      <c r="G2589" s="31" t="n">
        <f aca="false">IFERROR(F2589/D2589,0)</f>
        <v>5.20666666666667</v>
      </c>
    </row>
    <row r="2590" customFormat="false" ht="15" hidden="false" customHeight="false" outlineLevel="0" collapsed="false">
      <c r="A2590" s="28" t="n">
        <v>2022</v>
      </c>
      <c r="B2590" s="28" t="s">
        <v>105</v>
      </c>
      <c r="C2590" s="28" t="s">
        <v>46</v>
      </c>
      <c r="D2590" s="28" t="n">
        <v>55</v>
      </c>
      <c r="E2590" s="29" t="n">
        <v>34671400</v>
      </c>
      <c r="F2590" s="30" t="n">
        <v>362.27</v>
      </c>
      <c r="G2590" s="31" t="n">
        <f aca="false">IFERROR(F2590/D2590,0)</f>
        <v>6.58672727272727</v>
      </c>
    </row>
    <row r="2591" customFormat="false" ht="15" hidden="false" customHeight="false" outlineLevel="0" collapsed="false">
      <c r="A2591" s="28" t="n">
        <v>2022</v>
      </c>
      <c r="B2591" s="28" t="s">
        <v>105</v>
      </c>
      <c r="C2591" s="28" t="s">
        <v>48</v>
      </c>
      <c r="D2591" s="28" t="n">
        <v>50</v>
      </c>
      <c r="E2591" s="29" t="n">
        <v>37019600</v>
      </c>
      <c r="F2591" s="30" t="n">
        <v>311.31</v>
      </c>
      <c r="G2591" s="31" t="n">
        <f aca="false">IFERROR(F2591/D2591,0)</f>
        <v>6.2262</v>
      </c>
    </row>
    <row r="2592" customFormat="false" ht="15" hidden="false" customHeight="false" outlineLevel="0" collapsed="false">
      <c r="A2592" s="28" t="n">
        <v>2022</v>
      </c>
      <c r="B2592" s="28" t="s">
        <v>105</v>
      </c>
      <c r="C2592" s="28" t="s">
        <v>53</v>
      </c>
      <c r="D2592" s="28" t="n">
        <v>29</v>
      </c>
      <c r="E2592" s="29" t="n">
        <v>16680000</v>
      </c>
      <c r="F2592" s="30" t="n">
        <v>169.83</v>
      </c>
      <c r="G2592" s="31" t="n">
        <f aca="false">IFERROR(F2592/D2592,0)</f>
        <v>5.85620689655173</v>
      </c>
    </row>
    <row r="2593" customFormat="false" ht="15" hidden="false" customHeight="false" outlineLevel="0" collapsed="false">
      <c r="A2593" s="28" t="n">
        <v>2022</v>
      </c>
      <c r="B2593" s="28" t="s">
        <v>105</v>
      </c>
      <c r="C2593" s="28" t="s">
        <v>43</v>
      </c>
      <c r="D2593" s="28" t="n">
        <v>66</v>
      </c>
      <c r="E2593" s="29" t="n">
        <v>28800200</v>
      </c>
      <c r="F2593" s="30" t="n">
        <v>425.49</v>
      </c>
      <c r="G2593" s="31" t="n">
        <f aca="false">IFERROR(F2593/D2593,0)</f>
        <v>6.44681818181818</v>
      </c>
    </row>
    <row r="2594" customFormat="false" ht="15" hidden="false" customHeight="false" outlineLevel="0" collapsed="false">
      <c r="A2594" s="28" t="n">
        <v>2022</v>
      </c>
      <c r="B2594" s="28" t="s">
        <v>105</v>
      </c>
      <c r="C2594" s="28" t="s">
        <v>52</v>
      </c>
      <c r="D2594" s="28" t="n">
        <v>42</v>
      </c>
      <c r="E2594" s="29" t="n">
        <v>11889500</v>
      </c>
      <c r="F2594" s="30" t="n">
        <v>271.367</v>
      </c>
      <c r="G2594" s="31" t="n">
        <f aca="false">IFERROR(F2594/D2594,0)</f>
        <v>6.46111904761905</v>
      </c>
    </row>
    <row r="2595" customFormat="false" ht="15" hidden="false" customHeight="false" outlineLevel="0" collapsed="false">
      <c r="A2595" s="28" t="n">
        <v>2022</v>
      </c>
      <c r="B2595" s="28" t="s">
        <v>105</v>
      </c>
      <c r="C2595" s="28" t="s">
        <v>60</v>
      </c>
      <c r="D2595" s="28" t="n">
        <v>2</v>
      </c>
      <c r="E2595" s="29" t="n">
        <v>185000</v>
      </c>
      <c r="F2595" s="30" t="n">
        <v>14.5</v>
      </c>
      <c r="G2595" s="31" t="n">
        <f aca="false">IFERROR(F2595/D2595,0)</f>
        <v>7.25</v>
      </c>
    </row>
    <row r="2596" customFormat="false" ht="15" hidden="false" customHeight="false" outlineLevel="0" collapsed="false">
      <c r="A2596" s="28" t="n">
        <v>2022</v>
      </c>
      <c r="B2596" s="28" t="s">
        <v>105</v>
      </c>
      <c r="C2596" s="28" t="s">
        <v>49</v>
      </c>
      <c r="D2596" s="28" t="n">
        <v>27</v>
      </c>
      <c r="E2596" s="29" t="n">
        <v>19362400</v>
      </c>
      <c r="F2596" s="30" t="n">
        <v>174.23</v>
      </c>
      <c r="G2596" s="31" t="n">
        <f aca="false">IFERROR(F2596/D2596,0)</f>
        <v>6.45296296296296</v>
      </c>
    </row>
    <row r="2597" customFormat="false" ht="15" hidden="false" customHeight="false" outlineLevel="0" collapsed="false">
      <c r="A2597" s="28" t="n">
        <v>2022</v>
      </c>
      <c r="B2597" s="28" t="s">
        <v>65</v>
      </c>
      <c r="C2597" s="28" t="s">
        <v>42</v>
      </c>
      <c r="D2597" s="28" t="n">
        <v>91</v>
      </c>
      <c r="E2597" s="29" t="n">
        <v>86291700</v>
      </c>
      <c r="F2597" s="30" t="n">
        <v>580.68</v>
      </c>
      <c r="G2597" s="31" t="n">
        <f aca="false">IFERROR(F2597/D2597,0)</f>
        <v>6.3810989010989</v>
      </c>
    </row>
    <row r="2598" customFormat="false" ht="15" hidden="false" customHeight="false" outlineLevel="0" collapsed="false">
      <c r="A2598" s="28" t="n">
        <v>2022</v>
      </c>
      <c r="B2598" s="28" t="s">
        <v>65</v>
      </c>
      <c r="C2598" s="28" t="s">
        <v>50</v>
      </c>
      <c r="D2598" s="28" t="n">
        <v>36</v>
      </c>
      <c r="E2598" s="29" t="n">
        <v>11352700</v>
      </c>
      <c r="F2598" s="30" t="n">
        <v>245.99</v>
      </c>
      <c r="G2598" s="31" t="n">
        <f aca="false">IFERROR(F2598/D2598,0)</f>
        <v>6.83305555555556</v>
      </c>
    </row>
    <row r="2599" customFormat="false" ht="15" hidden="false" customHeight="false" outlineLevel="0" collapsed="false">
      <c r="A2599" s="28" t="n">
        <v>2022</v>
      </c>
      <c r="B2599" s="28" t="s">
        <v>65</v>
      </c>
      <c r="C2599" s="28" t="s">
        <v>55</v>
      </c>
      <c r="D2599" s="28" t="n">
        <v>10</v>
      </c>
      <c r="E2599" s="29" t="n">
        <v>6184700</v>
      </c>
      <c r="F2599" s="30" t="n">
        <v>63.94</v>
      </c>
      <c r="G2599" s="31" t="n">
        <f aca="false">IFERROR(F2599/D2599,0)</f>
        <v>6.394</v>
      </c>
    </row>
    <row r="2600" customFormat="false" ht="15" hidden="false" customHeight="false" outlineLevel="0" collapsed="false">
      <c r="A2600" s="28" t="n">
        <v>2022</v>
      </c>
      <c r="B2600" s="28" t="s">
        <v>65</v>
      </c>
      <c r="C2600" s="28" t="s">
        <v>51</v>
      </c>
      <c r="D2600" s="28" t="n">
        <v>28</v>
      </c>
      <c r="E2600" s="29" t="n">
        <v>18360800</v>
      </c>
      <c r="F2600" s="30" t="n">
        <v>188.74</v>
      </c>
      <c r="G2600" s="31" t="n">
        <f aca="false">IFERROR(F2600/D2600,0)</f>
        <v>6.74071428571429</v>
      </c>
    </row>
    <row r="2601" customFormat="false" ht="15" hidden="false" customHeight="false" outlineLevel="0" collapsed="false">
      <c r="A2601" s="28" t="n">
        <v>2022</v>
      </c>
      <c r="B2601" s="28" t="s">
        <v>65</v>
      </c>
      <c r="C2601" s="28" t="s">
        <v>45</v>
      </c>
      <c r="D2601" s="28" t="n">
        <v>76</v>
      </c>
      <c r="E2601" s="29" t="n">
        <v>25951300</v>
      </c>
      <c r="F2601" s="30" t="n">
        <v>520.42</v>
      </c>
      <c r="G2601" s="31" t="n">
        <f aca="false">IFERROR(F2601/D2601,0)</f>
        <v>6.84763157894737</v>
      </c>
    </row>
    <row r="2602" customFormat="false" ht="15" hidden="false" customHeight="false" outlineLevel="0" collapsed="false">
      <c r="A2602" s="28" t="n">
        <v>2022</v>
      </c>
      <c r="B2602" s="28" t="s">
        <v>65</v>
      </c>
      <c r="C2602" s="28" t="s">
        <v>56</v>
      </c>
      <c r="D2602" s="28" t="n">
        <v>8</v>
      </c>
      <c r="E2602" s="29" t="n">
        <v>2794100</v>
      </c>
      <c r="F2602" s="30" t="n">
        <v>58.625</v>
      </c>
      <c r="G2602" s="31" t="n">
        <f aca="false">IFERROR(F2602/D2602,0)</f>
        <v>7.328125</v>
      </c>
    </row>
    <row r="2603" customFormat="false" ht="15" hidden="false" customHeight="false" outlineLevel="0" collapsed="false">
      <c r="A2603" s="28" t="n">
        <v>2022</v>
      </c>
      <c r="B2603" s="28" t="s">
        <v>65</v>
      </c>
      <c r="C2603" s="28" t="s">
        <v>54</v>
      </c>
      <c r="D2603" s="28" t="n">
        <v>12</v>
      </c>
      <c r="E2603" s="29" t="n">
        <v>11014100</v>
      </c>
      <c r="F2603" s="30" t="n">
        <v>84.97</v>
      </c>
      <c r="G2603" s="31" t="n">
        <f aca="false">IFERROR(F2603/D2603,0)</f>
        <v>7.08083333333333</v>
      </c>
    </row>
    <row r="2604" customFormat="false" ht="15" hidden="false" customHeight="false" outlineLevel="0" collapsed="false">
      <c r="A2604" s="28" t="n">
        <v>2022</v>
      </c>
      <c r="B2604" s="28" t="s">
        <v>65</v>
      </c>
      <c r="C2604" s="28" t="s">
        <v>44</v>
      </c>
      <c r="D2604" s="28" t="n">
        <v>69</v>
      </c>
      <c r="E2604" s="29" t="n">
        <v>45200800</v>
      </c>
      <c r="F2604" s="30" t="n">
        <v>430.74</v>
      </c>
      <c r="G2604" s="31" t="n">
        <f aca="false">IFERROR(F2604/D2604,0)</f>
        <v>6.24260869565217</v>
      </c>
    </row>
    <row r="2605" customFormat="false" ht="15" hidden="false" customHeight="false" outlineLevel="0" collapsed="false">
      <c r="A2605" s="28" t="n">
        <v>2022</v>
      </c>
      <c r="B2605" s="28" t="s">
        <v>65</v>
      </c>
      <c r="C2605" s="28" t="s">
        <v>57</v>
      </c>
      <c r="D2605" s="28" t="n">
        <v>6</v>
      </c>
      <c r="E2605" s="29" t="n">
        <v>3734000</v>
      </c>
      <c r="F2605" s="30" t="n">
        <v>39.14</v>
      </c>
      <c r="G2605" s="31" t="n">
        <f aca="false">IFERROR(F2605/D2605,0)</f>
        <v>6.52333333333333</v>
      </c>
    </row>
    <row r="2606" customFormat="false" ht="15" hidden="false" customHeight="false" outlineLevel="0" collapsed="false">
      <c r="A2606" s="28" t="n">
        <v>2022</v>
      </c>
      <c r="B2606" s="28" t="s">
        <v>65</v>
      </c>
      <c r="C2606" s="28" t="s">
        <v>59</v>
      </c>
      <c r="D2606" s="28" t="n">
        <v>1</v>
      </c>
      <c r="E2606" s="29" t="n">
        <v>2548500</v>
      </c>
      <c r="F2606" s="30" t="n">
        <v>6</v>
      </c>
      <c r="G2606" s="31" t="n">
        <f aca="false">IFERROR(F2606/D2606,0)</f>
        <v>6</v>
      </c>
    </row>
    <row r="2607" customFormat="false" ht="15" hidden="false" customHeight="false" outlineLevel="0" collapsed="false">
      <c r="A2607" s="28" t="n">
        <v>2022</v>
      </c>
      <c r="B2607" s="28" t="s">
        <v>65</v>
      </c>
      <c r="C2607" s="28" t="s">
        <v>47</v>
      </c>
      <c r="D2607" s="28" t="n">
        <v>44</v>
      </c>
      <c r="E2607" s="29" t="n">
        <v>25260400</v>
      </c>
      <c r="F2607" s="30" t="n">
        <v>277.27</v>
      </c>
      <c r="G2607" s="31" t="n">
        <f aca="false">IFERROR(F2607/D2607,0)</f>
        <v>6.30159090909091</v>
      </c>
    </row>
    <row r="2608" customFormat="false" ht="15" hidden="false" customHeight="false" outlineLevel="0" collapsed="false">
      <c r="A2608" s="28" t="n">
        <v>2022</v>
      </c>
      <c r="B2608" s="28" t="s">
        <v>65</v>
      </c>
      <c r="C2608" s="28" t="s">
        <v>46</v>
      </c>
      <c r="D2608" s="28" t="n">
        <v>60</v>
      </c>
      <c r="E2608" s="29" t="n">
        <v>31236900</v>
      </c>
      <c r="F2608" s="30" t="n">
        <v>409</v>
      </c>
      <c r="G2608" s="31" t="n">
        <f aca="false">IFERROR(F2608/D2608,0)</f>
        <v>6.81666666666667</v>
      </c>
    </row>
    <row r="2609" customFormat="false" ht="15" hidden="false" customHeight="false" outlineLevel="0" collapsed="false">
      <c r="A2609" s="28" t="n">
        <v>2022</v>
      </c>
      <c r="B2609" s="28" t="s">
        <v>65</v>
      </c>
      <c r="C2609" s="28" t="s">
        <v>48</v>
      </c>
      <c r="D2609" s="28" t="n">
        <v>91</v>
      </c>
      <c r="E2609" s="29" t="n">
        <v>42917000</v>
      </c>
      <c r="F2609" s="30" t="n">
        <v>630.78</v>
      </c>
      <c r="G2609" s="31" t="n">
        <f aca="false">IFERROR(F2609/D2609,0)</f>
        <v>6.93164835164835</v>
      </c>
    </row>
    <row r="2610" customFormat="false" ht="15" hidden="false" customHeight="false" outlineLevel="0" collapsed="false">
      <c r="A2610" s="28" t="n">
        <v>2022</v>
      </c>
      <c r="B2610" s="28" t="s">
        <v>65</v>
      </c>
      <c r="C2610" s="28" t="s">
        <v>61</v>
      </c>
      <c r="D2610" s="28" t="n">
        <v>2</v>
      </c>
      <c r="E2610" s="29" t="n">
        <v>150000</v>
      </c>
      <c r="F2610" s="30" t="n">
        <v>12.25</v>
      </c>
      <c r="G2610" s="31" t="n">
        <f aca="false">IFERROR(F2610/D2610,0)</f>
        <v>6.125</v>
      </c>
    </row>
    <row r="2611" customFormat="false" ht="15" hidden="false" customHeight="false" outlineLevel="0" collapsed="false">
      <c r="A2611" s="28" t="n">
        <v>2022</v>
      </c>
      <c r="B2611" s="28" t="s">
        <v>65</v>
      </c>
      <c r="C2611" s="28" t="s">
        <v>53</v>
      </c>
      <c r="D2611" s="28" t="n">
        <v>17</v>
      </c>
      <c r="E2611" s="29" t="n">
        <v>8889000</v>
      </c>
      <c r="F2611" s="30" t="n">
        <v>105.5</v>
      </c>
      <c r="G2611" s="31" t="n">
        <f aca="false">IFERROR(F2611/D2611,0)</f>
        <v>6.20588235294118</v>
      </c>
    </row>
    <row r="2612" customFormat="false" ht="15" hidden="false" customHeight="false" outlineLevel="0" collapsed="false">
      <c r="A2612" s="28" t="n">
        <v>2022</v>
      </c>
      <c r="B2612" s="28" t="s">
        <v>65</v>
      </c>
      <c r="C2612" s="28" t="s">
        <v>43</v>
      </c>
      <c r="D2612" s="28" t="n">
        <v>71</v>
      </c>
      <c r="E2612" s="29" t="n">
        <v>39864700</v>
      </c>
      <c r="F2612" s="30" t="n">
        <v>497.44</v>
      </c>
      <c r="G2612" s="31" t="n">
        <f aca="false">IFERROR(F2612/D2612,0)</f>
        <v>7.00619718309859</v>
      </c>
    </row>
    <row r="2613" customFormat="false" ht="15" hidden="false" customHeight="false" outlineLevel="0" collapsed="false">
      <c r="A2613" s="28" t="n">
        <v>2022</v>
      </c>
      <c r="B2613" s="28" t="s">
        <v>65</v>
      </c>
      <c r="C2613" s="28" t="s">
        <v>52</v>
      </c>
      <c r="D2613" s="28" t="n">
        <v>54</v>
      </c>
      <c r="E2613" s="29" t="n">
        <v>19434900</v>
      </c>
      <c r="F2613" s="30" t="n">
        <v>385.01</v>
      </c>
      <c r="G2613" s="31" t="n">
        <f aca="false">IFERROR(F2613/D2613,0)</f>
        <v>7.12981481481481</v>
      </c>
    </row>
    <row r="2614" customFormat="false" ht="15" hidden="false" customHeight="false" outlineLevel="0" collapsed="false">
      <c r="A2614" s="28" t="n">
        <v>2022</v>
      </c>
      <c r="B2614" s="28" t="s">
        <v>65</v>
      </c>
      <c r="C2614" s="28" t="s">
        <v>60</v>
      </c>
      <c r="D2614" s="28" t="n">
        <v>1</v>
      </c>
      <c r="E2614" s="29" t="n">
        <v>1858000</v>
      </c>
      <c r="F2614" s="30" t="n">
        <v>6.25</v>
      </c>
      <c r="G2614" s="31" t="n">
        <f aca="false">IFERROR(F2614/D2614,0)</f>
        <v>6.25</v>
      </c>
    </row>
    <row r="2615" customFormat="false" ht="15" hidden="false" customHeight="false" outlineLevel="0" collapsed="false">
      <c r="A2615" s="28" t="n">
        <v>2022</v>
      </c>
      <c r="B2615" s="28" t="s">
        <v>65</v>
      </c>
      <c r="C2615" s="28" t="s">
        <v>49</v>
      </c>
      <c r="D2615" s="28" t="n">
        <v>19</v>
      </c>
      <c r="E2615" s="29" t="n">
        <v>8557400</v>
      </c>
      <c r="F2615" s="30" t="n">
        <v>120.23</v>
      </c>
      <c r="G2615" s="31" t="n">
        <f aca="false">IFERROR(F2615/D2615,0)</f>
        <v>6.32789473684211</v>
      </c>
    </row>
    <row r="2616" customFormat="false" ht="15" hidden="false" customHeight="false" outlineLevel="0" collapsed="false">
      <c r="A2616" s="28" t="n">
        <v>2022</v>
      </c>
      <c r="B2616" s="28" t="s">
        <v>124</v>
      </c>
      <c r="C2616" s="28" t="s">
        <v>42</v>
      </c>
      <c r="D2616" s="28" t="n">
        <v>4</v>
      </c>
      <c r="E2616" s="29" t="n">
        <v>430000</v>
      </c>
      <c r="F2616" s="30" t="n">
        <v>29.75</v>
      </c>
      <c r="G2616" s="31" t="n">
        <f aca="false">IFERROR(F2616/D2616,0)</f>
        <v>7.4375</v>
      </c>
    </row>
    <row r="2617" customFormat="false" ht="15" hidden="false" customHeight="false" outlineLevel="0" collapsed="false">
      <c r="A2617" s="28" t="n">
        <v>2022</v>
      </c>
      <c r="B2617" s="28" t="s">
        <v>124</v>
      </c>
      <c r="C2617" s="28" t="s">
        <v>55</v>
      </c>
      <c r="D2617" s="28" t="n">
        <v>1</v>
      </c>
      <c r="E2617" s="29" t="n">
        <v>413000</v>
      </c>
      <c r="F2617" s="30" t="n">
        <v>7.5</v>
      </c>
      <c r="G2617" s="31" t="n">
        <f aca="false">IFERROR(F2617/D2617,0)</f>
        <v>7.5</v>
      </c>
    </row>
    <row r="2618" customFormat="false" ht="15" hidden="false" customHeight="false" outlineLevel="0" collapsed="false">
      <c r="A2618" s="28" t="n">
        <v>2022</v>
      </c>
      <c r="B2618" s="28" t="s">
        <v>124</v>
      </c>
      <c r="C2618" s="28" t="s">
        <v>44</v>
      </c>
      <c r="D2618" s="28" t="n">
        <v>1</v>
      </c>
      <c r="E2618" s="29" t="n">
        <v>350000</v>
      </c>
      <c r="F2618" s="30" t="n">
        <v>6.25</v>
      </c>
      <c r="G2618" s="31" t="n">
        <f aca="false">IFERROR(F2618/D2618,0)</f>
        <v>6.25</v>
      </c>
    </row>
    <row r="2619" customFormat="false" ht="15" hidden="false" customHeight="false" outlineLevel="0" collapsed="false">
      <c r="A2619" s="28" t="n">
        <v>2022</v>
      </c>
      <c r="B2619" s="28" t="s">
        <v>124</v>
      </c>
      <c r="C2619" s="28" t="s">
        <v>47</v>
      </c>
      <c r="D2619" s="28" t="n">
        <v>1</v>
      </c>
      <c r="E2619" s="29" t="n">
        <v>2800000</v>
      </c>
      <c r="F2619" s="30" t="n">
        <v>5.5</v>
      </c>
      <c r="G2619" s="31" t="n">
        <f aca="false">IFERROR(F2619/D2619,0)</f>
        <v>5.5</v>
      </c>
    </row>
    <row r="2620" customFormat="false" ht="15" hidden="false" customHeight="false" outlineLevel="0" collapsed="false">
      <c r="A2620" s="28" t="n">
        <v>2022</v>
      </c>
      <c r="B2620" s="28" t="s">
        <v>124</v>
      </c>
      <c r="C2620" s="28" t="s">
        <v>46</v>
      </c>
      <c r="D2620" s="28" t="n">
        <v>1</v>
      </c>
      <c r="E2620" s="29" t="n">
        <v>100000</v>
      </c>
      <c r="F2620" s="30" t="n">
        <v>6</v>
      </c>
      <c r="G2620" s="31" t="n">
        <f aca="false">IFERROR(F2620/D2620,0)</f>
        <v>6</v>
      </c>
    </row>
    <row r="2621" customFormat="false" ht="15" hidden="false" customHeight="false" outlineLevel="0" collapsed="false">
      <c r="A2621" s="28" t="n">
        <v>2022</v>
      </c>
      <c r="B2621" s="28" t="s">
        <v>124</v>
      </c>
      <c r="C2621" s="28" t="s">
        <v>48</v>
      </c>
      <c r="D2621" s="28" t="n">
        <v>1</v>
      </c>
      <c r="E2621" s="29" t="n">
        <v>1313000</v>
      </c>
      <c r="F2621" s="30" t="n">
        <v>4.3</v>
      </c>
      <c r="G2621" s="31" t="n">
        <f aca="false">IFERROR(F2621/D2621,0)</f>
        <v>4.3</v>
      </c>
    </row>
    <row r="2622" customFormat="false" ht="15" hidden="false" customHeight="false" outlineLevel="0" collapsed="false">
      <c r="A2622" s="28" t="n">
        <v>2022</v>
      </c>
      <c r="B2622" s="28" t="s">
        <v>124</v>
      </c>
      <c r="C2622" s="28" t="s">
        <v>53</v>
      </c>
      <c r="D2622" s="28" t="n">
        <v>2</v>
      </c>
      <c r="E2622" s="29" t="n">
        <v>889000</v>
      </c>
      <c r="F2622" s="30" t="n">
        <v>12.25</v>
      </c>
      <c r="G2622" s="31" t="n">
        <f aca="false">IFERROR(F2622/D2622,0)</f>
        <v>6.125</v>
      </c>
    </row>
    <row r="2623" customFormat="false" ht="15" hidden="false" customHeight="false" outlineLevel="0" collapsed="false">
      <c r="A2623" s="28" t="n">
        <v>2022</v>
      </c>
      <c r="B2623" s="28" t="s">
        <v>124</v>
      </c>
      <c r="C2623" s="28" t="s">
        <v>43</v>
      </c>
      <c r="D2623" s="28" t="n">
        <v>2</v>
      </c>
      <c r="E2623" s="29" t="n">
        <v>50000</v>
      </c>
      <c r="F2623" s="30" t="n">
        <v>15.5</v>
      </c>
      <c r="G2623" s="31" t="n">
        <f aca="false">IFERROR(F2623/D2623,0)</f>
        <v>7.75</v>
      </c>
    </row>
    <row r="2624" customFormat="false" ht="15" hidden="false" customHeight="false" outlineLevel="0" collapsed="false">
      <c r="A2624" s="28" t="n">
        <v>2022</v>
      </c>
      <c r="B2624" s="28" t="s">
        <v>126</v>
      </c>
      <c r="C2624" s="28" t="s">
        <v>42</v>
      </c>
      <c r="D2624" s="28" t="n">
        <v>17</v>
      </c>
      <c r="E2624" s="29" t="n">
        <v>4918200</v>
      </c>
      <c r="F2624" s="30" t="n">
        <v>92.285</v>
      </c>
      <c r="G2624" s="31" t="n">
        <f aca="false">IFERROR(F2624/D2624,0)</f>
        <v>5.42852941176471</v>
      </c>
    </row>
    <row r="2625" customFormat="false" ht="15" hidden="false" customHeight="false" outlineLevel="0" collapsed="false">
      <c r="A2625" s="28" t="n">
        <v>2022</v>
      </c>
      <c r="B2625" s="28" t="s">
        <v>126</v>
      </c>
      <c r="C2625" s="28" t="s">
        <v>50</v>
      </c>
      <c r="D2625" s="28" t="n">
        <v>10</v>
      </c>
      <c r="E2625" s="29" t="n">
        <v>637500</v>
      </c>
      <c r="F2625" s="30" t="n">
        <v>66.99</v>
      </c>
      <c r="G2625" s="31" t="n">
        <f aca="false">IFERROR(F2625/D2625,0)</f>
        <v>6.699</v>
      </c>
    </row>
    <row r="2626" customFormat="false" ht="15" hidden="false" customHeight="false" outlineLevel="0" collapsed="false">
      <c r="A2626" s="28" t="n">
        <v>2022</v>
      </c>
      <c r="B2626" s="28" t="s">
        <v>126</v>
      </c>
      <c r="C2626" s="28" t="s">
        <v>55</v>
      </c>
      <c r="D2626" s="28" t="n">
        <v>3</v>
      </c>
      <c r="E2626" s="29" t="n">
        <v>149500</v>
      </c>
      <c r="F2626" s="30" t="n">
        <v>20.99</v>
      </c>
      <c r="G2626" s="31" t="n">
        <f aca="false">IFERROR(F2626/D2626,0)</f>
        <v>6.99666666666667</v>
      </c>
    </row>
    <row r="2627" customFormat="false" ht="15" hidden="false" customHeight="false" outlineLevel="0" collapsed="false">
      <c r="A2627" s="28" t="n">
        <v>2022</v>
      </c>
      <c r="B2627" s="28" t="s">
        <v>126</v>
      </c>
      <c r="C2627" s="28" t="s">
        <v>51</v>
      </c>
      <c r="D2627" s="28" t="n">
        <v>6</v>
      </c>
      <c r="E2627" s="29" t="n">
        <v>662000</v>
      </c>
      <c r="F2627" s="30" t="n">
        <v>31.1</v>
      </c>
      <c r="G2627" s="31" t="n">
        <f aca="false">IFERROR(F2627/D2627,0)</f>
        <v>5.18333333333333</v>
      </c>
    </row>
    <row r="2628" customFormat="false" ht="15" hidden="false" customHeight="false" outlineLevel="0" collapsed="false">
      <c r="A2628" s="28" t="n">
        <v>2022</v>
      </c>
      <c r="B2628" s="28" t="s">
        <v>126</v>
      </c>
      <c r="C2628" s="28" t="s">
        <v>45</v>
      </c>
      <c r="D2628" s="28" t="n">
        <v>11</v>
      </c>
      <c r="E2628" s="29" t="n">
        <v>3342500</v>
      </c>
      <c r="F2628" s="30" t="n">
        <v>74.54</v>
      </c>
      <c r="G2628" s="31" t="n">
        <f aca="false">IFERROR(F2628/D2628,0)</f>
        <v>6.77636363636364</v>
      </c>
    </row>
    <row r="2629" customFormat="false" ht="15" hidden="false" customHeight="false" outlineLevel="0" collapsed="false">
      <c r="A2629" s="28" t="n">
        <v>2022</v>
      </c>
      <c r="B2629" s="28" t="s">
        <v>126</v>
      </c>
      <c r="C2629" s="28" t="s">
        <v>56</v>
      </c>
      <c r="D2629" s="28" t="n">
        <v>1</v>
      </c>
      <c r="E2629" s="29" t="n">
        <v>100000</v>
      </c>
      <c r="F2629" s="30" t="n">
        <v>9.25</v>
      </c>
      <c r="G2629" s="31" t="n">
        <f aca="false">IFERROR(F2629/D2629,0)</f>
        <v>9.25</v>
      </c>
    </row>
    <row r="2630" customFormat="false" ht="15" hidden="false" customHeight="false" outlineLevel="0" collapsed="false">
      <c r="A2630" s="28" t="n">
        <v>2022</v>
      </c>
      <c r="B2630" s="28" t="s">
        <v>126</v>
      </c>
      <c r="C2630" s="28" t="s">
        <v>44</v>
      </c>
      <c r="D2630" s="28" t="n">
        <v>7</v>
      </c>
      <c r="E2630" s="29" t="n">
        <v>3272000</v>
      </c>
      <c r="F2630" s="30" t="n">
        <v>39.88</v>
      </c>
      <c r="G2630" s="31" t="n">
        <f aca="false">IFERROR(F2630/D2630,0)</f>
        <v>5.69714285714286</v>
      </c>
    </row>
    <row r="2631" customFormat="false" ht="15" hidden="false" customHeight="false" outlineLevel="0" collapsed="false">
      <c r="A2631" s="28" t="n">
        <v>2022</v>
      </c>
      <c r="B2631" s="28" t="s">
        <v>126</v>
      </c>
      <c r="C2631" s="28" t="s">
        <v>57</v>
      </c>
      <c r="D2631" s="28" t="n">
        <v>1</v>
      </c>
      <c r="E2631" s="29" t="n">
        <v>3927400</v>
      </c>
      <c r="F2631" s="30" t="n">
        <v>4.48</v>
      </c>
      <c r="G2631" s="31" t="n">
        <f aca="false">IFERROR(F2631/D2631,0)</f>
        <v>4.48</v>
      </c>
    </row>
    <row r="2632" customFormat="false" ht="15" hidden="false" customHeight="false" outlineLevel="0" collapsed="false">
      <c r="A2632" s="28" t="n">
        <v>2022</v>
      </c>
      <c r="B2632" s="28" t="s">
        <v>126</v>
      </c>
      <c r="C2632" s="28" t="s">
        <v>47</v>
      </c>
      <c r="D2632" s="28" t="n">
        <v>23</v>
      </c>
      <c r="E2632" s="29" t="n">
        <v>5037000</v>
      </c>
      <c r="F2632" s="30" t="n">
        <v>129.97</v>
      </c>
      <c r="G2632" s="31" t="n">
        <f aca="false">IFERROR(F2632/D2632,0)</f>
        <v>5.65086956521739</v>
      </c>
    </row>
    <row r="2633" customFormat="false" ht="15" hidden="false" customHeight="false" outlineLevel="0" collapsed="false">
      <c r="A2633" s="28" t="n">
        <v>2022</v>
      </c>
      <c r="B2633" s="28" t="s">
        <v>126</v>
      </c>
      <c r="C2633" s="28" t="s">
        <v>46</v>
      </c>
      <c r="D2633" s="28" t="n">
        <v>5</v>
      </c>
      <c r="E2633" s="29" t="n">
        <v>621000</v>
      </c>
      <c r="F2633" s="30" t="n">
        <v>30.75</v>
      </c>
      <c r="G2633" s="31" t="n">
        <f aca="false">IFERROR(F2633/D2633,0)</f>
        <v>6.15</v>
      </c>
    </row>
    <row r="2634" customFormat="false" ht="15" hidden="false" customHeight="false" outlineLevel="0" collapsed="false">
      <c r="A2634" s="28" t="n">
        <v>2022</v>
      </c>
      <c r="B2634" s="28" t="s">
        <v>126</v>
      </c>
      <c r="C2634" s="28" t="s">
        <v>48</v>
      </c>
      <c r="D2634" s="28" t="n">
        <v>7</v>
      </c>
      <c r="E2634" s="29" t="n">
        <v>2685000</v>
      </c>
      <c r="F2634" s="30" t="n">
        <v>38.75</v>
      </c>
      <c r="G2634" s="31" t="n">
        <f aca="false">IFERROR(F2634/D2634,0)</f>
        <v>5.53571428571429</v>
      </c>
    </row>
    <row r="2635" customFormat="false" ht="15" hidden="false" customHeight="false" outlineLevel="0" collapsed="false">
      <c r="A2635" s="28" t="n">
        <v>2022</v>
      </c>
      <c r="B2635" s="28" t="s">
        <v>126</v>
      </c>
      <c r="C2635" s="28" t="s">
        <v>53</v>
      </c>
      <c r="D2635" s="28" t="n">
        <v>2</v>
      </c>
      <c r="E2635" s="29" t="n">
        <v>254800</v>
      </c>
      <c r="F2635" s="30" t="n">
        <v>11.5</v>
      </c>
      <c r="G2635" s="31" t="n">
        <f aca="false">IFERROR(F2635/D2635,0)</f>
        <v>5.75</v>
      </c>
    </row>
    <row r="2636" customFormat="false" ht="15" hidden="false" customHeight="false" outlineLevel="0" collapsed="false">
      <c r="A2636" s="28" t="n">
        <v>2022</v>
      </c>
      <c r="B2636" s="28" t="s">
        <v>126</v>
      </c>
      <c r="C2636" s="28" t="s">
        <v>43</v>
      </c>
      <c r="D2636" s="28" t="n">
        <v>15</v>
      </c>
      <c r="E2636" s="29" t="n">
        <v>7588400</v>
      </c>
      <c r="F2636" s="30" t="n">
        <v>89.5</v>
      </c>
      <c r="G2636" s="31" t="n">
        <f aca="false">IFERROR(F2636/D2636,0)</f>
        <v>5.96666666666667</v>
      </c>
    </row>
    <row r="2637" customFormat="false" ht="15" hidden="false" customHeight="false" outlineLevel="0" collapsed="false">
      <c r="A2637" s="28" t="n">
        <v>2022</v>
      </c>
      <c r="B2637" s="28" t="s">
        <v>126</v>
      </c>
      <c r="C2637" s="28" t="s">
        <v>52</v>
      </c>
      <c r="D2637" s="28" t="n">
        <v>6</v>
      </c>
      <c r="E2637" s="29" t="n">
        <v>260600</v>
      </c>
      <c r="F2637" s="30" t="n">
        <v>34.54</v>
      </c>
      <c r="G2637" s="31" t="n">
        <f aca="false">IFERROR(F2637/D2637,0)</f>
        <v>5.75666666666667</v>
      </c>
    </row>
    <row r="2638" customFormat="false" ht="15" hidden="false" customHeight="false" outlineLevel="0" collapsed="false">
      <c r="A2638" s="28" t="n">
        <v>2022</v>
      </c>
      <c r="B2638" s="28" t="s">
        <v>126</v>
      </c>
      <c r="C2638" s="28" t="s">
        <v>49</v>
      </c>
      <c r="D2638" s="28" t="n">
        <v>4</v>
      </c>
      <c r="E2638" s="29" t="n">
        <v>474000</v>
      </c>
      <c r="F2638" s="30" t="n">
        <v>20.92</v>
      </c>
      <c r="G2638" s="31" t="n">
        <f aca="false">IFERROR(F2638/D2638,0)</f>
        <v>5.23</v>
      </c>
    </row>
    <row r="2639" customFormat="false" ht="15" hidden="false" customHeight="false" outlineLevel="0" collapsed="false">
      <c r="A2639" s="28" t="n">
        <v>2022</v>
      </c>
      <c r="B2639" s="28" t="s">
        <v>89</v>
      </c>
      <c r="C2639" s="28" t="s">
        <v>42</v>
      </c>
      <c r="D2639" s="28" t="n">
        <v>176</v>
      </c>
      <c r="E2639" s="29" t="n">
        <v>148072400</v>
      </c>
      <c r="F2639" s="30" t="n">
        <v>1011.723</v>
      </c>
      <c r="G2639" s="31" t="n">
        <f aca="false">IFERROR(F2639/D2639,0)</f>
        <v>5.74842613636364</v>
      </c>
    </row>
    <row r="2640" customFormat="false" ht="15" hidden="false" customHeight="false" outlineLevel="0" collapsed="false">
      <c r="A2640" s="28" t="n">
        <v>2022</v>
      </c>
      <c r="B2640" s="28" t="s">
        <v>89</v>
      </c>
      <c r="C2640" s="28" t="s">
        <v>50</v>
      </c>
      <c r="D2640" s="28" t="n">
        <v>56</v>
      </c>
      <c r="E2640" s="29" t="n">
        <v>24890400</v>
      </c>
      <c r="F2640" s="30" t="n">
        <v>339.18</v>
      </c>
      <c r="G2640" s="31" t="n">
        <f aca="false">IFERROR(F2640/D2640,0)</f>
        <v>6.05678571428572</v>
      </c>
    </row>
    <row r="2641" customFormat="false" ht="15" hidden="false" customHeight="false" outlineLevel="0" collapsed="false">
      <c r="A2641" s="28" t="n">
        <v>2022</v>
      </c>
      <c r="B2641" s="28" t="s">
        <v>89</v>
      </c>
      <c r="C2641" s="28" t="s">
        <v>55</v>
      </c>
      <c r="D2641" s="28" t="n">
        <v>14</v>
      </c>
      <c r="E2641" s="29" t="n">
        <v>3766700</v>
      </c>
      <c r="F2641" s="30" t="n">
        <v>83.74</v>
      </c>
      <c r="G2641" s="31" t="n">
        <f aca="false">IFERROR(F2641/D2641,0)</f>
        <v>5.98142857142857</v>
      </c>
    </row>
    <row r="2642" customFormat="false" ht="15" hidden="false" customHeight="false" outlineLevel="0" collapsed="false">
      <c r="A2642" s="28" t="n">
        <v>2022</v>
      </c>
      <c r="B2642" s="28" t="s">
        <v>89</v>
      </c>
      <c r="C2642" s="28" t="s">
        <v>51</v>
      </c>
      <c r="D2642" s="28" t="n">
        <v>29</v>
      </c>
      <c r="E2642" s="29" t="n">
        <v>22379400</v>
      </c>
      <c r="F2642" s="30" t="n">
        <v>177.47</v>
      </c>
      <c r="G2642" s="31" t="n">
        <f aca="false">IFERROR(F2642/D2642,0)</f>
        <v>6.11965517241379</v>
      </c>
    </row>
    <row r="2643" customFormat="false" ht="15" hidden="false" customHeight="false" outlineLevel="0" collapsed="false">
      <c r="A2643" s="28" t="n">
        <v>2022</v>
      </c>
      <c r="B2643" s="28" t="s">
        <v>89</v>
      </c>
      <c r="C2643" s="28" t="s">
        <v>45</v>
      </c>
      <c r="D2643" s="28" t="n">
        <v>141</v>
      </c>
      <c r="E2643" s="29" t="n">
        <v>55165200</v>
      </c>
      <c r="F2643" s="30" t="n">
        <v>862.544</v>
      </c>
      <c r="G2643" s="31" t="n">
        <f aca="false">IFERROR(F2643/D2643,0)</f>
        <v>6.11733333333333</v>
      </c>
    </row>
    <row r="2644" customFormat="false" ht="15" hidden="false" customHeight="false" outlineLevel="0" collapsed="false">
      <c r="A2644" s="28" t="n">
        <v>2022</v>
      </c>
      <c r="B2644" s="28" t="s">
        <v>89</v>
      </c>
      <c r="C2644" s="28" t="s">
        <v>56</v>
      </c>
      <c r="D2644" s="28" t="n">
        <v>13</v>
      </c>
      <c r="E2644" s="29" t="n">
        <v>5889800</v>
      </c>
      <c r="F2644" s="30" t="n">
        <v>82.61</v>
      </c>
      <c r="G2644" s="31" t="n">
        <f aca="false">IFERROR(F2644/D2644,0)</f>
        <v>6.35461538461539</v>
      </c>
    </row>
    <row r="2645" customFormat="false" ht="15" hidden="false" customHeight="false" outlineLevel="0" collapsed="false">
      <c r="A2645" s="28" t="n">
        <v>2022</v>
      </c>
      <c r="B2645" s="28" t="s">
        <v>89</v>
      </c>
      <c r="C2645" s="28" t="s">
        <v>54</v>
      </c>
      <c r="D2645" s="28" t="n">
        <v>21</v>
      </c>
      <c r="E2645" s="29" t="n">
        <v>11142000</v>
      </c>
      <c r="F2645" s="30" t="n">
        <v>124.85</v>
      </c>
      <c r="G2645" s="31" t="n">
        <f aca="false">IFERROR(F2645/D2645,0)</f>
        <v>5.94523809523809</v>
      </c>
    </row>
    <row r="2646" customFormat="false" ht="15" hidden="false" customHeight="false" outlineLevel="0" collapsed="false">
      <c r="A2646" s="28" t="n">
        <v>2022</v>
      </c>
      <c r="B2646" s="28" t="s">
        <v>89</v>
      </c>
      <c r="C2646" s="28" t="s">
        <v>44</v>
      </c>
      <c r="D2646" s="28" t="n">
        <v>134</v>
      </c>
      <c r="E2646" s="29" t="n">
        <v>108111900</v>
      </c>
      <c r="F2646" s="30" t="n">
        <v>821.264</v>
      </c>
      <c r="G2646" s="31" t="n">
        <f aca="false">IFERROR(F2646/D2646,0)</f>
        <v>6.12883582089552</v>
      </c>
    </row>
    <row r="2647" customFormat="false" ht="15" hidden="false" customHeight="false" outlineLevel="0" collapsed="false">
      <c r="A2647" s="28" t="n">
        <v>2022</v>
      </c>
      <c r="B2647" s="28" t="s">
        <v>89</v>
      </c>
      <c r="C2647" s="28" t="s">
        <v>57</v>
      </c>
      <c r="D2647" s="28" t="n">
        <v>7</v>
      </c>
      <c r="E2647" s="29" t="n">
        <v>1237500</v>
      </c>
      <c r="F2647" s="30" t="n">
        <v>48.5</v>
      </c>
      <c r="G2647" s="31" t="n">
        <f aca="false">IFERROR(F2647/D2647,0)</f>
        <v>6.92857142857143</v>
      </c>
    </row>
    <row r="2648" customFormat="false" ht="15" hidden="false" customHeight="false" outlineLevel="0" collapsed="false">
      <c r="A2648" s="28" t="n">
        <v>2022</v>
      </c>
      <c r="B2648" s="28" t="s">
        <v>89</v>
      </c>
      <c r="C2648" s="28" t="s">
        <v>47</v>
      </c>
      <c r="D2648" s="28" t="n">
        <v>60</v>
      </c>
      <c r="E2648" s="29" t="n">
        <v>53418100</v>
      </c>
      <c r="F2648" s="30" t="n">
        <v>361.18</v>
      </c>
      <c r="G2648" s="31" t="n">
        <f aca="false">IFERROR(F2648/D2648,0)</f>
        <v>6.01966666666667</v>
      </c>
    </row>
    <row r="2649" customFormat="false" ht="15" hidden="false" customHeight="false" outlineLevel="0" collapsed="false">
      <c r="A2649" s="28" t="n">
        <v>2022</v>
      </c>
      <c r="B2649" s="28" t="s">
        <v>89</v>
      </c>
      <c r="C2649" s="28" t="s">
        <v>46</v>
      </c>
      <c r="D2649" s="28" t="n">
        <v>83</v>
      </c>
      <c r="E2649" s="29" t="n">
        <v>41289100</v>
      </c>
      <c r="F2649" s="30" t="n">
        <v>533.81</v>
      </c>
      <c r="G2649" s="31" t="n">
        <f aca="false">IFERROR(F2649/D2649,0)</f>
        <v>6.43144578313253</v>
      </c>
    </row>
    <row r="2650" customFormat="false" ht="15" hidden="false" customHeight="false" outlineLevel="0" collapsed="false">
      <c r="A2650" s="28" t="n">
        <v>2022</v>
      </c>
      <c r="B2650" s="28" t="s">
        <v>89</v>
      </c>
      <c r="C2650" s="28" t="s">
        <v>48</v>
      </c>
      <c r="D2650" s="28" t="n">
        <v>76</v>
      </c>
      <c r="E2650" s="29" t="n">
        <v>32766500</v>
      </c>
      <c r="F2650" s="30" t="n">
        <v>473.32</v>
      </c>
      <c r="G2650" s="31" t="n">
        <f aca="false">IFERROR(F2650/D2650,0)</f>
        <v>6.22789473684211</v>
      </c>
    </row>
    <row r="2651" customFormat="false" ht="15" hidden="false" customHeight="false" outlineLevel="0" collapsed="false">
      <c r="A2651" s="28" t="n">
        <v>2022</v>
      </c>
      <c r="B2651" s="28" t="s">
        <v>89</v>
      </c>
      <c r="C2651" s="28" t="s">
        <v>61</v>
      </c>
      <c r="D2651" s="28" t="n">
        <v>1</v>
      </c>
      <c r="E2651" s="29" t="n">
        <v>52000</v>
      </c>
      <c r="F2651" s="30" t="n">
        <v>5.5</v>
      </c>
      <c r="G2651" s="31" t="n">
        <f aca="false">IFERROR(F2651/D2651,0)</f>
        <v>5.5</v>
      </c>
    </row>
    <row r="2652" customFormat="false" ht="15" hidden="false" customHeight="false" outlineLevel="0" collapsed="false">
      <c r="A2652" s="28" t="n">
        <v>2022</v>
      </c>
      <c r="B2652" s="28" t="s">
        <v>89</v>
      </c>
      <c r="C2652" s="28" t="s">
        <v>53</v>
      </c>
      <c r="D2652" s="28" t="n">
        <v>33</v>
      </c>
      <c r="E2652" s="29" t="n">
        <v>33541500</v>
      </c>
      <c r="F2652" s="30" t="n">
        <v>188.43</v>
      </c>
      <c r="G2652" s="31" t="n">
        <f aca="false">IFERROR(F2652/D2652,0)</f>
        <v>5.71</v>
      </c>
    </row>
    <row r="2653" customFormat="false" ht="15" hidden="false" customHeight="false" outlineLevel="0" collapsed="false">
      <c r="A2653" s="28" t="n">
        <v>2022</v>
      </c>
      <c r="B2653" s="28" t="s">
        <v>89</v>
      </c>
      <c r="C2653" s="28" t="s">
        <v>43</v>
      </c>
      <c r="D2653" s="28" t="n">
        <v>169</v>
      </c>
      <c r="E2653" s="29" t="n">
        <v>151917100</v>
      </c>
      <c r="F2653" s="30" t="n">
        <v>1051.993</v>
      </c>
      <c r="G2653" s="31" t="n">
        <f aca="false">IFERROR(F2653/D2653,0)</f>
        <v>6.22481065088757</v>
      </c>
    </row>
    <row r="2654" customFormat="false" ht="15" hidden="false" customHeight="false" outlineLevel="0" collapsed="false">
      <c r="A2654" s="28" t="n">
        <v>2022</v>
      </c>
      <c r="B2654" s="28" t="s">
        <v>89</v>
      </c>
      <c r="C2654" s="28" t="s">
        <v>52</v>
      </c>
      <c r="D2654" s="28" t="n">
        <v>62</v>
      </c>
      <c r="E2654" s="29" t="n">
        <v>25193200</v>
      </c>
      <c r="F2654" s="30" t="n">
        <v>389.47</v>
      </c>
      <c r="G2654" s="31" t="n">
        <f aca="false">IFERROR(F2654/D2654,0)</f>
        <v>6.28177419354839</v>
      </c>
    </row>
    <row r="2655" customFormat="false" ht="15" hidden="false" customHeight="false" outlineLevel="0" collapsed="false">
      <c r="A2655" s="28" t="n">
        <v>2022</v>
      </c>
      <c r="B2655" s="28" t="s">
        <v>89</v>
      </c>
      <c r="C2655" s="28" t="s">
        <v>60</v>
      </c>
      <c r="D2655" s="28" t="n">
        <v>3</v>
      </c>
      <c r="E2655" s="29" t="n">
        <v>882000</v>
      </c>
      <c r="F2655" s="30" t="n">
        <v>15.2</v>
      </c>
      <c r="G2655" s="31" t="n">
        <f aca="false">IFERROR(F2655/D2655,0)</f>
        <v>5.06666666666667</v>
      </c>
    </row>
    <row r="2656" customFormat="false" ht="15" hidden="false" customHeight="false" outlineLevel="0" collapsed="false">
      <c r="A2656" s="28" t="n">
        <v>2022</v>
      </c>
      <c r="B2656" s="28" t="s">
        <v>89</v>
      </c>
      <c r="C2656" s="28" t="s">
        <v>49</v>
      </c>
      <c r="D2656" s="28" t="n">
        <v>23</v>
      </c>
      <c r="E2656" s="29" t="n">
        <v>29061000</v>
      </c>
      <c r="F2656" s="30" t="n">
        <v>141.3</v>
      </c>
      <c r="G2656" s="31" t="n">
        <f aca="false">IFERROR(F2656/D2656,0)</f>
        <v>6.14347826086957</v>
      </c>
    </row>
    <row r="2657" customFormat="false" ht="15" hidden="false" customHeight="false" outlineLevel="0" collapsed="false">
      <c r="A2657" s="28" t="n">
        <v>2022</v>
      </c>
      <c r="B2657" s="28" t="s">
        <v>99</v>
      </c>
      <c r="C2657" s="28" t="s">
        <v>42</v>
      </c>
      <c r="D2657" s="28" t="n">
        <v>135</v>
      </c>
      <c r="E2657" s="29" t="n">
        <v>83423500</v>
      </c>
      <c r="F2657" s="30" t="n">
        <v>810.93</v>
      </c>
      <c r="G2657" s="31" t="n">
        <f aca="false">IFERROR(F2657/D2657,0)</f>
        <v>6.00688888888889</v>
      </c>
    </row>
    <row r="2658" customFormat="false" ht="15" hidden="false" customHeight="false" outlineLevel="0" collapsed="false">
      <c r="A2658" s="28" t="n">
        <v>2022</v>
      </c>
      <c r="B2658" s="28" t="s">
        <v>99</v>
      </c>
      <c r="C2658" s="28" t="s">
        <v>50</v>
      </c>
      <c r="D2658" s="28" t="n">
        <v>44</v>
      </c>
      <c r="E2658" s="29" t="n">
        <v>11532900</v>
      </c>
      <c r="F2658" s="30" t="n">
        <v>256.94</v>
      </c>
      <c r="G2658" s="31" t="n">
        <f aca="false">IFERROR(F2658/D2658,0)</f>
        <v>5.83954545454546</v>
      </c>
    </row>
    <row r="2659" customFormat="false" ht="15" hidden="false" customHeight="false" outlineLevel="0" collapsed="false">
      <c r="A2659" s="28" t="n">
        <v>2022</v>
      </c>
      <c r="B2659" s="28" t="s">
        <v>99</v>
      </c>
      <c r="C2659" s="28" t="s">
        <v>55</v>
      </c>
      <c r="D2659" s="28" t="n">
        <v>19</v>
      </c>
      <c r="E2659" s="29" t="n">
        <v>9157000</v>
      </c>
      <c r="F2659" s="30" t="n">
        <v>104.07</v>
      </c>
      <c r="G2659" s="31" t="n">
        <f aca="false">IFERROR(F2659/D2659,0)</f>
        <v>5.47736842105263</v>
      </c>
    </row>
    <row r="2660" customFormat="false" ht="15" hidden="false" customHeight="false" outlineLevel="0" collapsed="false">
      <c r="A2660" s="28" t="n">
        <v>2022</v>
      </c>
      <c r="B2660" s="28" t="s">
        <v>99</v>
      </c>
      <c r="C2660" s="28" t="s">
        <v>51</v>
      </c>
      <c r="D2660" s="28" t="n">
        <v>24</v>
      </c>
      <c r="E2660" s="29" t="n">
        <v>6164000</v>
      </c>
      <c r="F2660" s="30" t="n">
        <v>138.89</v>
      </c>
      <c r="G2660" s="31" t="n">
        <f aca="false">IFERROR(F2660/D2660,0)</f>
        <v>5.78708333333333</v>
      </c>
    </row>
    <row r="2661" customFormat="false" ht="15" hidden="false" customHeight="false" outlineLevel="0" collapsed="false">
      <c r="A2661" s="28" t="n">
        <v>2022</v>
      </c>
      <c r="B2661" s="28" t="s">
        <v>99</v>
      </c>
      <c r="C2661" s="28" t="s">
        <v>45</v>
      </c>
      <c r="D2661" s="28" t="n">
        <v>91</v>
      </c>
      <c r="E2661" s="29" t="n">
        <v>48860800</v>
      </c>
      <c r="F2661" s="30" t="n">
        <v>515.56</v>
      </c>
      <c r="G2661" s="31" t="n">
        <f aca="false">IFERROR(F2661/D2661,0)</f>
        <v>5.66549450549451</v>
      </c>
    </row>
    <row r="2662" customFormat="false" ht="15" hidden="false" customHeight="false" outlineLevel="0" collapsed="false">
      <c r="A2662" s="28" t="n">
        <v>2022</v>
      </c>
      <c r="B2662" s="28" t="s">
        <v>99</v>
      </c>
      <c r="C2662" s="28" t="s">
        <v>56</v>
      </c>
      <c r="D2662" s="28" t="n">
        <v>5</v>
      </c>
      <c r="E2662" s="29" t="n">
        <v>1030300</v>
      </c>
      <c r="F2662" s="30" t="n">
        <v>26.5</v>
      </c>
      <c r="G2662" s="31" t="n">
        <f aca="false">IFERROR(F2662/D2662,0)</f>
        <v>5.3</v>
      </c>
    </row>
    <row r="2663" customFormat="false" ht="15" hidden="false" customHeight="false" outlineLevel="0" collapsed="false">
      <c r="A2663" s="28" t="n">
        <v>2022</v>
      </c>
      <c r="B2663" s="28" t="s">
        <v>99</v>
      </c>
      <c r="C2663" s="28" t="s">
        <v>54</v>
      </c>
      <c r="D2663" s="28" t="n">
        <v>21</v>
      </c>
      <c r="E2663" s="29" t="n">
        <v>9368800</v>
      </c>
      <c r="F2663" s="30" t="n">
        <v>117.17</v>
      </c>
      <c r="G2663" s="31" t="n">
        <f aca="false">IFERROR(F2663/D2663,0)</f>
        <v>5.57952380952381</v>
      </c>
    </row>
    <row r="2664" customFormat="false" ht="15" hidden="false" customHeight="false" outlineLevel="0" collapsed="false">
      <c r="A2664" s="28" t="n">
        <v>2022</v>
      </c>
      <c r="B2664" s="28" t="s">
        <v>99</v>
      </c>
      <c r="C2664" s="28" t="s">
        <v>44</v>
      </c>
      <c r="D2664" s="28" t="n">
        <v>69</v>
      </c>
      <c r="E2664" s="29" t="n">
        <v>40294200</v>
      </c>
      <c r="F2664" s="30" t="n">
        <v>422.75</v>
      </c>
      <c r="G2664" s="31" t="n">
        <f aca="false">IFERROR(F2664/D2664,0)</f>
        <v>6.1268115942029</v>
      </c>
    </row>
    <row r="2665" customFormat="false" ht="15" hidden="false" customHeight="false" outlineLevel="0" collapsed="false">
      <c r="A2665" s="28" t="n">
        <v>2022</v>
      </c>
      <c r="B2665" s="28" t="s">
        <v>99</v>
      </c>
      <c r="C2665" s="28" t="s">
        <v>57</v>
      </c>
      <c r="D2665" s="28" t="n">
        <v>5</v>
      </c>
      <c r="E2665" s="29" t="n">
        <v>2025500</v>
      </c>
      <c r="F2665" s="30" t="n">
        <v>36.66</v>
      </c>
      <c r="G2665" s="31" t="n">
        <f aca="false">IFERROR(F2665/D2665,0)</f>
        <v>7.332</v>
      </c>
    </row>
    <row r="2666" customFormat="false" ht="15" hidden="false" customHeight="false" outlineLevel="0" collapsed="false">
      <c r="A2666" s="28" t="n">
        <v>2022</v>
      </c>
      <c r="B2666" s="28" t="s">
        <v>99</v>
      </c>
      <c r="C2666" s="28" t="s">
        <v>47</v>
      </c>
      <c r="D2666" s="28" t="n">
        <v>106</v>
      </c>
      <c r="E2666" s="29" t="n">
        <v>71909100</v>
      </c>
      <c r="F2666" s="30" t="n">
        <v>567.13</v>
      </c>
      <c r="G2666" s="31" t="n">
        <f aca="false">IFERROR(F2666/D2666,0)</f>
        <v>5.35028301886792</v>
      </c>
    </row>
    <row r="2667" customFormat="false" ht="15" hidden="false" customHeight="false" outlineLevel="0" collapsed="false">
      <c r="A2667" s="28" t="n">
        <v>2022</v>
      </c>
      <c r="B2667" s="28" t="s">
        <v>99</v>
      </c>
      <c r="C2667" s="28" t="s">
        <v>58</v>
      </c>
      <c r="D2667" s="28" t="n">
        <v>3</v>
      </c>
      <c r="E2667" s="29" t="n">
        <v>1124200</v>
      </c>
      <c r="F2667" s="30" t="n">
        <v>14.79</v>
      </c>
      <c r="G2667" s="31" t="n">
        <f aca="false">IFERROR(F2667/D2667,0)</f>
        <v>4.93</v>
      </c>
    </row>
    <row r="2668" customFormat="false" ht="15" hidden="false" customHeight="false" outlineLevel="0" collapsed="false">
      <c r="A2668" s="28" t="n">
        <v>2022</v>
      </c>
      <c r="B2668" s="28" t="s">
        <v>99</v>
      </c>
      <c r="C2668" s="28" t="s">
        <v>46</v>
      </c>
      <c r="D2668" s="28" t="n">
        <v>84</v>
      </c>
      <c r="E2668" s="29" t="n">
        <v>37855900</v>
      </c>
      <c r="F2668" s="30" t="n">
        <v>487.66</v>
      </c>
      <c r="G2668" s="31" t="n">
        <f aca="false">IFERROR(F2668/D2668,0)</f>
        <v>5.80547619047619</v>
      </c>
    </row>
    <row r="2669" customFormat="false" ht="15" hidden="false" customHeight="false" outlineLevel="0" collapsed="false">
      <c r="A2669" s="28" t="n">
        <v>2022</v>
      </c>
      <c r="B2669" s="28" t="s">
        <v>99</v>
      </c>
      <c r="C2669" s="28" t="s">
        <v>48</v>
      </c>
      <c r="D2669" s="28" t="n">
        <v>42</v>
      </c>
      <c r="E2669" s="29" t="n">
        <v>10418800</v>
      </c>
      <c r="F2669" s="30" t="n">
        <v>245.88</v>
      </c>
      <c r="G2669" s="31" t="n">
        <f aca="false">IFERROR(F2669/D2669,0)</f>
        <v>5.85428571428571</v>
      </c>
    </row>
    <row r="2670" customFormat="false" ht="15" hidden="false" customHeight="false" outlineLevel="0" collapsed="false">
      <c r="A2670" s="28" t="n">
        <v>2022</v>
      </c>
      <c r="B2670" s="28" t="s">
        <v>99</v>
      </c>
      <c r="C2670" s="28" t="s">
        <v>53</v>
      </c>
      <c r="D2670" s="28" t="n">
        <v>23</v>
      </c>
      <c r="E2670" s="29" t="n">
        <v>13823600</v>
      </c>
      <c r="F2670" s="30" t="n">
        <v>129.405</v>
      </c>
      <c r="G2670" s="31" t="n">
        <f aca="false">IFERROR(F2670/D2670,0)</f>
        <v>5.62630434782609</v>
      </c>
    </row>
    <row r="2671" customFormat="false" ht="15" hidden="false" customHeight="false" outlineLevel="0" collapsed="false">
      <c r="A2671" s="28" t="n">
        <v>2022</v>
      </c>
      <c r="B2671" s="28" t="s">
        <v>99</v>
      </c>
      <c r="C2671" s="28" t="s">
        <v>43</v>
      </c>
      <c r="D2671" s="28" t="n">
        <v>124</v>
      </c>
      <c r="E2671" s="29" t="n">
        <v>76976000</v>
      </c>
      <c r="F2671" s="30" t="n">
        <v>697.49</v>
      </c>
      <c r="G2671" s="31" t="n">
        <f aca="false">IFERROR(F2671/D2671,0)</f>
        <v>5.62491935483871</v>
      </c>
    </row>
    <row r="2672" customFormat="false" ht="15" hidden="false" customHeight="false" outlineLevel="0" collapsed="false">
      <c r="A2672" s="28" t="n">
        <v>2022</v>
      </c>
      <c r="B2672" s="28" t="s">
        <v>99</v>
      </c>
      <c r="C2672" s="28" t="s">
        <v>52</v>
      </c>
      <c r="D2672" s="28" t="n">
        <v>47</v>
      </c>
      <c r="E2672" s="29" t="n">
        <v>14509400</v>
      </c>
      <c r="F2672" s="30" t="n">
        <v>276.14</v>
      </c>
      <c r="G2672" s="31" t="n">
        <f aca="false">IFERROR(F2672/D2672,0)</f>
        <v>5.87531914893617</v>
      </c>
    </row>
    <row r="2673" customFormat="false" ht="15" hidden="false" customHeight="false" outlineLevel="0" collapsed="false">
      <c r="A2673" s="28" t="n">
        <v>2022</v>
      </c>
      <c r="B2673" s="28" t="s">
        <v>99</v>
      </c>
      <c r="C2673" s="28" t="s">
        <v>60</v>
      </c>
      <c r="D2673" s="28" t="n">
        <v>3</v>
      </c>
      <c r="E2673" s="29" t="n">
        <v>856000</v>
      </c>
      <c r="F2673" s="30" t="n">
        <v>14.74</v>
      </c>
      <c r="G2673" s="31" t="n">
        <f aca="false">IFERROR(F2673/D2673,0)</f>
        <v>4.91333333333333</v>
      </c>
    </row>
    <row r="2674" customFormat="false" ht="15" hidden="false" customHeight="false" outlineLevel="0" collapsed="false">
      <c r="A2674" s="28" t="n">
        <v>2022</v>
      </c>
      <c r="B2674" s="28" t="s">
        <v>99</v>
      </c>
      <c r="C2674" s="28" t="s">
        <v>49</v>
      </c>
      <c r="D2674" s="28" t="n">
        <v>28</v>
      </c>
      <c r="E2674" s="29" t="n">
        <v>24905000</v>
      </c>
      <c r="F2674" s="30" t="n">
        <v>163.71</v>
      </c>
      <c r="G2674" s="31" t="n">
        <f aca="false">IFERROR(F2674/D2674,0)</f>
        <v>5.84678571428572</v>
      </c>
    </row>
    <row r="2675" customFormat="false" ht="15" hidden="false" customHeight="false" outlineLevel="0" collapsed="false">
      <c r="A2675" s="28" t="n">
        <v>2022</v>
      </c>
      <c r="B2675" s="28" t="s">
        <v>123</v>
      </c>
      <c r="C2675" s="28" t="s">
        <v>42</v>
      </c>
      <c r="D2675" s="28" t="n">
        <v>22</v>
      </c>
      <c r="E2675" s="29" t="n">
        <v>17891200</v>
      </c>
      <c r="F2675" s="30" t="n">
        <v>135.49</v>
      </c>
      <c r="G2675" s="31" t="n">
        <f aca="false">IFERROR(F2675/D2675,0)</f>
        <v>6.15863636363636</v>
      </c>
    </row>
    <row r="2676" customFormat="false" ht="15" hidden="false" customHeight="false" outlineLevel="0" collapsed="false">
      <c r="A2676" s="28" t="n">
        <v>2022</v>
      </c>
      <c r="B2676" s="28" t="s">
        <v>123</v>
      </c>
      <c r="C2676" s="28" t="s">
        <v>50</v>
      </c>
      <c r="D2676" s="28" t="n">
        <v>6</v>
      </c>
      <c r="E2676" s="29" t="n">
        <v>342800</v>
      </c>
      <c r="F2676" s="30" t="n">
        <v>37.24</v>
      </c>
      <c r="G2676" s="31" t="n">
        <f aca="false">IFERROR(F2676/D2676,0)</f>
        <v>6.20666666666667</v>
      </c>
    </row>
    <row r="2677" customFormat="false" ht="15" hidden="false" customHeight="false" outlineLevel="0" collapsed="false">
      <c r="A2677" s="28" t="n">
        <v>2022</v>
      </c>
      <c r="B2677" s="28" t="s">
        <v>123</v>
      </c>
      <c r="C2677" s="28" t="s">
        <v>55</v>
      </c>
      <c r="D2677" s="28" t="n">
        <v>2</v>
      </c>
      <c r="E2677" s="29" t="n">
        <v>546000</v>
      </c>
      <c r="F2677" s="30" t="n">
        <v>11.5</v>
      </c>
      <c r="G2677" s="31" t="n">
        <f aca="false">IFERROR(F2677/D2677,0)</f>
        <v>5.75</v>
      </c>
    </row>
    <row r="2678" customFormat="false" ht="15" hidden="false" customHeight="false" outlineLevel="0" collapsed="false">
      <c r="A2678" s="28" t="n">
        <v>2022</v>
      </c>
      <c r="B2678" s="28" t="s">
        <v>123</v>
      </c>
      <c r="C2678" s="28" t="s">
        <v>45</v>
      </c>
      <c r="D2678" s="28" t="n">
        <v>16</v>
      </c>
      <c r="E2678" s="29" t="n">
        <v>3641000</v>
      </c>
      <c r="F2678" s="30" t="n">
        <v>104.05</v>
      </c>
      <c r="G2678" s="31" t="n">
        <f aca="false">IFERROR(F2678/D2678,0)</f>
        <v>6.503125</v>
      </c>
    </row>
    <row r="2679" customFormat="false" ht="15" hidden="false" customHeight="false" outlineLevel="0" collapsed="false">
      <c r="A2679" s="28" t="n">
        <v>2022</v>
      </c>
      <c r="B2679" s="28" t="s">
        <v>123</v>
      </c>
      <c r="C2679" s="28" t="s">
        <v>56</v>
      </c>
      <c r="D2679" s="28" t="n">
        <v>1</v>
      </c>
      <c r="E2679" s="29" t="n">
        <v>20000</v>
      </c>
      <c r="F2679" s="30" t="n">
        <v>5.5</v>
      </c>
      <c r="G2679" s="31" t="n">
        <f aca="false">IFERROR(F2679/D2679,0)</f>
        <v>5.5</v>
      </c>
    </row>
    <row r="2680" customFormat="false" ht="15" hidden="false" customHeight="false" outlineLevel="0" collapsed="false">
      <c r="A2680" s="28" t="n">
        <v>2022</v>
      </c>
      <c r="B2680" s="28" t="s">
        <v>123</v>
      </c>
      <c r="C2680" s="28" t="s">
        <v>54</v>
      </c>
      <c r="D2680" s="28" t="n">
        <v>1</v>
      </c>
      <c r="E2680" s="29" t="n">
        <v>75000</v>
      </c>
      <c r="F2680" s="30" t="n">
        <v>6.5</v>
      </c>
      <c r="G2680" s="31" t="n">
        <f aca="false">IFERROR(F2680/D2680,0)</f>
        <v>6.5</v>
      </c>
    </row>
    <row r="2681" customFormat="false" ht="15" hidden="false" customHeight="false" outlineLevel="0" collapsed="false">
      <c r="A2681" s="28" t="n">
        <v>2022</v>
      </c>
      <c r="B2681" s="28" t="s">
        <v>123</v>
      </c>
      <c r="C2681" s="28" t="s">
        <v>44</v>
      </c>
      <c r="D2681" s="28" t="n">
        <v>13</v>
      </c>
      <c r="E2681" s="29" t="n">
        <v>4690500</v>
      </c>
      <c r="F2681" s="30" t="n">
        <v>76.89</v>
      </c>
      <c r="G2681" s="31" t="n">
        <f aca="false">IFERROR(F2681/D2681,0)</f>
        <v>5.91461538461538</v>
      </c>
    </row>
    <row r="2682" customFormat="false" ht="15" hidden="false" customHeight="false" outlineLevel="0" collapsed="false">
      <c r="A2682" s="28" t="n">
        <v>2022</v>
      </c>
      <c r="B2682" s="28" t="s">
        <v>123</v>
      </c>
      <c r="C2682" s="28" t="s">
        <v>57</v>
      </c>
      <c r="D2682" s="28" t="n">
        <v>1</v>
      </c>
      <c r="E2682" s="29" t="n">
        <v>110000</v>
      </c>
      <c r="F2682" s="30" t="n">
        <v>8.25</v>
      </c>
      <c r="G2682" s="31" t="n">
        <f aca="false">IFERROR(F2682/D2682,0)</f>
        <v>8.25</v>
      </c>
    </row>
    <row r="2683" customFormat="false" ht="15" hidden="false" customHeight="false" outlineLevel="0" collapsed="false">
      <c r="A2683" s="28" t="n">
        <v>2022</v>
      </c>
      <c r="B2683" s="28" t="s">
        <v>123</v>
      </c>
      <c r="C2683" s="28" t="s">
        <v>47</v>
      </c>
      <c r="D2683" s="28" t="n">
        <v>9</v>
      </c>
      <c r="E2683" s="29" t="n">
        <v>2489100</v>
      </c>
      <c r="F2683" s="30" t="n">
        <v>48</v>
      </c>
      <c r="G2683" s="31" t="n">
        <f aca="false">IFERROR(F2683/D2683,0)</f>
        <v>5.33333333333333</v>
      </c>
    </row>
    <row r="2684" customFormat="false" ht="15" hidden="false" customHeight="false" outlineLevel="0" collapsed="false">
      <c r="A2684" s="28" t="n">
        <v>2022</v>
      </c>
      <c r="B2684" s="28" t="s">
        <v>123</v>
      </c>
      <c r="C2684" s="28" t="s">
        <v>46</v>
      </c>
      <c r="D2684" s="28" t="n">
        <v>21</v>
      </c>
      <c r="E2684" s="29" t="n">
        <v>3125200</v>
      </c>
      <c r="F2684" s="30" t="n">
        <v>141.25</v>
      </c>
      <c r="G2684" s="31" t="n">
        <f aca="false">IFERROR(F2684/D2684,0)</f>
        <v>6.72619047619048</v>
      </c>
    </row>
    <row r="2685" customFormat="false" ht="15" hidden="false" customHeight="false" outlineLevel="0" collapsed="false">
      <c r="A2685" s="28" t="n">
        <v>2022</v>
      </c>
      <c r="B2685" s="28" t="s">
        <v>123</v>
      </c>
      <c r="C2685" s="28" t="s">
        <v>48</v>
      </c>
      <c r="D2685" s="28" t="n">
        <v>13</v>
      </c>
      <c r="E2685" s="29" t="n">
        <v>4122300</v>
      </c>
      <c r="F2685" s="30" t="n">
        <v>75.63</v>
      </c>
      <c r="G2685" s="31" t="n">
        <f aca="false">IFERROR(F2685/D2685,0)</f>
        <v>5.81769230769231</v>
      </c>
    </row>
    <row r="2686" customFormat="false" ht="15" hidden="false" customHeight="false" outlineLevel="0" collapsed="false">
      <c r="A2686" s="28" t="n">
        <v>2022</v>
      </c>
      <c r="B2686" s="28" t="s">
        <v>123</v>
      </c>
      <c r="C2686" s="28" t="s">
        <v>53</v>
      </c>
      <c r="D2686" s="28" t="n">
        <v>5</v>
      </c>
      <c r="E2686" s="29" t="n">
        <v>1664000</v>
      </c>
      <c r="F2686" s="30" t="n">
        <v>27.41</v>
      </c>
      <c r="G2686" s="31" t="n">
        <f aca="false">IFERROR(F2686/D2686,0)</f>
        <v>5.482</v>
      </c>
    </row>
    <row r="2687" customFormat="false" ht="15" hidden="false" customHeight="false" outlineLevel="0" collapsed="false">
      <c r="A2687" s="28" t="n">
        <v>2022</v>
      </c>
      <c r="B2687" s="28" t="s">
        <v>123</v>
      </c>
      <c r="C2687" s="28" t="s">
        <v>43</v>
      </c>
      <c r="D2687" s="28" t="n">
        <v>19</v>
      </c>
      <c r="E2687" s="29" t="n">
        <v>9018700</v>
      </c>
      <c r="F2687" s="30" t="n">
        <v>126.92</v>
      </c>
      <c r="G2687" s="31" t="n">
        <f aca="false">IFERROR(F2687/D2687,0)</f>
        <v>6.68</v>
      </c>
    </row>
    <row r="2688" customFormat="false" ht="15" hidden="false" customHeight="false" outlineLevel="0" collapsed="false">
      <c r="A2688" s="28" t="n">
        <v>2022</v>
      </c>
      <c r="B2688" s="28" t="s">
        <v>123</v>
      </c>
      <c r="C2688" s="28" t="s">
        <v>52</v>
      </c>
      <c r="D2688" s="28" t="n">
        <v>8</v>
      </c>
      <c r="E2688" s="29" t="n">
        <v>793300</v>
      </c>
      <c r="F2688" s="30" t="n">
        <v>46.7</v>
      </c>
      <c r="G2688" s="31" t="n">
        <f aca="false">IFERROR(F2688/D2688,0)</f>
        <v>5.8375</v>
      </c>
    </row>
    <row r="2689" customFormat="false" ht="15" hidden="false" customHeight="false" outlineLevel="0" collapsed="false">
      <c r="A2689" s="28" t="n">
        <v>2022</v>
      </c>
      <c r="B2689" s="28" t="s">
        <v>123</v>
      </c>
      <c r="C2689" s="28" t="s">
        <v>60</v>
      </c>
      <c r="D2689" s="28" t="n">
        <v>3</v>
      </c>
      <c r="E2689" s="29" t="n">
        <v>848500</v>
      </c>
      <c r="F2689" s="30" t="n">
        <v>18.35</v>
      </c>
      <c r="G2689" s="31" t="n">
        <f aca="false">IFERROR(F2689/D2689,0)</f>
        <v>6.11666666666667</v>
      </c>
    </row>
    <row r="2690" customFormat="false" ht="15" hidden="false" customHeight="false" outlineLevel="0" collapsed="false">
      <c r="A2690" s="28" t="n">
        <v>2022</v>
      </c>
      <c r="B2690" s="28" t="s">
        <v>123</v>
      </c>
      <c r="C2690" s="28" t="s">
        <v>49</v>
      </c>
      <c r="D2690" s="28" t="n">
        <v>3</v>
      </c>
      <c r="E2690" s="29" t="n">
        <v>1322000</v>
      </c>
      <c r="F2690" s="30" t="n">
        <v>17.5</v>
      </c>
      <c r="G2690" s="31" t="n">
        <f aca="false">IFERROR(F2690/D2690,0)</f>
        <v>5.83333333333333</v>
      </c>
    </row>
    <row r="2691" customFormat="false" ht="15" hidden="false" customHeight="false" outlineLevel="0" collapsed="false">
      <c r="A2691" s="28" t="n">
        <v>2022</v>
      </c>
      <c r="B2691" s="28" t="s">
        <v>125</v>
      </c>
      <c r="C2691" s="28" t="s">
        <v>42</v>
      </c>
      <c r="D2691" s="28" t="n">
        <v>16</v>
      </c>
      <c r="E2691" s="29" t="n">
        <v>13087300</v>
      </c>
      <c r="F2691" s="30" t="n">
        <v>89.18</v>
      </c>
      <c r="G2691" s="31" t="n">
        <f aca="false">IFERROR(F2691/D2691,0)</f>
        <v>5.57375</v>
      </c>
    </row>
    <row r="2692" customFormat="false" ht="15" hidden="false" customHeight="false" outlineLevel="0" collapsed="false">
      <c r="A2692" s="28" t="n">
        <v>2022</v>
      </c>
      <c r="B2692" s="28" t="s">
        <v>125</v>
      </c>
      <c r="C2692" s="28" t="s">
        <v>50</v>
      </c>
      <c r="D2692" s="28" t="n">
        <v>9</v>
      </c>
      <c r="E2692" s="29" t="n">
        <v>863500</v>
      </c>
      <c r="F2692" s="30" t="n">
        <v>57.75</v>
      </c>
      <c r="G2692" s="31" t="n">
        <f aca="false">IFERROR(F2692/D2692,0)</f>
        <v>6.41666666666667</v>
      </c>
    </row>
    <row r="2693" customFormat="false" ht="15" hidden="false" customHeight="false" outlineLevel="0" collapsed="false">
      <c r="A2693" s="28" t="n">
        <v>2022</v>
      </c>
      <c r="B2693" s="28" t="s">
        <v>125</v>
      </c>
      <c r="C2693" s="28" t="s">
        <v>55</v>
      </c>
      <c r="D2693" s="28" t="n">
        <v>2</v>
      </c>
      <c r="E2693" s="29" t="n">
        <v>19700</v>
      </c>
      <c r="F2693" s="30" t="n">
        <v>13</v>
      </c>
      <c r="G2693" s="31" t="n">
        <f aca="false">IFERROR(F2693/D2693,0)</f>
        <v>6.5</v>
      </c>
    </row>
    <row r="2694" customFormat="false" ht="15" hidden="false" customHeight="false" outlineLevel="0" collapsed="false">
      <c r="A2694" s="28" t="n">
        <v>2022</v>
      </c>
      <c r="B2694" s="28" t="s">
        <v>125</v>
      </c>
      <c r="C2694" s="28" t="s">
        <v>51</v>
      </c>
      <c r="D2694" s="28" t="n">
        <v>1</v>
      </c>
      <c r="E2694" s="29" t="n">
        <v>25000</v>
      </c>
      <c r="F2694" s="30" t="n">
        <v>7.75</v>
      </c>
      <c r="G2694" s="31" t="n">
        <f aca="false">IFERROR(F2694/D2694,0)</f>
        <v>7.75</v>
      </c>
    </row>
    <row r="2695" customFormat="false" ht="15" hidden="false" customHeight="false" outlineLevel="0" collapsed="false">
      <c r="A2695" s="28" t="n">
        <v>2022</v>
      </c>
      <c r="B2695" s="28" t="s">
        <v>125</v>
      </c>
      <c r="C2695" s="28" t="s">
        <v>45</v>
      </c>
      <c r="D2695" s="28" t="n">
        <v>8</v>
      </c>
      <c r="E2695" s="29" t="n">
        <v>3105000</v>
      </c>
      <c r="F2695" s="30" t="n">
        <v>53.24</v>
      </c>
      <c r="G2695" s="31" t="n">
        <f aca="false">IFERROR(F2695/D2695,0)</f>
        <v>6.655</v>
      </c>
    </row>
    <row r="2696" customFormat="false" ht="15" hidden="false" customHeight="false" outlineLevel="0" collapsed="false">
      <c r="A2696" s="28" t="n">
        <v>2022</v>
      </c>
      <c r="B2696" s="28" t="s">
        <v>125</v>
      </c>
      <c r="C2696" s="28" t="s">
        <v>54</v>
      </c>
      <c r="D2696" s="28" t="n">
        <v>2</v>
      </c>
      <c r="E2696" s="29" t="n">
        <v>46000</v>
      </c>
      <c r="F2696" s="30" t="n">
        <v>15.99</v>
      </c>
      <c r="G2696" s="31" t="n">
        <f aca="false">IFERROR(F2696/D2696,0)</f>
        <v>7.995</v>
      </c>
    </row>
    <row r="2697" customFormat="false" ht="15" hidden="false" customHeight="false" outlineLevel="0" collapsed="false">
      <c r="A2697" s="28" t="n">
        <v>2022</v>
      </c>
      <c r="B2697" s="28" t="s">
        <v>125</v>
      </c>
      <c r="C2697" s="28" t="s">
        <v>44</v>
      </c>
      <c r="D2697" s="28" t="n">
        <v>4</v>
      </c>
      <c r="E2697" s="29" t="n">
        <v>1870000</v>
      </c>
      <c r="F2697" s="30" t="n">
        <v>19.95</v>
      </c>
      <c r="G2697" s="31" t="n">
        <f aca="false">IFERROR(F2697/D2697,0)</f>
        <v>4.9875</v>
      </c>
    </row>
    <row r="2698" customFormat="false" ht="15" hidden="false" customHeight="false" outlineLevel="0" collapsed="false">
      <c r="A2698" s="28" t="n">
        <v>2022</v>
      </c>
      <c r="B2698" s="28" t="s">
        <v>125</v>
      </c>
      <c r="C2698" s="28" t="s">
        <v>47</v>
      </c>
      <c r="D2698" s="28" t="n">
        <v>3</v>
      </c>
      <c r="E2698" s="29" t="n">
        <v>429000</v>
      </c>
      <c r="F2698" s="30" t="n">
        <v>20.11</v>
      </c>
      <c r="G2698" s="31" t="n">
        <f aca="false">IFERROR(F2698/D2698,0)</f>
        <v>6.70333333333333</v>
      </c>
    </row>
    <row r="2699" customFormat="false" ht="15" hidden="false" customHeight="false" outlineLevel="0" collapsed="false">
      <c r="A2699" s="28" t="n">
        <v>2022</v>
      </c>
      <c r="B2699" s="28" t="s">
        <v>125</v>
      </c>
      <c r="C2699" s="28" t="s">
        <v>46</v>
      </c>
      <c r="D2699" s="28" t="n">
        <v>8</v>
      </c>
      <c r="E2699" s="29" t="n">
        <v>8852700</v>
      </c>
      <c r="F2699" s="30" t="n">
        <v>45.75</v>
      </c>
      <c r="G2699" s="31" t="n">
        <f aca="false">IFERROR(F2699/D2699,0)</f>
        <v>5.71875</v>
      </c>
    </row>
    <row r="2700" customFormat="false" ht="15" hidden="false" customHeight="false" outlineLevel="0" collapsed="false">
      <c r="A2700" s="28" t="n">
        <v>2022</v>
      </c>
      <c r="B2700" s="28" t="s">
        <v>125</v>
      </c>
      <c r="C2700" s="28" t="s">
        <v>48</v>
      </c>
      <c r="D2700" s="28" t="n">
        <v>12</v>
      </c>
      <c r="E2700" s="29" t="n">
        <v>2294300</v>
      </c>
      <c r="F2700" s="30" t="n">
        <v>86.82</v>
      </c>
      <c r="G2700" s="31" t="n">
        <f aca="false">IFERROR(F2700/D2700,0)</f>
        <v>7.235</v>
      </c>
    </row>
    <row r="2701" customFormat="false" ht="15" hidden="false" customHeight="false" outlineLevel="0" collapsed="false">
      <c r="A2701" s="28" t="n">
        <v>2022</v>
      </c>
      <c r="B2701" s="28" t="s">
        <v>125</v>
      </c>
      <c r="C2701" s="28" t="s">
        <v>43</v>
      </c>
      <c r="D2701" s="28" t="n">
        <v>13</v>
      </c>
      <c r="E2701" s="29" t="n">
        <v>7026200</v>
      </c>
      <c r="F2701" s="30" t="n">
        <v>76.75</v>
      </c>
      <c r="G2701" s="31" t="n">
        <f aca="false">IFERROR(F2701/D2701,0)</f>
        <v>5.90384615384615</v>
      </c>
    </row>
    <row r="2702" customFormat="false" ht="15" hidden="false" customHeight="false" outlineLevel="0" collapsed="false">
      <c r="A2702" s="28" t="n">
        <v>2022</v>
      </c>
      <c r="B2702" s="28" t="s">
        <v>125</v>
      </c>
      <c r="C2702" s="28" t="s">
        <v>52</v>
      </c>
      <c r="D2702" s="28" t="n">
        <v>7</v>
      </c>
      <c r="E2702" s="29" t="n">
        <v>4203300</v>
      </c>
      <c r="F2702" s="30" t="n">
        <v>40.5</v>
      </c>
      <c r="G2702" s="31" t="n">
        <f aca="false">IFERROR(F2702/D2702,0)</f>
        <v>5.78571428571429</v>
      </c>
    </row>
    <row r="2703" customFormat="false" ht="15" hidden="false" customHeight="false" outlineLevel="0" collapsed="false">
      <c r="A2703" s="28" t="n">
        <v>2022</v>
      </c>
      <c r="B2703" s="28" t="s">
        <v>125</v>
      </c>
      <c r="C2703" s="28" t="s">
        <v>49</v>
      </c>
      <c r="D2703" s="28" t="n">
        <v>7</v>
      </c>
      <c r="E2703" s="29" t="n">
        <v>1523100</v>
      </c>
      <c r="F2703" s="30" t="n">
        <v>36</v>
      </c>
      <c r="G2703" s="31" t="n">
        <f aca="false">IFERROR(F2703/D2703,0)</f>
        <v>5.14285714285714</v>
      </c>
    </row>
    <row r="2704" customFormat="false" ht="15" hidden="false" customHeight="false" outlineLevel="0" collapsed="false">
      <c r="A2704" s="28" t="n">
        <v>2023</v>
      </c>
      <c r="B2704" s="28" t="s">
        <v>74</v>
      </c>
      <c r="C2704" s="28" t="s">
        <v>42</v>
      </c>
      <c r="D2704" s="28" t="n">
        <v>23</v>
      </c>
      <c r="E2704" s="29" t="n">
        <v>10333200</v>
      </c>
      <c r="F2704" s="30" t="n">
        <v>238.02</v>
      </c>
      <c r="G2704" s="31" t="n">
        <f aca="false">IFERROR(F2704/D2704,0)</f>
        <v>10.3486956521739</v>
      </c>
    </row>
    <row r="2705" customFormat="false" ht="15" hidden="false" customHeight="false" outlineLevel="0" collapsed="false">
      <c r="A2705" s="28" t="n">
        <v>2023</v>
      </c>
      <c r="B2705" s="28" t="s">
        <v>74</v>
      </c>
      <c r="C2705" s="28" t="s">
        <v>50</v>
      </c>
      <c r="D2705" s="28" t="n">
        <v>4</v>
      </c>
      <c r="E2705" s="29" t="n">
        <v>184600</v>
      </c>
      <c r="F2705" s="30" t="n">
        <v>46.05</v>
      </c>
      <c r="G2705" s="31" t="n">
        <f aca="false">IFERROR(F2705/D2705,0)</f>
        <v>11.5125</v>
      </c>
    </row>
    <row r="2706" customFormat="false" ht="15" hidden="false" customHeight="false" outlineLevel="0" collapsed="false">
      <c r="A2706" s="28" t="n">
        <v>2023</v>
      </c>
      <c r="B2706" s="28" t="s">
        <v>74</v>
      </c>
      <c r="C2706" s="28" t="s">
        <v>55</v>
      </c>
      <c r="D2706" s="28" t="n">
        <v>3</v>
      </c>
      <c r="E2706" s="29" t="n">
        <v>490800</v>
      </c>
      <c r="F2706" s="30" t="n">
        <v>38.75</v>
      </c>
      <c r="G2706" s="31" t="n">
        <f aca="false">IFERROR(F2706/D2706,0)</f>
        <v>12.9166666666667</v>
      </c>
    </row>
    <row r="2707" customFormat="false" ht="15" hidden="false" customHeight="false" outlineLevel="0" collapsed="false">
      <c r="A2707" s="28" t="n">
        <v>2023</v>
      </c>
      <c r="B2707" s="28" t="s">
        <v>74</v>
      </c>
      <c r="C2707" s="28" t="s">
        <v>51</v>
      </c>
      <c r="D2707" s="28" t="n">
        <v>2</v>
      </c>
      <c r="E2707" s="29" t="n">
        <v>410000</v>
      </c>
      <c r="F2707" s="30" t="n">
        <v>25</v>
      </c>
      <c r="G2707" s="31" t="n">
        <f aca="false">IFERROR(F2707/D2707,0)</f>
        <v>12.5</v>
      </c>
    </row>
    <row r="2708" customFormat="false" ht="15" hidden="false" customHeight="false" outlineLevel="0" collapsed="false">
      <c r="A2708" s="28" t="n">
        <v>2023</v>
      </c>
      <c r="B2708" s="28" t="s">
        <v>74</v>
      </c>
      <c r="C2708" s="28" t="s">
        <v>45</v>
      </c>
      <c r="D2708" s="28" t="n">
        <v>6</v>
      </c>
      <c r="E2708" s="29" t="n">
        <v>4614500</v>
      </c>
      <c r="F2708" s="30" t="n">
        <v>63.436</v>
      </c>
      <c r="G2708" s="31" t="n">
        <f aca="false">IFERROR(F2708/D2708,0)</f>
        <v>10.5726666666667</v>
      </c>
    </row>
    <row r="2709" customFormat="false" ht="15" hidden="false" customHeight="false" outlineLevel="0" collapsed="false">
      <c r="A2709" s="28" t="n">
        <v>2023</v>
      </c>
      <c r="B2709" s="28" t="s">
        <v>74</v>
      </c>
      <c r="C2709" s="28" t="s">
        <v>54</v>
      </c>
      <c r="D2709" s="28" t="n">
        <v>3</v>
      </c>
      <c r="E2709" s="29" t="n">
        <v>607000</v>
      </c>
      <c r="F2709" s="30" t="n">
        <v>29.17</v>
      </c>
      <c r="G2709" s="31" t="n">
        <f aca="false">IFERROR(F2709/D2709,0)</f>
        <v>9.72333333333333</v>
      </c>
    </row>
    <row r="2710" customFormat="false" ht="15" hidden="false" customHeight="false" outlineLevel="0" collapsed="false">
      <c r="A2710" s="28" t="n">
        <v>2023</v>
      </c>
      <c r="B2710" s="28" t="s">
        <v>74</v>
      </c>
      <c r="C2710" s="28" t="s">
        <v>44</v>
      </c>
      <c r="D2710" s="28" t="n">
        <v>12</v>
      </c>
      <c r="E2710" s="29" t="n">
        <v>7103200</v>
      </c>
      <c r="F2710" s="30" t="n">
        <v>121.56</v>
      </c>
      <c r="G2710" s="31" t="n">
        <f aca="false">IFERROR(F2710/D2710,0)</f>
        <v>10.13</v>
      </c>
    </row>
    <row r="2711" customFormat="false" ht="15" hidden="false" customHeight="false" outlineLevel="0" collapsed="false">
      <c r="A2711" s="28" t="n">
        <v>2023</v>
      </c>
      <c r="B2711" s="28" t="s">
        <v>74</v>
      </c>
      <c r="C2711" s="28" t="s">
        <v>47</v>
      </c>
      <c r="D2711" s="28" t="n">
        <v>6</v>
      </c>
      <c r="E2711" s="29" t="n">
        <v>1638000</v>
      </c>
      <c r="F2711" s="30" t="n">
        <v>65.5</v>
      </c>
      <c r="G2711" s="31" t="n">
        <f aca="false">IFERROR(F2711/D2711,0)</f>
        <v>10.9166666666667</v>
      </c>
    </row>
    <row r="2712" customFormat="false" ht="15" hidden="false" customHeight="false" outlineLevel="0" collapsed="false">
      <c r="A2712" s="28" t="n">
        <v>2023</v>
      </c>
      <c r="B2712" s="28" t="s">
        <v>74</v>
      </c>
      <c r="C2712" s="28" t="s">
        <v>58</v>
      </c>
      <c r="D2712" s="28" t="n">
        <v>1</v>
      </c>
      <c r="E2712" s="29" t="n">
        <v>300000</v>
      </c>
      <c r="F2712" s="30" t="n">
        <v>9.4</v>
      </c>
      <c r="G2712" s="31" t="n">
        <f aca="false">IFERROR(F2712/D2712,0)</f>
        <v>9.4</v>
      </c>
    </row>
    <row r="2713" customFormat="false" ht="15" hidden="false" customHeight="false" outlineLevel="0" collapsed="false">
      <c r="A2713" s="28" t="n">
        <v>2023</v>
      </c>
      <c r="B2713" s="28" t="s">
        <v>74</v>
      </c>
      <c r="C2713" s="28" t="s">
        <v>46</v>
      </c>
      <c r="D2713" s="28" t="n">
        <v>8</v>
      </c>
      <c r="E2713" s="29" t="n">
        <v>6641000</v>
      </c>
      <c r="F2713" s="30" t="n">
        <v>81</v>
      </c>
      <c r="G2713" s="31" t="n">
        <f aca="false">IFERROR(F2713/D2713,0)</f>
        <v>10.125</v>
      </c>
    </row>
    <row r="2714" customFormat="false" ht="15" hidden="false" customHeight="false" outlineLevel="0" collapsed="false">
      <c r="A2714" s="28" t="n">
        <v>2023</v>
      </c>
      <c r="B2714" s="28" t="s">
        <v>74</v>
      </c>
      <c r="C2714" s="28" t="s">
        <v>48</v>
      </c>
      <c r="D2714" s="28" t="n">
        <v>5</v>
      </c>
      <c r="E2714" s="29" t="n">
        <v>2337400</v>
      </c>
      <c r="F2714" s="30" t="n">
        <v>58.5</v>
      </c>
      <c r="G2714" s="31" t="n">
        <f aca="false">IFERROR(F2714/D2714,0)</f>
        <v>11.7</v>
      </c>
    </row>
    <row r="2715" customFormat="false" ht="15" hidden="false" customHeight="false" outlineLevel="0" collapsed="false">
      <c r="A2715" s="28" t="n">
        <v>2023</v>
      </c>
      <c r="B2715" s="28" t="s">
        <v>74</v>
      </c>
      <c r="C2715" s="28" t="s">
        <v>53</v>
      </c>
      <c r="D2715" s="28" t="n">
        <v>4</v>
      </c>
      <c r="E2715" s="29" t="n">
        <v>7295100</v>
      </c>
      <c r="F2715" s="30" t="n">
        <v>33.15</v>
      </c>
      <c r="G2715" s="31" t="n">
        <f aca="false">IFERROR(F2715/D2715,0)</f>
        <v>8.2875</v>
      </c>
    </row>
    <row r="2716" customFormat="false" ht="15" hidden="false" customHeight="false" outlineLevel="0" collapsed="false">
      <c r="A2716" s="28" t="n">
        <v>2023</v>
      </c>
      <c r="B2716" s="28" t="s">
        <v>74</v>
      </c>
      <c r="C2716" s="28" t="s">
        <v>43</v>
      </c>
      <c r="D2716" s="28" t="n">
        <v>9</v>
      </c>
      <c r="E2716" s="29" t="n">
        <v>3566700</v>
      </c>
      <c r="F2716" s="30" t="n">
        <v>88.8</v>
      </c>
      <c r="G2716" s="31" t="n">
        <f aca="false">IFERROR(F2716/D2716,0)</f>
        <v>9.86666666666667</v>
      </c>
    </row>
    <row r="2717" customFormat="false" ht="15" hidden="false" customHeight="false" outlineLevel="0" collapsed="false">
      <c r="A2717" s="28" t="n">
        <v>2023</v>
      </c>
      <c r="B2717" s="28" t="s">
        <v>74</v>
      </c>
      <c r="C2717" s="28" t="s">
        <v>52</v>
      </c>
      <c r="D2717" s="28" t="n">
        <v>7</v>
      </c>
      <c r="E2717" s="29" t="n">
        <v>10299700</v>
      </c>
      <c r="F2717" s="30" t="n">
        <v>69.59</v>
      </c>
      <c r="G2717" s="31" t="n">
        <f aca="false">IFERROR(F2717/D2717,0)</f>
        <v>9.94142857142857</v>
      </c>
    </row>
    <row r="2718" customFormat="false" ht="15" hidden="false" customHeight="false" outlineLevel="0" collapsed="false">
      <c r="A2718" s="28" t="n">
        <v>2023</v>
      </c>
      <c r="B2718" s="28" t="s">
        <v>74</v>
      </c>
      <c r="C2718" s="28" t="s">
        <v>49</v>
      </c>
      <c r="D2718" s="28" t="n">
        <v>2</v>
      </c>
      <c r="E2718" s="29" t="n">
        <v>5040000</v>
      </c>
      <c r="F2718" s="30" t="n">
        <v>22.75</v>
      </c>
      <c r="G2718" s="31" t="n">
        <f aca="false">IFERROR(F2718/D2718,0)</f>
        <v>11.375</v>
      </c>
    </row>
    <row r="2719" customFormat="false" ht="15" hidden="false" customHeight="false" outlineLevel="0" collapsed="false">
      <c r="A2719" s="28" t="n">
        <v>2023</v>
      </c>
      <c r="B2719" s="28" t="s">
        <v>76</v>
      </c>
      <c r="C2719" s="28" t="s">
        <v>42</v>
      </c>
      <c r="D2719" s="28" t="n">
        <v>54</v>
      </c>
      <c r="E2719" s="29" t="n">
        <v>59518500</v>
      </c>
      <c r="F2719" s="30" t="n">
        <v>527.235</v>
      </c>
      <c r="G2719" s="31" t="n">
        <f aca="false">IFERROR(F2719/D2719,0)</f>
        <v>9.76361111111111</v>
      </c>
    </row>
    <row r="2720" customFormat="false" ht="15" hidden="false" customHeight="false" outlineLevel="0" collapsed="false">
      <c r="A2720" s="28" t="n">
        <v>2023</v>
      </c>
      <c r="B2720" s="28" t="s">
        <v>76</v>
      </c>
      <c r="C2720" s="28" t="s">
        <v>50</v>
      </c>
      <c r="D2720" s="28" t="n">
        <v>28</v>
      </c>
      <c r="E2720" s="29" t="n">
        <v>12481800</v>
      </c>
      <c r="F2720" s="30" t="n">
        <v>280.64</v>
      </c>
      <c r="G2720" s="31" t="n">
        <f aca="false">IFERROR(F2720/D2720,0)</f>
        <v>10.0228571428571</v>
      </c>
    </row>
    <row r="2721" customFormat="false" ht="15" hidden="false" customHeight="false" outlineLevel="0" collapsed="false">
      <c r="A2721" s="28" t="n">
        <v>2023</v>
      </c>
      <c r="B2721" s="28" t="s">
        <v>76</v>
      </c>
      <c r="C2721" s="28" t="s">
        <v>55</v>
      </c>
      <c r="D2721" s="28" t="n">
        <v>11</v>
      </c>
      <c r="E2721" s="29" t="n">
        <v>8180500</v>
      </c>
      <c r="F2721" s="30" t="n">
        <v>96.05</v>
      </c>
      <c r="G2721" s="31" t="n">
        <f aca="false">IFERROR(F2721/D2721,0)</f>
        <v>8.73181818181818</v>
      </c>
    </row>
    <row r="2722" customFormat="false" ht="15" hidden="false" customHeight="false" outlineLevel="0" collapsed="false">
      <c r="A2722" s="28" t="n">
        <v>2023</v>
      </c>
      <c r="B2722" s="28" t="s">
        <v>76</v>
      </c>
      <c r="C2722" s="28" t="s">
        <v>51</v>
      </c>
      <c r="D2722" s="28" t="n">
        <v>11</v>
      </c>
      <c r="E2722" s="29" t="n">
        <v>9744600</v>
      </c>
      <c r="F2722" s="30" t="n">
        <v>107.5</v>
      </c>
      <c r="G2722" s="31" t="n">
        <f aca="false">IFERROR(F2722/D2722,0)</f>
        <v>9.77272727272727</v>
      </c>
    </row>
    <row r="2723" customFormat="false" ht="15" hidden="false" customHeight="false" outlineLevel="0" collapsed="false">
      <c r="A2723" s="28" t="n">
        <v>2023</v>
      </c>
      <c r="B2723" s="28" t="s">
        <v>76</v>
      </c>
      <c r="C2723" s="28" t="s">
        <v>45</v>
      </c>
      <c r="D2723" s="28" t="n">
        <v>41</v>
      </c>
      <c r="E2723" s="29" t="n">
        <v>21198800</v>
      </c>
      <c r="F2723" s="30" t="n">
        <v>435.49</v>
      </c>
      <c r="G2723" s="31" t="n">
        <f aca="false">IFERROR(F2723/D2723,0)</f>
        <v>10.6217073170732</v>
      </c>
    </row>
    <row r="2724" customFormat="false" ht="15" hidden="false" customHeight="false" outlineLevel="0" collapsed="false">
      <c r="A2724" s="28" t="n">
        <v>2023</v>
      </c>
      <c r="B2724" s="28" t="s">
        <v>76</v>
      </c>
      <c r="C2724" s="28" t="s">
        <v>56</v>
      </c>
      <c r="D2724" s="28" t="n">
        <v>3</v>
      </c>
      <c r="E2724" s="29" t="n">
        <v>524100</v>
      </c>
      <c r="F2724" s="30" t="n">
        <v>31.2</v>
      </c>
      <c r="G2724" s="31" t="n">
        <f aca="false">IFERROR(F2724/D2724,0)</f>
        <v>10.4</v>
      </c>
    </row>
    <row r="2725" customFormat="false" ht="15" hidden="false" customHeight="false" outlineLevel="0" collapsed="false">
      <c r="A2725" s="28" t="n">
        <v>2023</v>
      </c>
      <c r="B2725" s="28" t="s">
        <v>76</v>
      </c>
      <c r="C2725" s="28" t="s">
        <v>54</v>
      </c>
      <c r="D2725" s="28" t="n">
        <v>9</v>
      </c>
      <c r="E2725" s="29" t="n">
        <v>7376700</v>
      </c>
      <c r="F2725" s="30" t="n">
        <v>89.6</v>
      </c>
      <c r="G2725" s="31" t="n">
        <f aca="false">IFERROR(F2725/D2725,0)</f>
        <v>9.95555555555556</v>
      </c>
    </row>
    <row r="2726" customFormat="false" ht="15" hidden="false" customHeight="false" outlineLevel="0" collapsed="false">
      <c r="A2726" s="28" t="n">
        <v>2023</v>
      </c>
      <c r="B2726" s="28" t="s">
        <v>76</v>
      </c>
      <c r="C2726" s="28" t="s">
        <v>44</v>
      </c>
      <c r="D2726" s="28" t="n">
        <v>34</v>
      </c>
      <c r="E2726" s="29" t="n">
        <v>16756100</v>
      </c>
      <c r="F2726" s="30" t="n">
        <v>332.65</v>
      </c>
      <c r="G2726" s="31" t="n">
        <f aca="false">IFERROR(F2726/D2726,0)</f>
        <v>9.78382352941176</v>
      </c>
    </row>
    <row r="2727" customFormat="false" ht="15" hidden="false" customHeight="false" outlineLevel="0" collapsed="false">
      <c r="A2727" s="28" t="n">
        <v>2023</v>
      </c>
      <c r="B2727" s="28" t="s">
        <v>76</v>
      </c>
      <c r="C2727" s="28" t="s">
        <v>57</v>
      </c>
      <c r="D2727" s="28" t="n">
        <v>5</v>
      </c>
      <c r="E2727" s="29" t="n">
        <v>2560300</v>
      </c>
      <c r="F2727" s="30" t="n">
        <v>54.275</v>
      </c>
      <c r="G2727" s="31" t="n">
        <f aca="false">IFERROR(F2727/D2727,0)</f>
        <v>10.855</v>
      </c>
    </row>
    <row r="2728" customFormat="false" ht="15" hidden="false" customHeight="false" outlineLevel="0" collapsed="false">
      <c r="A2728" s="28" t="n">
        <v>2023</v>
      </c>
      <c r="B2728" s="28" t="s">
        <v>76</v>
      </c>
      <c r="C2728" s="28" t="s">
        <v>47</v>
      </c>
      <c r="D2728" s="28" t="n">
        <v>15</v>
      </c>
      <c r="E2728" s="29" t="n">
        <v>14366800</v>
      </c>
      <c r="F2728" s="30" t="n">
        <v>148.24</v>
      </c>
      <c r="G2728" s="31" t="n">
        <f aca="false">IFERROR(F2728/D2728,0)</f>
        <v>9.88266666666667</v>
      </c>
    </row>
    <row r="2729" customFormat="false" ht="15" hidden="false" customHeight="false" outlineLevel="0" collapsed="false">
      <c r="A2729" s="28" t="n">
        <v>2023</v>
      </c>
      <c r="B2729" s="28" t="s">
        <v>76</v>
      </c>
      <c r="C2729" s="28" t="s">
        <v>58</v>
      </c>
      <c r="D2729" s="28" t="n">
        <v>1</v>
      </c>
      <c r="E2729" s="29" t="n">
        <v>992500</v>
      </c>
      <c r="F2729" s="30" t="n">
        <v>8</v>
      </c>
      <c r="G2729" s="31" t="n">
        <f aca="false">IFERROR(F2729/D2729,0)</f>
        <v>8</v>
      </c>
    </row>
    <row r="2730" customFormat="false" ht="15" hidden="false" customHeight="false" outlineLevel="0" collapsed="false">
      <c r="A2730" s="28" t="n">
        <v>2023</v>
      </c>
      <c r="B2730" s="28" t="s">
        <v>76</v>
      </c>
      <c r="C2730" s="28" t="s">
        <v>46</v>
      </c>
      <c r="D2730" s="28" t="n">
        <v>35</v>
      </c>
      <c r="E2730" s="29" t="n">
        <v>15681800</v>
      </c>
      <c r="F2730" s="30" t="n">
        <v>369.17</v>
      </c>
      <c r="G2730" s="31" t="n">
        <f aca="false">IFERROR(F2730/D2730,0)</f>
        <v>10.5477142857143</v>
      </c>
    </row>
    <row r="2731" customFormat="false" ht="15" hidden="false" customHeight="false" outlineLevel="0" collapsed="false">
      <c r="A2731" s="28" t="n">
        <v>2023</v>
      </c>
      <c r="B2731" s="28" t="s">
        <v>76</v>
      </c>
      <c r="C2731" s="28" t="s">
        <v>48</v>
      </c>
      <c r="D2731" s="28" t="n">
        <v>27</v>
      </c>
      <c r="E2731" s="29" t="n">
        <v>14803400</v>
      </c>
      <c r="F2731" s="30" t="n">
        <v>270.24</v>
      </c>
      <c r="G2731" s="31" t="n">
        <f aca="false">IFERROR(F2731/D2731,0)</f>
        <v>10.0088888888889</v>
      </c>
    </row>
    <row r="2732" customFormat="false" ht="15" hidden="false" customHeight="false" outlineLevel="0" collapsed="false">
      <c r="A2732" s="28" t="n">
        <v>2023</v>
      </c>
      <c r="B2732" s="28" t="s">
        <v>76</v>
      </c>
      <c r="C2732" s="28" t="s">
        <v>53</v>
      </c>
      <c r="D2732" s="28" t="n">
        <v>9</v>
      </c>
      <c r="E2732" s="29" t="n">
        <v>9687000</v>
      </c>
      <c r="F2732" s="30" t="n">
        <v>87.49</v>
      </c>
      <c r="G2732" s="31" t="n">
        <f aca="false">IFERROR(F2732/D2732,0)</f>
        <v>9.72111111111111</v>
      </c>
    </row>
    <row r="2733" customFormat="false" ht="15" hidden="false" customHeight="false" outlineLevel="0" collapsed="false">
      <c r="A2733" s="28" t="n">
        <v>2023</v>
      </c>
      <c r="B2733" s="28" t="s">
        <v>76</v>
      </c>
      <c r="C2733" s="28" t="s">
        <v>43</v>
      </c>
      <c r="D2733" s="28" t="n">
        <v>48</v>
      </c>
      <c r="E2733" s="29" t="n">
        <v>41212600</v>
      </c>
      <c r="F2733" s="30" t="n">
        <v>486.775</v>
      </c>
      <c r="G2733" s="31" t="n">
        <f aca="false">IFERROR(F2733/D2733,0)</f>
        <v>10.1411458333333</v>
      </c>
    </row>
    <row r="2734" customFormat="false" ht="15" hidden="false" customHeight="false" outlineLevel="0" collapsed="false">
      <c r="A2734" s="28" t="n">
        <v>2023</v>
      </c>
      <c r="B2734" s="28" t="s">
        <v>76</v>
      </c>
      <c r="C2734" s="28" t="s">
        <v>52</v>
      </c>
      <c r="D2734" s="28" t="n">
        <v>26</v>
      </c>
      <c r="E2734" s="29" t="n">
        <v>8303200</v>
      </c>
      <c r="F2734" s="30" t="n">
        <v>276.65</v>
      </c>
      <c r="G2734" s="31" t="n">
        <f aca="false">IFERROR(F2734/D2734,0)</f>
        <v>10.6403846153846</v>
      </c>
    </row>
    <row r="2735" customFormat="false" ht="15" hidden="false" customHeight="false" outlineLevel="0" collapsed="false">
      <c r="A2735" s="28" t="n">
        <v>2023</v>
      </c>
      <c r="B2735" s="28" t="s">
        <v>76</v>
      </c>
      <c r="C2735" s="28" t="s">
        <v>49</v>
      </c>
      <c r="D2735" s="28" t="n">
        <v>12</v>
      </c>
      <c r="E2735" s="29" t="n">
        <v>7646200</v>
      </c>
      <c r="F2735" s="30" t="n">
        <v>113.8</v>
      </c>
      <c r="G2735" s="31" t="n">
        <f aca="false">IFERROR(F2735/D2735,0)</f>
        <v>9.48333333333333</v>
      </c>
    </row>
    <row r="2736" customFormat="false" ht="15" hidden="false" customHeight="false" outlineLevel="0" collapsed="false">
      <c r="A2736" s="28" t="n">
        <v>2023</v>
      </c>
      <c r="B2736" s="28" t="s">
        <v>78</v>
      </c>
      <c r="C2736" s="28" t="s">
        <v>42</v>
      </c>
      <c r="D2736" s="28" t="n">
        <v>44</v>
      </c>
      <c r="E2736" s="29" t="n">
        <v>39785900</v>
      </c>
      <c r="F2736" s="30" t="n">
        <v>410.99</v>
      </c>
      <c r="G2736" s="31" t="n">
        <f aca="false">IFERROR(F2736/D2736,0)</f>
        <v>9.34068181818182</v>
      </c>
    </row>
    <row r="2737" customFormat="false" ht="15" hidden="false" customHeight="false" outlineLevel="0" collapsed="false">
      <c r="A2737" s="28" t="n">
        <v>2023</v>
      </c>
      <c r="B2737" s="28" t="s">
        <v>78</v>
      </c>
      <c r="C2737" s="28" t="s">
        <v>50</v>
      </c>
      <c r="D2737" s="28" t="n">
        <v>16</v>
      </c>
      <c r="E2737" s="29" t="n">
        <v>7621900</v>
      </c>
      <c r="F2737" s="30" t="n">
        <v>153.01</v>
      </c>
      <c r="G2737" s="31" t="n">
        <f aca="false">IFERROR(F2737/D2737,0)</f>
        <v>9.563125</v>
      </c>
    </row>
    <row r="2738" customFormat="false" ht="15" hidden="false" customHeight="false" outlineLevel="0" collapsed="false">
      <c r="A2738" s="28" t="n">
        <v>2023</v>
      </c>
      <c r="B2738" s="28" t="s">
        <v>78</v>
      </c>
      <c r="C2738" s="28" t="s">
        <v>55</v>
      </c>
      <c r="D2738" s="28" t="n">
        <v>34</v>
      </c>
      <c r="E2738" s="29" t="n">
        <v>58528800</v>
      </c>
      <c r="F2738" s="30" t="n">
        <v>284.7</v>
      </c>
      <c r="G2738" s="31" t="n">
        <f aca="false">IFERROR(F2738/D2738,0)</f>
        <v>8.37352941176471</v>
      </c>
    </row>
    <row r="2739" customFormat="false" ht="15" hidden="false" customHeight="false" outlineLevel="0" collapsed="false">
      <c r="A2739" s="28" t="n">
        <v>2023</v>
      </c>
      <c r="B2739" s="28" t="s">
        <v>78</v>
      </c>
      <c r="C2739" s="28" t="s">
        <v>51</v>
      </c>
      <c r="D2739" s="28" t="n">
        <v>11</v>
      </c>
      <c r="E2739" s="29" t="n">
        <v>5636200</v>
      </c>
      <c r="F2739" s="30" t="n">
        <v>108.99</v>
      </c>
      <c r="G2739" s="31" t="n">
        <f aca="false">IFERROR(F2739/D2739,0)</f>
        <v>9.90818181818182</v>
      </c>
    </row>
    <row r="2740" customFormat="false" ht="15" hidden="false" customHeight="false" outlineLevel="0" collapsed="false">
      <c r="A2740" s="28" t="n">
        <v>2023</v>
      </c>
      <c r="B2740" s="28" t="s">
        <v>78</v>
      </c>
      <c r="C2740" s="28" t="s">
        <v>45</v>
      </c>
      <c r="D2740" s="28" t="n">
        <v>27</v>
      </c>
      <c r="E2740" s="29" t="n">
        <v>6264200</v>
      </c>
      <c r="F2740" s="30" t="n">
        <v>259.37</v>
      </c>
      <c r="G2740" s="31" t="n">
        <f aca="false">IFERROR(F2740/D2740,0)</f>
        <v>9.6062962962963</v>
      </c>
    </row>
    <row r="2741" customFormat="false" ht="15" hidden="false" customHeight="false" outlineLevel="0" collapsed="false">
      <c r="A2741" s="28" t="n">
        <v>2023</v>
      </c>
      <c r="B2741" s="28" t="s">
        <v>78</v>
      </c>
      <c r="C2741" s="28" t="s">
        <v>56</v>
      </c>
      <c r="D2741" s="28" t="n">
        <v>6</v>
      </c>
      <c r="E2741" s="29" t="n">
        <v>2024000</v>
      </c>
      <c r="F2741" s="30" t="n">
        <v>52.39</v>
      </c>
      <c r="G2741" s="31" t="n">
        <f aca="false">IFERROR(F2741/D2741,0)</f>
        <v>8.73166666666667</v>
      </c>
    </row>
    <row r="2742" customFormat="false" ht="15" hidden="false" customHeight="false" outlineLevel="0" collapsed="false">
      <c r="A2742" s="28" t="n">
        <v>2023</v>
      </c>
      <c r="B2742" s="28" t="s">
        <v>78</v>
      </c>
      <c r="C2742" s="28" t="s">
        <v>54</v>
      </c>
      <c r="D2742" s="28" t="n">
        <v>7</v>
      </c>
      <c r="E2742" s="29" t="n">
        <v>6607300</v>
      </c>
      <c r="F2742" s="30" t="n">
        <v>70.5</v>
      </c>
      <c r="G2742" s="31" t="n">
        <f aca="false">IFERROR(F2742/D2742,0)</f>
        <v>10.0714285714286</v>
      </c>
    </row>
    <row r="2743" customFormat="false" ht="15" hidden="false" customHeight="false" outlineLevel="0" collapsed="false">
      <c r="A2743" s="28" t="n">
        <v>2023</v>
      </c>
      <c r="B2743" s="28" t="s">
        <v>78</v>
      </c>
      <c r="C2743" s="28" t="s">
        <v>44</v>
      </c>
      <c r="D2743" s="28" t="n">
        <v>14</v>
      </c>
      <c r="E2743" s="29" t="n">
        <v>9401000</v>
      </c>
      <c r="F2743" s="30" t="n">
        <v>121.56</v>
      </c>
      <c r="G2743" s="31" t="n">
        <f aca="false">IFERROR(F2743/D2743,0)</f>
        <v>8.68285714285714</v>
      </c>
    </row>
    <row r="2744" customFormat="false" ht="15" hidden="false" customHeight="false" outlineLevel="0" collapsed="false">
      <c r="A2744" s="28" t="n">
        <v>2023</v>
      </c>
      <c r="B2744" s="28" t="s">
        <v>78</v>
      </c>
      <c r="C2744" s="28" t="s">
        <v>57</v>
      </c>
      <c r="D2744" s="28" t="n">
        <v>1</v>
      </c>
      <c r="E2744" s="29" t="n">
        <v>1300000</v>
      </c>
      <c r="F2744" s="30" t="n">
        <v>10.25</v>
      </c>
      <c r="G2744" s="31" t="n">
        <f aca="false">IFERROR(F2744/D2744,0)</f>
        <v>10.25</v>
      </c>
    </row>
    <row r="2745" customFormat="false" ht="15" hidden="false" customHeight="false" outlineLevel="0" collapsed="false">
      <c r="A2745" s="28" t="n">
        <v>2023</v>
      </c>
      <c r="B2745" s="28" t="s">
        <v>78</v>
      </c>
      <c r="C2745" s="28" t="s">
        <v>47</v>
      </c>
      <c r="D2745" s="28" t="n">
        <v>11</v>
      </c>
      <c r="E2745" s="29" t="n">
        <v>3087800</v>
      </c>
      <c r="F2745" s="30" t="n">
        <v>99</v>
      </c>
      <c r="G2745" s="31" t="n">
        <f aca="false">IFERROR(F2745/D2745,0)</f>
        <v>9</v>
      </c>
    </row>
    <row r="2746" customFormat="false" ht="15" hidden="false" customHeight="false" outlineLevel="0" collapsed="false">
      <c r="A2746" s="28" t="n">
        <v>2023</v>
      </c>
      <c r="B2746" s="28" t="s">
        <v>78</v>
      </c>
      <c r="C2746" s="28" t="s">
        <v>46</v>
      </c>
      <c r="D2746" s="28" t="n">
        <v>30</v>
      </c>
      <c r="E2746" s="29" t="n">
        <v>6754200</v>
      </c>
      <c r="F2746" s="30" t="n">
        <v>272.14</v>
      </c>
      <c r="G2746" s="31" t="n">
        <f aca="false">IFERROR(F2746/D2746,0)</f>
        <v>9.07133333333333</v>
      </c>
    </row>
    <row r="2747" customFormat="false" ht="15" hidden="false" customHeight="false" outlineLevel="0" collapsed="false">
      <c r="A2747" s="28" t="n">
        <v>2023</v>
      </c>
      <c r="B2747" s="28" t="s">
        <v>78</v>
      </c>
      <c r="C2747" s="28" t="s">
        <v>48</v>
      </c>
      <c r="D2747" s="28" t="n">
        <v>14</v>
      </c>
      <c r="E2747" s="29" t="n">
        <v>10649300</v>
      </c>
      <c r="F2747" s="30" t="n">
        <v>131.98</v>
      </c>
      <c r="G2747" s="31" t="n">
        <f aca="false">IFERROR(F2747/D2747,0)</f>
        <v>9.42714285714286</v>
      </c>
    </row>
    <row r="2748" customFormat="false" ht="15" hidden="false" customHeight="false" outlineLevel="0" collapsed="false">
      <c r="A2748" s="28" t="n">
        <v>2023</v>
      </c>
      <c r="B2748" s="28" t="s">
        <v>78</v>
      </c>
      <c r="C2748" s="28" t="s">
        <v>53</v>
      </c>
      <c r="D2748" s="28" t="n">
        <v>6</v>
      </c>
      <c r="E2748" s="29" t="n">
        <v>2658000</v>
      </c>
      <c r="F2748" s="30" t="n">
        <v>54.64</v>
      </c>
      <c r="G2748" s="31" t="n">
        <f aca="false">IFERROR(F2748/D2748,0)</f>
        <v>9.10666666666667</v>
      </c>
    </row>
    <row r="2749" customFormat="false" ht="15" hidden="false" customHeight="false" outlineLevel="0" collapsed="false">
      <c r="A2749" s="28" t="n">
        <v>2023</v>
      </c>
      <c r="B2749" s="28" t="s">
        <v>78</v>
      </c>
      <c r="C2749" s="28" t="s">
        <v>43</v>
      </c>
      <c r="D2749" s="28" t="n">
        <v>29</v>
      </c>
      <c r="E2749" s="29" t="n">
        <v>14373300</v>
      </c>
      <c r="F2749" s="30" t="n">
        <v>271.789</v>
      </c>
      <c r="G2749" s="31" t="n">
        <f aca="false">IFERROR(F2749/D2749,0)</f>
        <v>9.37203448275862</v>
      </c>
    </row>
    <row r="2750" customFormat="false" ht="15" hidden="false" customHeight="false" outlineLevel="0" collapsed="false">
      <c r="A2750" s="28" t="n">
        <v>2023</v>
      </c>
      <c r="B2750" s="28" t="s">
        <v>78</v>
      </c>
      <c r="C2750" s="28" t="s">
        <v>52</v>
      </c>
      <c r="D2750" s="28" t="n">
        <v>16</v>
      </c>
      <c r="E2750" s="29" t="n">
        <v>3158500</v>
      </c>
      <c r="F2750" s="30" t="n">
        <v>147.67</v>
      </c>
      <c r="G2750" s="31" t="n">
        <f aca="false">IFERROR(F2750/D2750,0)</f>
        <v>9.229375</v>
      </c>
    </row>
    <row r="2751" customFormat="false" ht="15" hidden="false" customHeight="false" outlineLevel="0" collapsed="false">
      <c r="A2751" s="28" t="n">
        <v>2023</v>
      </c>
      <c r="B2751" s="28" t="s">
        <v>78</v>
      </c>
      <c r="C2751" s="28" t="s">
        <v>49</v>
      </c>
      <c r="D2751" s="28" t="n">
        <v>3</v>
      </c>
      <c r="E2751" s="29" t="n">
        <v>1330000</v>
      </c>
      <c r="F2751" s="30" t="n">
        <v>24</v>
      </c>
      <c r="G2751" s="31" t="n">
        <f aca="false">IFERROR(F2751/D2751,0)</f>
        <v>8</v>
      </c>
    </row>
    <row r="2752" customFormat="false" ht="15" hidden="false" customHeight="false" outlineLevel="0" collapsed="false">
      <c r="A2752" s="28" t="n">
        <v>2023</v>
      </c>
      <c r="B2752" s="28" t="s">
        <v>80</v>
      </c>
      <c r="C2752" s="28" t="s">
        <v>42</v>
      </c>
      <c r="D2752" s="28" t="n">
        <v>104</v>
      </c>
      <c r="E2752" s="29" t="n">
        <v>71325600</v>
      </c>
      <c r="F2752" s="30" t="n">
        <v>1073.1</v>
      </c>
      <c r="G2752" s="31" t="n">
        <f aca="false">IFERROR(F2752/D2752,0)</f>
        <v>10.3182692307692</v>
      </c>
    </row>
    <row r="2753" customFormat="false" ht="15" hidden="false" customHeight="false" outlineLevel="0" collapsed="false">
      <c r="A2753" s="28" t="n">
        <v>2023</v>
      </c>
      <c r="B2753" s="28" t="s">
        <v>80</v>
      </c>
      <c r="C2753" s="28" t="s">
        <v>50</v>
      </c>
      <c r="D2753" s="28" t="n">
        <v>61</v>
      </c>
      <c r="E2753" s="29" t="n">
        <v>37470500</v>
      </c>
      <c r="F2753" s="30" t="n">
        <v>635.25</v>
      </c>
      <c r="G2753" s="31" t="n">
        <f aca="false">IFERROR(F2753/D2753,0)</f>
        <v>10.4139344262295</v>
      </c>
    </row>
    <row r="2754" customFormat="false" ht="15" hidden="false" customHeight="false" outlineLevel="0" collapsed="false">
      <c r="A2754" s="28" t="n">
        <v>2023</v>
      </c>
      <c r="B2754" s="28" t="s">
        <v>80</v>
      </c>
      <c r="C2754" s="28" t="s">
        <v>55</v>
      </c>
      <c r="D2754" s="28" t="n">
        <v>7</v>
      </c>
      <c r="E2754" s="29" t="n">
        <v>1595500</v>
      </c>
      <c r="F2754" s="30" t="n">
        <v>72.99</v>
      </c>
      <c r="G2754" s="31" t="n">
        <f aca="false">IFERROR(F2754/D2754,0)</f>
        <v>10.4271428571429</v>
      </c>
    </row>
    <row r="2755" customFormat="false" ht="15" hidden="false" customHeight="false" outlineLevel="0" collapsed="false">
      <c r="A2755" s="28" t="n">
        <v>2023</v>
      </c>
      <c r="B2755" s="28" t="s">
        <v>80</v>
      </c>
      <c r="C2755" s="28" t="s">
        <v>51</v>
      </c>
      <c r="D2755" s="28" t="n">
        <v>45</v>
      </c>
      <c r="E2755" s="29" t="n">
        <v>29852400</v>
      </c>
      <c r="F2755" s="30" t="n">
        <v>473.04</v>
      </c>
      <c r="G2755" s="31" t="n">
        <f aca="false">IFERROR(F2755/D2755,0)</f>
        <v>10.512</v>
      </c>
    </row>
    <row r="2756" customFormat="false" ht="15" hidden="false" customHeight="false" outlineLevel="0" collapsed="false">
      <c r="A2756" s="28" t="n">
        <v>2023</v>
      </c>
      <c r="B2756" s="28" t="s">
        <v>80</v>
      </c>
      <c r="C2756" s="28" t="s">
        <v>45</v>
      </c>
      <c r="D2756" s="28" t="n">
        <v>129</v>
      </c>
      <c r="E2756" s="29" t="n">
        <v>53851600</v>
      </c>
      <c r="F2756" s="30" t="n">
        <v>1308.13</v>
      </c>
      <c r="G2756" s="31" t="n">
        <f aca="false">IFERROR(F2756/D2756,0)</f>
        <v>10.1405426356589</v>
      </c>
    </row>
    <row r="2757" customFormat="false" ht="15" hidden="false" customHeight="false" outlineLevel="0" collapsed="false">
      <c r="A2757" s="28" t="n">
        <v>2023</v>
      </c>
      <c r="B2757" s="28" t="s">
        <v>80</v>
      </c>
      <c r="C2757" s="28" t="s">
        <v>56</v>
      </c>
      <c r="D2757" s="28" t="n">
        <v>22</v>
      </c>
      <c r="E2757" s="29" t="n">
        <v>11314600</v>
      </c>
      <c r="F2757" s="30" t="n">
        <v>217.49</v>
      </c>
      <c r="G2757" s="31" t="n">
        <f aca="false">IFERROR(F2757/D2757,0)</f>
        <v>9.88590909090909</v>
      </c>
    </row>
    <row r="2758" customFormat="false" ht="15" hidden="false" customHeight="false" outlineLevel="0" collapsed="false">
      <c r="A2758" s="28" t="n">
        <v>2023</v>
      </c>
      <c r="B2758" s="28" t="s">
        <v>80</v>
      </c>
      <c r="C2758" s="28" t="s">
        <v>54</v>
      </c>
      <c r="D2758" s="28" t="n">
        <v>20</v>
      </c>
      <c r="E2758" s="29" t="n">
        <v>9521000</v>
      </c>
      <c r="F2758" s="30" t="n">
        <v>180.94</v>
      </c>
      <c r="G2758" s="31" t="n">
        <f aca="false">IFERROR(F2758/D2758,0)</f>
        <v>9.047</v>
      </c>
    </row>
    <row r="2759" customFormat="false" ht="15" hidden="false" customHeight="false" outlineLevel="0" collapsed="false">
      <c r="A2759" s="28" t="n">
        <v>2023</v>
      </c>
      <c r="B2759" s="28" t="s">
        <v>80</v>
      </c>
      <c r="C2759" s="28" t="s">
        <v>44</v>
      </c>
      <c r="D2759" s="28" t="n">
        <v>125</v>
      </c>
      <c r="E2759" s="29" t="n">
        <v>85255700</v>
      </c>
      <c r="F2759" s="30" t="n">
        <v>1249.67</v>
      </c>
      <c r="G2759" s="31" t="n">
        <f aca="false">IFERROR(F2759/D2759,0)</f>
        <v>9.99736</v>
      </c>
    </row>
    <row r="2760" customFormat="false" ht="15" hidden="false" customHeight="false" outlineLevel="0" collapsed="false">
      <c r="A2760" s="28" t="n">
        <v>2023</v>
      </c>
      <c r="B2760" s="28" t="s">
        <v>80</v>
      </c>
      <c r="C2760" s="28" t="s">
        <v>57</v>
      </c>
      <c r="D2760" s="28" t="n">
        <v>6</v>
      </c>
      <c r="E2760" s="29" t="n">
        <v>6882000</v>
      </c>
      <c r="F2760" s="30" t="n">
        <v>60.5</v>
      </c>
      <c r="G2760" s="31" t="n">
        <f aca="false">IFERROR(F2760/D2760,0)</f>
        <v>10.0833333333333</v>
      </c>
    </row>
    <row r="2761" customFormat="false" ht="15" hidden="false" customHeight="false" outlineLevel="0" collapsed="false">
      <c r="A2761" s="28" t="n">
        <v>2023</v>
      </c>
      <c r="B2761" s="28" t="s">
        <v>80</v>
      </c>
      <c r="C2761" s="28" t="s">
        <v>47</v>
      </c>
      <c r="D2761" s="28" t="n">
        <v>52</v>
      </c>
      <c r="E2761" s="29" t="n">
        <v>52688400</v>
      </c>
      <c r="F2761" s="30" t="n">
        <v>489.39</v>
      </c>
      <c r="G2761" s="31" t="n">
        <f aca="false">IFERROR(F2761/D2761,0)</f>
        <v>9.41134615384615</v>
      </c>
    </row>
    <row r="2762" customFormat="false" ht="15" hidden="false" customHeight="false" outlineLevel="0" collapsed="false">
      <c r="A2762" s="28" t="n">
        <v>2023</v>
      </c>
      <c r="B2762" s="28" t="s">
        <v>80</v>
      </c>
      <c r="C2762" s="28" t="s">
        <v>46</v>
      </c>
      <c r="D2762" s="28" t="n">
        <v>106</v>
      </c>
      <c r="E2762" s="29" t="n">
        <v>61460800</v>
      </c>
      <c r="F2762" s="30" t="n">
        <v>1049.75</v>
      </c>
      <c r="G2762" s="31" t="n">
        <f aca="false">IFERROR(F2762/D2762,0)</f>
        <v>9.90330188679245</v>
      </c>
    </row>
    <row r="2763" customFormat="false" ht="15" hidden="false" customHeight="false" outlineLevel="0" collapsed="false">
      <c r="A2763" s="28" t="n">
        <v>2023</v>
      </c>
      <c r="B2763" s="28" t="s">
        <v>80</v>
      </c>
      <c r="C2763" s="28" t="s">
        <v>48</v>
      </c>
      <c r="D2763" s="28" t="n">
        <v>103</v>
      </c>
      <c r="E2763" s="29" t="n">
        <v>48238100</v>
      </c>
      <c r="F2763" s="30" t="n">
        <v>1035.328</v>
      </c>
      <c r="G2763" s="31" t="n">
        <f aca="false">IFERROR(F2763/D2763,0)</f>
        <v>10.0517281553398</v>
      </c>
    </row>
    <row r="2764" customFormat="false" ht="15" hidden="false" customHeight="false" outlineLevel="0" collapsed="false">
      <c r="A2764" s="28" t="n">
        <v>2023</v>
      </c>
      <c r="B2764" s="28" t="s">
        <v>80</v>
      </c>
      <c r="C2764" s="28" t="s">
        <v>53</v>
      </c>
      <c r="D2764" s="28" t="n">
        <v>31</v>
      </c>
      <c r="E2764" s="29" t="n">
        <v>24094100</v>
      </c>
      <c r="F2764" s="30" t="n">
        <v>301.83</v>
      </c>
      <c r="G2764" s="31" t="n">
        <f aca="false">IFERROR(F2764/D2764,0)</f>
        <v>9.73645161290323</v>
      </c>
    </row>
    <row r="2765" customFormat="false" ht="15" hidden="false" customHeight="false" outlineLevel="0" collapsed="false">
      <c r="A2765" s="28" t="n">
        <v>2023</v>
      </c>
      <c r="B2765" s="28" t="s">
        <v>80</v>
      </c>
      <c r="C2765" s="28" t="s">
        <v>43</v>
      </c>
      <c r="D2765" s="28" t="n">
        <v>118</v>
      </c>
      <c r="E2765" s="29" t="n">
        <v>77559000</v>
      </c>
      <c r="F2765" s="30" t="n">
        <v>1195.46</v>
      </c>
      <c r="G2765" s="31" t="n">
        <f aca="false">IFERROR(F2765/D2765,0)</f>
        <v>10.1310169491525</v>
      </c>
    </row>
    <row r="2766" customFormat="false" ht="15" hidden="false" customHeight="false" outlineLevel="0" collapsed="false">
      <c r="A2766" s="28" t="n">
        <v>2023</v>
      </c>
      <c r="B2766" s="28" t="s">
        <v>80</v>
      </c>
      <c r="C2766" s="28" t="s">
        <v>52</v>
      </c>
      <c r="D2766" s="28" t="n">
        <v>57</v>
      </c>
      <c r="E2766" s="29" t="n">
        <v>24891100</v>
      </c>
      <c r="F2766" s="30" t="n">
        <v>589.865</v>
      </c>
      <c r="G2766" s="31" t="n">
        <f aca="false">IFERROR(F2766/D2766,0)</f>
        <v>10.3485087719298</v>
      </c>
    </row>
    <row r="2767" customFormat="false" ht="15" hidden="false" customHeight="false" outlineLevel="0" collapsed="false">
      <c r="A2767" s="28" t="n">
        <v>2023</v>
      </c>
      <c r="B2767" s="28" t="s">
        <v>80</v>
      </c>
      <c r="C2767" s="28" t="s">
        <v>60</v>
      </c>
      <c r="D2767" s="28" t="n">
        <v>2</v>
      </c>
      <c r="E2767" s="29" t="n">
        <v>370000</v>
      </c>
      <c r="F2767" s="30" t="n">
        <v>20.65</v>
      </c>
      <c r="G2767" s="31" t="n">
        <f aca="false">IFERROR(F2767/D2767,0)</f>
        <v>10.325</v>
      </c>
    </row>
    <row r="2768" customFormat="false" ht="15" hidden="false" customHeight="false" outlineLevel="0" collapsed="false">
      <c r="A2768" s="28" t="n">
        <v>2023</v>
      </c>
      <c r="B2768" s="28" t="s">
        <v>80</v>
      </c>
      <c r="C2768" s="28" t="s">
        <v>49</v>
      </c>
      <c r="D2768" s="28" t="n">
        <v>32</v>
      </c>
      <c r="E2768" s="29" t="n">
        <v>30340100</v>
      </c>
      <c r="F2768" s="30" t="n">
        <v>303.26</v>
      </c>
      <c r="G2768" s="31" t="n">
        <f aca="false">IFERROR(F2768/D2768,0)</f>
        <v>9.476875</v>
      </c>
    </row>
    <row r="2769" customFormat="false" ht="15" hidden="false" customHeight="false" outlineLevel="0" collapsed="false">
      <c r="A2769" s="28" t="n">
        <v>2023</v>
      </c>
      <c r="B2769" s="28" t="s">
        <v>75</v>
      </c>
      <c r="C2769" s="28" t="s">
        <v>42</v>
      </c>
      <c r="D2769" s="28" t="n">
        <v>741</v>
      </c>
      <c r="E2769" s="29" t="n">
        <v>481389800</v>
      </c>
      <c r="F2769" s="30" t="n">
        <v>7396.7678</v>
      </c>
      <c r="G2769" s="31" t="n">
        <f aca="false">IFERROR(F2769/D2769,0)</f>
        <v>9.98214278002699</v>
      </c>
    </row>
    <row r="2770" customFormat="false" ht="15" hidden="false" customHeight="false" outlineLevel="0" collapsed="false">
      <c r="A2770" s="28" t="n">
        <v>2023</v>
      </c>
      <c r="B2770" s="28" t="s">
        <v>75</v>
      </c>
      <c r="C2770" s="28" t="s">
        <v>50</v>
      </c>
      <c r="D2770" s="28" t="n">
        <v>224</v>
      </c>
      <c r="E2770" s="29" t="n">
        <v>95096000</v>
      </c>
      <c r="F2770" s="30" t="n">
        <v>2316.7216</v>
      </c>
      <c r="G2770" s="31" t="n">
        <f aca="false">IFERROR(F2770/D2770,0)</f>
        <v>10.3425071428571</v>
      </c>
    </row>
    <row r="2771" customFormat="false" ht="15" hidden="false" customHeight="false" outlineLevel="0" collapsed="false">
      <c r="A2771" s="28" t="n">
        <v>2023</v>
      </c>
      <c r="B2771" s="28" t="s">
        <v>75</v>
      </c>
      <c r="C2771" s="28" t="s">
        <v>55</v>
      </c>
      <c r="D2771" s="28" t="n">
        <v>38</v>
      </c>
      <c r="E2771" s="29" t="n">
        <v>20190700</v>
      </c>
      <c r="F2771" s="30" t="n">
        <v>399.75</v>
      </c>
      <c r="G2771" s="31" t="n">
        <f aca="false">IFERROR(F2771/D2771,0)</f>
        <v>10.5197368421053</v>
      </c>
    </row>
    <row r="2772" customFormat="false" ht="15" hidden="false" customHeight="false" outlineLevel="0" collapsed="false">
      <c r="A2772" s="28" t="n">
        <v>2023</v>
      </c>
      <c r="B2772" s="28" t="s">
        <v>75</v>
      </c>
      <c r="C2772" s="28" t="s">
        <v>51</v>
      </c>
      <c r="D2772" s="28" t="n">
        <v>148</v>
      </c>
      <c r="E2772" s="29" t="n">
        <v>80962600</v>
      </c>
      <c r="F2772" s="30" t="n">
        <v>1537.38</v>
      </c>
      <c r="G2772" s="31" t="n">
        <f aca="false">IFERROR(F2772/D2772,0)</f>
        <v>10.3877027027027</v>
      </c>
    </row>
    <row r="2773" customFormat="false" ht="15" hidden="false" customHeight="false" outlineLevel="0" collapsed="false">
      <c r="A2773" s="28" t="n">
        <v>2023</v>
      </c>
      <c r="B2773" s="28" t="s">
        <v>75</v>
      </c>
      <c r="C2773" s="28" t="s">
        <v>45</v>
      </c>
      <c r="D2773" s="28" t="n">
        <v>566</v>
      </c>
      <c r="E2773" s="29" t="n">
        <v>254260700</v>
      </c>
      <c r="F2773" s="30" t="n">
        <v>5724.474</v>
      </c>
      <c r="G2773" s="31" t="n">
        <f aca="false">IFERROR(F2773/D2773,0)</f>
        <v>10.1139116607774</v>
      </c>
    </row>
    <row r="2774" customFormat="false" ht="15" hidden="false" customHeight="false" outlineLevel="0" collapsed="false">
      <c r="A2774" s="28" t="n">
        <v>2023</v>
      </c>
      <c r="B2774" s="28" t="s">
        <v>75</v>
      </c>
      <c r="C2774" s="28" t="s">
        <v>56</v>
      </c>
      <c r="D2774" s="28" t="n">
        <v>86</v>
      </c>
      <c r="E2774" s="29" t="n">
        <v>36237400</v>
      </c>
      <c r="F2774" s="30" t="n">
        <v>923.73</v>
      </c>
      <c r="G2774" s="31" t="n">
        <f aca="false">IFERROR(F2774/D2774,0)</f>
        <v>10.7410465116279</v>
      </c>
    </row>
    <row r="2775" customFormat="false" ht="15" hidden="false" customHeight="false" outlineLevel="0" collapsed="false">
      <c r="A2775" s="28" t="n">
        <v>2023</v>
      </c>
      <c r="B2775" s="28" t="s">
        <v>75</v>
      </c>
      <c r="C2775" s="28" t="s">
        <v>54</v>
      </c>
      <c r="D2775" s="28" t="n">
        <v>76</v>
      </c>
      <c r="E2775" s="29" t="n">
        <v>44644000</v>
      </c>
      <c r="F2775" s="30" t="n">
        <v>765.14</v>
      </c>
      <c r="G2775" s="31" t="n">
        <f aca="false">IFERROR(F2775/D2775,0)</f>
        <v>10.0676315789474</v>
      </c>
    </row>
    <row r="2776" customFormat="false" ht="15" hidden="false" customHeight="false" outlineLevel="0" collapsed="false">
      <c r="A2776" s="28" t="n">
        <v>2023</v>
      </c>
      <c r="B2776" s="28" t="s">
        <v>75</v>
      </c>
      <c r="C2776" s="28" t="s">
        <v>44</v>
      </c>
      <c r="D2776" s="28" t="n">
        <v>467</v>
      </c>
      <c r="E2776" s="29" t="n">
        <v>340836800</v>
      </c>
      <c r="F2776" s="30" t="n">
        <v>4502.17</v>
      </c>
      <c r="G2776" s="31" t="n">
        <f aca="false">IFERROR(F2776/D2776,0)</f>
        <v>9.64062098501071</v>
      </c>
    </row>
    <row r="2777" customFormat="false" ht="15" hidden="false" customHeight="false" outlineLevel="0" collapsed="false">
      <c r="A2777" s="28" t="n">
        <v>2023</v>
      </c>
      <c r="B2777" s="28" t="s">
        <v>75</v>
      </c>
      <c r="C2777" s="28" t="s">
        <v>57</v>
      </c>
      <c r="D2777" s="28" t="n">
        <v>69</v>
      </c>
      <c r="E2777" s="29" t="n">
        <v>22249200</v>
      </c>
      <c r="F2777" s="30" t="n">
        <v>755.372</v>
      </c>
      <c r="G2777" s="31" t="n">
        <f aca="false">IFERROR(F2777/D2777,0)</f>
        <v>10.9474202898551</v>
      </c>
    </row>
    <row r="2778" customFormat="false" ht="15" hidden="false" customHeight="false" outlineLevel="0" collapsed="false">
      <c r="A2778" s="28" t="n">
        <v>2023</v>
      </c>
      <c r="B2778" s="28" t="s">
        <v>75</v>
      </c>
      <c r="C2778" s="28" t="s">
        <v>47</v>
      </c>
      <c r="D2778" s="28" t="n">
        <v>318</v>
      </c>
      <c r="E2778" s="29" t="n">
        <v>234712300</v>
      </c>
      <c r="F2778" s="30" t="n">
        <v>3190.827</v>
      </c>
      <c r="G2778" s="31" t="n">
        <f aca="false">IFERROR(F2778/D2778,0)</f>
        <v>10.0340471698113</v>
      </c>
    </row>
    <row r="2779" customFormat="false" ht="15" hidden="false" customHeight="false" outlineLevel="0" collapsed="false">
      <c r="A2779" s="28" t="n">
        <v>2023</v>
      </c>
      <c r="B2779" s="28" t="s">
        <v>75</v>
      </c>
      <c r="C2779" s="28" t="s">
        <v>58</v>
      </c>
      <c r="D2779" s="28" t="n">
        <v>1</v>
      </c>
      <c r="E2779" s="29" t="n">
        <v>1155000</v>
      </c>
      <c r="F2779" s="30" t="n">
        <v>9.75</v>
      </c>
      <c r="G2779" s="31" t="n">
        <f aca="false">IFERROR(F2779/D2779,0)</f>
        <v>9.75</v>
      </c>
    </row>
    <row r="2780" customFormat="false" ht="15" hidden="false" customHeight="false" outlineLevel="0" collapsed="false">
      <c r="A2780" s="28" t="n">
        <v>2023</v>
      </c>
      <c r="B2780" s="28" t="s">
        <v>75</v>
      </c>
      <c r="C2780" s="28" t="s">
        <v>46</v>
      </c>
      <c r="D2780" s="28" t="n">
        <v>464</v>
      </c>
      <c r="E2780" s="29" t="n">
        <v>263577100</v>
      </c>
      <c r="F2780" s="30" t="n">
        <v>4653.5994</v>
      </c>
      <c r="G2780" s="31" t="n">
        <f aca="false">IFERROR(F2780/D2780,0)</f>
        <v>10.0293090517241</v>
      </c>
    </row>
    <row r="2781" customFormat="false" ht="15" hidden="false" customHeight="false" outlineLevel="0" collapsed="false">
      <c r="A2781" s="28" t="n">
        <v>2023</v>
      </c>
      <c r="B2781" s="28" t="s">
        <v>75</v>
      </c>
      <c r="C2781" s="28" t="s">
        <v>48</v>
      </c>
      <c r="D2781" s="28" t="n">
        <v>603</v>
      </c>
      <c r="E2781" s="29" t="n">
        <v>282900600</v>
      </c>
      <c r="F2781" s="30" t="n">
        <v>6103.343</v>
      </c>
      <c r="G2781" s="31" t="n">
        <f aca="false">IFERROR(F2781/D2781,0)</f>
        <v>10.1216301824212</v>
      </c>
    </row>
    <row r="2782" customFormat="false" ht="15" hidden="false" customHeight="false" outlineLevel="0" collapsed="false">
      <c r="A2782" s="28" t="n">
        <v>2023</v>
      </c>
      <c r="B2782" s="28" t="s">
        <v>75</v>
      </c>
      <c r="C2782" s="28" t="s">
        <v>61</v>
      </c>
      <c r="D2782" s="28" t="n">
        <v>2</v>
      </c>
      <c r="E2782" s="29" t="n">
        <v>220000</v>
      </c>
      <c r="F2782" s="30" t="n">
        <v>20.25</v>
      </c>
      <c r="G2782" s="31" t="n">
        <f aca="false">IFERROR(F2782/D2782,0)</f>
        <v>10.125</v>
      </c>
    </row>
    <row r="2783" customFormat="false" ht="15" hidden="false" customHeight="false" outlineLevel="0" collapsed="false">
      <c r="A2783" s="28" t="n">
        <v>2023</v>
      </c>
      <c r="B2783" s="28" t="s">
        <v>75</v>
      </c>
      <c r="C2783" s="28" t="s">
        <v>53</v>
      </c>
      <c r="D2783" s="28" t="n">
        <v>171</v>
      </c>
      <c r="E2783" s="29" t="n">
        <v>90109600</v>
      </c>
      <c r="F2783" s="30" t="n">
        <v>1738.067</v>
      </c>
      <c r="G2783" s="31" t="n">
        <f aca="false">IFERROR(F2783/D2783,0)</f>
        <v>10.164134502924</v>
      </c>
    </row>
    <row r="2784" customFormat="false" ht="15" hidden="false" customHeight="false" outlineLevel="0" collapsed="false">
      <c r="A2784" s="28" t="n">
        <v>2023</v>
      </c>
      <c r="B2784" s="28" t="s">
        <v>75</v>
      </c>
      <c r="C2784" s="28" t="s">
        <v>43</v>
      </c>
      <c r="D2784" s="28" t="n">
        <v>776</v>
      </c>
      <c r="E2784" s="29" t="n">
        <v>578822000</v>
      </c>
      <c r="F2784" s="30" t="n">
        <v>7795.034</v>
      </c>
      <c r="G2784" s="31" t="n">
        <f aca="false">IFERROR(F2784/D2784,0)</f>
        <v>10.0451469072165</v>
      </c>
    </row>
    <row r="2785" customFormat="false" ht="15" hidden="false" customHeight="false" outlineLevel="0" collapsed="false">
      <c r="A2785" s="28" t="n">
        <v>2023</v>
      </c>
      <c r="B2785" s="28" t="s">
        <v>75</v>
      </c>
      <c r="C2785" s="28" t="s">
        <v>52</v>
      </c>
      <c r="D2785" s="28" t="n">
        <v>322</v>
      </c>
      <c r="E2785" s="29" t="n">
        <v>147119500</v>
      </c>
      <c r="F2785" s="30" t="n">
        <v>3340.364</v>
      </c>
      <c r="G2785" s="31" t="n">
        <f aca="false">IFERROR(F2785/D2785,0)</f>
        <v>10.373801242236</v>
      </c>
    </row>
    <row r="2786" customFormat="false" ht="15" hidden="false" customHeight="false" outlineLevel="0" collapsed="false">
      <c r="A2786" s="28" t="n">
        <v>2023</v>
      </c>
      <c r="B2786" s="28" t="s">
        <v>75</v>
      </c>
      <c r="C2786" s="28" t="s">
        <v>60</v>
      </c>
      <c r="D2786" s="28" t="n">
        <v>8</v>
      </c>
      <c r="E2786" s="29" t="n">
        <v>3239000</v>
      </c>
      <c r="F2786" s="30" t="n">
        <v>82.74</v>
      </c>
      <c r="G2786" s="31" t="n">
        <f aca="false">IFERROR(F2786/D2786,0)</f>
        <v>10.3425</v>
      </c>
    </row>
    <row r="2787" customFormat="false" ht="15" hidden="false" customHeight="false" outlineLevel="0" collapsed="false">
      <c r="A2787" s="28" t="n">
        <v>2023</v>
      </c>
      <c r="B2787" s="28" t="s">
        <v>75</v>
      </c>
      <c r="C2787" s="28" t="s">
        <v>49</v>
      </c>
      <c r="D2787" s="28" t="n">
        <v>359</v>
      </c>
      <c r="E2787" s="29" t="n">
        <v>246738800</v>
      </c>
      <c r="F2787" s="30" t="n">
        <v>3512.314</v>
      </c>
      <c r="G2787" s="31" t="n">
        <f aca="false">IFERROR(F2787/D2787,0)</f>
        <v>9.78360445682451</v>
      </c>
    </row>
    <row r="2788" customFormat="false" ht="15" hidden="false" customHeight="false" outlineLevel="0" collapsed="false">
      <c r="A2788" s="28" t="n">
        <v>2023</v>
      </c>
      <c r="B2788" s="28" t="s">
        <v>83</v>
      </c>
      <c r="C2788" s="28" t="s">
        <v>42</v>
      </c>
      <c r="D2788" s="28" t="n">
        <v>173</v>
      </c>
      <c r="E2788" s="29" t="n">
        <v>111794000</v>
      </c>
      <c r="F2788" s="30" t="n">
        <v>1674.035</v>
      </c>
      <c r="G2788" s="31" t="n">
        <f aca="false">IFERROR(F2788/D2788,0)</f>
        <v>9.67650289017341</v>
      </c>
    </row>
    <row r="2789" customFormat="false" ht="15" hidden="false" customHeight="false" outlineLevel="0" collapsed="false">
      <c r="A2789" s="28" t="n">
        <v>2023</v>
      </c>
      <c r="B2789" s="28" t="s">
        <v>83</v>
      </c>
      <c r="C2789" s="28" t="s">
        <v>50</v>
      </c>
      <c r="D2789" s="28" t="n">
        <v>74</v>
      </c>
      <c r="E2789" s="29" t="n">
        <v>34638300</v>
      </c>
      <c r="F2789" s="30" t="n">
        <v>745.97</v>
      </c>
      <c r="G2789" s="31" t="n">
        <f aca="false">IFERROR(F2789/D2789,0)</f>
        <v>10.0806756756757</v>
      </c>
    </row>
    <row r="2790" customFormat="false" ht="15" hidden="false" customHeight="false" outlineLevel="0" collapsed="false">
      <c r="A2790" s="28" t="n">
        <v>2023</v>
      </c>
      <c r="B2790" s="28" t="s">
        <v>83</v>
      </c>
      <c r="C2790" s="28" t="s">
        <v>55</v>
      </c>
      <c r="D2790" s="28" t="n">
        <v>4</v>
      </c>
      <c r="E2790" s="29" t="n">
        <v>358300</v>
      </c>
      <c r="F2790" s="30" t="n">
        <v>43.25</v>
      </c>
      <c r="G2790" s="31" t="n">
        <f aca="false">IFERROR(F2790/D2790,0)</f>
        <v>10.8125</v>
      </c>
    </row>
    <row r="2791" customFormat="false" ht="15" hidden="false" customHeight="false" outlineLevel="0" collapsed="false">
      <c r="A2791" s="28" t="n">
        <v>2023</v>
      </c>
      <c r="B2791" s="28" t="s">
        <v>83</v>
      </c>
      <c r="C2791" s="28" t="s">
        <v>51</v>
      </c>
      <c r="D2791" s="28" t="n">
        <v>38</v>
      </c>
      <c r="E2791" s="29" t="n">
        <v>20411100</v>
      </c>
      <c r="F2791" s="30" t="n">
        <v>365.93</v>
      </c>
      <c r="G2791" s="31" t="n">
        <f aca="false">IFERROR(F2791/D2791,0)</f>
        <v>9.62973684210526</v>
      </c>
    </row>
    <row r="2792" customFormat="false" ht="15" hidden="false" customHeight="false" outlineLevel="0" collapsed="false">
      <c r="A2792" s="28" t="n">
        <v>2023</v>
      </c>
      <c r="B2792" s="28" t="s">
        <v>83</v>
      </c>
      <c r="C2792" s="28" t="s">
        <v>45</v>
      </c>
      <c r="D2792" s="28" t="n">
        <v>189</v>
      </c>
      <c r="E2792" s="29" t="n">
        <v>98097800</v>
      </c>
      <c r="F2792" s="30" t="n">
        <v>1879.012</v>
      </c>
      <c r="G2792" s="31" t="n">
        <f aca="false">IFERROR(F2792/D2792,0)</f>
        <v>9.94186243386243</v>
      </c>
    </row>
    <row r="2793" customFormat="false" ht="15" hidden="false" customHeight="false" outlineLevel="0" collapsed="false">
      <c r="A2793" s="28" t="n">
        <v>2023</v>
      </c>
      <c r="B2793" s="28" t="s">
        <v>83</v>
      </c>
      <c r="C2793" s="28" t="s">
        <v>56</v>
      </c>
      <c r="D2793" s="28" t="n">
        <v>21</v>
      </c>
      <c r="E2793" s="29" t="n">
        <v>11840500</v>
      </c>
      <c r="F2793" s="30" t="n">
        <v>209.835</v>
      </c>
      <c r="G2793" s="31" t="n">
        <f aca="false">IFERROR(F2793/D2793,0)</f>
        <v>9.99214285714286</v>
      </c>
    </row>
    <row r="2794" customFormat="false" ht="15" hidden="false" customHeight="false" outlineLevel="0" collapsed="false">
      <c r="A2794" s="28" t="n">
        <v>2023</v>
      </c>
      <c r="B2794" s="28" t="s">
        <v>83</v>
      </c>
      <c r="C2794" s="28" t="s">
        <v>54</v>
      </c>
      <c r="D2794" s="28" t="n">
        <v>18</v>
      </c>
      <c r="E2794" s="29" t="n">
        <v>8040100</v>
      </c>
      <c r="F2794" s="30" t="n">
        <v>171.955</v>
      </c>
      <c r="G2794" s="31" t="n">
        <f aca="false">IFERROR(F2794/D2794,0)</f>
        <v>9.55305555555556</v>
      </c>
    </row>
    <row r="2795" customFormat="false" ht="15" hidden="false" customHeight="false" outlineLevel="0" collapsed="false">
      <c r="A2795" s="28" t="n">
        <v>2023</v>
      </c>
      <c r="B2795" s="28" t="s">
        <v>83</v>
      </c>
      <c r="C2795" s="28" t="s">
        <v>44</v>
      </c>
      <c r="D2795" s="28" t="n">
        <v>127</v>
      </c>
      <c r="E2795" s="29" t="n">
        <v>93968100</v>
      </c>
      <c r="F2795" s="30" t="n">
        <v>1201.51</v>
      </c>
      <c r="G2795" s="31" t="n">
        <f aca="false">IFERROR(F2795/D2795,0)</f>
        <v>9.46070866141732</v>
      </c>
    </row>
    <row r="2796" customFormat="false" ht="15" hidden="false" customHeight="false" outlineLevel="0" collapsed="false">
      <c r="A2796" s="28" t="n">
        <v>2023</v>
      </c>
      <c r="B2796" s="28" t="s">
        <v>83</v>
      </c>
      <c r="C2796" s="28" t="s">
        <v>57</v>
      </c>
      <c r="D2796" s="28" t="n">
        <v>12</v>
      </c>
      <c r="E2796" s="29" t="n">
        <v>8319700</v>
      </c>
      <c r="F2796" s="30" t="n">
        <v>118.25</v>
      </c>
      <c r="G2796" s="31" t="n">
        <f aca="false">IFERROR(F2796/D2796,0)</f>
        <v>9.85416666666667</v>
      </c>
    </row>
    <row r="2797" customFormat="false" ht="15" hidden="false" customHeight="false" outlineLevel="0" collapsed="false">
      <c r="A2797" s="28" t="n">
        <v>2023</v>
      </c>
      <c r="B2797" s="28" t="s">
        <v>83</v>
      </c>
      <c r="C2797" s="28" t="s">
        <v>47</v>
      </c>
      <c r="D2797" s="28" t="n">
        <v>72</v>
      </c>
      <c r="E2797" s="29" t="n">
        <v>66669000</v>
      </c>
      <c r="F2797" s="30" t="n">
        <v>705.93</v>
      </c>
      <c r="G2797" s="31" t="n">
        <f aca="false">IFERROR(F2797/D2797,0)</f>
        <v>9.80458333333333</v>
      </c>
    </row>
    <row r="2798" customFormat="false" ht="15" hidden="false" customHeight="false" outlineLevel="0" collapsed="false">
      <c r="A2798" s="28" t="n">
        <v>2023</v>
      </c>
      <c r="B2798" s="28" t="s">
        <v>83</v>
      </c>
      <c r="C2798" s="28" t="s">
        <v>58</v>
      </c>
      <c r="D2798" s="28" t="n">
        <v>2</v>
      </c>
      <c r="E2798" s="29" t="n">
        <v>240000</v>
      </c>
      <c r="F2798" s="30" t="n">
        <v>20.11</v>
      </c>
      <c r="G2798" s="31" t="n">
        <f aca="false">IFERROR(F2798/D2798,0)</f>
        <v>10.055</v>
      </c>
    </row>
    <row r="2799" customFormat="false" ht="15" hidden="false" customHeight="false" outlineLevel="0" collapsed="false">
      <c r="A2799" s="28" t="n">
        <v>2023</v>
      </c>
      <c r="B2799" s="28" t="s">
        <v>83</v>
      </c>
      <c r="C2799" s="28" t="s">
        <v>46</v>
      </c>
      <c r="D2799" s="28" t="n">
        <v>137</v>
      </c>
      <c r="E2799" s="29" t="n">
        <v>72479400</v>
      </c>
      <c r="F2799" s="30" t="n">
        <v>1333.86</v>
      </c>
      <c r="G2799" s="31" t="n">
        <f aca="false">IFERROR(F2799/D2799,0)</f>
        <v>9.73620437956204</v>
      </c>
    </row>
    <row r="2800" customFormat="false" ht="15" hidden="false" customHeight="false" outlineLevel="0" collapsed="false">
      <c r="A2800" s="28" t="n">
        <v>2023</v>
      </c>
      <c r="B2800" s="28" t="s">
        <v>83</v>
      </c>
      <c r="C2800" s="28" t="s">
        <v>48</v>
      </c>
      <c r="D2800" s="28" t="n">
        <v>131</v>
      </c>
      <c r="E2800" s="29" t="n">
        <v>79559200</v>
      </c>
      <c r="F2800" s="30" t="n">
        <v>1325.92</v>
      </c>
      <c r="G2800" s="31" t="n">
        <f aca="false">IFERROR(F2800/D2800,0)</f>
        <v>10.1215267175573</v>
      </c>
    </row>
    <row r="2801" customFormat="false" ht="15" hidden="false" customHeight="false" outlineLevel="0" collapsed="false">
      <c r="A2801" s="28" t="n">
        <v>2023</v>
      </c>
      <c r="B2801" s="28" t="s">
        <v>83</v>
      </c>
      <c r="C2801" s="28" t="s">
        <v>53</v>
      </c>
      <c r="D2801" s="28" t="n">
        <v>41</v>
      </c>
      <c r="E2801" s="29" t="n">
        <v>21306400</v>
      </c>
      <c r="F2801" s="30" t="n">
        <v>410.42</v>
      </c>
      <c r="G2801" s="31" t="n">
        <f aca="false">IFERROR(F2801/D2801,0)</f>
        <v>10.010243902439</v>
      </c>
    </row>
    <row r="2802" customFormat="false" ht="15" hidden="false" customHeight="false" outlineLevel="0" collapsed="false">
      <c r="A2802" s="28" t="n">
        <v>2023</v>
      </c>
      <c r="B2802" s="28" t="s">
        <v>83</v>
      </c>
      <c r="C2802" s="28" t="s">
        <v>43</v>
      </c>
      <c r="D2802" s="28" t="n">
        <v>183</v>
      </c>
      <c r="E2802" s="29" t="n">
        <v>112779200</v>
      </c>
      <c r="F2802" s="30" t="n">
        <v>1781.72</v>
      </c>
      <c r="G2802" s="31" t="n">
        <f aca="false">IFERROR(F2802/D2802,0)</f>
        <v>9.73617486338798</v>
      </c>
    </row>
    <row r="2803" customFormat="false" ht="15" hidden="false" customHeight="false" outlineLevel="0" collapsed="false">
      <c r="A2803" s="28" t="n">
        <v>2023</v>
      </c>
      <c r="B2803" s="28" t="s">
        <v>83</v>
      </c>
      <c r="C2803" s="28" t="s">
        <v>52</v>
      </c>
      <c r="D2803" s="28" t="n">
        <v>37</v>
      </c>
      <c r="E2803" s="29" t="n">
        <v>13967600</v>
      </c>
      <c r="F2803" s="30" t="n">
        <v>402.72</v>
      </c>
      <c r="G2803" s="31" t="n">
        <f aca="false">IFERROR(F2803/D2803,0)</f>
        <v>10.8843243243243</v>
      </c>
    </row>
    <row r="2804" customFormat="false" ht="15" hidden="false" customHeight="false" outlineLevel="0" collapsed="false">
      <c r="A2804" s="28" t="n">
        <v>2023</v>
      </c>
      <c r="B2804" s="28" t="s">
        <v>83</v>
      </c>
      <c r="C2804" s="28" t="s">
        <v>60</v>
      </c>
      <c r="D2804" s="28" t="n">
        <v>2</v>
      </c>
      <c r="E2804" s="29" t="n">
        <v>400000</v>
      </c>
      <c r="F2804" s="30" t="n">
        <v>21.81</v>
      </c>
      <c r="G2804" s="31" t="n">
        <f aca="false">IFERROR(F2804/D2804,0)</f>
        <v>10.905</v>
      </c>
    </row>
    <row r="2805" customFormat="false" ht="15" hidden="false" customHeight="false" outlineLevel="0" collapsed="false">
      <c r="A2805" s="28" t="n">
        <v>2023</v>
      </c>
      <c r="B2805" s="28" t="s">
        <v>83</v>
      </c>
      <c r="C2805" s="28" t="s">
        <v>49</v>
      </c>
      <c r="D2805" s="28" t="n">
        <v>35</v>
      </c>
      <c r="E2805" s="29" t="n">
        <v>21426100</v>
      </c>
      <c r="F2805" s="30" t="n">
        <v>331.6378</v>
      </c>
      <c r="G2805" s="31" t="n">
        <f aca="false">IFERROR(F2805/D2805,0)</f>
        <v>9.47536571428572</v>
      </c>
    </row>
    <row r="2806" customFormat="false" ht="15" hidden="false" customHeight="false" outlineLevel="0" collapsed="false">
      <c r="A2806" s="28" t="n">
        <v>2023</v>
      </c>
      <c r="B2806" s="28" t="s">
        <v>85</v>
      </c>
      <c r="C2806" s="28" t="s">
        <v>42</v>
      </c>
      <c r="D2806" s="28" t="n">
        <v>62</v>
      </c>
      <c r="E2806" s="29" t="n">
        <v>27803900</v>
      </c>
      <c r="F2806" s="30" t="n">
        <v>654.55</v>
      </c>
      <c r="G2806" s="31" t="n">
        <f aca="false">IFERROR(F2806/D2806,0)</f>
        <v>10.5572580645161</v>
      </c>
    </row>
    <row r="2807" customFormat="false" ht="15" hidden="false" customHeight="false" outlineLevel="0" collapsed="false">
      <c r="A2807" s="28" t="n">
        <v>2023</v>
      </c>
      <c r="B2807" s="28" t="s">
        <v>85</v>
      </c>
      <c r="C2807" s="28" t="s">
        <v>50</v>
      </c>
      <c r="D2807" s="28" t="n">
        <v>46</v>
      </c>
      <c r="E2807" s="29" t="n">
        <v>16554600</v>
      </c>
      <c r="F2807" s="30" t="n">
        <v>474.52</v>
      </c>
      <c r="G2807" s="31" t="n">
        <f aca="false">IFERROR(F2807/D2807,0)</f>
        <v>10.315652173913</v>
      </c>
    </row>
    <row r="2808" customFormat="false" ht="15" hidden="false" customHeight="false" outlineLevel="0" collapsed="false">
      <c r="A2808" s="28" t="n">
        <v>2023</v>
      </c>
      <c r="B2808" s="28" t="s">
        <v>85</v>
      </c>
      <c r="C2808" s="28" t="s">
        <v>55</v>
      </c>
      <c r="D2808" s="28" t="n">
        <v>2</v>
      </c>
      <c r="E2808" s="29" t="n">
        <v>1220700</v>
      </c>
      <c r="F2808" s="30" t="n">
        <v>22.25</v>
      </c>
      <c r="G2808" s="31" t="n">
        <f aca="false">IFERROR(F2808/D2808,0)</f>
        <v>11.125</v>
      </c>
    </row>
    <row r="2809" customFormat="false" ht="15" hidden="false" customHeight="false" outlineLevel="0" collapsed="false">
      <c r="A2809" s="28" t="n">
        <v>2023</v>
      </c>
      <c r="B2809" s="28" t="s">
        <v>85</v>
      </c>
      <c r="C2809" s="28" t="s">
        <v>51</v>
      </c>
      <c r="D2809" s="28" t="n">
        <v>20</v>
      </c>
      <c r="E2809" s="29" t="n">
        <v>17124800</v>
      </c>
      <c r="F2809" s="30" t="n">
        <v>205.49</v>
      </c>
      <c r="G2809" s="31" t="n">
        <f aca="false">IFERROR(F2809/D2809,0)</f>
        <v>10.2745</v>
      </c>
    </row>
    <row r="2810" customFormat="false" ht="15" hidden="false" customHeight="false" outlineLevel="0" collapsed="false">
      <c r="A2810" s="28" t="n">
        <v>2023</v>
      </c>
      <c r="B2810" s="28" t="s">
        <v>85</v>
      </c>
      <c r="C2810" s="28" t="s">
        <v>45</v>
      </c>
      <c r="D2810" s="28" t="n">
        <v>100</v>
      </c>
      <c r="E2810" s="29" t="n">
        <v>26063400</v>
      </c>
      <c r="F2810" s="30" t="n">
        <v>1054.03</v>
      </c>
      <c r="G2810" s="31" t="n">
        <f aca="false">IFERROR(F2810/D2810,0)</f>
        <v>10.5403</v>
      </c>
    </row>
    <row r="2811" customFormat="false" ht="15" hidden="false" customHeight="false" outlineLevel="0" collapsed="false">
      <c r="A2811" s="28" t="n">
        <v>2023</v>
      </c>
      <c r="B2811" s="28" t="s">
        <v>85</v>
      </c>
      <c r="C2811" s="28" t="s">
        <v>56</v>
      </c>
      <c r="D2811" s="28" t="n">
        <v>10</v>
      </c>
      <c r="E2811" s="29" t="n">
        <v>5485800</v>
      </c>
      <c r="F2811" s="30" t="n">
        <v>105.15</v>
      </c>
      <c r="G2811" s="31" t="n">
        <f aca="false">IFERROR(F2811/D2811,0)</f>
        <v>10.515</v>
      </c>
    </row>
    <row r="2812" customFormat="false" ht="15" hidden="false" customHeight="false" outlineLevel="0" collapsed="false">
      <c r="A2812" s="28" t="n">
        <v>2023</v>
      </c>
      <c r="B2812" s="28" t="s">
        <v>85</v>
      </c>
      <c r="C2812" s="28" t="s">
        <v>54</v>
      </c>
      <c r="D2812" s="28" t="n">
        <v>12</v>
      </c>
      <c r="E2812" s="29" t="n">
        <v>2394000</v>
      </c>
      <c r="F2812" s="30" t="n">
        <v>134.49</v>
      </c>
      <c r="G2812" s="31" t="n">
        <f aca="false">IFERROR(F2812/D2812,0)</f>
        <v>11.2075</v>
      </c>
    </row>
    <row r="2813" customFormat="false" ht="15" hidden="false" customHeight="false" outlineLevel="0" collapsed="false">
      <c r="A2813" s="28" t="n">
        <v>2023</v>
      </c>
      <c r="B2813" s="28" t="s">
        <v>85</v>
      </c>
      <c r="C2813" s="28" t="s">
        <v>44</v>
      </c>
      <c r="D2813" s="28" t="n">
        <v>66</v>
      </c>
      <c r="E2813" s="29" t="n">
        <v>25722700</v>
      </c>
      <c r="F2813" s="30" t="n">
        <v>669.49</v>
      </c>
      <c r="G2813" s="31" t="n">
        <f aca="false">IFERROR(F2813/D2813,0)</f>
        <v>10.1437878787879</v>
      </c>
    </row>
    <row r="2814" customFormat="false" ht="15" hidden="false" customHeight="false" outlineLevel="0" collapsed="false">
      <c r="A2814" s="28" t="n">
        <v>2023</v>
      </c>
      <c r="B2814" s="28" t="s">
        <v>85</v>
      </c>
      <c r="C2814" s="28" t="s">
        <v>57</v>
      </c>
      <c r="D2814" s="28" t="n">
        <v>7</v>
      </c>
      <c r="E2814" s="29" t="n">
        <v>4890000</v>
      </c>
      <c r="F2814" s="30" t="n">
        <v>75.25</v>
      </c>
      <c r="G2814" s="31" t="n">
        <f aca="false">IFERROR(F2814/D2814,0)</f>
        <v>10.75</v>
      </c>
    </row>
    <row r="2815" customFormat="false" ht="15" hidden="false" customHeight="false" outlineLevel="0" collapsed="false">
      <c r="A2815" s="28" t="n">
        <v>2023</v>
      </c>
      <c r="B2815" s="28" t="s">
        <v>85</v>
      </c>
      <c r="C2815" s="28" t="s">
        <v>47</v>
      </c>
      <c r="D2815" s="28" t="n">
        <v>40</v>
      </c>
      <c r="E2815" s="29" t="n">
        <v>30828000</v>
      </c>
      <c r="F2815" s="30" t="n">
        <v>390.905</v>
      </c>
      <c r="G2815" s="31" t="n">
        <f aca="false">IFERROR(F2815/D2815,0)</f>
        <v>9.772625</v>
      </c>
    </row>
    <row r="2816" customFormat="false" ht="15" hidden="false" customHeight="false" outlineLevel="0" collapsed="false">
      <c r="A2816" s="28" t="n">
        <v>2023</v>
      </c>
      <c r="B2816" s="28" t="s">
        <v>85</v>
      </c>
      <c r="C2816" s="28" t="s">
        <v>58</v>
      </c>
      <c r="D2816" s="28" t="n">
        <v>1</v>
      </c>
      <c r="E2816" s="29" t="n">
        <v>150000</v>
      </c>
      <c r="F2816" s="30" t="n">
        <v>11.5</v>
      </c>
      <c r="G2816" s="31" t="n">
        <f aca="false">IFERROR(F2816/D2816,0)</f>
        <v>11.5</v>
      </c>
    </row>
    <row r="2817" customFormat="false" ht="15" hidden="false" customHeight="false" outlineLevel="0" collapsed="false">
      <c r="A2817" s="28" t="n">
        <v>2023</v>
      </c>
      <c r="B2817" s="28" t="s">
        <v>85</v>
      </c>
      <c r="C2817" s="28" t="s">
        <v>46</v>
      </c>
      <c r="D2817" s="28" t="n">
        <v>72</v>
      </c>
      <c r="E2817" s="29" t="n">
        <v>18943700</v>
      </c>
      <c r="F2817" s="30" t="n">
        <v>809.79</v>
      </c>
      <c r="G2817" s="31" t="n">
        <f aca="false">IFERROR(F2817/D2817,0)</f>
        <v>11.2470833333333</v>
      </c>
    </row>
    <row r="2818" customFormat="false" ht="15" hidden="false" customHeight="false" outlineLevel="0" collapsed="false">
      <c r="A2818" s="28" t="n">
        <v>2023</v>
      </c>
      <c r="B2818" s="28" t="s">
        <v>85</v>
      </c>
      <c r="C2818" s="28" t="s">
        <v>48</v>
      </c>
      <c r="D2818" s="28" t="n">
        <v>51</v>
      </c>
      <c r="E2818" s="29" t="n">
        <v>18088300</v>
      </c>
      <c r="F2818" s="30" t="n">
        <v>524.92</v>
      </c>
      <c r="G2818" s="31" t="n">
        <f aca="false">IFERROR(F2818/D2818,0)</f>
        <v>10.2925490196078</v>
      </c>
    </row>
    <row r="2819" customFormat="false" ht="15" hidden="false" customHeight="false" outlineLevel="0" collapsed="false">
      <c r="A2819" s="28" t="n">
        <v>2023</v>
      </c>
      <c r="B2819" s="28" t="s">
        <v>85</v>
      </c>
      <c r="C2819" s="28" t="s">
        <v>53</v>
      </c>
      <c r="D2819" s="28" t="n">
        <v>15</v>
      </c>
      <c r="E2819" s="29" t="n">
        <v>3848000</v>
      </c>
      <c r="F2819" s="30" t="n">
        <v>164.4</v>
      </c>
      <c r="G2819" s="31" t="n">
        <f aca="false">IFERROR(F2819/D2819,0)</f>
        <v>10.96</v>
      </c>
    </row>
    <row r="2820" customFormat="false" ht="15" hidden="false" customHeight="false" outlineLevel="0" collapsed="false">
      <c r="A2820" s="28" t="n">
        <v>2023</v>
      </c>
      <c r="B2820" s="28" t="s">
        <v>85</v>
      </c>
      <c r="C2820" s="28" t="s">
        <v>43</v>
      </c>
      <c r="D2820" s="28" t="n">
        <v>100</v>
      </c>
      <c r="E2820" s="29" t="n">
        <v>41462300</v>
      </c>
      <c r="F2820" s="30" t="n">
        <v>1062.69</v>
      </c>
      <c r="G2820" s="31" t="n">
        <f aca="false">IFERROR(F2820/D2820,0)</f>
        <v>10.6269</v>
      </c>
    </row>
    <row r="2821" customFormat="false" ht="15" hidden="false" customHeight="false" outlineLevel="0" collapsed="false">
      <c r="A2821" s="28" t="n">
        <v>2023</v>
      </c>
      <c r="B2821" s="28" t="s">
        <v>85</v>
      </c>
      <c r="C2821" s="28" t="s">
        <v>52</v>
      </c>
      <c r="D2821" s="28" t="n">
        <v>33</v>
      </c>
      <c r="E2821" s="29" t="n">
        <v>7522900</v>
      </c>
      <c r="F2821" s="30" t="n">
        <v>390.9</v>
      </c>
      <c r="G2821" s="31" t="n">
        <f aca="false">IFERROR(F2821/D2821,0)</f>
        <v>11.8454545454545</v>
      </c>
    </row>
    <row r="2822" customFormat="false" ht="15" hidden="false" customHeight="false" outlineLevel="0" collapsed="false">
      <c r="A2822" s="28" t="n">
        <v>2023</v>
      </c>
      <c r="B2822" s="28" t="s">
        <v>85</v>
      </c>
      <c r="C2822" s="28" t="s">
        <v>49</v>
      </c>
      <c r="D2822" s="28" t="n">
        <v>17</v>
      </c>
      <c r="E2822" s="29" t="n">
        <v>11764900</v>
      </c>
      <c r="F2822" s="30" t="n">
        <v>179.4964</v>
      </c>
      <c r="G2822" s="31" t="n">
        <f aca="false">IFERROR(F2822/D2822,0)</f>
        <v>10.5586117647059</v>
      </c>
    </row>
    <row r="2823" customFormat="false" ht="15" hidden="false" customHeight="false" outlineLevel="0" collapsed="false">
      <c r="A2823" s="28" t="n">
        <v>2023</v>
      </c>
      <c r="B2823" s="28" t="s">
        <v>87</v>
      </c>
      <c r="C2823" s="28" t="s">
        <v>42</v>
      </c>
      <c r="D2823" s="28" t="n">
        <v>18</v>
      </c>
      <c r="E2823" s="29" t="n">
        <v>8148500</v>
      </c>
      <c r="F2823" s="30" t="n">
        <v>194.28</v>
      </c>
      <c r="G2823" s="31" t="n">
        <f aca="false">IFERROR(F2823/D2823,0)</f>
        <v>10.7933333333333</v>
      </c>
    </row>
    <row r="2824" customFormat="false" ht="15" hidden="false" customHeight="false" outlineLevel="0" collapsed="false">
      <c r="A2824" s="28" t="n">
        <v>2023</v>
      </c>
      <c r="B2824" s="28" t="s">
        <v>87</v>
      </c>
      <c r="C2824" s="28" t="s">
        <v>50</v>
      </c>
      <c r="D2824" s="28" t="n">
        <v>4</v>
      </c>
      <c r="E2824" s="29" t="n">
        <v>1996000</v>
      </c>
      <c r="F2824" s="30" t="n">
        <v>47</v>
      </c>
      <c r="G2824" s="31" t="n">
        <f aca="false">IFERROR(F2824/D2824,0)</f>
        <v>11.75</v>
      </c>
    </row>
    <row r="2825" customFormat="false" ht="15" hidden="false" customHeight="false" outlineLevel="0" collapsed="false">
      <c r="A2825" s="28" t="n">
        <v>2023</v>
      </c>
      <c r="B2825" s="28" t="s">
        <v>87</v>
      </c>
      <c r="C2825" s="28" t="s">
        <v>55</v>
      </c>
      <c r="D2825" s="28" t="n">
        <v>1</v>
      </c>
      <c r="E2825" s="29" t="n">
        <v>135000</v>
      </c>
      <c r="F2825" s="30" t="n">
        <v>9.75</v>
      </c>
      <c r="G2825" s="31" t="n">
        <f aca="false">IFERROR(F2825/D2825,0)</f>
        <v>9.75</v>
      </c>
    </row>
    <row r="2826" customFormat="false" ht="15" hidden="false" customHeight="false" outlineLevel="0" collapsed="false">
      <c r="A2826" s="28" t="n">
        <v>2023</v>
      </c>
      <c r="B2826" s="28" t="s">
        <v>87</v>
      </c>
      <c r="C2826" s="28" t="s">
        <v>51</v>
      </c>
      <c r="D2826" s="28" t="n">
        <v>4</v>
      </c>
      <c r="E2826" s="29" t="n">
        <v>350000</v>
      </c>
      <c r="F2826" s="30" t="n">
        <v>48.04</v>
      </c>
      <c r="G2826" s="31" t="n">
        <f aca="false">IFERROR(F2826/D2826,0)</f>
        <v>12.01</v>
      </c>
    </row>
    <row r="2827" customFormat="false" ht="15" hidden="false" customHeight="false" outlineLevel="0" collapsed="false">
      <c r="A2827" s="28" t="n">
        <v>2023</v>
      </c>
      <c r="B2827" s="28" t="s">
        <v>87</v>
      </c>
      <c r="C2827" s="28" t="s">
        <v>45</v>
      </c>
      <c r="D2827" s="28" t="n">
        <v>4</v>
      </c>
      <c r="E2827" s="29" t="n">
        <v>969400</v>
      </c>
      <c r="F2827" s="30" t="n">
        <v>41</v>
      </c>
      <c r="G2827" s="31" t="n">
        <f aca="false">IFERROR(F2827/D2827,0)</f>
        <v>10.25</v>
      </c>
    </row>
    <row r="2828" customFormat="false" ht="15" hidden="false" customHeight="false" outlineLevel="0" collapsed="false">
      <c r="A2828" s="28" t="n">
        <v>2023</v>
      </c>
      <c r="B2828" s="28" t="s">
        <v>87</v>
      </c>
      <c r="C2828" s="28" t="s">
        <v>56</v>
      </c>
      <c r="D2828" s="28" t="n">
        <v>4</v>
      </c>
      <c r="E2828" s="29" t="n">
        <v>215000</v>
      </c>
      <c r="F2828" s="30" t="n">
        <v>48</v>
      </c>
      <c r="G2828" s="31" t="n">
        <f aca="false">IFERROR(F2828/D2828,0)</f>
        <v>12</v>
      </c>
    </row>
    <row r="2829" customFormat="false" ht="15" hidden="false" customHeight="false" outlineLevel="0" collapsed="false">
      <c r="A2829" s="28" t="n">
        <v>2023</v>
      </c>
      <c r="B2829" s="28" t="s">
        <v>87</v>
      </c>
      <c r="C2829" s="28" t="s">
        <v>44</v>
      </c>
      <c r="D2829" s="28" t="n">
        <v>6</v>
      </c>
      <c r="E2829" s="29" t="n">
        <v>1060800</v>
      </c>
      <c r="F2829" s="30" t="n">
        <v>68.4</v>
      </c>
      <c r="G2829" s="31" t="n">
        <f aca="false">IFERROR(F2829/D2829,0)</f>
        <v>11.4</v>
      </c>
    </row>
    <row r="2830" customFormat="false" ht="15" hidden="false" customHeight="false" outlineLevel="0" collapsed="false">
      <c r="A2830" s="28" t="n">
        <v>2023</v>
      </c>
      <c r="B2830" s="28" t="s">
        <v>87</v>
      </c>
      <c r="C2830" s="28" t="s">
        <v>57</v>
      </c>
      <c r="D2830" s="28" t="n">
        <v>4</v>
      </c>
      <c r="E2830" s="29" t="n">
        <v>1105000</v>
      </c>
      <c r="F2830" s="30" t="n">
        <v>44.5</v>
      </c>
      <c r="G2830" s="31" t="n">
        <f aca="false">IFERROR(F2830/D2830,0)</f>
        <v>11.125</v>
      </c>
    </row>
    <row r="2831" customFormat="false" ht="15" hidden="false" customHeight="false" outlineLevel="0" collapsed="false">
      <c r="A2831" s="28" t="n">
        <v>2023</v>
      </c>
      <c r="B2831" s="28" t="s">
        <v>87</v>
      </c>
      <c r="C2831" s="28" t="s">
        <v>47</v>
      </c>
      <c r="D2831" s="28" t="n">
        <v>7</v>
      </c>
      <c r="E2831" s="29" t="n">
        <v>5452500</v>
      </c>
      <c r="F2831" s="30" t="n">
        <v>74.75</v>
      </c>
      <c r="G2831" s="31" t="n">
        <f aca="false">IFERROR(F2831/D2831,0)</f>
        <v>10.6785714285714</v>
      </c>
    </row>
    <row r="2832" customFormat="false" ht="15" hidden="false" customHeight="false" outlineLevel="0" collapsed="false">
      <c r="A2832" s="28" t="n">
        <v>2023</v>
      </c>
      <c r="B2832" s="28" t="s">
        <v>87</v>
      </c>
      <c r="C2832" s="28" t="s">
        <v>46</v>
      </c>
      <c r="D2832" s="28" t="n">
        <v>6</v>
      </c>
      <c r="E2832" s="29" t="n">
        <v>3867800</v>
      </c>
      <c r="F2832" s="30" t="n">
        <v>66.38</v>
      </c>
      <c r="G2832" s="31" t="n">
        <f aca="false">IFERROR(F2832/D2832,0)</f>
        <v>11.0633333333333</v>
      </c>
    </row>
    <row r="2833" customFormat="false" ht="15" hidden="false" customHeight="false" outlineLevel="0" collapsed="false">
      <c r="A2833" s="28" t="n">
        <v>2023</v>
      </c>
      <c r="B2833" s="28" t="s">
        <v>87</v>
      </c>
      <c r="C2833" s="28" t="s">
        <v>48</v>
      </c>
      <c r="D2833" s="28" t="n">
        <v>22</v>
      </c>
      <c r="E2833" s="29" t="n">
        <v>6409000</v>
      </c>
      <c r="F2833" s="30" t="n">
        <v>241.64</v>
      </c>
      <c r="G2833" s="31" t="n">
        <f aca="false">IFERROR(F2833/D2833,0)</f>
        <v>10.9836363636364</v>
      </c>
    </row>
    <row r="2834" customFormat="false" ht="15" hidden="false" customHeight="false" outlineLevel="0" collapsed="false">
      <c r="A2834" s="28" t="n">
        <v>2023</v>
      </c>
      <c r="B2834" s="28" t="s">
        <v>87</v>
      </c>
      <c r="C2834" s="28" t="s">
        <v>53</v>
      </c>
      <c r="D2834" s="28" t="n">
        <v>6</v>
      </c>
      <c r="E2834" s="29" t="n">
        <v>408500</v>
      </c>
      <c r="F2834" s="30" t="n">
        <v>68.8</v>
      </c>
      <c r="G2834" s="31" t="n">
        <f aca="false">IFERROR(F2834/D2834,0)</f>
        <v>11.4666666666667</v>
      </c>
    </row>
    <row r="2835" customFormat="false" ht="15" hidden="false" customHeight="false" outlineLevel="0" collapsed="false">
      <c r="A2835" s="28" t="n">
        <v>2023</v>
      </c>
      <c r="B2835" s="28" t="s">
        <v>87</v>
      </c>
      <c r="C2835" s="28" t="s">
        <v>43</v>
      </c>
      <c r="D2835" s="28" t="n">
        <v>21</v>
      </c>
      <c r="E2835" s="29" t="n">
        <v>12963500</v>
      </c>
      <c r="F2835" s="30" t="n">
        <v>229.25</v>
      </c>
      <c r="G2835" s="31" t="n">
        <f aca="false">IFERROR(F2835/D2835,0)</f>
        <v>10.9166666666667</v>
      </c>
    </row>
    <row r="2836" customFormat="false" ht="15" hidden="false" customHeight="false" outlineLevel="0" collapsed="false">
      <c r="A2836" s="28" t="n">
        <v>2023</v>
      </c>
      <c r="B2836" s="28" t="s">
        <v>87</v>
      </c>
      <c r="C2836" s="28" t="s">
        <v>52</v>
      </c>
      <c r="D2836" s="28" t="n">
        <v>1</v>
      </c>
      <c r="E2836" s="29" t="n">
        <v>50000</v>
      </c>
      <c r="F2836" s="30" t="n">
        <v>11</v>
      </c>
      <c r="G2836" s="31" t="n">
        <f aca="false">IFERROR(F2836/D2836,0)</f>
        <v>11</v>
      </c>
    </row>
    <row r="2837" customFormat="false" ht="15" hidden="false" customHeight="false" outlineLevel="0" collapsed="false">
      <c r="A2837" s="28" t="n">
        <v>2023</v>
      </c>
      <c r="B2837" s="28" t="s">
        <v>88</v>
      </c>
      <c r="C2837" s="28" t="s">
        <v>42</v>
      </c>
      <c r="D2837" s="28" t="n">
        <v>22</v>
      </c>
      <c r="E2837" s="29" t="n">
        <v>9741500</v>
      </c>
      <c r="F2837" s="30" t="n">
        <v>232.8</v>
      </c>
      <c r="G2837" s="31" t="n">
        <f aca="false">IFERROR(F2837/D2837,0)</f>
        <v>10.5818181818182</v>
      </c>
    </row>
    <row r="2838" customFormat="false" ht="15" hidden="false" customHeight="false" outlineLevel="0" collapsed="false">
      <c r="A2838" s="28" t="n">
        <v>2023</v>
      </c>
      <c r="B2838" s="28" t="s">
        <v>88</v>
      </c>
      <c r="C2838" s="28" t="s">
        <v>50</v>
      </c>
      <c r="D2838" s="28" t="n">
        <v>15</v>
      </c>
      <c r="E2838" s="29" t="n">
        <v>4131500</v>
      </c>
      <c r="F2838" s="30" t="n">
        <v>176.59</v>
      </c>
      <c r="G2838" s="31" t="n">
        <f aca="false">IFERROR(F2838/D2838,0)</f>
        <v>11.7726666666667</v>
      </c>
    </row>
    <row r="2839" customFormat="false" ht="15" hidden="false" customHeight="false" outlineLevel="0" collapsed="false">
      <c r="A2839" s="28" t="n">
        <v>2023</v>
      </c>
      <c r="B2839" s="28" t="s">
        <v>88</v>
      </c>
      <c r="C2839" s="28" t="s">
        <v>55</v>
      </c>
      <c r="D2839" s="28" t="n">
        <v>3</v>
      </c>
      <c r="E2839" s="29" t="n">
        <v>2160000</v>
      </c>
      <c r="F2839" s="30" t="n">
        <v>22.35</v>
      </c>
      <c r="G2839" s="31" t="n">
        <f aca="false">IFERROR(F2839/D2839,0)</f>
        <v>7.45</v>
      </c>
    </row>
    <row r="2840" customFormat="false" ht="15" hidden="false" customHeight="false" outlineLevel="0" collapsed="false">
      <c r="A2840" s="28" t="n">
        <v>2023</v>
      </c>
      <c r="B2840" s="28" t="s">
        <v>88</v>
      </c>
      <c r="C2840" s="28" t="s">
        <v>51</v>
      </c>
      <c r="D2840" s="28" t="n">
        <v>5</v>
      </c>
      <c r="E2840" s="29" t="n">
        <v>4375500</v>
      </c>
      <c r="F2840" s="30" t="n">
        <v>54.05</v>
      </c>
      <c r="G2840" s="31" t="n">
        <f aca="false">IFERROR(F2840/D2840,0)</f>
        <v>10.81</v>
      </c>
    </row>
    <row r="2841" customFormat="false" ht="15" hidden="false" customHeight="false" outlineLevel="0" collapsed="false">
      <c r="A2841" s="28" t="n">
        <v>2023</v>
      </c>
      <c r="B2841" s="28" t="s">
        <v>88</v>
      </c>
      <c r="C2841" s="28" t="s">
        <v>45</v>
      </c>
      <c r="D2841" s="28" t="n">
        <v>19</v>
      </c>
      <c r="E2841" s="29" t="n">
        <v>4004500</v>
      </c>
      <c r="F2841" s="30" t="n">
        <v>217.2</v>
      </c>
      <c r="G2841" s="31" t="n">
        <f aca="false">IFERROR(F2841/D2841,0)</f>
        <v>11.4315789473684</v>
      </c>
    </row>
    <row r="2842" customFormat="false" ht="15" hidden="false" customHeight="false" outlineLevel="0" collapsed="false">
      <c r="A2842" s="28" t="n">
        <v>2023</v>
      </c>
      <c r="B2842" s="28" t="s">
        <v>88</v>
      </c>
      <c r="C2842" s="28" t="s">
        <v>56</v>
      </c>
      <c r="D2842" s="28" t="n">
        <v>2</v>
      </c>
      <c r="E2842" s="29" t="n">
        <v>100000</v>
      </c>
      <c r="F2842" s="30" t="n">
        <v>23.9</v>
      </c>
      <c r="G2842" s="31" t="n">
        <f aca="false">IFERROR(F2842/D2842,0)</f>
        <v>11.95</v>
      </c>
    </row>
    <row r="2843" customFormat="false" ht="15" hidden="false" customHeight="false" outlineLevel="0" collapsed="false">
      <c r="A2843" s="28" t="n">
        <v>2023</v>
      </c>
      <c r="B2843" s="28" t="s">
        <v>88</v>
      </c>
      <c r="C2843" s="28" t="s">
        <v>54</v>
      </c>
      <c r="D2843" s="28" t="n">
        <v>3</v>
      </c>
      <c r="E2843" s="29" t="n">
        <v>965000</v>
      </c>
      <c r="F2843" s="30" t="n">
        <v>25.97</v>
      </c>
      <c r="G2843" s="31" t="n">
        <f aca="false">IFERROR(F2843/D2843,0)</f>
        <v>8.65666666666667</v>
      </c>
    </row>
    <row r="2844" customFormat="false" ht="15" hidden="false" customHeight="false" outlineLevel="0" collapsed="false">
      <c r="A2844" s="28" t="n">
        <v>2023</v>
      </c>
      <c r="B2844" s="28" t="s">
        <v>88</v>
      </c>
      <c r="C2844" s="28" t="s">
        <v>44</v>
      </c>
      <c r="D2844" s="28" t="n">
        <v>11</v>
      </c>
      <c r="E2844" s="29" t="n">
        <v>4675000</v>
      </c>
      <c r="F2844" s="30" t="n">
        <v>131.5</v>
      </c>
      <c r="G2844" s="31" t="n">
        <f aca="false">IFERROR(F2844/D2844,0)</f>
        <v>11.9545454545455</v>
      </c>
    </row>
    <row r="2845" customFormat="false" ht="15" hidden="false" customHeight="false" outlineLevel="0" collapsed="false">
      <c r="A2845" s="28" t="n">
        <v>2023</v>
      </c>
      <c r="B2845" s="28" t="s">
        <v>88</v>
      </c>
      <c r="C2845" s="28" t="s">
        <v>57</v>
      </c>
      <c r="D2845" s="28" t="n">
        <v>3</v>
      </c>
      <c r="E2845" s="29" t="n">
        <v>90000</v>
      </c>
      <c r="F2845" s="30" t="n">
        <v>37.75</v>
      </c>
      <c r="G2845" s="31" t="n">
        <f aca="false">IFERROR(F2845/D2845,0)</f>
        <v>12.5833333333333</v>
      </c>
    </row>
    <row r="2846" customFormat="false" ht="15" hidden="false" customHeight="false" outlineLevel="0" collapsed="false">
      <c r="A2846" s="28" t="n">
        <v>2023</v>
      </c>
      <c r="B2846" s="28" t="s">
        <v>88</v>
      </c>
      <c r="C2846" s="28" t="s">
        <v>47</v>
      </c>
      <c r="D2846" s="28" t="n">
        <v>14</v>
      </c>
      <c r="E2846" s="29" t="n">
        <v>14114500</v>
      </c>
      <c r="F2846" s="30" t="n">
        <v>135.05</v>
      </c>
      <c r="G2846" s="31" t="n">
        <f aca="false">IFERROR(F2846/D2846,0)</f>
        <v>9.64642857142857</v>
      </c>
    </row>
    <row r="2847" customFormat="false" ht="15" hidden="false" customHeight="false" outlineLevel="0" collapsed="false">
      <c r="A2847" s="28" t="n">
        <v>2023</v>
      </c>
      <c r="B2847" s="28" t="s">
        <v>88</v>
      </c>
      <c r="C2847" s="28" t="s">
        <v>46</v>
      </c>
      <c r="D2847" s="28" t="n">
        <v>18</v>
      </c>
      <c r="E2847" s="29" t="n">
        <v>4775400</v>
      </c>
      <c r="F2847" s="30" t="n">
        <v>199.75</v>
      </c>
      <c r="G2847" s="31" t="n">
        <f aca="false">IFERROR(F2847/D2847,0)</f>
        <v>11.0972222222222</v>
      </c>
    </row>
    <row r="2848" customFormat="false" ht="15" hidden="false" customHeight="false" outlineLevel="0" collapsed="false">
      <c r="A2848" s="28" t="n">
        <v>2023</v>
      </c>
      <c r="B2848" s="28" t="s">
        <v>88</v>
      </c>
      <c r="C2848" s="28" t="s">
        <v>48</v>
      </c>
      <c r="D2848" s="28" t="n">
        <v>21</v>
      </c>
      <c r="E2848" s="29" t="n">
        <v>6904200</v>
      </c>
      <c r="F2848" s="30" t="n">
        <v>205.89</v>
      </c>
      <c r="G2848" s="31" t="n">
        <f aca="false">IFERROR(F2848/D2848,0)</f>
        <v>9.80428571428571</v>
      </c>
    </row>
    <row r="2849" customFormat="false" ht="15" hidden="false" customHeight="false" outlineLevel="0" collapsed="false">
      <c r="A2849" s="28" t="n">
        <v>2023</v>
      </c>
      <c r="B2849" s="28" t="s">
        <v>88</v>
      </c>
      <c r="C2849" s="28" t="s">
        <v>53</v>
      </c>
      <c r="D2849" s="28" t="n">
        <v>7</v>
      </c>
      <c r="E2849" s="29" t="n">
        <v>2535000</v>
      </c>
      <c r="F2849" s="30" t="n">
        <v>79.65</v>
      </c>
      <c r="G2849" s="31" t="n">
        <f aca="false">IFERROR(F2849/D2849,0)</f>
        <v>11.3785714285714</v>
      </c>
    </row>
    <row r="2850" customFormat="false" ht="15" hidden="false" customHeight="false" outlineLevel="0" collapsed="false">
      <c r="A2850" s="28" t="n">
        <v>2023</v>
      </c>
      <c r="B2850" s="28" t="s">
        <v>88</v>
      </c>
      <c r="C2850" s="28" t="s">
        <v>43</v>
      </c>
      <c r="D2850" s="28" t="n">
        <v>19</v>
      </c>
      <c r="E2850" s="29" t="n">
        <v>4246500</v>
      </c>
      <c r="F2850" s="30" t="n">
        <v>208</v>
      </c>
      <c r="G2850" s="31" t="n">
        <f aca="false">IFERROR(F2850/D2850,0)</f>
        <v>10.9473684210526</v>
      </c>
    </row>
    <row r="2851" customFormat="false" ht="15" hidden="false" customHeight="false" outlineLevel="0" collapsed="false">
      <c r="A2851" s="28" t="n">
        <v>2023</v>
      </c>
      <c r="B2851" s="28" t="s">
        <v>88</v>
      </c>
      <c r="C2851" s="28" t="s">
        <v>52</v>
      </c>
      <c r="D2851" s="28" t="n">
        <v>13</v>
      </c>
      <c r="E2851" s="29" t="n">
        <v>1914500</v>
      </c>
      <c r="F2851" s="30" t="n">
        <v>143.24</v>
      </c>
      <c r="G2851" s="31" t="n">
        <f aca="false">IFERROR(F2851/D2851,0)</f>
        <v>11.0184615384615</v>
      </c>
    </row>
    <row r="2852" customFormat="false" ht="15" hidden="false" customHeight="false" outlineLevel="0" collapsed="false">
      <c r="A2852" s="28" t="n">
        <v>2023</v>
      </c>
      <c r="B2852" s="28" t="s">
        <v>88</v>
      </c>
      <c r="C2852" s="28" t="s">
        <v>49</v>
      </c>
      <c r="D2852" s="28" t="n">
        <v>6</v>
      </c>
      <c r="E2852" s="29" t="n">
        <v>5089000</v>
      </c>
      <c r="F2852" s="30" t="n">
        <v>68.95</v>
      </c>
      <c r="G2852" s="31" t="n">
        <f aca="false">IFERROR(F2852/D2852,0)</f>
        <v>11.4916666666667</v>
      </c>
    </row>
    <row r="2853" customFormat="false" ht="15" hidden="false" customHeight="false" outlineLevel="0" collapsed="false">
      <c r="A2853" s="28" t="n">
        <v>2023</v>
      </c>
      <c r="B2853" s="28" t="s">
        <v>79</v>
      </c>
      <c r="C2853" s="28" t="s">
        <v>42</v>
      </c>
      <c r="D2853" s="28" t="n">
        <v>403</v>
      </c>
      <c r="E2853" s="29" t="n">
        <v>312942000</v>
      </c>
      <c r="F2853" s="30" t="n">
        <v>4097.875</v>
      </c>
      <c r="G2853" s="31" t="n">
        <f aca="false">IFERROR(F2853/D2853,0)</f>
        <v>10.1684243176179</v>
      </c>
    </row>
    <row r="2854" customFormat="false" ht="15" hidden="false" customHeight="false" outlineLevel="0" collapsed="false">
      <c r="A2854" s="28" t="n">
        <v>2023</v>
      </c>
      <c r="B2854" s="28" t="s">
        <v>79</v>
      </c>
      <c r="C2854" s="28" t="s">
        <v>50</v>
      </c>
      <c r="D2854" s="28" t="n">
        <v>290</v>
      </c>
      <c r="E2854" s="29" t="n">
        <v>118157100</v>
      </c>
      <c r="F2854" s="30" t="n">
        <v>3114.313</v>
      </c>
      <c r="G2854" s="31" t="n">
        <f aca="false">IFERROR(F2854/D2854,0)</f>
        <v>10.7390103448276</v>
      </c>
    </row>
    <row r="2855" customFormat="false" ht="15" hidden="false" customHeight="false" outlineLevel="0" collapsed="false">
      <c r="A2855" s="28" t="n">
        <v>2023</v>
      </c>
      <c r="B2855" s="28" t="s">
        <v>79</v>
      </c>
      <c r="C2855" s="28" t="s">
        <v>55</v>
      </c>
      <c r="D2855" s="28" t="n">
        <v>13</v>
      </c>
      <c r="E2855" s="29" t="n">
        <v>8095800</v>
      </c>
      <c r="F2855" s="30" t="n">
        <v>134.54</v>
      </c>
      <c r="G2855" s="31" t="n">
        <f aca="false">IFERROR(F2855/D2855,0)</f>
        <v>10.3492307692308</v>
      </c>
    </row>
    <row r="2856" customFormat="false" ht="15" hidden="false" customHeight="false" outlineLevel="0" collapsed="false">
      <c r="A2856" s="28" t="n">
        <v>2023</v>
      </c>
      <c r="B2856" s="28" t="s">
        <v>79</v>
      </c>
      <c r="C2856" s="28" t="s">
        <v>51</v>
      </c>
      <c r="D2856" s="28" t="n">
        <v>114</v>
      </c>
      <c r="E2856" s="29" t="n">
        <v>43674700</v>
      </c>
      <c r="F2856" s="30" t="n">
        <v>1191.475</v>
      </c>
      <c r="G2856" s="31" t="n">
        <f aca="false">IFERROR(F2856/D2856,0)</f>
        <v>10.4515350877193</v>
      </c>
    </row>
    <row r="2857" customFormat="false" ht="15" hidden="false" customHeight="false" outlineLevel="0" collapsed="false">
      <c r="A2857" s="28" t="n">
        <v>2023</v>
      </c>
      <c r="B2857" s="28" t="s">
        <v>79</v>
      </c>
      <c r="C2857" s="28" t="s">
        <v>45</v>
      </c>
      <c r="D2857" s="28" t="n">
        <v>578</v>
      </c>
      <c r="E2857" s="29" t="n">
        <v>257870600</v>
      </c>
      <c r="F2857" s="30" t="n">
        <v>6230.507</v>
      </c>
      <c r="G2857" s="31" t="n">
        <f aca="false">IFERROR(F2857/D2857,0)</f>
        <v>10.7794238754325</v>
      </c>
    </row>
    <row r="2858" customFormat="false" ht="15" hidden="false" customHeight="false" outlineLevel="0" collapsed="false">
      <c r="A2858" s="28" t="n">
        <v>2023</v>
      </c>
      <c r="B2858" s="28" t="s">
        <v>79</v>
      </c>
      <c r="C2858" s="28" t="s">
        <v>56</v>
      </c>
      <c r="D2858" s="28" t="n">
        <v>58</v>
      </c>
      <c r="E2858" s="29" t="n">
        <v>16984200</v>
      </c>
      <c r="F2858" s="30" t="n">
        <v>652.71</v>
      </c>
      <c r="G2858" s="31" t="n">
        <f aca="false">IFERROR(F2858/D2858,0)</f>
        <v>11.2536206896552</v>
      </c>
    </row>
    <row r="2859" customFormat="false" ht="15" hidden="false" customHeight="false" outlineLevel="0" collapsed="false">
      <c r="A2859" s="28" t="n">
        <v>2023</v>
      </c>
      <c r="B2859" s="28" t="s">
        <v>79</v>
      </c>
      <c r="C2859" s="28" t="s">
        <v>54</v>
      </c>
      <c r="D2859" s="28" t="n">
        <v>91</v>
      </c>
      <c r="E2859" s="29" t="n">
        <v>37385500</v>
      </c>
      <c r="F2859" s="30" t="n">
        <v>953.599</v>
      </c>
      <c r="G2859" s="31" t="n">
        <f aca="false">IFERROR(F2859/D2859,0)</f>
        <v>10.4791098901099</v>
      </c>
    </row>
    <row r="2860" customFormat="false" ht="15" hidden="false" customHeight="false" outlineLevel="0" collapsed="false">
      <c r="A2860" s="28" t="n">
        <v>2023</v>
      </c>
      <c r="B2860" s="28" t="s">
        <v>79</v>
      </c>
      <c r="C2860" s="28" t="s">
        <v>44</v>
      </c>
      <c r="D2860" s="28" t="n">
        <v>397</v>
      </c>
      <c r="E2860" s="29" t="n">
        <v>214564100</v>
      </c>
      <c r="F2860" s="30" t="n">
        <v>4045.894</v>
      </c>
      <c r="G2860" s="31" t="n">
        <f aca="false">IFERROR(F2860/D2860,0)</f>
        <v>10.1911687657431</v>
      </c>
    </row>
    <row r="2861" customFormat="false" ht="15" hidden="false" customHeight="false" outlineLevel="0" collapsed="false">
      <c r="A2861" s="28" t="n">
        <v>2023</v>
      </c>
      <c r="B2861" s="28" t="s">
        <v>79</v>
      </c>
      <c r="C2861" s="28" t="s">
        <v>57</v>
      </c>
      <c r="D2861" s="28" t="n">
        <v>21</v>
      </c>
      <c r="E2861" s="29" t="n">
        <v>6182700</v>
      </c>
      <c r="F2861" s="30" t="n">
        <v>226.97</v>
      </c>
      <c r="G2861" s="31" t="n">
        <f aca="false">IFERROR(F2861/D2861,0)</f>
        <v>10.8080952380952</v>
      </c>
    </row>
    <row r="2862" customFormat="false" ht="15" hidden="false" customHeight="false" outlineLevel="0" collapsed="false">
      <c r="A2862" s="28" t="n">
        <v>2023</v>
      </c>
      <c r="B2862" s="28" t="s">
        <v>79</v>
      </c>
      <c r="C2862" s="28" t="s">
        <v>59</v>
      </c>
      <c r="D2862" s="28" t="n">
        <v>1</v>
      </c>
      <c r="E2862" s="29" t="n">
        <v>325000</v>
      </c>
      <c r="F2862" s="30" t="n">
        <v>10.75</v>
      </c>
      <c r="G2862" s="31" t="n">
        <f aca="false">IFERROR(F2862/D2862,0)</f>
        <v>10.75</v>
      </c>
    </row>
    <row r="2863" customFormat="false" ht="15" hidden="false" customHeight="false" outlineLevel="0" collapsed="false">
      <c r="A2863" s="28" t="n">
        <v>2023</v>
      </c>
      <c r="B2863" s="28" t="s">
        <v>79</v>
      </c>
      <c r="C2863" s="28" t="s">
        <v>47</v>
      </c>
      <c r="D2863" s="28" t="n">
        <v>197</v>
      </c>
      <c r="E2863" s="29" t="n">
        <v>159530600</v>
      </c>
      <c r="F2863" s="30" t="n">
        <v>2025</v>
      </c>
      <c r="G2863" s="31" t="n">
        <f aca="false">IFERROR(F2863/D2863,0)</f>
        <v>10.2791878172589</v>
      </c>
    </row>
    <row r="2864" customFormat="false" ht="15" hidden="false" customHeight="false" outlineLevel="0" collapsed="false">
      <c r="A2864" s="28" t="n">
        <v>2023</v>
      </c>
      <c r="B2864" s="28" t="s">
        <v>79</v>
      </c>
      <c r="C2864" s="28" t="s">
        <v>58</v>
      </c>
      <c r="D2864" s="28" t="n">
        <v>1</v>
      </c>
      <c r="E2864" s="29" t="n">
        <v>1500000</v>
      </c>
      <c r="F2864" s="30" t="n">
        <v>11.25</v>
      </c>
      <c r="G2864" s="31" t="n">
        <f aca="false">IFERROR(F2864/D2864,0)</f>
        <v>11.25</v>
      </c>
    </row>
    <row r="2865" customFormat="false" ht="15" hidden="false" customHeight="false" outlineLevel="0" collapsed="false">
      <c r="A2865" s="28" t="n">
        <v>2023</v>
      </c>
      <c r="B2865" s="28" t="s">
        <v>79</v>
      </c>
      <c r="C2865" s="28" t="s">
        <v>46</v>
      </c>
      <c r="D2865" s="28" t="n">
        <v>375</v>
      </c>
      <c r="E2865" s="29" t="n">
        <v>148443100</v>
      </c>
      <c r="F2865" s="30" t="n">
        <v>4071.45</v>
      </c>
      <c r="G2865" s="31" t="n">
        <f aca="false">IFERROR(F2865/D2865,0)</f>
        <v>10.8572</v>
      </c>
    </row>
    <row r="2866" customFormat="false" ht="15" hidden="false" customHeight="false" outlineLevel="0" collapsed="false">
      <c r="A2866" s="28" t="n">
        <v>2023</v>
      </c>
      <c r="B2866" s="28" t="s">
        <v>79</v>
      </c>
      <c r="C2866" s="28" t="s">
        <v>48</v>
      </c>
      <c r="D2866" s="28" t="n">
        <v>471</v>
      </c>
      <c r="E2866" s="29" t="n">
        <v>178554200</v>
      </c>
      <c r="F2866" s="30" t="n">
        <v>5082.353</v>
      </c>
      <c r="G2866" s="31" t="n">
        <f aca="false">IFERROR(F2866/D2866,0)</f>
        <v>10.7905583864119</v>
      </c>
    </row>
    <row r="2867" customFormat="false" ht="15" hidden="false" customHeight="false" outlineLevel="0" collapsed="false">
      <c r="A2867" s="28" t="n">
        <v>2023</v>
      </c>
      <c r="B2867" s="28" t="s">
        <v>79</v>
      </c>
      <c r="C2867" s="28" t="s">
        <v>61</v>
      </c>
      <c r="D2867" s="28" t="n">
        <v>1</v>
      </c>
      <c r="E2867" s="29" t="n">
        <v>135000</v>
      </c>
      <c r="F2867" s="30" t="n">
        <v>10.5</v>
      </c>
      <c r="G2867" s="31" t="n">
        <f aca="false">IFERROR(F2867/D2867,0)</f>
        <v>10.5</v>
      </c>
    </row>
    <row r="2868" customFormat="false" ht="15" hidden="false" customHeight="false" outlineLevel="0" collapsed="false">
      <c r="A2868" s="28" t="n">
        <v>2023</v>
      </c>
      <c r="B2868" s="28" t="s">
        <v>79</v>
      </c>
      <c r="C2868" s="28" t="s">
        <v>53</v>
      </c>
      <c r="D2868" s="28" t="n">
        <v>133</v>
      </c>
      <c r="E2868" s="29" t="n">
        <v>51534200</v>
      </c>
      <c r="F2868" s="30" t="n">
        <v>1443.525</v>
      </c>
      <c r="G2868" s="31" t="n">
        <f aca="false">IFERROR(F2868/D2868,0)</f>
        <v>10.8535714285714</v>
      </c>
    </row>
    <row r="2869" customFormat="false" ht="15" hidden="false" customHeight="false" outlineLevel="0" collapsed="false">
      <c r="A2869" s="28" t="n">
        <v>2023</v>
      </c>
      <c r="B2869" s="28" t="s">
        <v>79</v>
      </c>
      <c r="C2869" s="28" t="s">
        <v>43</v>
      </c>
      <c r="D2869" s="28" t="n">
        <v>409</v>
      </c>
      <c r="E2869" s="29" t="n">
        <v>181978100</v>
      </c>
      <c r="F2869" s="30" t="n">
        <v>4378.668</v>
      </c>
      <c r="G2869" s="31" t="n">
        <f aca="false">IFERROR(F2869/D2869,0)</f>
        <v>10.7057897310513</v>
      </c>
    </row>
    <row r="2870" customFormat="false" ht="15" hidden="false" customHeight="false" outlineLevel="0" collapsed="false">
      <c r="A2870" s="28" t="n">
        <v>2023</v>
      </c>
      <c r="B2870" s="28" t="s">
        <v>79</v>
      </c>
      <c r="C2870" s="28" t="s">
        <v>52</v>
      </c>
      <c r="D2870" s="28" t="n">
        <v>266</v>
      </c>
      <c r="E2870" s="29" t="n">
        <v>82216200</v>
      </c>
      <c r="F2870" s="30" t="n">
        <v>3022</v>
      </c>
      <c r="G2870" s="31" t="n">
        <f aca="false">IFERROR(F2870/D2870,0)</f>
        <v>11.3609022556391</v>
      </c>
    </row>
    <row r="2871" customFormat="false" ht="15" hidden="false" customHeight="false" outlineLevel="0" collapsed="false">
      <c r="A2871" s="28" t="n">
        <v>2023</v>
      </c>
      <c r="B2871" s="28" t="s">
        <v>79</v>
      </c>
      <c r="C2871" s="28" t="s">
        <v>60</v>
      </c>
      <c r="D2871" s="28" t="n">
        <v>7</v>
      </c>
      <c r="E2871" s="29" t="n">
        <v>4598000</v>
      </c>
      <c r="F2871" s="30" t="n">
        <v>71.25</v>
      </c>
      <c r="G2871" s="31" t="n">
        <f aca="false">IFERROR(F2871/D2871,0)</f>
        <v>10.1785714285714</v>
      </c>
    </row>
    <row r="2872" customFormat="false" ht="15" hidden="false" customHeight="false" outlineLevel="0" collapsed="false">
      <c r="A2872" s="28" t="n">
        <v>2023</v>
      </c>
      <c r="B2872" s="28" t="s">
        <v>79</v>
      </c>
      <c r="C2872" s="28" t="s">
        <v>49</v>
      </c>
      <c r="D2872" s="28" t="n">
        <v>292</v>
      </c>
      <c r="E2872" s="29" t="n">
        <v>152798800</v>
      </c>
      <c r="F2872" s="30" t="n">
        <v>3162.88</v>
      </c>
      <c r="G2872" s="31" t="n">
        <f aca="false">IFERROR(F2872/D2872,0)</f>
        <v>10.8317808219178</v>
      </c>
    </row>
    <row r="2873" customFormat="false" ht="15" hidden="false" customHeight="false" outlineLevel="0" collapsed="false">
      <c r="A2873" s="28" t="n">
        <v>2023</v>
      </c>
      <c r="B2873" s="28" t="s">
        <v>81</v>
      </c>
      <c r="C2873" s="28" t="s">
        <v>42</v>
      </c>
      <c r="D2873" s="28" t="n">
        <v>258</v>
      </c>
      <c r="E2873" s="29" t="n">
        <v>238610400</v>
      </c>
      <c r="F2873" s="30" t="n">
        <v>2553.35</v>
      </c>
      <c r="G2873" s="31" t="n">
        <f aca="false">IFERROR(F2873/D2873,0)</f>
        <v>9.89670542635659</v>
      </c>
    </row>
    <row r="2874" customFormat="false" ht="15" hidden="false" customHeight="false" outlineLevel="0" collapsed="false">
      <c r="A2874" s="28" t="n">
        <v>2023</v>
      </c>
      <c r="B2874" s="28" t="s">
        <v>81</v>
      </c>
      <c r="C2874" s="28" t="s">
        <v>50</v>
      </c>
      <c r="D2874" s="28" t="n">
        <v>84</v>
      </c>
      <c r="E2874" s="29" t="n">
        <v>28749200</v>
      </c>
      <c r="F2874" s="30" t="n">
        <v>876.79</v>
      </c>
      <c r="G2874" s="31" t="n">
        <f aca="false">IFERROR(F2874/D2874,0)</f>
        <v>10.4379761904762</v>
      </c>
    </row>
    <row r="2875" customFormat="false" ht="15" hidden="false" customHeight="false" outlineLevel="0" collapsed="false">
      <c r="A2875" s="28" t="n">
        <v>2023</v>
      </c>
      <c r="B2875" s="28" t="s">
        <v>81</v>
      </c>
      <c r="C2875" s="28" t="s">
        <v>55</v>
      </c>
      <c r="D2875" s="28" t="n">
        <v>25</v>
      </c>
      <c r="E2875" s="29" t="n">
        <v>24719600</v>
      </c>
      <c r="F2875" s="30" t="n">
        <v>242.65</v>
      </c>
      <c r="G2875" s="31" t="n">
        <f aca="false">IFERROR(F2875/D2875,0)</f>
        <v>9.706</v>
      </c>
    </row>
    <row r="2876" customFormat="false" ht="15" hidden="false" customHeight="false" outlineLevel="0" collapsed="false">
      <c r="A2876" s="28" t="n">
        <v>2023</v>
      </c>
      <c r="B2876" s="28" t="s">
        <v>81</v>
      </c>
      <c r="C2876" s="28" t="s">
        <v>51</v>
      </c>
      <c r="D2876" s="28" t="n">
        <v>65</v>
      </c>
      <c r="E2876" s="29" t="n">
        <v>20743900</v>
      </c>
      <c r="F2876" s="30" t="n">
        <v>703.5</v>
      </c>
      <c r="G2876" s="31" t="n">
        <f aca="false">IFERROR(F2876/D2876,0)</f>
        <v>10.8230769230769</v>
      </c>
    </row>
    <row r="2877" customFormat="false" ht="15" hidden="false" customHeight="false" outlineLevel="0" collapsed="false">
      <c r="A2877" s="28" t="n">
        <v>2023</v>
      </c>
      <c r="B2877" s="28" t="s">
        <v>81</v>
      </c>
      <c r="C2877" s="28" t="s">
        <v>45</v>
      </c>
      <c r="D2877" s="28" t="n">
        <v>132</v>
      </c>
      <c r="E2877" s="29" t="n">
        <v>59007500</v>
      </c>
      <c r="F2877" s="30" t="n">
        <v>1407.9594</v>
      </c>
      <c r="G2877" s="31" t="n">
        <f aca="false">IFERROR(F2877/D2877,0)</f>
        <v>10.6663590909091</v>
      </c>
    </row>
    <row r="2878" customFormat="false" ht="15" hidden="false" customHeight="false" outlineLevel="0" collapsed="false">
      <c r="A2878" s="28" t="n">
        <v>2023</v>
      </c>
      <c r="B2878" s="28" t="s">
        <v>81</v>
      </c>
      <c r="C2878" s="28" t="s">
        <v>56</v>
      </c>
      <c r="D2878" s="28" t="n">
        <v>20</v>
      </c>
      <c r="E2878" s="29" t="n">
        <v>7339200</v>
      </c>
      <c r="F2878" s="30" t="n">
        <v>210.25</v>
      </c>
      <c r="G2878" s="31" t="n">
        <f aca="false">IFERROR(F2878/D2878,0)</f>
        <v>10.5125</v>
      </c>
    </row>
    <row r="2879" customFormat="false" ht="15" hidden="false" customHeight="false" outlineLevel="0" collapsed="false">
      <c r="A2879" s="28" t="n">
        <v>2023</v>
      </c>
      <c r="B2879" s="28" t="s">
        <v>81</v>
      </c>
      <c r="C2879" s="28" t="s">
        <v>54</v>
      </c>
      <c r="D2879" s="28" t="n">
        <v>27</v>
      </c>
      <c r="E2879" s="29" t="n">
        <v>11707700</v>
      </c>
      <c r="F2879" s="30" t="n">
        <v>276.81</v>
      </c>
      <c r="G2879" s="31" t="n">
        <f aca="false">IFERROR(F2879/D2879,0)</f>
        <v>10.2522222222222</v>
      </c>
    </row>
    <row r="2880" customFormat="false" ht="15" hidden="false" customHeight="false" outlineLevel="0" collapsed="false">
      <c r="A2880" s="28" t="n">
        <v>2023</v>
      </c>
      <c r="B2880" s="28" t="s">
        <v>81</v>
      </c>
      <c r="C2880" s="28" t="s">
        <v>44</v>
      </c>
      <c r="D2880" s="28" t="n">
        <v>164</v>
      </c>
      <c r="E2880" s="29" t="n">
        <v>113034400</v>
      </c>
      <c r="F2880" s="30" t="n">
        <v>1604.74</v>
      </c>
      <c r="G2880" s="31" t="n">
        <f aca="false">IFERROR(F2880/D2880,0)</f>
        <v>9.785</v>
      </c>
    </row>
    <row r="2881" customFormat="false" ht="15" hidden="false" customHeight="false" outlineLevel="0" collapsed="false">
      <c r="A2881" s="28" t="n">
        <v>2023</v>
      </c>
      <c r="B2881" s="28" t="s">
        <v>81</v>
      </c>
      <c r="C2881" s="28" t="s">
        <v>57</v>
      </c>
      <c r="D2881" s="28" t="n">
        <v>14</v>
      </c>
      <c r="E2881" s="29" t="n">
        <v>2065600</v>
      </c>
      <c r="F2881" s="30" t="n">
        <v>152.78</v>
      </c>
      <c r="G2881" s="31" t="n">
        <f aca="false">IFERROR(F2881/D2881,0)</f>
        <v>10.9128571428571</v>
      </c>
    </row>
    <row r="2882" customFormat="false" ht="15" hidden="false" customHeight="false" outlineLevel="0" collapsed="false">
      <c r="A2882" s="28" t="n">
        <v>2023</v>
      </c>
      <c r="B2882" s="28" t="s">
        <v>81</v>
      </c>
      <c r="C2882" s="28" t="s">
        <v>47</v>
      </c>
      <c r="D2882" s="28" t="n">
        <v>72</v>
      </c>
      <c r="E2882" s="29" t="n">
        <v>60165300</v>
      </c>
      <c r="F2882" s="30" t="n">
        <v>714.992</v>
      </c>
      <c r="G2882" s="31" t="n">
        <f aca="false">IFERROR(F2882/D2882,0)</f>
        <v>9.93044444444444</v>
      </c>
    </row>
    <row r="2883" customFormat="false" ht="15" hidden="false" customHeight="false" outlineLevel="0" collapsed="false">
      <c r="A2883" s="28" t="n">
        <v>2023</v>
      </c>
      <c r="B2883" s="28" t="s">
        <v>81</v>
      </c>
      <c r="C2883" s="28" t="s">
        <v>58</v>
      </c>
      <c r="D2883" s="28" t="n">
        <v>3</v>
      </c>
      <c r="E2883" s="29" t="n">
        <v>1142000</v>
      </c>
      <c r="F2883" s="30" t="n">
        <v>31</v>
      </c>
      <c r="G2883" s="31" t="n">
        <f aca="false">IFERROR(F2883/D2883,0)</f>
        <v>10.3333333333333</v>
      </c>
    </row>
    <row r="2884" customFormat="false" ht="15" hidden="false" customHeight="false" outlineLevel="0" collapsed="false">
      <c r="A2884" s="28" t="n">
        <v>2023</v>
      </c>
      <c r="B2884" s="28" t="s">
        <v>81</v>
      </c>
      <c r="C2884" s="28" t="s">
        <v>46</v>
      </c>
      <c r="D2884" s="28" t="n">
        <v>128</v>
      </c>
      <c r="E2884" s="29" t="n">
        <v>88745200</v>
      </c>
      <c r="F2884" s="30" t="n">
        <v>1317.85</v>
      </c>
      <c r="G2884" s="31" t="n">
        <f aca="false">IFERROR(F2884/D2884,0)</f>
        <v>10.295703125</v>
      </c>
    </row>
    <row r="2885" customFormat="false" ht="15" hidden="false" customHeight="false" outlineLevel="0" collapsed="false">
      <c r="A2885" s="28" t="n">
        <v>2023</v>
      </c>
      <c r="B2885" s="28" t="s">
        <v>81</v>
      </c>
      <c r="C2885" s="28" t="s">
        <v>48</v>
      </c>
      <c r="D2885" s="28" t="n">
        <v>127</v>
      </c>
      <c r="E2885" s="29" t="n">
        <v>46983000</v>
      </c>
      <c r="F2885" s="30" t="n">
        <v>1349.2</v>
      </c>
      <c r="G2885" s="31" t="n">
        <f aca="false">IFERROR(F2885/D2885,0)</f>
        <v>10.6236220472441</v>
      </c>
    </row>
    <row r="2886" customFormat="false" ht="15" hidden="false" customHeight="false" outlineLevel="0" collapsed="false">
      <c r="A2886" s="28" t="n">
        <v>2023</v>
      </c>
      <c r="B2886" s="28" t="s">
        <v>81</v>
      </c>
      <c r="C2886" s="28" t="s">
        <v>53</v>
      </c>
      <c r="D2886" s="28" t="n">
        <v>36</v>
      </c>
      <c r="E2886" s="29" t="n">
        <v>23472800</v>
      </c>
      <c r="F2886" s="30" t="n">
        <v>374.94</v>
      </c>
      <c r="G2886" s="31" t="n">
        <f aca="false">IFERROR(F2886/D2886,0)</f>
        <v>10.415</v>
      </c>
    </row>
    <row r="2887" customFormat="false" ht="15" hidden="false" customHeight="false" outlineLevel="0" collapsed="false">
      <c r="A2887" s="28" t="n">
        <v>2023</v>
      </c>
      <c r="B2887" s="28" t="s">
        <v>81</v>
      </c>
      <c r="C2887" s="28" t="s">
        <v>43</v>
      </c>
      <c r="D2887" s="28" t="n">
        <v>208</v>
      </c>
      <c r="E2887" s="29" t="n">
        <v>230985600</v>
      </c>
      <c r="F2887" s="30" t="n">
        <v>2060.94</v>
      </c>
      <c r="G2887" s="31" t="n">
        <f aca="false">IFERROR(F2887/D2887,0)</f>
        <v>9.90836538461539</v>
      </c>
    </row>
    <row r="2888" customFormat="false" ht="15" hidden="false" customHeight="false" outlineLevel="0" collapsed="false">
      <c r="A2888" s="28" t="n">
        <v>2023</v>
      </c>
      <c r="B2888" s="28" t="s">
        <v>81</v>
      </c>
      <c r="C2888" s="28" t="s">
        <v>52</v>
      </c>
      <c r="D2888" s="28" t="n">
        <v>77</v>
      </c>
      <c r="E2888" s="29" t="n">
        <v>28577700</v>
      </c>
      <c r="F2888" s="30" t="n">
        <v>860.33</v>
      </c>
      <c r="G2888" s="31" t="n">
        <f aca="false">IFERROR(F2888/D2888,0)</f>
        <v>11.1731168831169</v>
      </c>
    </row>
    <row r="2889" customFormat="false" ht="15" hidden="false" customHeight="false" outlineLevel="0" collapsed="false">
      <c r="A2889" s="28" t="n">
        <v>2023</v>
      </c>
      <c r="B2889" s="28" t="s">
        <v>81</v>
      </c>
      <c r="C2889" s="28" t="s">
        <v>60</v>
      </c>
      <c r="D2889" s="28" t="n">
        <v>3</v>
      </c>
      <c r="E2889" s="29" t="n">
        <v>4161000</v>
      </c>
      <c r="F2889" s="30" t="n">
        <v>27.25</v>
      </c>
      <c r="G2889" s="31" t="n">
        <f aca="false">IFERROR(F2889/D2889,0)</f>
        <v>9.08333333333333</v>
      </c>
    </row>
    <row r="2890" customFormat="false" ht="15" hidden="false" customHeight="false" outlineLevel="0" collapsed="false">
      <c r="A2890" s="28" t="n">
        <v>2023</v>
      </c>
      <c r="B2890" s="28" t="s">
        <v>81</v>
      </c>
      <c r="C2890" s="28" t="s">
        <v>49</v>
      </c>
      <c r="D2890" s="28" t="n">
        <v>55</v>
      </c>
      <c r="E2890" s="29" t="n">
        <v>49982100</v>
      </c>
      <c r="F2890" s="30" t="n">
        <v>512.59</v>
      </c>
      <c r="G2890" s="31" t="n">
        <f aca="false">IFERROR(F2890/D2890,0)</f>
        <v>9.31981818181818</v>
      </c>
    </row>
    <row r="2891" customFormat="false" ht="15" hidden="false" customHeight="false" outlineLevel="0" collapsed="false">
      <c r="A2891" s="28" t="n">
        <v>2023</v>
      </c>
      <c r="B2891" s="28" t="s">
        <v>94</v>
      </c>
      <c r="C2891" s="28" t="s">
        <v>42</v>
      </c>
      <c r="D2891" s="28" t="n">
        <v>30</v>
      </c>
      <c r="E2891" s="29" t="n">
        <v>14364500</v>
      </c>
      <c r="F2891" s="30" t="n">
        <v>314.75</v>
      </c>
      <c r="G2891" s="31" t="n">
        <f aca="false">IFERROR(F2891/D2891,0)</f>
        <v>10.4916666666667</v>
      </c>
    </row>
    <row r="2892" customFormat="false" ht="15" hidden="false" customHeight="false" outlineLevel="0" collapsed="false">
      <c r="A2892" s="28" t="n">
        <v>2023</v>
      </c>
      <c r="B2892" s="28" t="s">
        <v>94</v>
      </c>
      <c r="C2892" s="28" t="s">
        <v>50</v>
      </c>
      <c r="D2892" s="28" t="n">
        <v>15</v>
      </c>
      <c r="E2892" s="29" t="n">
        <v>4538700</v>
      </c>
      <c r="F2892" s="30" t="n">
        <v>154.25</v>
      </c>
      <c r="G2892" s="31" t="n">
        <f aca="false">IFERROR(F2892/D2892,0)</f>
        <v>10.2833333333333</v>
      </c>
    </row>
    <row r="2893" customFormat="false" ht="15" hidden="false" customHeight="false" outlineLevel="0" collapsed="false">
      <c r="A2893" s="28" t="n">
        <v>2023</v>
      </c>
      <c r="B2893" s="28" t="s">
        <v>94</v>
      </c>
      <c r="C2893" s="28" t="s">
        <v>55</v>
      </c>
      <c r="D2893" s="28" t="n">
        <v>2</v>
      </c>
      <c r="E2893" s="29" t="n">
        <v>790000</v>
      </c>
      <c r="F2893" s="30" t="n">
        <v>18</v>
      </c>
      <c r="G2893" s="31" t="n">
        <f aca="false">IFERROR(F2893/D2893,0)</f>
        <v>9</v>
      </c>
    </row>
    <row r="2894" customFormat="false" ht="15" hidden="false" customHeight="false" outlineLevel="0" collapsed="false">
      <c r="A2894" s="28" t="n">
        <v>2023</v>
      </c>
      <c r="B2894" s="28" t="s">
        <v>94</v>
      </c>
      <c r="C2894" s="28" t="s">
        <v>51</v>
      </c>
      <c r="D2894" s="28" t="n">
        <v>10</v>
      </c>
      <c r="E2894" s="29" t="n">
        <v>3177800</v>
      </c>
      <c r="F2894" s="30" t="n">
        <v>101.99</v>
      </c>
      <c r="G2894" s="31" t="n">
        <f aca="false">IFERROR(F2894/D2894,0)</f>
        <v>10.199</v>
      </c>
    </row>
    <row r="2895" customFormat="false" ht="15" hidden="false" customHeight="false" outlineLevel="0" collapsed="false">
      <c r="A2895" s="28" t="n">
        <v>2023</v>
      </c>
      <c r="B2895" s="28" t="s">
        <v>94</v>
      </c>
      <c r="C2895" s="28" t="s">
        <v>45</v>
      </c>
      <c r="D2895" s="28" t="n">
        <v>25</v>
      </c>
      <c r="E2895" s="29" t="n">
        <v>6015800</v>
      </c>
      <c r="F2895" s="30" t="n">
        <v>268.23</v>
      </c>
      <c r="G2895" s="31" t="n">
        <f aca="false">IFERROR(F2895/D2895,0)</f>
        <v>10.7292</v>
      </c>
    </row>
    <row r="2896" customFormat="false" ht="15" hidden="false" customHeight="false" outlineLevel="0" collapsed="false">
      <c r="A2896" s="28" t="n">
        <v>2023</v>
      </c>
      <c r="B2896" s="28" t="s">
        <v>94</v>
      </c>
      <c r="C2896" s="28" t="s">
        <v>56</v>
      </c>
      <c r="D2896" s="28" t="n">
        <v>1</v>
      </c>
      <c r="E2896" s="29" t="n">
        <v>50000</v>
      </c>
      <c r="F2896" s="30" t="n">
        <v>9.75</v>
      </c>
      <c r="G2896" s="31" t="n">
        <f aca="false">IFERROR(F2896/D2896,0)</f>
        <v>9.75</v>
      </c>
    </row>
    <row r="2897" customFormat="false" ht="15" hidden="false" customHeight="false" outlineLevel="0" collapsed="false">
      <c r="A2897" s="28" t="n">
        <v>2023</v>
      </c>
      <c r="B2897" s="28" t="s">
        <v>94</v>
      </c>
      <c r="C2897" s="28" t="s">
        <v>54</v>
      </c>
      <c r="D2897" s="28" t="n">
        <v>3</v>
      </c>
      <c r="E2897" s="29" t="n">
        <v>4281000</v>
      </c>
      <c r="F2897" s="30" t="n">
        <v>32.75</v>
      </c>
      <c r="G2897" s="31" t="n">
        <f aca="false">IFERROR(F2897/D2897,0)</f>
        <v>10.9166666666667</v>
      </c>
    </row>
    <row r="2898" customFormat="false" ht="15" hidden="false" customHeight="false" outlineLevel="0" collapsed="false">
      <c r="A2898" s="28" t="n">
        <v>2023</v>
      </c>
      <c r="B2898" s="28" t="s">
        <v>94</v>
      </c>
      <c r="C2898" s="28" t="s">
        <v>44</v>
      </c>
      <c r="D2898" s="28" t="n">
        <v>9</v>
      </c>
      <c r="E2898" s="29" t="n">
        <v>2110000</v>
      </c>
      <c r="F2898" s="30" t="n">
        <v>89.29</v>
      </c>
      <c r="G2898" s="31" t="n">
        <f aca="false">IFERROR(F2898/D2898,0)</f>
        <v>9.92111111111111</v>
      </c>
    </row>
    <row r="2899" customFormat="false" ht="15" hidden="false" customHeight="false" outlineLevel="0" collapsed="false">
      <c r="A2899" s="28" t="n">
        <v>2023</v>
      </c>
      <c r="B2899" s="28" t="s">
        <v>94</v>
      </c>
      <c r="C2899" s="28" t="s">
        <v>57</v>
      </c>
      <c r="D2899" s="28" t="n">
        <v>2</v>
      </c>
      <c r="E2899" s="29" t="n">
        <v>70000</v>
      </c>
      <c r="F2899" s="30" t="n">
        <v>20.75</v>
      </c>
      <c r="G2899" s="31" t="n">
        <f aca="false">IFERROR(F2899/D2899,0)</f>
        <v>10.375</v>
      </c>
    </row>
    <row r="2900" customFormat="false" ht="15" hidden="false" customHeight="false" outlineLevel="0" collapsed="false">
      <c r="A2900" s="28" t="n">
        <v>2023</v>
      </c>
      <c r="B2900" s="28" t="s">
        <v>94</v>
      </c>
      <c r="C2900" s="28" t="s">
        <v>47</v>
      </c>
      <c r="D2900" s="28" t="n">
        <v>1</v>
      </c>
      <c r="E2900" s="29" t="n">
        <v>25000</v>
      </c>
      <c r="F2900" s="30" t="n">
        <v>9.75</v>
      </c>
      <c r="G2900" s="31" t="n">
        <f aca="false">IFERROR(F2900/D2900,0)</f>
        <v>9.75</v>
      </c>
    </row>
    <row r="2901" customFormat="false" ht="15" hidden="false" customHeight="false" outlineLevel="0" collapsed="false">
      <c r="A2901" s="28" t="n">
        <v>2023</v>
      </c>
      <c r="B2901" s="28" t="s">
        <v>94</v>
      </c>
      <c r="C2901" s="28" t="s">
        <v>46</v>
      </c>
      <c r="D2901" s="28" t="n">
        <v>9</v>
      </c>
      <c r="E2901" s="29" t="n">
        <v>894200</v>
      </c>
      <c r="F2901" s="30" t="n">
        <v>100.99</v>
      </c>
      <c r="G2901" s="31" t="n">
        <f aca="false">IFERROR(F2901/D2901,0)</f>
        <v>11.2211111111111</v>
      </c>
    </row>
    <row r="2902" customFormat="false" ht="15" hidden="false" customHeight="false" outlineLevel="0" collapsed="false">
      <c r="A2902" s="28" t="n">
        <v>2023</v>
      </c>
      <c r="B2902" s="28" t="s">
        <v>94</v>
      </c>
      <c r="C2902" s="28" t="s">
        <v>48</v>
      </c>
      <c r="D2902" s="28" t="n">
        <v>7</v>
      </c>
      <c r="E2902" s="29" t="n">
        <v>2145400</v>
      </c>
      <c r="F2902" s="30" t="n">
        <v>68.5</v>
      </c>
      <c r="G2902" s="31" t="n">
        <f aca="false">IFERROR(F2902/D2902,0)</f>
        <v>9.78571428571429</v>
      </c>
    </row>
    <row r="2903" customFormat="false" ht="15" hidden="false" customHeight="false" outlineLevel="0" collapsed="false">
      <c r="A2903" s="28" t="n">
        <v>2023</v>
      </c>
      <c r="B2903" s="28" t="s">
        <v>94</v>
      </c>
      <c r="C2903" s="28" t="s">
        <v>53</v>
      </c>
      <c r="D2903" s="28" t="n">
        <v>6</v>
      </c>
      <c r="E2903" s="29" t="n">
        <v>651000</v>
      </c>
      <c r="F2903" s="30" t="n">
        <v>61.5</v>
      </c>
      <c r="G2903" s="31" t="n">
        <f aca="false">IFERROR(F2903/D2903,0)</f>
        <v>10.25</v>
      </c>
    </row>
    <row r="2904" customFormat="false" ht="15" hidden="false" customHeight="false" outlineLevel="0" collapsed="false">
      <c r="A2904" s="28" t="n">
        <v>2023</v>
      </c>
      <c r="B2904" s="28" t="s">
        <v>94</v>
      </c>
      <c r="C2904" s="28" t="s">
        <v>43</v>
      </c>
      <c r="D2904" s="28" t="n">
        <v>13</v>
      </c>
      <c r="E2904" s="29" t="n">
        <v>2453600</v>
      </c>
      <c r="F2904" s="30" t="n">
        <v>141.24</v>
      </c>
      <c r="G2904" s="31" t="n">
        <f aca="false">IFERROR(F2904/D2904,0)</f>
        <v>10.8646153846154</v>
      </c>
    </row>
    <row r="2905" customFormat="false" ht="15" hidden="false" customHeight="false" outlineLevel="0" collapsed="false">
      <c r="A2905" s="28" t="n">
        <v>2023</v>
      </c>
      <c r="B2905" s="28" t="s">
        <v>94</v>
      </c>
      <c r="C2905" s="28" t="s">
        <v>52</v>
      </c>
      <c r="D2905" s="28" t="n">
        <v>4</v>
      </c>
      <c r="E2905" s="29" t="n">
        <v>2375000</v>
      </c>
      <c r="F2905" s="30" t="n">
        <v>34.73</v>
      </c>
      <c r="G2905" s="31" t="n">
        <f aca="false">IFERROR(F2905/D2905,0)</f>
        <v>8.6825</v>
      </c>
    </row>
    <row r="2906" customFormat="false" ht="15" hidden="false" customHeight="false" outlineLevel="0" collapsed="false">
      <c r="A2906" s="28" t="n">
        <v>2023</v>
      </c>
      <c r="B2906" s="28" t="s">
        <v>94</v>
      </c>
      <c r="C2906" s="28" t="s">
        <v>49</v>
      </c>
      <c r="D2906" s="28" t="n">
        <v>8</v>
      </c>
      <c r="E2906" s="29" t="n">
        <v>1665000</v>
      </c>
      <c r="F2906" s="30" t="n">
        <v>87.5</v>
      </c>
      <c r="G2906" s="31" t="n">
        <f aca="false">IFERROR(F2906/D2906,0)</f>
        <v>10.9375</v>
      </c>
    </row>
    <row r="2907" customFormat="false" ht="15" hidden="false" customHeight="false" outlineLevel="0" collapsed="false">
      <c r="A2907" s="28" t="n">
        <v>2023</v>
      </c>
      <c r="B2907" s="28" t="s">
        <v>96</v>
      </c>
      <c r="C2907" s="28" t="s">
        <v>42</v>
      </c>
      <c r="D2907" s="28" t="n">
        <v>48</v>
      </c>
      <c r="E2907" s="29" t="n">
        <v>17213600</v>
      </c>
      <c r="F2907" s="30" t="n">
        <v>435.66</v>
      </c>
      <c r="G2907" s="31" t="n">
        <f aca="false">IFERROR(F2907/D2907,0)</f>
        <v>9.07625</v>
      </c>
    </row>
    <row r="2908" customFormat="false" ht="15" hidden="false" customHeight="false" outlineLevel="0" collapsed="false">
      <c r="A2908" s="28" t="n">
        <v>2023</v>
      </c>
      <c r="B2908" s="28" t="s">
        <v>96</v>
      </c>
      <c r="C2908" s="28" t="s">
        <v>50</v>
      </c>
      <c r="D2908" s="28" t="n">
        <v>11</v>
      </c>
      <c r="E2908" s="29" t="n">
        <v>2865100</v>
      </c>
      <c r="F2908" s="30" t="n">
        <v>103.77</v>
      </c>
      <c r="G2908" s="31" t="n">
        <f aca="false">IFERROR(F2908/D2908,0)</f>
        <v>9.43363636363636</v>
      </c>
    </row>
    <row r="2909" customFormat="false" ht="15" hidden="false" customHeight="false" outlineLevel="0" collapsed="false">
      <c r="A2909" s="28" t="n">
        <v>2023</v>
      </c>
      <c r="B2909" s="28" t="s">
        <v>96</v>
      </c>
      <c r="C2909" s="28" t="s">
        <v>55</v>
      </c>
      <c r="D2909" s="28" t="n">
        <v>3</v>
      </c>
      <c r="E2909" s="29" t="n">
        <v>271700</v>
      </c>
      <c r="F2909" s="30" t="n">
        <v>23.5</v>
      </c>
      <c r="G2909" s="31" t="n">
        <f aca="false">IFERROR(F2909/D2909,0)</f>
        <v>7.83333333333333</v>
      </c>
    </row>
    <row r="2910" customFormat="false" ht="15" hidden="false" customHeight="false" outlineLevel="0" collapsed="false">
      <c r="A2910" s="28" t="n">
        <v>2023</v>
      </c>
      <c r="B2910" s="28" t="s">
        <v>96</v>
      </c>
      <c r="C2910" s="28" t="s">
        <v>51</v>
      </c>
      <c r="D2910" s="28" t="n">
        <v>21</v>
      </c>
      <c r="E2910" s="29" t="n">
        <v>5389700</v>
      </c>
      <c r="F2910" s="30" t="n">
        <v>195.3</v>
      </c>
      <c r="G2910" s="31" t="n">
        <f aca="false">IFERROR(F2910/D2910,0)</f>
        <v>9.3</v>
      </c>
    </row>
    <row r="2911" customFormat="false" ht="15" hidden="false" customHeight="false" outlineLevel="0" collapsed="false">
      <c r="A2911" s="28" t="n">
        <v>2023</v>
      </c>
      <c r="B2911" s="28" t="s">
        <v>96</v>
      </c>
      <c r="C2911" s="28" t="s">
        <v>45</v>
      </c>
      <c r="D2911" s="28" t="n">
        <v>19</v>
      </c>
      <c r="E2911" s="29" t="n">
        <v>7381200</v>
      </c>
      <c r="F2911" s="30" t="n">
        <v>173.98</v>
      </c>
      <c r="G2911" s="31" t="n">
        <f aca="false">IFERROR(F2911/D2911,0)</f>
        <v>9.15684210526316</v>
      </c>
    </row>
    <row r="2912" customFormat="false" ht="15" hidden="false" customHeight="false" outlineLevel="0" collapsed="false">
      <c r="A2912" s="28" t="n">
        <v>2023</v>
      </c>
      <c r="B2912" s="28" t="s">
        <v>96</v>
      </c>
      <c r="C2912" s="28" t="s">
        <v>56</v>
      </c>
      <c r="D2912" s="28" t="n">
        <v>4</v>
      </c>
      <c r="E2912" s="29" t="n">
        <v>395200</v>
      </c>
      <c r="F2912" s="30" t="n">
        <v>34.25</v>
      </c>
      <c r="G2912" s="31" t="n">
        <f aca="false">IFERROR(F2912/D2912,0)</f>
        <v>8.5625</v>
      </c>
    </row>
    <row r="2913" customFormat="false" ht="15" hidden="false" customHeight="false" outlineLevel="0" collapsed="false">
      <c r="A2913" s="28" t="n">
        <v>2023</v>
      </c>
      <c r="B2913" s="28" t="s">
        <v>96</v>
      </c>
      <c r="C2913" s="28" t="s">
        <v>54</v>
      </c>
      <c r="D2913" s="28" t="n">
        <v>3</v>
      </c>
      <c r="E2913" s="29" t="n">
        <v>1296000</v>
      </c>
      <c r="F2913" s="30" t="n">
        <v>25.49</v>
      </c>
      <c r="G2913" s="31" t="n">
        <f aca="false">IFERROR(F2913/D2913,0)</f>
        <v>8.49666666666667</v>
      </c>
    </row>
    <row r="2914" customFormat="false" ht="15" hidden="false" customHeight="false" outlineLevel="0" collapsed="false">
      <c r="A2914" s="28" t="n">
        <v>2023</v>
      </c>
      <c r="B2914" s="28" t="s">
        <v>96</v>
      </c>
      <c r="C2914" s="28" t="s">
        <v>44</v>
      </c>
      <c r="D2914" s="28" t="n">
        <v>23</v>
      </c>
      <c r="E2914" s="29" t="n">
        <v>13796500</v>
      </c>
      <c r="F2914" s="30" t="n">
        <v>189.91</v>
      </c>
      <c r="G2914" s="31" t="n">
        <f aca="false">IFERROR(F2914/D2914,0)</f>
        <v>8.25695652173913</v>
      </c>
    </row>
    <row r="2915" customFormat="false" ht="15" hidden="false" customHeight="false" outlineLevel="0" collapsed="false">
      <c r="A2915" s="28" t="n">
        <v>2023</v>
      </c>
      <c r="B2915" s="28" t="s">
        <v>96</v>
      </c>
      <c r="C2915" s="28" t="s">
        <v>57</v>
      </c>
      <c r="D2915" s="28" t="n">
        <v>4</v>
      </c>
      <c r="E2915" s="29" t="n">
        <v>2122000</v>
      </c>
      <c r="F2915" s="30" t="n">
        <v>41.75</v>
      </c>
      <c r="G2915" s="31" t="n">
        <f aca="false">IFERROR(F2915/D2915,0)</f>
        <v>10.4375</v>
      </c>
    </row>
    <row r="2916" customFormat="false" ht="15" hidden="false" customHeight="false" outlineLevel="0" collapsed="false">
      <c r="A2916" s="28" t="n">
        <v>2023</v>
      </c>
      <c r="B2916" s="28" t="s">
        <v>96</v>
      </c>
      <c r="C2916" s="28" t="s">
        <v>47</v>
      </c>
      <c r="D2916" s="28" t="n">
        <v>22</v>
      </c>
      <c r="E2916" s="29" t="n">
        <v>9632500</v>
      </c>
      <c r="F2916" s="30" t="n">
        <v>189.995</v>
      </c>
      <c r="G2916" s="31" t="n">
        <f aca="false">IFERROR(F2916/D2916,0)</f>
        <v>8.63613636363636</v>
      </c>
    </row>
    <row r="2917" customFormat="false" ht="15" hidden="false" customHeight="false" outlineLevel="0" collapsed="false">
      <c r="A2917" s="28" t="n">
        <v>2023</v>
      </c>
      <c r="B2917" s="28" t="s">
        <v>96</v>
      </c>
      <c r="C2917" s="28" t="s">
        <v>46</v>
      </c>
      <c r="D2917" s="28" t="n">
        <v>34</v>
      </c>
      <c r="E2917" s="29" t="n">
        <v>8963500</v>
      </c>
      <c r="F2917" s="30" t="n">
        <v>310.81</v>
      </c>
      <c r="G2917" s="31" t="n">
        <f aca="false">IFERROR(F2917/D2917,0)</f>
        <v>9.14147058823529</v>
      </c>
    </row>
    <row r="2918" customFormat="false" ht="15" hidden="false" customHeight="false" outlineLevel="0" collapsed="false">
      <c r="A2918" s="28" t="n">
        <v>2023</v>
      </c>
      <c r="B2918" s="28" t="s">
        <v>96</v>
      </c>
      <c r="C2918" s="28" t="s">
        <v>48</v>
      </c>
      <c r="D2918" s="28" t="n">
        <v>12</v>
      </c>
      <c r="E2918" s="29" t="n">
        <v>1467900</v>
      </c>
      <c r="F2918" s="30" t="n">
        <v>124.23</v>
      </c>
      <c r="G2918" s="31" t="n">
        <f aca="false">IFERROR(F2918/D2918,0)</f>
        <v>10.3525</v>
      </c>
    </row>
    <row r="2919" customFormat="false" ht="15" hidden="false" customHeight="false" outlineLevel="0" collapsed="false">
      <c r="A2919" s="28" t="n">
        <v>2023</v>
      </c>
      <c r="B2919" s="28" t="s">
        <v>96</v>
      </c>
      <c r="C2919" s="28" t="s">
        <v>53</v>
      </c>
      <c r="D2919" s="28" t="n">
        <v>8</v>
      </c>
      <c r="E2919" s="29" t="n">
        <v>5599400</v>
      </c>
      <c r="F2919" s="30" t="n">
        <v>74.48</v>
      </c>
      <c r="G2919" s="31" t="n">
        <f aca="false">IFERROR(F2919/D2919,0)</f>
        <v>9.31</v>
      </c>
    </row>
    <row r="2920" customFormat="false" ht="15" hidden="false" customHeight="false" outlineLevel="0" collapsed="false">
      <c r="A2920" s="28" t="n">
        <v>2023</v>
      </c>
      <c r="B2920" s="28" t="s">
        <v>96</v>
      </c>
      <c r="C2920" s="28" t="s">
        <v>43</v>
      </c>
      <c r="D2920" s="28" t="n">
        <v>33</v>
      </c>
      <c r="E2920" s="29" t="n">
        <v>9414000</v>
      </c>
      <c r="F2920" s="30" t="n">
        <v>286.185</v>
      </c>
      <c r="G2920" s="31" t="n">
        <f aca="false">IFERROR(F2920/D2920,0)</f>
        <v>8.67227272727273</v>
      </c>
    </row>
    <row r="2921" customFormat="false" ht="15" hidden="false" customHeight="false" outlineLevel="0" collapsed="false">
      <c r="A2921" s="28" t="n">
        <v>2023</v>
      </c>
      <c r="B2921" s="28" t="s">
        <v>96</v>
      </c>
      <c r="C2921" s="28" t="s">
        <v>52</v>
      </c>
      <c r="D2921" s="28" t="n">
        <v>11</v>
      </c>
      <c r="E2921" s="29" t="n">
        <v>1411100</v>
      </c>
      <c r="F2921" s="30" t="n">
        <v>110.34</v>
      </c>
      <c r="G2921" s="31" t="n">
        <f aca="false">IFERROR(F2921/D2921,0)</f>
        <v>10.0309090909091</v>
      </c>
    </row>
    <row r="2922" customFormat="false" ht="15" hidden="false" customHeight="false" outlineLevel="0" collapsed="false">
      <c r="A2922" s="28" t="n">
        <v>2023</v>
      </c>
      <c r="B2922" s="28" t="s">
        <v>96</v>
      </c>
      <c r="C2922" s="28" t="s">
        <v>49</v>
      </c>
      <c r="D2922" s="28" t="n">
        <v>9</v>
      </c>
      <c r="E2922" s="29" t="n">
        <v>3962000</v>
      </c>
      <c r="F2922" s="30" t="n">
        <v>70.915</v>
      </c>
      <c r="G2922" s="31" t="n">
        <f aca="false">IFERROR(F2922/D2922,0)</f>
        <v>7.87944444444444</v>
      </c>
    </row>
    <row r="2923" customFormat="false" ht="15" hidden="false" customHeight="false" outlineLevel="0" collapsed="false">
      <c r="A2923" s="28" t="n">
        <v>2023</v>
      </c>
      <c r="B2923" s="28" t="s">
        <v>97</v>
      </c>
      <c r="C2923" s="28" t="s">
        <v>42</v>
      </c>
      <c r="D2923" s="28" t="n">
        <v>48</v>
      </c>
      <c r="E2923" s="29" t="n">
        <v>16767200</v>
      </c>
      <c r="F2923" s="30" t="n">
        <v>474.19</v>
      </c>
      <c r="G2923" s="31" t="n">
        <f aca="false">IFERROR(F2923/D2923,0)</f>
        <v>9.87895833333333</v>
      </c>
    </row>
    <row r="2924" customFormat="false" ht="15" hidden="false" customHeight="false" outlineLevel="0" collapsed="false">
      <c r="A2924" s="28" t="n">
        <v>2023</v>
      </c>
      <c r="B2924" s="28" t="s">
        <v>97</v>
      </c>
      <c r="C2924" s="28" t="s">
        <v>50</v>
      </c>
      <c r="D2924" s="28" t="n">
        <v>18</v>
      </c>
      <c r="E2924" s="29" t="n">
        <v>7643900</v>
      </c>
      <c r="F2924" s="30" t="n">
        <v>183.99</v>
      </c>
      <c r="G2924" s="31" t="n">
        <f aca="false">IFERROR(F2924/D2924,0)</f>
        <v>10.2216666666667</v>
      </c>
    </row>
    <row r="2925" customFormat="false" ht="15" hidden="false" customHeight="false" outlineLevel="0" collapsed="false">
      <c r="A2925" s="28" t="n">
        <v>2023</v>
      </c>
      <c r="B2925" s="28" t="s">
        <v>97</v>
      </c>
      <c r="C2925" s="28" t="s">
        <v>55</v>
      </c>
      <c r="D2925" s="28" t="n">
        <v>3</v>
      </c>
      <c r="E2925" s="29" t="n">
        <v>1069000</v>
      </c>
      <c r="F2925" s="30" t="n">
        <v>28.5</v>
      </c>
      <c r="G2925" s="31" t="n">
        <f aca="false">IFERROR(F2925/D2925,0)</f>
        <v>9.5</v>
      </c>
    </row>
    <row r="2926" customFormat="false" ht="15" hidden="false" customHeight="false" outlineLevel="0" collapsed="false">
      <c r="A2926" s="28" t="n">
        <v>2023</v>
      </c>
      <c r="B2926" s="28" t="s">
        <v>97</v>
      </c>
      <c r="C2926" s="28" t="s">
        <v>51</v>
      </c>
      <c r="D2926" s="28" t="n">
        <v>16</v>
      </c>
      <c r="E2926" s="29" t="n">
        <v>5176800</v>
      </c>
      <c r="F2926" s="30" t="n">
        <v>160.33</v>
      </c>
      <c r="G2926" s="31" t="n">
        <f aca="false">IFERROR(F2926/D2926,0)</f>
        <v>10.020625</v>
      </c>
    </row>
    <row r="2927" customFormat="false" ht="15" hidden="false" customHeight="false" outlineLevel="0" collapsed="false">
      <c r="A2927" s="28" t="n">
        <v>2023</v>
      </c>
      <c r="B2927" s="28" t="s">
        <v>97</v>
      </c>
      <c r="C2927" s="28" t="s">
        <v>45</v>
      </c>
      <c r="D2927" s="28" t="n">
        <v>77</v>
      </c>
      <c r="E2927" s="29" t="n">
        <v>25363700</v>
      </c>
      <c r="F2927" s="30" t="n">
        <v>788.295</v>
      </c>
      <c r="G2927" s="31" t="n">
        <f aca="false">IFERROR(F2927/D2927,0)</f>
        <v>10.2375974025974</v>
      </c>
    </row>
    <row r="2928" customFormat="false" ht="15" hidden="false" customHeight="false" outlineLevel="0" collapsed="false">
      <c r="A2928" s="28" t="n">
        <v>2023</v>
      </c>
      <c r="B2928" s="28" t="s">
        <v>97</v>
      </c>
      <c r="C2928" s="28" t="s">
        <v>56</v>
      </c>
      <c r="D2928" s="28" t="n">
        <v>5</v>
      </c>
      <c r="E2928" s="29" t="n">
        <v>2088500</v>
      </c>
      <c r="F2928" s="30" t="n">
        <v>52.45</v>
      </c>
      <c r="G2928" s="31" t="n">
        <f aca="false">IFERROR(F2928/D2928,0)</f>
        <v>10.49</v>
      </c>
    </row>
    <row r="2929" customFormat="false" ht="15" hidden="false" customHeight="false" outlineLevel="0" collapsed="false">
      <c r="A2929" s="28" t="n">
        <v>2023</v>
      </c>
      <c r="B2929" s="28" t="s">
        <v>97</v>
      </c>
      <c r="C2929" s="28" t="s">
        <v>54</v>
      </c>
      <c r="D2929" s="28" t="n">
        <v>4</v>
      </c>
      <c r="E2929" s="29" t="n">
        <v>648800</v>
      </c>
      <c r="F2929" s="30" t="n">
        <v>39.05</v>
      </c>
      <c r="G2929" s="31" t="n">
        <f aca="false">IFERROR(F2929/D2929,0)</f>
        <v>9.7625</v>
      </c>
    </row>
    <row r="2930" customFormat="false" ht="15" hidden="false" customHeight="false" outlineLevel="0" collapsed="false">
      <c r="A2930" s="28" t="n">
        <v>2023</v>
      </c>
      <c r="B2930" s="28" t="s">
        <v>97</v>
      </c>
      <c r="C2930" s="28" t="s">
        <v>44</v>
      </c>
      <c r="D2930" s="28" t="n">
        <v>48</v>
      </c>
      <c r="E2930" s="29" t="n">
        <v>24690200</v>
      </c>
      <c r="F2930" s="30" t="n">
        <v>451.58</v>
      </c>
      <c r="G2930" s="31" t="n">
        <f aca="false">IFERROR(F2930/D2930,0)</f>
        <v>9.40791666666667</v>
      </c>
    </row>
    <row r="2931" customFormat="false" ht="15" hidden="false" customHeight="false" outlineLevel="0" collapsed="false">
      <c r="A2931" s="28" t="n">
        <v>2023</v>
      </c>
      <c r="B2931" s="28" t="s">
        <v>97</v>
      </c>
      <c r="C2931" s="28" t="s">
        <v>57</v>
      </c>
      <c r="D2931" s="28" t="n">
        <v>6</v>
      </c>
      <c r="E2931" s="29" t="n">
        <v>4318800</v>
      </c>
      <c r="F2931" s="30" t="n">
        <v>65.99</v>
      </c>
      <c r="G2931" s="31" t="n">
        <f aca="false">IFERROR(F2931/D2931,0)</f>
        <v>10.9983333333333</v>
      </c>
    </row>
    <row r="2932" customFormat="false" ht="15" hidden="false" customHeight="false" outlineLevel="0" collapsed="false">
      <c r="A2932" s="28" t="n">
        <v>2023</v>
      </c>
      <c r="B2932" s="28" t="s">
        <v>97</v>
      </c>
      <c r="C2932" s="28" t="s">
        <v>47</v>
      </c>
      <c r="D2932" s="28" t="n">
        <v>36</v>
      </c>
      <c r="E2932" s="29" t="n">
        <v>18442200</v>
      </c>
      <c r="F2932" s="30" t="n">
        <v>360.62</v>
      </c>
      <c r="G2932" s="31" t="n">
        <f aca="false">IFERROR(F2932/D2932,0)</f>
        <v>10.0172222222222</v>
      </c>
    </row>
    <row r="2933" customFormat="false" ht="15" hidden="false" customHeight="false" outlineLevel="0" collapsed="false">
      <c r="A2933" s="28" t="n">
        <v>2023</v>
      </c>
      <c r="B2933" s="28" t="s">
        <v>97</v>
      </c>
      <c r="C2933" s="28" t="s">
        <v>58</v>
      </c>
      <c r="D2933" s="28" t="n">
        <v>1</v>
      </c>
      <c r="E2933" s="29" t="n">
        <v>50000</v>
      </c>
      <c r="F2933" s="30" t="n">
        <v>10.49</v>
      </c>
      <c r="G2933" s="31" t="n">
        <f aca="false">IFERROR(F2933/D2933,0)</f>
        <v>10.49</v>
      </c>
    </row>
    <row r="2934" customFormat="false" ht="15" hidden="false" customHeight="false" outlineLevel="0" collapsed="false">
      <c r="A2934" s="28" t="n">
        <v>2023</v>
      </c>
      <c r="B2934" s="28" t="s">
        <v>97</v>
      </c>
      <c r="C2934" s="28" t="s">
        <v>46</v>
      </c>
      <c r="D2934" s="28" t="n">
        <v>33</v>
      </c>
      <c r="E2934" s="29" t="n">
        <v>17997600</v>
      </c>
      <c r="F2934" s="30" t="n">
        <v>353.19</v>
      </c>
      <c r="G2934" s="31" t="n">
        <f aca="false">IFERROR(F2934/D2934,0)</f>
        <v>10.7027272727273</v>
      </c>
    </row>
    <row r="2935" customFormat="false" ht="15" hidden="false" customHeight="false" outlineLevel="0" collapsed="false">
      <c r="A2935" s="28" t="n">
        <v>2023</v>
      </c>
      <c r="B2935" s="28" t="s">
        <v>97</v>
      </c>
      <c r="C2935" s="28" t="s">
        <v>48</v>
      </c>
      <c r="D2935" s="28" t="n">
        <v>25</v>
      </c>
      <c r="E2935" s="29" t="n">
        <v>10144900</v>
      </c>
      <c r="F2935" s="30" t="n">
        <v>257.03</v>
      </c>
      <c r="G2935" s="31" t="n">
        <f aca="false">IFERROR(F2935/D2935,0)</f>
        <v>10.2812</v>
      </c>
    </row>
    <row r="2936" customFormat="false" ht="15" hidden="false" customHeight="false" outlineLevel="0" collapsed="false">
      <c r="A2936" s="28" t="n">
        <v>2023</v>
      </c>
      <c r="B2936" s="28" t="s">
        <v>97</v>
      </c>
      <c r="C2936" s="28" t="s">
        <v>53</v>
      </c>
      <c r="D2936" s="28" t="n">
        <v>20</v>
      </c>
      <c r="E2936" s="29" t="n">
        <v>11942700</v>
      </c>
      <c r="F2936" s="30" t="n">
        <v>197.3</v>
      </c>
      <c r="G2936" s="31" t="n">
        <f aca="false">IFERROR(F2936/D2936,0)</f>
        <v>9.865</v>
      </c>
    </row>
    <row r="2937" customFormat="false" ht="15" hidden="false" customHeight="false" outlineLevel="0" collapsed="false">
      <c r="A2937" s="28" t="n">
        <v>2023</v>
      </c>
      <c r="B2937" s="28" t="s">
        <v>97</v>
      </c>
      <c r="C2937" s="28" t="s">
        <v>43</v>
      </c>
      <c r="D2937" s="28" t="n">
        <v>50</v>
      </c>
      <c r="E2937" s="29" t="n">
        <v>28808500</v>
      </c>
      <c r="F2937" s="30" t="n">
        <v>484.46</v>
      </c>
      <c r="G2937" s="31" t="n">
        <f aca="false">IFERROR(F2937/D2937,0)</f>
        <v>9.6892</v>
      </c>
    </row>
    <row r="2938" customFormat="false" ht="15" hidden="false" customHeight="false" outlineLevel="0" collapsed="false">
      <c r="A2938" s="28" t="n">
        <v>2023</v>
      </c>
      <c r="B2938" s="28" t="s">
        <v>97</v>
      </c>
      <c r="C2938" s="28" t="s">
        <v>52</v>
      </c>
      <c r="D2938" s="28" t="n">
        <v>20</v>
      </c>
      <c r="E2938" s="29" t="n">
        <v>9627400</v>
      </c>
      <c r="F2938" s="30" t="n">
        <v>201.38</v>
      </c>
      <c r="G2938" s="31" t="n">
        <f aca="false">IFERROR(F2938/D2938,0)</f>
        <v>10.069</v>
      </c>
    </row>
    <row r="2939" customFormat="false" ht="15" hidden="false" customHeight="false" outlineLevel="0" collapsed="false">
      <c r="A2939" s="28" t="n">
        <v>2023</v>
      </c>
      <c r="B2939" s="28" t="s">
        <v>97</v>
      </c>
      <c r="C2939" s="28" t="s">
        <v>60</v>
      </c>
      <c r="D2939" s="28" t="n">
        <v>1</v>
      </c>
      <c r="E2939" s="29" t="n">
        <v>3607000</v>
      </c>
      <c r="F2939" s="30" t="n">
        <v>8.5</v>
      </c>
      <c r="G2939" s="31" t="n">
        <f aca="false">IFERROR(F2939/D2939,0)</f>
        <v>8.5</v>
      </c>
    </row>
    <row r="2940" customFormat="false" ht="15" hidden="false" customHeight="false" outlineLevel="0" collapsed="false">
      <c r="A2940" s="28" t="n">
        <v>2023</v>
      </c>
      <c r="B2940" s="28" t="s">
        <v>97</v>
      </c>
      <c r="C2940" s="28" t="s">
        <v>49</v>
      </c>
      <c r="D2940" s="28" t="n">
        <v>9</v>
      </c>
      <c r="E2940" s="29" t="n">
        <v>1838700</v>
      </c>
      <c r="F2940" s="30" t="n">
        <v>99.24</v>
      </c>
      <c r="G2940" s="31" t="n">
        <f aca="false">IFERROR(F2940/D2940,0)</f>
        <v>11.0266666666667</v>
      </c>
    </row>
    <row r="2941" customFormat="false" ht="15" hidden="false" customHeight="false" outlineLevel="0" collapsed="false">
      <c r="A2941" s="28" t="n">
        <v>2023</v>
      </c>
      <c r="B2941" s="28" t="s">
        <v>86</v>
      </c>
      <c r="C2941" s="28" t="s">
        <v>42</v>
      </c>
      <c r="D2941" s="28" t="n">
        <v>240</v>
      </c>
      <c r="E2941" s="29" t="n">
        <v>163672400</v>
      </c>
      <c r="F2941" s="30" t="n">
        <v>2316.033</v>
      </c>
      <c r="G2941" s="31" t="n">
        <f aca="false">IFERROR(F2941/D2941,0)</f>
        <v>9.6501375</v>
      </c>
    </row>
    <row r="2942" customFormat="false" ht="15" hidden="false" customHeight="false" outlineLevel="0" collapsed="false">
      <c r="A2942" s="28" t="n">
        <v>2023</v>
      </c>
      <c r="B2942" s="28" t="s">
        <v>86</v>
      </c>
      <c r="C2942" s="28" t="s">
        <v>50</v>
      </c>
      <c r="D2942" s="28" t="n">
        <v>101</v>
      </c>
      <c r="E2942" s="29" t="n">
        <v>32429400</v>
      </c>
      <c r="F2942" s="30" t="n">
        <v>971.082</v>
      </c>
      <c r="G2942" s="31" t="n">
        <f aca="false">IFERROR(F2942/D2942,0)</f>
        <v>9.61467326732673</v>
      </c>
    </row>
    <row r="2943" customFormat="false" ht="15" hidden="false" customHeight="false" outlineLevel="0" collapsed="false">
      <c r="A2943" s="28" t="n">
        <v>2023</v>
      </c>
      <c r="B2943" s="28" t="s">
        <v>86</v>
      </c>
      <c r="C2943" s="28" t="s">
        <v>55</v>
      </c>
      <c r="D2943" s="28" t="n">
        <v>5</v>
      </c>
      <c r="E2943" s="29" t="n">
        <v>944000</v>
      </c>
      <c r="F2943" s="30" t="n">
        <v>51.4</v>
      </c>
      <c r="G2943" s="31" t="n">
        <f aca="false">IFERROR(F2943/D2943,0)</f>
        <v>10.28</v>
      </c>
    </row>
    <row r="2944" customFormat="false" ht="15" hidden="false" customHeight="false" outlineLevel="0" collapsed="false">
      <c r="A2944" s="28" t="n">
        <v>2023</v>
      </c>
      <c r="B2944" s="28" t="s">
        <v>86</v>
      </c>
      <c r="C2944" s="28" t="s">
        <v>51</v>
      </c>
      <c r="D2944" s="28" t="n">
        <v>64</v>
      </c>
      <c r="E2944" s="29" t="n">
        <v>38663400</v>
      </c>
      <c r="F2944" s="30" t="n">
        <v>646.722</v>
      </c>
      <c r="G2944" s="31" t="n">
        <f aca="false">IFERROR(F2944/D2944,0)</f>
        <v>10.10503125</v>
      </c>
    </row>
    <row r="2945" customFormat="false" ht="15" hidden="false" customHeight="false" outlineLevel="0" collapsed="false">
      <c r="A2945" s="28" t="n">
        <v>2023</v>
      </c>
      <c r="B2945" s="28" t="s">
        <v>86</v>
      </c>
      <c r="C2945" s="28" t="s">
        <v>45</v>
      </c>
      <c r="D2945" s="28" t="n">
        <v>220</v>
      </c>
      <c r="E2945" s="29" t="n">
        <v>67282700</v>
      </c>
      <c r="F2945" s="30" t="n">
        <v>2138.735</v>
      </c>
      <c r="G2945" s="31" t="n">
        <f aca="false">IFERROR(F2945/D2945,0)</f>
        <v>9.72152272727273</v>
      </c>
    </row>
    <row r="2946" customFormat="false" ht="15" hidden="false" customHeight="false" outlineLevel="0" collapsed="false">
      <c r="A2946" s="28" t="n">
        <v>2023</v>
      </c>
      <c r="B2946" s="28" t="s">
        <v>86</v>
      </c>
      <c r="C2946" s="28" t="s">
        <v>56</v>
      </c>
      <c r="D2946" s="28" t="n">
        <v>19</v>
      </c>
      <c r="E2946" s="29" t="n">
        <v>10543900</v>
      </c>
      <c r="F2946" s="30" t="n">
        <v>190.74</v>
      </c>
      <c r="G2946" s="31" t="n">
        <f aca="false">IFERROR(F2946/D2946,0)</f>
        <v>10.0389473684211</v>
      </c>
    </row>
    <row r="2947" customFormat="false" ht="15" hidden="false" customHeight="false" outlineLevel="0" collapsed="false">
      <c r="A2947" s="28" t="n">
        <v>2023</v>
      </c>
      <c r="B2947" s="28" t="s">
        <v>86</v>
      </c>
      <c r="C2947" s="28" t="s">
        <v>54</v>
      </c>
      <c r="D2947" s="28" t="n">
        <v>27</v>
      </c>
      <c r="E2947" s="29" t="n">
        <v>8205400</v>
      </c>
      <c r="F2947" s="30" t="n">
        <v>252.22</v>
      </c>
      <c r="G2947" s="31" t="n">
        <f aca="false">IFERROR(F2947/D2947,0)</f>
        <v>9.34148148148148</v>
      </c>
    </row>
    <row r="2948" customFormat="false" ht="15" hidden="false" customHeight="false" outlineLevel="0" collapsed="false">
      <c r="A2948" s="28" t="n">
        <v>2023</v>
      </c>
      <c r="B2948" s="28" t="s">
        <v>86</v>
      </c>
      <c r="C2948" s="28" t="s">
        <v>44</v>
      </c>
      <c r="D2948" s="28" t="n">
        <v>147</v>
      </c>
      <c r="E2948" s="29" t="n">
        <v>68699200</v>
      </c>
      <c r="F2948" s="30" t="n">
        <v>1423.605</v>
      </c>
      <c r="G2948" s="31" t="n">
        <f aca="false">IFERROR(F2948/D2948,0)</f>
        <v>9.68438775510204</v>
      </c>
    </row>
    <row r="2949" customFormat="false" ht="15" hidden="false" customHeight="false" outlineLevel="0" collapsed="false">
      <c r="A2949" s="28" t="n">
        <v>2023</v>
      </c>
      <c r="B2949" s="28" t="s">
        <v>86</v>
      </c>
      <c r="C2949" s="28" t="s">
        <v>57</v>
      </c>
      <c r="D2949" s="28" t="n">
        <v>11</v>
      </c>
      <c r="E2949" s="29" t="n">
        <v>4331600</v>
      </c>
      <c r="F2949" s="30" t="n">
        <v>114.84</v>
      </c>
      <c r="G2949" s="31" t="n">
        <f aca="false">IFERROR(F2949/D2949,0)</f>
        <v>10.44</v>
      </c>
    </row>
    <row r="2950" customFormat="false" ht="15" hidden="false" customHeight="false" outlineLevel="0" collapsed="false">
      <c r="A2950" s="28" t="n">
        <v>2023</v>
      </c>
      <c r="B2950" s="28" t="s">
        <v>86</v>
      </c>
      <c r="C2950" s="28" t="s">
        <v>47</v>
      </c>
      <c r="D2950" s="28" t="n">
        <v>116</v>
      </c>
      <c r="E2950" s="29" t="n">
        <v>94958500</v>
      </c>
      <c r="F2950" s="30" t="n">
        <v>1073.88</v>
      </c>
      <c r="G2950" s="31" t="n">
        <f aca="false">IFERROR(F2950/D2950,0)</f>
        <v>9.25758620689655</v>
      </c>
    </row>
    <row r="2951" customFormat="false" ht="15" hidden="false" customHeight="false" outlineLevel="0" collapsed="false">
      <c r="A2951" s="28" t="n">
        <v>2023</v>
      </c>
      <c r="B2951" s="28" t="s">
        <v>86</v>
      </c>
      <c r="C2951" s="28" t="s">
        <v>46</v>
      </c>
      <c r="D2951" s="28" t="n">
        <v>145</v>
      </c>
      <c r="E2951" s="29" t="n">
        <v>66971200</v>
      </c>
      <c r="F2951" s="30" t="n">
        <v>1383.438</v>
      </c>
      <c r="G2951" s="31" t="n">
        <f aca="false">IFERROR(F2951/D2951,0)</f>
        <v>9.54095172413793</v>
      </c>
    </row>
    <row r="2952" customFormat="false" ht="15" hidden="false" customHeight="false" outlineLevel="0" collapsed="false">
      <c r="A2952" s="28" t="n">
        <v>2023</v>
      </c>
      <c r="B2952" s="28" t="s">
        <v>86</v>
      </c>
      <c r="C2952" s="28" t="s">
        <v>48</v>
      </c>
      <c r="D2952" s="28" t="n">
        <v>149</v>
      </c>
      <c r="E2952" s="29" t="n">
        <v>53588000</v>
      </c>
      <c r="F2952" s="30" t="n">
        <v>1479.056</v>
      </c>
      <c r="G2952" s="31" t="n">
        <f aca="false">IFERROR(F2952/D2952,0)</f>
        <v>9.92655033557047</v>
      </c>
    </row>
    <row r="2953" customFormat="false" ht="15" hidden="false" customHeight="false" outlineLevel="0" collapsed="false">
      <c r="A2953" s="28" t="n">
        <v>2023</v>
      </c>
      <c r="B2953" s="28" t="s">
        <v>86</v>
      </c>
      <c r="C2953" s="28" t="s">
        <v>53</v>
      </c>
      <c r="D2953" s="28" t="n">
        <v>29</v>
      </c>
      <c r="E2953" s="29" t="n">
        <v>13777700</v>
      </c>
      <c r="F2953" s="30" t="n">
        <v>275.5</v>
      </c>
      <c r="G2953" s="31" t="n">
        <f aca="false">IFERROR(F2953/D2953,0)</f>
        <v>9.5</v>
      </c>
    </row>
    <row r="2954" customFormat="false" ht="15" hidden="false" customHeight="false" outlineLevel="0" collapsed="false">
      <c r="A2954" s="28" t="n">
        <v>2023</v>
      </c>
      <c r="B2954" s="28" t="s">
        <v>86</v>
      </c>
      <c r="C2954" s="28" t="s">
        <v>43</v>
      </c>
      <c r="D2954" s="28" t="n">
        <v>171</v>
      </c>
      <c r="E2954" s="29" t="n">
        <v>118581200</v>
      </c>
      <c r="F2954" s="30" t="n">
        <v>1657.4</v>
      </c>
      <c r="G2954" s="31" t="n">
        <f aca="false">IFERROR(F2954/D2954,0)</f>
        <v>9.69239766081871</v>
      </c>
    </row>
    <row r="2955" customFormat="false" ht="15" hidden="false" customHeight="false" outlineLevel="0" collapsed="false">
      <c r="A2955" s="28" t="n">
        <v>2023</v>
      </c>
      <c r="B2955" s="28" t="s">
        <v>86</v>
      </c>
      <c r="C2955" s="28" t="s">
        <v>52</v>
      </c>
      <c r="D2955" s="28" t="n">
        <v>253</v>
      </c>
      <c r="E2955" s="29" t="n">
        <v>55240300</v>
      </c>
      <c r="F2955" s="30" t="n">
        <v>2535.96</v>
      </c>
      <c r="G2955" s="31" t="n">
        <f aca="false">IFERROR(F2955/D2955,0)</f>
        <v>10.023557312253</v>
      </c>
    </row>
    <row r="2956" customFormat="false" ht="15" hidden="false" customHeight="false" outlineLevel="0" collapsed="false">
      <c r="A2956" s="28" t="n">
        <v>2023</v>
      </c>
      <c r="B2956" s="28" t="s">
        <v>86</v>
      </c>
      <c r="C2956" s="28" t="s">
        <v>49</v>
      </c>
      <c r="D2956" s="28" t="n">
        <v>67</v>
      </c>
      <c r="E2956" s="29" t="n">
        <v>50355900</v>
      </c>
      <c r="F2956" s="30" t="n">
        <v>634.15</v>
      </c>
      <c r="G2956" s="31" t="n">
        <f aca="false">IFERROR(F2956/D2956,0)</f>
        <v>9.46492537313433</v>
      </c>
    </row>
    <row r="2957" customFormat="false" ht="15" hidden="false" customHeight="false" outlineLevel="0" collapsed="false">
      <c r="A2957" s="28" t="n">
        <v>2023</v>
      </c>
      <c r="B2957" s="28" t="s">
        <v>100</v>
      </c>
      <c r="C2957" s="28" t="s">
        <v>42</v>
      </c>
      <c r="D2957" s="28" t="n">
        <v>158</v>
      </c>
      <c r="E2957" s="29" t="n">
        <v>106582600</v>
      </c>
      <c r="F2957" s="30" t="n">
        <v>1526.22</v>
      </c>
      <c r="G2957" s="31" t="n">
        <f aca="false">IFERROR(F2957/D2957,0)</f>
        <v>9.65962025316456</v>
      </c>
    </row>
    <row r="2958" customFormat="false" ht="15" hidden="false" customHeight="false" outlineLevel="0" collapsed="false">
      <c r="A2958" s="28" t="n">
        <v>2023</v>
      </c>
      <c r="B2958" s="28" t="s">
        <v>100</v>
      </c>
      <c r="C2958" s="28" t="s">
        <v>50</v>
      </c>
      <c r="D2958" s="28" t="n">
        <v>69</v>
      </c>
      <c r="E2958" s="29" t="n">
        <v>17670100</v>
      </c>
      <c r="F2958" s="30" t="n">
        <v>667.18</v>
      </c>
      <c r="G2958" s="31" t="n">
        <f aca="false">IFERROR(F2958/D2958,0)</f>
        <v>9.66927536231884</v>
      </c>
    </row>
    <row r="2959" customFormat="false" ht="15" hidden="false" customHeight="false" outlineLevel="0" collapsed="false">
      <c r="A2959" s="28" t="n">
        <v>2023</v>
      </c>
      <c r="B2959" s="28" t="s">
        <v>100</v>
      </c>
      <c r="C2959" s="28" t="s">
        <v>55</v>
      </c>
      <c r="D2959" s="28" t="n">
        <v>5</v>
      </c>
      <c r="E2959" s="29" t="n">
        <v>537500</v>
      </c>
      <c r="F2959" s="30" t="n">
        <v>45.5</v>
      </c>
      <c r="G2959" s="31" t="n">
        <f aca="false">IFERROR(F2959/D2959,0)</f>
        <v>9.1</v>
      </c>
    </row>
    <row r="2960" customFormat="false" ht="15" hidden="false" customHeight="false" outlineLevel="0" collapsed="false">
      <c r="A2960" s="28" t="n">
        <v>2023</v>
      </c>
      <c r="B2960" s="28" t="s">
        <v>100</v>
      </c>
      <c r="C2960" s="28" t="s">
        <v>51</v>
      </c>
      <c r="D2960" s="28" t="n">
        <v>47</v>
      </c>
      <c r="E2960" s="29" t="n">
        <v>18196400</v>
      </c>
      <c r="F2960" s="30" t="n">
        <v>430.449</v>
      </c>
      <c r="G2960" s="31" t="n">
        <f aca="false">IFERROR(F2960/D2960,0)</f>
        <v>9.15848936170213</v>
      </c>
    </row>
    <row r="2961" customFormat="false" ht="15" hidden="false" customHeight="false" outlineLevel="0" collapsed="false">
      <c r="A2961" s="28" t="n">
        <v>2023</v>
      </c>
      <c r="B2961" s="28" t="s">
        <v>100</v>
      </c>
      <c r="C2961" s="28" t="s">
        <v>45</v>
      </c>
      <c r="D2961" s="28" t="n">
        <v>160</v>
      </c>
      <c r="E2961" s="29" t="n">
        <v>45086200</v>
      </c>
      <c r="F2961" s="30" t="n">
        <v>1573.62</v>
      </c>
      <c r="G2961" s="31" t="n">
        <f aca="false">IFERROR(F2961/D2961,0)</f>
        <v>9.835125</v>
      </c>
    </row>
    <row r="2962" customFormat="false" ht="15" hidden="false" customHeight="false" outlineLevel="0" collapsed="false">
      <c r="A2962" s="28" t="n">
        <v>2023</v>
      </c>
      <c r="B2962" s="28" t="s">
        <v>100</v>
      </c>
      <c r="C2962" s="28" t="s">
        <v>56</v>
      </c>
      <c r="D2962" s="28" t="n">
        <v>16</v>
      </c>
      <c r="E2962" s="29" t="n">
        <v>4015000</v>
      </c>
      <c r="F2962" s="30" t="n">
        <v>157.19</v>
      </c>
      <c r="G2962" s="31" t="n">
        <f aca="false">IFERROR(F2962/D2962,0)</f>
        <v>9.824375</v>
      </c>
    </row>
    <row r="2963" customFormat="false" ht="15" hidden="false" customHeight="false" outlineLevel="0" collapsed="false">
      <c r="A2963" s="28" t="n">
        <v>2023</v>
      </c>
      <c r="B2963" s="28" t="s">
        <v>100</v>
      </c>
      <c r="C2963" s="28" t="s">
        <v>54</v>
      </c>
      <c r="D2963" s="28" t="n">
        <v>10</v>
      </c>
      <c r="E2963" s="29" t="n">
        <v>2891800</v>
      </c>
      <c r="F2963" s="30" t="n">
        <v>102.89</v>
      </c>
      <c r="G2963" s="31" t="n">
        <f aca="false">IFERROR(F2963/D2963,0)</f>
        <v>10.289</v>
      </c>
    </row>
    <row r="2964" customFormat="false" ht="15" hidden="false" customHeight="false" outlineLevel="0" collapsed="false">
      <c r="A2964" s="28" t="n">
        <v>2023</v>
      </c>
      <c r="B2964" s="28" t="s">
        <v>100</v>
      </c>
      <c r="C2964" s="28" t="s">
        <v>44</v>
      </c>
      <c r="D2964" s="28" t="n">
        <v>74</v>
      </c>
      <c r="E2964" s="29" t="n">
        <v>33228900</v>
      </c>
      <c r="F2964" s="30" t="n">
        <v>714.01</v>
      </c>
      <c r="G2964" s="31" t="n">
        <f aca="false">IFERROR(F2964/D2964,0)</f>
        <v>9.64878378378378</v>
      </c>
    </row>
    <row r="2965" customFormat="false" ht="15" hidden="false" customHeight="false" outlineLevel="0" collapsed="false">
      <c r="A2965" s="28" t="n">
        <v>2023</v>
      </c>
      <c r="B2965" s="28" t="s">
        <v>100</v>
      </c>
      <c r="C2965" s="28" t="s">
        <v>57</v>
      </c>
      <c r="D2965" s="28" t="n">
        <v>6</v>
      </c>
      <c r="E2965" s="29" t="n">
        <v>848500</v>
      </c>
      <c r="F2965" s="30" t="n">
        <v>62.95</v>
      </c>
      <c r="G2965" s="31" t="n">
        <f aca="false">IFERROR(F2965/D2965,0)</f>
        <v>10.4916666666667</v>
      </c>
    </row>
    <row r="2966" customFormat="false" ht="15" hidden="false" customHeight="false" outlineLevel="0" collapsed="false">
      <c r="A2966" s="28" t="n">
        <v>2023</v>
      </c>
      <c r="B2966" s="28" t="s">
        <v>100</v>
      </c>
      <c r="C2966" s="28" t="s">
        <v>47</v>
      </c>
      <c r="D2966" s="28" t="n">
        <v>70</v>
      </c>
      <c r="E2966" s="29" t="n">
        <v>39247300</v>
      </c>
      <c r="F2966" s="30" t="n">
        <v>683.716</v>
      </c>
      <c r="G2966" s="31" t="n">
        <f aca="false">IFERROR(F2966/D2966,0)</f>
        <v>9.76737142857143</v>
      </c>
    </row>
    <row r="2967" customFormat="false" ht="15" hidden="false" customHeight="false" outlineLevel="0" collapsed="false">
      <c r="A2967" s="28" t="n">
        <v>2023</v>
      </c>
      <c r="B2967" s="28" t="s">
        <v>100</v>
      </c>
      <c r="C2967" s="28" t="s">
        <v>46</v>
      </c>
      <c r="D2967" s="28" t="n">
        <v>99</v>
      </c>
      <c r="E2967" s="29" t="n">
        <v>31675100</v>
      </c>
      <c r="F2967" s="30" t="n">
        <v>968.7</v>
      </c>
      <c r="G2967" s="31" t="n">
        <f aca="false">IFERROR(F2967/D2967,0)</f>
        <v>9.78484848484849</v>
      </c>
    </row>
    <row r="2968" customFormat="false" ht="15" hidden="false" customHeight="false" outlineLevel="0" collapsed="false">
      <c r="A2968" s="28" t="n">
        <v>2023</v>
      </c>
      <c r="B2968" s="28" t="s">
        <v>100</v>
      </c>
      <c r="C2968" s="28" t="s">
        <v>48</v>
      </c>
      <c r="D2968" s="28" t="n">
        <v>74</v>
      </c>
      <c r="E2968" s="29" t="n">
        <v>26015200</v>
      </c>
      <c r="F2968" s="30" t="n">
        <v>733.333</v>
      </c>
      <c r="G2968" s="31" t="n">
        <f aca="false">IFERROR(F2968/D2968,0)</f>
        <v>9.90990540540541</v>
      </c>
    </row>
    <row r="2969" customFormat="false" ht="15" hidden="false" customHeight="false" outlineLevel="0" collapsed="false">
      <c r="A2969" s="28" t="n">
        <v>2023</v>
      </c>
      <c r="B2969" s="28" t="s">
        <v>100</v>
      </c>
      <c r="C2969" s="28" t="s">
        <v>53</v>
      </c>
      <c r="D2969" s="28" t="n">
        <v>22</v>
      </c>
      <c r="E2969" s="29" t="n">
        <v>16068600</v>
      </c>
      <c r="F2969" s="30" t="n">
        <v>202.84</v>
      </c>
      <c r="G2969" s="31" t="n">
        <f aca="false">IFERROR(F2969/D2969,0)</f>
        <v>9.22</v>
      </c>
    </row>
    <row r="2970" customFormat="false" ht="15" hidden="false" customHeight="false" outlineLevel="0" collapsed="false">
      <c r="A2970" s="28" t="n">
        <v>2023</v>
      </c>
      <c r="B2970" s="28" t="s">
        <v>100</v>
      </c>
      <c r="C2970" s="28" t="s">
        <v>43</v>
      </c>
      <c r="D2970" s="28" t="n">
        <v>112</v>
      </c>
      <c r="E2970" s="29" t="n">
        <v>48785100</v>
      </c>
      <c r="F2970" s="30" t="n">
        <v>1102.7</v>
      </c>
      <c r="G2970" s="31" t="n">
        <f aca="false">IFERROR(F2970/D2970,0)</f>
        <v>9.84553571428572</v>
      </c>
    </row>
    <row r="2971" customFormat="false" ht="15" hidden="false" customHeight="false" outlineLevel="0" collapsed="false">
      <c r="A2971" s="28" t="n">
        <v>2023</v>
      </c>
      <c r="B2971" s="28" t="s">
        <v>100</v>
      </c>
      <c r="C2971" s="28" t="s">
        <v>52</v>
      </c>
      <c r="D2971" s="28" t="n">
        <v>125</v>
      </c>
      <c r="E2971" s="29" t="n">
        <v>18986600</v>
      </c>
      <c r="F2971" s="30" t="n">
        <v>1254.6</v>
      </c>
      <c r="G2971" s="31" t="n">
        <f aca="false">IFERROR(F2971/D2971,0)</f>
        <v>10.0368</v>
      </c>
    </row>
    <row r="2972" customFormat="false" ht="15" hidden="false" customHeight="false" outlineLevel="0" collapsed="false">
      <c r="A2972" s="28" t="n">
        <v>2023</v>
      </c>
      <c r="B2972" s="28" t="s">
        <v>100</v>
      </c>
      <c r="C2972" s="28" t="s">
        <v>60</v>
      </c>
      <c r="D2972" s="28" t="n">
        <v>1</v>
      </c>
      <c r="E2972" s="29" t="n">
        <v>870300</v>
      </c>
      <c r="F2972" s="30" t="n">
        <v>7.5</v>
      </c>
      <c r="G2972" s="31" t="n">
        <f aca="false">IFERROR(F2972/D2972,0)</f>
        <v>7.5</v>
      </c>
    </row>
    <row r="2973" customFormat="false" ht="15" hidden="false" customHeight="false" outlineLevel="0" collapsed="false">
      <c r="A2973" s="28" t="n">
        <v>2023</v>
      </c>
      <c r="B2973" s="28" t="s">
        <v>100</v>
      </c>
      <c r="C2973" s="28" t="s">
        <v>49</v>
      </c>
      <c r="D2973" s="28" t="n">
        <v>27</v>
      </c>
      <c r="E2973" s="29" t="n">
        <v>19345800</v>
      </c>
      <c r="F2973" s="30" t="n">
        <v>266.02</v>
      </c>
      <c r="G2973" s="31" t="n">
        <f aca="false">IFERROR(F2973/D2973,0)</f>
        <v>9.85259259259259</v>
      </c>
    </row>
    <row r="2974" customFormat="false" ht="15" hidden="false" customHeight="false" outlineLevel="0" collapsed="false">
      <c r="A2974" s="28" t="n">
        <v>2023</v>
      </c>
      <c r="B2974" s="28" t="s">
        <v>101</v>
      </c>
      <c r="C2974" s="28" t="s">
        <v>42</v>
      </c>
      <c r="D2974" s="28" t="n">
        <v>56</v>
      </c>
      <c r="E2974" s="29" t="n">
        <v>40971000</v>
      </c>
      <c r="F2974" s="30" t="n">
        <v>497.74</v>
      </c>
      <c r="G2974" s="31" t="n">
        <f aca="false">IFERROR(F2974/D2974,0)</f>
        <v>8.88821428571429</v>
      </c>
    </row>
    <row r="2975" customFormat="false" ht="15" hidden="false" customHeight="false" outlineLevel="0" collapsed="false">
      <c r="A2975" s="28" t="n">
        <v>2023</v>
      </c>
      <c r="B2975" s="28" t="s">
        <v>101</v>
      </c>
      <c r="C2975" s="28" t="s">
        <v>50</v>
      </c>
      <c r="D2975" s="28" t="n">
        <v>17</v>
      </c>
      <c r="E2975" s="29" t="n">
        <v>4792400</v>
      </c>
      <c r="F2975" s="30" t="n">
        <v>156.43</v>
      </c>
      <c r="G2975" s="31" t="n">
        <f aca="false">IFERROR(F2975/D2975,0)</f>
        <v>9.20176470588235</v>
      </c>
    </row>
    <row r="2976" customFormat="false" ht="15" hidden="false" customHeight="false" outlineLevel="0" collapsed="false">
      <c r="A2976" s="28" t="n">
        <v>2023</v>
      </c>
      <c r="B2976" s="28" t="s">
        <v>101</v>
      </c>
      <c r="C2976" s="28" t="s">
        <v>55</v>
      </c>
      <c r="D2976" s="28" t="n">
        <v>2</v>
      </c>
      <c r="E2976" s="29" t="n">
        <v>285000</v>
      </c>
      <c r="F2976" s="30" t="n">
        <v>17.25</v>
      </c>
      <c r="G2976" s="31" t="n">
        <f aca="false">IFERROR(F2976/D2976,0)</f>
        <v>8.625</v>
      </c>
    </row>
    <row r="2977" customFormat="false" ht="15" hidden="false" customHeight="false" outlineLevel="0" collapsed="false">
      <c r="A2977" s="28" t="n">
        <v>2023</v>
      </c>
      <c r="B2977" s="28" t="s">
        <v>101</v>
      </c>
      <c r="C2977" s="28" t="s">
        <v>51</v>
      </c>
      <c r="D2977" s="28" t="n">
        <v>24</v>
      </c>
      <c r="E2977" s="29" t="n">
        <v>8631000</v>
      </c>
      <c r="F2977" s="30" t="n">
        <v>225.491</v>
      </c>
      <c r="G2977" s="31" t="n">
        <f aca="false">IFERROR(F2977/D2977,0)</f>
        <v>9.39545833333333</v>
      </c>
    </row>
    <row r="2978" customFormat="false" ht="15" hidden="false" customHeight="false" outlineLevel="0" collapsed="false">
      <c r="A2978" s="28" t="n">
        <v>2023</v>
      </c>
      <c r="B2978" s="28" t="s">
        <v>101</v>
      </c>
      <c r="C2978" s="28" t="s">
        <v>45</v>
      </c>
      <c r="D2978" s="28" t="n">
        <v>46</v>
      </c>
      <c r="E2978" s="29" t="n">
        <v>20546500</v>
      </c>
      <c r="F2978" s="30" t="n">
        <v>425.571</v>
      </c>
      <c r="G2978" s="31" t="n">
        <f aca="false">IFERROR(F2978/D2978,0)</f>
        <v>9.25154347826087</v>
      </c>
    </row>
    <row r="2979" customFormat="false" ht="15" hidden="false" customHeight="false" outlineLevel="0" collapsed="false">
      <c r="A2979" s="28" t="n">
        <v>2023</v>
      </c>
      <c r="B2979" s="28" t="s">
        <v>101</v>
      </c>
      <c r="C2979" s="28" t="s">
        <v>56</v>
      </c>
      <c r="D2979" s="28" t="n">
        <v>7</v>
      </c>
      <c r="E2979" s="29" t="n">
        <v>2021900</v>
      </c>
      <c r="F2979" s="30" t="n">
        <v>67.04</v>
      </c>
      <c r="G2979" s="31" t="n">
        <f aca="false">IFERROR(F2979/D2979,0)</f>
        <v>9.57714285714286</v>
      </c>
    </row>
    <row r="2980" customFormat="false" ht="15" hidden="false" customHeight="false" outlineLevel="0" collapsed="false">
      <c r="A2980" s="28" t="n">
        <v>2023</v>
      </c>
      <c r="B2980" s="28" t="s">
        <v>101</v>
      </c>
      <c r="C2980" s="28" t="s">
        <v>54</v>
      </c>
      <c r="D2980" s="28" t="n">
        <v>10</v>
      </c>
      <c r="E2980" s="29" t="n">
        <v>5738900</v>
      </c>
      <c r="F2980" s="30" t="n">
        <v>94.25</v>
      </c>
      <c r="G2980" s="31" t="n">
        <f aca="false">IFERROR(F2980/D2980,0)</f>
        <v>9.425</v>
      </c>
    </row>
    <row r="2981" customFormat="false" ht="15" hidden="false" customHeight="false" outlineLevel="0" collapsed="false">
      <c r="A2981" s="28" t="n">
        <v>2023</v>
      </c>
      <c r="B2981" s="28" t="s">
        <v>101</v>
      </c>
      <c r="C2981" s="28" t="s">
        <v>44</v>
      </c>
      <c r="D2981" s="28" t="n">
        <v>43</v>
      </c>
      <c r="E2981" s="29" t="n">
        <v>15935800</v>
      </c>
      <c r="F2981" s="30" t="n">
        <v>375.19</v>
      </c>
      <c r="G2981" s="31" t="n">
        <f aca="false">IFERROR(F2981/D2981,0)</f>
        <v>8.7253488372093</v>
      </c>
    </row>
    <row r="2982" customFormat="false" ht="15" hidden="false" customHeight="false" outlineLevel="0" collapsed="false">
      <c r="A2982" s="28" t="n">
        <v>2023</v>
      </c>
      <c r="B2982" s="28" t="s">
        <v>101</v>
      </c>
      <c r="C2982" s="28" t="s">
        <v>57</v>
      </c>
      <c r="D2982" s="28" t="n">
        <v>1</v>
      </c>
      <c r="E2982" s="29" t="n">
        <v>283500</v>
      </c>
      <c r="F2982" s="30" t="n">
        <v>6.75</v>
      </c>
      <c r="G2982" s="31" t="n">
        <f aca="false">IFERROR(F2982/D2982,0)</f>
        <v>6.75</v>
      </c>
    </row>
    <row r="2983" customFormat="false" ht="15" hidden="false" customHeight="false" outlineLevel="0" collapsed="false">
      <c r="A2983" s="28" t="n">
        <v>2023</v>
      </c>
      <c r="B2983" s="28" t="s">
        <v>101</v>
      </c>
      <c r="C2983" s="28" t="s">
        <v>47</v>
      </c>
      <c r="D2983" s="28" t="n">
        <v>31</v>
      </c>
      <c r="E2983" s="29" t="n">
        <v>21088200</v>
      </c>
      <c r="F2983" s="30" t="n">
        <v>282.268</v>
      </c>
      <c r="G2983" s="31" t="n">
        <f aca="false">IFERROR(F2983/D2983,0)</f>
        <v>9.10541935483871</v>
      </c>
    </row>
    <row r="2984" customFormat="false" ht="15" hidden="false" customHeight="false" outlineLevel="0" collapsed="false">
      <c r="A2984" s="28" t="n">
        <v>2023</v>
      </c>
      <c r="B2984" s="28" t="s">
        <v>101</v>
      </c>
      <c r="C2984" s="28" t="s">
        <v>58</v>
      </c>
      <c r="D2984" s="28" t="n">
        <v>6</v>
      </c>
      <c r="E2984" s="29" t="n">
        <v>3195200</v>
      </c>
      <c r="F2984" s="30" t="n">
        <v>50.25</v>
      </c>
      <c r="G2984" s="31" t="n">
        <f aca="false">IFERROR(F2984/D2984,0)</f>
        <v>8.375</v>
      </c>
    </row>
    <row r="2985" customFormat="false" ht="15" hidden="false" customHeight="false" outlineLevel="0" collapsed="false">
      <c r="A2985" s="28" t="n">
        <v>2023</v>
      </c>
      <c r="B2985" s="28" t="s">
        <v>101</v>
      </c>
      <c r="C2985" s="28" t="s">
        <v>46</v>
      </c>
      <c r="D2985" s="28" t="n">
        <v>33</v>
      </c>
      <c r="E2985" s="29" t="n">
        <v>16921400</v>
      </c>
      <c r="F2985" s="30" t="n">
        <v>300.34</v>
      </c>
      <c r="G2985" s="31" t="n">
        <f aca="false">IFERROR(F2985/D2985,0)</f>
        <v>9.10121212121212</v>
      </c>
    </row>
    <row r="2986" customFormat="false" ht="15" hidden="false" customHeight="false" outlineLevel="0" collapsed="false">
      <c r="A2986" s="28" t="n">
        <v>2023</v>
      </c>
      <c r="B2986" s="28" t="s">
        <v>101</v>
      </c>
      <c r="C2986" s="28" t="s">
        <v>48</v>
      </c>
      <c r="D2986" s="28" t="n">
        <v>31</v>
      </c>
      <c r="E2986" s="29" t="n">
        <v>15853400</v>
      </c>
      <c r="F2986" s="30" t="n">
        <v>285.665</v>
      </c>
      <c r="G2986" s="31" t="n">
        <f aca="false">IFERROR(F2986/D2986,0)</f>
        <v>9.215</v>
      </c>
    </row>
    <row r="2987" customFormat="false" ht="15" hidden="false" customHeight="false" outlineLevel="0" collapsed="false">
      <c r="A2987" s="28" t="n">
        <v>2023</v>
      </c>
      <c r="B2987" s="28" t="s">
        <v>101</v>
      </c>
      <c r="C2987" s="28" t="s">
        <v>53</v>
      </c>
      <c r="D2987" s="28" t="n">
        <v>11</v>
      </c>
      <c r="E2987" s="29" t="n">
        <v>4216300</v>
      </c>
      <c r="F2987" s="30" t="n">
        <v>104.99</v>
      </c>
      <c r="G2987" s="31" t="n">
        <f aca="false">IFERROR(F2987/D2987,0)</f>
        <v>9.54454545454546</v>
      </c>
    </row>
    <row r="2988" customFormat="false" ht="15" hidden="false" customHeight="false" outlineLevel="0" collapsed="false">
      <c r="A2988" s="28" t="n">
        <v>2023</v>
      </c>
      <c r="B2988" s="28" t="s">
        <v>101</v>
      </c>
      <c r="C2988" s="28" t="s">
        <v>43</v>
      </c>
      <c r="D2988" s="28" t="n">
        <v>36</v>
      </c>
      <c r="E2988" s="29" t="n">
        <v>24064600</v>
      </c>
      <c r="F2988" s="30" t="n">
        <v>309.67</v>
      </c>
      <c r="G2988" s="31" t="n">
        <f aca="false">IFERROR(F2988/D2988,0)</f>
        <v>8.60194444444445</v>
      </c>
    </row>
    <row r="2989" customFormat="false" ht="15" hidden="false" customHeight="false" outlineLevel="0" collapsed="false">
      <c r="A2989" s="28" t="n">
        <v>2023</v>
      </c>
      <c r="B2989" s="28" t="s">
        <v>101</v>
      </c>
      <c r="C2989" s="28" t="s">
        <v>52</v>
      </c>
      <c r="D2989" s="28" t="n">
        <v>11</v>
      </c>
      <c r="E2989" s="29" t="n">
        <v>2338300</v>
      </c>
      <c r="F2989" s="30" t="n">
        <v>100.94</v>
      </c>
      <c r="G2989" s="31" t="n">
        <f aca="false">IFERROR(F2989/D2989,0)</f>
        <v>9.17636363636364</v>
      </c>
    </row>
    <row r="2990" customFormat="false" ht="15" hidden="false" customHeight="false" outlineLevel="0" collapsed="false">
      <c r="A2990" s="28" t="n">
        <v>2023</v>
      </c>
      <c r="B2990" s="28" t="s">
        <v>101</v>
      </c>
      <c r="C2990" s="28" t="s">
        <v>60</v>
      </c>
      <c r="D2990" s="28" t="n">
        <v>1</v>
      </c>
      <c r="E2990" s="29" t="n">
        <v>49000</v>
      </c>
      <c r="F2990" s="30" t="n">
        <v>7.75</v>
      </c>
      <c r="G2990" s="31" t="n">
        <f aca="false">IFERROR(F2990/D2990,0)</f>
        <v>7.75</v>
      </c>
    </row>
    <row r="2991" customFormat="false" ht="15" hidden="false" customHeight="false" outlineLevel="0" collapsed="false">
      <c r="A2991" s="28" t="n">
        <v>2023</v>
      </c>
      <c r="B2991" s="28" t="s">
        <v>101</v>
      </c>
      <c r="C2991" s="28" t="s">
        <v>49</v>
      </c>
      <c r="D2991" s="28" t="n">
        <v>10</v>
      </c>
      <c r="E2991" s="29" t="n">
        <v>4335000</v>
      </c>
      <c r="F2991" s="30" t="n">
        <v>102.26</v>
      </c>
      <c r="G2991" s="31" t="n">
        <f aca="false">IFERROR(F2991/D2991,0)</f>
        <v>10.226</v>
      </c>
    </row>
    <row r="2992" customFormat="false" ht="15" hidden="false" customHeight="false" outlineLevel="0" collapsed="false">
      <c r="A2992" s="28" t="n">
        <v>2023</v>
      </c>
      <c r="B2992" s="28" t="s">
        <v>102</v>
      </c>
      <c r="C2992" s="28" t="s">
        <v>42</v>
      </c>
      <c r="D2992" s="28" t="n">
        <v>71</v>
      </c>
      <c r="E2992" s="29" t="n">
        <v>42842100</v>
      </c>
      <c r="F2992" s="30" t="n">
        <v>648.565</v>
      </c>
      <c r="G2992" s="31" t="n">
        <f aca="false">IFERROR(F2992/D2992,0)</f>
        <v>9.13471830985916</v>
      </c>
    </row>
    <row r="2993" customFormat="false" ht="15" hidden="false" customHeight="false" outlineLevel="0" collapsed="false">
      <c r="A2993" s="28" t="n">
        <v>2023</v>
      </c>
      <c r="B2993" s="28" t="s">
        <v>102</v>
      </c>
      <c r="C2993" s="28" t="s">
        <v>50</v>
      </c>
      <c r="D2993" s="28" t="n">
        <v>17</v>
      </c>
      <c r="E2993" s="29" t="n">
        <v>4333800</v>
      </c>
      <c r="F2993" s="30" t="n">
        <v>167.95</v>
      </c>
      <c r="G2993" s="31" t="n">
        <f aca="false">IFERROR(F2993/D2993,0)</f>
        <v>9.87941176470588</v>
      </c>
    </row>
    <row r="2994" customFormat="false" ht="15" hidden="false" customHeight="false" outlineLevel="0" collapsed="false">
      <c r="A2994" s="28" t="n">
        <v>2023</v>
      </c>
      <c r="B2994" s="28" t="s">
        <v>102</v>
      </c>
      <c r="C2994" s="28" t="s">
        <v>55</v>
      </c>
      <c r="D2994" s="28" t="n">
        <v>3</v>
      </c>
      <c r="E2994" s="29" t="n">
        <v>3432400</v>
      </c>
      <c r="F2994" s="30" t="n">
        <v>23.25</v>
      </c>
      <c r="G2994" s="31" t="n">
        <f aca="false">IFERROR(F2994/D2994,0)</f>
        <v>7.75</v>
      </c>
    </row>
    <row r="2995" customFormat="false" ht="15" hidden="false" customHeight="false" outlineLevel="0" collapsed="false">
      <c r="A2995" s="28" t="n">
        <v>2023</v>
      </c>
      <c r="B2995" s="28" t="s">
        <v>102</v>
      </c>
      <c r="C2995" s="28" t="s">
        <v>51</v>
      </c>
      <c r="D2995" s="28" t="n">
        <v>18</v>
      </c>
      <c r="E2995" s="29" t="n">
        <v>8622600</v>
      </c>
      <c r="F2995" s="30" t="n">
        <v>167.25</v>
      </c>
      <c r="G2995" s="31" t="n">
        <f aca="false">IFERROR(F2995/D2995,0)</f>
        <v>9.29166666666667</v>
      </c>
    </row>
    <row r="2996" customFormat="false" ht="15" hidden="false" customHeight="false" outlineLevel="0" collapsed="false">
      <c r="A2996" s="28" t="n">
        <v>2023</v>
      </c>
      <c r="B2996" s="28" t="s">
        <v>102</v>
      </c>
      <c r="C2996" s="28" t="s">
        <v>45</v>
      </c>
      <c r="D2996" s="28" t="n">
        <v>68</v>
      </c>
      <c r="E2996" s="29" t="n">
        <v>19826400</v>
      </c>
      <c r="F2996" s="30" t="n">
        <v>653.72</v>
      </c>
      <c r="G2996" s="31" t="n">
        <f aca="false">IFERROR(F2996/D2996,0)</f>
        <v>9.61352941176471</v>
      </c>
    </row>
    <row r="2997" customFormat="false" ht="15" hidden="false" customHeight="false" outlineLevel="0" collapsed="false">
      <c r="A2997" s="28" t="n">
        <v>2023</v>
      </c>
      <c r="B2997" s="28" t="s">
        <v>102</v>
      </c>
      <c r="C2997" s="28" t="s">
        <v>56</v>
      </c>
      <c r="D2997" s="28" t="n">
        <v>5</v>
      </c>
      <c r="E2997" s="29" t="n">
        <v>1836000</v>
      </c>
      <c r="F2997" s="30" t="n">
        <v>52.03</v>
      </c>
      <c r="G2997" s="31" t="n">
        <f aca="false">IFERROR(F2997/D2997,0)</f>
        <v>10.406</v>
      </c>
    </row>
    <row r="2998" customFormat="false" ht="15" hidden="false" customHeight="false" outlineLevel="0" collapsed="false">
      <c r="A2998" s="28" t="n">
        <v>2023</v>
      </c>
      <c r="B2998" s="28" t="s">
        <v>102</v>
      </c>
      <c r="C2998" s="28" t="s">
        <v>54</v>
      </c>
      <c r="D2998" s="28" t="n">
        <v>7</v>
      </c>
      <c r="E2998" s="29" t="n">
        <v>1420000</v>
      </c>
      <c r="F2998" s="30" t="n">
        <v>65.74</v>
      </c>
      <c r="G2998" s="31" t="n">
        <f aca="false">IFERROR(F2998/D2998,0)</f>
        <v>9.39142857142857</v>
      </c>
    </row>
    <row r="2999" customFormat="false" ht="15" hidden="false" customHeight="false" outlineLevel="0" collapsed="false">
      <c r="A2999" s="28" t="n">
        <v>2023</v>
      </c>
      <c r="B2999" s="28" t="s">
        <v>102</v>
      </c>
      <c r="C2999" s="28" t="s">
        <v>44</v>
      </c>
      <c r="D2999" s="28" t="n">
        <v>32</v>
      </c>
      <c r="E2999" s="29" t="n">
        <v>22095500</v>
      </c>
      <c r="F2999" s="30" t="n">
        <v>285.85</v>
      </c>
      <c r="G2999" s="31" t="n">
        <f aca="false">IFERROR(F2999/D2999,0)</f>
        <v>8.9328125</v>
      </c>
    </row>
    <row r="3000" customFormat="false" ht="15" hidden="false" customHeight="false" outlineLevel="0" collapsed="false">
      <c r="A3000" s="28" t="n">
        <v>2023</v>
      </c>
      <c r="B3000" s="28" t="s">
        <v>102</v>
      </c>
      <c r="C3000" s="28" t="s">
        <v>57</v>
      </c>
      <c r="D3000" s="28" t="n">
        <v>8</v>
      </c>
      <c r="E3000" s="29" t="n">
        <v>2003000</v>
      </c>
      <c r="F3000" s="30" t="n">
        <v>72.95</v>
      </c>
      <c r="G3000" s="31" t="n">
        <f aca="false">IFERROR(F3000/D3000,0)</f>
        <v>9.11875</v>
      </c>
    </row>
    <row r="3001" customFormat="false" ht="15" hidden="false" customHeight="false" outlineLevel="0" collapsed="false">
      <c r="A3001" s="28" t="n">
        <v>2023</v>
      </c>
      <c r="B3001" s="28" t="s">
        <v>102</v>
      </c>
      <c r="C3001" s="28" t="s">
        <v>47</v>
      </c>
      <c r="D3001" s="28" t="n">
        <v>23</v>
      </c>
      <c r="E3001" s="29" t="n">
        <v>14740400</v>
      </c>
      <c r="F3001" s="30" t="n">
        <v>201.4</v>
      </c>
      <c r="G3001" s="31" t="n">
        <f aca="false">IFERROR(F3001/D3001,0)</f>
        <v>8.75652173913043</v>
      </c>
    </row>
    <row r="3002" customFormat="false" ht="15" hidden="false" customHeight="false" outlineLevel="0" collapsed="false">
      <c r="A3002" s="28" t="n">
        <v>2023</v>
      </c>
      <c r="B3002" s="28" t="s">
        <v>102</v>
      </c>
      <c r="C3002" s="28" t="s">
        <v>46</v>
      </c>
      <c r="D3002" s="28" t="n">
        <v>40</v>
      </c>
      <c r="E3002" s="29" t="n">
        <v>16597100</v>
      </c>
      <c r="F3002" s="30" t="n">
        <v>348.36</v>
      </c>
      <c r="G3002" s="31" t="n">
        <f aca="false">IFERROR(F3002/D3002,0)</f>
        <v>8.709</v>
      </c>
    </row>
    <row r="3003" customFormat="false" ht="15" hidden="false" customHeight="false" outlineLevel="0" collapsed="false">
      <c r="A3003" s="28" t="n">
        <v>2023</v>
      </c>
      <c r="B3003" s="28" t="s">
        <v>102</v>
      </c>
      <c r="C3003" s="28" t="s">
        <v>48</v>
      </c>
      <c r="D3003" s="28" t="n">
        <v>28</v>
      </c>
      <c r="E3003" s="29" t="n">
        <v>7091100</v>
      </c>
      <c r="F3003" s="30" t="n">
        <v>275.858</v>
      </c>
      <c r="G3003" s="31" t="n">
        <f aca="false">IFERROR(F3003/D3003,0)</f>
        <v>9.85207142857143</v>
      </c>
    </row>
    <row r="3004" customFormat="false" ht="15" hidden="false" customHeight="false" outlineLevel="0" collapsed="false">
      <c r="A3004" s="28" t="n">
        <v>2023</v>
      </c>
      <c r="B3004" s="28" t="s">
        <v>102</v>
      </c>
      <c r="C3004" s="28" t="s">
        <v>53</v>
      </c>
      <c r="D3004" s="28" t="n">
        <v>12</v>
      </c>
      <c r="E3004" s="29" t="n">
        <v>11850900</v>
      </c>
      <c r="F3004" s="30" t="n">
        <v>110.49</v>
      </c>
      <c r="G3004" s="31" t="n">
        <f aca="false">IFERROR(F3004/D3004,0)</f>
        <v>9.2075</v>
      </c>
    </row>
    <row r="3005" customFormat="false" ht="15" hidden="false" customHeight="false" outlineLevel="0" collapsed="false">
      <c r="A3005" s="28" t="n">
        <v>2023</v>
      </c>
      <c r="B3005" s="28" t="s">
        <v>102</v>
      </c>
      <c r="C3005" s="28" t="s">
        <v>43</v>
      </c>
      <c r="D3005" s="28" t="n">
        <v>48</v>
      </c>
      <c r="E3005" s="29" t="n">
        <v>17875500</v>
      </c>
      <c r="F3005" s="30" t="n">
        <v>447.29</v>
      </c>
      <c r="G3005" s="31" t="n">
        <f aca="false">IFERROR(F3005/D3005,0)</f>
        <v>9.31854166666667</v>
      </c>
    </row>
    <row r="3006" customFormat="false" ht="15" hidden="false" customHeight="false" outlineLevel="0" collapsed="false">
      <c r="A3006" s="28" t="n">
        <v>2023</v>
      </c>
      <c r="B3006" s="28" t="s">
        <v>102</v>
      </c>
      <c r="C3006" s="28" t="s">
        <v>52</v>
      </c>
      <c r="D3006" s="28" t="n">
        <v>18</v>
      </c>
      <c r="E3006" s="29" t="n">
        <v>6314900</v>
      </c>
      <c r="F3006" s="30" t="n">
        <v>166.34</v>
      </c>
      <c r="G3006" s="31" t="n">
        <f aca="false">IFERROR(F3006/D3006,0)</f>
        <v>9.24111111111111</v>
      </c>
    </row>
    <row r="3007" customFormat="false" ht="15" hidden="false" customHeight="false" outlineLevel="0" collapsed="false">
      <c r="A3007" s="28" t="n">
        <v>2023</v>
      </c>
      <c r="B3007" s="28" t="s">
        <v>102</v>
      </c>
      <c r="C3007" s="28" t="s">
        <v>49</v>
      </c>
      <c r="D3007" s="28" t="n">
        <v>5</v>
      </c>
      <c r="E3007" s="29" t="n">
        <v>1017000</v>
      </c>
      <c r="F3007" s="30" t="n">
        <v>51.15</v>
      </c>
      <c r="G3007" s="31" t="n">
        <f aca="false">IFERROR(F3007/D3007,0)</f>
        <v>10.23</v>
      </c>
    </row>
    <row r="3008" customFormat="false" ht="15" hidden="false" customHeight="false" outlineLevel="0" collapsed="false">
      <c r="A3008" s="28" t="n">
        <v>2023</v>
      </c>
      <c r="B3008" s="28" t="s">
        <v>104</v>
      </c>
      <c r="C3008" s="28" t="s">
        <v>42</v>
      </c>
      <c r="D3008" s="28" t="n">
        <v>43</v>
      </c>
      <c r="E3008" s="29" t="n">
        <v>39440600</v>
      </c>
      <c r="F3008" s="30" t="n">
        <v>428.74</v>
      </c>
      <c r="G3008" s="31" t="n">
        <f aca="false">IFERROR(F3008/D3008,0)</f>
        <v>9.9706976744186</v>
      </c>
    </row>
    <row r="3009" customFormat="false" ht="15" hidden="false" customHeight="false" outlineLevel="0" collapsed="false">
      <c r="A3009" s="28" t="n">
        <v>2023</v>
      </c>
      <c r="B3009" s="28" t="s">
        <v>104</v>
      </c>
      <c r="C3009" s="28" t="s">
        <v>50</v>
      </c>
      <c r="D3009" s="28" t="n">
        <v>27</v>
      </c>
      <c r="E3009" s="29" t="n">
        <v>7524200</v>
      </c>
      <c r="F3009" s="30" t="n">
        <v>284.48</v>
      </c>
      <c r="G3009" s="31" t="n">
        <f aca="false">IFERROR(F3009/D3009,0)</f>
        <v>10.5362962962963</v>
      </c>
    </row>
    <row r="3010" customFormat="false" ht="15" hidden="false" customHeight="false" outlineLevel="0" collapsed="false">
      <c r="A3010" s="28" t="n">
        <v>2023</v>
      </c>
      <c r="B3010" s="28" t="s">
        <v>104</v>
      </c>
      <c r="C3010" s="28" t="s">
        <v>55</v>
      </c>
      <c r="D3010" s="28" t="n">
        <v>11</v>
      </c>
      <c r="E3010" s="29" t="n">
        <v>14665000</v>
      </c>
      <c r="F3010" s="30" t="n">
        <v>91.25</v>
      </c>
      <c r="G3010" s="31" t="n">
        <f aca="false">IFERROR(F3010/D3010,0)</f>
        <v>8.29545454545455</v>
      </c>
    </row>
    <row r="3011" customFormat="false" ht="15" hidden="false" customHeight="false" outlineLevel="0" collapsed="false">
      <c r="A3011" s="28" t="n">
        <v>2023</v>
      </c>
      <c r="B3011" s="28" t="s">
        <v>104</v>
      </c>
      <c r="C3011" s="28" t="s">
        <v>51</v>
      </c>
      <c r="D3011" s="28" t="n">
        <v>12</v>
      </c>
      <c r="E3011" s="29" t="n">
        <v>1665900</v>
      </c>
      <c r="F3011" s="30" t="n">
        <v>138.4</v>
      </c>
      <c r="G3011" s="31" t="n">
        <f aca="false">IFERROR(F3011/D3011,0)</f>
        <v>11.5333333333333</v>
      </c>
    </row>
    <row r="3012" customFormat="false" ht="15" hidden="false" customHeight="false" outlineLevel="0" collapsed="false">
      <c r="A3012" s="28" t="n">
        <v>2023</v>
      </c>
      <c r="B3012" s="28" t="s">
        <v>104</v>
      </c>
      <c r="C3012" s="28" t="s">
        <v>45</v>
      </c>
      <c r="D3012" s="28" t="n">
        <v>57</v>
      </c>
      <c r="E3012" s="29" t="n">
        <v>28401800</v>
      </c>
      <c r="F3012" s="30" t="n">
        <v>605.78</v>
      </c>
      <c r="G3012" s="31" t="n">
        <f aca="false">IFERROR(F3012/D3012,0)</f>
        <v>10.6277192982456</v>
      </c>
    </row>
    <row r="3013" customFormat="false" ht="15" hidden="false" customHeight="false" outlineLevel="0" collapsed="false">
      <c r="A3013" s="28" t="n">
        <v>2023</v>
      </c>
      <c r="B3013" s="28" t="s">
        <v>104</v>
      </c>
      <c r="C3013" s="28" t="s">
        <v>56</v>
      </c>
      <c r="D3013" s="28" t="n">
        <v>8</v>
      </c>
      <c r="E3013" s="29" t="n">
        <v>1265900</v>
      </c>
      <c r="F3013" s="30" t="n">
        <v>85.25</v>
      </c>
      <c r="G3013" s="31" t="n">
        <f aca="false">IFERROR(F3013/D3013,0)</f>
        <v>10.65625</v>
      </c>
    </row>
    <row r="3014" customFormat="false" ht="15" hidden="false" customHeight="false" outlineLevel="0" collapsed="false">
      <c r="A3014" s="28" t="n">
        <v>2023</v>
      </c>
      <c r="B3014" s="28" t="s">
        <v>104</v>
      </c>
      <c r="C3014" s="28" t="s">
        <v>54</v>
      </c>
      <c r="D3014" s="28" t="n">
        <v>10</v>
      </c>
      <c r="E3014" s="29" t="n">
        <v>7745200</v>
      </c>
      <c r="F3014" s="30" t="n">
        <v>93.49</v>
      </c>
      <c r="G3014" s="31" t="n">
        <f aca="false">IFERROR(F3014/D3014,0)</f>
        <v>9.349</v>
      </c>
    </row>
    <row r="3015" customFormat="false" ht="15" hidden="false" customHeight="false" outlineLevel="0" collapsed="false">
      <c r="A3015" s="28" t="n">
        <v>2023</v>
      </c>
      <c r="B3015" s="28" t="s">
        <v>104</v>
      </c>
      <c r="C3015" s="28" t="s">
        <v>44</v>
      </c>
      <c r="D3015" s="28" t="n">
        <v>21</v>
      </c>
      <c r="E3015" s="29" t="n">
        <v>8241100</v>
      </c>
      <c r="F3015" s="30" t="n">
        <v>207.25</v>
      </c>
      <c r="G3015" s="31" t="n">
        <f aca="false">IFERROR(F3015/D3015,0)</f>
        <v>9.86904761904762</v>
      </c>
    </row>
    <row r="3016" customFormat="false" ht="15" hidden="false" customHeight="false" outlineLevel="0" collapsed="false">
      <c r="A3016" s="28" t="n">
        <v>2023</v>
      </c>
      <c r="B3016" s="28" t="s">
        <v>104</v>
      </c>
      <c r="C3016" s="28" t="s">
        <v>57</v>
      </c>
      <c r="D3016" s="28" t="n">
        <v>2</v>
      </c>
      <c r="E3016" s="29" t="n">
        <v>192800</v>
      </c>
      <c r="F3016" s="30" t="n">
        <v>21.75</v>
      </c>
      <c r="G3016" s="31" t="n">
        <f aca="false">IFERROR(F3016/D3016,0)</f>
        <v>10.875</v>
      </c>
    </row>
    <row r="3017" customFormat="false" ht="15" hidden="false" customHeight="false" outlineLevel="0" collapsed="false">
      <c r="A3017" s="28" t="n">
        <v>2023</v>
      </c>
      <c r="B3017" s="28" t="s">
        <v>104</v>
      </c>
      <c r="C3017" s="28" t="s">
        <v>47</v>
      </c>
      <c r="D3017" s="28" t="n">
        <v>20</v>
      </c>
      <c r="E3017" s="29" t="n">
        <v>7188300</v>
      </c>
      <c r="F3017" s="30" t="n">
        <v>201.606</v>
      </c>
      <c r="G3017" s="31" t="n">
        <f aca="false">IFERROR(F3017/D3017,0)</f>
        <v>10.0803</v>
      </c>
    </row>
    <row r="3018" customFormat="false" ht="15" hidden="false" customHeight="false" outlineLevel="0" collapsed="false">
      <c r="A3018" s="28" t="n">
        <v>2023</v>
      </c>
      <c r="B3018" s="28" t="s">
        <v>104</v>
      </c>
      <c r="C3018" s="28" t="s">
        <v>58</v>
      </c>
      <c r="D3018" s="28" t="n">
        <v>2</v>
      </c>
      <c r="E3018" s="29" t="n">
        <v>1140000</v>
      </c>
      <c r="F3018" s="30" t="n">
        <v>19.25</v>
      </c>
      <c r="G3018" s="31" t="n">
        <f aca="false">IFERROR(F3018/D3018,0)</f>
        <v>9.625</v>
      </c>
    </row>
    <row r="3019" customFormat="false" ht="15" hidden="false" customHeight="false" outlineLevel="0" collapsed="false">
      <c r="A3019" s="28" t="n">
        <v>2023</v>
      </c>
      <c r="B3019" s="28" t="s">
        <v>104</v>
      </c>
      <c r="C3019" s="28" t="s">
        <v>46</v>
      </c>
      <c r="D3019" s="28" t="n">
        <v>45</v>
      </c>
      <c r="E3019" s="29" t="n">
        <v>17257500</v>
      </c>
      <c r="F3019" s="30" t="n">
        <v>484.25</v>
      </c>
      <c r="G3019" s="31" t="n">
        <f aca="false">IFERROR(F3019/D3019,0)</f>
        <v>10.7611111111111</v>
      </c>
    </row>
    <row r="3020" customFormat="false" ht="15" hidden="false" customHeight="false" outlineLevel="0" collapsed="false">
      <c r="A3020" s="28" t="n">
        <v>2023</v>
      </c>
      <c r="B3020" s="28" t="s">
        <v>104</v>
      </c>
      <c r="C3020" s="28" t="s">
        <v>48</v>
      </c>
      <c r="D3020" s="28" t="n">
        <v>29</v>
      </c>
      <c r="E3020" s="29" t="n">
        <v>15007400</v>
      </c>
      <c r="F3020" s="30" t="n">
        <v>293.4</v>
      </c>
      <c r="G3020" s="31" t="n">
        <f aca="false">IFERROR(F3020/D3020,0)</f>
        <v>10.1172413793103</v>
      </c>
    </row>
    <row r="3021" customFormat="false" ht="15" hidden="false" customHeight="false" outlineLevel="0" collapsed="false">
      <c r="A3021" s="28" t="n">
        <v>2023</v>
      </c>
      <c r="B3021" s="28" t="s">
        <v>104</v>
      </c>
      <c r="C3021" s="28" t="s">
        <v>53</v>
      </c>
      <c r="D3021" s="28" t="n">
        <v>10</v>
      </c>
      <c r="E3021" s="29" t="n">
        <v>14096600</v>
      </c>
      <c r="F3021" s="30" t="n">
        <v>90</v>
      </c>
      <c r="G3021" s="31" t="n">
        <f aca="false">IFERROR(F3021/D3021,0)</f>
        <v>9</v>
      </c>
    </row>
    <row r="3022" customFormat="false" ht="15" hidden="false" customHeight="false" outlineLevel="0" collapsed="false">
      <c r="A3022" s="28" t="n">
        <v>2023</v>
      </c>
      <c r="B3022" s="28" t="s">
        <v>104</v>
      </c>
      <c r="C3022" s="28" t="s">
        <v>43</v>
      </c>
      <c r="D3022" s="28" t="n">
        <v>45</v>
      </c>
      <c r="E3022" s="29" t="n">
        <v>22162600</v>
      </c>
      <c r="F3022" s="30" t="n">
        <v>475.48</v>
      </c>
      <c r="G3022" s="31" t="n">
        <f aca="false">IFERROR(F3022/D3022,0)</f>
        <v>10.5662222222222</v>
      </c>
    </row>
    <row r="3023" customFormat="false" ht="15" hidden="false" customHeight="false" outlineLevel="0" collapsed="false">
      <c r="A3023" s="28" t="n">
        <v>2023</v>
      </c>
      <c r="B3023" s="28" t="s">
        <v>104</v>
      </c>
      <c r="C3023" s="28" t="s">
        <v>52</v>
      </c>
      <c r="D3023" s="28" t="n">
        <v>20</v>
      </c>
      <c r="E3023" s="29" t="n">
        <v>8294800</v>
      </c>
      <c r="F3023" s="30" t="n">
        <v>212.95</v>
      </c>
      <c r="G3023" s="31" t="n">
        <f aca="false">IFERROR(F3023/D3023,0)</f>
        <v>10.6475</v>
      </c>
    </row>
    <row r="3024" customFormat="false" ht="15" hidden="false" customHeight="false" outlineLevel="0" collapsed="false">
      <c r="A3024" s="28" t="n">
        <v>2023</v>
      </c>
      <c r="B3024" s="28" t="s">
        <v>104</v>
      </c>
      <c r="C3024" s="28" t="s">
        <v>49</v>
      </c>
      <c r="D3024" s="28" t="n">
        <v>17</v>
      </c>
      <c r="E3024" s="29" t="n">
        <v>7327400</v>
      </c>
      <c r="F3024" s="30" t="n">
        <v>178.65</v>
      </c>
      <c r="G3024" s="31" t="n">
        <f aca="false">IFERROR(F3024/D3024,0)</f>
        <v>10.5088235294118</v>
      </c>
    </row>
    <row r="3025" customFormat="false" ht="15" hidden="false" customHeight="false" outlineLevel="0" collapsed="false">
      <c r="A3025" s="28" t="n">
        <v>2023</v>
      </c>
      <c r="B3025" s="28" t="s">
        <v>106</v>
      </c>
      <c r="C3025" s="28" t="s">
        <v>42</v>
      </c>
      <c r="D3025" s="28" t="n">
        <v>140</v>
      </c>
      <c r="E3025" s="29" t="n">
        <v>56198400</v>
      </c>
      <c r="F3025" s="30" t="n">
        <v>1369.255</v>
      </c>
      <c r="G3025" s="31" t="n">
        <f aca="false">IFERROR(F3025/D3025,0)</f>
        <v>9.78039285714286</v>
      </c>
    </row>
    <row r="3026" customFormat="false" ht="15" hidden="false" customHeight="false" outlineLevel="0" collapsed="false">
      <c r="A3026" s="28" t="n">
        <v>2023</v>
      </c>
      <c r="B3026" s="28" t="s">
        <v>106</v>
      </c>
      <c r="C3026" s="28" t="s">
        <v>50</v>
      </c>
      <c r="D3026" s="28" t="n">
        <v>100</v>
      </c>
      <c r="E3026" s="29" t="n">
        <v>21935600</v>
      </c>
      <c r="F3026" s="30" t="n">
        <v>1004.53</v>
      </c>
      <c r="G3026" s="31" t="n">
        <f aca="false">IFERROR(F3026/D3026,0)</f>
        <v>10.0453</v>
      </c>
    </row>
    <row r="3027" customFormat="false" ht="15" hidden="false" customHeight="false" outlineLevel="0" collapsed="false">
      <c r="A3027" s="28" t="n">
        <v>2023</v>
      </c>
      <c r="B3027" s="28" t="s">
        <v>106</v>
      </c>
      <c r="C3027" s="28" t="s">
        <v>55</v>
      </c>
      <c r="D3027" s="28" t="n">
        <v>5</v>
      </c>
      <c r="E3027" s="29" t="n">
        <v>1458000</v>
      </c>
      <c r="F3027" s="30" t="n">
        <v>52.8</v>
      </c>
      <c r="G3027" s="31" t="n">
        <f aca="false">IFERROR(F3027/D3027,0)</f>
        <v>10.56</v>
      </c>
    </row>
    <row r="3028" customFormat="false" ht="15" hidden="false" customHeight="false" outlineLevel="0" collapsed="false">
      <c r="A3028" s="28" t="n">
        <v>2023</v>
      </c>
      <c r="B3028" s="28" t="s">
        <v>106</v>
      </c>
      <c r="C3028" s="28" t="s">
        <v>51</v>
      </c>
      <c r="D3028" s="28" t="n">
        <v>36</v>
      </c>
      <c r="E3028" s="29" t="n">
        <v>14575400</v>
      </c>
      <c r="F3028" s="30" t="n">
        <v>356.71</v>
      </c>
      <c r="G3028" s="31" t="n">
        <f aca="false">IFERROR(F3028/D3028,0)</f>
        <v>9.90861111111111</v>
      </c>
    </row>
    <row r="3029" customFormat="false" ht="15" hidden="false" customHeight="false" outlineLevel="0" collapsed="false">
      <c r="A3029" s="28" t="n">
        <v>2023</v>
      </c>
      <c r="B3029" s="28" t="s">
        <v>106</v>
      </c>
      <c r="C3029" s="28" t="s">
        <v>45</v>
      </c>
      <c r="D3029" s="28" t="n">
        <v>233</v>
      </c>
      <c r="E3029" s="29" t="n">
        <v>45687000</v>
      </c>
      <c r="F3029" s="30" t="n">
        <v>2414.75</v>
      </c>
      <c r="G3029" s="31" t="n">
        <f aca="false">IFERROR(F3029/D3029,0)</f>
        <v>10.3637339055794</v>
      </c>
    </row>
    <row r="3030" customFormat="false" ht="15" hidden="false" customHeight="false" outlineLevel="0" collapsed="false">
      <c r="A3030" s="28" t="n">
        <v>2023</v>
      </c>
      <c r="B3030" s="28" t="s">
        <v>106</v>
      </c>
      <c r="C3030" s="28" t="s">
        <v>56</v>
      </c>
      <c r="D3030" s="28" t="n">
        <v>12</v>
      </c>
      <c r="E3030" s="29" t="n">
        <v>1978000</v>
      </c>
      <c r="F3030" s="30" t="n">
        <v>122.93</v>
      </c>
      <c r="G3030" s="31" t="n">
        <f aca="false">IFERROR(F3030/D3030,0)</f>
        <v>10.2441666666667</v>
      </c>
    </row>
    <row r="3031" customFormat="false" ht="15" hidden="false" customHeight="false" outlineLevel="0" collapsed="false">
      <c r="A3031" s="28" t="n">
        <v>2023</v>
      </c>
      <c r="B3031" s="28" t="s">
        <v>106</v>
      </c>
      <c r="C3031" s="28" t="s">
        <v>54</v>
      </c>
      <c r="D3031" s="28" t="n">
        <v>17</v>
      </c>
      <c r="E3031" s="29" t="n">
        <v>11927100</v>
      </c>
      <c r="F3031" s="30" t="n">
        <v>167.77</v>
      </c>
      <c r="G3031" s="31" t="n">
        <f aca="false">IFERROR(F3031/D3031,0)</f>
        <v>9.86882352941177</v>
      </c>
    </row>
    <row r="3032" customFormat="false" ht="15" hidden="false" customHeight="false" outlineLevel="0" collapsed="false">
      <c r="A3032" s="28" t="n">
        <v>2023</v>
      </c>
      <c r="B3032" s="28" t="s">
        <v>106</v>
      </c>
      <c r="C3032" s="28" t="s">
        <v>44</v>
      </c>
      <c r="D3032" s="28" t="n">
        <v>107</v>
      </c>
      <c r="E3032" s="29" t="n">
        <v>33742900</v>
      </c>
      <c r="F3032" s="30" t="n">
        <v>995.93</v>
      </c>
      <c r="G3032" s="31" t="n">
        <f aca="false">IFERROR(F3032/D3032,0)</f>
        <v>9.30775700934579</v>
      </c>
    </row>
    <row r="3033" customFormat="false" ht="15" hidden="false" customHeight="false" outlineLevel="0" collapsed="false">
      <c r="A3033" s="28" t="n">
        <v>2023</v>
      </c>
      <c r="B3033" s="28" t="s">
        <v>106</v>
      </c>
      <c r="C3033" s="28" t="s">
        <v>57</v>
      </c>
      <c r="D3033" s="28" t="n">
        <v>14</v>
      </c>
      <c r="E3033" s="29" t="n">
        <v>2239600</v>
      </c>
      <c r="F3033" s="30" t="n">
        <v>149.1</v>
      </c>
      <c r="G3033" s="31" t="n">
        <f aca="false">IFERROR(F3033/D3033,0)</f>
        <v>10.65</v>
      </c>
    </row>
    <row r="3034" customFormat="false" ht="15" hidden="false" customHeight="false" outlineLevel="0" collapsed="false">
      <c r="A3034" s="28" t="n">
        <v>2023</v>
      </c>
      <c r="B3034" s="28" t="s">
        <v>106</v>
      </c>
      <c r="C3034" s="28" t="s">
        <v>47</v>
      </c>
      <c r="D3034" s="28" t="n">
        <v>74</v>
      </c>
      <c r="E3034" s="29" t="n">
        <v>39513400</v>
      </c>
      <c r="F3034" s="30" t="n">
        <v>675.63</v>
      </c>
      <c r="G3034" s="31" t="n">
        <f aca="false">IFERROR(F3034/D3034,0)</f>
        <v>9.13013513513513</v>
      </c>
    </row>
    <row r="3035" customFormat="false" ht="15" hidden="false" customHeight="false" outlineLevel="0" collapsed="false">
      <c r="A3035" s="28" t="n">
        <v>2023</v>
      </c>
      <c r="B3035" s="28" t="s">
        <v>106</v>
      </c>
      <c r="C3035" s="28" t="s">
        <v>46</v>
      </c>
      <c r="D3035" s="28" t="n">
        <v>115</v>
      </c>
      <c r="E3035" s="29" t="n">
        <v>34045300</v>
      </c>
      <c r="F3035" s="30" t="n">
        <v>1163.635</v>
      </c>
      <c r="G3035" s="31" t="n">
        <f aca="false">IFERROR(F3035/D3035,0)</f>
        <v>10.1185652173913</v>
      </c>
    </row>
    <row r="3036" customFormat="false" ht="15" hidden="false" customHeight="false" outlineLevel="0" collapsed="false">
      <c r="A3036" s="28" t="n">
        <v>2023</v>
      </c>
      <c r="B3036" s="28" t="s">
        <v>106</v>
      </c>
      <c r="C3036" s="28" t="s">
        <v>48</v>
      </c>
      <c r="D3036" s="28" t="n">
        <v>160</v>
      </c>
      <c r="E3036" s="29" t="n">
        <v>37274900</v>
      </c>
      <c r="F3036" s="30" t="n">
        <v>1610.87</v>
      </c>
      <c r="G3036" s="31" t="n">
        <f aca="false">IFERROR(F3036/D3036,0)</f>
        <v>10.0679375</v>
      </c>
    </row>
    <row r="3037" customFormat="false" ht="15" hidden="false" customHeight="false" outlineLevel="0" collapsed="false">
      <c r="A3037" s="28" t="n">
        <v>2023</v>
      </c>
      <c r="B3037" s="28" t="s">
        <v>106</v>
      </c>
      <c r="C3037" s="28" t="s">
        <v>53</v>
      </c>
      <c r="D3037" s="28" t="n">
        <v>28</v>
      </c>
      <c r="E3037" s="29" t="n">
        <v>8769900</v>
      </c>
      <c r="F3037" s="30" t="n">
        <v>264.19</v>
      </c>
      <c r="G3037" s="31" t="n">
        <f aca="false">IFERROR(F3037/D3037,0)</f>
        <v>9.43535714285714</v>
      </c>
    </row>
    <row r="3038" customFormat="false" ht="15" hidden="false" customHeight="false" outlineLevel="0" collapsed="false">
      <c r="A3038" s="28" t="n">
        <v>2023</v>
      </c>
      <c r="B3038" s="28" t="s">
        <v>106</v>
      </c>
      <c r="C3038" s="28" t="s">
        <v>43</v>
      </c>
      <c r="D3038" s="28" t="n">
        <v>126</v>
      </c>
      <c r="E3038" s="29" t="n">
        <v>35170300</v>
      </c>
      <c r="F3038" s="30" t="n">
        <v>1278.335</v>
      </c>
      <c r="G3038" s="31" t="n">
        <f aca="false">IFERROR(F3038/D3038,0)</f>
        <v>10.1455158730159</v>
      </c>
    </row>
    <row r="3039" customFormat="false" ht="15" hidden="false" customHeight="false" outlineLevel="0" collapsed="false">
      <c r="A3039" s="28" t="n">
        <v>2023</v>
      </c>
      <c r="B3039" s="28" t="s">
        <v>106</v>
      </c>
      <c r="C3039" s="28" t="s">
        <v>52</v>
      </c>
      <c r="D3039" s="28" t="n">
        <v>57</v>
      </c>
      <c r="E3039" s="29" t="n">
        <v>13257200</v>
      </c>
      <c r="F3039" s="30" t="n">
        <v>560.93</v>
      </c>
      <c r="G3039" s="31" t="n">
        <f aca="false">IFERROR(F3039/D3039,0)</f>
        <v>9.84087719298246</v>
      </c>
    </row>
    <row r="3040" customFormat="false" ht="15" hidden="false" customHeight="false" outlineLevel="0" collapsed="false">
      <c r="A3040" s="28" t="n">
        <v>2023</v>
      </c>
      <c r="B3040" s="28" t="s">
        <v>106</v>
      </c>
      <c r="C3040" s="28" t="s">
        <v>60</v>
      </c>
      <c r="D3040" s="28" t="n">
        <v>3</v>
      </c>
      <c r="E3040" s="29" t="n">
        <v>531300</v>
      </c>
      <c r="F3040" s="30" t="n">
        <v>32.75</v>
      </c>
      <c r="G3040" s="31" t="n">
        <f aca="false">IFERROR(F3040/D3040,0)</f>
        <v>10.9166666666667</v>
      </c>
    </row>
    <row r="3041" customFormat="false" ht="15" hidden="false" customHeight="false" outlineLevel="0" collapsed="false">
      <c r="A3041" s="28" t="n">
        <v>2023</v>
      </c>
      <c r="B3041" s="28" t="s">
        <v>106</v>
      </c>
      <c r="C3041" s="28" t="s">
        <v>49</v>
      </c>
      <c r="D3041" s="28" t="n">
        <v>41</v>
      </c>
      <c r="E3041" s="29" t="n">
        <v>13557000</v>
      </c>
      <c r="F3041" s="30" t="n">
        <v>405.8</v>
      </c>
      <c r="G3041" s="31" t="n">
        <f aca="false">IFERROR(F3041/D3041,0)</f>
        <v>9.89756097560976</v>
      </c>
    </row>
    <row r="3042" customFormat="false" ht="15" hidden="false" customHeight="false" outlineLevel="0" collapsed="false">
      <c r="A3042" s="28" t="n">
        <v>2023</v>
      </c>
      <c r="B3042" s="28" t="s">
        <v>107</v>
      </c>
      <c r="C3042" s="28" t="s">
        <v>42</v>
      </c>
      <c r="D3042" s="28" t="n">
        <v>101</v>
      </c>
      <c r="E3042" s="29" t="n">
        <v>49443200</v>
      </c>
      <c r="F3042" s="30" t="n">
        <v>1042.27</v>
      </c>
      <c r="G3042" s="31" t="n">
        <f aca="false">IFERROR(F3042/D3042,0)</f>
        <v>10.3195049504951</v>
      </c>
    </row>
    <row r="3043" customFormat="false" ht="15" hidden="false" customHeight="false" outlineLevel="0" collapsed="false">
      <c r="A3043" s="28" t="n">
        <v>2023</v>
      </c>
      <c r="B3043" s="28" t="s">
        <v>107</v>
      </c>
      <c r="C3043" s="28" t="s">
        <v>50</v>
      </c>
      <c r="D3043" s="28" t="n">
        <v>53</v>
      </c>
      <c r="E3043" s="29" t="n">
        <v>13879400</v>
      </c>
      <c r="F3043" s="30" t="n">
        <v>589.44</v>
      </c>
      <c r="G3043" s="31" t="n">
        <f aca="false">IFERROR(F3043/D3043,0)</f>
        <v>11.1215094339623</v>
      </c>
    </row>
    <row r="3044" customFormat="false" ht="15" hidden="false" customHeight="false" outlineLevel="0" collapsed="false">
      <c r="A3044" s="28" t="n">
        <v>2023</v>
      </c>
      <c r="B3044" s="28" t="s">
        <v>107</v>
      </c>
      <c r="C3044" s="28" t="s">
        <v>55</v>
      </c>
      <c r="D3044" s="28" t="n">
        <v>2</v>
      </c>
      <c r="E3044" s="29" t="n">
        <v>1000000</v>
      </c>
      <c r="F3044" s="30" t="n">
        <v>20.25</v>
      </c>
      <c r="G3044" s="31" t="n">
        <f aca="false">IFERROR(F3044/D3044,0)</f>
        <v>10.125</v>
      </c>
    </row>
    <row r="3045" customFormat="false" ht="15" hidden="false" customHeight="false" outlineLevel="0" collapsed="false">
      <c r="A3045" s="28" t="n">
        <v>2023</v>
      </c>
      <c r="B3045" s="28" t="s">
        <v>107</v>
      </c>
      <c r="C3045" s="28" t="s">
        <v>51</v>
      </c>
      <c r="D3045" s="28" t="n">
        <v>33</v>
      </c>
      <c r="E3045" s="29" t="n">
        <v>13315500</v>
      </c>
      <c r="F3045" s="30" t="n">
        <v>361.55</v>
      </c>
      <c r="G3045" s="31" t="n">
        <f aca="false">IFERROR(F3045/D3045,0)</f>
        <v>10.9560606060606</v>
      </c>
    </row>
    <row r="3046" customFormat="false" ht="15" hidden="false" customHeight="false" outlineLevel="0" collapsed="false">
      <c r="A3046" s="28" t="n">
        <v>2023</v>
      </c>
      <c r="B3046" s="28" t="s">
        <v>107</v>
      </c>
      <c r="C3046" s="28" t="s">
        <v>45</v>
      </c>
      <c r="D3046" s="28" t="n">
        <v>97</v>
      </c>
      <c r="E3046" s="29" t="n">
        <v>28582100</v>
      </c>
      <c r="F3046" s="30" t="n">
        <v>1088.55</v>
      </c>
      <c r="G3046" s="31" t="n">
        <f aca="false">IFERROR(F3046/D3046,0)</f>
        <v>11.2221649484536</v>
      </c>
    </row>
    <row r="3047" customFormat="false" ht="15" hidden="false" customHeight="false" outlineLevel="0" collapsed="false">
      <c r="A3047" s="28" t="n">
        <v>2023</v>
      </c>
      <c r="B3047" s="28" t="s">
        <v>107</v>
      </c>
      <c r="C3047" s="28" t="s">
        <v>56</v>
      </c>
      <c r="D3047" s="28" t="n">
        <v>15</v>
      </c>
      <c r="E3047" s="29" t="n">
        <v>5790400</v>
      </c>
      <c r="F3047" s="30" t="n">
        <v>170</v>
      </c>
      <c r="G3047" s="31" t="n">
        <f aca="false">IFERROR(F3047/D3047,0)</f>
        <v>11.3333333333333</v>
      </c>
    </row>
    <row r="3048" customFormat="false" ht="15" hidden="false" customHeight="false" outlineLevel="0" collapsed="false">
      <c r="A3048" s="28" t="n">
        <v>2023</v>
      </c>
      <c r="B3048" s="28" t="s">
        <v>107</v>
      </c>
      <c r="C3048" s="28" t="s">
        <v>54</v>
      </c>
      <c r="D3048" s="28" t="n">
        <v>19</v>
      </c>
      <c r="E3048" s="29" t="n">
        <v>3026100</v>
      </c>
      <c r="F3048" s="30" t="n">
        <v>210.34</v>
      </c>
      <c r="G3048" s="31" t="n">
        <f aca="false">IFERROR(F3048/D3048,0)</f>
        <v>11.0705263157895</v>
      </c>
    </row>
    <row r="3049" customFormat="false" ht="15" hidden="false" customHeight="false" outlineLevel="0" collapsed="false">
      <c r="A3049" s="28" t="n">
        <v>2023</v>
      </c>
      <c r="B3049" s="28" t="s">
        <v>107</v>
      </c>
      <c r="C3049" s="28" t="s">
        <v>44</v>
      </c>
      <c r="D3049" s="28" t="n">
        <v>83</v>
      </c>
      <c r="E3049" s="29" t="n">
        <v>46338600</v>
      </c>
      <c r="F3049" s="30" t="n">
        <v>862.19</v>
      </c>
      <c r="G3049" s="31" t="n">
        <f aca="false">IFERROR(F3049/D3049,0)</f>
        <v>10.3878313253012</v>
      </c>
    </row>
    <row r="3050" customFormat="false" ht="15" hidden="false" customHeight="false" outlineLevel="0" collapsed="false">
      <c r="A3050" s="28" t="n">
        <v>2023</v>
      </c>
      <c r="B3050" s="28" t="s">
        <v>107</v>
      </c>
      <c r="C3050" s="28" t="s">
        <v>57</v>
      </c>
      <c r="D3050" s="28" t="n">
        <v>6</v>
      </c>
      <c r="E3050" s="29" t="n">
        <v>3548000</v>
      </c>
      <c r="F3050" s="30" t="n">
        <v>75.4</v>
      </c>
      <c r="G3050" s="31" t="n">
        <f aca="false">IFERROR(F3050/D3050,0)</f>
        <v>12.5666666666667</v>
      </c>
    </row>
    <row r="3051" customFormat="false" ht="15" hidden="false" customHeight="false" outlineLevel="0" collapsed="false">
      <c r="A3051" s="28" t="n">
        <v>2023</v>
      </c>
      <c r="B3051" s="28" t="s">
        <v>107</v>
      </c>
      <c r="C3051" s="28" t="s">
        <v>47</v>
      </c>
      <c r="D3051" s="28" t="n">
        <v>37</v>
      </c>
      <c r="E3051" s="29" t="n">
        <v>17351300</v>
      </c>
      <c r="F3051" s="30" t="n">
        <v>395.93</v>
      </c>
      <c r="G3051" s="31" t="n">
        <f aca="false">IFERROR(F3051/D3051,0)</f>
        <v>10.7008108108108</v>
      </c>
    </row>
    <row r="3052" customFormat="false" ht="15" hidden="false" customHeight="false" outlineLevel="0" collapsed="false">
      <c r="A3052" s="28" t="n">
        <v>2023</v>
      </c>
      <c r="B3052" s="28" t="s">
        <v>107</v>
      </c>
      <c r="C3052" s="28" t="s">
        <v>46</v>
      </c>
      <c r="D3052" s="28" t="n">
        <v>89</v>
      </c>
      <c r="E3052" s="29" t="n">
        <v>33921100</v>
      </c>
      <c r="F3052" s="30" t="n">
        <v>972.64</v>
      </c>
      <c r="G3052" s="31" t="n">
        <f aca="false">IFERROR(F3052/D3052,0)</f>
        <v>10.9285393258427</v>
      </c>
    </row>
    <row r="3053" customFormat="false" ht="15" hidden="false" customHeight="false" outlineLevel="0" collapsed="false">
      <c r="A3053" s="28" t="n">
        <v>2023</v>
      </c>
      <c r="B3053" s="28" t="s">
        <v>107</v>
      </c>
      <c r="C3053" s="28" t="s">
        <v>48</v>
      </c>
      <c r="D3053" s="28" t="n">
        <v>100</v>
      </c>
      <c r="E3053" s="29" t="n">
        <v>34714900</v>
      </c>
      <c r="F3053" s="30" t="n">
        <v>1114.89</v>
      </c>
      <c r="G3053" s="31" t="n">
        <f aca="false">IFERROR(F3053/D3053,0)</f>
        <v>11.1489</v>
      </c>
    </row>
    <row r="3054" customFormat="false" ht="15" hidden="false" customHeight="false" outlineLevel="0" collapsed="false">
      <c r="A3054" s="28" t="n">
        <v>2023</v>
      </c>
      <c r="B3054" s="28" t="s">
        <v>107</v>
      </c>
      <c r="C3054" s="28" t="s">
        <v>53</v>
      </c>
      <c r="D3054" s="28" t="n">
        <v>17</v>
      </c>
      <c r="E3054" s="29" t="n">
        <v>11389400</v>
      </c>
      <c r="F3054" s="30" t="n">
        <v>182.88</v>
      </c>
      <c r="G3054" s="31" t="n">
        <f aca="false">IFERROR(F3054/D3054,0)</f>
        <v>10.7576470588235</v>
      </c>
    </row>
    <row r="3055" customFormat="false" ht="15" hidden="false" customHeight="false" outlineLevel="0" collapsed="false">
      <c r="A3055" s="28" t="n">
        <v>2023</v>
      </c>
      <c r="B3055" s="28" t="s">
        <v>107</v>
      </c>
      <c r="C3055" s="28" t="s">
        <v>43</v>
      </c>
      <c r="D3055" s="28" t="n">
        <v>89</v>
      </c>
      <c r="E3055" s="29" t="n">
        <v>41404000</v>
      </c>
      <c r="F3055" s="30" t="n">
        <v>983.27</v>
      </c>
      <c r="G3055" s="31" t="n">
        <f aca="false">IFERROR(F3055/D3055,0)</f>
        <v>11.0479775280899</v>
      </c>
    </row>
    <row r="3056" customFormat="false" ht="15" hidden="false" customHeight="false" outlineLevel="0" collapsed="false">
      <c r="A3056" s="28" t="n">
        <v>2023</v>
      </c>
      <c r="B3056" s="28" t="s">
        <v>107</v>
      </c>
      <c r="C3056" s="28" t="s">
        <v>52</v>
      </c>
      <c r="D3056" s="28" t="n">
        <v>54</v>
      </c>
      <c r="E3056" s="29" t="n">
        <v>12989200</v>
      </c>
      <c r="F3056" s="30" t="n">
        <v>616.45</v>
      </c>
      <c r="G3056" s="31" t="n">
        <f aca="false">IFERROR(F3056/D3056,0)</f>
        <v>11.4157407407407</v>
      </c>
    </row>
    <row r="3057" customFormat="false" ht="15" hidden="false" customHeight="false" outlineLevel="0" collapsed="false">
      <c r="A3057" s="28" t="n">
        <v>2023</v>
      </c>
      <c r="B3057" s="28" t="s">
        <v>107</v>
      </c>
      <c r="C3057" s="28" t="s">
        <v>49</v>
      </c>
      <c r="D3057" s="28" t="n">
        <v>22</v>
      </c>
      <c r="E3057" s="29" t="n">
        <v>3846000</v>
      </c>
      <c r="F3057" s="30" t="n">
        <v>265.77</v>
      </c>
      <c r="G3057" s="31" t="n">
        <f aca="false">IFERROR(F3057/D3057,0)</f>
        <v>12.0804545454545</v>
      </c>
    </row>
    <row r="3058" customFormat="false" ht="15" hidden="false" customHeight="false" outlineLevel="0" collapsed="false">
      <c r="A3058" s="28" t="n">
        <v>2023</v>
      </c>
      <c r="B3058" s="28" t="s">
        <v>109</v>
      </c>
      <c r="C3058" s="28" t="s">
        <v>42</v>
      </c>
      <c r="D3058" s="28" t="n">
        <v>63</v>
      </c>
      <c r="E3058" s="29" t="n">
        <v>15069500</v>
      </c>
      <c r="F3058" s="30" t="n">
        <v>551.479</v>
      </c>
      <c r="G3058" s="31" t="n">
        <f aca="false">IFERROR(F3058/D3058,0)</f>
        <v>8.75363492063492</v>
      </c>
    </row>
    <row r="3059" customFormat="false" ht="15" hidden="false" customHeight="false" outlineLevel="0" collapsed="false">
      <c r="A3059" s="28" t="n">
        <v>2023</v>
      </c>
      <c r="B3059" s="28" t="s">
        <v>109</v>
      </c>
      <c r="C3059" s="28" t="s">
        <v>50</v>
      </c>
      <c r="D3059" s="28" t="n">
        <v>28</v>
      </c>
      <c r="E3059" s="29" t="n">
        <v>3788200</v>
      </c>
      <c r="F3059" s="30" t="n">
        <v>267.615</v>
      </c>
      <c r="G3059" s="31" t="n">
        <f aca="false">IFERROR(F3059/D3059,0)</f>
        <v>9.55767857142857</v>
      </c>
    </row>
    <row r="3060" customFormat="false" ht="15" hidden="false" customHeight="false" outlineLevel="0" collapsed="false">
      <c r="A3060" s="28" t="n">
        <v>2023</v>
      </c>
      <c r="B3060" s="28" t="s">
        <v>109</v>
      </c>
      <c r="C3060" s="28" t="s">
        <v>55</v>
      </c>
      <c r="D3060" s="28" t="n">
        <v>8</v>
      </c>
      <c r="E3060" s="29" t="n">
        <v>681800</v>
      </c>
      <c r="F3060" s="30" t="n">
        <v>77.115</v>
      </c>
      <c r="G3060" s="31" t="n">
        <f aca="false">IFERROR(F3060/D3060,0)</f>
        <v>9.639375</v>
      </c>
    </row>
    <row r="3061" customFormat="false" ht="15" hidden="false" customHeight="false" outlineLevel="0" collapsed="false">
      <c r="A3061" s="28" t="n">
        <v>2023</v>
      </c>
      <c r="B3061" s="28" t="s">
        <v>109</v>
      </c>
      <c r="C3061" s="28" t="s">
        <v>51</v>
      </c>
      <c r="D3061" s="28" t="n">
        <v>6</v>
      </c>
      <c r="E3061" s="29" t="n">
        <v>651900</v>
      </c>
      <c r="F3061" s="30" t="n">
        <v>63.8</v>
      </c>
      <c r="G3061" s="31" t="n">
        <f aca="false">IFERROR(F3061/D3061,0)</f>
        <v>10.6333333333333</v>
      </c>
    </row>
    <row r="3062" customFormat="false" ht="15" hidden="false" customHeight="false" outlineLevel="0" collapsed="false">
      <c r="A3062" s="28" t="n">
        <v>2023</v>
      </c>
      <c r="B3062" s="28" t="s">
        <v>109</v>
      </c>
      <c r="C3062" s="28" t="s">
        <v>45</v>
      </c>
      <c r="D3062" s="28" t="n">
        <v>34</v>
      </c>
      <c r="E3062" s="29" t="n">
        <v>5154400</v>
      </c>
      <c r="F3062" s="30" t="n">
        <v>364.845</v>
      </c>
      <c r="G3062" s="31" t="n">
        <f aca="false">IFERROR(F3062/D3062,0)</f>
        <v>10.7307352941176</v>
      </c>
    </row>
    <row r="3063" customFormat="false" ht="15" hidden="false" customHeight="false" outlineLevel="0" collapsed="false">
      <c r="A3063" s="28" t="n">
        <v>2023</v>
      </c>
      <c r="B3063" s="28" t="s">
        <v>109</v>
      </c>
      <c r="C3063" s="28" t="s">
        <v>54</v>
      </c>
      <c r="D3063" s="28" t="n">
        <v>2</v>
      </c>
      <c r="E3063" s="29" t="n">
        <v>210000</v>
      </c>
      <c r="F3063" s="30" t="n">
        <v>23.05</v>
      </c>
      <c r="G3063" s="31" t="n">
        <f aca="false">IFERROR(F3063/D3063,0)</f>
        <v>11.525</v>
      </c>
    </row>
    <row r="3064" customFormat="false" ht="15" hidden="false" customHeight="false" outlineLevel="0" collapsed="false">
      <c r="A3064" s="28" t="n">
        <v>2023</v>
      </c>
      <c r="B3064" s="28" t="s">
        <v>109</v>
      </c>
      <c r="C3064" s="28" t="s">
        <v>44</v>
      </c>
      <c r="D3064" s="28" t="n">
        <v>24</v>
      </c>
      <c r="E3064" s="29" t="n">
        <v>4496700</v>
      </c>
      <c r="F3064" s="30" t="n">
        <v>209.38</v>
      </c>
      <c r="G3064" s="31" t="n">
        <f aca="false">IFERROR(F3064/D3064,0)</f>
        <v>8.72416666666667</v>
      </c>
    </row>
    <row r="3065" customFormat="false" ht="15" hidden="false" customHeight="false" outlineLevel="0" collapsed="false">
      <c r="A3065" s="28" t="n">
        <v>2023</v>
      </c>
      <c r="B3065" s="28" t="s">
        <v>109</v>
      </c>
      <c r="C3065" s="28" t="s">
        <v>57</v>
      </c>
      <c r="D3065" s="28" t="n">
        <v>2</v>
      </c>
      <c r="E3065" s="29" t="n">
        <v>1360000</v>
      </c>
      <c r="F3065" s="30" t="n">
        <v>14.1</v>
      </c>
      <c r="G3065" s="31" t="n">
        <f aca="false">IFERROR(F3065/D3065,0)</f>
        <v>7.05</v>
      </c>
    </row>
    <row r="3066" customFormat="false" ht="15" hidden="false" customHeight="false" outlineLevel="0" collapsed="false">
      <c r="A3066" s="28" t="n">
        <v>2023</v>
      </c>
      <c r="B3066" s="28" t="s">
        <v>109</v>
      </c>
      <c r="C3066" s="28" t="s">
        <v>47</v>
      </c>
      <c r="D3066" s="28" t="n">
        <v>29</v>
      </c>
      <c r="E3066" s="29" t="n">
        <v>5471600</v>
      </c>
      <c r="F3066" s="30" t="n">
        <v>271.7</v>
      </c>
      <c r="G3066" s="31" t="n">
        <f aca="false">IFERROR(F3066/D3066,0)</f>
        <v>9.36896551724138</v>
      </c>
    </row>
    <row r="3067" customFormat="false" ht="15" hidden="false" customHeight="false" outlineLevel="0" collapsed="false">
      <c r="A3067" s="28" t="n">
        <v>2023</v>
      </c>
      <c r="B3067" s="28" t="s">
        <v>109</v>
      </c>
      <c r="C3067" s="28" t="s">
        <v>46</v>
      </c>
      <c r="D3067" s="28" t="n">
        <v>29</v>
      </c>
      <c r="E3067" s="29" t="n">
        <v>5475500</v>
      </c>
      <c r="F3067" s="30" t="n">
        <v>279.785</v>
      </c>
      <c r="G3067" s="31" t="n">
        <f aca="false">IFERROR(F3067/D3067,0)</f>
        <v>9.64775862068966</v>
      </c>
    </row>
    <row r="3068" customFormat="false" ht="15" hidden="false" customHeight="false" outlineLevel="0" collapsed="false">
      <c r="A3068" s="28" t="n">
        <v>2023</v>
      </c>
      <c r="B3068" s="28" t="s">
        <v>109</v>
      </c>
      <c r="C3068" s="28" t="s">
        <v>48</v>
      </c>
      <c r="D3068" s="28" t="n">
        <v>23</v>
      </c>
      <c r="E3068" s="29" t="n">
        <v>8989700</v>
      </c>
      <c r="F3068" s="30" t="n">
        <v>240.21</v>
      </c>
      <c r="G3068" s="31" t="n">
        <f aca="false">IFERROR(F3068/D3068,0)</f>
        <v>10.4439130434783</v>
      </c>
    </row>
    <row r="3069" customFormat="false" ht="15" hidden="false" customHeight="false" outlineLevel="0" collapsed="false">
      <c r="A3069" s="28" t="n">
        <v>2023</v>
      </c>
      <c r="B3069" s="28" t="s">
        <v>109</v>
      </c>
      <c r="C3069" s="28" t="s">
        <v>53</v>
      </c>
      <c r="D3069" s="28" t="n">
        <v>7</v>
      </c>
      <c r="E3069" s="29" t="n">
        <v>1217000</v>
      </c>
      <c r="F3069" s="30" t="n">
        <v>77.55</v>
      </c>
      <c r="G3069" s="31" t="n">
        <f aca="false">IFERROR(F3069/D3069,0)</f>
        <v>11.0785714285714</v>
      </c>
    </row>
    <row r="3070" customFormat="false" ht="15" hidden="false" customHeight="false" outlineLevel="0" collapsed="false">
      <c r="A3070" s="28" t="n">
        <v>2023</v>
      </c>
      <c r="B3070" s="28" t="s">
        <v>109</v>
      </c>
      <c r="C3070" s="28" t="s">
        <v>43</v>
      </c>
      <c r="D3070" s="28" t="n">
        <v>33</v>
      </c>
      <c r="E3070" s="29" t="n">
        <v>10781300</v>
      </c>
      <c r="F3070" s="30" t="n">
        <v>304.64</v>
      </c>
      <c r="G3070" s="31" t="n">
        <f aca="false">IFERROR(F3070/D3070,0)</f>
        <v>9.23151515151515</v>
      </c>
    </row>
    <row r="3071" customFormat="false" ht="15" hidden="false" customHeight="false" outlineLevel="0" collapsed="false">
      <c r="A3071" s="28" t="n">
        <v>2023</v>
      </c>
      <c r="B3071" s="28" t="s">
        <v>109</v>
      </c>
      <c r="C3071" s="28" t="s">
        <v>52</v>
      </c>
      <c r="D3071" s="28" t="n">
        <v>13</v>
      </c>
      <c r="E3071" s="29" t="n">
        <v>2185300</v>
      </c>
      <c r="F3071" s="30" t="n">
        <v>123.94</v>
      </c>
      <c r="G3071" s="31" t="n">
        <f aca="false">IFERROR(F3071/D3071,0)</f>
        <v>9.53384615384615</v>
      </c>
    </row>
    <row r="3072" customFormat="false" ht="15" hidden="false" customHeight="false" outlineLevel="0" collapsed="false">
      <c r="A3072" s="28" t="n">
        <v>2023</v>
      </c>
      <c r="B3072" s="28" t="s">
        <v>109</v>
      </c>
      <c r="C3072" s="28" t="s">
        <v>60</v>
      </c>
      <c r="D3072" s="28" t="n">
        <v>1</v>
      </c>
      <c r="E3072" s="29" t="n">
        <v>200000</v>
      </c>
      <c r="F3072" s="30" t="n">
        <v>9.5</v>
      </c>
      <c r="G3072" s="31" t="n">
        <f aca="false">IFERROR(F3072/D3072,0)</f>
        <v>9.5</v>
      </c>
    </row>
    <row r="3073" customFormat="false" ht="15" hidden="false" customHeight="false" outlineLevel="0" collapsed="false">
      <c r="A3073" s="28" t="n">
        <v>2023</v>
      </c>
      <c r="B3073" s="28" t="s">
        <v>109</v>
      </c>
      <c r="C3073" s="28" t="s">
        <v>49</v>
      </c>
      <c r="D3073" s="28" t="n">
        <v>6</v>
      </c>
      <c r="E3073" s="29" t="n">
        <v>881300</v>
      </c>
      <c r="F3073" s="30" t="n">
        <v>55.79</v>
      </c>
      <c r="G3073" s="31" t="n">
        <f aca="false">IFERROR(F3073/D3073,0)</f>
        <v>9.29833333333333</v>
      </c>
    </row>
    <row r="3074" customFormat="false" ht="15" hidden="false" customHeight="false" outlineLevel="0" collapsed="false">
      <c r="A3074" s="28" t="n">
        <v>2023</v>
      </c>
      <c r="B3074" s="28" t="s">
        <v>95</v>
      </c>
      <c r="C3074" s="28" t="s">
        <v>42</v>
      </c>
      <c r="D3074" s="28" t="n">
        <v>257</v>
      </c>
      <c r="E3074" s="29" t="n">
        <v>111790200</v>
      </c>
      <c r="F3074" s="30" t="n">
        <v>2471.72</v>
      </c>
      <c r="G3074" s="31" t="n">
        <f aca="false">IFERROR(F3074/D3074,0)</f>
        <v>9.61758754863813</v>
      </c>
    </row>
    <row r="3075" customFormat="false" ht="15" hidden="false" customHeight="false" outlineLevel="0" collapsed="false">
      <c r="A3075" s="28" t="n">
        <v>2023</v>
      </c>
      <c r="B3075" s="28" t="s">
        <v>95</v>
      </c>
      <c r="C3075" s="28" t="s">
        <v>50</v>
      </c>
      <c r="D3075" s="28" t="n">
        <v>139</v>
      </c>
      <c r="E3075" s="29" t="n">
        <v>27112300</v>
      </c>
      <c r="F3075" s="30" t="n">
        <v>1372.35</v>
      </c>
      <c r="G3075" s="31" t="n">
        <f aca="false">IFERROR(F3075/D3075,0)</f>
        <v>9.87302158273381</v>
      </c>
    </row>
    <row r="3076" customFormat="false" ht="15" hidden="false" customHeight="false" outlineLevel="0" collapsed="false">
      <c r="A3076" s="28" t="n">
        <v>2023</v>
      </c>
      <c r="B3076" s="28" t="s">
        <v>95</v>
      </c>
      <c r="C3076" s="28" t="s">
        <v>55</v>
      </c>
      <c r="D3076" s="28" t="n">
        <v>22</v>
      </c>
      <c r="E3076" s="29" t="n">
        <v>2061700</v>
      </c>
      <c r="F3076" s="30" t="n">
        <v>219.25</v>
      </c>
      <c r="G3076" s="31" t="n">
        <f aca="false">IFERROR(F3076/D3076,0)</f>
        <v>9.96590909090909</v>
      </c>
    </row>
    <row r="3077" customFormat="false" ht="15" hidden="false" customHeight="false" outlineLevel="0" collapsed="false">
      <c r="A3077" s="28" t="n">
        <v>2023</v>
      </c>
      <c r="B3077" s="28" t="s">
        <v>95</v>
      </c>
      <c r="C3077" s="28" t="s">
        <v>51</v>
      </c>
      <c r="D3077" s="28" t="n">
        <v>85</v>
      </c>
      <c r="E3077" s="29" t="n">
        <v>38222800</v>
      </c>
      <c r="F3077" s="30" t="n">
        <v>835.97</v>
      </c>
      <c r="G3077" s="31" t="n">
        <f aca="false">IFERROR(F3077/D3077,0)</f>
        <v>9.83494117647059</v>
      </c>
    </row>
    <row r="3078" customFormat="false" ht="15" hidden="false" customHeight="false" outlineLevel="0" collapsed="false">
      <c r="A3078" s="28" t="n">
        <v>2023</v>
      </c>
      <c r="B3078" s="28" t="s">
        <v>95</v>
      </c>
      <c r="C3078" s="28" t="s">
        <v>45</v>
      </c>
      <c r="D3078" s="28" t="n">
        <v>355</v>
      </c>
      <c r="E3078" s="29" t="n">
        <v>65439500</v>
      </c>
      <c r="F3078" s="30" t="n">
        <v>3476.35</v>
      </c>
      <c r="G3078" s="31" t="n">
        <f aca="false">IFERROR(F3078/D3078,0)</f>
        <v>9.79253521126761</v>
      </c>
    </row>
    <row r="3079" customFormat="false" ht="15" hidden="false" customHeight="false" outlineLevel="0" collapsed="false">
      <c r="A3079" s="28" t="n">
        <v>2023</v>
      </c>
      <c r="B3079" s="28" t="s">
        <v>95</v>
      </c>
      <c r="C3079" s="28" t="s">
        <v>56</v>
      </c>
      <c r="D3079" s="28" t="n">
        <v>23</v>
      </c>
      <c r="E3079" s="29" t="n">
        <v>9043600</v>
      </c>
      <c r="F3079" s="30" t="n">
        <v>219.14</v>
      </c>
      <c r="G3079" s="31" t="n">
        <f aca="false">IFERROR(F3079/D3079,0)</f>
        <v>9.52782608695652</v>
      </c>
    </row>
    <row r="3080" customFormat="false" ht="15" hidden="false" customHeight="false" outlineLevel="0" collapsed="false">
      <c r="A3080" s="28" t="n">
        <v>2023</v>
      </c>
      <c r="B3080" s="28" t="s">
        <v>95</v>
      </c>
      <c r="C3080" s="28" t="s">
        <v>54</v>
      </c>
      <c r="D3080" s="28" t="n">
        <v>39</v>
      </c>
      <c r="E3080" s="29" t="n">
        <v>20322800</v>
      </c>
      <c r="F3080" s="30" t="n">
        <v>382.91</v>
      </c>
      <c r="G3080" s="31" t="n">
        <f aca="false">IFERROR(F3080/D3080,0)</f>
        <v>9.81820512820513</v>
      </c>
    </row>
    <row r="3081" customFormat="false" ht="15" hidden="false" customHeight="false" outlineLevel="0" collapsed="false">
      <c r="A3081" s="28" t="n">
        <v>2023</v>
      </c>
      <c r="B3081" s="28" t="s">
        <v>95</v>
      </c>
      <c r="C3081" s="28" t="s">
        <v>44</v>
      </c>
      <c r="D3081" s="28" t="n">
        <v>156</v>
      </c>
      <c r="E3081" s="29" t="n">
        <v>68743700</v>
      </c>
      <c r="F3081" s="30" t="n">
        <v>1476.68</v>
      </c>
      <c r="G3081" s="31" t="n">
        <f aca="false">IFERROR(F3081/D3081,0)</f>
        <v>9.46589743589744</v>
      </c>
    </row>
    <row r="3082" customFormat="false" ht="15" hidden="false" customHeight="false" outlineLevel="0" collapsed="false">
      <c r="A3082" s="28" t="n">
        <v>2023</v>
      </c>
      <c r="B3082" s="28" t="s">
        <v>95</v>
      </c>
      <c r="C3082" s="28" t="s">
        <v>57</v>
      </c>
      <c r="D3082" s="28" t="n">
        <v>17</v>
      </c>
      <c r="E3082" s="29" t="n">
        <v>4070700</v>
      </c>
      <c r="F3082" s="30" t="n">
        <v>168.33</v>
      </c>
      <c r="G3082" s="31" t="n">
        <f aca="false">IFERROR(F3082/D3082,0)</f>
        <v>9.90176470588235</v>
      </c>
    </row>
    <row r="3083" customFormat="false" ht="15" hidden="false" customHeight="false" outlineLevel="0" collapsed="false">
      <c r="A3083" s="28" t="n">
        <v>2023</v>
      </c>
      <c r="B3083" s="28" t="s">
        <v>95</v>
      </c>
      <c r="C3083" s="28" t="s">
        <v>47</v>
      </c>
      <c r="D3083" s="28" t="n">
        <v>175</v>
      </c>
      <c r="E3083" s="29" t="n">
        <v>65649800</v>
      </c>
      <c r="F3083" s="30" t="n">
        <v>1672.12</v>
      </c>
      <c r="G3083" s="31" t="n">
        <f aca="false">IFERROR(F3083/D3083,0)</f>
        <v>9.55497142857143</v>
      </c>
    </row>
    <row r="3084" customFormat="false" ht="15" hidden="false" customHeight="false" outlineLevel="0" collapsed="false">
      <c r="A3084" s="28" t="n">
        <v>2023</v>
      </c>
      <c r="B3084" s="28" t="s">
        <v>95</v>
      </c>
      <c r="C3084" s="28" t="s">
        <v>58</v>
      </c>
      <c r="D3084" s="28" t="n">
        <v>3</v>
      </c>
      <c r="E3084" s="29" t="n">
        <v>658900</v>
      </c>
      <c r="F3084" s="30" t="n">
        <v>24.6</v>
      </c>
      <c r="G3084" s="31" t="n">
        <f aca="false">IFERROR(F3084/D3084,0)</f>
        <v>8.2</v>
      </c>
    </row>
    <row r="3085" customFormat="false" ht="15" hidden="false" customHeight="false" outlineLevel="0" collapsed="false">
      <c r="A3085" s="28" t="n">
        <v>2023</v>
      </c>
      <c r="B3085" s="28" t="s">
        <v>95</v>
      </c>
      <c r="C3085" s="28" t="s">
        <v>46</v>
      </c>
      <c r="D3085" s="28" t="n">
        <v>216</v>
      </c>
      <c r="E3085" s="29" t="n">
        <v>62528400</v>
      </c>
      <c r="F3085" s="30" t="n">
        <v>2107.865</v>
      </c>
      <c r="G3085" s="31" t="n">
        <f aca="false">IFERROR(F3085/D3085,0)</f>
        <v>9.75863425925926</v>
      </c>
    </row>
    <row r="3086" customFormat="false" ht="15" hidden="false" customHeight="false" outlineLevel="0" collapsed="false">
      <c r="A3086" s="28" t="n">
        <v>2023</v>
      </c>
      <c r="B3086" s="28" t="s">
        <v>95</v>
      </c>
      <c r="C3086" s="28" t="s">
        <v>48</v>
      </c>
      <c r="D3086" s="28" t="n">
        <v>160</v>
      </c>
      <c r="E3086" s="29" t="n">
        <v>35554300</v>
      </c>
      <c r="F3086" s="30" t="n">
        <v>1548.88</v>
      </c>
      <c r="G3086" s="31" t="n">
        <f aca="false">IFERROR(F3086/D3086,0)</f>
        <v>9.6805</v>
      </c>
    </row>
    <row r="3087" customFormat="false" ht="15" hidden="false" customHeight="false" outlineLevel="0" collapsed="false">
      <c r="A3087" s="28" t="n">
        <v>2023</v>
      </c>
      <c r="B3087" s="28" t="s">
        <v>95</v>
      </c>
      <c r="C3087" s="28" t="s">
        <v>53</v>
      </c>
      <c r="D3087" s="28" t="n">
        <v>44</v>
      </c>
      <c r="E3087" s="29" t="n">
        <v>29618800</v>
      </c>
      <c r="F3087" s="30" t="n">
        <v>408.11</v>
      </c>
      <c r="G3087" s="31" t="n">
        <f aca="false">IFERROR(F3087/D3087,0)</f>
        <v>9.27522727272727</v>
      </c>
    </row>
    <row r="3088" customFormat="false" ht="15" hidden="false" customHeight="false" outlineLevel="0" collapsed="false">
      <c r="A3088" s="28" t="n">
        <v>2023</v>
      </c>
      <c r="B3088" s="28" t="s">
        <v>95</v>
      </c>
      <c r="C3088" s="28" t="s">
        <v>43</v>
      </c>
      <c r="D3088" s="28" t="n">
        <v>312</v>
      </c>
      <c r="E3088" s="29" t="n">
        <v>141920500</v>
      </c>
      <c r="F3088" s="30" t="n">
        <v>3023.17</v>
      </c>
      <c r="G3088" s="31" t="n">
        <f aca="false">IFERROR(F3088/D3088,0)</f>
        <v>9.68964743589744</v>
      </c>
    </row>
    <row r="3089" customFormat="false" ht="15" hidden="false" customHeight="false" outlineLevel="0" collapsed="false">
      <c r="A3089" s="28" t="n">
        <v>2023</v>
      </c>
      <c r="B3089" s="28" t="s">
        <v>95</v>
      </c>
      <c r="C3089" s="28" t="s">
        <v>52</v>
      </c>
      <c r="D3089" s="28" t="n">
        <v>242</v>
      </c>
      <c r="E3089" s="29" t="n">
        <v>33918400</v>
      </c>
      <c r="F3089" s="30" t="n">
        <v>2361.27</v>
      </c>
      <c r="G3089" s="31" t="n">
        <f aca="false">IFERROR(F3089/D3089,0)</f>
        <v>9.75731404958678</v>
      </c>
    </row>
    <row r="3090" customFormat="false" ht="15" hidden="false" customHeight="false" outlineLevel="0" collapsed="false">
      <c r="A3090" s="28" t="n">
        <v>2023</v>
      </c>
      <c r="B3090" s="28" t="s">
        <v>95</v>
      </c>
      <c r="C3090" s="28" t="s">
        <v>60</v>
      </c>
      <c r="D3090" s="28" t="n">
        <v>1</v>
      </c>
      <c r="E3090" s="29" t="n">
        <v>15000</v>
      </c>
      <c r="F3090" s="30" t="n">
        <v>14.31</v>
      </c>
      <c r="G3090" s="31" t="n">
        <f aca="false">IFERROR(F3090/D3090,0)</f>
        <v>14.31</v>
      </c>
    </row>
    <row r="3091" customFormat="false" ht="15" hidden="false" customHeight="false" outlineLevel="0" collapsed="false">
      <c r="A3091" s="28" t="n">
        <v>2023</v>
      </c>
      <c r="B3091" s="28" t="s">
        <v>95</v>
      </c>
      <c r="C3091" s="28" t="s">
        <v>49</v>
      </c>
      <c r="D3091" s="28" t="n">
        <v>64</v>
      </c>
      <c r="E3091" s="29" t="n">
        <v>18145300</v>
      </c>
      <c r="F3091" s="30" t="n">
        <v>647.07</v>
      </c>
      <c r="G3091" s="31" t="n">
        <f aca="false">IFERROR(F3091/D3091,0)</f>
        <v>10.11046875</v>
      </c>
    </row>
    <row r="3092" customFormat="false" ht="15" hidden="false" customHeight="false" outlineLevel="0" collapsed="false">
      <c r="A3092" s="28" t="n">
        <v>2023</v>
      </c>
      <c r="B3092" s="28" t="s">
        <v>98</v>
      </c>
      <c r="C3092" s="28" t="s">
        <v>42</v>
      </c>
      <c r="D3092" s="28" t="n">
        <v>170</v>
      </c>
      <c r="E3092" s="29" t="n">
        <v>60928000</v>
      </c>
      <c r="F3092" s="30" t="n">
        <v>1550.91</v>
      </c>
      <c r="G3092" s="31" t="n">
        <f aca="false">IFERROR(F3092/D3092,0)</f>
        <v>9.123</v>
      </c>
    </row>
    <row r="3093" customFormat="false" ht="15" hidden="false" customHeight="false" outlineLevel="0" collapsed="false">
      <c r="A3093" s="28" t="n">
        <v>2023</v>
      </c>
      <c r="B3093" s="28" t="s">
        <v>98</v>
      </c>
      <c r="C3093" s="28" t="s">
        <v>50</v>
      </c>
      <c r="D3093" s="28" t="n">
        <v>81</v>
      </c>
      <c r="E3093" s="29" t="n">
        <v>28714300</v>
      </c>
      <c r="F3093" s="30" t="n">
        <v>750.04</v>
      </c>
      <c r="G3093" s="31" t="n">
        <f aca="false">IFERROR(F3093/D3093,0)</f>
        <v>9.25975308641975</v>
      </c>
    </row>
    <row r="3094" customFormat="false" ht="15" hidden="false" customHeight="false" outlineLevel="0" collapsed="false">
      <c r="A3094" s="28" t="n">
        <v>2023</v>
      </c>
      <c r="B3094" s="28" t="s">
        <v>98</v>
      </c>
      <c r="C3094" s="28" t="s">
        <v>55</v>
      </c>
      <c r="D3094" s="28" t="n">
        <v>15</v>
      </c>
      <c r="E3094" s="29" t="n">
        <v>6216800</v>
      </c>
      <c r="F3094" s="30" t="n">
        <v>135.05</v>
      </c>
      <c r="G3094" s="31" t="n">
        <f aca="false">IFERROR(F3094/D3094,0)</f>
        <v>9.00333333333333</v>
      </c>
    </row>
    <row r="3095" customFormat="false" ht="15" hidden="false" customHeight="false" outlineLevel="0" collapsed="false">
      <c r="A3095" s="28" t="n">
        <v>2023</v>
      </c>
      <c r="B3095" s="28" t="s">
        <v>98</v>
      </c>
      <c r="C3095" s="28" t="s">
        <v>51</v>
      </c>
      <c r="D3095" s="28" t="n">
        <v>57</v>
      </c>
      <c r="E3095" s="29" t="n">
        <v>26466100</v>
      </c>
      <c r="F3095" s="30" t="n">
        <v>548.21</v>
      </c>
      <c r="G3095" s="31" t="n">
        <f aca="false">IFERROR(F3095/D3095,0)</f>
        <v>9.61771929824561</v>
      </c>
    </row>
    <row r="3096" customFormat="false" ht="15" hidden="false" customHeight="false" outlineLevel="0" collapsed="false">
      <c r="A3096" s="28" t="n">
        <v>2023</v>
      </c>
      <c r="B3096" s="28" t="s">
        <v>98</v>
      </c>
      <c r="C3096" s="28" t="s">
        <v>45</v>
      </c>
      <c r="D3096" s="28" t="n">
        <v>189</v>
      </c>
      <c r="E3096" s="29" t="n">
        <v>49233600</v>
      </c>
      <c r="F3096" s="30" t="n">
        <v>1727.63</v>
      </c>
      <c r="G3096" s="31" t="n">
        <f aca="false">IFERROR(F3096/D3096,0)</f>
        <v>9.14089947089947</v>
      </c>
    </row>
    <row r="3097" customFormat="false" ht="15" hidden="false" customHeight="false" outlineLevel="0" collapsed="false">
      <c r="A3097" s="28" t="n">
        <v>2023</v>
      </c>
      <c r="B3097" s="28" t="s">
        <v>98</v>
      </c>
      <c r="C3097" s="28" t="s">
        <v>56</v>
      </c>
      <c r="D3097" s="28" t="n">
        <v>24</v>
      </c>
      <c r="E3097" s="29" t="n">
        <v>4680300</v>
      </c>
      <c r="F3097" s="30" t="n">
        <v>234.24</v>
      </c>
      <c r="G3097" s="31" t="n">
        <f aca="false">IFERROR(F3097/D3097,0)</f>
        <v>9.76</v>
      </c>
    </row>
    <row r="3098" customFormat="false" ht="15" hidden="false" customHeight="false" outlineLevel="0" collapsed="false">
      <c r="A3098" s="28" t="n">
        <v>2023</v>
      </c>
      <c r="B3098" s="28" t="s">
        <v>98</v>
      </c>
      <c r="C3098" s="28" t="s">
        <v>54</v>
      </c>
      <c r="D3098" s="28" t="n">
        <v>25</v>
      </c>
      <c r="E3098" s="29" t="n">
        <v>8795700</v>
      </c>
      <c r="F3098" s="30" t="n">
        <v>221.54</v>
      </c>
      <c r="G3098" s="31" t="n">
        <f aca="false">IFERROR(F3098/D3098,0)</f>
        <v>8.8616</v>
      </c>
    </row>
    <row r="3099" customFormat="false" ht="15" hidden="false" customHeight="false" outlineLevel="0" collapsed="false">
      <c r="A3099" s="28" t="n">
        <v>2023</v>
      </c>
      <c r="B3099" s="28" t="s">
        <v>98</v>
      </c>
      <c r="C3099" s="28" t="s">
        <v>44</v>
      </c>
      <c r="D3099" s="28" t="n">
        <v>139</v>
      </c>
      <c r="E3099" s="29" t="n">
        <v>69538700</v>
      </c>
      <c r="F3099" s="30" t="n">
        <v>1245.55</v>
      </c>
      <c r="G3099" s="31" t="n">
        <f aca="false">IFERROR(F3099/D3099,0)</f>
        <v>8.96079136690648</v>
      </c>
    </row>
    <row r="3100" customFormat="false" ht="15" hidden="false" customHeight="false" outlineLevel="0" collapsed="false">
      <c r="A3100" s="28" t="n">
        <v>2023</v>
      </c>
      <c r="B3100" s="28" t="s">
        <v>98</v>
      </c>
      <c r="C3100" s="28" t="s">
        <v>57</v>
      </c>
      <c r="D3100" s="28" t="n">
        <v>15</v>
      </c>
      <c r="E3100" s="29" t="n">
        <v>5605500</v>
      </c>
      <c r="F3100" s="30" t="n">
        <v>148.98</v>
      </c>
      <c r="G3100" s="31" t="n">
        <f aca="false">IFERROR(F3100/D3100,0)</f>
        <v>9.932</v>
      </c>
    </row>
    <row r="3101" customFormat="false" ht="15" hidden="false" customHeight="false" outlineLevel="0" collapsed="false">
      <c r="A3101" s="28" t="n">
        <v>2023</v>
      </c>
      <c r="B3101" s="28" t="s">
        <v>98</v>
      </c>
      <c r="C3101" s="28" t="s">
        <v>59</v>
      </c>
      <c r="D3101" s="28" t="n">
        <v>3</v>
      </c>
      <c r="E3101" s="29" t="n">
        <v>1562500</v>
      </c>
      <c r="F3101" s="30" t="n">
        <v>25.4</v>
      </c>
      <c r="G3101" s="31" t="n">
        <f aca="false">IFERROR(F3101/D3101,0)</f>
        <v>8.46666666666667</v>
      </c>
    </row>
    <row r="3102" customFormat="false" ht="15" hidden="false" customHeight="false" outlineLevel="0" collapsed="false">
      <c r="A3102" s="28" t="n">
        <v>2023</v>
      </c>
      <c r="B3102" s="28" t="s">
        <v>98</v>
      </c>
      <c r="C3102" s="28" t="s">
        <v>47</v>
      </c>
      <c r="D3102" s="28" t="n">
        <v>129</v>
      </c>
      <c r="E3102" s="29" t="n">
        <v>90680300</v>
      </c>
      <c r="F3102" s="30" t="n">
        <v>1143.595</v>
      </c>
      <c r="G3102" s="31" t="n">
        <f aca="false">IFERROR(F3102/D3102,0)</f>
        <v>8.86507751937985</v>
      </c>
    </row>
    <row r="3103" customFormat="false" ht="15" hidden="false" customHeight="false" outlineLevel="0" collapsed="false">
      <c r="A3103" s="28" t="n">
        <v>2023</v>
      </c>
      <c r="B3103" s="28" t="s">
        <v>98</v>
      </c>
      <c r="C3103" s="28" t="s">
        <v>58</v>
      </c>
      <c r="D3103" s="28" t="n">
        <v>2</v>
      </c>
      <c r="E3103" s="29" t="n">
        <v>1507000</v>
      </c>
      <c r="F3103" s="30" t="n">
        <v>18</v>
      </c>
      <c r="G3103" s="31" t="n">
        <f aca="false">IFERROR(F3103/D3103,0)</f>
        <v>9</v>
      </c>
    </row>
    <row r="3104" customFormat="false" ht="15" hidden="false" customHeight="false" outlineLevel="0" collapsed="false">
      <c r="A3104" s="28" t="n">
        <v>2023</v>
      </c>
      <c r="B3104" s="28" t="s">
        <v>98</v>
      </c>
      <c r="C3104" s="28" t="s">
        <v>46</v>
      </c>
      <c r="D3104" s="28" t="n">
        <v>127</v>
      </c>
      <c r="E3104" s="29" t="n">
        <v>49029100</v>
      </c>
      <c r="F3104" s="30" t="n">
        <v>1159.11</v>
      </c>
      <c r="G3104" s="31" t="n">
        <f aca="false">IFERROR(F3104/D3104,0)</f>
        <v>9.12685039370079</v>
      </c>
    </row>
    <row r="3105" customFormat="false" ht="15" hidden="false" customHeight="false" outlineLevel="0" collapsed="false">
      <c r="A3105" s="28" t="n">
        <v>2023</v>
      </c>
      <c r="B3105" s="28" t="s">
        <v>98</v>
      </c>
      <c r="C3105" s="28" t="s">
        <v>48</v>
      </c>
      <c r="D3105" s="28" t="n">
        <v>139</v>
      </c>
      <c r="E3105" s="29" t="n">
        <v>37868000</v>
      </c>
      <c r="F3105" s="30" t="n">
        <v>1330.34</v>
      </c>
      <c r="G3105" s="31" t="n">
        <f aca="false">IFERROR(F3105/D3105,0)</f>
        <v>9.57079136690648</v>
      </c>
    </row>
    <row r="3106" customFormat="false" ht="15" hidden="false" customHeight="false" outlineLevel="0" collapsed="false">
      <c r="A3106" s="28" t="n">
        <v>2023</v>
      </c>
      <c r="B3106" s="28" t="s">
        <v>98</v>
      </c>
      <c r="C3106" s="28" t="s">
        <v>53</v>
      </c>
      <c r="D3106" s="28" t="n">
        <v>42</v>
      </c>
      <c r="E3106" s="29" t="n">
        <v>21309900</v>
      </c>
      <c r="F3106" s="30" t="n">
        <v>364.01</v>
      </c>
      <c r="G3106" s="31" t="n">
        <f aca="false">IFERROR(F3106/D3106,0)</f>
        <v>8.66690476190476</v>
      </c>
    </row>
    <row r="3107" customFormat="false" ht="15" hidden="false" customHeight="false" outlineLevel="0" collapsed="false">
      <c r="A3107" s="28" t="n">
        <v>2023</v>
      </c>
      <c r="B3107" s="28" t="s">
        <v>98</v>
      </c>
      <c r="C3107" s="28" t="s">
        <v>43</v>
      </c>
      <c r="D3107" s="28" t="n">
        <v>167</v>
      </c>
      <c r="E3107" s="29" t="n">
        <v>60444100</v>
      </c>
      <c r="F3107" s="30" t="n">
        <v>1528.21</v>
      </c>
      <c r="G3107" s="31" t="n">
        <f aca="false">IFERROR(F3107/D3107,0)</f>
        <v>9.15095808383234</v>
      </c>
    </row>
    <row r="3108" customFormat="false" ht="15" hidden="false" customHeight="false" outlineLevel="0" collapsed="false">
      <c r="A3108" s="28" t="n">
        <v>2023</v>
      </c>
      <c r="B3108" s="28" t="s">
        <v>98</v>
      </c>
      <c r="C3108" s="28" t="s">
        <v>52</v>
      </c>
      <c r="D3108" s="28" t="n">
        <v>66</v>
      </c>
      <c r="E3108" s="29" t="n">
        <v>21491900</v>
      </c>
      <c r="F3108" s="30" t="n">
        <v>603.912</v>
      </c>
      <c r="G3108" s="31" t="n">
        <f aca="false">IFERROR(F3108/D3108,0)</f>
        <v>9.15018181818182</v>
      </c>
    </row>
    <row r="3109" customFormat="false" ht="15" hidden="false" customHeight="false" outlineLevel="0" collapsed="false">
      <c r="A3109" s="28" t="n">
        <v>2023</v>
      </c>
      <c r="B3109" s="28" t="s">
        <v>98</v>
      </c>
      <c r="C3109" s="28" t="s">
        <v>60</v>
      </c>
      <c r="D3109" s="28" t="n">
        <v>2</v>
      </c>
      <c r="E3109" s="29" t="n">
        <v>479000</v>
      </c>
      <c r="F3109" s="30" t="n">
        <v>17.25</v>
      </c>
      <c r="G3109" s="31" t="n">
        <f aca="false">IFERROR(F3109/D3109,0)</f>
        <v>8.625</v>
      </c>
    </row>
    <row r="3110" customFormat="false" ht="15" hidden="false" customHeight="false" outlineLevel="0" collapsed="false">
      <c r="A3110" s="28" t="n">
        <v>2023</v>
      </c>
      <c r="B3110" s="28" t="s">
        <v>98</v>
      </c>
      <c r="C3110" s="28" t="s">
        <v>49</v>
      </c>
      <c r="D3110" s="28" t="n">
        <v>55</v>
      </c>
      <c r="E3110" s="29" t="n">
        <v>32167900</v>
      </c>
      <c r="F3110" s="30" t="n">
        <v>519.42</v>
      </c>
      <c r="G3110" s="31" t="n">
        <f aca="false">IFERROR(F3110/D3110,0)</f>
        <v>9.444</v>
      </c>
    </row>
    <row r="3111" customFormat="false" ht="15" hidden="false" customHeight="false" outlineLevel="0" collapsed="false">
      <c r="A3111" s="28" t="n">
        <v>2023</v>
      </c>
      <c r="B3111" s="28" t="s">
        <v>103</v>
      </c>
      <c r="C3111" s="28" t="s">
        <v>42</v>
      </c>
      <c r="D3111" s="28" t="n">
        <v>125</v>
      </c>
      <c r="E3111" s="29" t="n">
        <v>102948600</v>
      </c>
      <c r="F3111" s="30" t="n">
        <v>1183.61</v>
      </c>
      <c r="G3111" s="31" t="n">
        <f aca="false">IFERROR(F3111/D3111,0)</f>
        <v>9.46888</v>
      </c>
    </row>
    <row r="3112" customFormat="false" ht="15" hidden="false" customHeight="false" outlineLevel="0" collapsed="false">
      <c r="A3112" s="28" t="n">
        <v>2023</v>
      </c>
      <c r="B3112" s="28" t="s">
        <v>103</v>
      </c>
      <c r="C3112" s="28" t="s">
        <v>50</v>
      </c>
      <c r="D3112" s="28" t="n">
        <v>35</v>
      </c>
      <c r="E3112" s="29" t="n">
        <v>14091900</v>
      </c>
      <c r="F3112" s="30" t="n">
        <v>340.3</v>
      </c>
      <c r="G3112" s="31" t="n">
        <f aca="false">IFERROR(F3112/D3112,0)</f>
        <v>9.72285714285714</v>
      </c>
    </row>
    <row r="3113" customFormat="false" ht="15" hidden="false" customHeight="false" outlineLevel="0" collapsed="false">
      <c r="A3113" s="28" t="n">
        <v>2023</v>
      </c>
      <c r="B3113" s="28" t="s">
        <v>103</v>
      </c>
      <c r="C3113" s="28" t="s">
        <v>55</v>
      </c>
      <c r="D3113" s="28" t="n">
        <v>15</v>
      </c>
      <c r="E3113" s="29" t="n">
        <v>15581400</v>
      </c>
      <c r="F3113" s="30" t="n">
        <v>124.97</v>
      </c>
      <c r="G3113" s="31" t="n">
        <f aca="false">IFERROR(F3113/D3113,0)</f>
        <v>8.33133333333333</v>
      </c>
    </row>
    <row r="3114" customFormat="false" ht="15" hidden="false" customHeight="false" outlineLevel="0" collapsed="false">
      <c r="A3114" s="28" t="n">
        <v>2023</v>
      </c>
      <c r="B3114" s="28" t="s">
        <v>103</v>
      </c>
      <c r="C3114" s="28" t="s">
        <v>51</v>
      </c>
      <c r="D3114" s="28" t="n">
        <v>43</v>
      </c>
      <c r="E3114" s="29" t="n">
        <v>21215000</v>
      </c>
      <c r="F3114" s="30" t="n">
        <v>417.67</v>
      </c>
      <c r="G3114" s="31" t="n">
        <f aca="false">IFERROR(F3114/D3114,0)</f>
        <v>9.71325581395349</v>
      </c>
    </row>
    <row r="3115" customFormat="false" ht="15" hidden="false" customHeight="false" outlineLevel="0" collapsed="false">
      <c r="A3115" s="28" t="n">
        <v>2023</v>
      </c>
      <c r="B3115" s="28" t="s">
        <v>103</v>
      </c>
      <c r="C3115" s="28" t="s">
        <v>45</v>
      </c>
      <c r="D3115" s="28" t="n">
        <v>113</v>
      </c>
      <c r="E3115" s="29" t="n">
        <v>46739700</v>
      </c>
      <c r="F3115" s="30" t="n">
        <v>1088.05</v>
      </c>
      <c r="G3115" s="31" t="n">
        <f aca="false">IFERROR(F3115/D3115,0)</f>
        <v>9.6287610619469</v>
      </c>
    </row>
    <row r="3116" customFormat="false" ht="15" hidden="false" customHeight="false" outlineLevel="0" collapsed="false">
      <c r="A3116" s="28" t="n">
        <v>2023</v>
      </c>
      <c r="B3116" s="28" t="s">
        <v>103</v>
      </c>
      <c r="C3116" s="28" t="s">
        <v>56</v>
      </c>
      <c r="D3116" s="28" t="n">
        <v>12</v>
      </c>
      <c r="E3116" s="29" t="n">
        <v>2516400</v>
      </c>
      <c r="F3116" s="30" t="n">
        <v>119.15</v>
      </c>
      <c r="G3116" s="31" t="n">
        <f aca="false">IFERROR(F3116/D3116,0)</f>
        <v>9.92916666666667</v>
      </c>
    </row>
    <row r="3117" customFormat="false" ht="15" hidden="false" customHeight="false" outlineLevel="0" collapsed="false">
      <c r="A3117" s="28" t="n">
        <v>2023</v>
      </c>
      <c r="B3117" s="28" t="s">
        <v>103</v>
      </c>
      <c r="C3117" s="28" t="s">
        <v>54</v>
      </c>
      <c r="D3117" s="28" t="n">
        <v>16</v>
      </c>
      <c r="E3117" s="29" t="n">
        <v>10730800</v>
      </c>
      <c r="F3117" s="30" t="n">
        <v>167.53</v>
      </c>
      <c r="G3117" s="31" t="n">
        <f aca="false">IFERROR(F3117/D3117,0)</f>
        <v>10.470625</v>
      </c>
    </row>
    <row r="3118" customFormat="false" ht="15" hidden="false" customHeight="false" outlineLevel="0" collapsed="false">
      <c r="A3118" s="28" t="n">
        <v>2023</v>
      </c>
      <c r="B3118" s="28" t="s">
        <v>103</v>
      </c>
      <c r="C3118" s="28" t="s">
        <v>44</v>
      </c>
      <c r="D3118" s="28" t="n">
        <v>73</v>
      </c>
      <c r="E3118" s="29" t="n">
        <v>32154900</v>
      </c>
      <c r="F3118" s="30" t="n">
        <v>686.047</v>
      </c>
      <c r="G3118" s="31" t="n">
        <f aca="false">IFERROR(F3118/D3118,0)</f>
        <v>9.39790410958904</v>
      </c>
    </row>
    <row r="3119" customFormat="false" ht="15" hidden="false" customHeight="false" outlineLevel="0" collapsed="false">
      <c r="A3119" s="28" t="n">
        <v>2023</v>
      </c>
      <c r="B3119" s="28" t="s">
        <v>103</v>
      </c>
      <c r="C3119" s="28" t="s">
        <v>57</v>
      </c>
      <c r="D3119" s="28" t="n">
        <v>6</v>
      </c>
      <c r="E3119" s="29" t="n">
        <v>1107000</v>
      </c>
      <c r="F3119" s="30" t="n">
        <v>59.99</v>
      </c>
      <c r="G3119" s="31" t="n">
        <f aca="false">IFERROR(F3119/D3119,0)</f>
        <v>9.99833333333333</v>
      </c>
    </row>
    <row r="3120" customFormat="false" ht="15" hidden="false" customHeight="false" outlineLevel="0" collapsed="false">
      <c r="A3120" s="28" t="n">
        <v>2023</v>
      </c>
      <c r="B3120" s="28" t="s">
        <v>103</v>
      </c>
      <c r="C3120" s="28" t="s">
        <v>59</v>
      </c>
      <c r="D3120" s="28" t="n">
        <v>2</v>
      </c>
      <c r="E3120" s="29" t="n">
        <v>2998300</v>
      </c>
      <c r="F3120" s="30" t="n">
        <v>17.75</v>
      </c>
      <c r="G3120" s="31" t="n">
        <f aca="false">IFERROR(F3120/D3120,0)</f>
        <v>8.875</v>
      </c>
    </row>
    <row r="3121" customFormat="false" ht="15" hidden="false" customHeight="false" outlineLevel="0" collapsed="false">
      <c r="A3121" s="28" t="n">
        <v>2023</v>
      </c>
      <c r="B3121" s="28" t="s">
        <v>103</v>
      </c>
      <c r="C3121" s="28" t="s">
        <v>47</v>
      </c>
      <c r="D3121" s="28" t="n">
        <v>58</v>
      </c>
      <c r="E3121" s="29" t="n">
        <v>43970200</v>
      </c>
      <c r="F3121" s="30" t="n">
        <v>558.08</v>
      </c>
      <c r="G3121" s="31" t="n">
        <f aca="false">IFERROR(F3121/D3121,0)</f>
        <v>9.62206896551724</v>
      </c>
    </row>
    <row r="3122" customFormat="false" ht="15" hidden="false" customHeight="false" outlineLevel="0" collapsed="false">
      <c r="A3122" s="28" t="n">
        <v>2023</v>
      </c>
      <c r="B3122" s="28" t="s">
        <v>103</v>
      </c>
      <c r="C3122" s="28" t="s">
        <v>58</v>
      </c>
      <c r="D3122" s="28" t="n">
        <v>2</v>
      </c>
      <c r="E3122" s="29" t="n">
        <v>5576500</v>
      </c>
      <c r="F3122" s="30" t="n">
        <v>18.25</v>
      </c>
      <c r="G3122" s="31" t="n">
        <f aca="false">IFERROR(F3122/D3122,0)</f>
        <v>9.125</v>
      </c>
    </row>
    <row r="3123" customFormat="false" ht="15" hidden="false" customHeight="false" outlineLevel="0" collapsed="false">
      <c r="A3123" s="28" t="n">
        <v>2023</v>
      </c>
      <c r="B3123" s="28" t="s">
        <v>103</v>
      </c>
      <c r="C3123" s="28" t="s">
        <v>46</v>
      </c>
      <c r="D3123" s="28" t="n">
        <v>88</v>
      </c>
      <c r="E3123" s="29" t="n">
        <v>23349500</v>
      </c>
      <c r="F3123" s="30" t="n">
        <v>832.368</v>
      </c>
      <c r="G3123" s="31" t="n">
        <f aca="false">IFERROR(F3123/D3123,0)</f>
        <v>9.45872727272727</v>
      </c>
    </row>
    <row r="3124" customFormat="false" ht="15" hidden="false" customHeight="false" outlineLevel="0" collapsed="false">
      <c r="A3124" s="28" t="n">
        <v>2023</v>
      </c>
      <c r="B3124" s="28" t="s">
        <v>103</v>
      </c>
      <c r="C3124" s="28" t="s">
        <v>48</v>
      </c>
      <c r="D3124" s="28" t="n">
        <v>59</v>
      </c>
      <c r="E3124" s="29" t="n">
        <v>39172500</v>
      </c>
      <c r="F3124" s="30" t="n">
        <v>560.89</v>
      </c>
      <c r="G3124" s="31" t="n">
        <f aca="false">IFERROR(F3124/D3124,0)</f>
        <v>9.50661016949153</v>
      </c>
    </row>
    <row r="3125" customFormat="false" ht="15" hidden="false" customHeight="false" outlineLevel="0" collapsed="false">
      <c r="A3125" s="28" t="n">
        <v>2023</v>
      </c>
      <c r="B3125" s="28" t="s">
        <v>103</v>
      </c>
      <c r="C3125" s="28" t="s">
        <v>53</v>
      </c>
      <c r="D3125" s="28" t="n">
        <v>17</v>
      </c>
      <c r="E3125" s="29" t="n">
        <v>14586900</v>
      </c>
      <c r="F3125" s="30" t="n">
        <v>145.7</v>
      </c>
      <c r="G3125" s="31" t="n">
        <f aca="false">IFERROR(F3125/D3125,0)</f>
        <v>8.57058823529412</v>
      </c>
    </row>
    <row r="3126" customFormat="false" ht="15" hidden="false" customHeight="false" outlineLevel="0" collapsed="false">
      <c r="A3126" s="28" t="n">
        <v>2023</v>
      </c>
      <c r="B3126" s="28" t="s">
        <v>103</v>
      </c>
      <c r="C3126" s="28" t="s">
        <v>43</v>
      </c>
      <c r="D3126" s="28" t="n">
        <v>82</v>
      </c>
      <c r="E3126" s="29" t="n">
        <v>38763000</v>
      </c>
      <c r="F3126" s="30" t="n">
        <v>767.412</v>
      </c>
      <c r="G3126" s="31" t="n">
        <f aca="false">IFERROR(F3126/D3126,0)</f>
        <v>9.35868292682927</v>
      </c>
    </row>
    <row r="3127" customFormat="false" ht="15" hidden="false" customHeight="false" outlineLevel="0" collapsed="false">
      <c r="A3127" s="28" t="n">
        <v>2023</v>
      </c>
      <c r="B3127" s="28" t="s">
        <v>103</v>
      </c>
      <c r="C3127" s="28" t="s">
        <v>52</v>
      </c>
      <c r="D3127" s="28" t="n">
        <v>44</v>
      </c>
      <c r="E3127" s="29" t="n">
        <v>15889500</v>
      </c>
      <c r="F3127" s="30" t="n">
        <v>436.76</v>
      </c>
      <c r="G3127" s="31" t="n">
        <f aca="false">IFERROR(F3127/D3127,0)</f>
        <v>9.92636363636364</v>
      </c>
    </row>
    <row r="3128" customFormat="false" ht="15" hidden="false" customHeight="false" outlineLevel="0" collapsed="false">
      <c r="A3128" s="28" t="n">
        <v>2023</v>
      </c>
      <c r="B3128" s="28" t="s">
        <v>103</v>
      </c>
      <c r="C3128" s="28" t="s">
        <v>49</v>
      </c>
      <c r="D3128" s="28" t="n">
        <v>31</v>
      </c>
      <c r="E3128" s="29" t="n">
        <v>16287500</v>
      </c>
      <c r="F3128" s="30" t="n">
        <v>295.82</v>
      </c>
      <c r="G3128" s="31" t="n">
        <f aca="false">IFERROR(F3128/D3128,0)</f>
        <v>9.54258064516129</v>
      </c>
    </row>
    <row r="3129" customFormat="false" ht="15" hidden="false" customHeight="false" outlineLevel="0" collapsed="false">
      <c r="A3129" s="28" t="n">
        <v>2023</v>
      </c>
      <c r="B3129" s="28" t="s">
        <v>113</v>
      </c>
      <c r="C3129" s="28" t="s">
        <v>42</v>
      </c>
      <c r="D3129" s="28" t="n">
        <v>36</v>
      </c>
      <c r="E3129" s="29" t="n">
        <v>44897200</v>
      </c>
      <c r="F3129" s="30" t="n">
        <v>325.14</v>
      </c>
      <c r="G3129" s="31" t="n">
        <f aca="false">IFERROR(F3129/D3129,0)</f>
        <v>9.03166666666667</v>
      </c>
    </row>
    <row r="3130" customFormat="false" ht="15" hidden="false" customHeight="false" outlineLevel="0" collapsed="false">
      <c r="A3130" s="28" t="n">
        <v>2023</v>
      </c>
      <c r="B3130" s="28" t="s">
        <v>113</v>
      </c>
      <c r="C3130" s="28" t="s">
        <v>50</v>
      </c>
      <c r="D3130" s="28" t="n">
        <v>9</v>
      </c>
      <c r="E3130" s="29" t="n">
        <v>1143400</v>
      </c>
      <c r="F3130" s="30" t="n">
        <v>100.25</v>
      </c>
      <c r="G3130" s="31" t="n">
        <f aca="false">IFERROR(F3130/D3130,0)</f>
        <v>11.1388888888889</v>
      </c>
    </row>
    <row r="3131" customFormat="false" ht="15" hidden="false" customHeight="false" outlineLevel="0" collapsed="false">
      <c r="A3131" s="28" t="n">
        <v>2023</v>
      </c>
      <c r="B3131" s="28" t="s">
        <v>113</v>
      </c>
      <c r="C3131" s="28" t="s">
        <v>55</v>
      </c>
      <c r="D3131" s="28" t="n">
        <v>75</v>
      </c>
      <c r="E3131" s="29" t="n">
        <v>69032500</v>
      </c>
      <c r="F3131" s="30" t="n">
        <v>590.03</v>
      </c>
      <c r="G3131" s="31" t="n">
        <f aca="false">IFERROR(F3131/D3131,0)</f>
        <v>7.86706666666667</v>
      </c>
    </row>
    <row r="3132" customFormat="false" ht="15" hidden="false" customHeight="false" outlineLevel="0" collapsed="false">
      <c r="A3132" s="28" t="n">
        <v>2023</v>
      </c>
      <c r="B3132" s="28" t="s">
        <v>113</v>
      </c>
      <c r="C3132" s="28" t="s">
        <v>51</v>
      </c>
      <c r="D3132" s="28" t="n">
        <v>11</v>
      </c>
      <c r="E3132" s="29" t="n">
        <v>11220200</v>
      </c>
      <c r="F3132" s="30" t="n">
        <v>107.7</v>
      </c>
      <c r="G3132" s="31" t="n">
        <f aca="false">IFERROR(F3132/D3132,0)</f>
        <v>9.79090909090909</v>
      </c>
    </row>
    <row r="3133" customFormat="false" ht="15" hidden="false" customHeight="false" outlineLevel="0" collapsed="false">
      <c r="A3133" s="28" t="n">
        <v>2023</v>
      </c>
      <c r="B3133" s="28" t="s">
        <v>113</v>
      </c>
      <c r="C3133" s="28" t="s">
        <v>45</v>
      </c>
      <c r="D3133" s="28" t="n">
        <v>17</v>
      </c>
      <c r="E3133" s="29" t="n">
        <v>3247000</v>
      </c>
      <c r="F3133" s="30" t="n">
        <v>176.5</v>
      </c>
      <c r="G3133" s="31" t="n">
        <f aca="false">IFERROR(F3133/D3133,0)</f>
        <v>10.3823529411765</v>
      </c>
    </row>
    <row r="3134" customFormat="false" ht="15" hidden="false" customHeight="false" outlineLevel="0" collapsed="false">
      <c r="A3134" s="28" t="n">
        <v>2023</v>
      </c>
      <c r="B3134" s="28" t="s">
        <v>113</v>
      </c>
      <c r="C3134" s="28" t="s">
        <v>56</v>
      </c>
      <c r="D3134" s="28" t="n">
        <v>4</v>
      </c>
      <c r="E3134" s="29" t="n">
        <v>466600</v>
      </c>
      <c r="F3134" s="30" t="n">
        <v>47.25</v>
      </c>
      <c r="G3134" s="31" t="n">
        <f aca="false">IFERROR(F3134/D3134,0)</f>
        <v>11.8125</v>
      </c>
    </row>
    <row r="3135" customFormat="false" ht="15" hidden="false" customHeight="false" outlineLevel="0" collapsed="false">
      <c r="A3135" s="28" t="n">
        <v>2023</v>
      </c>
      <c r="B3135" s="28" t="s">
        <v>113</v>
      </c>
      <c r="C3135" s="28" t="s">
        <v>54</v>
      </c>
      <c r="D3135" s="28" t="n">
        <v>8</v>
      </c>
      <c r="E3135" s="29" t="n">
        <v>2645000</v>
      </c>
      <c r="F3135" s="30" t="n">
        <v>82.5</v>
      </c>
      <c r="G3135" s="31" t="n">
        <f aca="false">IFERROR(F3135/D3135,0)</f>
        <v>10.3125</v>
      </c>
    </row>
    <row r="3136" customFormat="false" ht="15" hidden="false" customHeight="false" outlineLevel="0" collapsed="false">
      <c r="A3136" s="28" t="n">
        <v>2023</v>
      </c>
      <c r="B3136" s="28" t="s">
        <v>113</v>
      </c>
      <c r="C3136" s="28" t="s">
        <v>44</v>
      </c>
      <c r="D3136" s="28" t="n">
        <v>28</v>
      </c>
      <c r="E3136" s="29" t="n">
        <v>23131500</v>
      </c>
      <c r="F3136" s="30" t="n">
        <v>280.98</v>
      </c>
      <c r="G3136" s="31" t="n">
        <f aca="false">IFERROR(F3136/D3136,0)</f>
        <v>10.035</v>
      </c>
    </row>
    <row r="3137" customFormat="false" ht="15" hidden="false" customHeight="false" outlineLevel="0" collapsed="false">
      <c r="A3137" s="28" t="n">
        <v>2023</v>
      </c>
      <c r="B3137" s="28" t="s">
        <v>113</v>
      </c>
      <c r="C3137" s="28" t="s">
        <v>57</v>
      </c>
      <c r="D3137" s="28" t="n">
        <v>1</v>
      </c>
      <c r="E3137" s="29" t="n">
        <v>15000</v>
      </c>
      <c r="F3137" s="30" t="n">
        <v>12.5</v>
      </c>
      <c r="G3137" s="31" t="n">
        <f aca="false">IFERROR(F3137/D3137,0)</f>
        <v>12.5</v>
      </c>
    </row>
    <row r="3138" customFormat="false" ht="15" hidden="false" customHeight="false" outlineLevel="0" collapsed="false">
      <c r="A3138" s="28" t="n">
        <v>2023</v>
      </c>
      <c r="B3138" s="28" t="s">
        <v>113</v>
      </c>
      <c r="C3138" s="28" t="s">
        <v>47</v>
      </c>
      <c r="D3138" s="28" t="n">
        <v>10</v>
      </c>
      <c r="E3138" s="29" t="n">
        <v>5300400</v>
      </c>
      <c r="F3138" s="30" t="n">
        <v>94.8</v>
      </c>
      <c r="G3138" s="31" t="n">
        <f aca="false">IFERROR(F3138/D3138,0)</f>
        <v>9.48</v>
      </c>
    </row>
    <row r="3139" customFormat="false" ht="15" hidden="false" customHeight="false" outlineLevel="0" collapsed="false">
      <c r="A3139" s="28" t="n">
        <v>2023</v>
      </c>
      <c r="B3139" s="28" t="s">
        <v>113</v>
      </c>
      <c r="C3139" s="28" t="s">
        <v>46</v>
      </c>
      <c r="D3139" s="28" t="n">
        <v>19</v>
      </c>
      <c r="E3139" s="29" t="n">
        <v>5674800</v>
      </c>
      <c r="F3139" s="30" t="n">
        <v>177.05</v>
      </c>
      <c r="G3139" s="31" t="n">
        <f aca="false">IFERROR(F3139/D3139,0)</f>
        <v>9.31842105263158</v>
      </c>
    </row>
    <row r="3140" customFormat="false" ht="15" hidden="false" customHeight="false" outlineLevel="0" collapsed="false">
      <c r="A3140" s="28" t="n">
        <v>2023</v>
      </c>
      <c r="B3140" s="28" t="s">
        <v>113</v>
      </c>
      <c r="C3140" s="28" t="s">
        <v>48</v>
      </c>
      <c r="D3140" s="28" t="n">
        <v>10</v>
      </c>
      <c r="E3140" s="29" t="n">
        <v>3163000</v>
      </c>
      <c r="F3140" s="30" t="n">
        <v>107.84</v>
      </c>
      <c r="G3140" s="31" t="n">
        <f aca="false">IFERROR(F3140/D3140,0)</f>
        <v>10.784</v>
      </c>
    </row>
    <row r="3141" customFormat="false" ht="15" hidden="false" customHeight="false" outlineLevel="0" collapsed="false">
      <c r="A3141" s="28" t="n">
        <v>2023</v>
      </c>
      <c r="B3141" s="28" t="s">
        <v>113</v>
      </c>
      <c r="C3141" s="28" t="s">
        <v>53</v>
      </c>
      <c r="D3141" s="28" t="n">
        <v>3</v>
      </c>
      <c r="E3141" s="29" t="n">
        <v>2429900</v>
      </c>
      <c r="F3141" s="30" t="n">
        <v>29.45</v>
      </c>
      <c r="G3141" s="31" t="n">
        <f aca="false">IFERROR(F3141/D3141,0)</f>
        <v>9.81666666666667</v>
      </c>
    </row>
    <row r="3142" customFormat="false" ht="15" hidden="false" customHeight="false" outlineLevel="0" collapsed="false">
      <c r="A3142" s="28" t="n">
        <v>2023</v>
      </c>
      <c r="B3142" s="28" t="s">
        <v>113</v>
      </c>
      <c r="C3142" s="28" t="s">
        <v>43</v>
      </c>
      <c r="D3142" s="28" t="n">
        <v>44</v>
      </c>
      <c r="E3142" s="29" t="n">
        <v>20645800</v>
      </c>
      <c r="F3142" s="30" t="n">
        <v>436.96</v>
      </c>
      <c r="G3142" s="31" t="n">
        <f aca="false">IFERROR(F3142/D3142,0)</f>
        <v>9.93090909090909</v>
      </c>
    </row>
    <row r="3143" customFormat="false" ht="15" hidden="false" customHeight="false" outlineLevel="0" collapsed="false">
      <c r="A3143" s="28" t="n">
        <v>2023</v>
      </c>
      <c r="B3143" s="28" t="s">
        <v>113</v>
      </c>
      <c r="C3143" s="28" t="s">
        <v>52</v>
      </c>
      <c r="D3143" s="28" t="n">
        <v>35</v>
      </c>
      <c r="E3143" s="29" t="n">
        <v>5910200</v>
      </c>
      <c r="F3143" s="30" t="n">
        <v>344.85</v>
      </c>
      <c r="G3143" s="31" t="n">
        <f aca="false">IFERROR(F3143/D3143,0)</f>
        <v>9.85285714285714</v>
      </c>
    </row>
    <row r="3144" customFormat="false" ht="15" hidden="false" customHeight="false" outlineLevel="0" collapsed="false">
      <c r="A3144" s="28" t="n">
        <v>2023</v>
      </c>
      <c r="B3144" s="28" t="s">
        <v>113</v>
      </c>
      <c r="C3144" s="28" t="s">
        <v>49</v>
      </c>
      <c r="D3144" s="28" t="n">
        <v>4</v>
      </c>
      <c r="E3144" s="29" t="n">
        <v>5883400</v>
      </c>
      <c r="F3144" s="30" t="n">
        <v>33.49</v>
      </c>
      <c r="G3144" s="31" t="n">
        <f aca="false">IFERROR(F3144/D3144,0)</f>
        <v>8.3725</v>
      </c>
    </row>
    <row r="3145" customFormat="false" ht="15" hidden="false" customHeight="false" outlineLevel="0" collapsed="false">
      <c r="A3145" s="28" t="n">
        <v>2023</v>
      </c>
      <c r="B3145" s="28" t="s">
        <v>115</v>
      </c>
      <c r="C3145" s="28" t="s">
        <v>42</v>
      </c>
      <c r="D3145" s="28" t="n">
        <v>15</v>
      </c>
      <c r="E3145" s="29" t="n">
        <v>16310500</v>
      </c>
      <c r="F3145" s="30" t="n">
        <v>135.2</v>
      </c>
      <c r="G3145" s="31" t="n">
        <f aca="false">IFERROR(F3145/D3145,0)</f>
        <v>9.01333333333333</v>
      </c>
    </row>
    <row r="3146" customFormat="false" ht="15" hidden="false" customHeight="false" outlineLevel="0" collapsed="false">
      <c r="A3146" s="28" t="n">
        <v>2023</v>
      </c>
      <c r="B3146" s="28" t="s">
        <v>115</v>
      </c>
      <c r="C3146" s="28" t="s">
        <v>50</v>
      </c>
      <c r="D3146" s="28" t="n">
        <v>7</v>
      </c>
      <c r="E3146" s="29" t="n">
        <v>1174000</v>
      </c>
      <c r="F3146" s="30" t="n">
        <v>76</v>
      </c>
      <c r="G3146" s="31" t="n">
        <f aca="false">IFERROR(F3146/D3146,0)</f>
        <v>10.8571428571429</v>
      </c>
    </row>
    <row r="3147" customFormat="false" ht="15" hidden="false" customHeight="false" outlineLevel="0" collapsed="false">
      <c r="A3147" s="28" t="n">
        <v>2023</v>
      </c>
      <c r="B3147" s="28" t="s">
        <v>115</v>
      </c>
      <c r="C3147" s="28" t="s">
        <v>55</v>
      </c>
      <c r="D3147" s="28" t="n">
        <v>7</v>
      </c>
      <c r="E3147" s="29" t="n">
        <v>1598500</v>
      </c>
      <c r="F3147" s="30" t="n">
        <v>64.5</v>
      </c>
      <c r="G3147" s="31" t="n">
        <f aca="false">IFERROR(F3147/D3147,0)</f>
        <v>9.21428571428571</v>
      </c>
    </row>
    <row r="3148" customFormat="false" ht="15" hidden="false" customHeight="false" outlineLevel="0" collapsed="false">
      <c r="A3148" s="28" t="n">
        <v>2023</v>
      </c>
      <c r="B3148" s="28" t="s">
        <v>115</v>
      </c>
      <c r="C3148" s="28" t="s">
        <v>51</v>
      </c>
      <c r="D3148" s="28" t="n">
        <v>9</v>
      </c>
      <c r="E3148" s="29" t="n">
        <v>2629000</v>
      </c>
      <c r="F3148" s="30" t="n">
        <v>91.18</v>
      </c>
      <c r="G3148" s="31" t="n">
        <f aca="false">IFERROR(F3148/D3148,0)</f>
        <v>10.1311111111111</v>
      </c>
    </row>
    <row r="3149" customFormat="false" ht="15" hidden="false" customHeight="false" outlineLevel="0" collapsed="false">
      <c r="A3149" s="28" t="n">
        <v>2023</v>
      </c>
      <c r="B3149" s="28" t="s">
        <v>115</v>
      </c>
      <c r="C3149" s="28" t="s">
        <v>45</v>
      </c>
      <c r="D3149" s="28" t="n">
        <v>15</v>
      </c>
      <c r="E3149" s="29" t="n">
        <v>3120000</v>
      </c>
      <c r="F3149" s="30" t="n">
        <v>147.97</v>
      </c>
      <c r="G3149" s="31" t="n">
        <f aca="false">IFERROR(F3149/D3149,0)</f>
        <v>9.86466666666667</v>
      </c>
    </row>
    <row r="3150" customFormat="false" ht="15" hidden="false" customHeight="false" outlineLevel="0" collapsed="false">
      <c r="A3150" s="28" t="n">
        <v>2023</v>
      </c>
      <c r="B3150" s="28" t="s">
        <v>115</v>
      </c>
      <c r="C3150" s="28" t="s">
        <v>56</v>
      </c>
      <c r="D3150" s="28" t="n">
        <v>2</v>
      </c>
      <c r="E3150" s="29" t="n">
        <v>1555000</v>
      </c>
      <c r="F3150" s="30" t="n">
        <v>24.75</v>
      </c>
      <c r="G3150" s="31" t="n">
        <f aca="false">IFERROR(F3150/D3150,0)</f>
        <v>12.375</v>
      </c>
    </row>
    <row r="3151" customFormat="false" ht="15" hidden="false" customHeight="false" outlineLevel="0" collapsed="false">
      <c r="A3151" s="28" t="n">
        <v>2023</v>
      </c>
      <c r="B3151" s="28" t="s">
        <v>115</v>
      </c>
      <c r="C3151" s="28" t="s">
        <v>54</v>
      </c>
      <c r="D3151" s="28" t="n">
        <v>1</v>
      </c>
      <c r="E3151" s="29" t="n">
        <v>44300</v>
      </c>
      <c r="F3151" s="30" t="n">
        <v>8.5</v>
      </c>
      <c r="G3151" s="31" t="n">
        <f aca="false">IFERROR(F3151/D3151,0)</f>
        <v>8.5</v>
      </c>
    </row>
    <row r="3152" customFormat="false" ht="15" hidden="false" customHeight="false" outlineLevel="0" collapsed="false">
      <c r="A3152" s="28" t="n">
        <v>2023</v>
      </c>
      <c r="B3152" s="28" t="s">
        <v>115</v>
      </c>
      <c r="C3152" s="28" t="s">
        <v>44</v>
      </c>
      <c r="D3152" s="28" t="n">
        <v>6</v>
      </c>
      <c r="E3152" s="29" t="n">
        <v>1087700</v>
      </c>
      <c r="F3152" s="30" t="n">
        <v>53.23</v>
      </c>
      <c r="G3152" s="31" t="n">
        <f aca="false">IFERROR(F3152/D3152,0)</f>
        <v>8.87166666666667</v>
      </c>
    </row>
    <row r="3153" customFormat="false" ht="15" hidden="false" customHeight="false" outlineLevel="0" collapsed="false">
      <c r="A3153" s="28" t="n">
        <v>2023</v>
      </c>
      <c r="B3153" s="28" t="s">
        <v>115</v>
      </c>
      <c r="C3153" s="28" t="s">
        <v>57</v>
      </c>
      <c r="D3153" s="28" t="n">
        <v>1</v>
      </c>
      <c r="E3153" s="29" t="n">
        <v>88500</v>
      </c>
      <c r="F3153" s="30" t="n">
        <v>11.25</v>
      </c>
      <c r="G3153" s="31" t="n">
        <f aca="false">IFERROR(F3153/D3153,0)</f>
        <v>11.25</v>
      </c>
    </row>
    <row r="3154" customFormat="false" ht="15" hidden="false" customHeight="false" outlineLevel="0" collapsed="false">
      <c r="A3154" s="28" t="n">
        <v>2023</v>
      </c>
      <c r="B3154" s="28" t="s">
        <v>115</v>
      </c>
      <c r="C3154" s="28" t="s">
        <v>47</v>
      </c>
      <c r="D3154" s="28" t="n">
        <v>14</v>
      </c>
      <c r="E3154" s="29" t="n">
        <v>5281000</v>
      </c>
      <c r="F3154" s="30" t="n">
        <v>129.69</v>
      </c>
      <c r="G3154" s="31" t="n">
        <f aca="false">IFERROR(F3154/D3154,0)</f>
        <v>9.26357142857143</v>
      </c>
    </row>
    <row r="3155" customFormat="false" ht="15" hidden="false" customHeight="false" outlineLevel="0" collapsed="false">
      <c r="A3155" s="28" t="n">
        <v>2023</v>
      </c>
      <c r="B3155" s="28" t="s">
        <v>115</v>
      </c>
      <c r="C3155" s="28" t="s">
        <v>46</v>
      </c>
      <c r="D3155" s="28" t="n">
        <v>15</v>
      </c>
      <c r="E3155" s="29" t="n">
        <v>4899800</v>
      </c>
      <c r="F3155" s="30" t="n">
        <v>155.24</v>
      </c>
      <c r="G3155" s="31" t="n">
        <f aca="false">IFERROR(F3155/D3155,0)</f>
        <v>10.3493333333333</v>
      </c>
    </row>
    <row r="3156" customFormat="false" ht="15" hidden="false" customHeight="false" outlineLevel="0" collapsed="false">
      <c r="A3156" s="28" t="n">
        <v>2023</v>
      </c>
      <c r="B3156" s="28" t="s">
        <v>115</v>
      </c>
      <c r="C3156" s="28" t="s">
        <v>48</v>
      </c>
      <c r="D3156" s="28" t="n">
        <v>15</v>
      </c>
      <c r="E3156" s="29" t="n">
        <v>2380000</v>
      </c>
      <c r="F3156" s="30" t="n">
        <v>143.25</v>
      </c>
      <c r="G3156" s="31" t="n">
        <f aca="false">IFERROR(F3156/D3156,0)</f>
        <v>9.55</v>
      </c>
    </row>
    <row r="3157" customFormat="false" ht="15" hidden="false" customHeight="false" outlineLevel="0" collapsed="false">
      <c r="A3157" s="28" t="n">
        <v>2023</v>
      </c>
      <c r="B3157" s="28" t="s">
        <v>115</v>
      </c>
      <c r="C3157" s="28" t="s">
        <v>53</v>
      </c>
      <c r="D3157" s="28" t="n">
        <v>3</v>
      </c>
      <c r="E3157" s="29" t="n">
        <v>3045500</v>
      </c>
      <c r="F3157" s="30" t="n">
        <v>29</v>
      </c>
      <c r="G3157" s="31" t="n">
        <f aca="false">IFERROR(F3157/D3157,0)</f>
        <v>9.66666666666667</v>
      </c>
    </row>
    <row r="3158" customFormat="false" ht="15" hidden="false" customHeight="false" outlineLevel="0" collapsed="false">
      <c r="A3158" s="28" t="n">
        <v>2023</v>
      </c>
      <c r="B3158" s="28" t="s">
        <v>115</v>
      </c>
      <c r="C3158" s="28" t="s">
        <v>43</v>
      </c>
      <c r="D3158" s="28" t="n">
        <v>20</v>
      </c>
      <c r="E3158" s="29" t="n">
        <v>11212600</v>
      </c>
      <c r="F3158" s="30" t="n">
        <v>196</v>
      </c>
      <c r="G3158" s="31" t="n">
        <f aca="false">IFERROR(F3158/D3158,0)</f>
        <v>9.8</v>
      </c>
    </row>
    <row r="3159" customFormat="false" ht="15" hidden="false" customHeight="false" outlineLevel="0" collapsed="false">
      <c r="A3159" s="28" t="n">
        <v>2023</v>
      </c>
      <c r="B3159" s="28" t="s">
        <v>115</v>
      </c>
      <c r="C3159" s="28" t="s">
        <v>52</v>
      </c>
      <c r="D3159" s="28" t="n">
        <v>7</v>
      </c>
      <c r="E3159" s="29" t="n">
        <v>3506000</v>
      </c>
      <c r="F3159" s="30" t="n">
        <v>71.4</v>
      </c>
      <c r="G3159" s="31" t="n">
        <f aca="false">IFERROR(F3159/D3159,0)</f>
        <v>10.2</v>
      </c>
    </row>
    <row r="3160" customFormat="false" ht="15" hidden="false" customHeight="false" outlineLevel="0" collapsed="false">
      <c r="A3160" s="28" t="n">
        <v>2023</v>
      </c>
      <c r="B3160" s="28" t="s">
        <v>115</v>
      </c>
      <c r="C3160" s="28" t="s">
        <v>49</v>
      </c>
      <c r="D3160" s="28" t="n">
        <v>3</v>
      </c>
      <c r="E3160" s="29" t="n">
        <v>527700</v>
      </c>
      <c r="F3160" s="30" t="n">
        <v>26.75</v>
      </c>
      <c r="G3160" s="31" t="n">
        <f aca="false">IFERROR(F3160/D3160,0)</f>
        <v>8.91666666666667</v>
      </c>
    </row>
    <row r="3161" customFormat="false" ht="15" hidden="false" customHeight="false" outlineLevel="0" collapsed="false">
      <c r="A3161" s="28" t="n">
        <v>2023</v>
      </c>
      <c r="B3161" s="28" t="s">
        <v>90</v>
      </c>
      <c r="C3161" s="28" t="s">
        <v>42</v>
      </c>
      <c r="D3161" s="28" t="n">
        <v>179</v>
      </c>
      <c r="E3161" s="29" t="n">
        <v>162722800</v>
      </c>
      <c r="F3161" s="30" t="n">
        <v>1768.87</v>
      </c>
      <c r="G3161" s="31" t="n">
        <f aca="false">IFERROR(F3161/D3161,0)</f>
        <v>9.88195530726257</v>
      </c>
    </row>
    <row r="3162" customFormat="false" ht="15" hidden="false" customHeight="false" outlineLevel="0" collapsed="false">
      <c r="A3162" s="28" t="n">
        <v>2023</v>
      </c>
      <c r="B3162" s="28" t="s">
        <v>90</v>
      </c>
      <c r="C3162" s="28" t="s">
        <v>50</v>
      </c>
      <c r="D3162" s="28" t="n">
        <v>65</v>
      </c>
      <c r="E3162" s="29" t="n">
        <v>26755000</v>
      </c>
      <c r="F3162" s="30" t="n">
        <v>680.39</v>
      </c>
      <c r="G3162" s="31" t="n">
        <f aca="false">IFERROR(F3162/D3162,0)</f>
        <v>10.4675384615385</v>
      </c>
    </row>
    <row r="3163" customFormat="false" ht="15" hidden="false" customHeight="false" outlineLevel="0" collapsed="false">
      <c r="A3163" s="28" t="n">
        <v>2023</v>
      </c>
      <c r="B3163" s="28" t="s">
        <v>90</v>
      </c>
      <c r="C3163" s="28" t="s">
        <v>55</v>
      </c>
      <c r="D3163" s="28" t="n">
        <v>25</v>
      </c>
      <c r="E3163" s="29" t="n">
        <v>18296300</v>
      </c>
      <c r="F3163" s="30" t="n">
        <v>203.45</v>
      </c>
      <c r="G3163" s="31" t="n">
        <f aca="false">IFERROR(F3163/D3163,0)</f>
        <v>8.138</v>
      </c>
    </row>
    <row r="3164" customFormat="false" ht="15" hidden="false" customHeight="false" outlineLevel="0" collapsed="false">
      <c r="A3164" s="28" t="n">
        <v>2023</v>
      </c>
      <c r="B3164" s="28" t="s">
        <v>90</v>
      </c>
      <c r="C3164" s="28" t="s">
        <v>51</v>
      </c>
      <c r="D3164" s="28" t="n">
        <v>50</v>
      </c>
      <c r="E3164" s="29" t="n">
        <v>37675000</v>
      </c>
      <c r="F3164" s="30" t="n">
        <v>509.68</v>
      </c>
      <c r="G3164" s="31" t="n">
        <f aca="false">IFERROR(F3164/D3164,0)</f>
        <v>10.1936</v>
      </c>
    </row>
    <row r="3165" customFormat="false" ht="15" hidden="false" customHeight="false" outlineLevel="0" collapsed="false">
      <c r="A3165" s="28" t="n">
        <v>2023</v>
      </c>
      <c r="B3165" s="28" t="s">
        <v>90</v>
      </c>
      <c r="C3165" s="28" t="s">
        <v>45</v>
      </c>
      <c r="D3165" s="28" t="n">
        <v>141</v>
      </c>
      <c r="E3165" s="29" t="n">
        <v>61761900</v>
      </c>
      <c r="F3165" s="30" t="n">
        <v>1468.42</v>
      </c>
      <c r="G3165" s="31" t="n">
        <f aca="false">IFERROR(F3165/D3165,0)</f>
        <v>10.4143262411348</v>
      </c>
    </row>
    <row r="3166" customFormat="false" ht="15" hidden="false" customHeight="false" outlineLevel="0" collapsed="false">
      <c r="A3166" s="28" t="n">
        <v>2023</v>
      </c>
      <c r="B3166" s="28" t="s">
        <v>90</v>
      </c>
      <c r="C3166" s="28" t="s">
        <v>56</v>
      </c>
      <c r="D3166" s="28" t="n">
        <v>17</v>
      </c>
      <c r="E3166" s="29" t="n">
        <v>7777800</v>
      </c>
      <c r="F3166" s="30" t="n">
        <v>182.15</v>
      </c>
      <c r="G3166" s="31" t="n">
        <f aca="false">IFERROR(F3166/D3166,0)</f>
        <v>10.7147058823529</v>
      </c>
    </row>
    <row r="3167" customFormat="false" ht="15" hidden="false" customHeight="false" outlineLevel="0" collapsed="false">
      <c r="A3167" s="28" t="n">
        <v>2023</v>
      </c>
      <c r="B3167" s="28" t="s">
        <v>90</v>
      </c>
      <c r="C3167" s="28" t="s">
        <v>54</v>
      </c>
      <c r="D3167" s="28" t="n">
        <v>18</v>
      </c>
      <c r="E3167" s="29" t="n">
        <v>14757400</v>
      </c>
      <c r="F3167" s="30" t="n">
        <v>182.62</v>
      </c>
      <c r="G3167" s="31" t="n">
        <f aca="false">IFERROR(F3167/D3167,0)</f>
        <v>10.1455555555556</v>
      </c>
    </row>
    <row r="3168" customFormat="false" ht="15" hidden="false" customHeight="false" outlineLevel="0" collapsed="false">
      <c r="A3168" s="28" t="n">
        <v>2023</v>
      </c>
      <c r="B3168" s="28" t="s">
        <v>90</v>
      </c>
      <c r="C3168" s="28" t="s">
        <v>44</v>
      </c>
      <c r="D3168" s="28" t="n">
        <v>110</v>
      </c>
      <c r="E3168" s="29" t="n">
        <v>86776200</v>
      </c>
      <c r="F3168" s="30" t="n">
        <v>1070.69</v>
      </c>
      <c r="G3168" s="31" t="n">
        <f aca="false">IFERROR(F3168/D3168,0)</f>
        <v>9.73354545454546</v>
      </c>
    </row>
    <row r="3169" customFormat="false" ht="15" hidden="false" customHeight="false" outlineLevel="0" collapsed="false">
      <c r="A3169" s="28" t="n">
        <v>2023</v>
      </c>
      <c r="B3169" s="28" t="s">
        <v>90</v>
      </c>
      <c r="C3169" s="28" t="s">
        <v>57</v>
      </c>
      <c r="D3169" s="28" t="n">
        <v>9</v>
      </c>
      <c r="E3169" s="29" t="n">
        <v>7981900</v>
      </c>
      <c r="F3169" s="30" t="n">
        <v>98</v>
      </c>
      <c r="G3169" s="31" t="n">
        <f aca="false">IFERROR(F3169/D3169,0)</f>
        <v>10.8888888888889</v>
      </c>
    </row>
    <row r="3170" customFormat="false" ht="15" hidden="false" customHeight="false" outlineLevel="0" collapsed="false">
      <c r="A3170" s="28" t="n">
        <v>2023</v>
      </c>
      <c r="B3170" s="28" t="s">
        <v>90</v>
      </c>
      <c r="C3170" s="28" t="s">
        <v>47</v>
      </c>
      <c r="D3170" s="28" t="n">
        <v>68</v>
      </c>
      <c r="E3170" s="29" t="n">
        <v>66220500</v>
      </c>
      <c r="F3170" s="30" t="n">
        <v>681.48</v>
      </c>
      <c r="G3170" s="31" t="n">
        <f aca="false">IFERROR(F3170/D3170,0)</f>
        <v>10.0217647058824</v>
      </c>
    </row>
    <row r="3171" customFormat="false" ht="15" hidden="false" customHeight="false" outlineLevel="0" collapsed="false">
      <c r="A3171" s="28" t="n">
        <v>2023</v>
      </c>
      <c r="B3171" s="28" t="s">
        <v>90</v>
      </c>
      <c r="C3171" s="28" t="s">
        <v>46</v>
      </c>
      <c r="D3171" s="28" t="n">
        <v>123</v>
      </c>
      <c r="E3171" s="29" t="n">
        <v>81704900</v>
      </c>
      <c r="F3171" s="30" t="n">
        <v>1282.65</v>
      </c>
      <c r="G3171" s="31" t="n">
        <f aca="false">IFERROR(F3171/D3171,0)</f>
        <v>10.4280487804878</v>
      </c>
    </row>
    <row r="3172" customFormat="false" ht="15" hidden="false" customHeight="false" outlineLevel="0" collapsed="false">
      <c r="A3172" s="28" t="n">
        <v>2023</v>
      </c>
      <c r="B3172" s="28" t="s">
        <v>90</v>
      </c>
      <c r="C3172" s="28" t="s">
        <v>48</v>
      </c>
      <c r="D3172" s="28" t="n">
        <v>118</v>
      </c>
      <c r="E3172" s="29" t="n">
        <v>73825200</v>
      </c>
      <c r="F3172" s="30" t="n">
        <v>1228.7</v>
      </c>
      <c r="G3172" s="31" t="n">
        <f aca="false">IFERROR(F3172/D3172,0)</f>
        <v>10.4127118644068</v>
      </c>
    </row>
    <row r="3173" customFormat="false" ht="15" hidden="false" customHeight="false" outlineLevel="0" collapsed="false">
      <c r="A3173" s="28" t="n">
        <v>2023</v>
      </c>
      <c r="B3173" s="28" t="s">
        <v>90</v>
      </c>
      <c r="C3173" s="28" t="s">
        <v>53</v>
      </c>
      <c r="D3173" s="28" t="n">
        <v>30</v>
      </c>
      <c r="E3173" s="29" t="n">
        <v>27832900</v>
      </c>
      <c r="F3173" s="30" t="n">
        <v>293.77</v>
      </c>
      <c r="G3173" s="31" t="n">
        <f aca="false">IFERROR(F3173/D3173,0)</f>
        <v>9.79233333333333</v>
      </c>
    </row>
    <row r="3174" customFormat="false" ht="15" hidden="false" customHeight="false" outlineLevel="0" collapsed="false">
      <c r="A3174" s="28" t="n">
        <v>2023</v>
      </c>
      <c r="B3174" s="28" t="s">
        <v>90</v>
      </c>
      <c r="C3174" s="28" t="s">
        <v>43</v>
      </c>
      <c r="D3174" s="28" t="n">
        <v>147</v>
      </c>
      <c r="E3174" s="29" t="n">
        <v>79051100</v>
      </c>
      <c r="F3174" s="30" t="n">
        <v>1527.32</v>
      </c>
      <c r="G3174" s="31" t="n">
        <f aca="false">IFERROR(F3174/D3174,0)</f>
        <v>10.3899319727891</v>
      </c>
    </row>
    <row r="3175" customFormat="false" ht="15" hidden="false" customHeight="false" outlineLevel="0" collapsed="false">
      <c r="A3175" s="28" t="n">
        <v>2023</v>
      </c>
      <c r="B3175" s="28" t="s">
        <v>90</v>
      </c>
      <c r="C3175" s="28" t="s">
        <v>52</v>
      </c>
      <c r="D3175" s="28" t="n">
        <v>52</v>
      </c>
      <c r="E3175" s="29" t="n">
        <v>21991500</v>
      </c>
      <c r="F3175" s="30" t="n">
        <v>598.54</v>
      </c>
      <c r="G3175" s="31" t="n">
        <f aca="false">IFERROR(F3175/D3175,0)</f>
        <v>11.5103846153846</v>
      </c>
    </row>
    <row r="3176" customFormat="false" ht="15" hidden="false" customHeight="false" outlineLevel="0" collapsed="false">
      <c r="A3176" s="28" t="n">
        <v>2023</v>
      </c>
      <c r="B3176" s="28" t="s">
        <v>90</v>
      </c>
      <c r="C3176" s="28" t="s">
        <v>60</v>
      </c>
      <c r="D3176" s="28" t="n">
        <v>1</v>
      </c>
      <c r="E3176" s="29" t="n">
        <v>250000</v>
      </c>
      <c r="F3176" s="30" t="n">
        <v>11</v>
      </c>
      <c r="G3176" s="31" t="n">
        <f aca="false">IFERROR(F3176/D3176,0)</f>
        <v>11</v>
      </c>
    </row>
    <row r="3177" customFormat="false" ht="15" hidden="false" customHeight="false" outlineLevel="0" collapsed="false">
      <c r="A3177" s="28" t="n">
        <v>2023</v>
      </c>
      <c r="B3177" s="28" t="s">
        <v>90</v>
      </c>
      <c r="C3177" s="28" t="s">
        <v>49</v>
      </c>
      <c r="D3177" s="28" t="n">
        <v>46</v>
      </c>
      <c r="E3177" s="29" t="n">
        <v>28186300</v>
      </c>
      <c r="F3177" s="30" t="n">
        <v>461.135</v>
      </c>
      <c r="G3177" s="31" t="n">
        <f aca="false">IFERROR(F3177/D3177,0)</f>
        <v>10.0246739130435</v>
      </c>
    </row>
    <row r="3178" customFormat="false" ht="15" hidden="false" customHeight="false" outlineLevel="0" collapsed="false">
      <c r="A3178" s="28" t="n">
        <v>2023</v>
      </c>
      <c r="B3178" s="28" t="s">
        <v>116</v>
      </c>
      <c r="C3178" s="28" t="s">
        <v>42</v>
      </c>
      <c r="D3178" s="28" t="n">
        <v>13</v>
      </c>
      <c r="E3178" s="29" t="n">
        <v>5299200</v>
      </c>
      <c r="F3178" s="30" t="n">
        <v>110.9</v>
      </c>
      <c r="G3178" s="31" t="n">
        <f aca="false">IFERROR(F3178/D3178,0)</f>
        <v>8.53076923076923</v>
      </c>
    </row>
    <row r="3179" customFormat="false" ht="15" hidden="false" customHeight="false" outlineLevel="0" collapsed="false">
      <c r="A3179" s="28" t="n">
        <v>2023</v>
      </c>
      <c r="B3179" s="28" t="s">
        <v>116</v>
      </c>
      <c r="C3179" s="28" t="s">
        <v>50</v>
      </c>
      <c r="D3179" s="28" t="n">
        <v>14</v>
      </c>
      <c r="E3179" s="29" t="n">
        <v>5882400</v>
      </c>
      <c r="F3179" s="30" t="n">
        <v>129.4</v>
      </c>
      <c r="G3179" s="31" t="n">
        <f aca="false">IFERROR(F3179/D3179,0)</f>
        <v>9.24285714285714</v>
      </c>
    </row>
    <row r="3180" customFormat="false" ht="15" hidden="false" customHeight="false" outlineLevel="0" collapsed="false">
      <c r="A3180" s="28" t="n">
        <v>2023</v>
      </c>
      <c r="B3180" s="28" t="s">
        <v>116</v>
      </c>
      <c r="C3180" s="28" t="s">
        <v>51</v>
      </c>
      <c r="D3180" s="28" t="n">
        <v>5</v>
      </c>
      <c r="E3180" s="29" t="n">
        <v>1293700</v>
      </c>
      <c r="F3180" s="30" t="n">
        <v>42</v>
      </c>
      <c r="G3180" s="31" t="n">
        <f aca="false">IFERROR(F3180/D3180,0)</f>
        <v>8.4</v>
      </c>
    </row>
    <row r="3181" customFormat="false" ht="15" hidden="false" customHeight="false" outlineLevel="0" collapsed="false">
      <c r="A3181" s="28" t="n">
        <v>2023</v>
      </c>
      <c r="B3181" s="28" t="s">
        <v>116</v>
      </c>
      <c r="C3181" s="28" t="s">
        <v>45</v>
      </c>
      <c r="D3181" s="28" t="n">
        <v>8</v>
      </c>
      <c r="E3181" s="29" t="n">
        <v>3177100</v>
      </c>
      <c r="F3181" s="30" t="n">
        <v>74.24</v>
      </c>
      <c r="G3181" s="31" t="n">
        <f aca="false">IFERROR(F3181/D3181,0)</f>
        <v>9.28</v>
      </c>
    </row>
    <row r="3182" customFormat="false" ht="15" hidden="false" customHeight="false" outlineLevel="0" collapsed="false">
      <c r="A3182" s="28" t="n">
        <v>2023</v>
      </c>
      <c r="B3182" s="28" t="s">
        <v>116</v>
      </c>
      <c r="C3182" s="28" t="s">
        <v>44</v>
      </c>
      <c r="D3182" s="28" t="n">
        <v>2</v>
      </c>
      <c r="E3182" s="29" t="n">
        <v>574200</v>
      </c>
      <c r="F3182" s="30" t="n">
        <v>17.5</v>
      </c>
      <c r="G3182" s="31" t="n">
        <f aca="false">IFERROR(F3182/D3182,0)</f>
        <v>8.75</v>
      </c>
    </row>
    <row r="3183" customFormat="false" ht="15" hidden="false" customHeight="false" outlineLevel="0" collapsed="false">
      <c r="A3183" s="28" t="n">
        <v>2023</v>
      </c>
      <c r="B3183" s="28" t="s">
        <v>116</v>
      </c>
      <c r="C3183" s="28" t="s">
        <v>47</v>
      </c>
      <c r="D3183" s="28" t="n">
        <v>6</v>
      </c>
      <c r="E3183" s="29" t="n">
        <v>985600</v>
      </c>
      <c r="F3183" s="30" t="n">
        <v>53.5</v>
      </c>
      <c r="G3183" s="31" t="n">
        <f aca="false">IFERROR(F3183/D3183,0)</f>
        <v>8.91666666666667</v>
      </c>
    </row>
    <row r="3184" customFormat="false" ht="15" hidden="false" customHeight="false" outlineLevel="0" collapsed="false">
      <c r="A3184" s="28" t="n">
        <v>2023</v>
      </c>
      <c r="B3184" s="28" t="s">
        <v>116</v>
      </c>
      <c r="C3184" s="28" t="s">
        <v>58</v>
      </c>
      <c r="D3184" s="28" t="n">
        <v>2</v>
      </c>
      <c r="E3184" s="29" t="n">
        <v>1064000</v>
      </c>
      <c r="F3184" s="30" t="n">
        <v>18.55</v>
      </c>
      <c r="G3184" s="31" t="n">
        <f aca="false">IFERROR(F3184/D3184,0)</f>
        <v>9.275</v>
      </c>
    </row>
    <row r="3185" customFormat="false" ht="15" hidden="false" customHeight="false" outlineLevel="0" collapsed="false">
      <c r="A3185" s="28" t="n">
        <v>2023</v>
      </c>
      <c r="B3185" s="28" t="s">
        <v>116</v>
      </c>
      <c r="C3185" s="28" t="s">
        <v>46</v>
      </c>
      <c r="D3185" s="28" t="n">
        <v>8</v>
      </c>
      <c r="E3185" s="29" t="n">
        <v>5068000</v>
      </c>
      <c r="F3185" s="30" t="n">
        <v>65.99</v>
      </c>
      <c r="G3185" s="31" t="n">
        <f aca="false">IFERROR(F3185/D3185,0)</f>
        <v>8.24875</v>
      </c>
    </row>
    <row r="3186" customFormat="false" ht="15" hidden="false" customHeight="false" outlineLevel="0" collapsed="false">
      <c r="A3186" s="28" t="n">
        <v>2023</v>
      </c>
      <c r="B3186" s="28" t="s">
        <v>116</v>
      </c>
      <c r="C3186" s="28" t="s">
        <v>48</v>
      </c>
      <c r="D3186" s="28" t="n">
        <v>6</v>
      </c>
      <c r="E3186" s="29" t="n">
        <v>4265000</v>
      </c>
      <c r="F3186" s="30" t="n">
        <v>48.56</v>
      </c>
      <c r="G3186" s="31" t="n">
        <f aca="false">IFERROR(F3186/D3186,0)</f>
        <v>8.09333333333333</v>
      </c>
    </row>
    <row r="3187" customFormat="false" ht="15" hidden="false" customHeight="false" outlineLevel="0" collapsed="false">
      <c r="A3187" s="28" t="n">
        <v>2023</v>
      </c>
      <c r="B3187" s="28" t="s">
        <v>116</v>
      </c>
      <c r="C3187" s="28" t="s">
        <v>53</v>
      </c>
      <c r="D3187" s="28" t="n">
        <v>2</v>
      </c>
      <c r="E3187" s="29" t="n">
        <v>255200</v>
      </c>
      <c r="F3187" s="30" t="n">
        <v>19</v>
      </c>
      <c r="G3187" s="31" t="n">
        <f aca="false">IFERROR(F3187/D3187,0)</f>
        <v>9.5</v>
      </c>
    </row>
    <row r="3188" customFormat="false" ht="15" hidden="false" customHeight="false" outlineLevel="0" collapsed="false">
      <c r="A3188" s="28" t="n">
        <v>2023</v>
      </c>
      <c r="B3188" s="28" t="s">
        <v>116</v>
      </c>
      <c r="C3188" s="28" t="s">
        <v>43</v>
      </c>
      <c r="D3188" s="28" t="n">
        <v>12</v>
      </c>
      <c r="E3188" s="29" t="n">
        <v>2154200</v>
      </c>
      <c r="F3188" s="30" t="n">
        <v>96.11</v>
      </c>
      <c r="G3188" s="31" t="n">
        <f aca="false">IFERROR(F3188/D3188,0)</f>
        <v>8.00916666666667</v>
      </c>
    </row>
    <row r="3189" customFormat="false" ht="15" hidden="false" customHeight="false" outlineLevel="0" collapsed="false">
      <c r="A3189" s="28" t="n">
        <v>2023</v>
      </c>
      <c r="B3189" s="28" t="s">
        <v>116</v>
      </c>
      <c r="C3189" s="28" t="s">
        <v>52</v>
      </c>
      <c r="D3189" s="28" t="n">
        <v>5</v>
      </c>
      <c r="E3189" s="29" t="n">
        <v>2256900</v>
      </c>
      <c r="F3189" s="30" t="n">
        <v>52.24</v>
      </c>
      <c r="G3189" s="31" t="n">
        <f aca="false">IFERROR(F3189/D3189,0)</f>
        <v>10.448</v>
      </c>
    </row>
    <row r="3190" customFormat="false" ht="15" hidden="false" customHeight="false" outlineLevel="0" collapsed="false">
      <c r="A3190" s="28" t="n">
        <v>2023</v>
      </c>
      <c r="B3190" s="28" t="s">
        <v>116</v>
      </c>
      <c r="C3190" s="28" t="s">
        <v>49</v>
      </c>
      <c r="D3190" s="28" t="n">
        <v>1</v>
      </c>
      <c r="E3190" s="29" t="n">
        <v>1000000</v>
      </c>
      <c r="F3190" s="30" t="n">
        <v>6.4</v>
      </c>
      <c r="G3190" s="31" t="n">
        <f aca="false">IFERROR(F3190/D3190,0)</f>
        <v>6.4</v>
      </c>
    </row>
    <row r="3191" customFormat="false" ht="15" hidden="false" customHeight="false" outlineLevel="0" collapsed="false">
      <c r="A3191" s="28" t="n">
        <v>2023</v>
      </c>
      <c r="B3191" s="28" t="s">
        <v>117</v>
      </c>
      <c r="C3191" s="28" t="s">
        <v>42</v>
      </c>
      <c r="D3191" s="28" t="n">
        <v>24</v>
      </c>
      <c r="E3191" s="29" t="n">
        <v>10416100</v>
      </c>
      <c r="F3191" s="30" t="n">
        <v>211.055</v>
      </c>
      <c r="G3191" s="31" t="n">
        <f aca="false">IFERROR(F3191/D3191,0)</f>
        <v>8.79395833333333</v>
      </c>
    </row>
    <row r="3192" customFormat="false" ht="15" hidden="false" customHeight="false" outlineLevel="0" collapsed="false">
      <c r="A3192" s="28" t="n">
        <v>2023</v>
      </c>
      <c r="B3192" s="28" t="s">
        <v>117</v>
      </c>
      <c r="C3192" s="28" t="s">
        <v>50</v>
      </c>
      <c r="D3192" s="28" t="n">
        <v>18</v>
      </c>
      <c r="E3192" s="29" t="n">
        <v>7698700</v>
      </c>
      <c r="F3192" s="30" t="n">
        <v>160.76</v>
      </c>
      <c r="G3192" s="31" t="n">
        <f aca="false">IFERROR(F3192/D3192,0)</f>
        <v>8.93111111111111</v>
      </c>
    </row>
    <row r="3193" customFormat="false" ht="15" hidden="false" customHeight="false" outlineLevel="0" collapsed="false">
      <c r="A3193" s="28" t="n">
        <v>2023</v>
      </c>
      <c r="B3193" s="28" t="s">
        <v>117</v>
      </c>
      <c r="C3193" s="28" t="s">
        <v>55</v>
      </c>
      <c r="D3193" s="28" t="n">
        <v>6</v>
      </c>
      <c r="E3193" s="29" t="n">
        <v>1011600</v>
      </c>
      <c r="F3193" s="30" t="n">
        <v>56.5</v>
      </c>
      <c r="G3193" s="31" t="n">
        <f aca="false">IFERROR(F3193/D3193,0)</f>
        <v>9.41666666666667</v>
      </c>
    </row>
    <row r="3194" customFormat="false" ht="15" hidden="false" customHeight="false" outlineLevel="0" collapsed="false">
      <c r="A3194" s="28" t="n">
        <v>2023</v>
      </c>
      <c r="B3194" s="28" t="s">
        <v>117</v>
      </c>
      <c r="C3194" s="28" t="s">
        <v>51</v>
      </c>
      <c r="D3194" s="28" t="n">
        <v>11</v>
      </c>
      <c r="E3194" s="29" t="n">
        <v>5270200</v>
      </c>
      <c r="F3194" s="30" t="n">
        <v>96.45</v>
      </c>
      <c r="G3194" s="31" t="n">
        <f aca="false">IFERROR(F3194/D3194,0)</f>
        <v>8.76818181818182</v>
      </c>
    </row>
    <row r="3195" customFormat="false" ht="15" hidden="false" customHeight="false" outlineLevel="0" collapsed="false">
      <c r="A3195" s="28" t="n">
        <v>2023</v>
      </c>
      <c r="B3195" s="28" t="s">
        <v>117</v>
      </c>
      <c r="C3195" s="28" t="s">
        <v>45</v>
      </c>
      <c r="D3195" s="28" t="n">
        <v>33</v>
      </c>
      <c r="E3195" s="29" t="n">
        <v>9294300</v>
      </c>
      <c r="F3195" s="30" t="n">
        <v>311.97</v>
      </c>
      <c r="G3195" s="31" t="n">
        <f aca="false">IFERROR(F3195/D3195,0)</f>
        <v>9.45363636363637</v>
      </c>
    </row>
    <row r="3196" customFormat="false" ht="15" hidden="false" customHeight="false" outlineLevel="0" collapsed="false">
      <c r="A3196" s="28" t="n">
        <v>2023</v>
      </c>
      <c r="B3196" s="28" t="s">
        <v>117</v>
      </c>
      <c r="C3196" s="28" t="s">
        <v>56</v>
      </c>
      <c r="D3196" s="28" t="n">
        <v>8</v>
      </c>
      <c r="E3196" s="29" t="n">
        <v>1514300</v>
      </c>
      <c r="F3196" s="30" t="n">
        <v>71.25</v>
      </c>
      <c r="G3196" s="31" t="n">
        <f aca="false">IFERROR(F3196/D3196,0)</f>
        <v>8.90625</v>
      </c>
    </row>
    <row r="3197" customFormat="false" ht="15" hidden="false" customHeight="false" outlineLevel="0" collapsed="false">
      <c r="A3197" s="28" t="n">
        <v>2023</v>
      </c>
      <c r="B3197" s="28" t="s">
        <v>117</v>
      </c>
      <c r="C3197" s="28" t="s">
        <v>54</v>
      </c>
      <c r="D3197" s="28" t="n">
        <v>8</v>
      </c>
      <c r="E3197" s="29" t="n">
        <v>3687800</v>
      </c>
      <c r="F3197" s="30" t="n">
        <v>73.84</v>
      </c>
      <c r="G3197" s="31" t="n">
        <f aca="false">IFERROR(F3197/D3197,0)</f>
        <v>9.23</v>
      </c>
    </row>
    <row r="3198" customFormat="false" ht="15" hidden="false" customHeight="false" outlineLevel="0" collapsed="false">
      <c r="A3198" s="28" t="n">
        <v>2023</v>
      </c>
      <c r="B3198" s="28" t="s">
        <v>117</v>
      </c>
      <c r="C3198" s="28" t="s">
        <v>44</v>
      </c>
      <c r="D3198" s="28" t="n">
        <v>31</v>
      </c>
      <c r="E3198" s="29" t="n">
        <v>13871200</v>
      </c>
      <c r="F3198" s="30" t="n">
        <v>261.09</v>
      </c>
      <c r="G3198" s="31" t="n">
        <f aca="false">IFERROR(F3198/D3198,0)</f>
        <v>8.42225806451613</v>
      </c>
    </row>
    <row r="3199" customFormat="false" ht="15" hidden="false" customHeight="false" outlineLevel="0" collapsed="false">
      <c r="A3199" s="28" t="n">
        <v>2023</v>
      </c>
      <c r="B3199" s="28" t="s">
        <v>117</v>
      </c>
      <c r="C3199" s="28" t="s">
        <v>57</v>
      </c>
      <c r="D3199" s="28" t="n">
        <v>1</v>
      </c>
      <c r="E3199" s="29" t="n">
        <v>15000</v>
      </c>
      <c r="F3199" s="30" t="n">
        <v>8.74</v>
      </c>
      <c r="G3199" s="31" t="n">
        <f aca="false">IFERROR(F3199/D3199,0)</f>
        <v>8.74</v>
      </c>
    </row>
    <row r="3200" customFormat="false" ht="15" hidden="false" customHeight="false" outlineLevel="0" collapsed="false">
      <c r="A3200" s="28" t="n">
        <v>2023</v>
      </c>
      <c r="B3200" s="28" t="s">
        <v>117</v>
      </c>
      <c r="C3200" s="28" t="s">
        <v>47</v>
      </c>
      <c r="D3200" s="28" t="n">
        <v>16</v>
      </c>
      <c r="E3200" s="29" t="n">
        <v>5802000</v>
      </c>
      <c r="F3200" s="30" t="n">
        <v>134.84</v>
      </c>
      <c r="G3200" s="31" t="n">
        <f aca="false">IFERROR(F3200/D3200,0)</f>
        <v>8.4275</v>
      </c>
    </row>
    <row r="3201" customFormat="false" ht="15" hidden="false" customHeight="false" outlineLevel="0" collapsed="false">
      <c r="A3201" s="28" t="n">
        <v>2023</v>
      </c>
      <c r="B3201" s="28" t="s">
        <v>117</v>
      </c>
      <c r="C3201" s="28" t="s">
        <v>46</v>
      </c>
      <c r="D3201" s="28" t="n">
        <v>32</v>
      </c>
      <c r="E3201" s="29" t="n">
        <v>6302300</v>
      </c>
      <c r="F3201" s="30" t="n">
        <v>292.82</v>
      </c>
      <c r="G3201" s="31" t="n">
        <f aca="false">IFERROR(F3201/D3201,0)</f>
        <v>9.150625</v>
      </c>
    </row>
    <row r="3202" customFormat="false" ht="15" hidden="false" customHeight="false" outlineLevel="0" collapsed="false">
      <c r="A3202" s="28" t="n">
        <v>2023</v>
      </c>
      <c r="B3202" s="28" t="s">
        <v>117</v>
      </c>
      <c r="C3202" s="28" t="s">
        <v>48</v>
      </c>
      <c r="D3202" s="28" t="n">
        <v>17</v>
      </c>
      <c r="E3202" s="29" t="n">
        <v>7779300</v>
      </c>
      <c r="F3202" s="30" t="n">
        <v>154.25</v>
      </c>
      <c r="G3202" s="31" t="n">
        <f aca="false">IFERROR(F3202/D3202,0)</f>
        <v>9.07352941176471</v>
      </c>
    </row>
    <row r="3203" customFormat="false" ht="15" hidden="false" customHeight="false" outlineLevel="0" collapsed="false">
      <c r="A3203" s="28" t="n">
        <v>2023</v>
      </c>
      <c r="B3203" s="28" t="s">
        <v>117</v>
      </c>
      <c r="C3203" s="28" t="s">
        <v>53</v>
      </c>
      <c r="D3203" s="28" t="n">
        <v>6</v>
      </c>
      <c r="E3203" s="29" t="n">
        <v>4920100</v>
      </c>
      <c r="F3203" s="30" t="n">
        <v>48.24</v>
      </c>
      <c r="G3203" s="31" t="n">
        <f aca="false">IFERROR(F3203/D3203,0)</f>
        <v>8.04</v>
      </c>
    </row>
    <row r="3204" customFormat="false" ht="15" hidden="false" customHeight="false" outlineLevel="0" collapsed="false">
      <c r="A3204" s="28" t="n">
        <v>2023</v>
      </c>
      <c r="B3204" s="28" t="s">
        <v>117</v>
      </c>
      <c r="C3204" s="28" t="s">
        <v>43</v>
      </c>
      <c r="D3204" s="28" t="n">
        <v>34</v>
      </c>
      <c r="E3204" s="29" t="n">
        <v>10070700</v>
      </c>
      <c r="F3204" s="30" t="n">
        <v>305.165</v>
      </c>
      <c r="G3204" s="31" t="n">
        <f aca="false">IFERROR(F3204/D3204,0)</f>
        <v>8.97544117647059</v>
      </c>
    </row>
    <row r="3205" customFormat="false" ht="15" hidden="false" customHeight="false" outlineLevel="0" collapsed="false">
      <c r="A3205" s="28" t="n">
        <v>2023</v>
      </c>
      <c r="B3205" s="28" t="s">
        <v>117</v>
      </c>
      <c r="C3205" s="28" t="s">
        <v>52</v>
      </c>
      <c r="D3205" s="28" t="n">
        <v>13</v>
      </c>
      <c r="E3205" s="29" t="n">
        <v>3474200</v>
      </c>
      <c r="F3205" s="30" t="n">
        <v>117.49</v>
      </c>
      <c r="G3205" s="31" t="n">
        <f aca="false">IFERROR(F3205/D3205,0)</f>
        <v>9.03769230769231</v>
      </c>
    </row>
    <row r="3206" customFormat="false" ht="15" hidden="false" customHeight="false" outlineLevel="0" collapsed="false">
      <c r="A3206" s="28" t="n">
        <v>2023</v>
      </c>
      <c r="B3206" s="28" t="s">
        <v>117</v>
      </c>
      <c r="C3206" s="28" t="s">
        <v>49</v>
      </c>
      <c r="D3206" s="28" t="n">
        <v>12</v>
      </c>
      <c r="E3206" s="29" t="n">
        <v>6226200</v>
      </c>
      <c r="F3206" s="30" t="n">
        <v>115.79</v>
      </c>
      <c r="G3206" s="31" t="n">
        <f aca="false">IFERROR(F3206/D3206,0)</f>
        <v>9.64916666666667</v>
      </c>
    </row>
    <row r="3207" customFormat="false" ht="15" hidden="false" customHeight="false" outlineLevel="0" collapsed="false">
      <c r="A3207" s="28" t="n">
        <v>2023</v>
      </c>
      <c r="B3207" s="28" t="s">
        <v>118</v>
      </c>
      <c r="C3207" s="28" t="s">
        <v>42</v>
      </c>
      <c r="D3207" s="28" t="n">
        <v>41</v>
      </c>
      <c r="E3207" s="29" t="n">
        <v>17073000</v>
      </c>
      <c r="F3207" s="30" t="n">
        <v>367.49</v>
      </c>
      <c r="G3207" s="31" t="n">
        <f aca="false">IFERROR(F3207/D3207,0)</f>
        <v>8.96317073170732</v>
      </c>
    </row>
    <row r="3208" customFormat="false" ht="15" hidden="false" customHeight="false" outlineLevel="0" collapsed="false">
      <c r="A3208" s="28" t="n">
        <v>2023</v>
      </c>
      <c r="B3208" s="28" t="s">
        <v>118</v>
      </c>
      <c r="C3208" s="28" t="s">
        <v>50</v>
      </c>
      <c r="D3208" s="28" t="n">
        <v>22</v>
      </c>
      <c r="E3208" s="29" t="n">
        <v>3513400</v>
      </c>
      <c r="F3208" s="30" t="n">
        <v>225.105</v>
      </c>
      <c r="G3208" s="31" t="n">
        <f aca="false">IFERROR(F3208/D3208,0)</f>
        <v>10.2320454545455</v>
      </c>
    </row>
    <row r="3209" customFormat="false" ht="15" hidden="false" customHeight="false" outlineLevel="0" collapsed="false">
      <c r="A3209" s="28" t="n">
        <v>2023</v>
      </c>
      <c r="B3209" s="28" t="s">
        <v>118</v>
      </c>
      <c r="C3209" s="28" t="s">
        <v>55</v>
      </c>
      <c r="D3209" s="28" t="n">
        <v>2</v>
      </c>
      <c r="E3209" s="29" t="n">
        <v>115000</v>
      </c>
      <c r="F3209" s="30" t="n">
        <v>23.3</v>
      </c>
      <c r="G3209" s="31" t="n">
        <f aca="false">IFERROR(F3209/D3209,0)</f>
        <v>11.65</v>
      </c>
    </row>
    <row r="3210" customFormat="false" ht="15" hidden="false" customHeight="false" outlineLevel="0" collapsed="false">
      <c r="A3210" s="28" t="n">
        <v>2023</v>
      </c>
      <c r="B3210" s="28" t="s">
        <v>118</v>
      </c>
      <c r="C3210" s="28" t="s">
        <v>51</v>
      </c>
      <c r="D3210" s="28" t="n">
        <v>18</v>
      </c>
      <c r="E3210" s="29" t="n">
        <v>5246100</v>
      </c>
      <c r="F3210" s="30" t="n">
        <v>174.84</v>
      </c>
      <c r="G3210" s="31" t="n">
        <f aca="false">IFERROR(F3210/D3210,0)</f>
        <v>9.71333333333333</v>
      </c>
    </row>
    <row r="3211" customFormat="false" ht="15" hidden="false" customHeight="false" outlineLevel="0" collapsed="false">
      <c r="A3211" s="28" t="n">
        <v>2023</v>
      </c>
      <c r="B3211" s="28" t="s">
        <v>118</v>
      </c>
      <c r="C3211" s="28" t="s">
        <v>45</v>
      </c>
      <c r="D3211" s="28" t="n">
        <v>72</v>
      </c>
      <c r="E3211" s="29" t="n">
        <v>6490500</v>
      </c>
      <c r="F3211" s="30" t="n">
        <v>764.465</v>
      </c>
      <c r="G3211" s="31" t="n">
        <f aca="false">IFERROR(F3211/D3211,0)</f>
        <v>10.6175694444444</v>
      </c>
    </row>
    <row r="3212" customFormat="false" ht="15" hidden="false" customHeight="false" outlineLevel="0" collapsed="false">
      <c r="A3212" s="28" t="n">
        <v>2023</v>
      </c>
      <c r="B3212" s="28" t="s">
        <v>118</v>
      </c>
      <c r="C3212" s="28" t="s">
        <v>56</v>
      </c>
      <c r="D3212" s="28" t="n">
        <v>8</v>
      </c>
      <c r="E3212" s="29" t="n">
        <v>953100</v>
      </c>
      <c r="F3212" s="30" t="n">
        <v>80.24</v>
      </c>
      <c r="G3212" s="31" t="n">
        <f aca="false">IFERROR(F3212/D3212,0)</f>
        <v>10.03</v>
      </c>
    </row>
    <row r="3213" customFormat="false" ht="15" hidden="false" customHeight="false" outlineLevel="0" collapsed="false">
      <c r="A3213" s="28" t="n">
        <v>2023</v>
      </c>
      <c r="B3213" s="28" t="s">
        <v>118</v>
      </c>
      <c r="C3213" s="28" t="s">
        <v>54</v>
      </c>
      <c r="D3213" s="28" t="n">
        <v>6</v>
      </c>
      <c r="E3213" s="29" t="n">
        <v>574000</v>
      </c>
      <c r="F3213" s="30" t="n">
        <v>68.34</v>
      </c>
      <c r="G3213" s="31" t="n">
        <f aca="false">IFERROR(F3213/D3213,0)</f>
        <v>11.39</v>
      </c>
    </row>
    <row r="3214" customFormat="false" ht="15" hidden="false" customHeight="false" outlineLevel="0" collapsed="false">
      <c r="A3214" s="28" t="n">
        <v>2023</v>
      </c>
      <c r="B3214" s="28" t="s">
        <v>118</v>
      </c>
      <c r="C3214" s="28" t="s">
        <v>44</v>
      </c>
      <c r="D3214" s="28" t="n">
        <v>27</v>
      </c>
      <c r="E3214" s="29" t="n">
        <v>10346800</v>
      </c>
      <c r="F3214" s="30" t="n">
        <v>266.91</v>
      </c>
      <c r="G3214" s="31" t="n">
        <f aca="false">IFERROR(F3214/D3214,0)</f>
        <v>9.88555555555556</v>
      </c>
    </row>
    <row r="3215" customFormat="false" ht="15" hidden="false" customHeight="false" outlineLevel="0" collapsed="false">
      <c r="A3215" s="28" t="n">
        <v>2023</v>
      </c>
      <c r="B3215" s="28" t="s">
        <v>118</v>
      </c>
      <c r="C3215" s="28" t="s">
        <v>57</v>
      </c>
      <c r="D3215" s="28" t="n">
        <v>1</v>
      </c>
      <c r="E3215" s="29" t="n">
        <v>60000</v>
      </c>
      <c r="F3215" s="30" t="n">
        <v>9</v>
      </c>
      <c r="G3215" s="31" t="n">
        <f aca="false">IFERROR(F3215/D3215,0)</f>
        <v>9</v>
      </c>
    </row>
    <row r="3216" customFormat="false" ht="15" hidden="false" customHeight="false" outlineLevel="0" collapsed="false">
      <c r="A3216" s="28" t="n">
        <v>2023</v>
      </c>
      <c r="B3216" s="28" t="s">
        <v>118</v>
      </c>
      <c r="C3216" s="28" t="s">
        <v>47</v>
      </c>
      <c r="D3216" s="28" t="n">
        <v>32</v>
      </c>
      <c r="E3216" s="29" t="n">
        <v>10700400</v>
      </c>
      <c r="F3216" s="30" t="n">
        <v>293.475</v>
      </c>
      <c r="G3216" s="31" t="n">
        <f aca="false">IFERROR(F3216/D3216,0)</f>
        <v>9.17109375</v>
      </c>
    </row>
    <row r="3217" customFormat="false" ht="15" hidden="false" customHeight="false" outlineLevel="0" collapsed="false">
      <c r="A3217" s="28" t="n">
        <v>2023</v>
      </c>
      <c r="B3217" s="28" t="s">
        <v>118</v>
      </c>
      <c r="C3217" s="28" t="s">
        <v>46</v>
      </c>
      <c r="D3217" s="28" t="n">
        <v>32</v>
      </c>
      <c r="E3217" s="29" t="n">
        <v>8458200</v>
      </c>
      <c r="F3217" s="30" t="n">
        <v>330.76</v>
      </c>
      <c r="G3217" s="31" t="n">
        <f aca="false">IFERROR(F3217/D3217,0)</f>
        <v>10.33625</v>
      </c>
    </row>
    <row r="3218" customFormat="false" ht="15" hidden="false" customHeight="false" outlineLevel="0" collapsed="false">
      <c r="A3218" s="28" t="n">
        <v>2023</v>
      </c>
      <c r="B3218" s="28" t="s">
        <v>118</v>
      </c>
      <c r="C3218" s="28" t="s">
        <v>48</v>
      </c>
      <c r="D3218" s="28" t="n">
        <v>38</v>
      </c>
      <c r="E3218" s="29" t="n">
        <v>4818500</v>
      </c>
      <c r="F3218" s="30" t="n">
        <v>366.995</v>
      </c>
      <c r="G3218" s="31" t="n">
        <f aca="false">IFERROR(F3218/D3218,0)</f>
        <v>9.65776315789474</v>
      </c>
    </row>
    <row r="3219" customFormat="false" ht="15" hidden="false" customHeight="false" outlineLevel="0" collapsed="false">
      <c r="A3219" s="28" t="n">
        <v>2023</v>
      </c>
      <c r="B3219" s="28" t="s">
        <v>118</v>
      </c>
      <c r="C3219" s="28" t="s">
        <v>53</v>
      </c>
      <c r="D3219" s="28" t="n">
        <v>7</v>
      </c>
      <c r="E3219" s="29" t="n">
        <v>1604000</v>
      </c>
      <c r="F3219" s="30" t="n">
        <v>50.98</v>
      </c>
      <c r="G3219" s="31" t="n">
        <f aca="false">IFERROR(F3219/D3219,0)</f>
        <v>7.28285714285714</v>
      </c>
    </row>
    <row r="3220" customFormat="false" ht="15" hidden="false" customHeight="false" outlineLevel="0" collapsed="false">
      <c r="A3220" s="28" t="n">
        <v>2023</v>
      </c>
      <c r="B3220" s="28" t="s">
        <v>118</v>
      </c>
      <c r="C3220" s="28" t="s">
        <v>43</v>
      </c>
      <c r="D3220" s="28" t="n">
        <v>39</v>
      </c>
      <c r="E3220" s="29" t="n">
        <v>11362800</v>
      </c>
      <c r="F3220" s="30" t="n">
        <v>396.6</v>
      </c>
      <c r="G3220" s="31" t="n">
        <f aca="false">IFERROR(F3220/D3220,0)</f>
        <v>10.1692307692308</v>
      </c>
    </row>
    <row r="3221" customFormat="false" ht="15" hidden="false" customHeight="false" outlineLevel="0" collapsed="false">
      <c r="A3221" s="28" t="n">
        <v>2023</v>
      </c>
      <c r="B3221" s="28" t="s">
        <v>118</v>
      </c>
      <c r="C3221" s="28" t="s">
        <v>52</v>
      </c>
      <c r="D3221" s="28" t="n">
        <v>11</v>
      </c>
      <c r="E3221" s="29" t="n">
        <v>2906700</v>
      </c>
      <c r="F3221" s="30" t="n">
        <v>106.14</v>
      </c>
      <c r="G3221" s="31" t="n">
        <f aca="false">IFERROR(F3221/D3221,0)</f>
        <v>9.64909090909091</v>
      </c>
    </row>
    <row r="3222" customFormat="false" ht="15" hidden="false" customHeight="false" outlineLevel="0" collapsed="false">
      <c r="A3222" s="28" t="n">
        <v>2023</v>
      </c>
      <c r="B3222" s="28" t="s">
        <v>118</v>
      </c>
      <c r="C3222" s="28" t="s">
        <v>49</v>
      </c>
      <c r="D3222" s="28" t="n">
        <v>11</v>
      </c>
      <c r="E3222" s="29" t="n">
        <v>5104600</v>
      </c>
      <c r="F3222" s="30" t="n">
        <v>99.38</v>
      </c>
      <c r="G3222" s="31" t="n">
        <f aca="false">IFERROR(F3222/D3222,0)</f>
        <v>9.03454545454545</v>
      </c>
    </row>
    <row r="3223" customFormat="false" ht="15" hidden="false" customHeight="false" outlineLevel="0" collapsed="false">
      <c r="A3223" s="28" t="n">
        <v>2023</v>
      </c>
      <c r="B3223" s="28" t="s">
        <v>91</v>
      </c>
      <c r="C3223" s="28" t="s">
        <v>42</v>
      </c>
      <c r="D3223" s="28" t="n">
        <v>237</v>
      </c>
      <c r="E3223" s="29" t="n">
        <v>150936100</v>
      </c>
      <c r="F3223" s="30" t="n">
        <v>2513.99</v>
      </c>
      <c r="G3223" s="31" t="n">
        <f aca="false">IFERROR(F3223/D3223,0)</f>
        <v>10.607552742616</v>
      </c>
    </row>
    <row r="3224" customFormat="false" ht="15" hidden="false" customHeight="false" outlineLevel="0" collapsed="false">
      <c r="A3224" s="28" t="n">
        <v>2023</v>
      </c>
      <c r="B3224" s="28" t="s">
        <v>91</v>
      </c>
      <c r="C3224" s="28" t="s">
        <v>50</v>
      </c>
      <c r="D3224" s="28" t="n">
        <v>131</v>
      </c>
      <c r="E3224" s="29" t="n">
        <v>34445400</v>
      </c>
      <c r="F3224" s="30" t="n">
        <v>1475.93</v>
      </c>
      <c r="G3224" s="31" t="n">
        <f aca="false">IFERROR(F3224/D3224,0)</f>
        <v>11.266641221374</v>
      </c>
    </row>
    <row r="3225" customFormat="false" ht="15" hidden="false" customHeight="false" outlineLevel="0" collapsed="false">
      <c r="A3225" s="28" t="n">
        <v>2023</v>
      </c>
      <c r="B3225" s="28" t="s">
        <v>91</v>
      </c>
      <c r="C3225" s="28" t="s">
        <v>55</v>
      </c>
      <c r="D3225" s="28" t="n">
        <v>3</v>
      </c>
      <c r="E3225" s="29" t="n">
        <v>90500</v>
      </c>
      <c r="F3225" s="30" t="n">
        <v>36.55</v>
      </c>
      <c r="G3225" s="31" t="n">
        <f aca="false">IFERROR(F3225/D3225,0)</f>
        <v>12.1833333333333</v>
      </c>
    </row>
    <row r="3226" customFormat="false" ht="15" hidden="false" customHeight="false" outlineLevel="0" collapsed="false">
      <c r="A3226" s="28" t="n">
        <v>2023</v>
      </c>
      <c r="B3226" s="28" t="s">
        <v>91</v>
      </c>
      <c r="C3226" s="28" t="s">
        <v>51</v>
      </c>
      <c r="D3226" s="28" t="n">
        <v>62</v>
      </c>
      <c r="E3226" s="29" t="n">
        <v>35819200</v>
      </c>
      <c r="F3226" s="30" t="n">
        <v>681.39</v>
      </c>
      <c r="G3226" s="31" t="n">
        <f aca="false">IFERROR(F3226/D3226,0)</f>
        <v>10.9901612903226</v>
      </c>
    </row>
    <row r="3227" customFormat="false" ht="15" hidden="false" customHeight="false" outlineLevel="0" collapsed="false">
      <c r="A3227" s="28" t="n">
        <v>2023</v>
      </c>
      <c r="B3227" s="28" t="s">
        <v>91</v>
      </c>
      <c r="C3227" s="28" t="s">
        <v>45</v>
      </c>
      <c r="D3227" s="28" t="n">
        <v>306</v>
      </c>
      <c r="E3227" s="29" t="n">
        <v>87911300</v>
      </c>
      <c r="F3227" s="30" t="n">
        <v>3438.743</v>
      </c>
      <c r="G3227" s="31" t="n">
        <f aca="false">IFERROR(F3227/D3227,0)</f>
        <v>11.2377222222222</v>
      </c>
    </row>
    <row r="3228" customFormat="false" ht="15" hidden="false" customHeight="false" outlineLevel="0" collapsed="false">
      <c r="A3228" s="28" t="n">
        <v>2023</v>
      </c>
      <c r="B3228" s="28" t="s">
        <v>91</v>
      </c>
      <c r="C3228" s="28" t="s">
        <v>56</v>
      </c>
      <c r="D3228" s="28" t="n">
        <v>25</v>
      </c>
      <c r="E3228" s="29" t="n">
        <v>5649500</v>
      </c>
      <c r="F3228" s="30" t="n">
        <v>292.1</v>
      </c>
      <c r="G3228" s="31" t="n">
        <f aca="false">IFERROR(F3228/D3228,0)</f>
        <v>11.684</v>
      </c>
    </row>
    <row r="3229" customFormat="false" ht="15" hidden="false" customHeight="false" outlineLevel="0" collapsed="false">
      <c r="A3229" s="28" t="n">
        <v>2023</v>
      </c>
      <c r="B3229" s="28" t="s">
        <v>91</v>
      </c>
      <c r="C3229" s="28" t="s">
        <v>54</v>
      </c>
      <c r="D3229" s="28" t="n">
        <v>35</v>
      </c>
      <c r="E3229" s="29" t="n">
        <v>20358700</v>
      </c>
      <c r="F3229" s="30" t="n">
        <v>362.14</v>
      </c>
      <c r="G3229" s="31" t="n">
        <f aca="false">IFERROR(F3229/D3229,0)</f>
        <v>10.3468571428571</v>
      </c>
    </row>
    <row r="3230" customFormat="false" ht="15" hidden="false" customHeight="false" outlineLevel="0" collapsed="false">
      <c r="A3230" s="28" t="n">
        <v>2023</v>
      </c>
      <c r="B3230" s="28" t="s">
        <v>91</v>
      </c>
      <c r="C3230" s="28" t="s">
        <v>44</v>
      </c>
      <c r="D3230" s="28" t="n">
        <v>137</v>
      </c>
      <c r="E3230" s="29" t="n">
        <v>80721300</v>
      </c>
      <c r="F3230" s="30" t="n">
        <v>1352.373</v>
      </c>
      <c r="G3230" s="31" t="n">
        <f aca="false">IFERROR(F3230/D3230,0)</f>
        <v>9.87133576642336</v>
      </c>
    </row>
    <row r="3231" customFormat="false" ht="15" hidden="false" customHeight="false" outlineLevel="0" collapsed="false">
      <c r="A3231" s="28" t="n">
        <v>2023</v>
      </c>
      <c r="B3231" s="28" t="s">
        <v>91</v>
      </c>
      <c r="C3231" s="28" t="s">
        <v>57</v>
      </c>
      <c r="D3231" s="28" t="n">
        <v>20</v>
      </c>
      <c r="E3231" s="29" t="n">
        <v>4612900</v>
      </c>
      <c r="F3231" s="30" t="n">
        <v>239.7</v>
      </c>
      <c r="G3231" s="31" t="n">
        <f aca="false">IFERROR(F3231/D3231,0)</f>
        <v>11.985</v>
      </c>
    </row>
    <row r="3232" customFormat="false" ht="15" hidden="false" customHeight="false" outlineLevel="0" collapsed="false">
      <c r="A3232" s="28" t="n">
        <v>2023</v>
      </c>
      <c r="B3232" s="28" t="s">
        <v>91</v>
      </c>
      <c r="C3232" s="28" t="s">
        <v>47</v>
      </c>
      <c r="D3232" s="28" t="n">
        <v>95</v>
      </c>
      <c r="E3232" s="29" t="n">
        <v>54151100</v>
      </c>
      <c r="F3232" s="30" t="n">
        <v>983.5312</v>
      </c>
      <c r="G3232" s="31" t="n">
        <f aca="false">IFERROR(F3232/D3232,0)</f>
        <v>10.35296</v>
      </c>
    </row>
    <row r="3233" customFormat="false" ht="15" hidden="false" customHeight="false" outlineLevel="0" collapsed="false">
      <c r="A3233" s="28" t="n">
        <v>2023</v>
      </c>
      <c r="B3233" s="28" t="s">
        <v>91</v>
      </c>
      <c r="C3233" s="28" t="s">
        <v>46</v>
      </c>
      <c r="D3233" s="28" t="n">
        <v>189</v>
      </c>
      <c r="E3233" s="29" t="n">
        <v>62250100</v>
      </c>
      <c r="F3233" s="30" t="n">
        <v>2103.41</v>
      </c>
      <c r="G3233" s="31" t="n">
        <f aca="false">IFERROR(F3233/D3233,0)</f>
        <v>11.1291534391534</v>
      </c>
    </row>
    <row r="3234" customFormat="false" ht="15" hidden="false" customHeight="false" outlineLevel="0" collapsed="false">
      <c r="A3234" s="28" t="n">
        <v>2023</v>
      </c>
      <c r="B3234" s="28" t="s">
        <v>91</v>
      </c>
      <c r="C3234" s="28" t="s">
        <v>48</v>
      </c>
      <c r="D3234" s="28" t="n">
        <v>196</v>
      </c>
      <c r="E3234" s="29" t="n">
        <v>70303400</v>
      </c>
      <c r="F3234" s="30" t="n">
        <v>2159.782</v>
      </c>
      <c r="G3234" s="31" t="n">
        <f aca="false">IFERROR(F3234/D3234,0)</f>
        <v>11.0192959183673</v>
      </c>
    </row>
    <row r="3235" customFormat="false" ht="15" hidden="false" customHeight="false" outlineLevel="0" collapsed="false">
      <c r="A3235" s="28" t="n">
        <v>2023</v>
      </c>
      <c r="B3235" s="28" t="s">
        <v>91</v>
      </c>
      <c r="C3235" s="28" t="s">
        <v>61</v>
      </c>
      <c r="D3235" s="28" t="n">
        <v>1</v>
      </c>
      <c r="E3235" s="29" t="n">
        <v>462000</v>
      </c>
      <c r="F3235" s="30" t="n">
        <v>11.5</v>
      </c>
      <c r="G3235" s="31" t="n">
        <f aca="false">IFERROR(F3235/D3235,0)</f>
        <v>11.5</v>
      </c>
    </row>
    <row r="3236" customFormat="false" ht="15" hidden="false" customHeight="false" outlineLevel="0" collapsed="false">
      <c r="A3236" s="28" t="n">
        <v>2023</v>
      </c>
      <c r="B3236" s="28" t="s">
        <v>91</v>
      </c>
      <c r="C3236" s="28" t="s">
        <v>53</v>
      </c>
      <c r="D3236" s="28" t="n">
        <v>37</v>
      </c>
      <c r="E3236" s="29" t="n">
        <v>18228200</v>
      </c>
      <c r="F3236" s="30" t="n">
        <v>394.87</v>
      </c>
      <c r="G3236" s="31" t="n">
        <f aca="false">IFERROR(F3236/D3236,0)</f>
        <v>10.6721621621622</v>
      </c>
    </row>
    <row r="3237" customFormat="false" ht="15" hidden="false" customHeight="false" outlineLevel="0" collapsed="false">
      <c r="A3237" s="28" t="n">
        <v>2023</v>
      </c>
      <c r="B3237" s="28" t="s">
        <v>91</v>
      </c>
      <c r="C3237" s="28" t="s">
        <v>43</v>
      </c>
      <c r="D3237" s="28" t="n">
        <v>237</v>
      </c>
      <c r="E3237" s="29" t="n">
        <v>141557400</v>
      </c>
      <c r="F3237" s="30" t="n">
        <v>2577.12</v>
      </c>
      <c r="G3237" s="31" t="n">
        <f aca="false">IFERROR(F3237/D3237,0)</f>
        <v>10.8739240506329</v>
      </c>
    </row>
    <row r="3238" customFormat="false" ht="15" hidden="false" customHeight="false" outlineLevel="0" collapsed="false">
      <c r="A3238" s="28" t="n">
        <v>2023</v>
      </c>
      <c r="B3238" s="28" t="s">
        <v>91</v>
      </c>
      <c r="C3238" s="28" t="s">
        <v>52</v>
      </c>
      <c r="D3238" s="28" t="n">
        <v>169</v>
      </c>
      <c r="E3238" s="29" t="n">
        <v>30665300</v>
      </c>
      <c r="F3238" s="30" t="n">
        <v>1978.776</v>
      </c>
      <c r="G3238" s="31" t="n">
        <f aca="false">IFERROR(F3238/D3238,0)</f>
        <v>11.7087337278107</v>
      </c>
    </row>
    <row r="3239" customFormat="false" ht="15" hidden="false" customHeight="false" outlineLevel="0" collapsed="false">
      <c r="A3239" s="28" t="n">
        <v>2023</v>
      </c>
      <c r="B3239" s="28" t="s">
        <v>91</v>
      </c>
      <c r="C3239" s="28" t="s">
        <v>49</v>
      </c>
      <c r="D3239" s="28" t="n">
        <v>129</v>
      </c>
      <c r="E3239" s="29" t="n">
        <v>60259200</v>
      </c>
      <c r="F3239" s="30" t="n">
        <v>1405.39</v>
      </c>
      <c r="G3239" s="31" t="n">
        <f aca="false">IFERROR(F3239/D3239,0)</f>
        <v>10.894496124031</v>
      </c>
    </row>
    <row r="3240" customFormat="false" ht="15" hidden="false" customHeight="false" outlineLevel="0" collapsed="false">
      <c r="A3240" s="28" t="n">
        <v>2023</v>
      </c>
      <c r="B3240" s="28" t="s">
        <v>119</v>
      </c>
      <c r="C3240" s="28" t="s">
        <v>42</v>
      </c>
      <c r="D3240" s="28" t="n">
        <v>34</v>
      </c>
      <c r="E3240" s="29" t="n">
        <v>43379000</v>
      </c>
      <c r="F3240" s="30" t="n">
        <v>335.02</v>
      </c>
      <c r="G3240" s="31" t="n">
        <f aca="false">IFERROR(F3240/D3240,0)</f>
        <v>9.85352941176471</v>
      </c>
    </row>
    <row r="3241" customFormat="false" ht="15" hidden="false" customHeight="false" outlineLevel="0" collapsed="false">
      <c r="A3241" s="28" t="n">
        <v>2023</v>
      </c>
      <c r="B3241" s="28" t="s">
        <v>119</v>
      </c>
      <c r="C3241" s="28" t="s">
        <v>50</v>
      </c>
      <c r="D3241" s="28" t="n">
        <v>8</v>
      </c>
      <c r="E3241" s="29" t="n">
        <v>3823400</v>
      </c>
      <c r="F3241" s="30" t="n">
        <v>84.85</v>
      </c>
      <c r="G3241" s="31" t="n">
        <f aca="false">IFERROR(F3241/D3241,0)</f>
        <v>10.60625</v>
      </c>
    </row>
    <row r="3242" customFormat="false" ht="15" hidden="false" customHeight="false" outlineLevel="0" collapsed="false">
      <c r="A3242" s="28" t="n">
        <v>2023</v>
      </c>
      <c r="B3242" s="28" t="s">
        <v>119</v>
      </c>
      <c r="C3242" s="28" t="s">
        <v>51</v>
      </c>
      <c r="D3242" s="28" t="n">
        <v>6</v>
      </c>
      <c r="E3242" s="29" t="n">
        <v>3331000</v>
      </c>
      <c r="F3242" s="30" t="n">
        <v>63</v>
      </c>
      <c r="G3242" s="31" t="n">
        <f aca="false">IFERROR(F3242/D3242,0)</f>
        <v>10.5</v>
      </c>
    </row>
    <row r="3243" customFormat="false" ht="15" hidden="false" customHeight="false" outlineLevel="0" collapsed="false">
      <c r="A3243" s="28" t="n">
        <v>2023</v>
      </c>
      <c r="B3243" s="28" t="s">
        <v>119</v>
      </c>
      <c r="C3243" s="28" t="s">
        <v>45</v>
      </c>
      <c r="D3243" s="28" t="n">
        <v>18</v>
      </c>
      <c r="E3243" s="29" t="n">
        <v>4041900</v>
      </c>
      <c r="F3243" s="30" t="n">
        <v>182.95</v>
      </c>
      <c r="G3243" s="31" t="n">
        <f aca="false">IFERROR(F3243/D3243,0)</f>
        <v>10.1638888888889</v>
      </c>
    </row>
    <row r="3244" customFormat="false" ht="15" hidden="false" customHeight="false" outlineLevel="0" collapsed="false">
      <c r="A3244" s="28" t="n">
        <v>2023</v>
      </c>
      <c r="B3244" s="28" t="s">
        <v>119</v>
      </c>
      <c r="C3244" s="28" t="s">
        <v>56</v>
      </c>
      <c r="D3244" s="28" t="n">
        <v>1</v>
      </c>
      <c r="E3244" s="29" t="n">
        <v>423300</v>
      </c>
      <c r="F3244" s="30" t="n">
        <v>9.25</v>
      </c>
      <c r="G3244" s="31" t="n">
        <f aca="false">IFERROR(F3244/D3244,0)</f>
        <v>9.25</v>
      </c>
    </row>
    <row r="3245" customFormat="false" ht="15" hidden="false" customHeight="false" outlineLevel="0" collapsed="false">
      <c r="A3245" s="28" t="n">
        <v>2023</v>
      </c>
      <c r="B3245" s="28" t="s">
        <v>119</v>
      </c>
      <c r="C3245" s="28" t="s">
        <v>54</v>
      </c>
      <c r="D3245" s="28" t="n">
        <v>2</v>
      </c>
      <c r="E3245" s="29" t="n">
        <v>1067500</v>
      </c>
      <c r="F3245" s="30" t="n">
        <v>21.25</v>
      </c>
      <c r="G3245" s="31" t="n">
        <f aca="false">IFERROR(F3245/D3245,0)</f>
        <v>10.625</v>
      </c>
    </row>
    <row r="3246" customFormat="false" ht="15" hidden="false" customHeight="false" outlineLevel="0" collapsed="false">
      <c r="A3246" s="28" t="n">
        <v>2023</v>
      </c>
      <c r="B3246" s="28" t="s">
        <v>119</v>
      </c>
      <c r="C3246" s="28" t="s">
        <v>44</v>
      </c>
      <c r="D3246" s="28" t="n">
        <v>21</v>
      </c>
      <c r="E3246" s="29" t="n">
        <v>15653300</v>
      </c>
      <c r="F3246" s="30" t="n">
        <v>212.41</v>
      </c>
      <c r="G3246" s="31" t="n">
        <f aca="false">IFERROR(F3246/D3246,0)</f>
        <v>10.1147619047619</v>
      </c>
    </row>
    <row r="3247" customFormat="false" ht="15" hidden="false" customHeight="false" outlineLevel="0" collapsed="false">
      <c r="A3247" s="28" t="n">
        <v>2023</v>
      </c>
      <c r="B3247" s="28" t="s">
        <v>119</v>
      </c>
      <c r="C3247" s="28" t="s">
        <v>57</v>
      </c>
      <c r="D3247" s="28" t="n">
        <v>1</v>
      </c>
      <c r="E3247" s="29" t="n">
        <v>129000</v>
      </c>
      <c r="F3247" s="30" t="n">
        <v>10.25</v>
      </c>
      <c r="G3247" s="31" t="n">
        <f aca="false">IFERROR(F3247/D3247,0)</f>
        <v>10.25</v>
      </c>
    </row>
    <row r="3248" customFormat="false" ht="15" hidden="false" customHeight="false" outlineLevel="0" collapsed="false">
      <c r="A3248" s="28" t="n">
        <v>2023</v>
      </c>
      <c r="B3248" s="28" t="s">
        <v>119</v>
      </c>
      <c r="C3248" s="28" t="s">
        <v>47</v>
      </c>
      <c r="D3248" s="28" t="n">
        <v>11</v>
      </c>
      <c r="E3248" s="29" t="n">
        <v>6414900</v>
      </c>
      <c r="F3248" s="30" t="n">
        <v>113.5</v>
      </c>
      <c r="G3248" s="31" t="n">
        <f aca="false">IFERROR(F3248/D3248,0)</f>
        <v>10.3181818181818</v>
      </c>
    </row>
    <row r="3249" customFormat="false" ht="15" hidden="false" customHeight="false" outlineLevel="0" collapsed="false">
      <c r="A3249" s="28" t="n">
        <v>2023</v>
      </c>
      <c r="B3249" s="28" t="s">
        <v>119</v>
      </c>
      <c r="C3249" s="28" t="s">
        <v>58</v>
      </c>
      <c r="D3249" s="28" t="n">
        <v>12</v>
      </c>
      <c r="E3249" s="29" t="n">
        <v>5801100</v>
      </c>
      <c r="F3249" s="30" t="n">
        <v>112.428</v>
      </c>
      <c r="G3249" s="31" t="n">
        <f aca="false">IFERROR(F3249/D3249,0)</f>
        <v>9.369</v>
      </c>
    </row>
    <row r="3250" customFormat="false" ht="15" hidden="false" customHeight="false" outlineLevel="0" collapsed="false">
      <c r="A3250" s="28" t="n">
        <v>2023</v>
      </c>
      <c r="B3250" s="28" t="s">
        <v>119</v>
      </c>
      <c r="C3250" s="28" t="s">
        <v>46</v>
      </c>
      <c r="D3250" s="28" t="n">
        <v>12</v>
      </c>
      <c r="E3250" s="29" t="n">
        <v>4204500</v>
      </c>
      <c r="F3250" s="30" t="n">
        <v>120.14</v>
      </c>
      <c r="G3250" s="31" t="n">
        <f aca="false">IFERROR(F3250/D3250,0)</f>
        <v>10.0116666666667</v>
      </c>
    </row>
    <row r="3251" customFormat="false" ht="15" hidden="false" customHeight="false" outlineLevel="0" collapsed="false">
      <c r="A3251" s="28" t="n">
        <v>2023</v>
      </c>
      <c r="B3251" s="28" t="s">
        <v>119</v>
      </c>
      <c r="C3251" s="28" t="s">
        <v>48</v>
      </c>
      <c r="D3251" s="28" t="n">
        <v>19</v>
      </c>
      <c r="E3251" s="29" t="n">
        <v>12119900</v>
      </c>
      <c r="F3251" s="30" t="n">
        <v>184.69</v>
      </c>
      <c r="G3251" s="31" t="n">
        <f aca="false">IFERROR(F3251/D3251,0)</f>
        <v>9.72052631578947</v>
      </c>
    </row>
    <row r="3252" customFormat="false" ht="15" hidden="false" customHeight="false" outlineLevel="0" collapsed="false">
      <c r="A3252" s="28" t="n">
        <v>2023</v>
      </c>
      <c r="B3252" s="28" t="s">
        <v>119</v>
      </c>
      <c r="C3252" s="28" t="s">
        <v>53</v>
      </c>
      <c r="D3252" s="28" t="n">
        <v>6</v>
      </c>
      <c r="E3252" s="29" t="n">
        <v>2777000</v>
      </c>
      <c r="F3252" s="30" t="n">
        <v>54.46</v>
      </c>
      <c r="G3252" s="31" t="n">
        <f aca="false">IFERROR(F3252/D3252,0)</f>
        <v>9.07666666666667</v>
      </c>
    </row>
    <row r="3253" customFormat="false" ht="15" hidden="false" customHeight="false" outlineLevel="0" collapsed="false">
      <c r="A3253" s="28" t="n">
        <v>2023</v>
      </c>
      <c r="B3253" s="28" t="s">
        <v>119</v>
      </c>
      <c r="C3253" s="28" t="s">
        <v>43</v>
      </c>
      <c r="D3253" s="28" t="n">
        <v>24</v>
      </c>
      <c r="E3253" s="29" t="n">
        <v>12361000</v>
      </c>
      <c r="F3253" s="30" t="n">
        <v>240.46</v>
      </c>
      <c r="G3253" s="31" t="n">
        <f aca="false">IFERROR(F3253/D3253,0)</f>
        <v>10.0191666666667</v>
      </c>
    </row>
    <row r="3254" customFormat="false" ht="15" hidden="false" customHeight="false" outlineLevel="0" collapsed="false">
      <c r="A3254" s="28" t="n">
        <v>2023</v>
      </c>
      <c r="B3254" s="28" t="s">
        <v>119</v>
      </c>
      <c r="C3254" s="28" t="s">
        <v>52</v>
      </c>
      <c r="D3254" s="28" t="n">
        <v>12</v>
      </c>
      <c r="E3254" s="29" t="n">
        <v>2536600</v>
      </c>
      <c r="F3254" s="30" t="n">
        <v>120</v>
      </c>
      <c r="G3254" s="31" t="n">
        <f aca="false">IFERROR(F3254/D3254,0)</f>
        <v>10</v>
      </c>
    </row>
    <row r="3255" customFormat="false" ht="15" hidden="false" customHeight="false" outlineLevel="0" collapsed="false">
      <c r="A3255" s="28" t="n">
        <v>2023</v>
      </c>
      <c r="B3255" s="28" t="s">
        <v>119</v>
      </c>
      <c r="C3255" s="28" t="s">
        <v>49</v>
      </c>
      <c r="D3255" s="28" t="n">
        <v>8</v>
      </c>
      <c r="E3255" s="29" t="n">
        <v>2707700</v>
      </c>
      <c r="F3255" s="30" t="n">
        <v>74.21</v>
      </c>
      <c r="G3255" s="31" t="n">
        <f aca="false">IFERROR(F3255/D3255,0)</f>
        <v>9.27625</v>
      </c>
    </row>
    <row r="3256" customFormat="false" ht="15" hidden="false" customHeight="false" outlineLevel="0" collapsed="false">
      <c r="A3256" s="28" t="n">
        <v>2023</v>
      </c>
      <c r="B3256" s="28" t="s">
        <v>112</v>
      </c>
      <c r="C3256" s="28" t="s">
        <v>42</v>
      </c>
      <c r="D3256" s="28" t="n">
        <v>71</v>
      </c>
      <c r="E3256" s="29" t="n">
        <v>37478100</v>
      </c>
      <c r="F3256" s="30" t="n">
        <v>712.52</v>
      </c>
      <c r="G3256" s="31" t="n">
        <f aca="false">IFERROR(F3256/D3256,0)</f>
        <v>10.0354929577465</v>
      </c>
    </row>
    <row r="3257" customFormat="false" ht="15" hidden="false" customHeight="false" outlineLevel="0" collapsed="false">
      <c r="A3257" s="28" t="n">
        <v>2023</v>
      </c>
      <c r="B3257" s="28" t="s">
        <v>112</v>
      </c>
      <c r="C3257" s="28" t="s">
        <v>50</v>
      </c>
      <c r="D3257" s="28" t="n">
        <v>34</v>
      </c>
      <c r="E3257" s="29" t="n">
        <v>24368200</v>
      </c>
      <c r="F3257" s="30" t="n">
        <v>332.7887</v>
      </c>
      <c r="G3257" s="31" t="n">
        <f aca="false">IFERROR(F3257/D3257,0)</f>
        <v>9.78790294117647</v>
      </c>
    </row>
    <row r="3258" customFormat="false" ht="15" hidden="false" customHeight="false" outlineLevel="0" collapsed="false">
      <c r="A3258" s="28" t="n">
        <v>2023</v>
      </c>
      <c r="B3258" s="28" t="s">
        <v>112</v>
      </c>
      <c r="C3258" s="28" t="s">
        <v>55</v>
      </c>
      <c r="D3258" s="28" t="n">
        <v>1</v>
      </c>
      <c r="E3258" s="29" t="n">
        <v>3570000</v>
      </c>
      <c r="F3258" s="30" t="n">
        <v>9</v>
      </c>
      <c r="G3258" s="31" t="n">
        <f aca="false">IFERROR(F3258/D3258,0)</f>
        <v>9</v>
      </c>
    </row>
    <row r="3259" customFormat="false" ht="15" hidden="false" customHeight="false" outlineLevel="0" collapsed="false">
      <c r="A3259" s="28" t="n">
        <v>2023</v>
      </c>
      <c r="B3259" s="28" t="s">
        <v>112</v>
      </c>
      <c r="C3259" s="28" t="s">
        <v>51</v>
      </c>
      <c r="D3259" s="28" t="n">
        <v>33</v>
      </c>
      <c r="E3259" s="29" t="n">
        <v>27221000</v>
      </c>
      <c r="F3259" s="30" t="n">
        <v>314.433</v>
      </c>
      <c r="G3259" s="31" t="n">
        <f aca="false">IFERROR(F3259/D3259,0)</f>
        <v>9.52827272727273</v>
      </c>
    </row>
    <row r="3260" customFormat="false" ht="15" hidden="false" customHeight="false" outlineLevel="0" collapsed="false">
      <c r="A3260" s="28" t="n">
        <v>2023</v>
      </c>
      <c r="B3260" s="28" t="s">
        <v>112</v>
      </c>
      <c r="C3260" s="28" t="s">
        <v>45</v>
      </c>
      <c r="D3260" s="28" t="n">
        <v>60</v>
      </c>
      <c r="E3260" s="29" t="n">
        <v>31460400</v>
      </c>
      <c r="F3260" s="30" t="n">
        <v>619.44</v>
      </c>
      <c r="G3260" s="31" t="n">
        <f aca="false">IFERROR(F3260/D3260,0)</f>
        <v>10.324</v>
      </c>
    </row>
    <row r="3261" customFormat="false" ht="15" hidden="false" customHeight="false" outlineLevel="0" collapsed="false">
      <c r="A3261" s="28" t="n">
        <v>2023</v>
      </c>
      <c r="B3261" s="28" t="s">
        <v>112</v>
      </c>
      <c r="C3261" s="28" t="s">
        <v>56</v>
      </c>
      <c r="D3261" s="28" t="n">
        <v>7</v>
      </c>
      <c r="E3261" s="29" t="n">
        <v>1983500</v>
      </c>
      <c r="F3261" s="30" t="n">
        <v>69.99</v>
      </c>
      <c r="G3261" s="31" t="n">
        <f aca="false">IFERROR(F3261/D3261,0)</f>
        <v>9.99857142857143</v>
      </c>
    </row>
    <row r="3262" customFormat="false" ht="15" hidden="false" customHeight="false" outlineLevel="0" collapsed="false">
      <c r="A3262" s="28" t="n">
        <v>2023</v>
      </c>
      <c r="B3262" s="28" t="s">
        <v>112</v>
      </c>
      <c r="C3262" s="28" t="s">
        <v>54</v>
      </c>
      <c r="D3262" s="28" t="n">
        <v>12</v>
      </c>
      <c r="E3262" s="29" t="n">
        <v>5639900</v>
      </c>
      <c r="F3262" s="30" t="n">
        <v>119.04</v>
      </c>
      <c r="G3262" s="31" t="n">
        <f aca="false">IFERROR(F3262/D3262,0)</f>
        <v>9.92</v>
      </c>
    </row>
    <row r="3263" customFormat="false" ht="15" hidden="false" customHeight="false" outlineLevel="0" collapsed="false">
      <c r="A3263" s="28" t="n">
        <v>2023</v>
      </c>
      <c r="B3263" s="28" t="s">
        <v>112</v>
      </c>
      <c r="C3263" s="28" t="s">
        <v>44</v>
      </c>
      <c r="D3263" s="28" t="n">
        <v>55</v>
      </c>
      <c r="E3263" s="29" t="n">
        <v>22485600</v>
      </c>
      <c r="F3263" s="30" t="n">
        <v>558.89</v>
      </c>
      <c r="G3263" s="31" t="n">
        <f aca="false">IFERROR(F3263/D3263,0)</f>
        <v>10.1616363636364</v>
      </c>
    </row>
    <row r="3264" customFormat="false" ht="15" hidden="false" customHeight="false" outlineLevel="0" collapsed="false">
      <c r="A3264" s="28" t="n">
        <v>2023</v>
      </c>
      <c r="B3264" s="28" t="s">
        <v>112</v>
      </c>
      <c r="C3264" s="28" t="s">
        <v>57</v>
      </c>
      <c r="D3264" s="28" t="n">
        <v>7</v>
      </c>
      <c r="E3264" s="29" t="n">
        <v>2163000</v>
      </c>
      <c r="F3264" s="30" t="n">
        <v>78.75</v>
      </c>
      <c r="G3264" s="31" t="n">
        <f aca="false">IFERROR(F3264/D3264,0)</f>
        <v>11.25</v>
      </c>
    </row>
    <row r="3265" customFormat="false" ht="15" hidden="false" customHeight="false" outlineLevel="0" collapsed="false">
      <c r="A3265" s="28" t="n">
        <v>2023</v>
      </c>
      <c r="B3265" s="28" t="s">
        <v>112</v>
      </c>
      <c r="C3265" s="28" t="s">
        <v>47</v>
      </c>
      <c r="D3265" s="28" t="n">
        <v>24</v>
      </c>
      <c r="E3265" s="29" t="n">
        <v>18947100</v>
      </c>
      <c r="F3265" s="30" t="n">
        <v>221.46</v>
      </c>
      <c r="G3265" s="31" t="n">
        <f aca="false">IFERROR(F3265/D3265,0)</f>
        <v>9.2275</v>
      </c>
    </row>
    <row r="3266" customFormat="false" ht="15" hidden="false" customHeight="false" outlineLevel="0" collapsed="false">
      <c r="A3266" s="28" t="n">
        <v>2023</v>
      </c>
      <c r="B3266" s="28" t="s">
        <v>112</v>
      </c>
      <c r="C3266" s="28" t="s">
        <v>58</v>
      </c>
      <c r="D3266" s="28" t="n">
        <v>1</v>
      </c>
      <c r="E3266" s="29" t="n">
        <v>200000</v>
      </c>
      <c r="F3266" s="30" t="n">
        <v>8</v>
      </c>
      <c r="G3266" s="31" t="n">
        <f aca="false">IFERROR(F3266/D3266,0)</f>
        <v>8</v>
      </c>
    </row>
    <row r="3267" customFormat="false" ht="15" hidden="false" customHeight="false" outlineLevel="0" collapsed="false">
      <c r="A3267" s="28" t="n">
        <v>2023</v>
      </c>
      <c r="B3267" s="28" t="s">
        <v>112</v>
      </c>
      <c r="C3267" s="28" t="s">
        <v>46</v>
      </c>
      <c r="D3267" s="28" t="n">
        <v>48</v>
      </c>
      <c r="E3267" s="29" t="n">
        <v>22104100</v>
      </c>
      <c r="F3267" s="30" t="n">
        <v>498.14</v>
      </c>
      <c r="G3267" s="31" t="n">
        <f aca="false">IFERROR(F3267/D3267,0)</f>
        <v>10.3779166666667</v>
      </c>
    </row>
    <row r="3268" customFormat="false" ht="15" hidden="false" customHeight="false" outlineLevel="0" collapsed="false">
      <c r="A3268" s="28" t="n">
        <v>2023</v>
      </c>
      <c r="B3268" s="28" t="s">
        <v>112</v>
      </c>
      <c r="C3268" s="28" t="s">
        <v>48</v>
      </c>
      <c r="D3268" s="28" t="n">
        <v>39</v>
      </c>
      <c r="E3268" s="29" t="n">
        <v>20316400</v>
      </c>
      <c r="F3268" s="30" t="n">
        <v>397.09</v>
      </c>
      <c r="G3268" s="31" t="n">
        <f aca="false">IFERROR(F3268/D3268,0)</f>
        <v>10.1817948717949</v>
      </c>
    </row>
    <row r="3269" customFormat="false" ht="15" hidden="false" customHeight="false" outlineLevel="0" collapsed="false">
      <c r="A3269" s="28" t="n">
        <v>2023</v>
      </c>
      <c r="B3269" s="28" t="s">
        <v>112</v>
      </c>
      <c r="C3269" s="28" t="s">
        <v>53</v>
      </c>
      <c r="D3269" s="28" t="n">
        <v>9</v>
      </c>
      <c r="E3269" s="29" t="n">
        <v>2509200</v>
      </c>
      <c r="F3269" s="30" t="n">
        <v>89.97</v>
      </c>
      <c r="G3269" s="31" t="n">
        <f aca="false">IFERROR(F3269/D3269,0)</f>
        <v>9.99666666666667</v>
      </c>
    </row>
    <row r="3270" customFormat="false" ht="15" hidden="false" customHeight="false" outlineLevel="0" collapsed="false">
      <c r="A3270" s="28" t="n">
        <v>2023</v>
      </c>
      <c r="B3270" s="28" t="s">
        <v>112</v>
      </c>
      <c r="C3270" s="28" t="s">
        <v>43</v>
      </c>
      <c r="D3270" s="28" t="n">
        <v>54</v>
      </c>
      <c r="E3270" s="29" t="n">
        <v>31575600</v>
      </c>
      <c r="F3270" s="30" t="n">
        <v>547.77</v>
      </c>
      <c r="G3270" s="31" t="n">
        <f aca="false">IFERROR(F3270/D3270,0)</f>
        <v>10.1438888888889</v>
      </c>
    </row>
    <row r="3271" customFormat="false" ht="15" hidden="false" customHeight="false" outlineLevel="0" collapsed="false">
      <c r="A3271" s="28" t="n">
        <v>2023</v>
      </c>
      <c r="B3271" s="28" t="s">
        <v>112</v>
      </c>
      <c r="C3271" s="28" t="s">
        <v>52</v>
      </c>
      <c r="D3271" s="28" t="n">
        <v>23</v>
      </c>
      <c r="E3271" s="29" t="n">
        <v>7893300</v>
      </c>
      <c r="F3271" s="30" t="n">
        <v>247.97</v>
      </c>
      <c r="G3271" s="31" t="n">
        <f aca="false">IFERROR(F3271/D3271,0)</f>
        <v>10.7813043478261</v>
      </c>
    </row>
    <row r="3272" customFormat="false" ht="15" hidden="false" customHeight="false" outlineLevel="0" collapsed="false">
      <c r="A3272" s="28" t="n">
        <v>2023</v>
      </c>
      <c r="B3272" s="28" t="s">
        <v>112</v>
      </c>
      <c r="C3272" s="28" t="s">
        <v>49</v>
      </c>
      <c r="D3272" s="28" t="n">
        <v>21</v>
      </c>
      <c r="E3272" s="29" t="n">
        <v>16534900</v>
      </c>
      <c r="F3272" s="30" t="n">
        <v>195.86</v>
      </c>
      <c r="G3272" s="31" t="n">
        <f aca="false">IFERROR(F3272/D3272,0)</f>
        <v>9.32666666666667</v>
      </c>
    </row>
    <row r="3273" customFormat="false" ht="15" hidden="false" customHeight="false" outlineLevel="0" collapsed="false">
      <c r="A3273" s="28" t="n">
        <v>2023</v>
      </c>
      <c r="B3273" s="28" t="s">
        <v>82</v>
      </c>
      <c r="C3273" s="28" t="s">
        <v>42</v>
      </c>
      <c r="D3273" s="28" t="n">
        <v>376</v>
      </c>
      <c r="E3273" s="29" t="n">
        <v>151397200</v>
      </c>
      <c r="F3273" s="30" t="n">
        <v>4032.4829</v>
      </c>
      <c r="G3273" s="31" t="n">
        <f aca="false">IFERROR(F3273/D3273,0)</f>
        <v>10.7246885638298</v>
      </c>
    </row>
    <row r="3274" customFormat="false" ht="15" hidden="false" customHeight="false" outlineLevel="0" collapsed="false">
      <c r="A3274" s="28" t="n">
        <v>2023</v>
      </c>
      <c r="B3274" s="28" t="s">
        <v>82</v>
      </c>
      <c r="C3274" s="28" t="s">
        <v>50</v>
      </c>
      <c r="D3274" s="28" t="n">
        <v>208</v>
      </c>
      <c r="E3274" s="29" t="n">
        <v>52843600</v>
      </c>
      <c r="F3274" s="30" t="n">
        <v>2308.64</v>
      </c>
      <c r="G3274" s="31" t="n">
        <f aca="false">IFERROR(F3274/D3274,0)</f>
        <v>11.0992307692308</v>
      </c>
    </row>
    <row r="3275" customFormat="false" ht="15" hidden="false" customHeight="false" outlineLevel="0" collapsed="false">
      <c r="A3275" s="28" t="n">
        <v>2023</v>
      </c>
      <c r="B3275" s="28" t="s">
        <v>82</v>
      </c>
      <c r="C3275" s="28" t="s">
        <v>55</v>
      </c>
      <c r="D3275" s="28" t="n">
        <v>16</v>
      </c>
      <c r="E3275" s="29" t="n">
        <v>2132700</v>
      </c>
      <c r="F3275" s="30" t="n">
        <v>181.38</v>
      </c>
      <c r="G3275" s="31" t="n">
        <f aca="false">IFERROR(F3275/D3275,0)</f>
        <v>11.33625</v>
      </c>
    </row>
    <row r="3276" customFormat="false" ht="15" hidden="false" customHeight="false" outlineLevel="0" collapsed="false">
      <c r="A3276" s="28" t="n">
        <v>2023</v>
      </c>
      <c r="B3276" s="28" t="s">
        <v>82</v>
      </c>
      <c r="C3276" s="28" t="s">
        <v>51</v>
      </c>
      <c r="D3276" s="28" t="n">
        <v>128</v>
      </c>
      <c r="E3276" s="29" t="n">
        <v>57119300</v>
      </c>
      <c r="F3276" s="30" t="n">
        <v>1406.5</v>
      </c>
      <c r="G3276" s="31" t="n">
        <f aca="false">IFERROR(F3276/D3276,0)</f>
        <v>10.98828125</v>
      </c>
    </row>
    <row r="3277" customFormat="false" ht="15" hidden="false" customHeight="false" outlineLevel="0" collapsed="false">
      <c r="A3277" s="28" t="n">
        <v>2023</v>
      </c>
      <c r="B3277" s="28" t="s">
        <v>82</v>
      </c>
      <c r="C3277" s="28" t="s">
        <v>45</v>
      </c>
      <c r="D3277" s="28" t="n">
        <v>537</v>
      </c>
      <c r="E3277" s="29" t="n">
        <v>120206200</v>
      </c>
      <c r="F3277" s="30" t="n">
        <v>5943.356</v>
      </c>
      <c r="G3277" s="31" t="n">
        <f aca="false">IFERROR(F3277/D3277,0)</f>
        <v>11.0677020484171</v>
      </c>
    </row>
    <row r="3278" customFormat="false" ht="15" hidden="false" customHeight="false" outlineLevel="0" collapsed="false">
      <c r="A3278" s="28" t="n">
        <v>2023</v>
      </c>
      <c r="B3278" s="28" t="s">
        <v>82</v>
      </c>
      <c r="C3278" s="28" t="s">
        <v>56</v>
      </c>
      <c r="D3278" s="28" t="n">
        <v>70</v>
      </c>
      <c r="E3278" s="29" t="n">
        <v>16213500</v>
      </c>
      <c r="F3278" s="30" t="n">
        <v>776.2</v>
      </c>
      <c r="G3278" s="31" t="n">
        <f aca="false">IFERROR(F3278/D3278,0)</f>
        <v>11.0885714285714</v>
      </c>
    </row>
    <row r="3279" customFormat="false" ht="15" hidden="false" customHeight="false" outlineLevel="0" collapsed="false">
      <c r="A3279" s="28" t="n">
        <v>2023</v>
      </c>
      <c r="B3279" s="28" t="s">
        <v>82</v>
      </c>
      <c r="C3279" s="28" t="s">
        <v>54</v>
      </c>
      <c r="D3279" s="28" t="n">
        <v>52</v>
      </c>
      <c r="E3279" s="29" t="n">
        <v>26559900</v>
      </c>
      <c r="F3279" s="30" t="n">
        <v>578.635</v>
      </c>
      <c r="G3279" s="31" t="n">
        <f aca="false">IFERROR(F3279/D3279,0)</f>
        <v>11.1275961538462</v>
      </c>
    </row>
    <row r="3280" customFormat="false" ht="15" hidden="false" customHeight="false" outlineLevel="0" collapsed="false">
      <c r="A3280" s="28" t="n">
        <v>2023</v>
      </c>
      <c r="B3280" s="28" t="s">
        <v>82</v>
      </c>
      <c r="C3280" s="28" t="s">
        <v>44</v>
      </c>
      <c r="D3280" s="28" t="n">
        <v>196</v>
      </c>
      <c r="E3280" s="29" t="n">
        <v>80235100</v>
      </c>
      <c r="F3280" s="30" t="n">
        <v>2057.251</v>
      </c>
      <c r="G3280" s="31" t="n">
        <f aca="false">IFERROR(F3280/D3280,0)</f>
        <v>10.4961785714286</v>
      </c>
    </row>
    <row r="3281" customFormat="false" ht="15" hidden="false" customHeight="false" outlineLevel="0" collapsed="false">
      <c r="A3281" s="28" t="n">
        <v>2023</v>
      </c>
      <c r="B3281" s="28" t="s">
        <v>82</v>
      </c>
      <c r="C3281" s="28" t="s">
        <v>57</v>
      </c>
      <c r="D3281" s="28" t="n">
        <v>51</v>
      </c>
      <c r="E3281" s="29" t="n">
        <v>15466000</v>
      </c>
      <c r="F3281" s="30" t="n">
        <v>558.64</v>
      </c>
      <c r="G3281" s="31" t="n">
        <f aca="false">IFERROR(F3281/D3281,0)</f>
        <v>10.9537254901961</v>
      </c>
    </row>
    <row r="3282" customFormat="false" ht="15" hidden="false" customHeight="false" outlineLevel="0" collapsed="false">
      <c r="A3282" s="28" t="n">
        <v>2023</v>
      </c>
      <c r="B3282" s="28" t="s">
        <v>82</v>
      </c>
      <c r="C3282" s="28" t="s">
        <v>59</v>
      </c>
      <c r="D3282" s="28" t="n">
        <v>1</v>
      </c>
      <c r="E3282" s="29" t="n">
        <v>650000</v>
      </c>
      <c r="F3282" s="30" t="n">
        <v>6.25</v>
      </c>
      <c r="G3282" s="31" t="n">
        <f aca="false">IFERROR(F3282/D3282,0)</f>
        <v>6.25</v>
      </c>
    </row>
    <row r="3283" customFormat="false" ht="15" hidden="false" customHeight="false" outlineLevel="0" collapsed="false">
      <c r="A3283" s="28" t="n">
        <v>2023</v>
      </c>
      <c r="B3283" s="28" t="s">
        <v>82</v>
      </c>
      <c r="C3283" s="28" t="s">
        <v>47</v>
      </c>
      <c r="D3283" s="28" t="n">
        <v>180</v>
      </c>
      <c r="E3283" s="29" t="n">
        <v>74878000</v>
      </c>
      <c r="F3283" s="30" t="n">
        <v>1945.23</v>
      </c>
      <c r="G3283" s="31" t="n">
        <f aca="false">IFERROR(F3283/D3283,0)</f>
        <v>10.8068333333333</v>
      </c>
    </row>
    <row r="3284" customFormat="false" ht="15" hidden="false" customHeight="false" outlineLevel="0" collapsed="false">
      <c r="A3284" s="28" t="n">
        <v>2023</v>
      </c>
      <c r="B3284" s="28" t="s">
        <v>82</v>
      </c>
      <c r="C3284" s="28" t="s">
        <v>58</v>
      </c>
      <c r="D3284" s="28" t="n">
        <v>1</v>
      </c>
      <c r="E3284" s="29" t="n">
        <v>400000</v>
      </c>
      <c r="F3284" s="30" t="n">
        <v>9.25</v>
      </c>
      <c r="G3284" s="31" t="n">
        <f aca="false">IFERROR(F3284/D3284,0)</f>
        <v>9.25</v>
      </c>
    </row>
    <row r="3285" customFormat="false" ht="15" hidden="false" customHeight="false" outlineLevel="0" collapsed="false">
      <c r="A3285" s="28" t="n">
        <v>2023</v>
      </c>
      <c r="B3285" s="28" t="s">
        <v>82</v>
      </c>
      <c r="C3285" s="28" t="s">
        <v>46</v>
      </c>
      <c r="D3285" s="28" t="n">
        <v>298</v>
      </c>
      <c r="E3285" s="29" t="n">
        <v>110034800</v>
      </c>
      <c r="F3285" s="30" t="n">
        <v>3380.637</v>
      </c>
      <c r="G3285" s="31" t="n">
        <f aca="false">IFERROR(F3285/D3285,0)</f>
        <v>11.3444194630872</v>
      </c>
    </row>
    <row r="3286" customFormat="false" ht="15" hidden="false" customHeight="false" outlineLevel="0" collapsed="false">
      <c r="A3286" s="28" t="n">
        <v>2023</v>
      </c>
      <c r="B3286" s="28" t="s">
        <v>82</v>
      </c>
      <c r="C3286" s="28" t="s">
        <v>48</v>
      </c>
      <c r="D3286" s="28" t="n">
        <v>456</v>
      </c>
      <c r="E3286" s="29" t="n">
        <v>87604000</v>
      </c>
      <c r="F3286" s="30" t="n">
        <v>5210.623</v>
      </c>
      <c r="G3286" s="31" t="n">
        <f aca="false">IFERROR(F3286/D3286,0)</f>
        <v>11.4268048245614</v>
      </c>
    </row>
    <row r="3287" customFormat="false" ht="15" hidden="false" customHeight="false" outlineLevel="0" collapsed="false">
      <c r="A3287" s="28" t="n">
        <v>2023</v>
      </c>
      <c r="B3287" s="28" t="s">
        <v>82</v>
      </c>
      <c r="C3287" s="28" t="s">
        <v>61</v>
      </c>
      <c r="D3287" s="28" t="n">
        <v>1</v>
      </c>
      <c r="E3287" s="29" t="n">
        <v>229000</v>
      </c>
      <c r="F3287" s="30" t="n">
        <v>10.8</v>
      </c>
      <c r="G3287" s="31" t="n">
        <f aca="false">IFERROR(F3287/D3287,0)</f>
        <v>10.8</v>
      </c>
    </row>
    <row r="3288" customFormat="false" ht="15" hidden="false" customHeight="false" outlineLevel="0" collapsed="false">
      <c r="A3288" s="28" t="n">
        <v>2023</v>
      </c>
      <c r="B3288" s="28" t="s">
        <v>82</v>
      </c>
      <c r="C3288" s="28" t="s">
        <v>53</v>
      </c>
      <c r="D3288" s="28" t="n">
        <v>104</v>
      </c>
      <c r="E3288" s="29" t="n">
        <v>28410700</v>
      </c>
      <c r="F3288" s="30" t="n">
        <v>1145.34</v>
      </c>
      <c r="G3288" s="31" t="n">
        <f aca="false">IFERROR(F3288/D3288,0)</f>
        <v>11.0128846153846</v>
      </c>
    </row>
    <row r="3289" customFormat="false" ht="15" hidden="false" customHeight="false" outlineLevel="0" collapsed="false">
      <c r="A3289" s="28" t="n">
        <v>2023</v>
      </c>
      <c r="B3289" s="28" t="s">
        <v>82</v>
      </c>
      <c r="C3289" s="28" t="s">
        <v>43</v>
      </c>
      <c r="D3289" s="28" t="n">
        <v>552</v>
      </c>
      <c r="E3289" s="29" t="n">
        <v>175334300</v>
      </c>
      <c r="F3289" s="30" t="n">
        <v>6063.82</v>
      </c>
      <c r="G3289" s="31" t="n">
        <f aca="false">IFERROR(F3289/D3289,0)</f>
        <v>10.9851811594203</v>
      </c>
    </row>
    <row r="3290" customFormat="false" ht="15" hidden="false" customHeight="false" outlineLevel="0" collapsed="false">
      <c r="A3290" s="28" t="n">
        <v>2023</v>
      </c>
      <c r="B3290" s="28" t="s">
        <v>82</v>
      </c>
      <c r="C3290" s="28" t="s">
        <v>52</v>
      </c>
      <c r="D3290" s="28" t="n">
        <v>160</v>
      </c>
      <c r="E3290" s="29" t="n">
        <v>22223200</v>
      </c>
      <c r="F3290" s="30" t="n">
        <v>1809.867</v>
      </c>
      <c r="G3290" s="31" t="n">
        <f aca="false">IFERROR(F3290/D3290,0)</f>
        <v>11.31166875</v>
      </c>
    </row>
    <row r="3291" customFormat="false" ht="15" hidden="false" customHeight="false" outlineLevel="0" collapsed="false">
      <c r="A3291" s="28" t="n">
        <v>2023</v>
      </c>
      <c r="B3291" s="28" t="s">
        <v>82</v>
      </c>
      <c r="C3291" s="28" t="s">
        <v>60</v>
      </c>
      <c r="D3291" s="28" t="n">
        <v>5</v>
      </c>
      <c r="E3291" s="29" t="n">
        <v>385000</v>
      </c>
      <c r="F3291" s="30" t="n">
        <v>60.55</v>
      </c>
      <c r="G3291" s="31" t="n">
        <f aca="false">IFERROR(F3291/D3291,0)</f>
        <v>12.11</v>
      </c>
    </row>
    <row r="3292" customFormat="false" ht="15" hidden="false" customHeight="false" outlineLevel="0" collapsed="false">
      <c r="A3292" s="28" t="n">
        <v>2023</v>
      </c>
      <c r="B3292" s="28" t="s">
        <v>82</v>
      </c>
      <c r="C3292" s="28" t="s">
        <v>49</v>
      </c>
      <c r="D3292" s="28" t="n">
        <v>268</v>
      </c>
      <c r="E3292" s="29" t="n">
        <v>97476000</v>
      </c>
      <c r="F3292" s="30" t="n">
        <v>2964.244</v>
      </c>
      <c r="G3292" s="31" t="n">
        <f aca="false">IFERROR(F3292/D3292,0)</f>
        <v>11.0606119402985</v>
      </c>
    </row>
    <row r="3293" customFormat="false" ht="15" hidden="false" customHeight="false" outlineLevel="0" collapsed="false">
      <c r="A3293" s="28" t="n">
        <v>2023</v>
      </c>
      <c r="B3293" s="28" t="s">
        <v>84</v>
      </c>
      <c r="C3293" s="28" t="s">
        <v>42</v>
      </c>
      <c r="D3293" s="28" t="n">
        <v>418</v>
      </c>
      <c r="E3293" s="29" t="n">
        <v>188708900</v>
      </c>
      <c r="F3293" s="30" t="n">
        <v>4103.655</v>
      </c>
      <c r="G3293" s="31" t="n">
        <f aca="false">IFERROR(F3293/D3293,0)</f>
        <v>9.81735645933014</v>
      </c>
    </row>
    <row r="3294" customFormat="false" ht="15" hidden="false" customHeight="false" outlineLevel="0" collapsed="false">
      <c r="A3294" s="28" t="n">
        <v>2023</v>
      </c>
      <c r="B3294" s="28" t="s">
        <v>84</v>
      </c>
      <c r="C3294" s="28" t="s">
        <v>50</v>
      </c>
      <c r="D3294" s="28" t="n">
        <v>225</v>
      </c>
      <c r="E3294" s="29" t="n">
        <v>35788600</v>
      </c>
      <c r="F3294" s="30" t="n">
        <v>2206.72</v>
      </c>
      <c r="G3294" s="31" t="n">
        <f aca="false">IFERROR(F3294/D3294,0)</f>
        <v>9.80764444444444</v>
      </c>
    </row>
    <row r="3295" customFormat="false" ht="15" hidden="false" customHeight="false" outlineLevel="0" collapsed="false">
      <c r="A3295" s="28" t="n">
        <v>2023</v>
      </c>
      <c r="B3295" s="28" t="s">
        <v>84</v>
      </c>
      <c r="C3295" s="28" t="s">
        <v>55</v>
      </c>
      <c r="D3295" s="28" t="n">
        <v>24</v>
      </c>
      <c r="E3295" s="29" t="n">
        <v>3967900</v>
      </c>
      <c r="F3295" s="30" t="n">
        <v>231.4</v>
      </c>
      <c r="G3295" s="31" t="n">
        <f aca="false">IFERROR(F3295/D3295,0)</f>
        <v>9.64166666666667</v>
      </c>
    </row>
    <row r="3296" customFormat="false" ht="15" hidden="false" customHeight="false" outlineLevel="0" collapsed="false">
      <c r="A3296" s="28" t="n">
        <v>2023</v>
      </c>
      <c r="B3296" s="28" t="s">
        <v>84</v>
      </c>
      <c r="C3296" s="28" t="s">
        <v>51</v>
      </c>
      <c r="D3296" s="28" t="n">
        <v>110</v>
      </c>
      <c r="E3296" s="29" t="n">
        <v>30255600</v>
      </c>
      <c r="F3296" s="30" t="n">
        <v>1099.85</v>
      </c>
      <c r="G3296" s="31" t="n">
        <f aca="false">IFERROR(F3296/D3296,0)</f>
        <v>9.99863636363636</v>
      </c>
    </row>
    <row r="3297" customFormat="false" ht="15" hidden="false" customHeight="false" outlineLevel="0" collapsed="false">
      <c r="A3297" s="28" t="n">
        <v>2023</v>
      </c>
      <c r="B3297" s="28" t="s">
        <v>84</v>
      </c>
      <c r="C3297" s="28" t="s">
        <v>45</v>
      </c>
      <c r="D3297" s="28" t="n">
        <v>611</v>
      </c>
      <c r="E3297" s="29" t="n">
        <v>114292000</v>
      </c>
      <c r="F3297" s="30" t="n">
        <v>6036.059</v>
      </c>
      <c r="G3297" s="31" t="n">
        <f aca="false">IFERROR(F3297/D3297,0)</f>
        <v>9.87898363338789</v>
      </c>
    </row>
    <row r="3298" customFormat="false" ht="15" hidden="false" customHeight="false" outlineLevel="0" collapsed="false">
      <c r="A3298" s="28" t="n">
        <v>2023</v>
      </c>
      <c r="B3298" s="28" t="s">
        <v>84</v>
      </c>
      <c r="C3298" s="28" t="s">
        <v>56</v>
      </c>
      <c r="D3298" s="28" t="n">
        <v>48</v>
      </c>
      <c r="E3298" s="29" t="n">
        <v>14047500</v>
      </c>
      <c r="F3298" s="30" t="n">
        <v>481.18</v>
      </c>
      <c r="G3298" s="31" t="n">
        <f aca="false">IFERROR(F3298/D3298,0)</f>
        <v>10.0245833333333</v>
      </c>
    </row>
    <row r="3299" customFormat="false" ht="15" hidden="false" customHeight="false" outlineLevel="0" collapsed="false">
      <c r="A3299" s="28" t="n">
        <v>2023</v>
      </c>
      <c r="B3299" s="28" t="s">
        <v>84</v>
      </c>
      <c r="C3299" s="28" t="s">
        <v>54</v>
      </c>
      <c r="D3299" s="28" t="n">
        <v>40</v>
      </c>
      <c r="E3299" s="29" t="n">
        <v>7983100</v>
      </c>
      <c r="F3299" s="30" t="n">
        <v>378.56</v>
      </c>
      <c r="G3299" s="31" t="n">
        <f aca="false">IFERROR(F3299/D3299,0)</f>
        <v>9.464</v>
      </c>
    </row>
    <row r="3300" customFormat="false" ht="15" hidden="false" customHeight="false" outlineLevel="0" collapsed="false">
      <c r="A3300" s="28" t="n">
        <v>2023</v>
      </c>
      <c r="B3300" s="28" t="s">
        <v>84</v>
      </c>
      <c r="C3300" s="28" t="s">
        <v>44</v>
      </c>
      <c r="D3300" s="28" t="n">
        <v>241</v>
      </c>
      <c r="E3300" s="29" t="n">
        <v>84590500</v>
      </c>
      <c r="F3300" s="30" t="n">
        <v>2385.59</v>
      </c>
      <c r="G3300" s="31" t="n">
        <f aca="false">IFERROR(F3300/D3300,0)</f>
        <v>9.89871369294606</v>
      </c>
    </row>
    <row r="3301" customFormat="false" ht="15" hidden="false" customHeight="false" outlineLevel="0" collapsed="false">
      <c r="A3301" s="28" t="n">
        <v>2023</v>
      </c>
      <c r="B3301" s="28" t="s">
        <v>84</v>
      </c>
      <c r="C3301" s="28" t="s">
        <v>57</v>
      </c>
      <c r="D3301" s="28" t="n">
        <v>27</v>
      </c>
      <c r="E3301" s="29" t="n">
        <v>7217000</v>
      </c>
      <c r="F3301" s="30" t="n">
        <v>278.87</v>
      </c>
      <c r="G3301" s="31" t="n">
        <f aca="false">IFERROR(F3301/D3301,0)</f>
        <v>10.3285185185185</v>
      </c>
    </row>
    <row r="3302" customFormat="false" ht="15" hidden="false" customHeight="false" outlineLevel="0" collapsed="false">
      <c r="A3302" s="28" t="n">
        <v>2023</v>
      </c>
      <c r="B3302" s="28" t="s">
        <v>84</v>
      </c>
      <c r="C3302" s="28" t="s">
        <v>59</v>
      </c>
      <c r="D3302" s="28" t="n">
        <v>1</v>
      </c>
      <c r="E3302" s="29" t="n">
        <v>282500</v>
      </c>
      <c r="F3302" s="30" t="n">
        <v>7.25</v>
      </c>
      <c r="G3302" s="31" t="n">
        <f aca="false">IFERROR(F3302/D3302,0)</f>
        <v>7.25</v>
      </c>
    </row>
    <row r="3303" customFormat="false" ht="15" hidden="false" customHeight="false" outlineLevel="0" collapsed="false">
      <c r="A3303" s="28" t="n">
        <v>2023</v>
      </c>
      <c r="B3303" s="28" t="s">
        <v>84</v>
      </c>
      <c r="C3303" s="28" t="s">
        <v>47</v>
      </c>
      <c r="D3303" s="28" t="n">
        <v>189</v>
      </c>
      <c r="E3303" s="29" t="n">
        <v>104729900</v>
      </c>
      <c r="F3303" s="30" t="n">
        <v>1816.43</v>
      </c>
      <c r="G3303" s="31" t="n">
        <f aca="false">IFERROR(F3303/D3303,0)</f>
        <v>9.61074074074074</v>
      </c>
    </row>
    <row r="3304" customFormat="false" ht="15" hidden="false" customHeight="false" outlineLevel="0" collapsed="false">
      <c r="A3304" s="28" t="n">
        <v>2023</v>
      </c>
      <c r="B3304" s="28" t="s">
        <v>84</v>
      </c>
      <c r="C3304" s="28" t="s">
        <v>58</v>
      </c>
      <c r="D3304" s="28" t="n">
        <v>4</v>
      </c>
      <c r="E3304" s="29" t="n">
        <v>2942500</v>
      </c>
      <c r="F3304" s="30" t="n">
        <v>36.99</v>
      </c>
      <c r="G3304" s="31" t="n">
        <f aca="false">IFERROR(F3304/D3304,0)</f>
        <v>9.2475</v>
      </c>
    </row>
    <row r="3305" customFormat="false" ht="15" hidden="false" customHeight="false" outlineLevel="0" collapsed="false">
      <c r="A3305" s="28" t="n">
        <v>2023</v>
      </c>
      <c r="B3305" s="28" t="s">
        <v>84</v>
      </c>
      <c r="C3305" s="28" t="s">
        <v>46</v>
      </c>
      <c r="D3305" s="28" t="n">
        <v>305</v>
      </c>
      <c r="E3305" s="29" t="n">
        <v>69647500</v>
      </c>
      <c r="F3305" s="30" t="n">
        <v>2976.765</v>
      </c>
      <c r="G3305" s="31" t="n">
        <f aca="false">IFERROR(F3305/D3305,0)</f>
        <v>9.75988524590164</v>
      </c>
    </row>
    <row r="3306" customFormat="false" ht="15" hidden="false" customHeight="false" outlineLevel="0" collapsed="false">
      <c r="A3306" s="28" t="n">
        <v>2023</v>
      </c>
      <c r="B3306" s="28" t="s">
        <v>84</v>
      </c>
      <c r="C3306" s="28" t="s">
        <v>48</v>
      </c>
      <c r="D3306" s="28" t="n">
        <v>227</v>
      </c>
      <c r="E3306" s="29" t="n">
        <v>72561500</v>
      </c>
      <c r="F3306" s="30" t="n">
        <v>2204.615</v>
      </c>
      <c r="G3306" s="31" t="n">
        <f aca="false">IFERROR(F3306/D3306,0)</f>
        <v>9.71196035242291</v>
      </c>
    </row>
    <row r="3307" customFormat="false" ht="15" hidden="false" customHeight="false" outlineLevel="0" collapsed="false">
      <c r="A3307" s="28" t="n">
        <v>2023</v>
      </c>
      <c r="B3307" s="28" t="s">
        <v>84</v>
      </c>
      <c r="C3307" s="28" t="s">
        <v>53</v>
      </c>
      <c r="D3307" s="28" t="n">
        <v>65</v>
      </c>
      <c r="E3307" s="29" t="n">
        <v>31638300</v>
      </c>
      <c r="F3307" s="30" t="n">
        <v>640.67</v>
      </c>
      <c r="G3307" s="31" t="n">
        <f aca="false">IFERROR(F3307/D3307,0)</f>
        <v>9.85646153846154</v>
      </c>
    </row>
    <row r="3308" customFormat="false" ht="15" hidden="false" customHeight="false" outlineLevel="0" collapsed="false">
      <c r="A3308" s="28" t="n">
        <v>2023</v>
      </c>
      <c r="B3308" s="28" t="s">
        <v>84</v>
      </c>
      <c r="C3308" s="28" t="s">
        <v>43</v>
      </c>
      <c r="D3308" s="28" t="n">
        <v>315</v>
      </c>
      <c r="E3308" s="29" t="n">
        <v>69030500</v>
      </c>
      <c r="F3308" s="30" t="n">
        <v>3154.41</v>
      </c>
      <c r="G3308" s="31" t="n">
        <f aca="false">IFERROR(F3308/D3308,0)</f>
        <v>10.014</v>
      </c>
    </row>
    <row r="3309" customFormat="false" ht="15" hidden="false" customHeight="false" outlineLevel="0" collapsed="false">
      <c r="A3309" s="28" t="n">
        <v>2023</v>
      </c>
      <c r="B3309" s="28" t="s">
        <v>84</v>
      </c>
      <c r="C3309" s="28" t="s">
        <v>52</v>
      </c>
      <c r="D3309" s="28" t="n">
        <v>441</v>
      </c>
      <c r="E3309" s="29" t="n">
        <v>45404900</v>
      </c>
      <c r="F3309" s="30" t="n">
        <v>4323.125</v>
      </c>
      <c r="G3309" s="31" t="n">
        <f aca="false">IFERROR(F3309/D3309,0)</f>
        <v>9.80300453514739</v>
      </c>
    </row>
    <row r="3310" customFormat="false" ht="15" hidden="false" customHeight="false" outlineLevel="0" collapsed="false">
      <c r="A3310" s="28" t="n">
        <v>2023</v>
      </c>
      <c r="B3310" s="28" t="s">
        <v>84</v>
      </c>
      <c r="C3310" s="28" t="s">
        <v>60</v>
      </c>
      <c r="D3310" s="28" t="n">
        <v>4</v>
      </c>
      <c r="E3310" s="29" t="n">
        <v>490000</v>
      </c>
      <c r="F3310" s="30" t="n">
        <v>40</v>
      </c>
      <c r="G3310" s="31" t="n">
        <f aca="false">IFERROR(F3310/D3310,0)</f>
        <v>10</v>
      </c>
    </row>
    <row r="3311" customFormat="false" ht="15" hidden="false" customHeight="false" outlineLevel="0" collapsed="false">
      <c r="A3311" s="28" t="n">
        <v>2023</v>
      </c>
      <c r="B3311" s="28" t="s">
        <v>84</v>
      </c>
      <c r="C3311" s="28" t="s">
        <v>49</v>
      </c>
      <c r="D3311" s="28" t="n">
        <v>101</v>
      </c>
      <c r="E3311" s="29" t="n">
        <v>49800200</v>
      </c>
      <c r="F3311" s="30" t="n">
        <v>981.77</v>
      </c>
      <c r="G3311" s="31" t="n">
        <f aca="false">IFERROR(F3311/D3311,0)</f>
        <v>9.72049504950495</v>
      </c>
    </row>
    <row r="3312" customFormat="false" ht="15" hidden="false" customHeight="false" outlineLevel="0" collapsed="false">
      <c r="A3312" s="28" t="n">
        <v>2023</v>
      </c>
      <c r="B3312" s="28" t="s">
        <v>114</v>
      </c>
      <c r="C3312" s="28" t="s">
        <v>42</v>
      </c>
      <c r="D3312" s="28" t="n">
        <v>52</v>
      </c>
      <c r="E3312" s="29" t="n">
        <v>34443700</v>
      </c>
      <c r="F3312" s="30" t="n">
        <v>456.629</v>
      </c>
      <c r="G3312" s="31" t="n">
        <f aca="false">IFERROR(F3312/D3312,0)</f>
        <v>8.78132692307692</v>
      </c>
    </row>
    <row r="3313" customFormat="false" ht="15" hidden="false" customHeight="false" outlineLevel="0" collapsed="false">
      <c r="A3313" s="28" t="n">
        <v>2023</v>
      </c>
      <c r="B3313" s="28" t="s">
        <v>114</v>
      </c>
      <c r="C3313" s="28" t="s">
        <v>50</v>
      </c>
      <c r="D3313" s="28" t="n">
        <v>23</v>
      </c>
      <c r="E3313" s="29" t="n">
        <v>4469600</v>
      </c>
      <c r="F3313" s="30" t="n">
        <v>232.48</v>
      </c>
      <c r="G3313" s="31" t="n">
        <f aca="false">IFERROR(F3313/D3313,0)</f>
        <v>10.1078260869565</v>
      </c>
    </row>
    <row r="3314" customFormat="false" ht="15" hidden="false" customHeight="false" outlineLevel="0" collapsed="false">
      <c r="A3314" s="28" t="n">
        <v>2023</v>
      </c>
      <c r="B3314" s="28" t="s">
        <v>114</v>
      </c>
      <c r="C3314" s="28" t="s">
        <v>55</v>
      </c>
      <c r="D3314" s="28" t="n">
        <v>10</v>
      </c>
      <c r="E3314" s="29" t="n">
        <v>12835000</v>
      </c>
      <c r="F3314" s="30" t="n">
        <v>76.949</v>
      </c>
      <c r="G3314" s="31" t="n">
        <f aca="false">IFERROR(F3314/D3314,0)</f>
        <v>7.6949</v>
      </c>
    </row>
    <row r="3315" customFormat="false" ht="15" hidden="false" customHeight="false" outlineLevel="0" collapsed="false">
      <c r="A3315" s="28" t="n">
        <v>2023</v>
      </c>
      <c r="B3315" s="28" t="s">
        <v>114</v>
      </c>
      <c r="C3315" s="28" t="s">
        <v>51</v>
      </c>
      <c r="D3315" s="28" t="n">
        <v>16</v>
      </c>
      <c r="E3315" s="29" t="n">
        <v>8003300</v>
      </c>
      <c r="F3315" s="30" t="n">
        <v>146.01</v>
      </c>
      <c r="G3315" s="31" t="n">
        <f aca="false">IFERROR(F3315/D3315,0)</f>
        <v>9.125625</v>
      </c>
    </row>
    <row r="3316" customFormat="false" ht="15" hidden="false" customHeight="false" outlineLevel="0" collapsed="false">
      <c r="A3316" s="28" t="n">
        <v>2023</v>
      </c>
      <c r="B3316" s="28" t="s">
        <v>114</v>
      </c>
      <c r="C3316" s="28" t="s">
        <v>45</v>
      </c>
      <c r="D3316" s="28" t="n">
        <v>61</v>
      </c>
      <c r="E3316" s="29" t="n">
        <v>25377800</v>
      </c>
      <c r="F3316" s="30" t="n">
        <v>575.178</v>
      </c>
      <c r="G3316" s="31" t="n">
        <f aca="false">IFERROR(F3316/D3316,0)</f>
        <v>9.42914754098361</v>
      </c>
    </row>
    <row r="3317" customFormat="false" ht="15" hidden="false" customHeight="false" outlineLevel="0" collapsed="false">
      <c r="A3317" s="28" t="n">
        <v>2023</v>
      </c>
      <c r="B3317" s="28" t="s">
        <v>114</v>
      </c>
      <c r="C3317" s="28" t="s">
        <v>56</v>
      </c>
      <c r="D3317" s="28" t="n">
        <v>2</v>
      </c>
      <c r="E3317" s="29" t="n">
        <v>545000</v>
      </c>
      <c r="F3317" s="30" t="n">
        <v>20.75</v>
      </c>
      <c r="G3317" s="31" t="n">
        <f aca="false">IFERROR(F3317/D3317,0)</f>
        <v>10.375</v>
      </c>
    </row>
    <row r="3318" customFormat="false" ht="15" hidden="false" customHeight="false" outlineLevel="0" collapsed="false">
      <c r="A3318" s="28" t="n">
        <v>2023</v>
      </c>
      <c r="B3318" s="28" t="s">
        <v>114</v>
      </c>
      <c r="C3318" s="28" t="s">
        <v>54</v>
      </c>
      <c r="D3318" s="28" t="n">
        <v>9</v>
      </c>
      <c r="E3318" s="29" t="n">
        <v>2601400</v>
      </c>
      <c r="F3318" s="30" t="n">
        <v>88.459</v>
      </c>
      <c r="G3318" s="31" t="n">
        <f aca="false">IFERROR(F3318/D3318,0)</f>
        <v>9.82877777777778</v>
      </c>
    </row>
    <row r="3319" customFormat="false" ht="15" hidden="false" customHeight="false" outlineLevel="0" collapsed="false">
      <c r="A3319" s="28" t="n">
        <v>2023</v>
      </c>
      <c r="B3319" s="28" t="s">
        <v>114</v>
      </c>
      <c r="C3319" s="28" t="s">
        <v>44</v>
      </c>
      <c r="D3319" s="28" t="n">
        <v>39</v>
      </c>
      <c r="E3319" s="29" t="n">
        <v>16000600</v>
      </c>
      <c r="F3319" s="30" t="n">
        <v>352.881</v>
      </c>
      <c r="G3319" s="31" t="n">
        <f aca="false">IFERROR(F3319/D3319,0)</f>
        <v>9.04823076923077</v>
      </c>
    </row>
    <row r="3320" customFormat="false" ht="15" hidden="false" customHeight="false" outlineLevel="0" collapsed="false">
      <c r="A3320" s="28" t="n">
        <v>2023</v>
      </c>
      <c r="B3320" s="28" t="s">
        <v>114</v>
      </c>
      <c r="C3320" s="28" t="s">
        <v>57</v>
      </c>
      <c r="D3320" s="28" t="n">
        <v>3</v>
      </c>
      <c r="E3320" s="29" t="n">
        <v>1683000</v>
      </c>
      <c r="F3320" s="30" t="n">
        <v>29.5</v>
      </c>
      <c r="G3320" s="31" t="n">
        <f aca="false">IFERROR(F3320/D3320,0)</f>
        <v>9.83333333333333</v>
      </c>
    </row>
    <row r="3321" customFormat="false" ht="15" hidden="false" customHeight="false" outlineLevel="0" collapsed="false">
      <c r="A3321" s="28" t="n">
        <v>2023</v>
      </c>
      <c r="B3321" s="28" t="s">
        <v>114</v>
      </c>
      <c r="C3321" s="28" t="s">
        <v>47</v>
      </c>
      <c r="D3321" s="28" t="n">
        <v>26</v>
      </c>
      <c r="E3321" s="29" t="n">
        <v>17117700</v>
      </c>
      <c r="F3321" s="30" t="n">
        <v>248.587</v>
      </c>
      <c r="G3321" s="31" t="n">
        <f aca="false">IFERROR(F3321/D3321,0)</f>
        <v>9.56103846153846</v>
      </c>
    </row>
    <row r="3322" customFormat="false" ht="15" hidden="false" customHeight="false" outlineLevel="0" collapsed="false">
      <c r="A3322" s="28" t="n">
        <v>2023</v>
      </c>
      <c r="B3322" s="28" t="s">
        <v>114</v>
      </c>
      <c r="C3322" s="28" t="s">
        <v>58</v>
      </c>
      <c r="D3322" s="28" t="n">
        <v>5</v>
      </c>
      <c r="E3322" s="29" t="n">
        <v>2211100</v>
      </c>
      <c r="F3322" s="30" t="n">
        <v>45.4</v>
      </c>
      <c r="G3322" s="31" t="n">
        <f aca="false">IFERROR(F3322/D3322,0)</f>
        <v>9.08</v>
      </c>
    </row>
    <row r="3323" customFormat="false" ht="15" hidden="false" customHeight="false" outlineLevel="0" collapsed="false">
      <c r="A3323" s="28" t="n">
        <v>2023</v>
      </c>
      <c r="B3323" s="28" t="s">
        <v>114</v>
      </c>
      <c r="C3323" s="28" t="s">
        <v>46</v>
      </c>
      <c r="D3323" s="28" t="n">
        <v>46</v>
      </c>
      <c r="E3323" s="29" t="n">
        <v>14208400</v>
      </c>
      <c r="F3323" s="30" t="n">
        <v>420.94</v>
      </c>
      <c r="G3323" s="31" t="n">
        <f aca="false">IFERROR(F3323/D3323,0)</f>
        <v>9.15086956521739</v>
      </c>
    </row>
    <row r="3324" customFormat="false" ht="15" hidden="false" customHeight="false" outlineLevel="0" collapsed="false">
      <c r="A3324" s="28" t="n">
        <v>2023</v>
      </c>
      <c r="B3324" s="28" t="s">
        <v>114</v>
      </c>
      <c r="C3324" s="28" t="s">
        <v>48</v>
      </c>
      <c r="D3324" s="28" t="n">
        <v>25</v>
      </c>
      <c r="E3324" s="29" t="n">
        <v>8500000</v>
      </c>
      <c r="F3324" s="30" t="n">
        <v>253.7</v>
      </c>
      <c r="G3324" s="31" t="n">
        <f aca="false">IFERROR(F3324/D3324,0)</f>
        <v>10.148</v>
      </c>
    </row>
    <row r="3325" customFormat="false" ht="15" hidden="false" customHeight="false" outlineLevel="0" collapsed="false">
      <c r="A3325" s="28" t="n">
        <v>2023</v>
      </c>
      <c r="B3325" s="28" t="s">
        <v>114</v>
      </c>
      <c r="C3325" s="28" t="s">
        <v>53</v>
      </c>
      <c r="D3325" s="28" t="n">
        <v>6</v>
      </c>
      <c r="E3325" s="29" t="n">
        <v>7384900</v>
      </c>
      <c r="F3325" s="30" t="n">
        <v>48.5</v>
      </c>
      <c r="G3325" s="31" t="n">
        <f aca="false">IFERROR(F3325/D3325,0)</f>
        <v>8.08333333333333</v>
      </c>
    </row>
    <row r="3326" customFormat="false" ht="15" hidden="false" customHeight="false" outlineLevel="0" collapsed="false">
      <c r="A3326" s="28" t="n">
        <v>2023</v>
      </c>
      <c r="B3326" s="28" t="s">
        <v>114</v>
      </c>
      <c r="C3326" s="28" t="s">
        <v>43</v>
      </c>
      <c r="D3326" s="28" t="n">
        <v>50</v>
      </c>
      <c r="E3326" s="29" t="n">
        <v>21530100</v>
      </c>
      <c r="F3326" s="30" t="n">
        <v>477.4</v>
      </c>
      <c r="G3326" s="31" t="n">
        <f aca="false">IFERROR(F3326/D3326,0)</f>
        <v>9.548</v>
      </c>
    </row>
    <row r="3327" customFormat="false" ht="15" hidden="false" customHeight="false" outlineLevel="0" collapsed="false">
      <c r="A3327" s="28" t="n">
        <v>2023</v>
      </c>
      <c r="B3327" s="28" t="s">
        <v>114</v>
      </c>
      <c r="C3327" s="28" t="s">
        <v>52</v>
      </c>
      <c r="D3327" s="28" t="n">
        <v>27</v>
      </c>
      <c r="E3327" s="29" t="n">
        <v>9348300</v>
      </c>
      <c r="F3327" s="30" t="n">
        <v>261.819</v>
      </c>
      <c r="G3327" s="31" t="n">
        <f aca="false">IFERROR(F3327/D3327,0)</f>
        <v>9.697</v>
      </c>
    </row>
    <row r="3328" customFormat="false" ht="15" hidden="false" customHeight="false" outlineLevel="0" collapsed="false">
      <c r="A3328" s="28" t="n">
        <v>2023</v>
      </c>
      <c r="B3328" s="28" t="s">
        <v>114</v>
      </c>
      <c r="C3328" s="28" t="s">
        <v>49</v>
      </c>
      <c r="D3328" s="28" t="n">
        <v>13</v>
      </c>
      <c r="E3328" s="29" t="n">
        <v>5378300</v>
      </c>
      <c r="F3328" s="30" t="n">
        <v>108.64</v>
      </c>
      <c r="G3328" s="31" t="n">
        <f aca="false">IFERROR(F3328/D3328,0)</f>
        <v>8.35692307692308</v>
      </c>
    </row>
    <row r="3329" customFormat="false" ht="15" hidden="false" customHeight="false" outlineLevel="0" collapsed="false">
      <c r="A3329" s="28" t="n">
        <v>2023</v>
      </c>
      <c r="B3329" s="28" t="s">
        <v>108</v>
      </c>
      <c r="C3329" s="28" t="s">
        <v>42</v>
      </c>
      <c r="D3329" s="28" t="n">
        <v>70</v>
      </c>
      <c r="E3329" s="29" t="n">
        <v>36399000</v>
      </c>
      <c r="F3329" s="30" t="n">
        <v>699.93</v>
      </c>
      <c r="G3329" s="31" t="n">
        <f aca="false">IFERROR(F3329/D3329,0)</f>
        <v>9.999</v>
      </c>
    </row>
    <row r="3330" customFormat="false" ht="15" hidden="false" customHeight="false" outlineLevel="0" collapsed="false">
      <c r="A3330" s="28" t="n">
        <v>2023</v>
      </c>
      <c r="B3330" s="28" t="s">
        <v>108</v>
      </c>
      <c r="C3330" s="28" t="s">
        <v>50</v>
      </c>
      <c r="D3330" s="28" t="n">
        <v>40</v>
      </c>
      <c r="E3330" s="29" t="n">
        <v>18364400</v>
      </c>
      <c r="F3330" s="30" t="n">
        <v>397.82</v>
      </c>
      <c r="G3330" s="31" t="n">
        <f aca="false">IFERROR(F3330/D3330,0)</f>
        <v>9.9455</v>
      </c>
    </row>
    <row r="3331" customFormat="false" ht="15" hidden="false" customHeight="false" outlineLevel="0" collapsed="false">
      <c r="A3331" s="28" t="n">
        <v>2023</v>
      </c>
      <c r="B3331" s="28" t="s">
        <v>108</v>
      </c>
      <c r="C3331" s="28" t="s">
        <v>55</v>
      </c>
      <c r="D3331" s="28" t="n">
        <v>6</v>
      </c>
      <c r="E3331" s="29" t="n">
        <v>148000</v>
      </c>
      <c r="F3331" s="30" t="n">
        <v>67.99</v>
      </c>
      <c r="G3331" s="31" t="n">
        <f aca="false">IFERROR(F3331/D3331,0)</f>
        <v>11.3316666666667</v>
      </c>
    </row>
    <row r="3332" customFormat="false" ht="15" hidden="false" customHeight="false" outlineLevel="0" collapsed="false">
      <c r="A3332" s="28" t="n">
        <v>2023</v>
      </c>
      <c r="B3332" s="28" t="s">
        <v>108</v>
      </c>
      <c r="C3332" s="28" t="s">
        <v>51</v>
      </c>
      <c r="D3332" s="28" t="n">
        <v>15</v>
      </c>
      <c r="E3332" s="29" t="n">
        <v>14341700</v>
      </c>
      <c r="F3332" s="30" t="n">
        <v>145.58</v>
      </c>
      <c r="G3332" s="31" t="n">
        <f aca="false">IFERROR(F3332/D3332,0)</f>
        <v>9.70533333333333</v>
      </c>
    </row>
    <row r="3333" customFormat="false" ht="15" hidden="false" customHeight="false" outlineLevel="0" collapsed="false">
      <c r="A3333" s="28" t="n">
        <v>2023</v>
      </c>
      <c r="B3333" s="28" t="s">
        <v>108</v>
      </c>
      <c r="C3333" s="28" t="s">
        <v>45</v>
      </c>
      <c r="D3333" s="28" t="n">
        <v>111</v>
      </c>
      <c r="E3333" s="29" t="n">
        <v>52038800</v>
      </c>
      <c r="F3333" s="30" t="n">
        <v>1108.725</v>
      </c>
      <c r="G3333" s="31" t="n">
        <f aca="false">IFERROR(F3333/D3333,0)</f>
        <v>9.98851351351351</v>
      </c>
    </row>
    <row r="3334" customFormat="false" ht="15" hidden="false" customHeight="false" outlineLevel="0" collapsed="false">
      <c r="A3334" s="28" t="n">
        <v>2023</v>
      </c>
      <c r="B3334" s="28" t="s">
        <v>108</v>
      </c>
      <c r="C3334" s="28" t="s">
        <v>56</v>
      </c>
      <c r="D3334" s="28" t="n">
        <v>7</v>
      </c>
      <c r="E3334" s="29" t="n">
        <v>4047400</v>
      </c>
      <c r="F3334" s="30" t="n">
        <v>69.89</v>
      </c>
      <c r="G3334" s="31" t="n">
        <f aca="false">IFERROR(F3334/D3334,0)</f>
        <v>9.98428571428572</v>
      </c>
    </row>
    <row r="3335" customFormat="false" ht="15" hidden="false" customHeight="false" outlineLevel="0" collapsed="false">
      <c r="A3335" s="28" t="n">
        <v>2023</v>
      </c>
      <c r="B3335" s="28" t="s">
        <v>108</v>
      </c>
      <c r="C3335" s="28" t="s">
        <v>54</v>
      </c>
      <c r="D3335" s="28" t="n">
        <v>11</v>
      </c>
      <c r="E3335" s="29" t="n">
        <v>3966800</v>
      </c>
      <c r="F3335" s="30" t="n">
        <v>101.72</v>
      </c>
      <c r="G3335" s="31" t="n">
        <f aca="false">IFERROR(F3335/D3335,0)</f>
        <v>9.24727272727273</v>
      </c>
    </row>
    <row r="3336" customFormat="false" ht="15" hidden="false" customHeight="false" outlineLevel="0" collapsed="false">
      <c r="A3336" s="28" t="n">
        <v>2023</v>
      </c>
      <c r="B3336" s="28" t="s">
        <v>108</v>
      </c>
      <c r="C3336" s="28" t="s">
        <v>44</v>
      </c>
      <c r="D3336" s="28" t="n">
        <v>55</v>
      </c>
      <c r="E3336" s="29" t="n">
        <v>37296100</v>
      </c>
      <c r="F3336" s="30" t="n">
        <v>509.62</v>
      </c>
      <c r="G3336" s="31" t="n">
        <f aca="false">IFERROR(F3336/D3336,0)</f>
        <v>9.26581818181818</v>
      </c>
    </row>
    <row r="3337" customFormat="false" ht="15" hidden="false" customHeight="false" outlineLevel="0" collapsed="false">
      <c r="A3337" s="28" t="n">
        <v>2023</v>
      </c>
      <c r="B3337" s="28" t="s">
        <v>108</v>
      </c>
      <c r="C3337" s="28" t="s">
        <v>57</v>
      </c>
      <c r="D3337" s="28" t="n">
        <v>9</v>
      </c>
      <c r="E3337" s="29" t="n">
        <v>7250000</v>
      </c>
      <c r="F3337" s="30" t="n">
        <v>102.09</v>
      </c>
      <c r="G3337" s="31" t="n">
        <f aca="false">IFERROR(F3337/D3337,0)</f>
        <v>11.3433333333333</v>
      </c>
    </row>
    <row r="3338" customFormat="false" ht="15" hidden="false" customHeight="false" outlineLevel="0" collapsed="false">
      <c r="A3338" s="28" t="n">
        <v>2023</v>
      </c>
      <c r="B3338" s="28" t="s">
        <v>108</v>
      </c>
      <c r="C3338" s="28" t="s">
        <v>47</v>
      </c>
      <c r="D3338" s="28" t="n">
        <v>70</v>
      </c>
      <c r="E3338" s="29" t="n">
        <v>40346900</v>
      </c>
      <c r="F3338" s="30" t="n">
        <v>688.66</v>
      </c>
      <c r="G3338" s="31" t="n">
        <f aca="false">IFERROR(F3338/D3338,0)</f>
        <v>9.838</v>
      </c>
    </row>
    <row r="3339" customFormat="false" ht="15" hidden="false" customHeight="false" outlineLevel="0" collapsed="false">
      <c r="A3339" s="28" t="n">
        <v>2023</v>
      </c>
      <c r="B3339" s="28" t="s">
        <v>108</v>
      </c>
      <c r="C3339" s="28" t="s">
        <v>46</v>
      </c>
      <c r="D3339" s="28" t="n">
        <v>49</v>
      </c>
      <c r="E3339" s="29" t="n">
        <v>18668300</v>
      </c>
      <c r="F3339" s="30" t="n">
        <v>487.99</v>
      </c>
      <c r="G3339" s="31" t="n">
        <f aca="false">IFERROR(F3339/D3339,0)</f>
        <v>9.95897959183674</v>
      </c>
    </row>
    <row r="3340" customFormat="false" ht="15" hidden="false" customHeight="false" outlineLevel="0" collapsed="false">
      <c r="A3340" s="28" t="n">
        <v>2023</v>
      </c>
      <c r="B3340" s="28" t="s">
        <v>108</v>
      </c>
      <c r="C3340" s="28" t="s">
        <v>48</v>
      </c>
      <c r="D3340" s="28" t="n">
        <v>58</v>
      </c>
      <c r="E3340" s="29" t="n">
        <v>33139400</v>
      </c>
      <c r="F3340" s="30" t="n">
        <v>583.71</v>
      </c>
      <c r="G3340" s="31" t="n">
        <f aca="false">IFERROR(F3340/D3340,0)</f>
        <v>10.0639655172414</v>
      </c>
    </row>
    <row r="3341" customFormat="false" ht="15" hidden="false" customHeight="false" outlineLevel="0" collapsed="false">
      <c r="A3341" s="28" t="n">
        <v>2023</v>
      </c>
      <c r="B3341" s="28" t="s">
        <v>108</v>
      </c>
      <c r="C3341" s="28" t="s">
        <v>53</v>
      </c>
      <c r="D3341" s="28" t="n">
        <v>21</v>
      </c>
      <c r="E3341" s="29" t="n">
        <v>16671200</v>
      </c>
      <c r="F3341" s="30" t="n">
        <v>201.78</v>
      </c>
      <c r="G3341" s="31" t="n">
        <f aca="false">IFERROR(F3341/D3341,0)</f>
        <v>9.60857142857143</v>
      </c>
    </row>
    <row r="3342" customFormat="false" ht="15" hidden="false" customHeight="false" outlineLevel="0" collapsed="false">
      <c r="A3342" s="28" t="n">
        <v>2023</v>
      </c>
      <c r="B3342" s="28" t="s">
        <v>108</v>
      </c>
      <c r="C3342" s="28" t="s">
        <v>43</v>
      </c>
      <c r="D3342" s="28" t="n">
        <v>101</v>
      </c>
      <c r="E3342" s="29" t="n">
        <v>75047300</v>
      </c>
      <c r="F3342" s="30" t="n">
        <v>1000.22</v>
      </c>
      <c r="G3342" s="31" t="n">
        <f aca="false">IFERROR(F3342/D3342,0)</f>
        <v>9.90316831683168</v>
      </c>
    </row>
    <row r="3343" customFormat="false" ht="15" hidden="false" customHeight="false" outlineLevel="0" collapsed="false">
      <c r="A3343" s="28" t="n">
        <v>2023</v>
      </c>
      <c r="B3343" s="28" t="s">
        <v>108</v>
      </c>
      <c r="C3343" s="28" t="s">
        <v>52</v>
      </c>
      <c r="D3343" s="28" t="n">
        <v>38</v>
      </c>
      <c r="E3343" s="29" t="n">
        <v>9758200</v>
      </c>
      <c r="F3343" s="30" t="n">
        <v>372.06</v>
      </c>
      <c r="G3343" s="31" t="n">
        <f aca="false">IFERROR(F3343/D3343,0)</f>
        <v>9.79105263157895</v>
      </c>
    </row>
    <row r="3344" customFormat="false" ht="15" hidden="false" customHeight="false" outlineLevel="0" collapsed="false">
      <c r="A3344" s="28" t="n">
        <v>2023</v>
      </c>
      <c r="B3344" s="28" t="s">
        <v>108</v>
      </c>
      <c r="C3344" s="28" t="s">
        <v>49</v>
      </c>
      <c r="D3344" s="28" t="n">
        <v>28</v>
      </c>
      <c r="E3344" s="29" t="n">
        <v>19154000</v>
      </c>
      <c r="F3344" s="30" t="n">
        <v>265.92</v>
      </c>
      <c r="G3344" s="31" t="n">
        <f aca="false">IFERROR(F3344/D3344,0)</f>
        <v>9.49714285714286</v>
      </c>
    </row>
    <row r="3345" customFormat="false" ht="15" hidden="false" customHeight="false" outlineLevel="0" collapsed="false">
      <c r="A3345" s="28" t="n">
        <v>2023</v>
      </c>
      <c r="B3345" s="28" t="s">
        <v>93</v>
      </c>
      <c r="C3345" s="28" t="s">
        <v>42</v>
      </c>
      <c r="D3345" s="28" t="n">
        <v>263</v>
      </c>
      <c r="E3345" s="29" t="n">
        <v>124398100</v>
      </c>
      <c r="F3345" s="30" t="n">
        <v>2720.91</v>
      </c>
      <c r="G3345" s="31" t="n">
        <f aca="false">IFERROR(F3345/D3345,0)</f>
        <v>10.3456653992395</v>
      </c>
    </row>
    <row r="3346" customFormat="false" ht="15" hidden="false" customHeight="false" outlineLevel="0" collapsed="false">
      <c r="A3346" s="28" t="n">
        <v>2023</v>
      </c>
      <c r="B3346" s="28" t="s">
        <v>93</v>
      </c>
      <c r="C3346" s="28" t="s">
        <v>50</v>
      </c>
      <c r="D3346" s="28" t="n">
        <v>117</v>
      </c>
      <c r="E3346" s="29" t="n">
        <v>30229200</v>
      </c>
      <c r="F3346" s="30" t="n">
        <v>1254.36</v>
      </c>
      <c r="G3346" s="31" t="n">
        <f aca="false">IFERROR(F3346/D3346,0)</f>
        <v>10.7210256410256</v>
      </c>
    </row>
    <row r="3347" customFormat="false" ht="15" hidden="false" customHeight="false" outlineLevel="0" collapsed="false">
      <c r="A3347" s="28" t="n">
        <v>2023</v>
      </c>
      <c r="B3347" s="28" t="s">
        <v>93</v>
      </c>
      <c r="C3347" s="28" t="s">
        <v>55</v>
      </c>
      <c r="D3347" s="28" t="n">
        <v>5</v>
      </c>
      <c r="E3347" s="29" t="n">
        <v>1013300</v>
      </c>
      <c r="F3347" s="30" t="n">
        <v>60.5</v>
      </c>
      <c r="G3347" s="31" t="n">
        <f aca="false">IFERROR(F3347/D3347,0)</f>
        <v>12.1</v>
      </c>
    </row>
    <row r="3348" customFormat="false" ht="15" hidden="false" customHeight="false" outlineLevel="0" collapsed="false">
      <c r="A3348" s="28" t="n">
        <v>2023</v>
      </c>
      <c r="B3348" s="28" t="s">
        <v>93</v>
      </c>
      <c r="C3348" s="28" t="s">
        <v>51</v>
      </c>
      <c r="D3348" s="28" t="n">
        <v>59</v>
      </c>
      <c r="E3348" s="29" t="n">
        <v>36169200</v>
      </c>
      <c r="F3348" s="30" t="n">
        <v>626.89</v>
      </c>
      <c r="G3348" s="31" t="n">
        <f aca="false">IFERROR(F3348/D3348,0)</f>
        <v>10.6252542372881</v>
      </c>
    </row>
    <row r="3349" customFormat="false" ht="15" hidden="false" customHeight="false" outlineLevel="0" collapsed="false">
      <c r="A3349" s="28" t="n">
        <v>2023</v>
      </c>
      <c r="B3349" s="28" t="s">
        <v>93</v>
      </c>
      <c r="C3349" s="28" t="s">
        <v>45</v>
      </c>
      <c r="D3349" s="28" t="n">
        <v>295</v>
      </c>
      <c r="E3349" s="29" t="n">
        <v>63728400</v>
      </c>
      <c r="F3349" s="30" t="n">
        <v>3201.704</v>
      </c>
      <c r="G3349" s="31" t="n">
        <f aca="false">IFERROR(F3349/D3349,0)</f>
        <v>10.8532338983051</v>
      </c>
    </row>
    <row r="3350" customFormat="false" ht="15" hidden="false" customHeight="false" outlineLevel="0" collapsed="false">
      <c r="A3350" s="28" t="n">
        <v>2023</v>
      </c>
      <c r="B3350" s="28" t="s">
        <v>93</v>
      </c>
      <c r="C3350" s="28" t="s">
        <v>56</v>
      </c>
      <c r="D3350" s="28" t="n">
        <v>27</v>
      </c>
      <c r="E3350" s="29" t="n">
        <v>6260500</v>
      </c>
      <c r="F3350" s="30" t="n">
        <v>295.08</v>
      </c>
      <c r="G3350" s="31" t="n">
        <f aca="false">IFERROR(F3350/D3350,0)</f>
        <v>10.9288888888889</v>
      </c>
    </row>
    <row r="3351" customFormat="false" ht="15" hidden="false" customHeight="false" outlineLevel="0" collapsed="false">
      <c r="A3351" s="28" t="n">
        <v>2023</v>
      </c>
      <c r="B3351" s="28" t="s">
        <v>93</v>
      </c>
      <c r="C3351" s="28" t="s">
        <v>54</v>
      </c>
      <c r="D3351" s="28" t="n">
        <v>23</v>
      </c>
      <c r="E3351" s="29" t="n">
        <v>14548000</v>
      </c>
      <c r="F3351" s="30" t="n">
        <v>246.32</v>
      </c>
      <c r="G3351" s="31" t="n">
        <f aca="false">IFERROR(F3351/D3351,0)</f>
        <v>10.7095652173913</v>
      </c>
    </row>
    <row r="3352" customFormat="false" ht="15" hidden="false" customHeight="false" outlineLevel="0" collapsed="false">
      <c r="A3352" s="28" t="n">
        <v>2023</v>
      </c>
      <c r="B3352" s="28" t="s">
        <v>93</v>
      </c>
      <c r="C3352" s="28" t="s">
        <v>44</v>
      </c>
      <c r="D3352" s="28" t="n">
        <v>150</v>
      </c>
      <c r="E3352" s="29" t="n">
        <v>79998800</v>
      </c>
      <c r="F3352" s="30" t="n">
        <v>1560.83</v>
      </c>
      <c r="G3352" s="31" t="n">
        <f aca="false">IFERROR(F3352/D3352,0)</f>
        <v>10.4055333333333</v>
      </c>
    </row>
    <row r="3353" customFormat="false" ht="15" hidden="false" customHeight="false" outlineLevel="0" collapsed="false">
      <c r="A3353" s="28" t="n">
        <v>2023</v>
      </c>
      <c r="B3353" s="28" t="s">
        <v>93</v>
      </c>
      <c r="C3353" s="28" t="s">
        <v>57</v>
      </c>
      <c r="D3353" s="28" t="n">
        <v>11</v>
      </c>
      <c r="E3353" s="29" t="n">
        <v>2035500</v>
      </c>
      <c r="F3353" s="30" t="n">
        <v>130.2</v>
      </c>
      <c r="G3353" s="31" t="n">
        <f aca="false">IFERROR(F3353/D3353,0)</f>
        <v>11.8363636363636</v>
      </c>
    </row>
    <row r="3354" customFormat="false" ht="15" hidden="false" customHeight="false" outlineLevel="0" collapsed="false">
      <c r="A3354" s="28" t="n">
        <v>2023</v>
      </c>
      <c r="B3354" s="28" t="s">
        <v>93</v>
      </c>
      <c r="C3354" s="28" t="s">
        <v>47</v>
      </c>
      <c r="D3354" s="28" t="n">
        <v>124</v>
      </c>
      <c r="E3354" s="29" t="n">
        <v>71163200</v>
      </c>
      <c r="F3354" s="30" t="n">
        <v>1248.11</v>
      </c>
      <c r="G3354" s="31" t="n">
        <f aca="false">IFERROR(F3354/D3354,0)</f>
        <v>10.0654032258065</v>
      </c>
    </row>
    <row r="3355" customFormat="false" ht="15" hidden="false" customHeight="false" outlineLevel="0" collapsed="false">
      <c r="A3355" s="28" t="n">
        <v>2023</v>
      </c>
      <c r="B3355" s="28" t="s">
        <v>93</v>
      </c>
      <c r="C3355" s="28" t="s">
        <v>58</v>
      </c>
      <c r="D3355" s="28" t="n">
        <v>3</v>
      </c>
      <c r="E3355" s="29" t="n">
        <v>122500</v>
      </c>
      <c r="F3355" s="30" t="n">
        <v>28.5</v>
      </c>
      <c r="G3355" s="31" t="n">
        <f aca="false">IFERROR(F3355/D3355,0)</f>
        <v>9.5</v>
      </c>
    </row>
    <row r="3356" customFormat="false" ht="15" hidden="false" customHeight="false" outlineLevel="0" collapsed="false">
      <c r="A3356" s="28" t="n">
        <v>2023</v>
      </c>
      <c r="B3356" s="28" t="s">
        <v>93</v>
      </c>
      <c r="C3356" s="28" t="s">
        <v>46</v>
      </c>
      <c r="D3356" s="28" t="n">
        <v>180</v>
      </c>
      <c r="E3356" s="29" t="n">
        <v>54978100</v>
      </c>
      <c r="F3356" s="30" t="n">
        <v>1923.14</v>
      </c>
      <c r="G3356" s="31" t="n">
        <f aca="false">IFERROR(F3356/D3356,0)</f>
        <v>10.6841111111111</v>
      </c>
    </row>
    <row r="3357" customFormat="false" ht="15" hidden="false" customHeight="false" outlineLevel="0" collapsed="false">
      <c r="A3357" s="28" t="n">
        <v>2023</v>
      </c>
      <c r="B3357" s="28" t="s">
        <v>93</v>
      </c>
      <c r="C3357" s="28" t="s">
        <v>48</v>
      </c>
      <c r="D3357" s="28" t="n">
        <v>130</v>
      </c>
      <c r="E3357" s="29" t="n">
        <v>48476200</v>
      </c>
      <c r="F3357" s="30" t="n">
        <v>1432.86</v>
      </c>
      <c r="G3357" s="31" t="n">
        <f aca="false">IFERROR(F3357/D3357,0)</f>
        <v>11.022</v>
      </c>
    </row>
    <row r="3358" customFormat="false" ht="15" hidden="false" customHeight="false" outlineLevel="0" collapsed="false">
      <c r="A3358" s="28" t="n">
        <v>2023</v>
      </c>
      <c r="B3358" s="28" t="s">
        <v>93</v>
      </c>
      <c r="C3358" s="28" t="s">
        <v>53</v>
      </c>
      <c r="D3358" s="28" t="n">
        <v>51</v>
      </c>
      <c r="E3358" s="29" t="n">
        <v>14586500</v>
      </c>
      <c r="F3358" s="30" t="n">
        <v>548.35</v>
      </c>
      <c r="G3358" s="31" t="n">
        <f aca="false">IFERROR(F3358/D3358,0)</f>
        <v>10.7519607843137</v>
      </c>
    </row>
    <row r="3359" customFormat="false" ht="15" hidden="false" customHeight="false" outlineLevel="0" collapsed="false">
      <c r="A3359" s="28" t="n">
        <v>2023</v>
      </c>
      <c r="B3359" s="28" t="s">
        <v>93</v>
      </c>
      <c r="C3359" s="28" t="s">
        <v>43</v>
      </c>
      <c r="D3359" s="28" t="n">
        <v>230</v>
      </c>
      <c r="E3359" s="29" t="n">
        <v>84528300</v>
      </c>
      <c r="F3359" s="30" t="n">
        <v>2490.285</v>
      </c>
      <c r="G3359" s="31" t="n">
        <f aca="false">IFERROR(F3359/D3359,0)</f>
        <v>10.8273260869565</v>
      </c>
    </row>
    <row r="3360" customFormat="false" ht="15" hidden="false" customHeight="false" outlineLevel="0" collapsed="false">
      <c r="A3360" s="28" t="n">
        <v>2023</v>
      </c>
      <c r="B3360" s="28" t="s">
        <v>93</v>
      </c>
      <c r="C3360" s="28" t="s">
        <v>52</v>
      </c>
      <c r="D3360" s="28" t="n">
        <v>118</v>
      </c>
      <c r="E3360" s="29" t="n">
        <v>19294700</v>
      </c>
      <c r="F3360" s="30" t="n">
        <v>1328.825</v>
      </c>
      <c r="G3360" s="31" t="n">
        <f aca="false">IFERROR(F3360/D3360,0)</f>
        <v>11.2612288135593</v>
      </c>
    </row>
    <row r="3361" customFormat="false" ht="15" hidden="false" customHeight="false" outlineLevel="0" collapsed="false">
      <c r="A3361" s="28" t="n">
        <v>2023</v>
      </c>
      <c r="B3361" s="28" t="s">
        <v>93</v>
      </c>
      <c r="C3361" s="28" t="s">
        <v>49</v>
      </c>
      <c r="D3361" s="28" t="n">
        <v>64</v>
      </c>
      <c r="E3361" s="29" t="n">
        <v>32532800</v>
      </c>
      <c r="F3361" s="30" t="n">
        <v>667.27</v>
      </c>
      <c r="G3361" s="31" t="n">
        <f aca="false">IFERROR(F3361/D3361,0)</f>
        <v>10.42609375</v>
      </c>
    </row>
    <row r="3362" customFormat="false" ht="15" hidden="false" customHeight="false" outlineLevel="0" collapsed="false">
      <c r="A3362" s="28" t="n">
        <v>2023</v>
      </c>
      <c r="B3362" s="28" t="s">
        <v>120</v>
      </c>
      <c r="C3362" s="28" t="s">
        <v>42</v>
      </c>
      <c r="D3362" s="28" t="n">
        <v>31</v>
      </c>
      <c r="E3362" s="29" t="n">
        <v>8797300</v>
      </c>
      <c r="F3362" s="30" t="n">
        <v>346.5</v>
      </c>
      <c r="G3362" s="31" t="n">
        <f aca="false">IFERROR(F3362/D3362,0)</f>
        <v>11.1774193548387</v>
      </c>
    </row>
    <row r="3363" customFormat="false" ht="15" hidden="false" customHeight="false" outlineLevel="0" collapsed="false">
      <c r="A3363" s="28" t="n">
        <v>2023</v>
      </c>
      <c r="B3363" s="28" t="s">
        <v>120</v>
      </c>
      <c r="C3363" s="28" t="s">
        <v>50</v>
      </c>
      <c r="D3363" s="28" t="n">
        <v>13</v>
      </c>
      <c r="E3363" s="29" t="n">
        <v>2963200</v>
      </c>
      <c r="F3363" s="30" t="n">
        <v>129</v>
      </c>
      <c r="G3363" s="31" t="n">
        <f aca="false">IFERROR(F3363/D3363,0)</f>
        <v>9.92307692307692</v>
      </c>
    </row>
    <row r="3364" customFormat="false" ht="15" hidden="false" customHeight="false" outlineLevel="0" collapsed="false">
      <c r="A3364" s="28" t="n">
        <v>2023</v>
      </c>
      <c r="B3364" s="28" t="s">
        <v>120</v>
      </c>
      <c r="C3364" s="28" t="s">
        <v>55</v>
      </c>
      <c r="D3364" s="28" t="n">
        <v>3</v>
      </c>
      <c r="E3364" s="29" t="n">
        <v>195000</v>
      </c>
      <c r="F3364" s="30" t="n">
        <v>38.25</v>
      </c>
      <c r="G3364" s="31" t="n">
        <f aca="false">IFERROR(F3364/D3364,0)</f>
        <v>12.75</v>
      </c>
    </row>
    <row r="3365" customFormat="false" ht="15" hidden="false" customHeight="false" outlineLevel="0" collapsed="false">
      <c r="A3365" s="28" t="n">
        <v>2023</v>
      </c>
      <c r="B3365" s="28" t="s">
        <v>120</v>
      </c>
      <c r="C3365" s="28" t="s">
        <v>51</v>
      </c>
      <c r="D3365" s="28" t="n">
        <v>4</v>
      </c>
      <c r="E3365" s="29" t="n">
        <v>508800</v>
      </c>
      <c r="F3365" s="30" t="n">
        <v>46.5</v>
      </c>
      <c r="G3365" s="31" t="n">
        <f aca="false">IFERROR(F3365/D3365,0)</f>
        <v>11.625</v>
      </c>
    </row>
    <row r="3366" customFormat="false" ht="15" hidden="false" customHeight="false" outlineLevel="0" collapsed="false">
      <c r="A3366" s="28" t="n">
        <v>2023</v>
      </c>
      <c r="B3366" s="28" t="s">
        <v>120</v>
      </c>
      <c r="C3366" s="28" t="s">
        <v>45</v>
      </c>
      <c r="D3366" s="28" t="n">
        <v>39</v>
      </c>
      <c r="E3366" s="29" t="n">
        <v>3625000</v>
      </c>
      <c r="F3366" s="30" t="n">
        <v>446.75</v>
      </c>
      <c r="G3366" s="31" t="n">
        <f aca="false">IFERROR(F3366/D3366,0)</f>
        <v>11.4551282051282</v>
      </c>
    </row>
    <row r="3367" customFormat="false" ht="15" hidden="false" customHeight="false" outlineLevel="0" collapsed="false">
      <c r="A3367" s="28" t="n">
        <v>2023</v>
      </c>
      <c r="B3367" s="28" t="s">
        <v>120</v>
      </c>
      <c r="C3367" s="28" t="s">
        <v>56</v>
      </c>
      <c r="D3367" s="28" t="n">
        <v>2</v>
      </c>
      <c r="E3367" s="29" t="n">
        <v>180900</v>
      </c>
      <c r="F3367" s="30" t="n">
        <v>18.75</v>
      </c>
      <c r="G3367" s="31" t="n">
        <f aca="false">IFERROR(F3367/D3367,0)</f>
        <v>9.375</v>
      </c>
    </row>
    <row r="3368" customFormat="false" ht="15" hidden="false" customHeight="false" outlineLevel="0" collapsed="false">
      <c r="A3368" s="28" t="n">
        <v>2023</v>
      </c>
      <c r="B3368" s="28" t="s">
        <v>120</v>
      </c>
      <c r="C3368" s="28" t="s">
        <v>54</v>
      </c>
      <c r="D3368" s="28" t="n">
        <v>3</v>
      </c>
      <c r="E3368" s="29" t="n">
        <v>655400</v>
      </c>
      <c r="F3368" s="30" t="n">
        <v>33.5</v>
      </c>
      <c r="G3368" s="31" t="n">
        <f aca="false">IFERROR(F3368/D3368,0)</f>
        <v>11.1666666666667</v>
      </c>
    </row>
    <row r="3369" customFormat="false" ht="15" hidden="false" customHeight="false" outlineLevel="0" collapsed="false">
      <c r="A3369" s="28" t="n">
        <v>2023</v>
      </c>
      <c r="B3369" s="28" t="s">
        <v>120</v>
      </c>
      <c r="C3369" s="28" t="s">
        <v>44</v>
      </c>
      <c r="D3369" s="28" t="n">
        <v>123</v>
      </c>
      <c r="E3369" s="29" t="n">
        <v>19474500</v>
      </c>
      <c r="F3369" s="30" t="n">
        <v>1302.15</v>
      </c>
      <c r="G3369" s="31" t="n">
        <f aca="false">IFERROR(F3369/D3369,0)</f>
        <v>10.5865853658537</v>
      </c>
    </row>
    <row r="3370" customFormat="false" ht="15" hidden="false" customHeight="false" outlineLevel="0" collapsed="false">
      <c r="A3370" s="28" t="n">
        <v>2023</v>
      </c>
      <c r="B3370" s="28" t="s">
        <v>120</v>
      </c>
      <c r="C3370" s="28" t="s">
        <v>57</v>
      </c>
      <c r="D3370" s="28" t="n">
        <v>4</v>
      </c>
      <c r="E3370" s="29" t="n">
        <v>420000</v>
      </c>
      <c r="F3370" s="30" t="n">
        <v>48</v>
      </c>
      <c r="G3370" s="31" t="n">
        <f aca="false">IFERROR(F3370/D3370,0)</f>
        <v>12</v>
      </c>
    </row>
    <row r="3371" customFormat="false" ht="15" hidden="false" customHeight="false" outlineLevel="0" collapsed="false">
      <c r="A3371" s="28" t="n">
        <v>2023</v>
      </c>
      <c r="B3371" s="28" t="s">
        <v>120</v>
      </c>
      <c r="C3371" s="28" t="s">
        <v>47</v>
      </c>
      <c r="D3371" s="28" t="n">
        <v>23</v>
      </c>
      <c r="E3371" s="29" t="n">
        <v>2184300</v>
      </c>
      <c r="F3371" s="30" t="n">
        <v>255</v>
      </c>
      <c r="G3371" s="31" t="n">
        <f aca="false">IFERROR(F3371/D3371,0)</f>
        <v>11.0869565217391</v>
      </c>
    </row>
    <row r="3372" customFormat="false" ht="15" hidden="false" customHeight="false" outlineLevel="0" collapsed="false">
      <c r="A3372" s="28" t="n">
        <v>2023</v>
      </c>
      <c r="B3372" s="28" t="s">
        <v>120</v>
      </c>
      <c r="C3372" s="28" t="s">
        <v>46</v>
      </c>
      <c r="D3372" s="28" t="n">
        <v>29</v>
      </c>
      <c r="E3372" s="29" t="n">
        <v>2185400</v>
      </c>
      <c r="F3372" s="30" t="n">
        <v>299</v>
      </c>
      <c r="G3372" s="31" t="n">
        <f aca="false">IFERROR(F3372/D3372,0)</f>
        <v>10.3103448275862</v>
      </c>
    </row>
    <row r="3373" customFormat="false" ht="15" hidden="false" customHeight="false" outlineLevel="0" collapsed="false">
      <c r="A3373" s="28" t="n">
        <v>2023</v>
      </c>
      <c r="B3373" s="28" t="s">
        <v>120</v>
      </c>
      <c r="C3373" s="28" t="s">
        <v>48</v>
      </c>
      <c r="D3373" s="28" t="n">
        <v>54</v>
      </c>
      <c r="E3373" s="29" t="n">
        <v>7332400</v>
      </c>
      <c r="F3373" s="30" t="n">
        <v>624.75</v>
      </c>
      <c r="G3373" s="31" t="n">
        <f aca="false">IFERROR(F3373/D3373,0)</f>
        <v>11.5694444444444</v>
      </c>
    </row>
    <row r="3374" customFormat="false" ht="15" hidden="false" customHeight="false" outlineLevel="0" collapsed="false">
      <c r="A3374" s="28" t="n">
        <v>2023</v>
      </c>
      <c r="B3374" s="28" t="s">
        <v>120</v>
      </c>
      <c r="C3374" s="28" t="s">
        <v>53</v>
      </c>
      <c r="D3374" s="28" t="n">
        <v>10</v>
      </c>
      <c r="E3374" s="29" t="n">
        <v>1144800</v>
      </c>
      <c r="F3374" s="30" t="n">
        <v>108.5</v>
      </c>
      <c r="G3374" s="31" t="n">
        <f aca="false">IFERROR(F3374/D3374,0)</f>
        <v>10.85</v>
      </c>
    </row>
    <row r="3375" customFormat="false" ht="15" hidden="false" customHeight="false" outlineLevel="0" collapsed="false">
      <c r="A3375" s="28" t="n">
        <v>2023</v>
      </c>
      <c r="B3375" s="28" t="s">
        <v>120</v>
      </c>
      <c r="C3375" s="28" t="s">
        <v>43</v>
      </c>
      <c r="D3375" s="28" t="n">
        <v>56</v>
      </c>
      <c r="E3375" s="29" t="n">
        <v>9686600</v>
      </c>
      <c r="F3375" s="30" t="n">
        <v>624.85</v>
      </c>
      <c r="G3375" s="31" t="n">
        <f aca="false">IFERROR(F3375/D3375,0)</f>
        <v>11.1580357142857</v>
      </c>
    </row>
    <row r="3376" customFormat="false" ht="15" hidden="false" customHeight="false" outlineLevel="0" collapsed="false">
      <c r="A3376" s="28" t="n">
        <v>2023</v>
      </c>
      <c r="B3376" s="28" t="s">
        <v>120</v>
      </c>
      <c r="C3376" s="28" t="s">
        <v>52</v>
      </c>
      <c r="D3376" s="28" t="n">
        <v>11</v>
      </c>
      <c r="E3376" s="29" t="n">
        <v>3369200</v>
      </c>
      <c r="F3376" s="30" t="n">
        <v>123.75</v>
      </c>
      <c r="G3376" s="31" t="n">
        <f aca="false">IFERROR(F3376/D3376,0)</f>
        <v>11.25</v>
      </c>
    </row>
    <row r="3377" customFormat="false" ht="15" hidden="false" customHeight="false" outlineLevel="0" collapsed="false">
      <c r="A3377" s="28" t="n">
        <v>2023</v>
      </c>
      <c r="B3377" s="28" t="s">
        <v>120</v>
      </c>
      <c r="C3377" s="28" t="s">
        <v>60</v>
      </c>
      <c r="D3377" s="28" t="n">
        <v>1</v>
      </c>
      <c r="E3377" s="29" t="n">
        <v>200000</v>
      </c>
      <c r="F3377" s="30" t="n">
        <v>8.5</v>
      </c>
      <c r="G3377" s="31" t="n">
        <f aca="false">IFERROR(F3377/D3377,0)</f>
        <v>8.5</v>
      </c>
    </row>
    <row r="3378" customFormat="false" ht="15" hidden="false" customHeight="false" outlineLevel="0" collapsed="false">
      <c r="A3378" s="28" t="n">
        <v>2023</v>
      </c>
      <c r="B3378" s="28" t="s">
        <v>120</v>
      </c>
      <c r="C3378" s="28" t="s">
        <v>49</v>
      </c>
      <c r="D3378" s="28" t="n">
        <v>23</v>
      </c>
      <c r="E3378" s="29" t="n">
        <v>7352500</v>
      </c>
      <c r="F3378" s="30" t="n">
        <v>256</v>
      </c>
      <c r="G3378" s="31" t="n">
        <f aca="false">IFERROR(F3378/D3378,0)</f>
        <v>11.1304347826087</v>
      </c>
    </row>
    <row r="3379" customFormat="false" ht="15" hidden="false" customHeight="false" outlineLevel="0" collapsed="false">
      <c r="A3379" s="28" t="n">
        <v>2023</v>
      </c>
      <c r="B3379" s="28" t="s">
        <v>121</v>
      </c>
      <c r="C3379" s="28" t="s">
        <v>42</v>
      </c>
      <c r="D3379" s="28" t="n">
        <v>18</v>
      </c>
      <c r="E3379" s="29" t="n">
        <v>6179200</v>
      </c>
      <c r="F3379" s="30" t="n">
        <v>178</v>
      </c>
      <c r="G3379" s="31" t="n">
        <f aca="false">IFERROR(F3379/D3379,0)</f>
        <v>9.88888888888889</v>
      </c>
    </row>
    <row r="3380" customFormat="false" ht="15" hidden="false" customHeight="false" outlineLevel="0" collapsed="false">
      <c r="A3380" s="28" t="n">
        <v>2023</v>
      </c>
      <c r="B3380" s="28" t="s">
        <v>121</v>
      </c>
      <c r="C3380" s="28" t="s">
        <v>50</v>
      </c>
      <c r="D3380" s="28" t="n">
        <v>10</v>
      </c>
      <c r="E3380" s="29" t="n">
        <v>3822000</v>
      </c>
      <c r="F3380" s="30" t="n">
        <v>89.64</v>
      </c>
      <c r="G3380" s="31" t="n">
        <f aca="false">IFERROR(F3380/D3380,0)</f>
        <v>8.964</v>
      </c>
    </row>
    <row r="3381" customFormat="false" ht="15" hidden="false" customHeight="false" outlineLevel="0" collapsed="false">
      <c r="A3381" s="28" t="n">
        <v>2023</v>
      </c>
      <c r="B3381" s="28" t="s">
        <v>121</v>
      </c>
      <c r="C3381" s="28" t="s">
        <v>55</v>
      </c>
      <c r="D3381" s="28" t="n">
        <v>1</v>
      </c>
      <c r="E3381" s="29" t="n">
        <v>120000</v>
      </c>
      <c r="F3381" s="30" t="n">
        <v>11.75</v>
      </c>
      <c r="G3381" s="31" t="n">
        <f aca="false">IFERROR(F3381/D3381,0)</f>
        <v>11.75</v>
      </c>
    </row>
    <row r="3382" customFormat="false" ht="15" hidden="false" customHeight="false" outlineLevel="0" collapsed="false">
      <c r="A3382" s="28" t="n">
        <v>2023</v>
      </c>
      <c r="B3382" s="28" t="s">
        <v>121</v>
      </c>
      <c r="C3382" s="28" t="s">
        <v>51</v>
      </c>
      <c r="D3382" s="28" t="n">
        <v>3</v>
      </c>
      <c r="E3382" s="29" t="n">
        <v>800000</v>
      </c>
      <c r="F3382" s="30" t="n">
        <v>28.25</v>
      </c>
      <c r="G3382" s="31" t="n">
        <f aca="false">IFERROR(F3382/D3382,0)</f>
        <v>9.41666666666667</v>
      </c>
    </row>
    <row r="3383" customFormat="false" ht="15" hidden="false" customHeight="false" outlineLevel="0" collapsed="false">
      <c r="A3383" s="28" t="n">
        <v>2023</v>
      </c>
      <c r="B3383" s="28" t="s">
        <v>121</v>
      </c>
      <c r="C3383" s="28" t="s">
        <v>45</v>
      </c>
      <c r="D3383" s="28" t="n">
        <v>25</v>
      </c>
      <c r="E3383" s="29" t="n">
        <v>7153900</v>
      </c>
      <c r="F3383" s="30" t="n">
        <v>271.67</v>
      </c>
      <c r="G3383" s="31" t="n">
        <f aca="false">IFERROR(F3383/D3383,0)</f>
        <v>10.8668</v>
      </c>
    </row>
    <row r="3384" customFormat="false" ht="15" hidden="false" customHeight="false" outlineLevel="0" collapsed="false">
      <c r="A3384" s="28" t="n">
        <v>2023</v>
      </c>
      <c r="B3384" s="28" t="s">
        <v>121</v>
      </c>
      <c r="C3384" s="28" t="s">
        <v>56</v>
      </c>
      <c r="D3384" s="28" t="n">
        <v>3</v>
      </c>
      <c r="E3384" s="29" t="n">
        <v>154200</v>
      </c>
      <c r="F3384" s="30" t="n">
        <v>28.82</v>
      </c>
      <c r="G3384" s="31" t="n">
        <f aca="false">IFERROR(F3384/D3384,0)</f>
        <v>9.60666666666667</v>
      </c>
    </row>
    <row r="3385" customFormat="false" ht="15" hidden="false" customHeight="false" outlineLevel="0" collapsed="false">
      <c r="A3385" s="28" t="n">
        <v>2023</v>
      </c>
      <c r="B3385" s="28" t="s">
        <v>121</v>
      </c>
      <c r="C3385" s="28" t="s">
        <v>54</v>
      </c>
      <c r="D3385" s="28" t="n">
        <v>5</v>
      </c>
      <c r="E3385" s="29" t="n">
        <v>3843700</v>
      </c>
      <c r="F3385" s="30" t="n">
        <v>46.75</v>
      </c>
      <c r="G3385" s="31" t="n">
        <f aca="false">IFERROR(F3385/D3385,0)</f>
        <v>9.35</v>
      </c>
    </row>
    <row r="3386" customFormat="false" ht="15" hidden="false" customHeight="false" outlineLevel="0" collapsed="false">
      <c r="A3386" s="28" t="n">
        <v>2023</v>
      </c>
      <c r="B3386" s="28" t="s">
        <v>121</v>
      </c>
      <c r="C3386" s="28" t="s">
        <v>44</v>
      </c>
      <c r="D3386" s="28" t="n">
        <v>15</v>
      </c>
      <c r="E3386" s="29" t="n">
        <v>2890000</v>
      </c>
      <c r="F3386" s="30" t="n">
        <v>148.49</v>
      </c>
      <c r="G3386" s="31" t="n">
        <f aca="false">IFERROR(F3386/D3386,0)</f>
        <v>9.89933333333334</v>
      </c>
    </row>
    <row r="3387" customFormat="false" ht="15" hidden="false" customHeight="false" outlineLevel="0" collapsed="false">
      <c r="A3387" s="28" t="n">
        <v>2023</v>
      </c>
      <c r="B3387" s="28" t="s">
        <v>121</v>
      </c>
      <c r="C3387" s="28" t="s">
        <v>57</v>
      </c>
      <c r="D3387" s="28" t="n">
        <v>3</v>
      </c>
      <c r="E3387" s="29" t="n">
        <v>2343800</v>
      </c>
      <c r="F3387" s="30" t="n">
        <v>31.5</v>
      </c>
      <c r="G3387" s="31" t="n">
        <f aca="false">IFERROR(F3387/D3387,0)</f>
        <v>10.5</v>
      </c>
    </row>
    <row r="3388" customFormat="false" ht="15" hidden="false" customHeight="false" outlineLevel="0" collapsed="false">
      <c r="A3388" s="28" t="n">
        <v>2023</v>
      </c>
      <c r="B3388" s="28" t="s">
        <v>121</v>
      </c>
      <c r="C3388" s="28" t="s">
        <v>59</v>
      </c>
      <c r="D3388" s="28" t="n">
        <v>2</v>
      </c>
      <c r="E3388" s="29" t="n">
        <v>3328000</v>
      </c>
      <c r="F3388" s="30" t="n">
        <v>17.75</v>
      </c>
      <c r="G3388" s="31" t="n">
        <f aca="false">IFERROR(F3388/D3388,0)</f>
        <v>8.875</v>
      </c>
    </row>
    <row r="3389" customFormat="false" ht="15" hidden="false" customHeight="false" outlineLevel="0" collapsed="false">
      <c r="A3389" s="28" t="n">
        <v>2023</v>
      </c>
      <c r="B3389" s="28" t="s">
        <v>121</v>
      </c>
      <c r="C3389" s="28" t="s">
        <v>47</v>
      </c>
      <c r="D3389" s="28" t="n">
        <v>13</v>
      </c>
      <c r="E3389" s="29" t="n">
        <v>9750500</v>
      </c>
      <c r="F3389" s="30" t="n">
        <v>121.25</v>
      </c>
      <c r="G3389" s="31" t="n">
        <f aca="false">IFERROR(F3389/D3389,0)</f>
        <v>9.32692307692308</v>
      </c>
    </row>
    <row r="3390" customFormat="false" ht="15" hidden="false" customHeight="false" outlineLevel="0" collapsed="false">
      <c r="A3390" s="28" t="n">
        <v>2023</v>
      </c>
      <c r="B3390" s="28" t="s">
        <v>121</v>
      </c>
      <c r="C3390" s="28" t="s">
        <v>46</v>
      </c>
      <c r="D3390" s="28" t="n">
        <v>18</v>
      </c>
      <c r="E3390" s="29" t="n">
        <v>2422600</v>
      </c>
      <c r="F3390" s="30" t="n">
        <v>194.52</v>
      </c>
      <c r="G3390" s="31" t="n">
        <f aca="false">IFERROR(F3390/D3390,0)</f>
        <v>10.8066666666667</v>
      </c>
    </row>
    <row r="3391" customFormat="false" ht="15" hidden="false" customHeight="false" outlineLevel="0" collapsed="false">
      <c r="A3391" s="28" t="n">
        <v>2023</v>
      </c>
      <c r="B3391" s="28" t="s">
        <v>121</v>
      </c>
      <c r="C3391" s="28" t="s">
        <v>48</v>
      </c>
      <c r="D3391" s="28" t="n">
        <v>13</v>
      </c>
      <c r="E3391" s="29" t="n">
        <v>3443500</v>
      </c>
      <c r="F3391" s="30" t="n">
        <v>125.95</v>
      </c>
      <c r="G3391" s="31" t="n">
        <f aca="false">IFERROR(F3391/D3391,0)</f>
        <v>9.68846153846154</v>
      </c>
    </row>
    <row r="3392" customFormat="false" ht="15" hidden="false" customHeight="false" outlineLevel="0" collapsed="false">
      <c r="A3392" s="28" t="n">
        <v>2023</v>
      </c>
      <c r="B3392" s="28" t="s">
        <v>121</v>
      </c>
      <c r="C3392" s="28" t="s">
        <v>53</v>
      </c>
      <c r="D3392" s="28" t="n">
        <v>6</v>
      </c>
      <c r="E3392" s="29" t="n">
        <v>1285000</v>
      </c>
      <c r="F3392" s="30" t="n">
        <v>57.65</v>
      </c>
      <c r="G3392" s="31" t="n">
        <f aca="false">IFERROR(F3392/D3392,0)</f>
        <v>9.60833333333334</v>
      </c>
    </row>
    <row r="3393" customFormat="false" ht="15" hidden="false" customHeight="false" outlineLevel="0" collapsed="false">
      <c r="A3393" s="28" t="n">
        <v>2023</v>
      </c>
      <c r="B3393" s="28" t="s">
        <v>121</v>
      </c>
      <c r="C3393" s="28" t="s">
        <v>43</v>
      </c>
      <c r="D3393" s="28" t="n">
        <v>23</v>
      </c>
      <c r="E3393" s="29" t="n">
        <v>8506400</v>
      </c>
      <c r="F3393" s="30" t="n">
        <v>221.39</v>
      </c>
      <c r="G3393" s="31" t="n">
        <f aca="false">IFERROR(F3393/D3393,0)</f>
        <v>9.62565217391304</v>
      </c>
    </row>
    <row r="3394" customFormat="false" ht="15" hidden="false" customHeight="false" outlineLevel="0" collapsed="false">
      <c r="A3394" s="28" t="n">
        <v>2023</v>
      </c>
      <c r="B3394" s="28" t="s">
        <v>121</v>
      </c>
      <c r="C3394" s="28" t="s">
        <v>52</v>
      </c>
      <c r="D3394" s="28" t="n">
        <v>10</v>
      </c>
      <c r="E3394" s="29" t="n">
        <v>457500</v>
      </c>
      <c r="F3394" s="30" t="n">
        <v>122.33</v>
      </c>
      <c r="G3394" s="31" t="n">
        <f aca="false">IFERROR(F3394/D3394,0)</f>
        <v>12.233</v>
      </c>
    </row>
    <row r="3395" customFormat="false" ht="15" hidden="false" customHeight="false" outlineLevel="0" collapsed="false">
      <c r="A3395" s="28" t="n">
        <v>2023</v>
      </c>
      <c r="B3395" s="28" t="s">
        <v>121</v>
      </c>
      <c r="C3395" s="28" t="s">
        <v>49</v>
      </c>
      <c r="D3395" s="28" t="n">
        <v>8</v>
      </c>
      <c r="E3395" s="29" t="n">
        <v>3277000</v>
      </c>
      <c r="F3395" s="30" t="n">
        <v>72.07</v>
      </c>
      <c r="G3395" s="31" t="n">
        <f aca="false">IFERROR(F3395/D3395,0)</f>
        <v>9.00875</v>
      </c>
    </row>
    <row r="3396" customFormat="false" ht="15" hidden="false" customHeight="false" outlineLevel="0" collapsed="false">
      <c r="A3396" s="28" t="n">
        <v>2023</v>
      </c>
      <c r="B3396" s="28" t="s">
        <v>111</v>
      </c>
      <c r="C3396" s="28" t="s">
        <v>42</v>
      </c>
      <c r="D3396" s="28" t="n">
        <v>91</v>
      </c>
      <c r="E3396" s="29" t="n">
        <v>89731500</v>
      </c>
      <c r="F3396" s="30" t="n">
        <v>898.46</v>
      </c>
      <c r="G3396" s="31" t="n">
        <f aca="false">IFERROR(F3396/D3396,0)</f>
        <v>9.87318681318681</v>
      </c>
    </row>
    <row r="3397" customFormat="false" ht="15" hidden="false" customHeight="false" outlineLevel="0" collapsed="false">
      <c r="A3397" s="28" t="n">
        <v>2023</v>
      </c>
      <c r="B3397" s="28" t="s">
        <v>111</v>
      </c>
      <c r="C3397" s="28" t="s">
        <v>50</v>
      </c>
      <c r="D3397" s="28" t="n">
        <v>42</v>
      </c>
      <c r="E3397" s="29" t="n">
        <v>10451200</v>
      </c>
      <c r="F3397" s="30" t="n">
        <v>461.28</v>
      </c>
      <c r="G3397" s="31" t="n">
        <f aca="false">IFERROR(F3397/D3397,0)</f>
        <v>10.9828571428571</v>
      </c>
    </row>
    <row r="3398" customFormat="false" ht="15" hidden="false" customHeight="false" outlineLevel="0" collapsed="false">
      <c r="A3398" s="28" t="n">
        <v>2023</v>
      </c>
      <c r="B3398" s="28" t="s">
        <v>111</v>
      </c>
      <c r="C3398" s="28" t="s">
        <v>55</v>
      </c>
      <c r="D3398" s="28" t="n">
        <v>3</v>
      </c>
      <c r="E3398" s="29" t="n">
        <v>1165000</v>
      </c>
      <c r="F3398" s="30" t="n">
        <v>28.2</v>
      </c>
      <c r="G3398" s="31" t="n">
        <f aca="false">IFERROR(F3398/D3398,0)</f>
        <v>9.4</v>
      </c>
    </row>
    <row r="3399" customFormat="false" ht="15" hidden="false" customHeight="false" outlineLevel="0" collapsed="false">
      <c r="A3399" s="28" t="n">
        <v>2023</v>
      </c>
      <c r="B3399" s="28" t="s">
        <v>111</v>
      </c>
      <c r="C3399" s="28" t="s">
        <v>51</v>
      </c>
      <c r="D3399" s="28" t="n">
        <v>21</v>
      </c>
      <c r="E3399" s="29" t="n">
        <v>10331900</v>
      </c>
      <c r="F3399" s="30" t="n">
        <v>212.46</v>
      </c>
      <c r="G3399" s="31" t="n">
        <f aca="false">IFERROR(F3399/D3399,0)</f>
        <v>10.1171428571429</v>
      </c>
    </row>
    <row r="3400" customFormat="false" ht="15" hidden="false" customHeight="false" outlineLevel="0" collapsed="false">
      <c r="A3400" s="28" t="n">
        <v>2023</v>
      </c>
      <c r="B3400" s="28" t="s">
        <v>111</v>
      </c>
      <c r="C3400" s="28" t="s">
        <v>45</v>
      </c>
      <c r="D3400" s="28" t="n">
        <v>85</v>
      </c>
      <c r="E3400" s="29" t="n">
        <v>35112300</v>
      </c>
      <c r="F3400" s="30" t="n">
        <v>912.4</v>
      </c>
      <c r="G3400" s="31" t="n">
        <f aca="false">IFERROR(F3400/D3400,0)</f>
        <v>10.7341176470588</v>
      </c>
    </row>
    <row r="3401" customFormat="false" ht="15" hidden="false" customHeight="false" outlineLevel="0" collapsed="false">
      <c r="A3401" s="28" t="n">
        <v>2023</v>
      </c>
      <c r="B3401" s="28" t="s">
        <v>111</v>
      </c>
      <c r="C3401" s="28" t="s">
        <v>56</v>
      </c>
      <c r="D3401" s="28" t="n">
        <v>6</v>
      </c>
      <c r="E3401" s="29" t="n">
        <v>1151000</v>
      </c>
      <c r="F3401" s="30" t="n">
        <v>62.5</v>
      </c>
      <c r="G3401" s="31" t="n">
        <f aca="false">IFERROR(F3401/D3401,0)</f>
        <v>10.4166666666667</v>
      </c>
    </row>
    <row r="3402" customFormat="false" ht="15" hidden="false" customHeight="false" outlineLevel="0" collapsed="false">
      <c r="A3402" s="28" t="n">
        <v>2023</v>
      </c>
      <c r="B3402" s="28" t="s">
        <v>111</v>
      </c>
      <c r="C3402" s="28" t="s">
        <v>54</v>
      </c>
      <c r="D3402" s="28" t="n">
        <v>15</v>
      </c>
      <c r="E3402" s="29" t="n">
        <v>3766800</v>
      </c>
      <c r="F3402" s="30" t="n">
        <v>157.36</v>
      </c>
      <c r="G3402" s="31" t="n">
        <f aca="false">IFERROR(F3402/D3402,0)</f>
        <v>10.4906666666667</v>
      </c>
    </row>
    <row r="3403" customFormat="false" ht="15" hidden="false" customHeight="false" outlineLevel="0" collapsed="false">
      <c r="A3403" s="28" t="n">
        <v>2023</v>
      </c>
      <c r="B3403" s="28" t="s">
        <v>111</v>
      </c>
      <c r="C3403" s="28" t="s">
        <v>44</v>
      </c>
      <c r="D3403" s="28" t="n">
        <v>44</v>
      </c>
      <c r="E3403" s="29" t="n">
        <v>23878200</v>
      </c>
      <c r="F3403" s="30" t="n">
        <v>476.4</v>
      </c>
      <c r="G3403" s="31" t="n">
        <f aca="false">IFERROR(F3403/D3403,0)</f>
        <v>10.8272727272727</v>
      </c>
    </row>
    <row r="3404" customFormat="false" ht="15" hidden="false" customHeight="false" outlineLevel="0" collapsed="false">
      <c r="A3404" s="28" t="n">
        <v>2023</v>
      </c>
      <c r="B3404" s="28" t="s">
        <v>111</v>
      </c>
      <c r="C3404" s="28" t="s">
        <v>57</v>
      </c>
      <c r="D3404" s="28" t="n">
        <v>5</v>
      </c>
      <c r="E3404" s="29" t="n">
        <v>1499000</v>
      </c>
      <c r="F3404" s="30" t="n">
        <v>57</v>
      </c>
      <c r="G3404" s="31" t="n">
        <f aca="false">IFERROR(F3404/D3404,0)</f>
        <v>11.4</v>
      </c>
    </row>
    <row r="3405" customFormat="false" ht="15" hidden="false" customHeight="false" outlineLevel="0" collapsed="false">
      <c r="A3405" s="28" t="n">
        <v>2023</v>
      </c>
      <c r="B3405" s="28" t="s">
        <v>111</v>
      </c>
      <c r="C3405" s="28" t="s">
        <v>47</v>
      </c>
      <c r="D3405" s="28" t="n">
        <v>28</v>
      </c>
      <c r="E3405" s="29" t="n">
        <v>25812700</v>
      </c>
      <c r="F3405" s="30" t="n">
        <v>280.25</v>
      </c>
      <c r="G3405" s="31" t="n">
        <f aca="false">IFERROR(F3405/D3405,0)</f>
        <v>10.0089285714286</v>
      </c>
    </row>
    <row r="3406" customFormat="false" ht="15" hidden="false" customHeight="false" outlineLevel="0" collapsed="false">
      <c r="A3406" s="28" t="n">
        <v>2023</v>
      </c>
      <c r="B3406" s="28" t="s">
        <v>111</v>
      </c>
      <c r="C3406" s="28" t="s">
        <v>46</v>
      </c>
      <c r="D3406" s="28" t="n">
        <v>62</v>
      </c>
      <c r="E3406" s="29" t="n">
        <v>29487700</v>
      </c>
      <c r="F3406" s="30" t="n">
        <v>681.07</v>
      </c>
      <c r="G3406" s="31" t="n">
        <f aca="false">IFERROR(F3406/D3406,0)</f>
        <v>10.985</v>
      </c>
    </row>
    <row r="3407" customFormat="false" ht="15" hidden="false" customHeight="false" outlineLevel="0" collapsed="false">
      <c r="A3407" s="28" t="n">
        <v>2023</v>
      </c>
      <c r="B3407" s="28" t="s">
        <v>111</v>
      </c>
      <c r="C3407" s="28" t="s">
        <v>48</v>
      </c>
      <c r="D3407" s="28" t="n">
        <v>40</v>
      </c>
      <c r="E3407" s="29" t="n">
        <v>20862000</v>
      </c>
      <c r="F3407" s="30" t="n">
        <v>402.03</v>
      </c>
      <c r="G3407" s="31" t="n">
        <f aca="false">IFERROR(F3407/D3407,0)</f>
        <v>10.05075</v>
      </c>
    </row>
    <row r="3408" customFormat="false" ht="15" hidden="false" customHeight="false" outlineLevel="0" collapsed="false">
      <c r="A3408" s="28" t="n">
        <v>2023</v>
      </c>
      <c r="B3408" s="28" t="s">
        <v>111</v>
      </c>
      <c r="C3408" s="28" t="s">
        <v>53</v>
      </c>
      <c r="D3408" s="28" t="n">
        <v>19</v>
      </c>
      <c r="E3408" s="29" t="n">
        <v>10488500</v>
      </c>
      <c r="F3408" s="30" t="n">
        <v>201.35</v>
      </c>
      <c r="G3408" s="31" t="n">
        <f aca="false">IFERROR(F3408/D3408,0)</f>
        <v>10.5973684210526</v>
      </c>
    </row>
    <row r="3409" customFormat="false" ht="15" hidden="false" customHeight="false" outlineLevel="0" collapsed="false">
      <c r="A3409" s="28" t="n">
        <v>2023</v>
      </c>
      <c r="B3409" s="28" t="s">
        <v>111</v>
      </c>
      <c r="C3409" s="28" t="s">
        <v>43</v>
      </c>
      <c r="D3409" s="28" t="n">
        <v>84</v>
      </c>
      <c r="E3409" s="29" t="n">
        <v>41357800</v>
      </c>
      <c r="F3409" s="30" t="n">
        <v>866.74</v>
      </c>
      <c r="G3409" s="31" t="n">
        <f aca="false">IFERROR(F3409/D3409,0)</f>
        <v>10.3183333333333</v>
      </c>
    </row>
    <row r="3410" customFormat="false" ht="15" hidden="false" customHeight="false" outlineLevel="0" collapsed="false">
      <c r="A3410" s="28" t="n">
        <v>2023</v>
      </c>
      <c r="B3410" s="28" t="s">
        <v>111</v>
      </c>
      <c r="C3410" s="28" t="s">
        <v>52</v>
      </c>
      <c r="D3410" s="28" t="n">
        <v>31</v>
      </c>
      <c r="E3410" s="29" t="n">
        <v>12751100</v>
      </c>
      <c r="F3410" s="30" t="n">
        <v>369.3</v>
      </c>
      <c r="G3410" s="31" t="n">
        <f aca="false">IFERROR(F3410/D3410,0)</f>
        <v>11.9129032258065</v>
      </c>
    </row>
    <row r="3411" customFormat="false" ht="15" hidden="false" customHeight="false" outlineLevel="0" collapsed="false">
      <c r="A3411" s="28" t="n">
        <v>2023</v>
      </c>
      <c r="B3411" s="28" t="s">
        <v>111</v>
      </c>
      <c r="C3411" s="28" t="s">
        <v>49</v>
      </c>
      <c r="D3411" s="28" t="n">
        <v>25</v>
      </c>
      <c r="E3411" s="29" t="n">
        <v>14413700</v>
      </c>
      <c r="F3411" s="30" t="n">
        <v>269.14</v>
      </c>
      <c r="G3411" s="31" t="n">
        <f aca="false">IFERROR(F3411/D3411,0)</f>
        <v>10.7656</v>
      </c>
    </row>
    <row r="3412" customFormat="false" ht="15" hidden="false" customHeight="false" outlineLevel="0" collapsed="false">
      <c r="A3412" s="28" t="n">
        <v>2023</v>
      </c>
      <c r="B3412" s="28" t="s">
        <v>122</v>
      </c>
      <c r="C3412" s="28" t="s">
        <v>42</v>
      </c>
      <c r="D3412" s="28" t="n">
        <v>20</v>
      </c>
      <c r="E3412" s="29" t="n">
        <v>12658800</v>
      </c>
      <c r="F3412" s="30" t="n">
        <v>179.34</v>
      </c>
      <c r="G3412" s="31" t="n">
        <f aca="false">IFERROR(F3412/D3412,0)</f>
        <v>8.967</v>
      </c>
    </row>
    <row r="3413" customFormat="false" ht="15" hidden="false" customHeight="false" outlineLevel="0" collapsed="false">
      <c r="A3413" s="28" t="n">
        <v>2023</v>
      </c>
      <c r="B3413" s="28" t="s">
        <v>122</v>
      </c>
      <c r="C3413" s="28" t="s">
        <v>50</v>
      </c>
      <c r="D3413" s="28" t="n">
        <v>6</v>
      </c>
      <c r="E3413" s="29" t="n">
        <v>2328900</v>
      </c>
      <c r="F3413" s="30" t="n">
        <v>57.25</v>
      </c>
      <c r="G3413" s="31" t="n">
        <f aca="false">IFERROR(F3413/D3413,0)</f>
        <v>9.54166666666667</v>
      </c>
    </row>
    <row r="3414" customFormat="false" ht="15" hidden="false" customHeight="false" outlineLevel="0" collapsed="false">
      <c r="A3414" s="28" t="n">
        <v>2023</v>
      </c>
      <c r="B3414" s="28" t="s">
        <v>122</v>
      </c>
      <c r="C3414" s="28" t="s">
        <v>55</v>
      </c>
      <c r="D3414" s="28" t="n">
        <v>1</v>
      </c>
      <c r="E3414" s="29" t="n">
        <v>160000</v>
      </c>
      <c r="F3414" s="30" t="n">
        <v>5.75</v>
      </c>
      <c r="G3414" s="31" t="n">
        <f aca="false">IFERROR(F3414/D3414,0)</f>
        <v>5.75</v>
      </c>
    </row>
    <row r="3415" customFormat="false" ht="15" hidden="false" customHeight="false" outlineLevel="0" collapsed="false">
      <c r="A3415" s="28" t="n">
        <v>2023</v>
      </c>
      <c r="B3415" s="28" t="s">
        <v>122</v>
      </c>
      <c r="C3415" s="28" t="s">
        <v>45</v>
      </c>
      <c r="D3415" s="28" t="n">
        <v>13</v>
      </c>
      <c r="E3415" s="29" t="n">
        <v>1996800</v>
      </c>
      <c r="F3415" s="30" t="n">
        <v>113.99</v>
      </c>
      <c r="G3415" s="31" t="n">
        <f aca="false">IFERROR(F3415/D3415,0)</f>
        <v>8.76846153846154</v>
      </c>
    </row>
    <row r="3416" customFormat="false" ht="15" hidden="false" customHeight="false" outlineLevel="0" collapsed="false">
      <c r="A3416" s="28" t="n">
        <v>2023</v>
      </c>
      <c r="B3416" s="28" t="s">
        <v>122</v>
      </c>
      <c r="C3416" s="28" t="s">
        <v>56</v>
      </c>
      <c r="D3416" s="28" t="n">
        <v>2</v>
      </c>
      <c r="E3416" s="29" t="n">
        <v>2158500</v>
      </c>
      <c r="F3416" s="30" t="n">
        <v>16.5</v>
      </c>
      <c r="G3416" s="31" t="n">
        <f aca="false">IFERROR(F3416/D3416,0)</f>
        <v>8.25</v>
      </c>
    </row>
    <row r="3417" customFormat="false" ht="15" hidden="false" customHeight="false" outlineLevel="0" collapsed="false">
      <c r="A3417" s="28" t="n">
        <v>2023</v>
      </c>
      <c r="B3417" s="28" t="s">
        <v>122</v>
      </c>
      <c r="C3417" s="28" t="s">
        <v>54</v>
      </c>
      <c r="D3417" s="28" t="n">
        <v>1</v>
      </c>
      <c r="E3417" s="29" t="n">
        <v>45100</v>
      </c>
      <c r="F3417" s="30" t="n">
        <v>11.75</v>
      </c>
      <c r="G3417" s="31" t="n">
        <f aca="false">IFERROR(F3417/D3417,0)</f>
        <v>11.75</v>
      </c>
    </row>
    <row r="3418" customFormat="false" ht="15" hidden="false" customHeight="false" outlineLevel="0" collapsed="false">
      <c r="A3418" s="28" t="n">
        <v>2023</v>
      </c>
      <c r="B3418" s="28" t="s">
        <v>122</v>
      </c>
      <c r="C3418" s="28" t="s">
        <v>44</v>
      </c>
      <c r="D3418" s="28" t="n">
        <v>7</v>
      </c>
      <c r="E3418" s="29" t="n">
        <v>1746100</v>
      </c>
      <c r="F3418" s="30" t="n">
        <v>61</v>
      </c>
      <c r="G3418" s="31" t="n">
        <f aca="false">IFERROR(F3418/D3418,0)</f>
        <v>8.71428571428571</v>
      </c>
    </row>
    <row r="3419" customFormat="false" ht="15" hidden="false" customHeight="false" outlineLevel="0" collapsed="false">
      <c r="A3419" s="28" t="n">
        <v>2023</v>
      </c>
      <c r="B3419" s="28" t="s">
        <v>122</v>
      </c>
      <c r="C3419" s="28" t="s">
        <v>59</v>
      </c>
      <c r="D3419" s="28" t="n">
        <v>2</v>
      </c>
      <c r="E3419" s="29" t="n">
        <v>150000</v>
      </c>
      <c r="F3419" s="30" t="n">
        <v>15.25</v>
      </c>
      <c r="G3419" s="31" t="n">
        <f aca="false">IFERROR(F3419/D3419,0)</f>
        <v>7.625</v>
      </c>
    </row>
    <row r="3420" customFormat="false" ht="15" hidden="false" customHeight="false" outlineLevel="0" collapsed="false">
      <c r="A3420" s="28" t="n">
        <v>2023</v>
      </c>
      <c r="B3420" s="28" t="s">
        <v>122</v>
      </c>
      <c r="C3420" s="28" t="s">
        <v>47</v>
      </c>
      <c r="D3420" s="28" t="n">
        <v>13</v>
      </c>
      <c r="E3420" s="29" t="n">
        <v>5462400</v>
      </c>
      <c r="F3420" s="30" t="n">
        <v>113.74</v>
      </c>
      <c r="G3420" s="31" t="n">
        <f aca="false">IFERROR(F3420/D3420,0)</f>
        <v>8.74923076923077</v>
      </c>
    </row>
    <row r="3421" customFormat="false" ht="15" hidden="false" customHeight="false" outlineLevel="0" collapsed="false">
      <c r="A3421" s="28" t="n">
        <v>2023</v>
      </c>
      <c r="B3421" s="28" t="s">
        <v>122</v>
      </c>
      <c r="C3421" s="28" t="s">
        <v>46</v>
      </c>
      <c r="D3421" s="28" t="n">
        <v>10</v>
      </c>
      <c r="E3421" s="29" t="n">
        <v>4243300</v>
      </c>
      <c r="F3421" s="30" t="n">
        <v>87.25</v>
      </c>
      <c r="G3421" s="31" t="n">
        <f aca="false">IFERROR(F3421/D3421,0)</f>
        <v>8.725</v>
      </c>
    </row>
    <row r="3422" customFormat="false" ht="15" hidden="false" customHeight="false" outlineLevel="0" collapsed="false">
      <c r="A3422" s="28" t="n">
        <v>2023</v>
      </c>
      <c r="B3422" s="28" t="s">
        <v>122</v>
      </c>
      <c r="C3422" s="28" t="s">
        <v>48</v>
      </c>
      <c r="D3422" s="28" t="n">
        <v>8</v>
      </c>
      <c r="E3422" s="29" t="n">
        <v>1891500</v>
      </c>
      <c r="F3422" s="30" t="n">
        <v>72.15</v>
      </c>
      <c r="G3422" s="31" t="n">
        <f aca="false">IFERROR(F3422/D3422,0)</f>
        <v>9.01875</v>
      </c>
    </row>
    <row r="3423" customFormat="false" ht="15" hidden="false" customHeight="false" outlineLevel="0" collapsed="false">
      <c r="A3423" s="28" t="n">
        <v>2023</v>
      </c>
      <c r="B3423" s="28" t="s">
        <v>122</v>
      </c>
      <c r="C3423" s="28" t="s">
        <v>53</v>
      </c>
      <c r="D3423" s="28" t="n">
        <v>3</v>
      </c>
      <c r="E3423" s="29" t="n">
        <v>1358300</v>
      </c>
      <c r="F3423" s="30" t="n">
        <v>25.5</v>
      </c>
      <c r="G3423" s="31" t="n">
        <f aca="false">IFERROR(F3423/D3423,0)</f>
        <v>8.5</v>
      </c>
    </row>
    <row r="3424" customFormat="false" ht="15" hidden="false" customHeight="false" outlineLevel="0" collapsed="false">
      <c r="A3424" s="28" t="n">
        <v>2023</v>
      </c>
      <c r="B3424" s="28" t="s">
        <v>122</v>
      </c>
      <c r="C3424" s="28" t="s">
        <v>43</v>
      </c>
      <c r="D3424" s="28" t="n">
        <v>19</v>
      </c>
      <c r="E3424" s="29" t="n">
        <v>8076600</v>
      </c>
      <c r="F3424" s="30" t="n">
        <v>169.508</v>
      </c>
      <c r="G3424" s="31" t="n">
        <f aca="false">IFERROR(F3424/D3424,0)</f>
        <v>8.92147368421053</v>
      </c>
    </row>
    <row r="3425" customFormat="false" ht="15" hidden="false" customHeight="false" outlineLevel="0" collapsed="false">
      <c r="A3425" s="28" t="n">
        <v>2023</v>
      </c>
      <c r="B3425" s="28" t="s">
        <v>122</v>
      </c>
      <c r="C3425" s="28" t="s">
        <v>52</v>
      </c>
      <c r="D3425" s="28" t="n">
        <v>4</v>
      </c>
      <c r="E3425" s="29" t="n">
        <v>512600</v>
      </c>
      <c r="F3425" s="30" t="n">
        <v>39</v>
      </c>
      <c r="G3425" s="31" t="n">
        <f aca="false">IFERROR(F3425/D3425,0)</f>
        <v>9.75</v>
      </c>
    </row>
    <row r="3426" customFormat="false" ht="15" hidden="false" customHeight="false" outlineLevel="0" collapsed="false">
      <c r="A3426" s="28" t="n">
        <v>2023</v>
      </c>
      <c r="B3426" s="28" t="s">
        <v>122</v>
      </c>
      <c r="C3426" s="28" t="s">
        <v>49</v>
      </c>
      <c r="D3426" s="28" t="n">
        <v>7</v>
      </c>
      <c r="E3426" s="29" t="n">
        <v>3520900</v>
      </c>
      <c r="F3426" s="30" t="n">
        <v>69.25</v>
      </c>
      <c r="G3426" s="31" t="n">
        <f aca="false">IFERROR(F3426/D3426,0)</f>
        <v>9.89285714285714</v>
      </c>
    </row>
    <row r="3427" customFormat="false" ht="15" hidden="false" customHeight="false" outlineLevel="0" collapsed="false">
      <c r="A3427" s="28" t="n">
        <v>2023</v>
      </c>
      <c r="B3427" s="28" t="s">
        <v>110</v>
      </c>
      <c r="C3427" s="28" t="s">
        <v>42</v>
      </c>
      <c r="D3427" s="28" t="n">
        <v>86</v>
      </c>
      <c r="E3427" s="29" t="n">
        <v>68564500</v>
      </c>
      <c r="F3427" s="30" t="n">
        <v>839.78</v>
      </c>
      <c r="G3427" s="31" t="n">
        <f aca="false">IFERROR(F3427/D3427,0)</f>
        <v>9.76488372093023</v>
      </c>
    </row>
    <row r="3428" customFormat="false" ht="15" hidden="false" customHeight="false" outlineLevel="0" collapsed="false">
      <c r="A3428" s="28" t="n">
        <v>2023</v>
      </c>
      <c r="B3428" s="28" t="s">
        <v>110</v>
      </c>
      <c r="C3428" s="28" t="s">
        <v>50</v>
      </c>
      <c r="D3428" s="28" t="n">
        <v>42</v>
      </c>
      <c r="E3428" s="29" t="n">
        <v>14915400</v>
      </c>
      <c r="F3428" s="30" t="n">
        <v>429.73</v>
      </c>
      <c r="G3428" s="31" t="n">
        <f aca="false">IFERROR(F3428/D3428,0)</f>
        <v>10.2316666666667</v>
      </c>
    </row>
    <row r="3429" customFormat="false" ht="15" hidden="false" customHeight="false" outlineLevel="0" collapsed="false">
      <c r="A3429" s="28" t="n">
        <v>2023</v>
      </c>
      <c r="B3429" s="28" t="s">
        <v>110</v>
      </c>
      <c r="C3429" s="28" t="s">
        <v>55</v>
      </c>
      <c r="D3429" s="28" t="n">
        <v>8</v>
      </c>
      <c r="E3429" s="29" t="n">
        <v>6057000</v>
      </c>
      <c r="F3429" s="30" t="n">
        <v>71.5</v>
      </c>
      <c r="G3429" s="31" t="n">
        <f aca="false">IFERROR(F3429/D3429,0)</f>
        <v>8.9375</v>
      </c>
    </row>
    <row r="3430" customFormat="false" ht="15" hidden="false" customHeight="false" outlineLevel="0" collapsed="false">
      <c r="A3430" s="28" t="n">
        <v>2023</v>
      </c>
      <c r="B3430" s="28" t="s">
        <v>110</v>
      </c>
      <c r="C3430" s="28" t="s">
        <v>51</v>
      </c>
      <c r="D3430" s="28" t="n">
        <v>33</v>
      </c>
      <c r="E3430" s="29" t="n">
        <v>15483100</v>
      </c>
      <c r="F3430" s="30" t="n">
        <v>338.4</v>
      </c>
      <c r="G3430" s="31" t="n">
        <f aca="false">IFERROR(F3430/D3430,0)</f>
        <v>10.2545454545455</v>
      </c>
    </row>
    <row r="3431" customFormat="false" ht="15" hidden="false" customHeight="false" outlineLevel="0" collapsed="false">
      <c r="A3431" s="28" t="n">
        <v>2023</v>
      </c>
      <c r="B3431" s="28" t="s">
        <v>110</v>
      </c>
      <c r="C3431" s="28" t="s">
        <v>45</v>
      </c>
      <c r="D3431" s="28" t="n">
        <v>88</v>
      </c>
      <c r="E3431" s="29" t="n">
        <v>31916800</v>
      </c>
      <c r="F3431" s="30" t="n">
        <v>854.39</v>
      </c>
      <c r="G3431" s="31" t="n">
        <f aca="false">IFERROR(F3431/D3431,0)</f>
        <v>9.70897727272727</v>
      </c>
    </row>
    <row r="3432" customFormat="false" ht="15" hidden="false" customHeight="false" outlineLevel="0" collapsed="false">
      <c r="A3432" s="28" t="n">
        <v>2023</v>
      </c>
      <c r="B3432" s="28" t="s">
        <v>110</v>
      </c>
      <c r="C3432" s="28" t="s">
        <v>56</v>
      </c>
      <c r="D3432" s="28" t="n">
        <v>6</v>
      </c>
      <c r="E3432" s="29" t="n">
        <v>6499700</v>
      </c>
      <c r="F3432" s="30" t="n">
        <v>60.5</v>
      </c>
      <c r="G3432" s="31" t="n">
        <f aca="false">IFERROR(F3432/D3432,0)</f>
        <v>10.0833333333333</v>
      </c>
    </row>
    <row r="3433" customFormat="false" ht="15" hidden="false" customHeight="false" outlineLevel="0" collapsed="false">
      <c r="A3433" s="28" t="n">
        <v>2023</v>
      </c>
      <c r="B3433" s="28" t="s">
        <v>110</v>
      </c>
      <c r="C3433" s="28" t="s">
        <v>54</v>
      </c>
      <c r="D3433" s="28" t="n">
        <v>11</v>
      </c>
      <c r="E3433" s="29" t="n">
        <v>2881000</v>
      </c>
      <c r="F3433" s="30" t="n">
        <v>117.13</v>
      </c>
      <c r="G3433" s="31" t="n">
        <f aca="false">IFERROR(F3433/D3433,0)</f>
        <v>10.6481818181818</v>
      </c>
    </row>
    <row r="3434" customFormat="false" ht="15" hidden="false" customHeight="false" outlineLevel="0" collapsed="false">
      <c r="A3434" s="28" t="n">
        <v>2023</v>
      </c>
      <c r="B3434" s="28" t="s">
        <v>110</v>
      </c>
      <c r="C3434" s="28" t="s">
        <v>44</v>
      </c>
      <c r="D3434" s="28" t="n">
        <v>45</v>
      </c>
      <c r="E3434" s="29" t="n">
        <v>42055700</v>
      </c>
      <c r="F3434" s="30" t="n">
        <v>418.86</v>
      </c>
      <c r="G3434" s="31" t="n">
        <f aca="false">IFERROR(F3434/D3434,0)</f>
        <v>9.308</v>
      </c>
    </row>
    <row r="3435" customFormat="false" ht="15" hidden="false" customHeight="false" outlineLevel="0" collapsed="false">
      <c r="A3435" s="28" t="n">
        <v>2023</v>
      </c>
      <c r="B3435" s="28" t="s">
        <v>110</v>
      </c>
      <c r="C3435" s="28" t="s">
        <v>57</v>
      </c>
      <c r="D3435" s="28" t="n">
        <v>4</v>
      </c>
      <c r="E3435" s="29" t="n">
        <v>2513600</v>
      </c>
      <c r="F3435" s="30" t="n">
        <v>41.49</v>
      </c>
      <c r="G3435" s="31" t="n">
        <f aca="false">IFERROR(F3435/D3435,0)</f>
        <v>10.3725</v>
      </c>
    </row>
    <row r="3436" customFormat="false" ht="15" hidden="false" customHeight="false" outlineLevel="0" collapsed="false">
      <c r="A3436" s="28" t="n">
        <v>2023</v>
      </c>
      <c r="B3436" s="28" t="s">
        <v>110</v>
      </c>
      <c r="C3436" s="28" t="s">
        <v>47</v>
      </c>
      <c r="D3436" s="28" t="n">
        <v>34</v>
      </c>
      <c r="E3436" s="29" t="n">
        <v>23517100</v>
      </c>
      <c r="F3436" s="30" t="n">
        <v>339.61</v>
      </c>
      <c r="G3436" s="31" t="n">
        <f aca="false">IFERROR(F3436/D3436,0)</f>
        <v>9.98852941176471</v>
      </c>
    </row>
    <row r="3437" customFormat="false" ht="15" hidden="false" customHeight="false" outlineLevel="0" collapsed="false">
      <c r="A3437" s="28" t="n">
        <v>2023</v>
      </c>
      <c r="B3437" s="28" t="s">
        <v>110</v>
      </c>
      <c r="C3437" s="28" t="s">
        <v>46</v>
      </c>
      <c r="D3437" s="28" t="n">
        <v>63</v>
      </c>
      <c r="E3437" s="29" t="n">
        <v>35691500</v>
      </c>
      <c r="F3437" s="30" t="n">
        <v>630.85</v>
      </c>
      <c r="G3437" s="31" t="n">
        <f aca="false">IFERROR(F3437/D3437,0)</f>
        <v>10.0134920634921</v>
      </c>
    </row>
    <row r="3438" customFormat="false" ht="15" hidden="false" customHeight="false" outlineLevel="0" collapsed="false">
      <c r="A3438" s="28" t="n">
        <v>2023</v>
      </c>
      <c r="B3438" s="28" t="s">
        <v>110</v>
      </c>
      <c r="C3438" s="28" t="s">
        <v>48</v>
      </c>
      <c r="D3438" s="28" t="n">
        <v>53</v>
      </c>
      <c r="E3438" s="29" t="n">
        <v>21809800</v>
      </c>
      <c r="F3438" s="30" t="n">
        <v>535.27</v>
      </c>
      <c r="G3438" s="31" t="n">
        <f aca="false">IFERROR(F3438/D3438,0)</f>
        <v>10.0994339622642</v>
      </c>
    </row>
    <row r="3439" customFormat="false" ht="15" hidden="false" customHeight="false" outlineLevel="0" collapsed="false">
      <c r="A3439" s="28" t="n">
        <v>2023</v>
      </c>
      <c r="B3439" s="28" t="s">
        <v>110</v>
      </c>
      <c r="C3439" s="28" t="s">
        <v>53</v>
      </c>
      <c r="D3439" s="28" t="n">
        <v>14</v>
      </c>
      <c r="E3439" s="29" t="n">
        <v>16751600</v>
      </c>
      <c r="F3439" s="30" t="n">
        <v>150.99</v>
      </c>
      <c r="G3439" s="31" t="n">
        <f aca="false">IFERROR(F3439/D3439,0)</f>
        <v>10.785</v>
      </c>
    </row>
    <row r="3440" customFormat="false" ht="15" hidden="false" customHeight="false" outlineLevel="0" collapsed="false">
      <c r="A3440" s="28" t="n">
        <v>2023</v>
      </c>
      <c r="B3440" s="28" t="s">
        <v>110</v>
      </c>
      <c r="C3440" s="28" t="s">
        <v>43</v>
      </c>
      <c r="D3440" s="28" t="n">
        <v>67</v>
      </c>
      <c r="E3440" s="29" t="n">
        <v>29517300</v>
      </c>
      <c r="F3440" s="30" t="n">
        <v>673.32</v>
      </c>
      <c r="G3440" s="31" t="n">
        <f aca="false">IFERROR(F3440/D3440,0)</f>
        <v>10.049552238806</v>
      </c>
    </row>
    <row r="3441" customFormat="false" ht="15" hidden="false" customHeight="false" outlineLevel="0" collapsed="false">
      <c r="A3441" s="28" t="n">
        <v>2023</v>
      </c>
      <c r="B3441" s="28" t="s">
        <v>110</v>
      </c>
      <c r="C3441" s="28" t="s">
        <v>52</v>
      </c>
      <c r="D3441" s="28" t="n">
        <v>22</v>
      </c>
      <c r="E3441" s="29" t="n">
        <v>7780000</v>
      </c>
      <c r="F3441" s="30" t="n">
        <v>222.77</v>
      </c>
      <c r="G3441" s="31" t="n">
        <f aca="false">IFERROR(F3441/D3441,0)</f>
        <v>10.1259090909091</v>
      </c>
    </row>
    <row r="3442" customFormat="false" ht="15" hidden="false" customHeight="false" outlineLevel="0" collapsed="false">
      <c r="A3442" s="28" t="n">
        <v>2023</v>
      </c>
      <c r="B3442" s="28" t="s">
        <v>110</v>
      </c>
      <c r="C3442" s="28" t="s">
        <v>49</v>
      </c>
      <c r="D3442" s="28" t="n">
        <v>18</v>
      </c>
      <c r="E3442" s="29" t="n">
        <v>15413000</v>
      </c>
      <c r="F3442" s="30" t="n">
        <v>193.99</v>
      </c>
      <c r="G3442" s="31" t="n">
        <f aca="false">IFERROR(F3442/D3442,0)</f>
        <v>10.7772222222222</v>
      </c>
    </row>
    <row r="3443" customFormat="false" ht="15" hidden="false" customHeight="false" outlineLevel="0" collapsed="false">
      <c r="A3443" s="28" t="n">
        <v>2023</v>
      </c>
      <c r="B3443" s="28" t="s">
        <v>77</v>
      </c>
      <c r="C3443" s="28" t="s">
        <v>42</v>
      </c>
      <c r="D3443" s="28" t="n">
        <v>603</v>
      </c>
      <c r="E3443" s="29" t="n">
        <v>580737700</v>
      </c>
      <c r="F3443" s="30" t="n">
        <v>5906.98</v>
      </c>
      <c r="G3443" s="31" t="n">
        <f aca="false">IFERROR(F3443/D3443,0)</f>
        <v>9.79598673300166</v>
      </c>
    </row>
    <row r="3444" customFormat="false" ht="15" hidden="false" customHeight="false" outlineLevel="0" collapsed="false">
      <c r="A3444" s="28" t="n">
        <v>2023</v>
      </c>
      <c r="B3444" s="28" t="s">
        <v>77</v>
      </c>
      <c r="C3444" s="28" t="s">
        <v>50</v>
      </c>
      <c r="D3444" s="28" t="n">
        <v>199</v>
      </c>
      <c r="E3444" s="29" t="n">
        <v>84640200</v>
      </c>
      <c r="F3444" s="30" t="n">
        <v>2064.22</v>
      </c>
      <c r="G3444" s="31" t="n">
        <f aca="false">IFERROR(F3444/D3444,0)</f>
        <v>10.3729648241206</v>
      </c>
    </row>
    <row r="3445" customFormat="false" ht="15" hidden="false" customHeight="false" outlineLevel="0" collapsed="false">
      <c r="A3445" s="28" t="n">
        <v>2023</v>
      </c>
      <c r="B3445" s="28" t="s">
        <v>77</v>
      </c>
      <c r="C3445" s="28" t="s">
        <v>55</v>
      </c>
      <c r="D3445" s="28" t="n">
        <v>24</v>
      </c>
      <c r="E3445" s="29" t="n">
        <v>30492500</v>
      </c>
      <c r="F3445" s="30" t="n">
        <v>221.59</v>
      </c>
      <c r="G3445" s="31" t="n">
        <f aca="false">IFERROR(F3445/D3445,0)</f>
        <v>9.23291666666667</v>
      </c>
    </row>
    <row r="3446" customFormat="false" ht="15" hidden="false" customHeight="false" outlineLevel="0" collapsed="false">
      <c r="A3446" s="28" t="n">
        <v>2023</v>
      </c>
      <c r="B3446" s="28" t="s">
        <v>77</v>
      </c>
      <c r="C3446" s="28" t="s">
        <v>51</v>
      </c>
      <c r="D3446" s="28" t="n">
        <v>186</v>
      </c>
      <c r="E3446" s="29" t="n">
        <v>91622700</v>
      </c>
      <c r="F3446" s="30" t="n">
        <v>1881.14</v>
      </c>
      <c r="G3446" s="31" t="n">
        <f aca="false">IFERROR(F3446/D3446,0)</f>
        <v>10.1136559139785</v>
      </c>
    </row>
    <row r="3447" customFormat="false" ht="15" hidden="false" customHeight="false" outlineLevel="0" collapsed="false">
      <c r="A3447" s="28" t="n">
        <v>2023</v>
      </c>
      <c r="B3447" s="28" t="s">
        <v>77</v>
      </c>
      <c r="C3447" s="28" t="s">
        <v>45</v>
      </c>
      <c r="D3447" s="28" t="n">
        <v>398</v>
      </c>
      <c r="E3447" s="29" t="n">
        <v>163790100</v>
      </c>
      <c r="F3447" s="30" t="n">
        <v>4211.99</v>
      </c>
      <c r="G3447" s="31" t="n">
        <f aca="false">IFERROR(F3447/D3447,0)</f>
        <v>10.5828894472362</v>
      </c>
    </row>
    <row r="3448" customFormat="false" ht="15" hidden="false" customHeight="false" outlineLevel="0" collapsed="false">
      <c r="A3448" s="28" t="n">
        <v>2023</v>
      </c>
      <c r="B3448" s="28" t="s">
        <v>77</v>
      </c>
      <c r="C3448" s="28" t="s">
        <v>56</v>
      </c>
      <c r="D3448" s="28" t="n">
        <v>57</v>
      </c>
      <c r="E3448" s="29" t="n">
        <v>19715000</v>
      </c>
      <c r="F3448" s="30" t="n">
        <v>614.54</v>
      </c>
      <c r="G3448" s="31" t="n">
        <f aca="false">IFERROR(F3448/D3448,0)</f>
        <v>10.7814035087719</v>
      </c>
    </row>
    <row r="3449" customFormat="false" ht="15" hidden="false" customHeight="false" outlineLevel="0" collapsed="false">
      <c r="A3449" s="28" t="n">
        <v>2023</v>
      </c>
      <c r="B3449" s="28" t="s">
        <v>77</v>
      </c>
      <c r="C3449" s="28" t="s">
        <v>54</v>
      </c>
      <c r="D3449" s="28" t="n">
        <v>58</v>
      </c>
      <c r="E3449" s="29" t="n">
        <v>42655000</v>
      </c>
      <c r="F3449" s="30" t="n">
        <v>554.83</v>
      </c>
      <c r="G3449" s="31" t="n">
        <f aca="false">IFERROR(F3449/D3449,0)</f>
        <v>9.56603448275862</v>
      </c>
    </row>
    <row r="3450" customFormat="false" ht="15" hidden="false" customHeight="false" outlineLevel="0" collapsed="false">
      <c r="A3450" s="28" t="n">
        <v>2023</v>
      </c>
      <c r="B3450" s="28" t="s">
        <v>77</v>
      </c>
      <c r="C3450" s="28" t="s">
        <v>44</v>
      </c>
      <c r="D3450" s="28" t="n">
        <v>399</v>
      </c>
      <c r="E3450" s="29" t="n">
        <v>315140100</v>
      </c>
      <c r="F3450" s="30" t="n">
        <v>3866.134</v>
      </c>
      <c r="G3450" s="31" t="n">
        <f aca="false">IFERROR(F3450/D3450,0)</f>
        <v>9.68955889724311</v>
      </c>
    </row>
    <row r="3451" customFormat="false" ht="15" hidden="false" customHeight="false" outlineLevel="0" collapsed="false">
      <c r="A3451" s="28" t="n">
        <v>2023</v>
      </c>
      <c r="B3451" s="28" t="s">
        <v>77</v>
      </c>
      <c r="C3451" s="28" t="s">
        <v>57</v>
      </c>
      <c r="D3451" s="28" t="n">
        <v>29</v>
      </c>
      <c r="E3451" s="29" t="n">
        <v>20713600</v>
      </c>
      <c r="F3451" s="30" t="n">
        <v>308.56</v>
      </c>
      <c r="G3451" s="31" t="n">
        <f aca="false">IFERROR(F3451/D3451,0)</f>
        <v>10.64</v>
      </c>
    </row>
    <row r="3452" customFormat="false" ht="15" hidden="false" customHeight="false" outlineLevel="0" collapsed="false">
      <c r="A3452" s="28" t="n">
        <v>2023</v>
      </c>
      <c r="B3452" s="28" t="s">
        <v>77</v>
      </c>
      <c r="C3452" s="28" t="s">
        <v>47</v>
      </c>
      <c r="D3452" s="28" t="n">
        <v>185</v>
      </c>
      <c r="E3452" s="29" t="n">
        <v>164796700</v>
      </c>
      <c r="F3452" s="30" t="n">
        <v>1910.31</v>
      </c>
      <c r="G3452" s="31" t="n">
        <f aca="false">IFERROR(F3452/D3452,0)</f>
        <v>10.326</v>
      </c>
    </row>
    <row r="3453" customFormat="false" ht="15" hidden="false" customHeight="false" outlineLevel="0" collapsed="false">
      <c r="A3453" s="28" t="n">
        <v>2023</v>
      </c>
      <c r="B3453" s="28" t="s">
        <v>77</v>
      </c>
      <c r="C3453" s="28" t="s">
        <v>58</v>
      </c>
      <c r="D3453" s="28" t="n">
        <v>14</v>
      </c>
      <c r="E3453" s="29" t="n">
        <v>14191900</v>
      </c>
      <c r="F3453" s="30" t="n">
        <v>138.35</v>
      </c>
      <c r="G3453" s="31" t="n">
        <f aca="false">IFERROR(F3453/D3453,0)</f>
        <v>9.88214285714286</v>
      </c>
    </row>
    <row r="3454" customFormat="false" ht="15" hidden="false" customHeight="false" outlineLevel="0" collapsed="false">
      <c r="A3454" s="28" t="n">
        <v>2023</v>
      </c>
      <c r="B3454" s="28" t="s">
        <v>77</v>
      </c>
      <c r="C3454" s="28" t="s">
        <v>46</v>
      </c>
      <c r="D3454" s="28" t="n">
        <v>397</v>
      </c>
      <c r="E3454" s="29" t="n">
        <v>273794400</v>
      </c>
      <c r="F3454" s="30" t="n">
        <v>3956.948</v>
      </c>
      <c r="G3454" s="31" t="n">
        <f aca="false">IFERROR(F3454/D3454,0)</f>
        <v>9.96712342569269</v>
      </c>
    </row>
    <row r="3455" customFormat="false" ht="15" hidden="false" customHeight="false" outlineLevel="0" collapsed="false">
      <c r="A3455" s="28" t="n">
        <v>2023</v>
      </c>
      <c r="B3455" s="28" t="s">
        <v>77</v>
      </c>
      <c r="C3455" s="28" t="s">
        <v>48</v>
      </c>
      <c r="D3455" s="28" t="n">
        <v>284</v>
      </c>
      <c r="E3455" s="29" t="n">
        <v>142429000</v>
      </c>
      <c r="F3455" s="30" t="n">
        <v>2978.86</v>
      </c>
      <c r="G3455" s="31" t="n">
        <f aca="false">IFERROR(F3455/D3455,0)</f>
        <v>10.4889436619718</v>
      </c>
    </row>
    <row r="3456" customFormat="false" ht="15" hidden="false" customHeight="false" outlineLevel="0" collapsed="false">
      <c r="A3456" s="28" t="n">
        <v>2023</v>
      </c>
      <c r="B3456" s="28" t="s">
        <v>77</v>
      </c>
      <c r="C3456" s="28" t="s">
        <v>61</v>
      </c>
      <c r="D3456" s="28" t="n">
        <v>1</v>
      </c>
      <c r="E3456" s="29" t="n">
        <v>150000</v>
      </c>
      <c r="F3456" s="30" t="n">
        <v>11.5</v>
      </c>
      <c r="G3456" s="31" t="n">
        <f aca="false">IFERROR(F3456/D3456,0)</f>
        <v>11.5</v>
      </c>
    </row>
    <row r="3457" customFormat="false" ht="15" hidden="false" customHeight="false" outlineLevel="0" collapsed="false">
      <c r="A3457" s="28" t="n">
        <v>2023</v>
      </c>
      <c r="B3457" s="28" t="s">
        <v>77</v>
      </c>
      <c r="C3457" s="28" t="s">
        <v>53</v>
      </c>
      <c r="D3457" s="28" t="n">
        <v>84</v>
      </c>
      <c r="E3457" s="29" t="n">
        <v>71384200</v>
      </c>
      <c r="F3457" s="30" t="n">
        <v>788.919</v>
      </c>
      <c r="G3457" s="31" t="n">
        <f aca="false">IFERROR(F3457/D3457,0)</f>
        <v>9.39189285714286</v>
      </c>
    </row>
    <row r="3458" customFormat="false" ht="15" hidden="false" customHeight="false" outlineLevel="0" collapsed="false">
      <c r="A3458" s="28" t="n">
        <v>2023</v>
      </c>
      <c r="B3458" s="28" t="s">
        <v>77</v>
      </c>
      <c r="C3458" s="28" t="s">
        <v>43</v>
      </c>
      <c r="D3458" s="28" t="n">
        <v>425</v>
      </c>
      <c r="E3458" s="29" t="n">
        <v>337408900</v>
      </c>
      <c r="F3458" s="30" t="n">
        <v>4179.21</v>
      </c>
      <c r="G3458" s="31" t="n">
        <f aca="false">IFERROR(F3458/D3458,0)</f>
        <v>9.83343529411765</v>
      </c>
    </row>
    <row r="3459" customFormat="false" ht="15" hidden="false" customHeight="false" outlineLevel="0" collapsed="false">
      <c r="A3459" s="28" t="n">
        <v>2023</v>
      </c>
      <c r="B3459" s="28" t="s">
        <v>77</v>
      </c>
      <c r="C3459" s="28" t="s">
        <v>52</v>
      </c>
      <c r="D3459" s="28" t="n">
        <v>200</v>
      </c>
      <c r="E3459" s="29" t="n">
        <v>66410300</v>
      </c>
      <c r="F3459" s="30" t="n">
        <v>2273.54</v>
      </c>
      <c r="G3459" s="31" t="n">
        <f aca="false">IFERROR(F3459/D3459,0)</f>
        <v>11.3677</v>
      </c>
    </row>
    <row r="3460" customFormat="false" ht="15" hidden="false" customHeight="false" outlineLevel="0" collapsed="false">
      <c r="A3460" s="28" t="n">
        <v>2023</v>
      </c>
      <c r="B3460" s="28" t="s">
        <v>77</v>
      </c>
      <c r="C3460" s="28" t="s">
        <v>60</v>
      </c>
      <c r="D3460" s="28" t="n">
        <v>6</v>
      </c>
      <c r="E3460" s="29" t="n">
        <v>1369000</v>
      </c>
      <c r="F3460" s="30" t="n">
        <v>64.95</v>
      </c>
      <c r="G3460" s="31" t="n">
        <f aca="false">IFERROR(F3460/D3460,0)</f>
        <v>10.825</v>
      </c>
    </row>
    <row r="3461" customFormat="false" ht="15" hidden="false" customHeight="false" outlineLevel="0" collapsed="false">
      <c r="A3461" s="28" t="n">
        <v>2023</v>
      </c>
      <c r="B3461" s="28" t="s">
        <v>77</v>
      </c>
      <c r="C3461" s="28" t="s">
        <v>49</v>
      </c>
      <c r="D3461" s="28" t="n">
        <v>172</v>
      </c>
      <c r="E3461" s="29" t="n">
        <v>139721300</v>
      </c>
      <c r="F3461" s="30" t="n">
        <v>1708.963</v>
      </c>
      <c r="G3461" s="31" t="n">
        <f aca="false">IFERROR(F3461/D3461,0)</f>
        <v>9.93583139534884</v>
      </c>
    </row>
    <row r="3462" customFormat="false" ht="15" hidden="false" customHeight="false" outlineLevel="0" collapsed="false">
      <c r="A3462" s="28" t="n">
        <v>2023</v>
      </c>
      <c r="B3462" s="28" t="s">
        <v>105</v>
      </c>
      <c r="C3462" s="28" t="s">
        <v>42</v>
      </c>
      <c r="D3462" s="28" t="n">
        <v>79</v>
      </c>
      <c r="E3462" s="29" t="n">
        <v>59828600</v>
      </c>
      <c r="F3462" s="30" t="n">
        <v>773.25</v>
      </c>
      <c r="G3462" s="31" t="n">
        <f aca="false">IFERROR(F3462/D3462,0)</f>
        <v>9.7879746835443</v>
      </c>
    </row>
    <row r="3463" customFormat="false" ht="15" hidden="false" customHeight="false" outlineLevel="0" collapsed="false">
      <c r="A3463" s="28" t="n">
        <v>2023</v>
      </c>
      <c r="B3463" s="28" t="s">
        <v>105</v>
      </c>
      <c r="C3463" s="28" t="s">
        <v>50</v>
      </c>
      <c r="D3463" s="28" t="n">
        <v>43</v>
      </c>
      <c r="E3463" s="29" t="n">
        <v>20155400</v>
      </c>
      <c r="F3463" s="30" t="n">
        <v>418.88</v>
      </c>
      <c r="G3463" s="31" t="n">
        <f aca="false">IFERROR(F3463/D3463,0)</f>
        <v>9.74139534883721</v>
      </c>
    </row>
    <row r="3464" customFormat="false" ht="15" hidden="false" customHeight="false" outlineLevel="0" collapsed="false">
      <c r="A3464" s="28" t="n">
        <v>2023</v>
      </c>
      <c r="B3464" s="28" t="s">
        <v>105</v>
      </c>
      <c r="C3464" s="28" t="s">
        <v>55</v>
      </c>
      <c r="D3464" s="28" t="n">
        <v>3</v>
      </c>
      <c r="E3464" s="29" t="n">
        <v>615000</v>
      </c>
      <c r="F3464" s="30" t="n">
        <v>31.25</v>
      </c>
      <c r="G3464" s="31" t="n">
        <f aca="false">IFERROR(F3464/D3464,0)</f>
        <v>10.4166666666667</v>
      </c>
    </row>
    <row r="3465" customFormat="false" ht="15" hidden="false" customHeight="false" outlineLevel="0" collapsed="false">
      <c r="A3465" s="28" t="n">
        <v>2023</v>
      </c>
      <c r="B3465" s="28" t="s">
        <v>105</v>
      </c>
      <c r="C3465" s="28" t="s">
        <v>51</v>
      </c>
      <c r="D3465" s="28" t="n">
        <v>32</v>
      </c>
      <c r="E3465" s="29" t="n">
        <v>11846700</v>
      </c>
      <c r="F3465" s="30" t="n">
        <v>314.22</v>
      </c>
      <c r="G3465" s="31" t="n">
        <f aca="false">IFERROR(F3465/D3465,0)</f>
        <v>9.819375</v>
      </c>
    </row>
    <row r="3466" customFormat="false" ht="15" hidden="false" customHeight="false" outlineLevel="0" collapsed="false">
      <c r="A3466" s="28" t="n">
        <v>2023</v>
      </c>
      <c r="B3466" s="28" t="s">
        <v>105</v>
      </c>
      <c r="C3466" s="28" t="s">
        <v>45</v>
      </c>
      <c r="D3466" s="28" t="n">
        <v>128</v>
      </c>
      <c r="E3466" s="29" t="n">
        <v>52658700</v>
      </c>
      <c r="F3466" s="30" t="n">
        <v>1301.84</v>
      </c>
      <c r="G3466" s="31" t="n">
        <f aca="false">IFERROR(F3466/D3466,0)</f>
        <v>10.170625</v>
      </c>
    </row>
    <row r="3467" customFormat="false" ht="15" hidden="false" customHeight="false" outlineLevel="0" collapsed="false">
      <c r="A3467" s="28" t="n">
        <v>2023</v>
      </c>
      <c r="B3467" s="28" t="s">
        <v>105</v>
      </c>
      <c r="C3467" s="28" t="s">
        <v>56</v>
      </c>
      <c r="D3467" s="28" t="n">
        <v>8</v>
      </c>
      <c r="E3467" s="29" t="n">
        <v>1761800</v>
      </c>
      <c r="F3467" s="30" t="n">
        <v>87.99</v>
      </c>
      <c r="G3467" s="31" t="n">
        <f aca="false">IFERROR(F3467/D3467,0)</f>
        <v>10.99875</v>
      </c>
    </row>
    <row r="3468" customFormat="false" ht="15" hidden="false" customHeight="false" outlineLevel="0" collapsed="false">
      <c r="A3468" s="28" t="n">
        <v>2023</v>
      </c>
      <c r="B3468" s="28" t="s">
        <v>105</v>
      </c>
      <c r="C3468" s="28" t="s">
        <v>54</v>
      </c>
      <c r="D3468" s="28" t="n">
        <v>8</v>
      </c>
      <c r="E3468" s="29" t="n">
        <v>6132400</v>
      </c>
      <c r="F3468" s="30" t="n">
        <v>85.53</v>
      </c>
      <c r="G3468" s="31" t="n">
        <f aca="false">IFERROR(F3468/D3468,0)</f>
        <v>10.69125</v>
      </c>
    </row>
    <row r="3469" customFormat="false" ht="15" hidden="false" customHeight="false" outlineLevel="0" collapsed="false">
      <c r="A3469" s="28" t="n">
        <v>2023</v>
      </c>
      <c r="B3469" s="28" t="s">
        <v>105</v>
      </c>
      <c r="C3469" s="28" t="s">
        <v>44</v>
      </c>
      <c r="D3469" s="28" t="n">
        <v>76</v>
      </c>
      <c r="E3469" s="29" t="n">
        <v>43181000</v>
      </c>
      <c r="F3469" s="30" t="n">
        <v>766.24</v>
      </c>
      <c r="G3469" s="31" t="n">
        <f aca="false">IFERROR(F3469/D3469,0)</f>
        <v>10.0821052631579</v>
      </c>
    </row>
    <row r="3470" customFormat="false" ht="15" hidden="false" customHeight="false" outlineLevel="0" collapsed="false">
      <c r="A3470" s="28" t="n">
        <v>2023</v>
      </c>
      <c r="B3470" s="28" t="s">
        <v>105</v>
      </c>
      <c r="C3470" s="28" t="s">
        <v>57</v>
      </c>
      <c r="D3470" s="28" t="n">
        <v>12</v>
      </c>
      <c r="E3470" s="29" t="n">
        <v>3024100</v>
      </c>
      <c r="F3470" s="30" t="n">
        <v>129.46</v>
      </c>
      <c r="G3470" s="31" t="n">
        <f aca="false">IFERROR(F3470/D3470,0)</f>
        <v>10.7883333333333</v>
      </c>
    </row>
    <row r="3471" customFormat="false" ht="15" hidden="false" customHeight="false" outlineLevel="0" collapsed="false">
      <c r="A3471" s="28" t="n">
        <v>2023</v>
      </c>
      <c r="B3471" s="28" t="s">
        <v>105</v>
      </c>
      <c r="C3471" s="28" t="s">
        <v>47</v>
      </c>
      <c r="D3471" s="28" t="n">
        <v>68</v>
      </c>
      <c r="E3471" s="29" t="n">
        <v>30082900</v>
      </c>
      <c r="F3471" s="30" t="n">
        <v>636.05</v>
      </c>
      <c r="G3471" s="31" t="n">
        <f aca="false">IFERROR(F3471/D3471,0)</f>
        <v>9.35367647058824</v>
      </c>
    </row>
    <row r="3472" customFormat="false" ht="15" hidden="false" customHeight="false" outlineLevel="0" collapsed="false">
      <c r="A3472" s="28" t="n">
        <v>2023</v>
      </c>
      <c r="B3472" s="28" t="s">
        <v>105</v>
      </c>
      <c r="C3472" s="28" t="s">
        <v>58</v>
      </c>
      <c r="D3472" s="28" t="n">
        <v>2</v>
      </c>
      <c r="E3472" s="29" t="n">
        <v>150000</v>
      </c>
      <c r="F3472" s="30" t="n">
        <v>23.5</v>
      </c>
      <c r="G3472" s="31" t="n">
        <f aca="false">IFERROR(F3472/D3472,0)</f>
        <v>11.75</v>
      </c>
    </row>
    <row r="3473" customFormat="false" ht="15" hidden="false" customHeight="false" outlineLevel="0" collapsed="false">
      <c r="A3473" s="28" t="n">
        <v>2023</v>
      </c>
      <c r="B3473" s="28" t="s">
        <v>105</v>
      </c>
      <c r="C3473" s="28" t="s">
        <v>46</v>
      </c>
      <c r="D3473" s="28" t="n">
        <v>82</v>
      </c>
      <c r="E3473" s="29" t="n">
        <v>33885600</v>
      </c>
      <c r="F3473" s="30" t="n">
        <v>846.365</v>
      </c>
      <c r="G3473" s="31" t="n">
        <f aca="false">IFERROR(F3473/D3473,0)</f>
        <v>10.3215243902439</v>
      </c>
    </row>
    <row r="3474" customFormat="false" ht="15" hidden="false" customHeight="false" outlineLevel="0" collapsed="false">
      <c r="A3474" s="28" t="n">
        <v>2023</v>
      </c>
      <c r="B3474" s="28" t="s">
        <v>105</v>
      </c>
      <c r="C3474" s="28" t="s">
        <v>48</v>
      </c>
      <c r="D3474" s="28" t="n">
        <v>71</v>
      </c>
      <c r="E3474" s="29" t="n">
        <v>39939400</v>
      </c>
      <c r="F3474" s="30" t="n">
        <v>737.3</v>
      </c>
      <c r="G3474" s="31" t="n">
        <f aca="false">IFERROR(F3474/D3474,0)</f>
        <v>10.3845070422535</v>
      </c>
    </row>
    <row r="3475" customFormat="false" ht="15" hidden="false" customHeight="false" outlineLevel="0" collapsed="false">
      <c r="A3475" s="28" t="n">
        <v>2023</v>
      </c>
      <c r="B3475" s="28" t="s">
        <v>105</v>
      </c>
      <c r="C3475" s="28" t="s">
        <v>53</v>
      </c>
      <c r="D3475" s="28" t="n">
        <v>30</v>
      </c>
      <c r="E3475" s="29" t="n">
        <v>12949700</v>
      </c>
      <c r="F3475" s="30" t="n">
        <v>279.98</v>
      </c>
      <c r="G3475" s="31" t="n">
        <f aca="false">IFERROR(F3475/D3475,0)</f>
        <v>9.33266666666667</v>
      </c>
    </row>
    <row r="3476" customFormat="false" ht="15" hidden="false" customHeight="false" outlineLevel="0" collapsed="false">
      <c r="A3476" s="28" t="n">
        <v>2023</v>
      </c>
      <c r="B3476" s="28" t="s">
        <v>105</v>
      </c>
      <c r="C3476" s="28" t="s">
        <v>43</v>
      </c>
      <c r="D3476" s="28" t="n">
        <v>97</v>
      </c>
      <c r="E3476" s="29" t="n">
        <v>57758500</v>
      </c>
      <c r="F3476" s="30" t="n">
        <v>951.515</v>
      </c>
      <c r="G3476" s="31" t="n">
        <f aca="false">IFERROR(F3476/D3476,0)</f>
        <v>9.80943298969072</v>
      </c>
    </row>
    <row r="3477" customFormat="false" ht="15" hidden="false" customHeight="false" outlineLevel="0" collapsed="false">
      <c r="A3477" s="28" t="n">
        <v>2023</v>
      </c>
      <c r="B3477" s="28" t="s">
        <v>105</v>
      </c>
      <c r="C3477" s="28" t="s">
        <v>52</v>
      </c>
      <c r="D3477" s="28" t="n">
        <v>57</v>
      </c>
      <c r="E3477" s="29" t="n">
        <v>14916700</v>
      </c>
      <c r="F3477" s="30" t="n">
        <v>599.73</v>
      </c>
      <c r="G3477" s="31" t="n">
        <f aca="false">IFERROR(F3477/D3477,0)</f>
        <v>10.5215789473684</v>
      </c>
    </row>
    <row r="3478" customFormat="false" ht="15" hidden="false" customHeight="false" outlineLevel="0" collapsed="false">
      <c r="A3478" s="28" t="n">
        <v>2023</v>
      </c>
      <c r="B3478" s="28" t="s">
        <v>105</v>
      </c>
      <c r="C3478" s="28" t="s">
        <v>49</v>
      </c>
      <c r="D3478" s="28" t="n">
        <v>26</v>
      </c>
      <c r="E3478" s="29" t="n">
        <v>18553800</v>
      </c>
      <c r="F3478" s="30" t="n">
        <v>277.22</v>
      </c>
      <c r="G3478" s="31" t="n">
        <f aca="false">IFERROR(F3478/D3478,0)</f>
        <v>10.6623076923077</v>
      </c>
    </row>
    <row r="3479" customFormat="false" ht="15" hidden="false" customHeight="false" outlineLevel="0" collapsed="false">
      <c r="A3479" s="28" t="n">
        <v>2023</v>
      </c>
      <c r="B3479" s="28" t="s">
        <v>65</v>
      </c>
      <c r="C3479" s="28" t="s">
        <v>42</v>
      </c>
      <c r="D3479" s="28" t="n">
        <v>123</v>
      </c>
      <c r="E3479" s="29" t="n">
        <v>92381000</v>
      </c>
      <c r="F3479" s="30" t="n">
        <v>1274.355</v>
      </c>
      <c r="G3479" s="31" t="n">
        <f aca="false">IFERROR(F3479/D3479,0)</f>
        <v>10.3606097560976</v>
      </c>
    </row>
    <row r="3480" customFormat="false" ht="15" hidden="false" customHeight="false" outlineLevel="0" collapsed="false">
      <c r="A3480" s="28" t="n">
        <v>2023</v>
      </c>
      <c r="B3480" s="28" t="s">
        <v>65</v>
      </c>
      <c r="C3480" s="28" t="s">
        <v>50</v>
      </c>
      <c r="D3480" s="28" t="n">
        <v>44</v>
      </c>
      <c r="E3480" s="29" t="n">
        <v>15918900</v>
      </c>
      <c r="F3480" s="30" t="n">
        <v>461.17</v>
      </c>
      <c r="G3480" s="31" t="n">
        <f aca="false">IFERROR(F3480/D3480,0)</f>
        <v>10.4811363636364</v>
      </c>
    </row>
    <row r="3481" customFormat="false" ht="15" hidden="false" customHeight="false" outlineLevel="0" collapsed="false">
      <c r="A3481" s="28" t="n">
        <v>2023</v>
      </c>
      <c r="B3481" s="28" t="s">
        <v>65</v>
      </c>
      <c r="C3481" s="28" t="s">
        <v>55</v>
      </c>
      <c r="D3481" s="28" t="n">
        <v>5</v>
      </c>
      <c r="E3481" s="29" t="n">
        <v>9929600</v>
      </c>
      <c r="F3481" s="30" t="n">
        <v>50.25</v>
      </c>
      <c r="G3481" s="31" t="n">
        <f aca="false">IFERROR(F3481/D3481,0)</f>
        <v>10.05</v>
      </c>
    </row>
    <row r="3482" customFormat="false" ht="15" hidden="false" customHeight="false" outlineLevel="0" collapsed="false">
      <c r="A3482" s="28" t="n">
        <v>2023</v>
      </c>
      <c r="B3482" s="28" t="s">
        <v>65</v>
      </c>
      <c r="C3482" s="28" t="s">
        <v>51</v>
      </c>
      <c r="D3482" s="28" t="n">
        <v>51</v>
      </c>
      <c r="E3482" s="29" t="n">
        <v>26364200</v>
      </c>
      <c r="F3482" s="30" t="n">
        <v>527.3</v>
      </c>
      <c r="G3482" s="31" t="n">
        <f aca="false">IFERROR(F3482/D3482,0)</f>
        <v>10.3392156862745</v>
      </c>
    </row>
    <row r="3483" customFormat="false" ht="15" hidden="false" customHeight="false" outlineLevel="0" collapsed="false">
      <c r="A3483" s="28" t="n">
        <v>2023</v>
      </c>
      <c r="B3483" s="28" t="s">
        <v>65</v>
      </c>
      <c r="C3483" s="28" t="s">
        <v>45</v>
      </c>
      <c r="D3483" s="28" t="n">
        <v>88</v>
      </c>
      <c r="E3483" s="29" t="n">
        <v>23106400</v>
      </c>
      <c r="F3483" s="30" t="n">
        <v>932.33</v>
      </c>
      <c r="G3483" s="31" t="n">
        <f aca="false">IFERROR(F3483/D3483,0)</f>
        <v>10.5946590909091</v>
      </c>
    </row>
    <row r="3484" customFormat="false" ht="15" hidden="false" customHeight="false" outlineLevel="0" collapsed="false">
      <c r="A3484" s="28" t="n">
        <v>2023</v>
      </c>
      <c r="B3484" s="28" t="s">
        <v>65</v>
      </c>
      <c r="C3484" s="28" t="s">
        <v>56</v>
      </c>
      <c r="D3484" s="28" t="n">
        <v>15</v>
      </c>
      <c r="E3484" s="29" t="n">
        <v>3693500</v>
      </c>
      <c r="F3484" s="30" t="n">
        <v>154.75</v>
      </c>
      <c r="G3484" s="31" t="n">
        <f aca="false">IFERROR(F3484/D3484,0)</f>
        <v>10.3166666666667</v>
      </c>
    </row>
    <row r="3485" customFormat="false" ht="15" hidden="false" customHeight="false" outlineLevel="0" collapsed="false">
      <c r="A3485" s="28" t="n">
        <v>2023</v>
      </c>
      <c r="B3485" s="28" t="s">
        <v>65</v>
      </c>
      <c r="C3485" s="28" t="s">
        <v>54</v>
      </c>
      <c r="D3485" s="28" t="n">
        <v>7</v>
      </c>
      <c r="E3485" s="29" t="n">
        <v>2241600</v>
      </c>
      <c r="F3485" s="30" t="n">
        <v>70.04</v>
      </c>
      <c r="G3485" s="31" t="n">
        <f aca="false">IFERROR(F3485/D3485,0)</f>
        <v>10.0057142857143</v>
      </c>
    </row>
    <row r="3486" customFormat="false" ht="15" hidden="false" customHeight="false" outlineLevel="0" collapsed="false">
      <c r="A3486" s="28" t="n">
        <v>2023</v>
      </c>
      <c r="B3486" s="28" t="s">
        <v>65</v>
      </c>
      <c r="C3486" s="28" t="s">
        <v>44</v>
      </c>
      <c r="D3486" s="28" t="n">
        <v>96</v>
      </c>
      <c r="E3486" s="29" t="n">
        <v>52697800</v>
      </c>
      <c r="F3486" s="30" t="n">
        <v>990.66</v>
      </c>
      <c r="G3486" s="31" t="n">
        <f aca="false">IFERROR(F3486/D3486,0)</f>
        <v>10.319375</v>
      </c>
    </row>
    <row r="3487" customFormat="false" ht="15" hidden="false" customHeight="false" outlineLevel="0" collapsed="false">
      <c r="A3487" s="28" t="n">
        <v>2023</v>
      </c>
      <c r="B3487" s="28" t="s">
        <v>65</v>
      </c>
      <c r="C3487" s="28" t="s">
        <v>57</v>
      </c>
      <c r="D3487" s="28" t="n">
        <v>5</v>
      </c>
      <c r="E3487" s="29" t="n">
        <v>1168600</v>
      </c>
      <c r="F3487" s="30" t="n">
        <v>47.76</v>
      </c>
      <c r="G3487" s="31" t="n">
        <f aca="false">IFERROR(F3487/D3487,0)</f>
        <v>9.552</v>
      </c>
    </row>
    <row r="3488" customFormat="false" ht="15" hidden="false" customHeight="false" outlineLevel="0" collapsed="false">
      <c r="A3488" s="28" t="n">
        <v>2023</v>
      </c>
      <c r="B3488" s="28" t="s">
        <v>65</v>
      </c>
      <c r="C3488" s="28" t="s">
        <v>47</v>
      </c>
      <c r="D3488" s="28" t="n">
        <v>41</v>
      </c>
      <c r="E3488" s="29" t="n">
        <v>32248500</v>
      </c>
      <c r="F3488" s="30" t="n">
        <v>409.4</v>
      </c>
      <c r="G3488" s="31" t="n">
        <f aca="false">IFERROR(F3488/D3488,0)</f>
        <v>9.98536585365854</v>
      </c>
    </row>
    <row r="3489" customFormat="false" ht="15" hidden="false" customHeight="false" outlineLevel="0" collapsed="false">
      <c r="A3489" s="28" t="n">
        <v>2023</v>
      </c>
      <c r="B3489" s="28" t="s">
        <v>65</v>
      </c>
      <c r="C3489" s="28" t="s">
        <v>46</v>
      </c>
      <c r="D3489" s="28" t="n">
        <v>84</v>
      </c>
      <c r="E3489" s="29" t="n">
        <v>46730400</v>
      </c>
      <c r="F3489" s="30" t="n">
        <v>861.47</v>
      </c>
      <c r="G3489" s="31" t="n">
        <f aca="false">IFERROR(F3489/D3489,0)</f>
        <v>10.2555952380952</v>
      </c>
    </row>
    <row r="3490" customFormat="false" ht="15" hidden="false" customHeight="false" outlineLevel="0" collapsed="false">
      <c r="A3490" s="28" t="n">
        <v>2023</v>
      </c>
      <c r="B3490" s="28" t="s">
        <v>65</v>
      </c>
      <c r="C3490" s="28" t="s">
        <v>48</v>
      </c>
      <c r="D3490" s="28" t="n">
        <v>127</v>
      </c>
      <c r="E3490" s="29" t="n">
        <v>66046100</v>
      </c>
      <c r="F3490" s="30" t="n">
        <v>1348.69</v>
      </c>
      <c r="G3490" s="31" t="n">
        <f aca="false">IFERROR(F3490/D3490,0)</f>
        <v>10.6196062992126</v>
      </c>
    </row>
    <row r="3491" customFormat="false" ht="15" hidden="false" customHeight="false" outlineLevel="0" collapsed="false">
      <c r="A3491" s="28" t="n">
        <v>2023</v>
      </c>
      <c r="B3491" s="28" t="s">
        <v>65</v>
      </c>
      <c r="C3491" s="28" t="s">
        <v>53</v>
      </c>
      <c r="D3491" s="28" t="n">
        <v>12</v>
      </c>
      <c r="E3491" s="29" t="n">
        <v>9489100</v>
      </c>
      <c r="F3491" s="30" t="n">
        <v>118</v>
      </c>
      <c r="G3491" s="31" t="n">
        <f aca="false">IFERROR(F3491/D3491,0)</f>
        <v>9.83333333333333</v>
      </c>
    </row>
    <row r="3492" customFormat="false" ht="15" hidden="false" customHeight="false" outlineLevel="0" collapsed="false">
      <c r="A3492" s="28" t="n">
        <v>2023</v>
      </c>
      <c r="B3492" s="28" t="s">
        <v>65</v>
      </c>
      <c r="C3492" s="28" t="s">
        <v>43</v>
      </c>
      <c r="D3492" s="28" t="n">
        <v>71</v>
      </c>
      <c r="E3492" s="29" t="n">
        <v>32299000</v>
      </c>
      <c r="F3492" s="30" t="n">
        <v>738.28</v>
      </c>
      <c r="G3492" s="31" t="n">
        <f aca="false">IFERROR(F3492/D3492,0)</f>
        <v>10.3983098591549</v>
      </c>
    </row>
    <row r="3493" customFormat="false" ht="15" hidden="false" customHeight="false" outlineLevel="0" collapsed="false">
      <c r="A3493" s="28" t="n">
        <v>2023</v>
      </c>
      <c r="B3493" s="28" t="s">
        <v>65</v>
      </c>
      <c r="C3493" s="28" t="s">
        <v>52</v>
      </c>
      <c r="D3493" s="28" t="n">
        <v>53</v>
      </c>
      <c r="E3493" s="29" t="n">
        <v>15939300</v>
      </c>
      <c r="F3493" s="30" t="n">
        <v>597.05</v>
      </c>
      <c r="G3493" s="31" t="n">
        <f aca="false">IFERROR(F3493/D3493,0)</f>
        <v>11.2650943396226</v>
      </c>
    </row>
    <row r="3494" customFormat="false" ht="15" hidden="false" customHeight="false" outlineLevel="0" collapsed="false">
      <c r="A3494" s="28" t="n">
        <v>2023</v>
      </c>
      <c r="B3494" s="28" t="s">
        <v>65</v>
      </c>
      <c r="C3494" s="28" t="s">
        <v>60</v>
      </c>
      <c r="D3494" s="28" t="n">
        <v>1</v>
      </c>
      <c r="E3494" s="29" t="n">
        <v>20000</v>
      </c>
      <c r="F3494" s="30" t="n">
        <v>13.5</v>
      </c>
      <c r="G3494" s="31" t="n">
        <f aca="false">IFERROR(F3494/D3494,0)</f>
        <v>13.5</v>
      </c>
    </row>
    <row r="3495" customFormat="false" ht="15" hidden="false" customHeight="false" outlineLevel="0" collapsed="false">
      <c r="A3495" s="28" t="n">
        <v>2023</v>
      </c>
      <c r="B3495" s="28" t="s">
        <v>65</v>
      </c>
      <c r="C3495" s="28" t="s">
        <v>49</v>
      </c>
      <c r="D3495" s="28" t="n">
        <v>25</v>
      </c>
      <c r="E3495" s="29" t="n">
        <v>10861100</v>
      </c>
      <c r="F3495" s="30" t="n">
        <v>266.9</v>
      </c>
      <c r="G3495" s="31" t="n">
        <f aca="false">IFERROR(F3495/D3495,0)</f>
        <v>10.676</v>
      </c>
    </row>
    <row r="3496" customFormat="false" ht="15" hidden="false" customHeight="false" outlineLevel="0" collapsed="false">
      <c r="A3496" s="28" t="n">
        <v>2023</v>
      </c>
      <c r="B3496" s="28" t="s">
        <v>124</v>
      </c>
      <c r="C3496" s="28" t="s">
        <v>42</v>
      </c>
      <c r="D3496" s="28" t="n">
        <v>2</v>
      </c>
      <c r="E3496" s="29" t="n">
        <v>2687000</v>
      </c>
      <c r="F3496" s="30" t="n">
        <v>17.25</v>
      </c>
      <c r="G3496" s="31" t="n">
        <f aca="false">IFERROR(F3496/D3496,0)</f>
        <v>8.625</v>
      </c>
    </row>
    <row r="3497" customFormat="false" ht="15" hidden="false" customHeight="false" outlineLevel="0" collapsed="false">
      <c r="A3497" s="28" t="n">
        <v>2023</v>
      </c>
      <c r="B3497" s="28" t="s">
        <v>124</v>
      </c>
      <c r="C3497" s="28" t="s">
        <v>50</v>
      </c>
      <c r="D3497" s="28" t="n">
        <v>1</v>
      </c>
      <c r="E3497" s="29" t="n">
        <v>100000</v>
      </c>
      <c r="F3497" s="30" t="n">
        <v>11.5</v>
      </c>
      <c r="G3497" s="31" t="n">
        <f aca="false">IFERROR(F3497/D3497,0)</f>
        <v>11.5</v>
      </c>
    </row>
    <row r="3498" customFormat="false" ht="15" hidden="false" customHeight="false" outlineLevel="0" collapsed="false">
      <c r="A3498" s="28" t="n">
        <v>2023</v>
      </c>
      <c r="B3498" s="28" t="s">
        <v>124</v>
      </c>
      <c r="C3498" s="28" t="s">
        <v>51</v>
      </c>
      <c r="D3498" s="28" t="n">
        <v>1</v>
      </c>
      <c r="E3498" s="29" t="n">
        <v>500000</v>
      </c>
      <c r="F3498" s="30" t="n">
        <v>9.75</v>
      </c>
      <c r="G3498" s="31" t="n">
        <f aca="false">IFERROR(F3498/D3498,0)</f>
        <v>9.75</v>
      </c>
    </row>
    <row r="3499" customFormat="false" ht="15" hidden="false" customHeight="false" outlineLevel="0" collapsed="false">
      <c r="A3499" s="28" t="n">
        <v>2023</v>
      </c>
      <c r="B3499" s="28" t="s">
        <v>124</v>
      </c>
      <c r="C3499" s="28" t="s">
        <v>44</v>
      </c>
      <c r="D3499" s="28" t="n">
        <v>1</v>
      </c>
      <c r="E3499" s="29" t="n">
        <v>500000</v>
      </c>
      <c r="F3499" s="30" t="n">
        <v>10.75</v>
      </c>
      <c r="G3499" s="31" t="n">
        <f aca="false">IFERROR(F3499/D3499,0)</f>
        <v>10.75</v>
      </c>
    </row>
    <row r="3500" customFormat="false" ht="15" hidden="false" customHeight="false" outlineLevel="0" collapsed="false">
      <c r="A3500" s="28" t="n">
        <v>2023</v>
      </c>
      <c r="B3500" s="28" t="s">
        <v>124</v>
      </c>
      <c r="C3500" s="28" t="s">
        <v>57</v>
      </c>
      <c r="D3500" s="28" t="n">
        <v>1</v>
      </c>
      <c r="E3500" s="29" t="n">
        <v>15000</v>
      </c>
      <c r="F3500" s="30" t="n">
        <v>10.75</v>
      </c>
      <c r="G3500" s="31" t="n">
        <f aca="false">IFERROR(F3500/D3500,0)</f>
        <v>10.75</v>
      </c>
    </row>
    <row r="3501" customFormat="false" ht="15" hidden="false" customHeight="false" outlineLevel="0" collapsed="false">
      <c r="A3501" s="28" t="n">
        <v>2023</v>
      </c>
      <c r="B3501" s="28" t="s">
        <v>124</v>
      </c>
      <c r="C3501" s="28" t="s">
        <v>47</v>
      </c>
      <c r="D3501" s="28" t="n">
        <v>2</v>
      </c>
      <c r="E3501" s="29" t="n">
        <v>100600</v>
      </c>
      <c r="F3501" s="30" t="n">
        <v>18.25</v>
      </c>
      <c r="G3501" s="31" t="n">
        <f aca="false">IFERROR(F3501/D3501,0)</f>
        <v>9.125</v>
      </c>
    </row>
    <row r="3502" customFormat="false" ht="15" hidden="false" customHeight="false" outlineLevel="0" collapsed="false">
      <c r="A3502" s="28" t="n">
        <v>2023</v>
      </c>
      <c r="B3502" s="28" t="s">
        <v>124</v>
      </c>
      <c r="C3502" s="28" t="s">
        <v>53</v>
      </c>
      <c r="D3502" s="28" t="n">
        <v>2</v>
      </c>
      <c r="E3502" s="29" t="n">
        <v>614500</v>
      </c>
      <c r="F3502" s="30" t="n">
        <v>19.5</v>
      </c>
      <c r="G3502" s="31" t="n">
        <f aca="false">IFERROR(F3502/D3502,0)</f>
        <v>9.75</v>
      </c>
    </row>
    <row r="3503" customFormat="false" ht="15" hidden="false" customHeight="false" outlineLevel="0" collapsed="false">
      <c r="A3503" s="28" t="n">
        <v>2023</v>
      </c>
      <c r="B3503" s="28" t="s">
        <v>124</v>
      </c>
      <c r="C3503" s="28" t="s">
        <v>43</v>
      </c>
      <c r="D3503" s="28" t="n">
        <v>2</v>
      </c>
      <c r="E3503" s="29" t="n">
        <v>525000</v>
      </c>
      <c r="F3503" s="30" t="n">
        <v>19</v>
      </c>
      <c r="G3503" s="31" t="n">
        <f aca="false">IFERROR(F3503/D3503,0)</f>
        <v>9.5</v>
      </c>
    </row>
    <row r="3504" customFormat="false" ht="15" hidden="false" customHeight="false" outlineLevel="0" collapsed="false">
      <c r="A3504" s="28" t="n">
        <v>2023</v>
      </c>
      <c r="B3504" s="28" t="s">
        <v>124</v>
      </c>
      <c r="C3504" s="28" t="s">
        <v>52</v>
      </c>
      <c r="D3504" s="28" t="n">
        <v>3</v>
      </c>
      <c r="E3504" s="29" t="n">
        <v>2848300</v>
      </c>
      <c r="F3504" s="30" t="n">
        <v>28.75</v>
      </c>
      <c r="G3504" s="31" t="n">
        <f aca="false">IFERROR(F3504/D3504,0)</f>
        <v>9.58333333333333</v>
      </c>
    </row>
    <row r="3505" customFormat="false" ht="15" hidden="false" customHeight="false" outlineLevel="0" collapsed="false">
      <c r="A3505" s="28" t="n">
        <v>2023</v>
      </c>
      <c r="B3505" s="28" t="s">
        <v>124</v>
      </c>
      <c r="C3505" s="28" t="s">
        <v>49</v>
      </c>
      <c r="D3505" s="28" t="n">
        <v>1</v>
      </c>
      <c r="E3505" s="29" t="n">
        <v>1572300</v>
      </c>
      <c r="F3505" s="30" t="n">
        <v>8.5</v>
      </c>
      <c r="G3505" s="31" t="n">
        <f aca="false">IFERROR(F3505/D3505,0)</f>
        <v>8.5</v>
      </c>
    </row>
    <row r="3506" customFormat="false" ht="15" hidden="false" customHeight="false" outlineLevel="0" collapsed="false">
      <c r="A3506" s="28" t="n">
        <v>2023</v>
      </c>
      <c r="B3506" s="28" t="s">
        <v>126</v>
      </c>
      <c r="C3506" s="28" t="s">
        <v>42</v>
      </c>
      <c r="D3506" s="28" t="n">
        <v>16</v>
      </c>
      <c r="E3506" s="29" t="n">
        <v>5475800</v>
      </c>
      <c r="F3506" s="30" t="n">
        <v>133.91</v>
      </c>
      <c r="G3506" s="31" t="n">
        <f aca="false">IFERROR(F3506/D3506,0)</f>
        <v>8.369375</v>
      </c>
    </row>
    <row r="3507" customFormat="false" ht="15" hidden="false" customHeight="false" outlineLevel="0" collapsed="false">
      <c r="A3507" s="28" t="n">
        <v>2023</v>
      </c>
      <c r="B3507" s="28" t="s">
        <v>126</v>
      </c>
      <c r="C3507" s="28" t="s">
        <v>50</v>
      </c>
      <c r="D3507" s="28" t="n">
        <v>10</v>
      </c>
      <c r="E3507" s="29" t="n">
        <v>1087000</v>
      </c>
      <c r="F3507" s="30" t="n">
        <v>88.98</v>
      </c>
      <c r="G3507" s="31" t="n">
        <f aca="false">IFERROR(F3507/D3507,0)</f>
        <v>8.898</v>
      </c>
    </row>
    <row r="3508" customFormat="false" ht="15" hidden="false" customHeight="false" outlineLevel="0" collapsed="false">
      <c r="A3508" s="28" t="n">
        <v>2023</v>
      </c>
      <c r="B3508" s="28" t="s">
        <v>126</v>
      </c>
      <c r="C3508" s="28" t="s">
        <v>55</v>
      </c>
      <c r="D3508" s="28" t="n">
        <v>2</v>
      </c>
      <c r="E3508" s="29" t="n">
        <v>98200</v>
      </c>
      <c r="F3508" s="30" t="n">
        <v>13.75</v>
      </c>
      <c r="G3508" s="31" t="n">
        <f aca="false">IFERROR(F3508/D3508,0)</f>
        <v>6.875</v>
      </c>
    </row>
    <row r="3509" customFormat="false" ht="15" hidden="false" customHeight="false" outlineLevel="0" collapsed="false">
      <c r="A3509" s="28" t="n">
        <v>2023</v>
      </c>
      <c r="B3509" s="28" t="s">
        <v>126</v>
      </c>
      <c r="C3509" s="28" t="s">
        <v>51</v>
      </c>
      <c r="D3509" s="28" t="n">
        <v>6</v>
      </c>
      <c r="E3509" s="29" t="n">
        <v>608500</v>
      </c>
      <c r="F3509" s="30" t="n">
        <v>60.61</v>
      </c>
      <c r="G3509" s="31" t="n">
        <f aca="false">IFERROR(F3509/D3509,0)</f>
        <v>10.1016666666667</v>
      </c>
    </row>
    <row r="3510" customFormat="false" ht="15" hidden="false" customHeight="false" outlineLevel="0" collapsed="false">
      <c r="A3510" s="28" t="n">
        <v>2023</v>
      </c>
      <c r="B3510" s="28" t="s">
        <v>126</v>
      </c>
      <c r="C3510" s="28" t="s">
        <v>45</v>
      </c>
      <c r="D3510" s="28" t="n">
        <v>16</v>
      </c>
      <c r="E3510" s="29" t="n">
        <v>5090900</v>
      </c>
      <c r="F3510" s="30" t="n">
        <v>167.27</v>
      </c>
      <c r="G3510" s="31" t="n">
        <f aca="false">IFERROR(F3510/D3510,0)</f>
        <v>10.454375</v>
      </c>
    </row>
    <row r="3511" customFormat="false" ht="15" hidden="false" customHeight="false" outlineLevel="0" collapsed="false">
      <c r="A3511" s="28" t="n">
        <v>2023</v>
      </c>
      <c r="B3511" s="28" t="s">
        <v>126</v>
      </c>
      <c r="C3511" s="28" t="s">
        <v>54</v>
      </c>
      <c r="D3511" s="28" t="n">
        <v>1</v>
      </c>
      <c r="E3511" s="29" t="n">
        <v>313000</v>
      </c>
      <c r="F3511" s="30" t="n">
        <v>10.75</v>
      </c>
      <c r="G3511" s="31" t="n">
        <f aca="false">IFERROR(F3511/D3511,0)</f>
        <v>10.75</v>
      </c>
    </row>
    <row r="3512" customFormat="false" ht="15" hidden="false" customHeight="false" outlineLevel="0" collapsed="false">
      <c r="A3512" s="28" t="n">
        <v>2023</v>
      </c>
      <c r="B3512" s="28" t="s">
        <v>126</v>
      </c>
      <c r="C3512" s="28" t="s">
        <v>44</v>
      </c>
      <c r="D3512" s="28" t="n">
        <v>12</v>
      </c>
      <c r="E3512" s="29" t="n">
        <v>1188400</v>
      </c>
      <c r="F3512" s="30" t="n">
        <v>100.86</v>
      </c>
      <c r="G3512" s="31" t="n">
        <f aca="false">IFERROR(F3512/D3512,0)</f>
        <v>8.405</v>
      </c>
    </row>
    <row r="3513" customFormat="false" ht="15" hidden="false" customHeight="false" outlineLevel="0" collapsed="false">
      <c r="A3513" s="28" t="n">
        <v>2023</v>
      </c>
      <c r="B3513" s="28" t="s">
        <v>126</v>
      </c>
      <c r="C3513" s="28" t="s">
        <v>57</v>
      </c>
      <c r="D3513" s="28" t="n">
        <v>1</v>
      </c>
      <c r="E3513" s="29" t="n">
        <v>150000</v>
      </c>
      <c r="F3513" s="30" t="n">
        <v>10</v>
      </c>
      <c r="G3513" s="31" t="n">
        <f aca="false">IFERROR(F3513/D3513,0)</f>
        <v>10</v>
      </c>
    </row>
    <row r="3514" customFormat="false" ht="15" hidden="false" customHeight="false" outlineLevel="0" collapsed="false">
      <c r="A3514" s="28" t="n">
        <v>2023</v>
      </c>
      <c r="B3514" s="28" t="s">
        <v>126</v>
      </c>
      <c r="C3514" s="28" t="s">
        <v>47</v>
      </c>
      <c r="D3514" s="28" t="n">
        <v>9</v>
      </c>
      <c r="E3514" s="29" t="n">
        <v>2174400</v>
      </c>
      <c r="F3514" s="30" t="n">
        <v>66.84</v>
      </c>
      <c r="G3514" s="31" t="n">
        <f aca="false">IFERROR(F3514/D3514,0)</f>
        <v>7.42666666666667</v>
      </c>
    </row>
    <row r="3515" customFormat="false" ht="15" hidden="false" customHeight="false" outlineLevel="0" collapsed="false">
      <c r="A3515" s="28" t="n">
        <v>2023</v>
      </c>
      <c r="B3515" s="28" t="s">
        <v>126</v>
      </c>
      <c r="C3515" s="28" t="s">
        <v>58</v>
      </c>
      <c r="D3515" s="28" t="n">
        <v>1</v>
      </c>
      <c r="E3515" s="29" t="n">
        <v>356500</v>
      </c>
      <c r="F3515" s="30" t="n">
        <v>6.25</v>
      </c>
      <c r="G3515" s="31" t="n">
        <f aca="false">IFERROR(F3515/D3515,0)</f>
        <v>6.25</v>
      </c>
    </row>
    <row r="3516" customFormat="false" ht="15" hidden="false" customHeight="false" outlineLevel="0" collapsed="false">
      <c r="A3516" s="28" t="n">
        <v>2023</v>
      </c>
      <c r="B3516" s="28" t="s">
        <v>126</v>
      </c>
      <c r="C3516" s="28" t="s">
        <v>46</v>
      </c>
      <c r="D3516" s="28" t="n">
        <v>11</v>
      </c>
      <c r="E3516" s="29" t="n">
        <v>479000</v>
      </c>
      <c r="F3516" s="30" t="n">
        <v>94.15</v>
      </c>
      <c r="G3516" s="31" t="n">
        <f aca="false">IFERROR(F3516/D3516,0)</f>
        <v>8.55909090909091</v>
      </c>
    </row>
    <row r="3517" customFormat="false" ht="15" hidden="false" customHeight="false" outlineLevel="0" collapsed="false">
      <c r="A3517" s="28" t="n">
        <v>2023</v>
      </c>
      <c r="B3517" s="28" t="s">
        <v>126</v>
      </c>
      <c r="C3517" s="28" t="s">
        <v>48</v>
      </c>
      <c r="D3517" s="28" t="n">
        <v>11</v>
      </c>
      <c r="E3517" s="29" t="n">
        <v>2092900</v>
      </c>
      <c r="F3517" s="30" t="n">
        <v>112.35</v>
      </c>
      <c r="G3517" s="31" t="n">
        <f aca="false">IFERROR(F3517/D3517,0)</f>
        <v>10.2136363636364</v>
      </c>
    </row>
    <row r="3518" customFormat="false" ht="15" hidden="false" customHeight="false" outlineLevel="0" collapsed="false">
      <c r="A3518" s="28" t="n">
        <v>2023</v>
      </c>
      <c r="B3518" s="28" t="s">
        <v>126</v>
      </c>
      <c r="C3518" s="28" t="s">
        <v>53</v>
      </c>
      <c r="D3518" s="28" t="n">
        <v>5</v>
      </c>
      <c r="E3518" s="29" t="n">
        <v>385500</v>
      </c>
      <c r="F3518" s="30" t="n">
        <v>42.25</v>
      </c>
      <c r="G3518" s="31" t="n">
        <f aca="false">IFERROR(F3518/D3518,0)</f>
        <v>8.45</v>
      </c>
    </row>
    <row r="3519" customFormat="false" ht="15" hidden="false" customHeight="false" outlineLevel="0" collapsed="false">
      <c r="A3519" s="28" t="n">
        <v>2023</v>
      </c>
      <c r="B3519" s="28" t="s">
        <v>126</v>
      </c>
      <c r="C3519" s="28" t="s">
        <v>43</v>
      </c>
      <c r="D3519" s="28" t="n">
        <v>25</v>
      </c>
      <c r="E3519" s="29" t="n">
        <v>5958200</v>
      </c>
      <c r="F3519" s="30" t="n">
        <v>212.5</v>
      </c>
      <c r="G3519" s="31" t="n">
        <f aca="false">IFERROR(F3519/D3519,0)</f>
        <v>8.5</v>
      </c>
    </row>
    <row r="3520" customFormat="false" ht="15" hidden="false" customHeight="false" outlineLevel="0" collapsed="false">
      <c r="A3520" s="28" t="n">
        <v>2023</v>
      </c>
      <c r="B3520" s="28" t="s">
        <v>126</v>
      </c>
      <c r="C3520" s="28" t="s">
        <v>52</v>
      </c>
      <c r="D3520" s="28" t="n">
        <v>17</v>
      </c>
      <c r="E3520" s="29" t="n">
        <v>998800</v>
      </c>
      <c r="F3520" s="30" t="n">
        <v>166.74</v>
      </c>
      <c r="G3520" s="31" t="n">
        <f aca="false">IFERROR(F3520/D3520,0)</f>
        <v>9.80823529411765</v>
      </c>
    </row>
    <row r="3521" customFormat="false" ht="15" hidden="false" customHeight="false" outlineLevel="0" collapsed="false">
      <c r="A3521" s="28" t="n">
        <v>2023</v>
      </c>
      <c r="B3521" s="28" t="s">
        <v>126</v>
      </c>
      <c r="C3521" s="28" t="s">
        <v>49</v>
      </c>
      <c r="D3521" s="28" t="n">
        <v>3</v>
      </c>
      <c r="E3521" s="29" t="n">
        <v>4726000</v>
      </c>
      <c r="F3521" s="30" t="n">
        <v>25.5</v>
      </c>
      <c r="G3521" s="31" t="n">
        <f aca="false">IFERROR(F3521/D3521,0)</f>
        <v>8.5</v>
      </c>
    </row>
    <row r="3522" customFormat="false" ht="15" hidden="false" customHeight="false" outlineLevel="0" collapsed="false">
      <c r="A3522" s="28" t="n">
        <v>2023</v>
      </c>
      <c r="B3522" s="28" t="s">
        <v>89</v>
      </c>
      <c r="C3522" s="28" t="s">
        <v>42</v>
      </c>
      <c r="D3522" s="28" t="n">
        <v>215</v>
      </c>
      <c r="E3522" s="29" t="n">
        <v>138554100</v>
      </c>
      <c r="F3522" s="30" t="n">
        <v>2092.825</v>
      </c>
      <c r="G3522" s="31" t="n">
        <f aca="false">IFERROR(F3522/D3522,0)</f>
        <v>9.73406976744186</v>
      </c>
    </row>
    <row r="3523" customFormat="false" ht="15" hidden="false" customHeight="false" outlineLevel="0" collapsed="false">
      <c r="A3523" s="28" t="n">
        <v>2023</v>
      </c>
      <c r="B3523" s="28" t="s">
        <v>89</v>
      </c>
      <c r="C3523" s="28" t="s">
        <v>50</v>
      </c>
      <c r="D3523" s="28" t="n">
        <v>52</v>
      </c>
      <c r="E3523" s="29" t="n">
        <v>22855800</v>
      </c>
      <c r="F3523" s="30" t="n">
        <v>527.54</v>
      </c>
      <c r="G3523" s="31" t="n">
        <f aca="false">IFERROR(F3523/D3523,0)</f>
        <v>10.145</v>
      </c>
    </row>
    <row r="3524" customFormat="false" ht="15" hidden="false" customHeight="false" outlineLevel="0" collapsed="false">
      <c r="A3524" s="28" t="n">
        <v>2023</v>
      </c>
      <c r="B3524" s="28" t="s">
        <v>89</v>
      </c>
      <c r="C3524" s="28" t="s">
        <v>55</v>
      </c>
      <c r="D3524" s="28" t="n">
        <v>11</v>
      </c>
      <c r="E3524" s="29" t="n">
        <v>2298100</v>
      </c>
      <c r="F3524" s="30" t="n">
        <v>109.06</v>
      </c>
      <c r="G3524" s="31" t="n">
        <f aca="false">IFERROR(F3524/D3524,0)</f>
        <v>9.91454545454545</v>
      </c>
    </row>
    <row r="3525" customFormat="false" ht="15" hidden="false" customHeight="false" outlineLevel="0" collapsed="false">
      <c r="A3525" s="28" t="n">
        <v>2023</v>
      </c>
      <c r="B3525" s="28" t="s">
        <v>89</v>
      </c>
      <c r="C3525" s="28" t="s">
        <v>51</v>
      </c>
      <c r="D3525" s="28" t="n">
        <v>33</v>
      </c>
      <c r="E3525" s="29" t="n">
        <v>13925000</v>
      </c>
      <c r="F3525" s="30" t="n">
        <v>344.39</v>
      </c>
      <c r="G3525" s="31" t="n">
        <f aca="false">IFERROR(F3525/D3525,0)</f>
        <v>10.4360606060606</v>
      </c>
    </row>
    <row r="3526" customFormat="false" ht="15" hidden="false" customHeight="false" outlineLevel="0" collapsed="false">
      <c r="A3526" s="28" t="n">
        <v>2023</v>
      </c>
      <c r="B3526" s="28" t="s">
        <v>89</v>
      </c>
      <c r="C3526" s="28" t="s">
        <v>45</v>
      </c>
      <c r="D3526" s="28" t="n">
        <v>170</v>
      </c>
      <c r="E3526" s="29" t="n">
        <v>66603700</v>
      </c>
      <c r="F3526" s="30" t="n">
        <v>1679.065</v>
      </c>
      <c r="G3526" s="31" t="n">
        <f aca="false">IFERROR(F3526/D3526,0)</f>
        <v>9.87685294117647</v>
      </c>
    </row>
    <row r="3527" customFormat="false" ht="15" hidden="false" customHeight="false" outlineLevel="0" collapsed="false">
      <c r="A3527" s="28" t="n">
        <v>2023</v>
      </c>
      <c r="B3527" s="28" t="s">
        <v>89</v>
      </c>
      <c r="C3527" s="28" t="s">
        <v>56</v>
      </c>
      <c r="D3527" s="28" t="n">
        <v>20</v>
      </c>
      <c r="E3527" s="29" t="n">
        <v>12372500</v>
      </c>
      <c r="F3527" s="30" t="n">
        <v>206.05</v>
      </c>
      <c r="G3527" s="31" t="n">
        <f aca="false">IFERROR(F3527/D3527,0)</f>
        <v>10.3025</v>
      </c>
    </row>
    <row r="3528" customFormat="false" ht="15" hidden="false" customHeight="false" outlineLevel="0" collapsed="false">
      <c r="A3528" s="28" t="n">
        <v>2023</v>
      </c>
      <c r="B3528" s="28" t="s">
        <v>89</v>
      </c>
      <c r="C3528" s="28" t="s">
        <v>54</v>
      </c>
      <c r="D3528" s="28" t="n">
        <v>11</v>
      </c>
      <c r="E3528" s="29" t="n">
        <v>7310000</v>
      </c>
      <c r="F3528" s="30" t="n">
        <v>96.48</v>
      </c>
      <c r="G3528" s="31" t="n">
        <f aca="false">IFERROR(F3528/D3528,0)</f>
        <v>8.77090909090909</v>
      </c>
    </row>
    <row r="3529" customFormat="false" ht="15" hidden="false" customHeight="false" outlineLevel="0" collapsed="false">
      <c r="A3529" s="28" t="n">
        <v>2023</v>
      </c>
      <c r="B3529" s="28" t="s">
        <v>89</v>
      </c>
      <c r="C3529" s="28" t="s">
        <v>44</v>
      </c>
      <c r="D3529" s="28" t="n">
        <v>120</v>
      </c>
      <c r="E3529" s="29" t="n">
        <v>74655200</v>
      </c>
      <c r="F3529" s="30" t="n">
        <v>1137.23</v>
      </c>
      <c r="G3529" s="31" t="n">
        <f aca="false">IFERROR(F3529/D3529,0)</f>
        <v>9.47691666666667</v>
      </c>
    </row>
    <row r="3530" customFormat="false" ht="15" hidden="false" customHeight="false" outlineLevel="0" collapsed="false">
      <c r="A3530" s="28" t="n">
        <v>2023</v>
      </c>
      <c r="B3530" s="28" t="s">
        <v>89</v>
      </c>
      <c r="C3530" s="28" t="s">
        <v>57</v>
      </c>
      <c r="D3530" s="28" t="n">
        <v>10</v>
      </c>
      <c r="E3530" s="29" t="n">
        <v>4618600</v>
      </c>
      <c r="F3530" s="30" t="n">
        <v>97.3</v>
      </c>
      <c r="G3530" s="31" t="n">
        <f aca="false">IFERROR(F3530/D3530,0)</f>
        <v>9.73</v>
      </c>
    </row>
    <row r="3531" customFormat="false" ht="15" hidden="false" customHeight="false" outlineLevel="0" collapsed="false">
      <c r="A3531" s="28" t="n">
        <v>2023</v>
      </c>
      <c r="B3531" s="28" t="s">
        <v>89</v>
      </c>
      <c r="C3531" s="28" t="s">
        <v>47</v>
      </c>
      <c r="D3531" s="28" t="n">
        <v>70</v>
      </c>
      <c r="E3531" s="29" t="n">
        <v>34327900</v>
      </c>
      <c r="F3531" s="30" t="n">
        <v>670.5</v>
      </c>
      <c r="G3531" s="31" t="n">
        <f aca="false">IFERROR(F3531/D3531,0)</f>
        <v>9.57857142857143</v>
      </c>
    </row>
    <row r="3532" customFormat="false" ht="15" hidden="false" customHeight="false" outlineLevel="0" collapsed="false">
      <c r="A3532" s="28" t="n">
        <v>2023</v>
      </c>
      <c r="B3532" s="28" t="s">
        <v>89</v>
      </c>
      <c r="C3532" s="28" t="s">
        <v>58</v>
      </c>
      <c r="D3532" s="28" t="n">
        <v>1</v>
      </c>
      <c r="E3532" s="29" t="n">
        <v>2310000</v>
      </c>
      <c r="F3532" s="30" t="n">
        <v>9.75</v>
      </c>
      <c r="G3532" s="31" t="n">
        <f aca="false">IFERROR(F3532/D3532,0)</f>
        <v>9.75</v>
      </c>
    </row>
    <row r="3533" customFormat="false" ht="15" hidden="false" customHeight="false" outlineLevel="0" collapsed="false">
      <c r="A3533" s="28" t="n">
        <v>2023</v>
      </c>
      <c r="B3533" s="28" t="s">
        <v>89</v>
      </c>
      <c r="C3533" s="28" t="s">
        <v>46</v>
      </c>
      <c r="D3533" s="28" t="n">
        <v>124</v>
      </c>
      <c r="E3533" s="29" t="n">
        <v>44524200</v>
      </c>
      <c r="F3533" s="30" t="n">
        <v>1226.81</v>
      </c>
      <c r="G3533" s="31" t="n">
        <f aca="false">IFERROR(F3533/D3533,0)</f>
        <v>9.89362903225806</v>
      </c>
    </row>
    <row r="3534" customFormat="false" ht="15" hidden="false" customHeight="false" outlineLevel="0" collapsed="false">
      <c r="A3534" s="28" t="n">
        <v>2023</v>
      </c>
      <c r="B3534" s="28" t="s">
        <v>89</v>
      </c>
      <c r="C3534" s="28" t="s">
        <v>48</v>
      </c>
      <c r="D3534" s="28" t="n">
        <v>104</v>
      </c>
      <c r="E3534" s="29" t="n">
        <v>65142700</v>
      </c>
      <c r="F3534" s="30" t="n">
        <v>1022.87</v>
      </c>
      <c r="G3534" s="31" t="n">
        <f aca="false">IFERROR(F3534/D3534,0)</f>
        <v>9.83528846153846</v>
      </c>
    </row>
    <row r="3535" customFormat="false" ht="15" hidden="false" customHeight="false" outlineLevel="0" collapsed="false">
      <c r="A3535" s="28" t="n">
        <v>2023</v>
      </c>
      <c r="B3535" s="28" t="s">
        <v>89</v>
      </c>
      <c r="C3535" s="28" t="s">
        <v>53</v>
      </c>
      <c r="D3535" s="28" t="n">
        <v>29</v>
      </c>
      <c r="E3535" s="29" t="n">
        <v>15513200</v>
      </c>
      <c r="F3535" s="30" t="n">
        <v>284.74</v>
      </c>
      <c r="G3535" s="31" t="n">
        <f aca="false">IFERROR(F3535/D3535,0)</f>
        <v>9.81862068965517</v>
      </c>
    </row>
    <row r="3536" customFormat="false" ht="15" hidden="false" customHeight="false" outlineLevel="0" collapsed="false">
      <c r="A3536" s="28" t="n">
        <v>2023</v>
      </c>
      <c r="B3536" s="28" t="s">
        <v>89</v>
      </c>
      <c r="C3536" s="28" t="s">
        <v>43</v>
      </c>
      <c r="D3536" s="28" t="n">
        <v>173</v>
      </c>
      <c r="E3536" s="29" t="n">
        <v>180506200</v>
      </c>
      <c r="F3536" s="30" t="n">
        <v>1654.17</v>
      </c>
      <c r="G3536" s="31" t="n">
        <f aca="false">IFERROR(F3536/D3536,0)</f>
        <v>9.56167630057804</v>
      </c>
    </row>
    <row r="3537" customFormat="false" ht="15" hidden="false" customHeight="false" outlineLevel="0" collapsed="false">
      <c r="A3537" s="28" t="n">
        <v>2023</v>
      </c>
      <c r="B3537" s="28" t="s">
        <v>89</v>
      </c>
      <c r="C3537" s="28" t="s">
        <v>52</v>
      </c>
      <c r="D3537" s="28" t="n">
        <v>76</v>
      </c>
      <c r="E3537" s="29" t="n">
        <v>27719800</v>
      </c>
      <c r="F3537" s="30" t="n">
        <v>753.12</v>
      </c>
      <c r="G3537" s="31" t="n">
        <f aca="false">IFERROR(F3537/D3537,0)</f>
        <v>9.90947368421053</v>
      </c>
    </row>
    <row r="3538" customFormat="false" ht="15" hidden="false" customHeight="false" outlineLevel="0" collapsed="false">
      <c r="A3538" s="28" t="n">
        <v>2023</v>
      </c>
      <c r="B3538" s="28" t="s">
        <v>89</v>
      </c>
      <c r="C3538" s="28" t="s">
        <v>60</v>
      </c>
      <c r="D3538" s="28" t="n">
        <v>1</v>
      </c>
      <c r="E3538" s="29" t="n">
        <v>350000</v>
      </c>
      <c r="F3538" s="30" t="n">
        <v>9.25</v>
      </c>
      <c r="G3538" s="31" t="n">
        <f aca="false">IFERROR(F3538/D3538,0)</f>
        <v>9.25</v>
      </c>
    </row>
    <row r="3539" customFormat="false" ht="15" hidden="false" customHeight="false" outlineLevel="0" collapsed="false">
      <c r="A3539" s="28" t="n">
        <v>2023</v>
      </c>
      <c r="B3539" s="28" t="s">
        <v>89</v>
      </c>
      <c r="C3539" s="28" t="s">
        <v>49</v>
      </c>
      <c r="D3539" s="28" t="n">
        <v>33</v>
      </c>
      <c r="E3539" s="29" t="n">
        <v>26998800</v>
      </c>
      <c r="F3539" s="30" t="n">
        <v>320.97</v>
      </c>
      <c r="G3539" s="31" t="n">
        <f aca="false">IFERROR(F3539/D3539,0)</f>
        <v>9.72636363636364</v>
      </c>
    </row>
    <row r="3540" customFormat="false" ht="15" hidden="false" customHeight="false" outlineLevel="0" collapsed="false">
      <c r="A3540" s="28" t="n">
        <v>2023</v>
      </c>
      <c r="B3540" s="28" t="s">
        <v>99</v>
      </c>
      <c r="C3540" s="28" t="s">
        <v>42</v>
      </c>
      <c r="D3540" s="28" t="n">
        <v>140</v>
      </c>
      <c r="E3540" s="29" t="n">
        <v>74053300</v>
      </c>
      <c r="F3540" s="30" t="n">
        <v>1228.655</v>
      </c>
      <c r="G3540" s="31" t="n">
        <f aca="false">IFERROR(F3540/D3540,0)</f>
        <v>8.77610714285714</v>
      </c>
    </row>
    <row r="3541" customFormat="false" ht="15" hidden="false" customHeight="false" outlineLevel="0" collapsed="false">
      <c r="A3541" s="28" t="n">
        <v>2023</v>
      </c>
      <c r="B3541" s="28" t="s">
        <v>99</v>
      </c>
      <c r="C3541" s="28" t="s">
        <v>50</v>
      </c>
      <c r="D3541" s="28" t="n">
        <v>51</v>
      </c>
      <c r="E3541" s="29" t="n">
        <v>15480000</v>
      </c>
      <c r="F3541" s="30" t="n">
        <v>474.32</v>
      </c>
      <c r="G3541" s="31" t="n">
        <f aca="false">IFERROR(F3541/D3541,0)</f>
        <v>9.30039215686275</v>
      </c>
    </row>
    <row r="3542" customFormat="false" ht="15" hidden="false" customHeight="false" outlineLevel="0" collapsed="false">
      <c r="A3542" s="28" t="n">
        <v>2023</v>
      </c>
      <c r="B3542" s="28" t="s">
        <v>99</v>
      </c>
      <c r="C3542" s="28" t="s">
        <v>55</v>
      </c>
      <c r="D3542" s="28" t="n">
        <v>22</v>
      </c>
      <c r="E3542" s="29" t="n">
        <v>7732700</v>
      </c>
      <c r="F3542" s="30" t="n">
        <v>194.75</v>
      </c>
      <c r="G3542" s="31" t="n">
        <f aca="false">IFERROR(F3542/D3542,0)</f>
        <v>8.85227272727273</v>
      </c>
    </row>
    <row r="3543" customFormat="false" ht="15" hidden="false" customHeight="false" outlineLevel="0" collapsed="false">
      <c r="A3543" s="28" t="n">
        <v>2023</v>
      </c>
      <c r="B3543" s="28" t="s">
        <v>99</v>
      </c>
      <c r="C3543" s="28" t="s">
        <v>51</v>
      </c>
      <c r="D3543" s="28" t="n">
        <v>47</v>
      </c>
      <c r="E3543" s="29" t="n">
        <v>29596000</v>
      </c>
      <c r="F3543" s="30" t="n">
        <v>414.03</v>
      </c>
      <c r="G3543" s="31" t="n">
        <f aca="false">IFERROR(F3543/D3543,0)</f>
        <v>8.80914893617021</v>
      </c>
    </row>
    <row r="3544" customFormat="false" ht="15" hidden="false" customHeight="false" outlineLevel="0" collapsed="false">
      <c r="A3544" s="28" t="n">
        <v>2023</v>
      </c>
      <c r="B3544" s="28" t="s">
        <v>99</v>
      </c>
      <c r="C3544" s="28" t="s">
        <v>45</v>
      </c>
      <c r="D3544" s="28" t="n">
        <v>91</v>
      </c>
      <c r="E3544" s="29" t="n">
        <v>32022000</v>
      </c>
      <c r="F3544" s="30" t="n">
        <v>847.38</v>
      </c>
      <c r="G3544" s="31" t="n">
        <f aca="false">IFERROR(F3544/D3544,0)</f>
        <v>9.31186813186813</v>
      </c>
    </row>
    <row r="3545" customFormat="false" ht="15" hidden="false" customHeight="false" outlineLevel="0" collapsed="false">
      <c r="A3545" s="28" t="n">
        <v>2023</v>
      </c>
      <c r="B3545" s="28" t="s">
        <v>99</v>
      </c>
      <c r="C3545" s="28" t="s">
        <v>56</v>
      </c>
      <c r="D3545" s="28" t="n">
        <v>10</v>
      </c>
      <c r="E3545" s="29" t="n">
        <v>2156000</v>
      </c>
      <c r="F3545" s="30" t="n">
        <v>86.28</v>
      </c>
      <c r="G3545" s="31" t="n">
        <f aca="false">IFERROR(F3545/D3545,0)</f>
        <v>8.628</v>
      </c>
    </row>
    <row r="3546" customFormat="false" ht="15" hidden="false" customHeight="false" outlineLevel="0" collapsed="false">
      <c r="A3546" s="28" t="n">
        <v>2023</v>
      </c>
      <c r="B3546" s="28" t="s">
        <v>99</v>
      </c>
      <c r="C3546" s="28" t="s">
        <v>54</v>
      </c>
      <c r="D3546" s="28" t="n">
        <v>14</v>
      </c>
      <c r="E3546" s="29" t="n">
        <v>8097500</v>
      </c>
      <c r="F3546" s="30" t="n">
        <v>123.31</v>
      </c>
      <c r="G3546" s="31" t="n">
        <f aca="false">IFERROR(F3546/D3546,0)</f>
        <v>8.80785714285714</v>
      </c>
    </row>
    <row r="3547" customFormat="false" ht="15" hidden="false" customHeight="false" outlineLevel="0" collapsed="false">
      <c r="A3547" s="28" t="n">
        <v>2023</v>
      </c>
      <c r="B3547" s="28" t="s">
        <v>99</v>
      </c>
      <c r="C3547" s="28" t="s">
        <v>44</v>
      </c>
      <c r="D3547" s="28" t="n">
        <v>77</v>
      </c>
      <c r="E3547" s="29" t="n">
        <v>35702000</v>
      </c>
      <c r="F3547" s="30" t="n">
        <v>711.34</v>
      </c>
      <c r="G3547" s="31" t="n">
        <f aca="false">IFERROR(F3547/D3547,0)</f>
        <v>9.23818181818182</v>
      </c>
    </row>
    <row r="3548" customFormat="false" ht="15" hidden="false" customHeight="false" outlineLevel="0" collapsed="false">
      <c r="A3548" s="28" t="n">
        <v>2023</v>
      </c>
      <c r="B3548" s="28" t="s">
        <v>99</v>
      </c>
      <c r="C3548" s="28" t="s">
        <v>57</v>
      </c>
      <c r="D3548" s="28" t="n">
        <v>5</v>
      </c>
      <c r="E3548" s="29" t="n">
        <v>2047000</v>
      </c>
      <c r="F3548" s="30" t="n">
        <v>49.22</v>
      </c>
      <c r="G3548" s="31" t="n">
        <f aca="false">IFERROR(F3548/D3548,0)</f>
        <v>9.844</v>
      </c>
    </row>
    <row r="3549" customFormat="false" ht="15" hidden="false" customHeight="false" outlineLevel="0" collapsed="false">
      <c r="A3549" s="28" t="n">
        <v>2023</v>
      </c>
      <c r="B3549" s="28" t="s">
        <v>99</v>
      </c>
      <c r="C3549" s="28" t="s">
        <v>59</v>
      </c>
      <c r="D3549" s="28" t="n">
        <v>1</v>
      </c>
      <c r="E3549" s="29" t="n">
        <v>126000</v>
      </c>
      <c r="F3549" s="30" t="n">
        <v>8</v>
      </c>
      <c r="G3549" s="31" t="n">
        <f aca="false">IFERROR(F3549/D3549,0)</f>
        <v>8</v>
      </c>
    </row>
    <row r="3550" customFormat="false" ht="15" hidden="false" customHeight="false" outlineLevel="0" collapsed="false">
      <c r="A3550" s="28" t="n">
        <v>2023</v>
      </c>
      <c r="B3550" s="28" t="s">
        <v>99</v>
      </c>
      <c r="C3550" s="28" t="s">
        <v>47</v>
      </c>
      <c r="D3550" s="28" t="n">
        <v>87</v>
      </c>
      <c r="E3550" s="29" t="n">
        <v>58549900</v>
      </c>
      <c r="F3550" s="30" t="n">
        <v>743.44</v>
      </c>
      <c r="G3550" s="31" t="n">
        <f aca="false">IFERROR(F3550/D3550,0)</f>
        <v>8.54528735632184</v>
      </c>
    </row>
    <row r="3551" customFormat="false" ht="15" hidden="false" customHeight="false" outlineLevel="0" collapsed="false">
      <c r="A3551" s="28" t="n">
        <v>2023</v>
      </c>
      <c r="B3551" s="28" t="s">
        <v>99</v>
      </c>
      <c r="C3551" s="28" t="s">
        <v>58</v>
      </c>
      <c r="D3551" s="28" t="n">
        <v>1</v>
      </c>
      <c r="E3551" s="29" t="n">
        <v>1050000</v>
      </c>
      <c r="F3551" s="30" t="n">
        <v>10</v>
      </c>
      <c r="G3551" s="31" t="n">
        <f aca="false">IFERROR(F3551/D3551,0)</f>
        <v>10</v>
      </c>
    </row>
    <row r="3552" customFormat="false" ht="15" hidden="false" customHeight="false" outlineLevel="0" collapsed="false">
      <c r="A3552" s="28" t="n">
        <v>2023</v>
      </c>
      <c r="B3552" s="28" t="s">
        <v>99</v>
      </c>
      <c r="C3552" s="28" t="s">
        <v>46</v>
      </c>
      <c r="D3552" s="28" t="n">
        <v>81</v>
      </c>
      <c r="E3552" s="29" t="n">
        <v>32638600</v>
      </c>
      <c r="F3552" s="30" t="n">
        <v>718.08</v>
      </c>
      <c r="G3552" s="31" t="n">
        <f aca="false">IFERROR(F3552/D3552,0)</f>
        <v>8.86518518518519</v>
      </c>
    </row>
    <row r="3553" customFormat="false" ht="15" hidden="false" customHeight="false" outlineLevel="0" collapsed="false">
      <c r="A3553" s="28" t="n">
        <v>2023</v>
      </c>
      <c r="B3553" s="28" t="s">
        <v>99</v>
      </c>
      <c r="C3553" s="28" t="s">
        <v>48</v>
      </c>
      <c r="D3553" s="28" t="n">
        <v>50</v>
      </c>
      <c r="E3553" s="29" t="n">
        <v>23017100</v>
      </c>
      <c r="F3553" s="30" t="n">
        <v>462.365</v>
      </c>
      <c r="G3553" s="31" t="n">
        <f aca="false">IFERROR(F3553/D3553,0)</f>
        <v>9.2473</v>
      </c>
    </row>
    <row r="3554" customFormat="false" ht="15" hidden="false" customHeight="false" outlineLevel="0" collapsed="false">
      <c r="A3554" s="28" t="n">
        <v>2023</v>
      </c>
      <c r="B3554" s="28" t="s">
        <v>99</v>
      </c>
      <c r="C3554" s="28" t="s">
        <v>53</v>
      </c>
      <c r="D3554" s="28" t="n">
        <v>22</v>
      </c>
      <c r="E3554" s="29" t="n">
        <v>10815800</v>
      </c>
      <c r="F3554" s="30" t="n">
        <v>203.33</v>
      </c>
      <c r="G3554" s="31" t="n">
        <f aca="false">IFERROR(F3554/D3554,0)</f>
        <v>9.24227272727273</v>
      </c>
    </row>
    <row r="3555" customFormat="false" ht="15" hidden="false" customHeight="false" outlineLevel="0" collapsed="false">
      <c r="A3555" s="28" t="n">
        <v>2023</v>
      </c>
      <c r="B3555" s="28" t="s">
        <v>99</v>
      </c>
      <c r="C3555" s="28" t="s">
        <v>43</v>
      </c>
      <c r="D3555" s="28" t="n">
        <v>107</v>
      </c>
      <c r="E3555" s="29" t="n">
        <v>61548700</v>
      </c>
      <c r="F3555" s="30" t="n">
        <v>979.6</v>
      </c>
      <c r="G3555" s="31" t="n">
        <f aca="false">IFERROR(F3555/D3555,0)</f>
        <v>9.15514018691589</v>
      </c>
    </row>
    <row r="3556" customFormat="false" ht="15" hidden="false" customHeight="false" outlineLevel="0" collapsed="false">
      <c r="A3556" s="28" t="n">
        <v>2023</v>
      </c>
      <c r="B3556" s="28" t="s">
        <v>99</v>
      </c>
      <c r="C3556" s="28" t="s">
        <v>52</v>
      </c>
      <c r="D3556" s="28" t="n">
        <v>47</v>
      </c>
      <c r="E3556" s="29" t="n">
        <v>26745200</v>
      </c>
      <c r="F3556" s="30" t="n">
        <v>436.33</v>
      </c>
      <c r="G3556" s="31" t="n">
        <f aca="false">IFERROR(F3556/D3556,0)</f>
        <v>9.2836170212766</v>
      </c>
    </row>
    <row r="3557" customFormat="false" ht="15" hidden="false" customHeight="false" outlineLevel="0" collapsed="false">
      <c r="A3557" s="28" t="n">
        <v>2023</v>
      </c>
      <c r="B3557" s="28" t="s">
        <v>99</v>
      </c>
      <c r="C3557" s="28" t="s">
        <v>49</v>
      </c>
      <c r="D3557" s="28" t="n">
        <v>36</v>
      </c>
      <c r="E3557" s="29" t="n">
        <v>29309000</v>
      </c>
      <c r="F3557" s="30" t="n">
        <v>326.29</v>
      </c>
      <c r="G3557" s="31" t="n">
        <f aca="false">IFERROR(F3557/D3557,0)</f>
        <v>9.06361111111111</v>
      </c>
    </row>
    <row r="3558" customFormat="false" ht="15" hidden="false" customHeight="false" outlineLevel="0" collapsed="false">
      <c r="A3558" s="28" t="n">
        <v>2023</v>
      </c>
      <c r="B3558" s="28" t="s">
        <v>123</v>
      </c>
      <c r="C3558" s="28" t="s">
        <v>42</v>
      </c>
      <c r="D3558" s="28" t="n">
        <v>18</v>
      </c>
      <c r="E3558" s="29" t="n">
        <v>11445200</v>
      </c>
      <c r="F3558" s="30" t="n">
        <v>166.125</v>
      </c>
      <c r="G3558" s="31" t="n">
        <f aca="false">IFERROR(F3558/D3558,0)</f>
        <v>9.22916666666667</v>
      </c>
    </row>
    <row r="3559" customFormat="false" ht="15" hidden="false" customHeight="false" outlineLevel="0" collapsed="false">
      <c r="A3559" s="28" t="n">
        <v>2023</v>
      </c>
      <c r="B3559" s="28" t="s">
        <v>123</v>
      </c>
      <c r="C3559" s="28" t="s">
        <v>50</v>
      </c>
      <c r="D3559" s="28" t="n">
        <v>10</v>
      </c>
      <c r="E3559" s="29" t="n">
        <v>1728000</v>
      </c>
      <c r="F3559" s="30" t="n">
        <v>102</v>
      </c>
      <c r="G3559" s="31" t="n">
        <f aca="false">IFERROR(F3559/D3559,0)</f>
        <v>10.2</v>
      </c>
    </row>
    <row r="3560" customFormat="false" ht="15" hidden="false" customHeight="false" outlineLevel="0" collapsed="false">
      <c r="A3560" s="28" t="n">
        <v>2023</v>
      </c>
      <c r="B3560" s="28" t="s">
        <v>123</v>
      </c>
      <c r="C3560" s="28" t="s">
        <v>55</v>
      </c>
      <c r="D3560" s="28" t="n">
        <v>3</v>
      </c>
      <c r="E3560" s="29" t="n">
        <v>915000</v>
      </c>
      <c r="F3560" s="30" t="n">
        <v>31.5</v>
      </c>
      <c r="G3560" s="31" t="n">
        <f aca="false">IFERROR(F3560/D3560,0)</f>
        <v>10.5</v>
      </c>
    </row>
    <row r="3561" customFormat="false" ht="15" hidden="false" customHeight="false" outlineLevel="0" collapsed="false">
      <c r="A3561" s="28" t="n">
        <v>2023</v>
      </c>
      <c r="B3561" s="28" t="s">
        <v>123</v>
      </c>
      <c r="C3561" s="28" t="s">
        <v>51</v>
      </c>
      <c r="D3561" s="28" t="n">
        <v>4</v>
      </c>
      <c r="E3561" s="29" t="n">
        <v>1247900</v>
      </c>
      <c r="F3561" s="30" t="n">
        <v>31.78</v>
      </c>
      <c r="G3561" s="31" t="n">
        <f aca="false">IFERROR(F3561/D3561,0)</f>
        <v>7.945</v>
      </c>
    </row>
    <row r="3562" customFormat="false" ht="15" hidden="false" customHeight="false" outlineLevel="0" collapsed="false">
      <c r="A3562" s="28" t="n">
        <v>2023</v>
      </c>
      <c r="B3562" s="28" t="s">
        <v>123</v>
      </c>
      <c r="C3562" s="28" t="s">
        <v>45</v>
      </c>
      <c r="D3562" s="28" t="n">
        <v>20</v>
      </c>
      <c r="E3562" s="29" t="n">
        <v>4026600</v>
      </c>
      <c r="F3562" s="30" t="n">
        <v>195.89</v>
      </c>
      <c r="G3562" s="31" t="n">
        <f aca="false">IFERROR(F3562/D3562,0)</f>
        <v>9.7945</v>
      </c>
    </row>
    <row r="3563" customFormat="false" ht="15" hidden="false" customHeight="false" outlineLevel="0" collapsed="false">
      <c r="A3563" s="28" t="n">
        <v>2023</v>
      </c>
      <c r="B3563" s="28" t="s">
        <v>123</v>
      </c>
      <c r="C3563" s="28" t="s">
        <v>56</v>
      </c>
      <c r="D3563" s="28" t="n">
        <v>3</v>
      </c>
      <c r="E3563" s="29" t="n">
        <v>280000</v>
      </c>
      <c r="F3563" s="30" t="n">
        <v>32.25</v>
      </c>
      <c r="G3563" s="31" t="n">
        <f aca="false">IFERROR(F3563/D3563,0)</f>
        <v>10.75</v>
      </c>
    </row>
    <row r="3564" customFormat="false" ht="15" hidden="false" customHeight="false" outlineLevel="0" collapsed="false">
      <c r="A3564" s="28" t="n">
        <v>2023</v>
      </c>
      <c r="B3564" s="28" t="s">
        <v>123</v>
      </c>
      <c r="C3564" s="28" t="s">
        <v>54</v>
      </c>
      <c r="D3564" s="28" t="n">
        <v>3</v>
      </c>
      <c r="E3564" s="29" t="n">
        <v>129400</v>
      </c>
      <c r="F3564" s="30" t="n">
        <v>27.95</v>
      </c>
      <c r="G3564" s="31" t="n">
        <f aca="false">IFERROR(F3564/D3564,0)</f>
        <v>9.31666666666667</v>
      </c>
    </row>
    <row r="3565" customFormat="false" ht="15" hidden="false" customHeight="false" outlineLevel="0" collapsed="false">
      <c r="A3565" s="28" t="n">
        <v>2023</v>
      </c>
      <c r="B3565" s="28" t="s">
        <v>123</v>
      </c>
      <c r="C3565" s="28" t="s">
        <v>44</v>
      </c>
      <c r="D3565" s="28" t="n">
        <v>14</v>
      </c>
      <c r="E3565" s="29" t="n">
        <v>2032200</v>
      </c>
      <c r="F3565" s="30" t="n">
        <v>145.65</v>
      </c>
      <c r="G3565" s="31" t="n">
        <f aca="false">IFERROR(F3565/D3565,0)</f>
        <v>10.4035714285714</v>
      </c>
    </row>
    <row r="3566" customFormat="false" ht="15" hidden="false" customHeight="false" outlineLevel="0" collapsed="false">
      <c r="A3566" s="28" t="n">
        <v>2023</v>
      </c>
      <c r="B3566" s="28" t="s">
        <v>123</v>
      </c>
      <c r="C3566" s="28" t="s">
        <v>47</v>
      </c>
      <c r="D3566" s="28" t="n">
        <v>8</v>
      </c>
      <c r="E3566" s="29" t="n">
        <v>7743500</v>
      </c>
      <c r="F3566" s="30" t="n">
        <v>74.75</v>
      </c>
      <c r="G3566" s="31" t="n">
        <f aca="false">IFERROR(F3566/D3566,0)</f>
        <v>9.34375</v>
      </c>
    </row>
    <row r="3567" customFormat="false" ht="15" hidden="false" customHeight="false" outlineLevel="0" collapsed="false">
      <c r="A3567" s="28" t="n">
        <v>2023</v>
      </c>
      <c r="B3567" s="28" t="s">
        <v>123</v>
      </c>
      <c r="C3567" s="28" t="s">
        <v>58</v>
      </c>
      <c r="D3567" s="28" t="n">
        <v>3</v>
      </c>
      <c r="E3567" s="29" t="n">
        <v>500000</v>
      </c>
      <c r="F3567" s="30" t="n">
        <v>29.75</v>
      </c>
      <c r="G3567" s="31" t="n">
        <f aca="false">IFERROR(F3567/D3567,0)</f>
        <v>9.91666666666667</v>
      </c>
    </row>
    <row r="3568" customFormat="false" ht="15" hidden="false" customHeight="false" outlineLevel="0" collapsed="false">
      <c r="A3568" s="28" t="n">
        <v>2023</v>
      </c>
      <c r="B3568" s="28" t="s">
        <v>123</v>
      </c>
      <c r="C3568" s="28" t="s">
        <v>46</v>
      </c>
      <c r="D3568" s="28" t="n">
        <v>22</v>
      </c>
      <c r="E3568" s="29" t="n">
        <v>8439400</v>
      </c>
      <c r="F3568" s="30" t="n">
        <v>213.465</v>
      </c>
      <c r="G3568" s="31" t="n">
        <f aca="false">IFERROR(F3568/D3568,0)</f>
        <v>9.70295454545455</v>
      </c>
    </row>
    <row r="3569" customFormat="false" ht="15" hidden="false" customHeight="false" outlineLevel="0" collapsed="false">
      <c r="A3569" s="28" t="n">
        <v>2023</v>
      </c>
      <c r="B3569" s="28" t="s">
        <v>123</v>
      </c>
      <c r="C3569" s="28" t="s">
        <v>48</v>
      </c>
      <c r="D3569" s="28" t="n">
        <v>10</v>
      </c>
      <c r="E3569" s="29" t="n">
        <v>5671100</v>
      </c>
      <c r="F3569" s="30" t="n">
        <v>102</v>
      </c>
      <c r="G3569" s="31" t="n">
        <f aca="false">IFERROR(F3569/D3569,0)</f>
        <v>10.2</v>
      </c>
    </row>
    <row r="3570" customFormat="false" ht="15" hidden="false" customHeight="false" outlineLevel="0" collapsed="false">
      <c r="A3570" s="28" t="n">
        <v>2023</v>
      </c>
      <c r="B3570" s="28" t="s">
        <v>123</v>
      </c>
      <c r="C3570" s="28" t="s">
        <v>53</v>
      </c>
      <c r="D3570" s="28" t="n">
        <v>2</v>
      </c>
      <c r="E3570" s="29" t="n">
        <v>835000</v>
      </c>
      <c r="F3570" s="30" t="n">
        <v>18.5</v>
      </c>
      <c r="G3570" s="31" t="n">
        <f aca="false">IFERROR(F3570/D3570,0)</f>
        <v>9.25</v>
      </c>
    </row>
    <row r="3571" customFormat="false" ht="15" hidden="false" customHeight="false" outlineLevel="0" collapsed="false">
      <c r="A3571" s="28" t="n">
        <v>2023</v>
      </c>
      <c r="B3571" s="28" t="s">
        <v>123</v>
      </c>
      <c r="C3571" s="28" t="s">
        <v>43</v>
      </c>
      <c r="D3571" s="28" t="n">
        <v>18</v>
      </c>
      <c r="E3571" s="29" t="n">
        <v>2949700</v>
      </c>
      <c r="F3571" s="30" t="n">
        <v>173.04</v>
      </c>
      <c r="G3571" s="31" t="n">
        <f aca="false">IFERROR(F3571/D3571,0)</f>
        <v>9.61333333333333</v>
      </c>
    </row>
    <row r="3572" customFormat="false" ht="15" hidden="false" customHeight="false" outlineLevel="0" collapsed="false">
      <c r="A3572" s="28" t="n">
        <v>2023</v>
      </c>
      <c r="B3572" s="28" t="s">
        <v>123</v>
      </c>
      <c r="C3572" s="28" t="s">
        <v>52</v>
      </c>
      <c r="D3572" s="28" t="n">
        <v>5</v>
      </c>
      <c r="E3572" s="29" t="n">
        <v>367500</v>
      </c>
      <c r="F3572" s="30" t="n">
        <v>46.14</v>
      </c>
      <c r="G3572" s="31" t="n">
        <f aca="false">IFERROR(F3572/D3572,0)</f>
        <v>9.228</v>
      </c>
    </row>
    <row r="3573" customFormat="false" ht="15" hidden="false" customHeight="false" outlineLevel="0" collapsed="false">
      <c r="A3573" s="28" t="n">
        <v>2023</v>
      </c>
      <c r="B3573" s="28" t="s">
        <v>123</v>
      </c>
      <c r="C3573" s="28" t="s">
        <v>49</v>
      </c>
      <c r="D3573" s="28" t="n">
        <v>5</v>
      </c>
      <c r="E3573" s="29" t="n">
        <v>1018300</v>
      </c>
      <c r="F3573" s="30" t="n">
        <v>44.25</v>
      </c>
      <c r="G3573" s="31" t="n">
        <f aca="false">IFERROR(F3573/D3573,0)</f>
        <v>8.85</v>
      </c>
    </row>
    <row r="3574" customFormat="false" ht="15" hidden="false" customHeight="false" outlineLevel="0" collapsed="false">
      <c r="A3574" s="28" t="n">
        <v>2023</v>
      </c>
      <c r="B3574" s="28" t="s">
        <v>125</v>
      </c>
      <c r="C3574" s="28" t="s">
        <v>42</v>
      </c>
      <c r="D3574" s="28" t="n">
        <v>5</v>
      </c>
      <c r="E3574" s="29" t="n">
        <v>4881900</v>
      </c>
      <c r="F3574" s="30" t="n">
        <v>47</v>
      </c>
      <c r="G3574" s="31" t="n">
        <f aca="false">IFERROR(F3574/D3574,0)</f>
        <v>9.4</v>
      </c>
    </row>
    <row r="3575" customFormat="false" ht="15" hidden="false" customHeight="false" outlineLevel="0" collapsed="false">
      <c r="A3575" s="28" t="n">
        <v>2023</v>
      </c>
      <c r="B3575" s="28" t="s">
        <v>125</v>
      </c>
      <c r="C3575" s="28" t="s">
        <v>50</v>
      </c>
      <c r="D3575" s="28" t="n">
        <v>8</v>
      </c>
      <c r="E3575" s="29" t="n">
        <v>1155000</v>
      </c>
      <c r="F3575" s="30" t="n">
        <v>70.8</v>
      </c>
      <c r="G3575" s="31" t="n">
        <f aca="false">IFERROR(F3575/D3575,0)</f>
        <v>8.85</v>
      </c>
    </row>
    <row r="3576" customFormat="false" ht="15" hidden="false" customHeight="false" outlineLevel="0" collapsed="false">
      <c r="A3576" s="28" t="n">
        <v>2023</v>
      </c>
      <c r="B3576" s="28" t="s">
        <v>125</v>
      </c>
      <c r="C3576" s="28" t="s">
        <v>55</v>
      </c>
      <c r="D3576" s="28" t="n">
        <v>2</v>
      </c>
      <c r="E3576" s="29" t="n">
        <v>244000</v>
      </c>
      <c r="F3576" s="30" t="n">
        <v>16.25</v>
      </c>
      <c r="G3576" s="31" t="n">
        <f aca="false">IFERROR(F3576/D3576,0)</f>
        <v>8.125</v>
      </c>
    </row>
    <row r="3577" customFormat="false" ht="15" hidden="false" customHeight="false" outlineLevel="0" collapsed="false">
      <c r="A3577" s="28" t="n">
        <v>2023</v>
      </c>
      <c r="B3577" s="28" t="s">
        <v>125</v>
      </c>
      <c r="C3577" s="28" t="s">
        <v>45</v>
      </c>
      <c r="D3577" s="28" t="n">
        <v>6</v>
      </c>
      <c r="E3577" s="29" t="n">
        <v>3730000</v>
      </c>
      <c r="F3577" s="30" t="n">
        <v>57.74</v>
      </c>
      <c r="G3577" s="31" t="n">
        <f aca="false">IFERROR(F3577/D3577,0)</f>
        <v>9.62333333333333</v>
      </c>
    </row>
    <row r="3578" customFormat="false" ht="15" hidden="false" customHeight="false" outlineLevel="0" collapsed="false">
      <c r="A3578" s="28" t="n">
        <v>2023</v>
      </c>
      <c r="B3578" s="28" t="s">
        <v>125</v>
      </c>
      <c r="C3578" s="28" t="s">
        <v>54</v>
      </c>
      <c r="D3578" s="28" t="n">
        <v>1</v>
      </c>
      <c r="E3578" s="29" t="n">
        <v>150000</v>
      </c>
      <c r="F3578" s="30" t="n">
        <v>10</v>
      </c>
      <c r="G3578" s="31" t="n">
        <f aca="false">IFERROR(F3578/D3578,0)</f>
        <v>10</v>
      </c>
    </row>
    <row r="3579" customFormat="false" ht="15" hidden="false" customHeight="false" outlineLevel="0" collapsed="false">
      <c r="A3579" s="28" t="n">
        <v>2023</v>
      </c>
      <c r="B3579" s="28" t="s">
        <v>125</v>
      </c>
      <c r="C3579" s="28" t="s">
        <v>44</v>
      </c>
      <c r="D3579" s="28" t="n">
        <v>3</v>
      </c>
      <c r="E3579" s="29" t="n">
        <v>966000</v>
      </c>
      <c r="F3579" s="30" t="n">
        <v>24.7</v>
      </c>
      <c r="G3579" s="31" t="n">
        <f aca="false">IFERROR(F3579/D3579,0)</f>
        <v>8.23333333333333</v>
      </c>
    </row>
    <row r="3580" customFormat="false" ht="15" hidden="false" customHeight="false" outlineLevel="0" collapsed="false">
      <c r="A3580" s="28" t="n">
        <v>2023</v>
      </c>
      <c r="B3580" s="28" t="s">
        <v>125</v>
      </c>
      <c r="C3580" s="28" t="s">
        <v>57</v>
      </c>
      <c r="D3580" s="28" t="n">
        <v>1</v>
      </c>
      <c r="E3580" s="29" t="n">
        <v>5000000</v>
      </c>
      <c r="F3580" s="30" t="n">
        <v>11.25</v>
      </c>
      <c r="G3580" s="31" t="n">
        <f aca="false">IFERROR(F3580/D3580,0)</f>
        <v>11.25</v>
      </c>
    </row>
    <row r="3581" customFormat="false" ht="15" hidden="false" customHeight="false" outlineLevel="0" collapsed="false">
      <c r="A3581" s="28" t="n">
        <v>2023</v>
      </c>
      <c r="B3581" s="28" t="s">
        <v>125</v>
      </c>
      <c r="C3581" s="28" t="s">
        <v>47</v>
      </c>
      <c r="D3581" s="28" t="n">
        <v>2</v>
      </c>
      <c r="E3581" s="29" t="n">
        <v>1934100</v>
      </c>
      <c r="F3581" s="30" t="n">
        <v>18.25</v>
      </c>
      <c r="G3581" s="31" t="n">
        <f aca="false">IFERROR(F3581/D3581,0)</f>
        <v>9.125</v>
      </c>
    </row>
    <row r="3582" customFormat="false" ht="15" hidden="false" customHeight="false" outlineLevel="0" collapsed="false">
      <c r="A3582" s="28" t="n">
        <v>2023</v>
      </c>
      <c r="B3582" s="28" t="s">
        <v>125</v>
      </c>
      <c r="C3582" s="28" t="s">
        <v>58</v>
      </c>
      <c r="D3582" s="28" t="n">
        <v>1</v>
      </c>
      <c r="E3582" s="29" t="n">
        <v>150000</v>
      </c>
      <c r="F3582" s="30" t="n">
        <v>8.5</v>
      </c>
      <c r="G3582" s="31" t="n">
        <f aca="false">IFERROR(F3582/D3582,0)</f>
        <v>8.5</v>
      </c>
    </row>
    <row r="3583" customFormat="false" ht="15" hidden="false" customHeight="false" outlineLevel="0" collapsed="false">
      <c r="A3583" s="28" t="n">
        <v>2023</v>
      </c>
      <c r="B3583" s="28" t="s">
        <v>125</v>
      </c>
      <c r="C3583" s="28" t="s">
        <v>46</v>
      </c>
      <c r="D3583" s="28" t="n">
        <v>5</v>
      </c>
      <c r="E3583" s="29" t="n">
        <v>2592000</v>
      </c>
      <c r="F3583" s="30" t="n">
        <v>45.99</v>
      </c>
      <c r="G3583" s="31" t="n">
        <f aca="false">IFERROR(F3583/D3583,0)</f>
        <v>9.198</v>
      </c>
    </row>
    <row r="3584" customFormat="false" ht="15" hidden="false" customHeight="false" outlineLevel="0" collapsed="false">
      <c r="A3584" s="28" t="n">
        <v>2023</v>
      </c>
      <c r="B3584" s="28" t="s">
        <v>125</v>
      </c>
      <c r="C3584" s="28" t="s">
        <v>48</v>
      </c>
      <c r="D3584" s="28" t="n">
        <v>7</v>
      </c>
      <c r="E3584" s="29" t="n">
        <v>12733100</v>
      </c>
      <c r="F3584" s="30" t="n">
        <v>61.81</v>
      </c>
      <c r="G3584" s="31" t="n">
        <f aca="false">IFERROR(F3584/D3584,0)</f>
        <v>8.83</v>
      </c>
    </row>
    <row r="3585" customFormat="false" ht="15" hidden="false" customHeight="false" outlineLevel="0" collapsed="false">
      <c r="A3585" s="28" t="n">
        <v>2023</v>
      </c>
      <c r="B3585" s="28" t="s">
        <v>125</v>
      </c>
      <c r="C3585" s="28" t="s">
        <v>43</v>
      </c>
      <c r="D3585" s="28" t="n">
        <v>6</v>
      </c>
      <c r="E3585" s="29" t="n">
        <v>6324000</v>
      </c>
      <c r="F3585" s="30" t="n">
        <v>55.45</v>
      </c>
      <c r="G3585" s="31" t="n">
        <f aca="false">IFERROR(F3585/D3585,0)</f>
        <v>9.24166666666667</v>
      </c>
    </row>
    <row r="3586" customFormat="false" ht="15" hidden="false" customHeight="false" outlineLevel="0" collapsed="false">
      <c r="A3586" s="28" t="n">
        <v>2023</v>
      </c>
      <c r="B3586" s="28" t="s">
        <v>125</v>
      </c>
      <c r="C3586" s="28" t="s">
        <v>52</v>
      </c>
      <c r="D3586" s="28" t="n">
        <v>4</v>
      </c>
      <c r="E3586" s="29" t="n">
        <v>1050800</v>
      </c>
      <c r="F3586" s="30" t="n">
        <v>43.5</v>
      </c>
      <c r="G3586" s="31" t="n">
        <f aca="false">IFERROR(F3586/D3586,0)</f>
        <v>10.875</v>
      </c>
    </row>
    <row r="3587" customFormat="false" ht="15" hidden="false" customHeight="false" outlineLevel="0" collapsed="false">
      <c r="A3587" s="28" t="n">
        <v>2023</v>
      </c>
      <c r="B3587" s="28" t="s">
        <v>125</v>
      </c>
      <c r="C3587" s="28" t="s">
        <v>60</v>
      </c>
      <c r="D3587" s="28" t="n">
        <v>1</v>
      </c>
      <c r="E3587" s="29" t="n">
        <v>2060000</v>
      </c>
      <c r="F3587" s="30" t="n">
        <v>8.95</v>
      </c>
      <c r="G3587" s="31" t="n">
        <f aca="false">IFERROR(F3587/D3587,0)</f>
        <v>8.95</v>
      </c>
    </row>
    <row r="3588" customFormat="false" ht="15" hidden="false" customHeight="false" outlineLevel="0" collapsed="false">
      <c r="A3588" s="28" t="n">
        <v>2023</v>
      </c>
      <c r="B3588" s="28" t="s">
        <v>125</v>
      </c>
      <c r="C3588" s="28" t="s">
        <v>49</v>
      </c>
      <c r="D3588" s="28" t="n">
        <v>6</v>
      </c>
      <c r="E3588" s="29" t="n">
        <v>5825000</v>
      </c>
      <c r="F3588" s="30" t="n">
        <v>58.5</v>
      </c>
      <c r="G3588" s="31" t="n">
        <f aca="false">IFERROR(F3588/D3588,0)</f>
        <v>9.75</v>
      </c>
    </row>
    <row r="3589" customFormat="false" ht="15" hidden="false" customHeight="false" outlineLevel="0" collapsed="false">
      <c r="A3589" s="28" t="n">
        <v>2024</v>
      </c>
      <c r="B3589" s="28" t="s">
        <v>74</v>
      </c>
      <c r="C3589" s="28" t="s">
        <v>42</v>
      </c>
      <c r="D3589" s="28" t="n">
        <v>15</v>
      </c>
      <c r="E3589" s="29" t="n">
        <v>8167200</v>
      </c>
      <c r="F3589" s="30" t="n">
        <v>171.12</v>
      </c>
      <c r="G3589" s="31" t="n">
        <f aca="false">IFERROR(F3589/D3589,0)</f>
        <v>11.408</v>
      </c>
    </row>
    <row r="3590" customFormat="false" ht="15" hidden="false" customHeight="false" outlineLevel="0" collapsed="false">
      <c r="A3590" s="28" t="n">
        <v>2024</v>
      </c>
      <c r="B3590" s="28" t="s">
        <v>74</v>
      </c>
      <c r="C3590" s="28" t="s">
        <v>50</v>
      </c>
      <c r="D3590" s="28" t="n">
        <v>7</v>
      </c>
      <c r="E3590" s="29" t="n">
        <v>1065000</v>
      </c>
      <c r="F3590" s="30" t="n">
        <v>79.78</v>
      </c>
      <c r="G3590" s="31" t="n">
        <f aca="false">IFERROR(F3590/D3590,0)</f>
        <v>11.3971428571429</v>
      </c>
    </row>
    <row r="3591" customFormat="false" ht="15" hidden="false" customHeight="false" outlineLevel="0" collapsed="false">
      <c r="A3591" s="28" t="n">
        <v>2024</v>
      </c>
      <c r="B3591" s="28" t="s">
        <v>74</v>
      </c>
      <c r="C3591" s="28" t="s">
        <v>55</v>
      </c>
      <c r="D3591" s="28" t="n">
        <v>1</v>
      </c>
      <c r="E3591" s="29" t="n">
        <v>200000</v>
      </c>
      <c r="F3591" s="30" t="n">
        <v>11</v>
      </c>
      <c r="G3591" s="31" t="n">
        <f aca="false">IFERROR(F3591/D3591,0)</f>
        <v>11</v>
      </c>
    </row>
    <row r="3592" customFormat="false" ht="15" hidden="false" customHeight="false" outlineLevel="0" collapsed="false">
      <c r="A3592" s="28" t="n">
        <v>2024</v>
      </c>
      <c r="B3592" s="28" t="s">
        <v>74</v>
      </c>
      <c r="C3592" s="28" t="s">
        <v>51</v>
      </c>
      <c r="D3592" s="28" t="n">
        <v>5</v>
      </c>
      <c r="E3592" s="29" t="n">
        <v>1221700</v>
      </c>
      <c r="F3592" s="30" t="n">
        <v>59.56</v>
      </c>
      <c r="G3592" s="31" t="n">
        <f aca="false">IFERROR(F3592/D3592,0)</f>
        <v>11.912</v>
      </c>
    </row>
    <row r="3593" customFormat="false" ht="15" hidden="false" customHeight="false" outlineLevel="0" collapsed="false">
      <c r="A3593" s="28" t="n">
        <v>2024</v>
      </c>
      <c r="B3593" s="28" t="s">
        <v>74</v>
      </c>
      <c r="C3593" s="28" t="s">
        <v>45</v>
      </c>
      <c r="D3593" s="28" t="n">
        <v>15</v>
      </c>
      <c r="E3593" s="29" t="n">
        <v>15736400</v>
      </c>
      <c r="F3593" s="30" t="n">
        <v>179.99</v>
      </c>
      <c r="G3593" s="31" t="n">
        <f aca="false">IFERROR(F3593/D3593,0)</f>
        <v>11.9993333333333</v>
      </c>
    </row>
    <row r="3594" customFormat="false" ht="15" hidden="false" customHeight="false" outlineLevel="0" collapsed="false">
      <c r="A3594" s="28" t="n">
        <v>2024</v>
      </c>
      <c r="B3594" s="28" t="s">
        <v>74</v>
      </c>
      <c r="C3594" s="28" t="s">
        <v>56</v>
      </c>
      <c r="D3594" s="28" t="n">
        <v>1</v>
      </c>
      <c r="E3594" s="29" t="n">
        <v>108000</v>
      </c>
      <c r="F3594" s="30" t="n">
        <v>10.5</v>
      </c>
      <c r="G3594" s="31" t="n">
        <f aca="false">IFERROR(F3594/D3594,0)</f>
        <v>10.5</v>
      </c>
    </row>
    <row r="3595" customFormat="false" ht="15" hidden="false" customHeight="false" outlineLevel="0" collapsed="false">
      <c r="A3595" s="28" t="n">
        <v>2024</v>
      </c>
      <c r="B3595" s="28" t="s">
        <v>74</v>
      </c>
      <c r="C3595" s="28" t="s">
        <v>44</v>
      </c>
      <c r="D3595" s="28" t="n">
        <v>10</v>
      </c>
      <c r="E3595" s="29" t="n">
        <v>7558100</v>
      </c>
      <c r="F3595" s="30" t="n">
        <v>99.03</v>
      </c>
      <c r="G3595" s="31" t="n">
        <f aca="false">IFERROR(F3595/D3595,0)</f>
        <v>9.903</v>
      </c>
    </row>
    <row r="3596" customFormat="false" ht="15" hidden="false" customHeight="false" outlineLevel="0" collapsed="false">
      <c r="A3596" s="28" t="n">
        <v>2024</v>
      </c>
      <c r="B3596" s="28" t="s">
        <v>74</v>
      </c>
      <c r="C3596" s="28" t="s">
        <v>57</v>
      </c>
      <c r="D3596" s="28" t="n">
        <v>1</v>
      </c>
      <c r="E3596" s="29" t="n">
        <v>268000</v>
      </c>
      <c r="F3596" s="30" t="n">
        <v>8.55</v>
      </c>
      <c r="G3596" s="31" t="n">
        <f aca="false">IFERROR(F3596/D3596,0)</f>
        <v>8.55</v>
      </c>
    </row>
    <row r="3597" customFormat="false" ht="15" hidden="false" customHeight="false" outlineLevel="0" collapsed="false">
      <c r="A3597" s="28" t="n">
        <v>2024</v>
      </c>
      <c r="B3597" s="28" t="s">
        <v>74</v>
      </c>
      <c r="C3597" s="28" t="s">
        <v>47</v>
      </c>
      <c r="D3597" s="28" t="n">
        <v>7</v>
      </c>
      <c r="E3597" s="29" t="n">
        <v>4804500</v>
      </c>
      <c r="F3597" s="30" t="n">
        <v>83</v>
      </c>
      <c r="G3597" s="31" t="n">
        <f aca="false">IFERROR(F3597/D3597,0)</f>
        <v>11.8571428571429</v>
      </c>
    </row>
    <row r="3598" customFormat="false" ht="15" hidden="false" customHeight="false" outlineLevel="0" collapsed="false">
      <c r="A3598" s="28" t="n">
        <v>2024</v>
      </c>
      <c r="B3598" s="28" t="s">
        <v>74</v>
      </c>
      <c r="C3598" s="28" t="s">
        <v>58</v>
      </c>
      <c r="D3598" s="28" t="n">
        <v>1</v>
      </c>
      <c r="E3598" s="29" t="n">
        <v>3000000</v>
      </c>
      <c r="F3598" s="30" t="n">
        <v>11.5</v>
      </c>
      <c r="G3598" s="31" t="n">
        <f aca="false">IFERROR(F3598/D3598,0)</f>
        <v>11.5</v>
      </c>
    </row>
    <row r="3599" customFormat="false" ht="15" hidden="false" customHeight="false" outlineLevel="0" collapsed="false">
      <c r="A3599" s="28" t="n">
        <v>2024</v>
      </c>
      <c r="B3599" s="28" t="s">
        <v>74</v>
      </c>
      <c r="C3599" s="28" t="s">
        <v>46</v>
      </c>
      <c r="D3599" s="28" t="n">
        <v>4</v>
      </c>
      <c r="E3599" s="29" t="n">
        <v>4065000</v>
      </c>
      <c r="F3599" s="30" t="n">
        <v>43.74</v>
      </c>
      <c r="G3599" s="31" t="n">
        <f aca="false">IFERROR(F3599/D3599,0)</f>
        <v>10.935</v>
      </c>
    </row>
    <row r="3600" customFormat="false" ht="15" hidden="false" customHeight="false" outlineLevel="0" collapsed="false">
      <c r="A3600" s="28" t="n">
        <v>2024</v>
      </c>
      <c r="B3600" s="28" t="s">
        <v>74</v>
      </c>
      <c r="C3600" s="28" t="s">
        <v>48</v>
      </c>
      <c r="D3600" s="28" t="n">
        <v>9</v>
      </c>
      <c r="E3600" s="29" t="n">
        <v>8818000</v>
      </c>
      <c r="F3600" s="30" t="n">
        <v>98.64</v>
      </c>
      <c r="G3600" s="31" t="n">
        <f aca="false">IFERROR(F3600/D3600,0)</f>
        <v>10.96</v>
      </c>
    </row>
    <row r="3601" customFormat="false" ht="15" hidden="false" customHeight="false" outlineLevel="0" collapsed="false">
      <c r="A3601" s="28" t="n">
        <v>2024</v>
      </c>
      <c r="B3601" s="28" t="s">
        <v>74</v>
      </c>
      <c r="C3601" s="28" t="s">
        <v>53</v>
      </c>
      <c r="D3601" s="28" t="n">
        <v>3</v>
      </c>
      <c r="E3601" s="29" t="n">
        <v>2465000</v>
      </c>
      <c r="F3601" s="30" t="n">
        <v>30.75</v>
      </c>
      <c r="G3601" s="31" t="n">
        <f aca="false">IFERROR(F3601/D3601,0)</f>
        <v>10.25</v>
      </c>
    </row>
    <row r="3602" customFormat="false" ht="15" hidden="false" customHeight="false" outlineLevel="0" collapsed="false">
      <c r="A3602" s="28" t="n">
        <v>2024</v>
      </c>
      <c r="B3602" s="28" t="s">
        <v>74</v>
      </c>
      <c r="C3602" s="28" t="s">
        <v>43</v>
      </c>
      <c r="D3602" s="28" t="n">
        <v>12</v>
      </c>
      <c r="E3602" s="29" t="n">
        <v>3138200</v>
      </c>
      <c r="F3602" s="30" t="n">
        <v>132</v>
      </c>
      <c r="G3602" s="31" t="n">
        <f aca="false">IFERROR(F3602/D3602,0)</f>
        <v>11</v>
      </c>
    </row>
    <row r="3603" customFormat="false" ht="15" hidden="false" customHeight="false" outlineLevel="0" collapsed="false">
      <c r="A3603" s="28" t="n">
        <v>2024</v>
      </c>
      <c r="B3603" s="28" t="s">
        <v>74</v>
      </c>
      <c r="C3603" s="28" t="s">
        <v>52</v>
      </c>
      <c r="D3603" s="28" t="n">
        <v>7</v>
      </c>
      <c r="E3603" s="29" t="n">
        <v>5099700</v>
      </c>
      <c r="F3603" s="30" t="n">
        <v>73.55</v>
      </c>
      <c r="G3603" s="31" t="n">
        <f aca="false">IFERROR(F3603/D3603,0)</f>
        <v>10.5071428571429</v>
      </c>
    </row>
    <row r="3604" customFormat="false" ht="15" hidden="false" customHeight="false" outlineLevel="0" collapsed="false">
      <c r="A3604" s="28" t="n">
        <v>2024</v>
      </c>
      <c r="B3604" s="28" t="s">
        <v>74</v>
      </c>
      <c r="C3604" s="28" t="s">
        <v>49</v>
      </c>
      <c r="D3604" s="28" t="n">
        <v>3</v>
      </c>
      <c r="E3604" s="29" t="n">
        <v>5722900</v>
      </c>
      <c r="F3604" s="30" t="n">
        <v>27.75</v>
      </c>
      <c r="G3604" s="31" t="n">
        <f aca="false">IFERROR(F3604/D3604,0)</f>
        <v>9.25</v>
      </c>
    </row>
    <row r="3605" customFormat="false" ht="15" hidden="false" customHeight="false" outlineLevel="0" collapsed="false">
      <c r="A3605" s="28" t="n">
        <v>2024</v>
      </c>
      <c r="B3605" s="28" t="s">
        <v>76</v>
      </c>
      <c r="C3605" s="28" t="s">
        <v>42</v>
      </c>
      <c r="D3605" s="28" t="n">
        <v>85</v>
      </c>
      <c r="E3605" s="29" t="n">
        <v>73992800</v>
      </c>
      <c r="F3605" s="30" t="n">
        <v>919.45</v>
      </c>
      <c r="G3605" s="31" t="n">
        <f aca="false">IFERROR(F3605/D3605,0)</f>
        <v>10.8170588235294</v>
      </c>
    </row>
    <row r="3606" customFormat="false" ht="15" hidden="false" customHeight="false" outlineLevel="0" collapsed="false">
      <c r="A3606" s="28" t="n">
        <v>2024</v>
      </c>
      <c r="B3606" s="28" t="s">
        <v>76</v>
      </c>
      <c r="C3606" s="28" t="s">
        <v>50</v>
      </c>
      <c r="D3606" s="28" t="n">
        <v>31</v>
      </c>
      <c r="E3606" s="29" t="n">
        <v>9462400</v>
      </c>
      <c r="F3606" s="30" t="n">
        <v>373.75</v>
      </c>
      <c r="G3606" s="31" t="n">
        <f aca="false">IFERROR(F3606/D3606,0)</f>
        <v>12.0564516129032</v>
      </c>
    </row>
    <row r="3607" customFormat="false" ht="15" hidden="false" customHeight="false" outlineLevel="0" collapsed="false">
      <c r="A3607" s="28" t="n">
        <v>2024</v>
      </c>
      <c r="B3607" s="28" t="s">
        <v>76</v>
      </c>
      <c r="C3607" s="28" t="s">
        <v>55</v>
      </c>
      <c r="D3607" s="28" t="n">
        <v>16</v>
      </c>
      <c r="E3607" s="29" t="n">
        <v>19480400</v>
      </c>
      <c r="F3607" s="30" t="n">
        <v>148.68</v>
      </c>
      <c r="G3607" s="31" t="n">
        <f aca="false">IFERROR(F3607/D3607,0)</f>
        <v>9.2925</v>
      </c>
    </row>
    <row r="3608" customFormat="false" ht="15" hidden="false" customHeight="false" outlineLevel="0" collapsed="false">
      <c r="A3608" s="28" t="n">
        <v>2024</v>
      </c>
      <c r="B3608" s="28" t="s">
        <v>76</v>
      </c>
      <c r="C3608" s="28" t="s">
        <v>51</v>
      </c>
      <c r="D3608" s="28" t="n">
        <v>17</v>
      </c>
      <c r="E3608" s="29" t="n">
        <v>9885200</v>
      </c>
      <c r="F3608" s="30" t="n">
        <v>183.5</v>
      </c>
      <c r="G3608" s="31" t="n">
        <f aca="false">IFERROR(F3608/D3608,0)</f>
        <v>10.7941176470588</v>
      </c>
    </row>
    <row r="3609" customFormat="false" ht="15" hidden="false" customHeight="false" outlineLevel="0" collapsed="false">
      <c r="A3609" s="28" t="n">
        <v>2024</v>
      </c>
      <c r="B3609" s="28" t="s">
        <v>76</v>
      </c>
      <c r="C3609" s="28" t="s">
        <v>45</v>
      </c>
      <c r="D3609" s="28" t="n">
        <v>44</v>
      </c>
      <c r="E3609" s="29" t="n">
        <v>13047300</v>
      </c>
      <c r="F3609" s="30" t="n">
        <v>505.75</v>
      </c>
      <c r="G3609" s="31" t="n">
        <f aca="false">IFERROR(F3609/D3609,0)</f>
        <v>11.4943181818182</v>
      </c>
    </row>
    <row r="3610" customFormat="false" ht="15" hidden="false" customHeight="false" outlineLevel="0" collapsed="false">
      <c r="A3610" s="28" t="n">
        <v>2024</v>
      </c>
      <c r="B3610" s="28" t="s">
        <v>76</v>
      </c>
      <c r="C3610" s="28" t="s">
        <v>56</v>
      </c>
      <c r="D3610" s="28" t="n">
        <v>7</v>
      </c>
      <c r="E3610" s="29" t="n">
        <v>1717100</v>
      </c>
      <c r="F3610" s="30" t="n">
        <v>81.5</v>
      </c>
      <c r="G3610" s="31" t="n">
        <f aca="false">IFERROR(F3610/D3610,0)</f>
        <v>11.6428571428571</v>
      </c>
    </row>
    <row r="3611" customFormat="false" ht="15" hidden="false" customHeight="false" outlineLevel="0" collapsed="false">
      <c r="A3611" s="28" t="n">
        <v>2024</v>
      </c>
      <c r="B3611" s="28" t="s">
        <v>76</v>
      </c>
      <c r="C3611" s="28" t="s">
        <v>54</v>
      </c>
      <c r="D3611" s="28" t="n">
        <v>11</v>
      </c>
      <c r="E3611" s="29" t="n">
        <v>4540500</v>
      </c>
      <c r="F3611" s="30" t="n">
        <v>123.09</v>
      </c>
      <c r="G3611" s="31" t="n">
        <f aca="false">IFERROR(F3611/D3611,0)</f>
        <v>11.19</v>
      </c>
    </row>
    <row r="3612" customFormat="false" ht="15" hidden="false" customHeight="false" outlineLevel="0" collapsed="false">
      <c r="A3612" s="28" t="n">
        <v>2024</v>
      </c>
      <c r="B3612" s="28" t="s">
        <v>76</v>
      </c>
      <c r="C3612" s="28" t="s">
        <v>44</v>
      </c>
      <c r="D3612" s="28" t="n">
        <v>39</v>
      </c>
      <c r="E3612" s="29" t="n">
        <v>14274700</v>
      </c>
      <c r="F3612" s="30" t="n">
        <v>430.69</v>
      </c>
      <c r="G3612" s="31" t="n">
        <f aca="false">IFERROR(F3612/D3612,0)</f>
        <v>11.0433333333333</v>
      </c>
    </row>
    <row r="3613" customFormat="false" ht="15" hidden="false" customHeight="false" outlineLevel="0" collapsed="false">
      <c r="A3613" s="28" t="n">
        <v>2024</v>
      </c>
      <c r="B3613" s="28" t="s">
        <v>76</v>
      </c>
      <c r="C3613" s="28" t="s">
        <v>57</v>
      </c>
      <c r="D3613" s="28" t="n">
        <v>3</v>
      </c>
      <c r="E3613" s="29" t="n">
        <v>1160000</v>
      </c>
      <c r="F3613" s="30" t="n">
        <v>30.5</v>
      </c>
      <c r="G3613" s="31" t="n">
        <f aca="false">IFERROR(F3613/D3613,0)</f>
        <v>10.1666666666667</v>
      </c>
    </row>
    <row r="3614" customFormat="false" ht="15" hidden="false" customHeight="false" outlineLevel="0" collapsed="false">
      <c r="A3614" s="28" t="n">
        <v>2024</v>
      </c>
      <c r="B3614" s="28" t="s">
        <v>76</v>
      </c>
      <c r="C3614" s="28" t="s">
        <v>47</v>
      </c>
      <c r="D3614" s="28" t="n">
        <v>16</v>
      </c>
      <c r="E3614" s="29" t="n">
        <v>17436000</v>
      </c>
      <c r="F3614" s="30" t="n">
        <v>171.75</v>
      </c>
      <c r="G3614" s="31" t="n">
        <f aca="false">IFERROR(F3614/D3614,0)</f>
        <v>10.734375</v>
      </c>
    </row>
    <row r="3615" customFormat="false" ht="15" hidden="false" customHeight="false" outlineLevel="0" collapsed="false">
      <c r="A3615" s="28" t="n">
        <v>2024</v>
      </c>
      <c r="B3615" s="28" t="s">
        <v>76</v>
      </c>
      <c r="C3615" s="28" t="s">
        <v>46</v>
      </c>
      <c r="D3615" s="28" t="n">
        <v>34</v>
      </c>
      <c r="E3615" s="29" t="n">
        <v>21574400</v>
      </c>
      <c r="F3615" s="30" t="n">
        <v>395.6</v>
      </c>
      <c r="G3615" s="31" t="n">
        <f aca="false">IFERROR(F3615/D3615,0)</f>
        <v>11.6352941176471</v>
      </c>
    </row>
    <row r="3616" customFormat="false" ht="15" hidden="false" customHeight="false" outlineLevel="0" collapsed="false">
      <c r="A3616" s="28" t="n">
        <v>2024</v>
      </c>
      <c r="B3616" s="28" t="s">
        <v>76</v>
      </c>
      <c r="C3616" s="28" t="s">
        <v>48</v>
      </c>
      <c r="D3616" s="28" t="n">
        <v>26</v>
      </c>
      <c r="E3616" s="29" t="n">
        <v>6919700</v>
      </c>
      <c r="F3616" s="30" t="n">
        <v>306.03</v>
      </c>
      <c r="G3616" s="31" t="n">
        <f aca="false">IFERROR(F3616/D3616,0)</f>
        <v>11.7703846153846</v>
      </c>
    </row>
    <row r="3617" customFormat="false" ht="15" hidden="false" customHeight="false" outlineLevel="0" collapsed="false">
      <c r="A3617" s="28" t="n">
        <v>2024</v>
      </c>
      <c r="B3617" s="28" t="s">
        <v>76</v>
      </c>
      <c r="C3617" s="28" t="s">
        <v>61</v>
      </c>
      <c r="D3617" s="28" t="n">
        <v>1</v>
      </c>
      <c r="E3617" s="29" t="n">
        <v>289600</v>
      </c>
      <c r="F3617" s="30" t="n">
        <v>7.25</v>
      </c>
      <c r="G3617" s="31" t="n">
        <f aca="false">IFERROR(F3617/D3617,0)</f>
        <v>7.25</v>
      </c>
    </row>
    <row r="3618" customFormat="false" ht="15" hidden="false" customHeight="false" outlineLevel="0" collapsed="false">
      <c r="A3618" s="28" t="n">
        <v>2024</v>
      </c>
      <c r="B3618" s="28" t="s">
        <v>76</v>
      </c>
      <c r="C3618" s="28" t="s">
        <v>53</v>
      </c>
      <c r="D3618" s="28" t="n">
        <v>12</v>
      </c>
      <c r="E3618" s="29" t="n">
        <v>4084600</v>
      </c>
      <c r="F3618" s="30" t="n">
        <v>138.25</v>
      </c>
      <c r="G3618" s="31" t="n">
        <f aca="false">IFERROR(F3618/D3618,0)</f>
        <v>11.5208333333333</v>
      </c>
    </row>
    <row r="3619" customFormat="false" ht="15" hidden="false" customHeight="false" outlineLevel="0" collapsed="false">
      <c r="A3619" s="28" t="n">
        <v>2024</v>
      </c>
      <c r="B3619" s="28" t="s">
        <v>76</v>
      </c>
      <c r="C3619" s="28" t="s">
        <v>43</v>
      </c>
      <c r="D3619" s="28" t="n">
        <v>50</v>
      </c>
      <c r="E3619" s="29" t="n">
        <v>31757100</v>
      </c>
      <c r="F3619" s="30" t="n">
        <v>555.14</v>
      </c>
      <c r="G3619" s="31" t="n">
        <f aca="false">IFERROR(F3619/D3619,0)</f>
        <v>11.1028</v>
      </c>
    </row>
    <row r="3620" customFormat="false" ht="15" hidden="false" customHeight="false" outlineLevel="0" collapsed="false">
      <c r="A3620" s="28" t="n">
        <v>2024</v>
      </c>
      <c r="B3620" s="28" t="s">
        <v>76</v>
      </c>
      <c r="C3620" s="28" t="s">
        <v>52</v>
      </c>
      <c r="D3620" s="28" t="n">
        <v>23</v>
      </c>
      <c r="E3620" s="29" t="n">
        <v>5961500</v>
      </c>
      <c r="F3620" s="30" t="n">
        <v>280</v>
      </c>
      <c r="G3620" s="31" t="n">
        <f aca="false">IFERROR(F3620/D3620,0)</f>
        <v>12.1739130434783</v>
      </c>
    </row>
    <row r="3621" customFormat="false" ht="15" hidden="false" customHeight="false" outlineLevel="0" collapsed="false">
      <c r="A3621" s="28" t="n">
        <v>2024</v>
      </c>
      <c r="B3621" s="28" t="s">
        <v>76</v>
      </c>
      <c r="C3621" s="28" t="s">
        <v>49</v>
      </c>
      <c r="D3621" s="28" t="n">
        <v>15</v>
      </c>
      <c r="E3621" s="29" t="n">
        <v>12304300</v>
      </c>
      <c r="F3621" s="30" t="n">
        <v>170.75</v>
      </c>
      <c r="G3621" s="31" t="n">
        <f aca="false">IFERROR(F3621/D3621,0)</f>
        <v>11.3833333333333</v>
      </c>
    </row>
    <row r="3622" customFormat="false" ht="15" hidden="false" customHeight="false" outlineLevel="0" collapsed="false">
      <c r="A3622" s="28" t="n">
        <v>2024</v>
      </c>
      <c r="B3622" s="28" t="s">
        <v>78</v>
      </c>
      <c r="C3622" s="28" t="s">
        <v>42</v>
      </c>
      <c r="D3622" s="28" t="n">
        <v>26</v>
      </c>
      <c r="E3622" s="29" t="n">
        <v>21281100</v>
      </c>
      <c r="F3622" s="30" t="n">
        <v>260.1</v>
      </c>
      <c r="G3622" s="31" t="n">
        <f aca="false">IFERROR(F3622/D3622,0)</f>
        <v>10.0038461538462</v>
      </c>
    </row>
    <row r="3623" customFormat="false" ht="15" hidden="false" customHeight="false" outlineLevel="0" collapsed="false">
      <c r="A3623" s="28" t="n">
        <v>2024</v>
      </c>
      <c r="B3623" s="28" t="s">
        <v>78</v>
      </c>
      <c r="C3623" s="28" t="s">
        <v>50</v>
      </c>
      <c r="D3623" s="28" t="n">
        <v>11</v>
      </c>
      <c r="E3623" s="29" t="n">
        <v>2962500</v>
      </c>
      <c r="F3623" s="30" t="n">
        <v>119.98</v>
      </c>
      <c r="G3623" s="31" t="n">
        <f aca="false">IFERROR(F3623/D3623,0)</f>
        <v>10.9072727272727</v>
      </c>
    </row>
    <row r="3624" customFormat="false" ht="15" hidden="false" customHeight="false" outlineLevel="0" collapsed="false">
      <c r="A3624" s="28" t="n">
        <v>2024</v>
      </c>
      <c r="B3624" s="28" t="s">
        <v>78</v>
      </c>
      <c r="C3624" s="28" t="s">
        <v>55</v>
      </c>
      <c r="D3624" s="28" t="n">
        <v>27</v>
      </c>
      <c r="E3624" s="29" t="n">
        <v>25743200</v>
      </c>
      <c r="F3624" s="30" t="n">
        <v>243.14</v>
      </c>
      <c r="G3624" s="31" t="n">
        <f aca="false">IFERROR(F3624/D3624,0)</f>
        <v>9.00518518518519</v>
      </c>
    </row>
    <row r="3625" customFormat="false" ht="15" hidden="false" customHeight="false" outlineLevel="0" collapsed="false">
      <c r="A3625" s="28" t="n">
        <v>2024</v>
      </c>
      <c r="B3625" s="28" t="s">
        <v>78</v>
      </c>
      <c r="C3625" s="28" t="s">
        <v>51</v>
      </c>
      <c r="D3625" s="28" t="n">
        <v>9</v>
      </c>
      <c r="E3625" s="29" t="n">
        <v>2794800</v>
      </c>
      <c r="F3625" s="30" t="n">
        <v>88.75</v>
      </c>
      <c r="G3625" s="31" t="n">
        <f aca="false">IFERROR(F3625/D3625,0)</f>
        <v>9.86111111111111</v>
      </c>
    </row>
    <row r="3626" customFormat="false" ht="15" hidden="false" customHeight="false" outlineLevel="0" collapsed="false">
      <c r="A3626" s="28" t="n">
        <v>2024</v>
      </c>
      <c r="B3626" s="28" t="s">
        <v>78</v>
      </c>
      <c r="C3626" s="28" t="s">
        <v>45</v>
      </c>
      <c r="D3626" s="28" t="n">
        <v>40</v>
      </c>
      <c r="E3626" s="29" t="n">
        <v>18452100</v>
      </c>
      <c r="F3626" s="30" t="n">
        <v>422.58</v>
      </c>
      <c r="G3626" s="31" t="n">
        <f aca="false">IFERROR(F3626/D3626,0)</f>
        <v>10.5645</v>
      </c>
    </row>
    <row r="3627" customFormat="false" ht="15" hidden="false" customHeight="false" outlineLevel="0" collapsed="false">
      <c r="A3627" s="28" t="n">
        <v>2024</v>
      </c>
      <c r="B3627" s="28" t="s">
        <v>78</v>
      </c>
      <c r="C3627" s="28" t="s">
        <v>56</v>
      </c>
      <c r="D3627" s="28" t="n">
        <v>3</v>
      </c>
      <c r="E3627" s="29" t="n">
        <v>1864800</v>
      </c>
      <c r="F3627" s="30" t="n">
        <v>28.45</v>
      </c>
      <c r="G3627" s="31" t="n">
        <f aca="false">IFERROR(F3627/D3627,0)</f>
        <v>9.48333333333333</v>
      </c>
    </row>
    <row r="3628" customFormat="false" ht="15" hidden="false" customHeight="false" outlineLevel="0" collapsed="false">
      <c r="A3628" s="28" t="n">
        <v>2024</v>
      </c>
      <c r="B3628" s="28" t="s">
        <v>78</v>
      </c>
      <c r="C3628" s="28" t="s">
        <v>54</v>
      </c>
      <c r="D3628" s="28" t="n">
        <v>6</v>
      </c>
      <c r="E3628" s="29" t="n">
        <v>2258500</v>
      </c>
      <c r="F3628" s="30" t="n">
        <v>62.72</v>
      </c>
      <c r="G3628" s="31" t="n">
        <f aca="false">IFERROR(F3628/D3628,0)</f>
        <v>10.4533333333333</v>
      </c>
    </row>
    <row r="3629" customFormat="false" ht="15" hidden="false" customHeight="false" outlineLevel="0" collapsed="false">
      <c r="A3629" s="28" t="n">
        <v>2024</v>
      </c>
      <c r="B3629" s="28" t="s">
        <v>78</v>
      </c>
      <c r="C3629" s="28" t="s">
        <v>44</v>
      </c>
      <c r="D3629" s="28" t="n">
        <v>17</v>
      </c>
      <c r="E3629" s="29" t="n">
        <v>5224500</v>
      </c>
      <c r="F3629" s="30" t="n">
        <v>163.45</v>
      </c>
      <c r="G3629" s="31" t="n">
        <f aca="false">IFERROR(F3629/D3629,0)</f>
        <v>9.61470588235294</v>
      </c>
    </row>
    <row r="3630" customFormat="false" ht="15" hidden="false" customHeight="false" outlineLevel="0" collapsed="false">
      <c r="A3630" s="28" t="n">
        <v>2024</v>
      </c>
      <c r="B3630" s="28" t="s">
        <v>78</v>
      </c>
      <c r="C3630" s="28" t="s">
        <v>57</v>
      </c>
      <c r="D3630" s="28" t="n">
        <v>2</v>
      </c>
      <c r="E3630" s="29" t="n">
        <v>303500</v>
      </c>
      <c r="F3630" s="30" t="n">
        <v>22.75</v>
      </c>
      <c r="G3630" s="31" t="n">
        <f aca="false">IFERROR(F3630/D3630,0)</f>
        <v>11.375</v>
      </c>
    </row>
    <row r="3631" customFormat="false" ht="15" hidden="false" customHeight="false" outlineLevel="0" collapsed="false">
      <c r="A3631" s="28" t="n">
        <v>2024</v>
      </c>
      <c r="B3631" s="28" t="s">
        <v>78</v>
      </c>
      <c r="C3631" s="28" t="s">
        <v>47</v>
      </c>
      <c r="D3631" s="28" t="n">
        <v>12</v>
      </c>
      <c r="E3631" s="29" t="n">
        <v>10927200</v>
      </c>
      <c r="F3631" s="30" t="n">
        <v>127.87</v>
      </c>
      <c r="G3631" s="31" t="n">
        <f aca="false">IFERROR(F3631/D3631,0)</f>
        <v>10.6558333333333</v>
      </c>
    </row>
    <row r="3632" customFormat="false" ht="15" hidden="false" customHeight="false" outlineLevel="0" collapsed="false">
      <c r="A3632" s="28" t="n">
        <v>2024</v>
      </c>
      <c r="B3632" s="28" t="s">
        <v>78</v>
      </c>
      <c r="C3632" s="28" t="s">
        <v>46</v>
      </c>
      <c r="D3632" s="28" t="n">
        <v>30</v>
      </c>
      <c r="E3632" s="29" t="n">
        <v>11877200</v>
      </c>
      <c r="F3632" s="30" t="n">
        <v>324.58</v>
      </c>
      <c r="G3632" s="31" t="n">
        <f aca="false">IFERROR(F3632/D3632,0)</f>
        <v>10.8193333333333</v>
      </c>
    </row>
    <row r="3633" customFormat="false" ht="15" hidden="false" customHeight="false" outlineLevel="0" collapsed="false">
      <c r="A3633" s="28" t="n">
        <v>2024</v>
      </c>
      <c r="B3633" s="28" t="s">
        <v>78</v>
      </c>
      <c r="C3633" s="28" t="s">
        <v>48</v>
      </c>
      <c r="D3633" s="28" t="n">
        <v>27</v>
      </c>
      <c r="E3633" s="29" t="n">
        <v>9614300</v>
      </c>
      <c r="F3633" s="30" t="n">
        <v>304.83</v>
      </c>
      <c r="G3633" s="31" t="n">
        <f aca="false">IFERROR(F3633/D3633,0)</f>
        <v>11.29</v>
      </c>
    </row>
    <row r="3634" customFormat="false" ht="15" hidden="false" customHeight="false" outlineLevel="0" collapsed="false">
      <c r="A3634" s="28" t="n">
        <v>2024</v>
      </c>
      <c r="B3634" s="28" t="s">
        <v>78</v>
      </c>
      <c r="C3634" s="28" t="s">
        <v>53</v>
      </c>
      <c r="D3634" s="28" t="n">
        <v>6</v>
      </c>
      <c r="E3634" s="29" t="n">
        <v>4472000</v>
      </c>
      <c r="F3634" s="30" t="n">
        <v>61.5</v>
      </c>
      <c r="G3634" s="31" t="n">
        <f aca="false">IFERROR(F3634/D3634,0)</f>
        <v>10.25</v>
      </c>
    </row>
    <row r="3635" customFormat="false" ht="15" hidden="false" customHeight="false" outlineLevel="0" collapsed="false">
      <c r="A3635" s="28" t="n">
        <v>2024</v>
      </c>
      <c r="B3635" s="28" t="s">
        <v>78</v>
      </c>
      <c r="C3635" s="28" t="s">
        <v>43</v>
      </c>
      <c r="D3635" s="28" t="n">
        <v>25</v>
      </c>
      <c r="E3635" s="29" t="n">
        <v>15826200</v>
      </c>
      <c r="F3635" s="30" t="n">
        <v>267.72</v>
      </c>
      <c r="G3635" s="31" t="n">
        <f aca="false">IFERROR(F3635/D3635,0)</f>
        <v>10.7088</v>
      </c>
    </row>
    <row r="3636" customFormat="false" ht="15" hidden="false" customHeight="false" outlineLevel="0" collapsed="false">
      <c r="A3636" s="28" t="n">
        <v>2024</v>
      </c>
      <c r="B3636" s="28" t="s">
        <v>78</v>
      </c>
      <c r="C3636" s="28" t="s">
        <v>52</v>
      </c>
      <c r="D3636" s="28" t="n">
        <v>8</v>
      </c>
      <c r="E3636" s="29" t="n">
        <v>1389800</v>
      </c>
      <c r="F3636" s="30" t="n">
        <v>86.75</v>
      </c>
      <c r="G3636" s="31" t="n">
        <f aca="false">IFERROR(F3636/D3636,0)</f>
        <v>10.84375</v>
      </c>
    </row>
    <row r="3637" customFormat="false" ht="15" hidden="false" customHeight="false" outlineLevel="0" collapsed="false">
      <c r="A3637" s="28" t="n">
        <v>2024</v>
      </c>
      <c r="B3637" s="28" t="s">
        <v>78</v>
      </c>
      <c r="C3637" s="28" t="s">
        <v>49</v>
      </c>
      <c r="D3637" s="28" t="n">
        <v>8</v>
      </c>
      <c r="E3637" s="29" t="n">
        <v>2550100</v>
      </c>
      <c r="F3637" s="30" t="n">
        <v>74.4</v>
      </c>
      <c r="G3637" s="31" t="n">
        <f aca="false">IFERROR(F3637/D3637,0)</f>
        <v>9.3</v>
      </c>
    </row>
    <row r="3638" customFormat="false" ht="15" hidden="false" customHeight="false" outlineLevel="0" collapsed="false">
      <c r="A3638" s="28" t="n">
        <v>2024</v>
      </c>
      <c r="B3638" s="28" t="s">
        <v>80</v>
      </c>
      <c r="C3638" s="28" t="s">
        <v>42</v>
      </c>
      <c r="D3638" s="28" t="n">
        <v>140</v>
      </c>
      <c r="E3638" s="29" t="n">
        <v>92504300</v>
      </c>
      <c r="F3638" s="30" t="n">
        <v>1466.355</v>
      </c>
      <c r="G3638" s="31" t="n">
        <f aca="false">IFERROR(F3638/D3638,0)</f>
        <v>10.4739642857143</v>
      </c>
    </row>
    <row r="3639" customFormat="false" ht="15" hidden="false" customHeight="false" outlineLevel="0" collapsed="false">
      <c r="A3639" s="28" t="n">
        <v>2024</v>
      </c>
      <c r="B3639" s="28" t="s">
        <v>80</v>
      </c>
      <c r="C3639" s="28" t="s">
        <v>50</v>
      </c>
      <c r="D3639" s="28" t="n">
        <v>74</v>
      </c>
      <c r="E3639" s="29" t="n">
        <v>34007600</v>
      </c>
      <c r="F3639" s="30" t="n">
        <v>855.51</v>
      </c>
      <c r="G3639" s="31" t="n">
        <f aca="false">IFERROR(F3639/D3639,0)</f>
        <v>11.5609459459459</v>
      </c>
    </row>
    <row r="3640" customFormat="false" ht="15" hidden="false" customHeight="false" outlineLevel="0" collapsed="false">
      <c r="A3640" s="28" t="n">
        <v>2024</v>
      </c>
      <c r="B3640" s="28" t="s">
        <v>80</v>
      </c>
      <c r="C3640" s="28" t="s">
        <v>55</v>
      </c>
      <c r="D3640" s="28" t="n">
        <v>2</v>
      </c>
      <c r="E3640" s="29" t="n">
        <v>65500</v>
      </c>
      <c r="F3640" s="30" t="n">
        <v>30</v>
      </c>
      <c r="G3640" s="31" t="n">
        <f aca="false">IFERROR(F3640/D3640,0)</f>
        <v>15</v>
      </c>
    </row>
    <row r="3641" customFormat="false" ht="15" hidden="false" customHeight="false" outlineLevel="0" collapsed="false">
      <c r="A3641" s="28" t="n">
        <v>2024</v>
      </c>
      <c r="B3641" s="28" t="s">
        <v>80</v>
      </c>
      <c r="C3641" s="28" t="s">
        <v>51</v>
      </c>
      <c r="D3641" s="28" t="n">
        <v>41</v>
      </c>
      <c r="E3641" s="29" t="n">
        <v>19429800</v>
      </c>
      <c r="F3641" s="30" t="n">
        <v>457.74</v>
      </c>
      <c r="G3641" s="31" t="n">
        <f aca="false">IFERROR(F3641/D3641,0)</f>
        <v>11.1643902439024</v>
      </c>
    </row>
    <row r="3642" customFormat="false" ht="15" hidden="false" customHeight="false" outlineLevel="0" collapsed="false">
      <c r="A3642" s="28" t="n">
        <v>2024</v>
      </c>
      <c r="B3642" s="28" t="s">
        <v>80</v>
      </c>
      <c r="C3642" s="28" t="s">
        <v>45</v>
      </c>
      <c r="D3642" s="28" t="n">
        <v>170</v>
      </c>
      <c r="E3642" s="29" t="n">
        <v>74022800</v>
      </c>
      <c r="F3642" s="30" t="n">
        <v>1929.025</v>
      </c>
      <c r="G3642" s="31" t="n">
        <f aca="false">IFERROR(F3642/D3642,0)</f>
        <v>11.3472058823529</v>
      </c>
    </row>
    <row r="3643" customFormat="false" ht="15" hidden="false" customHeight="false" outlineLevel="0" collapsed="false">
      <c r="A3643" s="28" t="n">
        <v>2024</v>
      </c>
      <c r="B3643" s="28" t="s">
        <v>80</v>
      </c>
      <c r="C3643" s="28" t="s">
        <v>56</v>
      </c>
      <c r="D3643" s="28" t="n">
        <v>18</v>
      </c>
      <c r="E3643" s="29" t="n">
        <v>4950500</v>
      </c>
      <c r="F3643" s="30" t="n">
        <v>209.177</v>
      </c>
      <c r="G3643" s="31" t="n">
        <f aca="false">IFERROR(F3643/D3643,0)</f>
        <v>11.6209444444444</v>
      </c>
    </row>
    <row r="3644" customFormat="false" ht="15" hidden="false" customHeight="false" outlineLevel="0" collapsed="false">
      <c r="A3644" s="28" t="n">
        <v>2024</v>
      </c>
      <c r="B3644" s="28" t="s">
        <v>80</v>
      </c>
      <c r="C3644" s="28" t="s">
        <v>54</v>
      </c>
      <c r="D3644" s="28" t="n">
        <v>18</v>
      </c>
      <c r="E3644" s="29" t="n">
        <v>5887900</v>
      </c>
      <c r="F3644" s="30" t="n">
        <v>213.14</v>
      </c>
      <c r="G3644" s="31" t="n">
        <f aca="false">IFERROR(F3644/D3644,0)</f>
        <v>11.8411111111111</v>
      </c>
    </row>
    <row r="3645" customFormat="false" ht="15" hidden="false" customHeight="false" outlineLevel="0" collapsed="false">
      <c r="A3645" s="28" t="n">
        <v>2024</v>
      </c>
      <c r="B3645" s="28" t="s">
        <v>80</v>
      </c>
      <c r="C3645" s="28" t="s">
        <v>44</v>
      </c>
      <c r="D3645" s="28" t="n">
        <v>159</v>
      </c>
      <c r="E3645" s="29" t="n">
        <v>95166500</v>
      </c>
      <c r="F3645" s="30" t="n">
        <v>1646.195</v>
      </c>
      <c r="G3645" s="31" t="n">
        <f aca="false">IFERROR(F3645/D3645,0)</f>
        <v>10.353427672956</v>
      </c>
    </row>
    <row r="3646" customFormat="false" ht="15" hidden="false" customHeight="false" outlineLevel="0" collapsed="false">
      <c r="A3646" s="28" t="n">
        <v>2024</v>
      </c>
      <c r="B3646" s="28" t="s">
        <v>80</v>
      </c>
      <c r="C3646" s="28" t="s">
        <v>57</v>
      </c>
      <c r="D3646" s="28" t="n">
        <v>13</v>
      </c>
      <c r="E3646" s="29" t="n">
        <v>6347000</v>
      </c>
      <c r="F3646" s="30" t="n">
        <v>151.535</v>
      </c>
      <c r="G3646" s="31" t="n">
        <f aca="false">IFERROR(F3646/D3646,0)</f>
        <v>11.6565384615385</v>
      </c>
    </row>
    <row r="3647" customFormat="false" ht="15" hidden="false" customHeight="false" outlineLevel="0" collapsed="false">
      <c r="A3647" s="28" t="n">
        <v>2024</v>
      </c>
      <c r="B3647" s="28" t="s">
        <v>80</v>
      </c>
      <c r="C3647" s="28" t="s">
        <v>47</v>
      </c>
      <c r="D3647" s="28" t="n">
        <v>58</v>
      </c>
      <c r="E3647" s="29" t="n">
        <v>47965800</v>
      </c>
      <c r="F3647" s="30" t="n">
        <v>644.67</v>
      </c>
      <c r="G3647" s="31" t="n">
        <f aca="false">IFERROR(F3647/D3647,0)</f>
        <v>11.115</v>
      </c>
    </row>
    <row r="3648" customFormat="false" ht="15" hidden="false" customHeight="false" outlineLevel="0" collapsed="false">
      <c r="A3648" s="28" t="n">
        <v>2024</v>
      </c>
      <c r="B3648" s="28" t="s">
        <v>80</v>
      </c>
      <c r="C3648" s="28" t="s">
        <v>58</v>
      </c>
      <c r="D3648" s="28" t="n">
        <v>3</v>
      </c>
      <c r="E3648" s="29" t="n">
        <v>1461000</v>
      </c>
      <c r="F3648" s="30" t="n">
        <v>28.39</v>
      </c>
      <c r="G3648" s="31" t="n">
        <f aca="false">IFERROR(F3648/D3648,0)</f>
        <v>9.46333333333333</v>
      </c>
    </row>
    <row r="3649" customFormat="false" ht="15" hidden="false" customHeight="false" outlineLevel="0" collapsed="false">
      <c r="A3649" s="28" t="n">
        <v>2024</v>
      </c>
      <c r="B3649" s="28" t="s">
        <v>80</v>
      </c>
      <c r="C3649" s="28" t="s">
        <v>46</v>
      </c>
      <c r="D3649" s="28" t="n">
        <v>125</v>
      </c>
      <c r="E3649" s="29" t="n">
        <v>51784000</v>
      </c>
      <c r="F3649" s="30" t="n">
        <v>1382.36</v>
      </c>
      <c r="G3649" s="31" t="n">
        <f aca="false">IFERROR(F3649/D3649,0)</f>
        <v>11.05888</v>
      </c>
    </row>
    <row r="3650" customFormat="false" ht="15" hidden="false" customHeight="false" outlineLevel="0" collapsed="false">
      <c r="A3650" s="28" t="n">
        <v>2024</v>
      </c>
      <c r="B3650" s="28" t="s">
        <v>80</v>
      </c>
      <c r="C3650" s="28" t="s">
        <v>48</v>
      </c>
      <c r="D3650" s="28" t="n">
        <v>147</v>
      </c>
      <c r="E3650" s="29" t="n">
        <v>67547900</v>
      </c>
      <c r="F3650" s="30" t="n">
        <v>1679.34</v>
      </c>
      <c r="G3650" s="31" t="n">
        <f aca="false">IFERROR(F3650/D3650,0)</f>
        <v>11.4240816326531</v>
      </c>
    </row>
    <row r="3651" customFormat="false" ht="15" hidden="false" customHeight="false" outlineLevel="0" collapsed="false">
      <c r="A3651" s="28" t="n">
        <v>2024</v>
      </c>
      <c r="B3651" s="28" t="s">
        <v>80</v>
      </c>
      <c r="C3651" s="28" t="s">
        <v>53</v>
      </c>
      <c r="D3651" s="28" t="n">
        <v>22</v>
      </c>
      <c r="E3651" s="29" t="n">
        <v>10537000</v>
      </c>
      <c r="F3651" s="30" t="n">
        <v>229.05</v>
      </c>
      <c r="G3651" s="31" t="n">
        <f aca="false">IFERROR(F3651/D3651,0)</f>
        <v>10.4113636363636</v>
      </c>
    </row>
    <row r="3652" customFormat="false" ht="15" hidden="false" customHeight="false" outlineLevel="0" collapsed="false">
      <c r="A3652" s="28" t="n">
        <v>2024</v>
      </c>
      <c r="B3652" s="28" t="s">
        <v>80</v>
      </c>
      <c r="C3652" s="28" t="s">
        <v>43</v>
      </c>
      <c r="D3652" s="28" t="n">
        <v>104</v>
      </c>
      <c r="E3652" s="29" t="n">
        <v>60687700</v>
      </c>
      <c r="F3652" s="30" t="n">
        <v>1185.795</v>
      </c>
      <c r="G3652" s="31" t="n">
        <f aca="false">IFERROR(F3652/D3652,0)</f>
        <v>11.401875</v>
      </c>
    </row>
    <row r="3653" customFormat="false" ht="15" hidden="false" customHeight="false" outlineLevel="0" collapsed="false">
      <c r="A3653" s="28" t="n">
        <v>2024</v>
      </c>
      <c r="B3653" s="28" t="s">
        <v>80</v>
      </c>
      <c r="C3653" s="28" t="s">
        <v>52</v>
      </c>
      <c r="D3653" s="28" t="n">
        <v>53</v>
      </c>
      <c r="E3653" s="29" t="n">
        <v>23338700</v>
      </c>
      <c r="F3653" s="30" t="n">
        <v>604.525</v>
      </c>
      <c r="G3653" s="31" t="n">
        <f aca="false">IFERROR(F3653/D3653,0)</f>
        <v>11.4061320754717</v>
      </c>
    </row>
    <row r="3654" customFormat="false" ht="15" hidden="false" customHeight="false" outlineLevel="0" collapsed="false">
      <c r="A3654" s="28" t="n">
        <v>2024</v>
      </c>
      <c r="B3654" s="28" t="s">
        <v>80</v>
      </c>
      <c r="C3654" s="28" t="s">
        <v>60</v>
      </c>
      <c r="D3654" s="28" t="n">
        <v>2</v>
      </c>
      <c r="E3654" s="29" t="n">
        <v>3564700</v>
      </c>
      <c r="F3654" s="30" t="n">
        <v>19</v>
      </c>
      <c r="G3654" s="31" t="n">
        <f aca="false">IFERROR(F3654/D3654,0)</f>
        <v>9.5</v>
      </c>
    </row>
    <row r="3655" customFormat="false" ht="15" hidden="false" customHeight="false" outlineLevel="0" collapsed="false">
      <c r="A3655" s="28" t="n">
        <v>2024</v>
      </c>
      <c r="B3655" s="28" t="s">
        <v>80</v>
      </c>
      <c r="C3655" s="28" t="s">
        <v>49</v>
      </c>
      <c r="D3655" s="28" t="n">
        <v>37</v>
      </c>
      <c r="E3655" s="29" t="n">
        <v>24282800</v>
      </c>
      <c r="F3655" s="30" t="n">
        <v>398.03</v>
      </c>
      <c r="G3655" s="31" t="n">
        <f aca="false">IFERROR(F3655/D3655,0)</f>
        <v>10.7575675675676</v>
      </c>
    </row>
    <row r="3656" customFormat="false" ht="15" hidden="false" customHeight="false" outlineLevel="0" collapsed="false">
      <c r="A3656" s="28" t="n">
        <v>2024</v>
      </c>
      <c r="B3656" s="28" t="s">
        <v>75</v>
      </c>
      <c r="C3656" s="28" t="s">
        <v>42</v>
      </c>
      <c r="D3656" s="28" t="n">
        <v>867</v>
      </c>
      <c r="E3656" s="29" t="n">
        <v>492540600</v>
      </c>
      <c r="F3656" s="30" t="n">
        <v>9464.945</v>
      </c>
      <c r="G3656" s="31" t="n">
        <f aca="false">IFERROR(F3656/D3656,0)</f>
        <v>10.9168915801615</v>
      </c>
    </row>
    <row r="3657" customFormat="false" ht="15" hidden="false" customHeight="false" outlineLevel="0" collapsed="false">
      <c r="A3657" s="28" t="n">
        <v>2024</v>
      </c>
      <c r="B3657" s="28" t="s">
        <v>75</v>
      </c>
      <c r="C3657" s="28" t="s">
        <v>50</v>
      </c>
      <c r="D3657" s="28" t="n">
        <v>330</v>
      </c>
      <c r="E3657" s="29" t="n">
        <v>113088100</v>
      </c>
      <c r="F3657" s="30" t="n">
        <v>3722.805</v>
      </c>
      <c r="G3657" s="31" t="n">
        <f aca="false">IFERROR(F3657/D3657,0)</f>
        <v>11.2812272727273</v>
      </c>
    </row>
    <row r="3658" customFormat="false" ht="15" hidden="false" customHeight="false" outlineLevel="0" collapsed="false">
      <c r="A3658" s="28" t="n">
        <v>2024</v>
      </c>
      <c r="B3658" s="28" t="s">
        <v>75</v>
      </c>
      <c r="C3658" s="28" t="s">
        <v>55</v>
      </c>
      <c r="D3658" s="28" t="n">
        <v>33</v>
      </c>
      <c r="E3658" s="29" t="n">
        <v>8001100</v>
      </c>
      <c r="F3658" s="30" t="n">
        <v>378.37</v>
      </c>
      <c r="G3658" s="31" t="n">
        <f aca="false">IFERROR(F3658/D3658,0)</f>
        <v>11.4657575757576</v>
      </c>
    </row>
    <row r="3659" customFormat="false" ht="15" hidden="false" customHeight="false" outlineLevel="0" collapsed="false">
      <c r="A3659" s="28" t="n">
        <v>2024</v>
      </c>
      <c r="B3659" s="28" t="s">
        <v>75</v>
      </c>
      <c r="C3659" s="28" t="s">
        <v>51</v>
      </c>
      <c r="D3659" s="28" t="n">
        <v>268</v>
      </c>
      <c r="E3659" s="29" t="n">
        <v>87867200</v>
      </c>
      <c r="F3659" s="30" t="n">
        <v>3175.035</v>
      </c>
      <c r="G3659" s="31" t="n">
        <f aca="false">IFERROR(F3659/D3659,0)</f>
        <v>11.8471455223881</v>
      </c>
    </row>
    <row r="3660" customFormat="false" ht="15" hidden="false" customHeight="false" outlineLevel="0" collapsed="false">
      <c r="A3660" s="28" t="n">
        <v>2024</v>
      </c>
      <c r="B3660" s="28" t="s">
        <v>75</v>
      </c>
      <c r="C3660" s="28" t="s">
        <v>45</v>
      </c>
      <c r="D3660" s="28" t="n">
        <v>886</v>
      </c>
      <c r="E3660" s="29" t="n">
        <v>301599100</v>
      </c>
      <c r="F3660" s="30" t="n">
        <v>10046.48</v>
      </c>
      <c r="G3660" s="31" t="n">
        <f aca="false">IFERROR(F3660/D3660,0)</f>
        <v>11.3391422121896</v>
      </c>
    </row>
    <row r="3661" customFormat="false" ht="15" hidden="false" customHeight="false" outlineLevel="0" collapsed="false">
      <c r="A3661" s="28" t="n">
        <v>2024</v>
      </c>
      <c r="B3661" s="28" t="s">
        <v>75</v>
      </c>
      <c r="C3661" s="28" t="s">
        <v>56</v>
      </c>
      <c r="D3661" s="28" t="n">
        <v>150</v>
      </c>
      <c r="E3661" s="29" t="n">
        <v>51329700</v>
      </c>
      <c r="F3661" s="30" t="n">
        <v>1720.24</v>
      </c>
      <c r="G3661" s="31" t="n">
        <f aca="false">IFERROR(F3661/D3661,0)</f>
        <v>11.4682666666667</v>
      </c>
    </row>
    <row r="3662" customFormat="false" ht="15" hidden="false" customHeight="false" outlineLevel="0" collapsed="false">
      <c r="A3662" s="28" t="n">
        <v>2024</v>
      </c>
      <c r="B3662" s="28" t="s">
        <v>75</v>
      </c>
      <c r="C3662" s="28" t="s">
        <v>54</v>
      </c>
      <c r="D3662" s="28" t="n">
        <v>111</v>
      </c>
      <c r="E3662" s="29" t="n">
        <v>51589800</v>
      </c>
      <c r="F3662" s="30" t="n">
        <v>1200.49</v>
      </c>
      <c r="G3662" s="31" t="n">
        <f aca="false">IFERROR(F3662/D3662,0)</f>
        <v>10.8152252252252</v>
      </c>
    </row>
    <row r="3663" customFormat="false" ht="15" hidden="false" customHeight="false" outlineLevel="0" collapsed="false">
      <c r="A3663" s="28" t="n">
        <v>2024</v>
      </c>
      <c r="B3663" s="28" t="s">
        <v>75</v>
      </c>
      <c r="C3663" s="28" t="s">
        <v>44</v>
      </c>
      <c r="D3663" s="28" t="n">
        <v>641</v>
      </c>
      <c r="E3663" s="29" t="n">
        <v>421653700</v>
      </c>
      <c r="F3663" s="30" t="n">
        <v>6978.31</v>
      </c>
      <c r="G3663" s="31" t="n">
        <f aca="false">IFERROR(F3663/D3663,0)</f>
        <v>10.8865990639626</v>
      </c>
    </row>
    <row r="3664" customFormat="false" ht="15" hidden="false" customHeight="false" outlineLevel="0" collapsed="false">
      <c r="A3664" s="28" t="n">
        <v>2024</v>
      </c>
      <c r="B3664" s="28" t="s">
        <v>75</v>
      </c>
      <c r="C3664" s="28" t="s">
        <v>57</v>
      </c>
      <c r="D3664" s="28" t="n">
        <v>131</v>
      </c>
      <c r="E3664" s="29" t="n">
        <v>44096600</v>
      </c>
      <c r="F3664" s="30" t="n">
        <v>1605.05</v>
      </c>
      <c r="G3664" s="31" t="n">
        <f aca="false">IFERROR(F3664/D3664,0)</f>
        <v>12.2522900763359</v>
      </c>
    </row>
    <row r="3665" customFormat="false" ht="15" hidden="false" customHeight="false" outlineLevel="0" collapsed="false">
      <c r="A3665" s="28" t="n">
        <v>2024</v>
      </c>
      <c r="B3665" s="28" t="s">
        <v>75</v>
      </c>
      <c r="C3665" s="28" t="s">
        <v>59</v>
      </c>
      <c r="D3665" s="28" t="n">
        <v>2</v>
      </c>
      <c r="E3665" s="29" t="n">
        <v>1245500</v>
      </c>
      <c r="F3665" s="30" t="n">
        <v>22.5</v>
      </c>
      <c r="G3665" s="31" t="n">
        <f aca="false">IFERROR(F3665/D3665,0)</f>
        <v>11.25</v>
      </c>
    </row>
    <row r="3666" customFormat="false" ht="15" hidden="false" customHeight="false" outlineLevel="0" collapsed="false">
      <c r="A3666" s="28" t="n">
        <v>2024</v>
      </c>
      <c r="B3666" s="28" t="s">
        <v>75</v>
      </c>
      <c r="C3666" s="28" t="s">
        <v>47</v>
      </c>
      <c r="D3666" s="28" t="n">
        <v>416</v>
      </c>
      <c r="E3666" s="29" t="n">
        <v>261611300</v>
      </c>
      <c r="F3666" s="30" t="n">
        <v>4614.315</v>
      </c>
      <c r="G3666" s="31" t="n">
        <f aca="false">IFERROR(F3666/D3666,0)</f>
        <v>11.0921033653846</v>
      </c>
    </row>
    <row r="3667" customFormat="false" ht="15" hidden="false" customHeight="false" outlineLevel="0" collapsed="false">
      <c r="A3667" s="28" t="n">
        <v>2024</v>
      </c>
      <c r="B3667" s="28" t="s">
        <v>75</v>
      </c>
      <c r="C3667" s="28" t="s">
        <v>58</v>
      </c>
      <c r="D3667" s="28" t="n">
        <v>3</v>
      </c>
      <c r="E3667" s="29" t="n">
        <v>960000</v>
      </c>
      <c r="F3667" s="30" t="n">
        <v>35.09</v>
      </c>
      <c r="G3667" s="31" t="n">
        <f aca="false">IFERROR(F3667/D3667,0)</f>
        <v>11.6966666666667</v>
      </c>
    </row>
    <row r="3668" customFormat="false" ht="15" hidden="false" customHeight="false" outlineLevel="0" collapsed="false">
      <c r="A3668" s="28" t="n">
        <v>2024</v>
      </c>
      <c r="B3668" s="28" t="s">
        <v>75</v>
      </c>
      <c r="C3668" s="28" t="s">
        <v>46</v>
      </c>
      <c r="D3668" s="28" t="n">
        <v>683</v>
      </c>
      <c r="E3668" s="29" t="n">
        <v>318194400</v>
      </c>
      <c r="F3668" s="30" t="n">
        <v>7715.594</v>
      </c>
      <c r="G3668" s="31" t="n">
        <f aca="false">IFERROR(F3668/D3668,0)</f>
        <v>11.2966237188873</v>
      </c>
    </row>
    <row r="3669" customFormat="false" ht="15" hidden="false" customHeight="false" outlineLevel="0" collapsed="false">
      <c r="A3669" s="28" t="n">
        <v>2024</v>
      </c>
      <c r="B3669" s="28" t="s">
        <v>75</v>
      </c>
      <c r="C3669" s="28" t="s">
        <v>48</v>
      </c>
      <c r="D3669" s="28" t="n">
        <v>934</v>
      </c>
      <c r="E3669" s="29" t="n">
        <v>348820200</v>
      </c>
      <c r="F3669" s="30" t="n">
        <v>10800.013</v>
      </c>
      <c r="G3669" s="31" t="n">
        <f aca="false">IFERROR(F3669/D3669,0)</f>
        <v>11.5631830835118</v>
      </c>
    </row>
    <row r="3670" customFormat="false" ht="15" hidden="false" customHeight="false" outlineLevel="0" collapsed="false">
      <c r="A3670" s="28" t="n">
        <v>2024</v>
      </c>
      <c r="B3670" s="28" t="s">
        <v>75</v>
      </c>
      <c r="C3670" s="28" t="s">
        <v>61</v>
      </c>
      <c r="D3670" s="28" t="n">
        <v>4</v>
      </c>
      <c r="E3670" s="29" t="n">
        <v>454000</v>
      </c>
      <c r="F3670" s="30" t="n">
        <v>55.5</v>
      </c>
      <c r="G3670" s="31" t="n">
        <f aca="false">IFERROR(F3670/D3670,0)</f>
        <v>13.875</v>
      </c>
    </row>
    <row r="3671" customFormat="false" ht="15" hidden="false" customHeight="false" outlineLevel="0" collapsed="false">
      <c r="A3671" s="28" t="n">
        <v>2024</v>
      </c>
      <c r="B3671" s="28" t="s">
        <v>75</v>
      </c>
      <c r="C3671" s="28" t="s">
        <v>53</v>
      </c>
      <c r="D3671" s="28" t="n">
        <v>169</v>
      </c>
      <c r="E3671" s="29" t="n">
        <v>64187800</v>
      </c>
      <c r="F3671" s="30" t="n">
        <v>1929.4</v>
      </c>
      <c r="G3671" s="31" t="n">
        <f aca="false">IFERROR(F3671/D3671,0)</f>
        <v>11.4165680473373</v>
      </c>
    </row>
    <row r="3672" customFormat="false" ht="15" hidden="false" customHeight="false" outlineLevel="0" collapsed="false">
      <c r="A3672" s="28" t="n">
        <v>2024</v>
      </c>
      <c r="B3672" s="28" t="s">
        <v>75</v>
      </c>
      <c r="C3672" s="28" t="s">
        <v>43</v>
      </c>
      <c r="D3672" s="28" t="n">
        <v>913</v>
      </c>
      <c r="E3672" s="29" t="n">
        <v>497936700</v>
      </c>
      <c r="F3672" s="30" t="n">
        <v>10257.485</v>
      </c>
      <c r="G3672" s="31" t="n">
        <f aca="false">IFERROR(F3672/D3672,0)</f>
        <v>11.2349233296824</v>
      </c>
    </row>
    <row r="3673" customFormat="false" ht="15" hidden="false" customHeight="false" outlineLevel="0" collapsed="false">
      <c r="A3673" s="28" t="n">
        <v>2024</v>
      </c>
      <c r="B3673" s="28" t="s">
        <v>75</v>
      </c>
      <c r="C3673" s="28" t="s">
        <v>52</v>
      </c>
      <c r="D3673" s="28" t="n">
        <v>318</v>
      </c>
      <c r="E3673" s="29" t="n">
        <v>125951000</v>
      </c>
      <c r="F3673" s="30" t="n">
        <v>3749.32</v>
      </c>
      <c r="G3673" s="31" t="n">
        <f aca="false">IFERROR(F3673/D3673,0)</f>
        <v>11.7903144654088</v>
      </c>
    </row>
    <row r="3674" customFormat="false" ht="15" hidden="false" customHeight="false" outlineLevel="0" collapsed="false">
      <c r="A3674" s="28" t="n">
        <v>2024</v>
      </c>
      <c r="B3674" s="28" t="s">
        <v>75</v>
      </c>
      <c r="C3674" s="28" t="s">
        <v>60</v>
      </c>
      <c r="D3674" s="28" t="n">
        <v>11</v>
      </c>
      <c r="E3674" s="29" t="n">
        <v>6484000</v>
      </c>
      <c r="F3674" s="30" t="n">
        <v>131.75</v>
      </c>
      <c r="G3674" s="31" t="n">
        <f aca="false">IFERROR(F3674/D3674,0)</f>
        <v>11.9772727272727</v>
      </c>
    </row>
    <row r="3675" customFormat="false" ht="15" hidden="false" customHeight="false" outlineLevel="0" collapsed="false">
      <c r="A3675" s="28" t="n">
        <v>2024</v>
      </c>
      <c r="B3675" s="28" t="s">
        <v>75</v>
      </c>
      <c r="C3675" s="28" t="s">
        <v>49</v>
      </c>
      <c r="D3675" s="28" t="n">
        <v>462</v>
      </c>
      <c r="E3675" s="29" t="n">
        <v>315709500</v>
      </c>
      <c r="F3675" s="30" t="n">
        <v>5085.78</v>
      </c>
      <c r="G3675" s="31" t="n">
        <f aca="false">IFERROR(F3675/D3675,0)</f>
        <v>11.0081818181818</v>
      </c>
    </row>
    <row r="3676" customFormat="false" ht="15" hidden="false" customHeight="false" outlineLevel="0" collapsed="false">
      <c r="A3676" s="28" t="n">
        <v>2024</v>
      </c>
      <c r="B3676" s="28" t="s">
        <v>83</v>
      </c>
      <c r="C3676" s="28" t="s">
        <v>42</v>
      </c>
      <c r="D3676" s="28" t="n">
        <v>196</v>
      </c>
      <c r="E3676" s="29" t="n">
        <v>147166100</v>
      </c>
      <c r="F3676" s="30" t="n">
        <v>2065.7</v>
      </c>
      <c r="G3676" s="31" t="n">
        <f aca="false">IFERROR(F3676/D3676,0)</f>
        <v>10.5392857142857</v>
      </c>
    </row>
    <row r="3677" customFormat="false" ht="15" hidden="false" customHeight="false" outlineLevel="0" collapsed="false">
      <c r="A3677" s="28" t="n">
        <v>2024</v>
      </c>
      <c r="B3677" s="28" t="s">
        <v>83</v>
      </c>
      <c r="C3677" s="28" t="s">
        <v>50</v>
      </c>
      <c r="D3677" s="28" t="n">
        <v>90</v>
      </c>
      <c r="E3677" s="29" t="n">
        <v>42065700</v>
      </c>
      <c r="F3677" s="30" t="n">
        <v>1008.11</v>
      </c>
      <c r="G3677" s="31" t="n">
        <f aca="false">IFERROR(F3677/D3677,0)</f>
        <v>11.2012222222222</v>
      </c>
    </row>
    <row r="3678" customFormat="false" ht="15" hidden="false" customHeight="false" outlineLevel="0" collapsed="false">
      <c r="A3678" s="28" t="n">
        <v>2024</v>
      </c>
      <c r="B3678" s="28" t="s">
        <v>83</v>
      </c>
      <c r="C3678" s="28" t="s">
        <v>55</v>
      </c>
      <c r="D3678" s="28" t="n">
        <v>8</v>
      </c>
      <c r="E3678" s="29" t="n">
        <v>10635000</v>
      </c>
      <c r="F3678" s="30" t="n">
        <v>80.35</v>
      </c>
      <c r="G3678" s="31" t="n">
        <f aca="false">IFERROR(F3678/D3678,0)</f>
        <v>10.04375</v>
      </c>
    </row>
    <row r="3679" customFormat="false" ht="15" hidden="false" customHeight="false" outlineLevel="0" collapsed="false">
      <c r="A3679" s="28" t="n">
        <v>2024</v>
      </c>
      <c r="B3679" s="28" t="s">
        <v>83</v>
      </c>
      <c r="C3679" s="28" t="s">
        <v>51</v>
      </c>
      <c r="D3679" s="28" t="n">
        <v>71</v>
      </c>
      <c r="E3679" s="29" t="n">
        <v>33531800</v>
      </c>
      <c r="F3679" s="30" t="n">
        <v>771.35</v>
      </c>
      <c r="G3679" s="31" t="n">
        <f aca="false">IFERROR(F3679/D3679,0)</f>
        <v>10.8640845070423</v>
      </c>
    </row>
    <row r="3680" customFormat="false" ht="15" hidden="false" customHeight="false" outlineLevel="0" collapsed="false">
      <c r="A3680" s="28" t="n">
        <v>2024</v>
      </c>
      <c r="B3680" s="28" t="s">
        <v>83</v>
      </c>
      <c r="C3680" s="28" t="s">
        <v>45</v>
      </c>
      <c r="D3680" s="28" t="n">
        <v>258</v>
      </c>
      <c r="E3680" s="29" t="n">
        <v>123153000</v>
      </c>
      <c r="F3680" s="30" t="n">
        <v>2903.84</v>
      </c>
      <c r="G3680" s="31" t="n">
        <f aca="false">IFERROR(F3680/D3680,0)</f>
        <v>11.2551937984496</v>
      </c>
    </row>
    <row r="3681" customFormat="false" ht="15" hidden="false" customHeight="false" outlineLevel="0" collapsed="false">
      <c r="A3681" s="28" t="n">
        <v>2024</v>
      </c>
      <c r="B3681" s="28" t="s">
        <v>83</v>
      </c>
      <c r="C3681" s="28" t="s">
        <v>56</v>
      </c>
      <c r="D3681" s="28" t="n">
        <v>16</v>
      </c>
      <c r="E3681" s="29" t="n">
        <v>4743200</v>
      </c>
      <c r="F3681" s="30" t="n">
        <v>182.14</v>
      </c>
      <c r="G3681" s="31" t="n">
        <f aca="false">IFERROR(F3681/D3681,0)</f>
        <v>11.38375</v>
      </c>
    </row>
    <row r="3682" customFormat="false" ht="15" hidden="false" customHeight="false" outlineLevel="0" collapsed="false">
      <c r="A3682" s="28" t="n">
        <v>2024</v>
      </c>
      <c r="B3682" s="28" t="s">
        <v>83</v>
      </c>
      <c r="C3682" s="28" t="s">
        <v>54</v>
      </c>
      <c r="D3682" s="28" t="n">
        <v>24</v>
      </c>
      <c r="E3682" s="29" t="n">
        <v>12253000</v>
      </c>
      <c r="F3682" s="30" t="n">
        <v>270.69</v>
      </c>
      <c r="G3682" s="31" t="n">
        <f aca="false">IFERROR(F3682/D3682,0)</f>
        <v>11.27875</v>
      </c>
    </row>
    <row r="3683" customFormat="false" ht="15" hidden="false" customHeight="false" outlineLevel="0" collapsed="false">
      <c r="A3683" s="28" t="n">
        <v>2024</v>
      </c>
      <c r="B3683" s="28" t="s">
        <v>83</v>
      </c>
      <c r="C3683" s="28" t="s">
        <v>44</v>
      </c>
      <c r="D3683" s="28" t="n">
        <v>147</v>
      </c>
      <c r="E3683" s="29" t="n">
        <v>81517300</v>
      </c>
      <c r="F3683" s="30" t="n">
        <v>1550.39</v>
      </c>
      <c r="G3683" s="31" t="n">
        <f aca="false">IFERROR(F3683/D3683,0)</f>
        <v>10.5468707482993</v>
      </c>
    </row>
    <row r="3684" customFormat="false" ht="15" hidden="false" customHeight="false" outlineLevel="0" collapsed="false">
      <c r="A3684" s="28" t="n">
        <v>2024</v>
      </c>
      <c r="B3684" s="28" t="s">
        <v>83</v>
      </c>
      <c r="C3684" s="28" t="s">
        <v>57</v>
      </c>
      <c r="D3684" s="28" t="n">
        <v>9</v>
      </c>
      <c r="E3684" s="29" t="n">
        <v>4297700</v>
      </c>
      <c r="F3684" s="30" t="n">
        <v>102.25</v>
      </c>
      <c r="G3684" s="31" t="n">
        <f aca="false">IFERROR(F3684/D3684,0)</f>
        <v>11.3611111111111</v>
      </c>
    </row>
    <row r="3685" customFormat="false" ht="15" hidden="false" customHeight="false" outlineLevel="0" collapsed="false">
      <c r="A3685" s="28" t="n">
        <v>2024</v>
      </c>
      <c r="B3685" s="28" t="s">
        <v>83</v>
      </c>
      <c r="C3685" s="28" t="s">
        <v>47</v>
      </c>
      <c r="D3685" s="28" t="n">
        <v>99</v>
      </c>
      <c r="E3685" s="29" t="n">
        <v>56208300</v>
      </c>
      <c r="F3685" s="30" t="n">
        <v>1097.89</v>
      </c>
      <c r="G3685" s="31" t="n">
        <f aca="false">IFERROR(F3685/D3685,0)</f>
        <v>11.089797979798</v>
      </c>
    </row>
    <row r="3686" customFormat="false" ht="15" hidden="false" customHeight="false" outlineLevel="0" collapsed="false">
      <c r="A3686" s="28" t="n">
        <v>2024</v>
      </c>
      <c r="B3686" s="28" t="s">
        <v>83</v>
      </c>
      <c r="C3686" s="28" t="s">
        <v>58</v>
      </c>
      <c r="D3686" s="28" t="n">
        <v>4</v>
      </c>
      <c r="E3686" s="29" t="n">
        <v>8248100</v>
      </c>
      <c r="F3686" s="30" t="n">
        <v>40</v>
      </c>
      <c r="G3686" s="31" t="n">
        <f aca="false">IFERROR(F3686/D3686,0)</f>
        <v>10</v>
      </c>
    </row>
    <row r="3687" customFormat="false" ht="15" hidden="false" customHeight="false" outlineLevel="0" collapsed="false">
      <c r="A3687" s="28" t="n">
        <v>2024</v>
      </c>
      <c r="B3687" s="28" t="s">
        <v>83</v>
      </c>
      <c r="C3687" s="28" t="s">
        <v>46</v>
      </c>
      <c r="D3687" s="28" t="n">
        <v>183</v>
      </c>
      <c r="E3687" s="29" t="n">
        <v>68786900</v>
      </c>
      <c r="F3687" s="30" t="n">
        <v>2029.405</v>
      </c>
      <c r="G3687" s="31" t="n">
        <f aca="false">IFERROR(F3687/D3687,0)</f>
        <v>11.0896448087432</v>
      </c>
    </row>
    <row r="3688" customFormat="false" ht="15" hidden="false" customHeight="false" outlineLevel="0" collapsed="false">
      <c r="A3688" s="28" t="n">
        <v>2024</v>
      </c>
      <c r="B3688" s="28" t="s">
        <v>83</v>
      </c>
      <c r="C3688" s="28" t="s">
        <v>48</v>
      </c>
      <c r="D3688" s="28" t="n">
        <v>174</v>
      </c>
      <c r="E3688" s="29" t="n">
        <v>81000600</v>
      </c>
      <c r="F3688" s="30" t="n">
        <v>1940.2</v>
      </c>
      <c r="G3688" s="31" t="n">
        <f aca="false">IFERROR(F3688/D3688,0)</f>
        <v>11.1505747126437</v>
      </c>
    </row>
    <row r="3689" customFormat="false" ht="15" hidden="false" customHeight="false" outlineLevel="0" collapsed="false">
      <c r="A3689" s="28" t="n">
        <v>2024</v>
      </c>
      <c r="B3689" s="28" t="s">
        <v>83</v>
      </c>
      <c r="C3689" s="28" t="s">
        <v>61</v>
      </c>
      <c r="D3689" s="28" t="n">
        <v>1</v>
      </c>
      <c r="E3689" s="29" t="n">
        <v>319800</v>
      </c>
      <c r="F3689" s="30" t="n">
        <v>8.85</v>
      </c>
      <c r="G3689" s="31" t="n">
        <f aca="false">IFERROR(F3689/D3689,0)</f>
        <v>8.85</v>
      </c>
    </row>
    <row r="3690" customFormat="false" ht="15" hidden="false" customHeight="false" outlineLevel="0" collapsed="false">
      <c r="A3690" s="28" t="n">
        <v>2024</v>
      </c>
      <c r="B3690" s="28" t="s">
        <v>83</v>
      </c>
      <c r="C3690" s="28" t="s">
        <v>53</v>
      </c>
      <c r="D3690" s="28" t="n">
        <v>41</v>
      </c>
      <c r="E3690" s="29" t="n">
        <v>26533100</v>
      </c>
      <c r="F3690" s="30" t="n">
        <v>461.83</v>
      </c>
      <c r="G3690" s="31" t="n">
        <f aca="false">IFERROR(F3690/D3690,0)</f>
        <v>11.2641463414634</v>
      </c>
    </row>
    <row r="3691" customFormat="false" ht="15" hidden="false" customHeight="false" outlineLevel="0" collapsed="false">
      <c r="A3691" s="28" t="n">
        <v>2024</v>
      </c>
      <c r="B3691" s="28" t="s">
        <v>83</v>
      </c>
      <c r="C3691" s="28" t="s">
        <v>43</v>
      </c>
      <c r="D3691" s="28" t="n">
        <v>223</v>
      </c>
      <c r="E3691" s="29" t="n">
        <v>109871700</v>
      </c>
      <c r="F3691" s="30" t="n">
        <v>2440.64</v>
      </c>
      <c r="G3691" s="31" t="n">
        <f aca="false">IFERROR(F3691/D3691,0)</f>
        <v>10.9445739910314</v>
      </c>
    </row>
    <row r="3692" customFormat="false" ht="15" hidden="false" customHeight="false" outlineLevel="0" collapsed="false">
      <c r="A3692" s="28" t="n">
        <v>2024</v>
      </c>
      <c r="B3692" s="28" t="s">
        <v>83</v>
      </c>
      <c r="C3692" s="28" t="s">
        <v>52</v>
      </c>
      <c r="D3692" s="28" t="n">
        <v>50</v>
      </c>
      <c r="E3692" s="29" t="n">
        <v>25903000</v>
      </c>
      <c r="F3692" s="30" t="n">
        <v>553.61</v>
      </c>
      <c r="G3692" s="31" t="n">
        <f aca="false">IFERROR(F3692/D3692,0)</f>
        <v>11.0722</v>
      </c>
    </row>
    <row r="3693" customFormat="false" ht="15" hidden="false" customHeight="false" outlineLevel="0" collapsed="false">
      <c r="A3693" s="28" t="n">
        <v>2024</v>
      </c>
      <c r="B3693" s="28" t="s">
        <v>83</v>
      </c>
      <c r="C3693" s="28" t="s">
        <v>60</v>
      </c>
      <c r="D3693" s="28" t="n">
        <v>4</v>
      </c>
      <c r="E3693" s="29" t="n">
        <v>1580800</v>
      </c>
      <c r="F3693" s="30" t="n">
        <v>49.7</v>
      </c>
      <c r="G3693" s="31" t="n">
        <f aca="false">IFERROR(F3693/D3693,0)</f>
        <v>12.425</v>
      </c>
    </row>
    <row r="3694" customFormat="false" ht="15" hidden="false" customHeight="false" outlineLevel="0" collapsed="false">
      <c r="A3694" s="28" t="n">
        <v>2024</v>
      </c>
      <c r="B3694" s="28" t="s">
        <v>83</v>
      </c>
      <c r="C3694" s="28" t="s">
        <v>49</v>
      </c>
      <c r="D3694" s="28" t="n">
        <v>40</v>
      </c>
      <c r="E3694" s="29" t="n">
        <v>22106700</v>
      </c>
      <c r="F3694" s="30" t="n">
        <v>455.59</v>
      </c>
      <c r="G3694" s="31" t="n">
        <f aca="false">IFERROR(F3694/D3694,0)</f>
        <v>11.38975</v>
      </c>
    </row>
    <row r="3695" customFormat="false" ht="15" hidden="false" customHeight="false" outlineLevel="0" collapsed="false">
      <c r="A3695" s="28" t="n">
        <v>2024</v>
      </c>
      <c r="B3695" s="28" t="s">
        <v>85</v>
      </c>
      <c r="C3695" s="28" t="s">
        <v>42</v>
      </c>
      <c r="D3695" s="28" t="n">
        <v>84</v>
      </c>
      <c r="E3695" s="29" t="n">
        <v>30673600</v>
      </c>
      <c r="F3695" s="30" t="n">
        <v>966.9</v>
      </c>
      <c r="G3695" s="31" t="n">
        <f aca="false">IFERROR(F3695/D3695,0)</f>
        <v>11.5107142857143</v>
      </c>
    </row>
    <row r="3696" customFormat="false" ht="15" hidden="false" customHeight="false" outlineLevel="0" collapsed="false">
      <c r="A3696" s="28" t="n">
        <v>2024</v>
      </c>
      <c r="B3696" s="28" t="s">
        <v>85</v>
      </c>
      <c r="C3696" s="28" t="s">
        <v>50</v>
      </c>
      <c r="D3696" s="28" t="n">
        <v>55</v>
      </c>
      <c r="E3696" s="29" t="n">
        <v>16869400</v>
      </c>
      <c r="F3696" s="30" t="n">
        <v>680.24</v>
      </c>
      <c r="G3696" s="31" t="n">
        <f aca="false">IFERROR(F3696/D3696,0)</f>
        <v>12.368</v>
      </c>
    </row>
    <row r="3697" customFormat="false" ht="15" hidden="false" customHeight="false" outlineLevel="0" collapsed="false">
      <c r="A3697" s="28" t="n">
        <v>2024</v>
      </c>
      <c r="B3697" s="28" t="s">
        <v>85</v>
      </c>
      <c r="C3697" s="28" t="s">
        <v>55</v>
      </c>
      <c r="D3697" s="28" t="n">
        <v>2</v>
      </c>
      <c r="E3697" s="29" t="n">
        <v>200000</v>
      </c>
      <c r="F3697" s="30" t="n">
        <v>27.75</v>
      </c>
      <c r="G3697" s="31" t="n">
        <f aca="false">IFERROR(F3697/D3697,0)</f>
        <v>13.875</v>
      </c>
    </row>
    <row r="3698" customFormat="false" ht="15" hidden="false" customHeight="false" outlineLevel="0" collapsed="false">
      <c r="A3698" s="28" t="n">
        <v>2024</v>
      </c>
      <c r="B3698" s="28" t="s">
        <v>85</v>
      </c>
      <c r="C3698" s="28" t="s">
        <v>51</v>
      </c>
      <c r="D3698" s="28" t="n">
        <v>18</v>
      </c>
      <c r="E3698" s="29" t="n">
        <v>10015300</v>
      </c>
      <c r="F3698" s="30" t="n">
        <v>216.83</v>
      </c>
      <c r="G3698" s="31" t="n">
        <f aca="false">IFERROR(F3698/D3698,0)</f>
        <v>12.0461111111111</v>
      </c>
    </row>
    <row r="3699" customFormat="false" ht="15" hidden="false" customHeight="false" outlineLevel="0" collapsed="false">
      <c r="A3699" s="28" t="n">
        <v>2024</v>
      </c>
      <c r="B3699" s="28" t="s">
        <v>85</v>
      </c>
      <c r="C3699" s="28" t="s">
        <v>45</v>
      </c>
      <c r="D3699" s="28" t="n">
        <v>115</v>
      </c>
      <c r="E3699" s="29" t="n">
        <v>25008700</v>
      </c>
      <c r="F3699" s="30" t="n">
        <v>1376.07</v>
      </c>
      <c r="G3699" s="31" t="n">
        <f aca="false">IFERROR(F3699/D3699,0)</f>
        <v>11.9658260869565</v>
      </c>
    </row>
    <row r="3700" customFormat="false" ht="15" hidden="false" customHeight="false" outlineLevel="0" collapsed="false">
      <c r="A3700" s="28" t="n">
        <v>2024</v>
      </c>
      <c r="B3700" s="28" t="s">
        <v>85</v>
      </c>
      <c r="C3700" s="28" t="s">
        <v>56</v>
      </c>
      <c r="D3700" s="28" t="n">
        <v>10</v>
      </c>
      <c r="E3700" s="29" t="n">
        <v>3013000</v>
      </c>
      <c r="F3700" s="30" t="n">
        <v>121</v>
      </c>
      <c r="G3700" s="31" t="n">
        <f aca="false">IFERROR(F3700/D3700,0)</f>
        <v>12.1</v>
      </c>
    </row>
    <row r="3701" customFormat="false" ht="15" hidden="false" customHeight="false" outlineLevel="0" collapsed="false">
      <c r="A3701" s="28" t="n">
        <v>2024</v>
      </c>
      <c r="B3701" s="28" t="s">
        <v>85</v>
      </c>
      <c r="C3701" s="28" t="s">
        <v>54</v>
      </c>
      <c r="D3701" s="28" t="n">
        <v>12</v>
      </c>
      <c r="E3701" s="29" t="n">
        <v>7399500</v>
      </c>
      <c r="F3701" s="30" t="n">
        <v>134.44</v>
      </c>
      <c r="G3701" s="31" t="n">
        <f aca="false">IFERROR(F3701/D3701,0)</f>
        <v>11.2033333333333</v>
      </c>
    </row>
    <row r="3702" customFormat="false" ht="15" hidden="false" customHeight="false" outlineLevel="0" collapsed="false">
      <c r="A3702" s="28" t="n">
        <v>2024</v>
      </c>
      <c r="B3702" s="28" t="s">
        <v>85</v>
      </c>
      <c r="C3702" s="28" t="s">
        <v>44</v>
      </c>
      <c r="D3702" s="28" t="n">
        <v>89</v>
      </c>
      <c r="E3702" s="29" t="n">
        <v>38902400</v>
      </c>
      <c r="F3702" s="30" t="n">
        <v>1008.34</v>
      </c>
      <c r="G3702" s="31" t="n">
        <f aca="false">IFERROR(F3702/D3702,0)</f>
        <v>11.3296629213483</v>
      </c>
    </row>
    <row r="3703" customFormat="false" ht="15" hidden="false" customHeight="false" outlineLevel="0" collapsed="false">
      <c r="A3703" s="28" t="n">
        <v>2024</v>
      </c>
      <c r="B3703" s="28" t="s">
        <v>85</v>
      </c>
      <c r="C3703" s="28" t="s">
        <v>57</v>
      </c>
      <c r="D3703" s="28" t="n">
        <v>5</v>
      </c>
      <c r="E3703" s="29" t="n">
        <v>1723000</v>
      </c>
      <c r="F3703" s="30" t="n">
        <v>59.05</v>
      </c>
      <c r="G3703" s="31" t="n">
        <f aca="false">IFERROR(F3703/D3703,0)</f>
        <v>11.81</v>
      </c>
    </row>
    <row r="3704" customFormat="false" ht="15" hidden="false" customHeight="false" outlineLevel="0" collapsed="false">
      <c r="A3704" s="28" t="n">
        <v>2024</v>
      </c>
      <c r="B3704" s="28" t="s">
        <v>85</v>
      </c>
      <c r="C3704" s="28" t="s">
        <v>59</v>
      </c>
      <c r="D3704" s="28" t="n">
        <v>1</v>
      </c>
      <c r="E3704" s="29" t="n">
        <v>48000</v>
      </c>
      <c r="F3704" s="30" t="n">
        <v>11.5</v>
      </c>
      <c r="G3704" s="31" t="n">
        <f aca="false">IFERROR(F3704/D3704,0)</f>
        <v>11.5</v>
      </c>
    </row>
    <row r="3705" customFormat="false" ht="15" hidden="false" customHeight="false" outlineLevel="0" collapsed="false">
      <c r="A3705" s="28" t="n">
        <v>2024</v>
      </c>
      <c r="B3705" s="28" t="s">
        <v>85</v>
      </c>
      <c r="C3705" s="28" t="s">
        <v>47</v>
      </c>
      <c r="D3705" s="28" t="n">
        <v>62</v>
      </c>
      <c r="E3705" s="29" t="n">
        <v>33930700</v>
      </c>
      <c r="F3705" s="30" t="n">
        <v>665.55</v>
      </c>
      <c r="G3705" s="31" t="n">
        <f aca="false">IFERROR(F3705/D3705,0)</f>
        <v>10.7346774193548</v>
      </c>
    </row>
    <row r="3706" customFormat="false" ht="15" hidden="false" customHeight="false" outlineLevel="0" collapsed="false">
      <c r="A3706" s="28" t="n">
        <v>2024</v>
      </c>
      <c r="B3706" s="28" t="s">
        <v>85</v>
      </c>
      <c r="C3706" s="28" t="s">
        <v>58</v>
      </c>
      <c r="D3706" s="28" t="n">
        <v>1</v>
      </c>
      <c r="E3706" s="29" t="n">
        <v>150000</v>
      </c>
      <c r="F3706" s="30" t="n">
        <v>13.25</v>
      </c>
      <c r="G3706" s="31" t="n">
        <f aca="false">IFERROR(F3706/D3706,0)</f>
        <v>13.25</v>
      </c>
    </row>
    <row r="3707" customFormat="false" ht="15" hidden="false" customHeight="false" outlineLevel="0" collapsed="false">
      <c r="A3707" s="28" t="n">
        <v>2024</v>
      </c>
      <c r="B3707" s="28" t="s">
        <v>85</v>
      </c>
      <c r="C3707" s="28" t="s">
        <v>46</v>
      </c>
      <c r="D3707" s="28" t="n">
        <v>72</v>
      </c>
      <c r="E3707" s="29" t="n">
        <v>14225600</v>
      </c>
      <c r="F3707" s="30" t="n">
        <v>815.42</v>
      </c>
      <c r="G3707" s="31" t="n">
        <f aca="false">IFERROR(F3707/D3707,0)</f>
        <v>11.3252777777778</v>
      </c>
    </row>
    <row r="3708" customFormat="false" ht="15" hidden="false" customHeight="false" outlineLevel="0" collapsed="false">
      <c r="A3708" s="28" t="n">
        <v>2024</v>
      </c>
      <c r="B3708" s="28" t="s">
        <v>85</v>
      </c>
      <c r="C3708" s="28" t="s">
        <v>48</v>
      </c>
      <c r="D3708" s="28" t="n">
        <v>68</v>
      </c>
      <c r="E3708" s="29" t="n">
        <v>24914800</v>
      </c>
      <c r="F3708" s="30" t="n">
        <v>783.85</v>
      </c>
      <c r="G3708" s="31" t="n">
        <f aca="false">IFERROR(F3708/D3708,0)</f>
        <v>11.5272058823529</v>
      </c>
    </row>
    <row r="3709" customFormat="false" ht="15" hidden="false" customHeight="false" outlineLevel="0" collapsed="false">
      <c r="A3709" s="28" t="n">
        <v>2024</v>
      </c>
      <c r="B3709" s="28" t="s">
        <v>85</v>
      </c>
      <c r="C3709" s="28" t="s">
        <v>53</v>
      </c>
      <c r="D3709" s="28" t="n">
        <v>23</v>
      </c>
      <c r="E3709" s="29" t="n">
        <v>12807200</v>
      </c>
      <c r="F3709" s="30" t="n">
        <v>264.49</v>
      </c>
      <c r="G3709" s="31" t="n">
        <f aca="false">IFERROR(F3709/D3709,0)</f>
        <v>11.4995652173913</v>
      </c>
    </row>
    <row r="3710" customFormat="false" ht="15" hidden="false" customHeight="false" outlineLevel="0" collapsed="false">
      <c r="A3710" s="28" t="n">
        <v>2024</v>
      </c>
      <c r="B3710" s="28" t="s">
        <v>85</v>
      </c>
      <c r="C3710" s="28" t="s">
        <v>43</v>
      </c>
      <c r="D3710" s="28" t="n">
        <v>109</v>
      </c>
      <c r="E3710" s="29" t="n">
        <v>41309700</v>
      </c>
      <c r="F3710" s="30" t="n">
        <v>1241</v>
      </c>
      <c r="G3710" s="31" t="n">
        <f aca="false">IFERROR(F3710/D3710,0)</f>
        <v>11.3853211009174</v>
      </c>
    </row>
    <row r="3711" customFormat="false" ht="15" hidden="false" customHeight="false" outlineLevel="0" collapsed="false">
      <c r="A3711" s="28" t="n">
        <v>2024</v>
      </c>
      <c r="B3711" s="28" t="s">
        <v>85</v>
      </c>
      <c r="C3711" s="28" t="s">
        <v>52</v>
      </c>
      <c r="D3711" s="28" t="n">
        <v>28</v>
      </c>
      <c r="E3711" s="29" t="n">
        <v>5937900</v>
      </c>
      <c r="F3711" s="30" t="n">
        <v>328.8</v>
      </c>
      <c r="G3711" s="31" t="n">
        <f aca="false">IFERROR(F3711/D3711,0)</f>
        <v>11.7428571428571</v>
      </c>
    </row>
    <row r="3712" customFormat="false" ht="15" hidden="false" customHeight="false" outlineLevel="0" collapsed="false">
      <c r="A3712" s="28" t="n">
        <v>2024</v>
      </c>
      <c r="B3712" s="28" t="s">
        <v>85</v>
      </c>
      <c r="C3712" s="28" t="s">
        <v>60</v>
      </c>
      <c r="D3712" s="28" t="n">
        <v>1</v>
      </c>
      <c r="E3712" s="29" t="n">
        <v>60000</v>
      </c>
      <c r="F3712" s="30" t="n">
        <v>14.5</v>
      </c>
      <c r="G3712" s="31" t="n">
        <f aca="false">IFERROR(F3712/D3712,0)</f>
        <v>14.5</v>
      </c>
    </row>
    <row r="3713" customFormat="false" ht="15" hidden="false" customHeight="false" outlineLevel="0" collapsed="false">
      <c r="A3713" s="28" t="n">
        <v>2024</v>
      </c>
      <c r="B3713" s="28" t="s">
        <v>85</v>
      </c>
      <c r="C3713" s="28" t="s">
        <v>49</v>
      </c>
      <c r="D3713" s="28" t="n">
        <v>31</v>
      </c>
      <c r="E3713" s="29" t="n">
        <v>13180900</v>
      </c>
      <c r="F3713" s="30" t="n">
        <v>378.5</v>
      </c>
      <c r="G3713" s="31" t="n">
        <f aca="false">IFERROR(F3713/D3713,0)</f>
        <v>12.2096774193548</v>
      </c>
    </row>
    <row r="3714" customFormat="false" ht="15" hidden="false" customHeight="false" outlineLevel="0" collapsed="false">
      <c r="A3714" s="28" t="n">
        <v>2024</v>
      </c>
      <c r="B3714" s="28" t="s">
        <v>87</v>
      </c>
      <c r="C3714" s="28" t="s">
        <v>42</v>
      </c>
      <c r="D3714" s="28" t="n">
        <v>22</v>
      </c>
      <c r="E3714" s="29" t="n">
        <v>12767700</v>
      </c>
      <c r="F3714" s="30" t="n">
        <v>238.13</v>
      </c>
      <c r="G3714" s="31" t="n">
        <f aca="false">IFERROR(F3714/D3714,0)</f>
        <v>10.8240909090909</v>
      </c>
    </row>
    <row r="3715" customFormat="false" ht="15" hidden="false" customHeight="false" outlineLevel="0" collapsed="false">
      <c r="A3715" s="28" t="n">
        <v>2024</v>
      </c>
      <c r="B3715" s="28" t="s">
        <v>87</v>
      </c>
      <c r="C3715" s="28" t="s">
        <v>50</v>
      </c>
      <c r="D3715" s="28" t="n">
        <v>7</v>
      </c>
      <c r="E3715" s="29" t="n">
        <v>2527000</v>
      </c>
      <c r="F3715" s="30" t="n">
        <v>73.48</v>
      </c>
      <c r="G3715" s="31" t="n">
        <f aca="false">IFERROR(F3715/D3715,0)</f>
        <v>10.4971428571429</v>
      </c>
    </row>
    <row r="3716" customFormat="false" ht="15" hidden="false" customHeight="false" outlineLevel="0" collapsed="false">
      <c r="A3716" s="28" t="n">
        <v>2024</v>
      </c>
      <c r="B3716" s="28" t="s">
        <v>87</v>
      </c>
      <c r="C3716" s="28" t="s">
        <v>45</v>
      </c>
      <c r="D3716" s="28" t="n">
        <v>9</v>
      </c>
      <c r="E3716" s="29" t="n">
        <v>6889200</v>
      </c>
      <c r="F3716" s="30" t="n">
        <v>102.54</v>
      </c>
      <c r="G3716" s="31" t="n">
        <f aca="false">IFERROR(F3716/D3716,0)</f>
        <v>11.3933333333333</v>
      </c>
    </row>
    <row r="3717" customFormat="false" ht="15" hidden="false" customHeight="false" outlineLevel="0" collapsed="false">
      <c r="A3717" s="28" t="n">
        <v>2024</v>
      </c>
      <c r="B3717" s="28" t="s">
        <v>87</v>
      </c>
      <c r="C3717" s="28" t="s">
        <v>56</v>
      </c>
      <c r="D3717" s="28" t="n">
        <v>4</v>
      </c>
      <c r="E3717" s="29" t="n">
        <v>478000</v>
      </c>
      <c r="F3717" s="30" t="n">
        <v>45.5</v>
      </c>
      <c r="G3717" s="31" t="n">
        <f aca="false">IFERROR(F3717/D3717,0)</f>
        <v>11.375</v>
      </c>
    </row>
    <row r="3718" customFormat="false" ht="15" hidden="false" customHeight="false" outlineLevel="0" collapsed="false">
      <c r="A3718" s="28" t="n">
        <v>2024</v>
      </c>
      <c r="B3718" s="28" t="s">
        <v>87</v>
      </c>
      <c r="C3718" s="28" t="s">
        <v>54</v>
      </c>
      <c r="D3718" s="28" t="n">
        <v>2</v>
      </c>
      <c r="E3718" s="29" t="n">
        <v>1799000</v>
      </c>
      <c r="F3718" s="30" t="n">
        <v>17.87</v>
      </c>
      <c r="G3718" s="31" t="n">
        <f aca="false">IFERROR(F3718/D3718,0)</f>
        <v>8.935</v>
      </c>
    </row>
    <row r="3719" customFormat="false" ht="15" hidden="false" customHeight="false" outlineLevel="0" collapsed="false">
      <c r="A3719" s="28" t="n">
        <v>2024</v>
      </c>
      <c r="B3719" s="28" t="s">
        <v>87</v>
      </c>
      <c r="C3719" s="28" t="s">
        <v>44</v>
      </c>
      <c r="D3719" s="28" t="n">
        <v>14</v>
      </c>
      <c r="E3719" s="29" t="n">
        <v>2465000</v>
      </c>
      <c r="F3719" s="30" t="n">
        <v>175.3</v>
      </c>
      <c r="G3719" s="31" t="n">
        <f aca="false">IFERROR(F3719/D3719,0)</f>
        <v>12.5214285714286</v>
      </c>
    </row>
    <row r="3720" customFormat="false" ht="15" hidden="false" customHeight="false" outlineLevel="0" collapsed="false">
      <c r="A3720" s="28" t="n">
        <v>2024</v>
      </c>
      <c r="B3720" s="28" t="s">
        <v>87</v>
      </c>
      <c r="C3720" s="28" t="s">
        <v>57</v>
      </c>
      <c r="D3720" s="28" t="n">
        <v>2</v>
      </c>
      <c r="E3720" s="29" t="n">
        <v>190000</v>
      </c>
      <c r="F3720" s="30" t="n">
        <v>24.5</v>
      </c>
      <c r="G3720" s="31" t="n">
        <f aca="false">IFERROR(F3720/D3720,0)</f>
        <v>12.25</v>
      </c>
    </row>
    <row r="3721" customFormat="false" ht="15" hidden="false" customHeight="false" outlineLevel="0" collapsed="false">
      <c r="A3721" s="28" t="n">
        <v>2024</v>
      </c>
      <c r="B3721" s="28" t="s">
        <v>87</v>
      </c>
      <c r="C3721" s="28" t="s">
        <v>47</v>
      </c>
      <c r="D3721" s="28" t="n">
        <v>3</v>
      </c>
      <c r="E3721" s="29" t="n">
        <v>445000</v>
      </c>
      <c r="F3721" s="30" t="n">
        <v>33.99</v>
      </c>
      <c r="G3721" s="31" t="n">
        <f aca="false">IFERROR(F3721/D3721,0)</f>
        <v>11.33</v>
      </c>
    </row>
    <row r="3722" customFormat="false" ht="15" hidden="false" customHeight="false" outlineLevel="0" collapsed="false">
      <c r="A3722" s="28" t="n">
        <v>2024</v>
      </c>
      <c r="B3722" s="28" t="s">
        <v>87</v>
      </c>
      <c r="C3722" s="28" t="s">
        <v>46</v>
      </c>
      <c r="D3722" s="28" t="n">
        <v>9</v>
      </c>
      <c r="E3722" s="29" t="n">
        <v>3693000</v>
      </c>
      <c r="F3722" s="30" t="n">
        <v>107.05</v>
      </c>
      <c r="G3722" s="31" t="n">
        <f aca="false">IFERROR(F3722/D3722,0)</f>
        <v>11.8944444444444</v>
      </c>
    </row>
    <row r="3723" customFormat="false" ht="15" hidden="false" customHeight="false" outlineLevel="0" collapsed="false">
      <c r="A3723" s="28" t="n">
        <v>2024</v>
      </c>
      <c r="B3723" s="28" t="s">
        <v>87</v>
      </c>
      <c r="C3723" s="28" t="s">
        <v>48</v>
      </c>
      <c r="D3723" s="28" t="n">
        <v>35</v>
      </c>
      <c r="E3723" s="29" t="n">
        <v>16410500</v>
      </c>
      <c r="F3723" s="30" t="n">
        <v>407.95</v>
      </c>
      <c r="G3723" s="31" t="n">
        <f aca="false">IFERROR(F3723/D3723,0)</f>
        <v>11.6557142857143</v>
      </c>
    </row>
    <row r="3724" customFormat="false" ht="15" hidden="false" customHeight="false" outlineLevel="0" collapsed="false">
      <c r="A3724" s="28" t="n">
        <v>2024</v>
      </c>
      <c r="B3724" s="28" t="s">
        <v>87</v>
      </c>
      <c r="C3724" s="28" t="s">
        <v>53</v>
      </c>
      <c r="D3724" s="28" t="n">
        <v>1</v>
      </c>
      <c r="E3724" s="29" t="n">
        <v>1100000</v>
      </c>
      <c r="F3724" s="30" t="n">
        <v>11</v>
      </c>
      <c r="G3724" s="31" t="n">
        <f aca="false">IFERROR(F3724/D3724,0)</f>
        <v>11</v>
      </c>
    </row>
    <row r="3725" customFormat="false" ht="15" hidden="false" customHeight="false" outlineLevel="0" collapsed="false">
      <c r="A3725" s="28" t="n">
        <v>2024</v>
      </c>
      <c r="B3725" s="28" t="s">
        <v>87</v>
      </c>
      <c r="C3725" s="28" t="s">
        <v>43</v>
      </c>
      <c r="D3725" s="28" t="n">
        <v>20</v>
      </c>
      <c r="E3725" s="29" t="n">
        <v>12545800</v>
      </c>
      <c r="F3725" s="30" t="n">
        <v>219.59</v>
      </c>
      <c r="G3725" s="31" t="n">
        <f aca="false">IFERROR(F3725/D3725,0)</f>
        <v>10.9795</v>
      </c>
    </row>
    <row r="3726" customFormat="false" ht="15" hidden="false" customHeight="false" outlineLevel="0" collapsed="false">
      <c r="A3726" s="28" t="n">
        <v>2024</v>
      </c>
      <c r="B3726" s="28" t="s">
        <v>87</v>
      </c>
      <c r="C3726" s="28" t="s">
        <v>49</v>
      </c>
      <c r="D3726" s="28" t="n">
        <v>2</v>
      </c>
      <c r="E3726" s="29" t="n">
        <v>805500</v>
      </c>
      <c r="F3726" s="30" t="n">
        <v>17.19</v>
      </c>
      <c r="G3726" s="31" t="n">
        <f aca="false">IFERROR(F3726/D3726,0)</f>
        <v>8.595</v>
      </c>
    </row>
    <row r="3727" customFormat="false" ht="15" hidden="false" customHeight="false" outlineLevel="0" collapsed="false">
      <c r="A3727" s="28" t="n">
        <v>2024</v>
      </c>
      <c r="B3727" s="28" t="s">
        <v>88</v>
      </c>
      <c r="C3727" s="28" t="s">
        <v>42</v>
      </c>
      <c r="D3727" s="28" t="n">
        <v>23</v>
      </c>
      <c r="E3727" s="29" t="n">
        <v>11330000</v>
      </c>
      <c r="F3727" s="30" t="n">
        <v>259.44</v>
      </c>
      <c r="G3727" s="31" t="n">
        <f aca="false">IFERROR(F3727/D3727,0)</f>
        <v>11.28</v>
      </c>
    </row>
    <row r="3728" customFormat="false" ht="15" hidden="false" customHeight="false" outlineLevel="0" collapsed="false">
      <c r="A3728" s="28" t="n">
        <v>2024</v>
      </c>
      <c r="B3728" s="28" t="s">
        <v>88</v>
      </c>
      <c r="C3728" s="28" t="s">
        <v>50</v>
      </c>
      <c r="D3728" s="28" t="n">
        <v>13</v>
      </c>
      <c r="E3728" s="29" t="n">
        <v>1496700</v>
      </c>
      <c r="F3728" s="30" t="n">
        <v>158.1</v>
      </c>
      <c r="G3728" s="31" t="n">
        <f aca="false">IFERROR(F3728/D3728,0)</f>
        <v>12.1615384615385</v>
      </c>
    </row>
    <row r="3729" customFormat="false" ht="15" hidden="false" customHeight="false" outlineLevel="0" collapsed="false">
      <c r="A3729" s="28" t="n">
        <v>2024</v>
      </c>
      <c r="B3729" s="28" t="s">
        <v>88</v>
      </c>
      <c r="C3729" s="28" t="s">
        <v>55</v>
      </c>
      <c r="D3729" s="28" t="n">
        <v>4</v>
      </c>
      <c r="E3729" s="29" t="n">
        <v>602000</v>
      </c>
      <c r="F3729" s="30" t="n">
        <v>43.29</v>
      </c>
      <c r="G3729" s="31" t="n">
        <f aca="false">IFERROR(F3729/D3729,0)</f>
        <v>10.8225</v>
      </c>
    </row>
    <row r="3730" customFormat="false" ht="15" hidden="false" customHeight="false" outlineLevel="0" collapsed="false">
      <c r="A3730" s="28" t="n">
        <v>2024</v>
      </c>
      <c r="B3730" s="28" t="s">
        <v>88</v>
      </c>
      <c r="C3730" s="28" t="s">
        <v>51</v>
      </c>
      <c r="D3730" s="28" t="n">
        <v>9</v>
      </c>
      <c r="E3730" s="29" t="n">
        <v>1718800</v>
      </c>
      <c r="F3730" s="30" t="n">
        <v>106.75</v>
      </c>
      <c r="G3730" s="31" t="n">
        <f aca="false">IFERROR(F3730/D3730,0)</f>
        <v>11.8611111111111</v>
      </c>
    </row>
    <row r="3731" customFormat="false" ht="15" hidden="false" customHeight="false" outlineLevel="0" collapsed="false">
      <c r="A3731" s="28" t="n">
        <v>2024</v>
      </c>
      <c r="B3731" s="28" t="s">
        <v>88</v>
      </c>
      <c r="C3731" s="28" t="s">
        <v>45</v>
      </c>
      <c r="D3731" s="28" t="n">
        <v>30</v>
      </c>
      <c r="E3731" s="29" t="n">
        <v>10319500</v>
      </c>
      <c r="F3731" s="30" t="n">
        <v>351.76</v>
      </c>
      <c r="G3731" s="31" t="n">
        <f aca="false">IFERROR(F3731/D3731,0)</f>
        <v>11.7253333333333</v>
      </c>
    </row>
    <row r="3732" customFormat="false" ht="15" hidden="false" customHeight="false" outlineLevel="0" collapsed="false">
      <c r="A3732" s="28" t="n">
        <v>2024</v>
      </c>
      <c r="B3732" s="28" t="s">
        <v>88</v>
      </c>
      <c r="C3732" s="28" t="s">
        <v>56</v>
      </c>
      <c r="D3732" s="28" t="n">
        <v>7</v>
      </c>
      <c r="E3732" s="29" t="n">
        <v>4943900</v>
      </c>
      <c r="F3732" s="30" t="n">
        <v>75.1</v>
      </c>
      <c r="G3732" s="31" t="n">
        <f aca="false">IFERROR(F3732/D3732,0)</f>
        <v>10.7285714285714</v>
      </c>
    </row>
    <row r="3733" customFormat="false" ht="15" hidden="false" customHeight="false" outlineLevel="0" collapsed="false">
      <c r="A3733" s="28" t="n">
        <v>2024</v>
      </c>
      <c r="B3733" s="28" t="s">
        <v>88</v>
      </c>
      <c r="C3733" s="28" t="s">
        <v>54</v>
      </c>
      <c r="D3733" s="28" t="n">
        <v>5</v>
      </c>
      <c r="E3733" s="29" t="n">
        <v>5075000</v>
      </c>
      <c r="F3733" s="30" t="n">
        <v>53.25</v>
      </c>
      <c r="G3733" s="31" t="n">
        <f aca="false">IFERROR(F3733/D3733,0)</f>
        <v>10.65</v>
      </c>
    </row>
    <row r="3734" customFormat="false" ht="15" hidden="false" customHeight="false" outlineLevel="0" collapsed="false">
      <c r="A3734" s="28" t="n">
        <v>2024</v>
      </c>
      <c r="B3734" s="28" t="s">
        <v>88</v>
      </c>
      <c r="C3734" s="28" t="s">
        <v>44</v>
      </c>
      <c r="D3734" s="28" t="n">
        <v>21</v>
      </c>
      <c r="E3734" s="29" t="n">
        <v>10112300</v>
      </c>
      <c r="F3734" s="30" t="n">
        <v>240.4</v>
      </c>
      <c r="G3734" s="31" t="n">
        <f aca="false">IFERROR(F3734/D3734,0)</f>
        <v>11.447619047619</v>
      </c>
    </row>
    <row r="3735" customFormat="false" ht="15" hidden="false" customHeight="false" outlineLevel="0" collapsed="false">
      <c r="A3735" s="28" t="n">
        <v>2024</v>
      </c>
      <c r="B3735" s="28" t="s">
        <v>88</v>
      </c>
      <c r="C3735" s="28" t="s">
        <v>57</v>
      </c>
      <c r="D3735" s="28" t="n">
        <v>4</v>
      </c>
      <c r="E3735" s="29" t="n">
        <v>1329100</v>
      </c>
      <c r="F3735" s="30" t="n">
        <v>44.5</v>
      </c>
      <c r="G3735" s="31" t="n">
        <f aca="false">IFERROR(F3735/D3735,0)</f>
        <v>11.125</v>
      </c>
    </row>
    <row r="3736" customFormat="false" ht="15" hidden="false" customHeight="false" outlineLevel="0" collapsed="false">
      <c r="A3736" s="28" t="n">
        <v>2024</v>
      </c>
      <c r="B3736" s="28" t="s">
        <v>88</v>
      </c>
      <c r="C3736" s="28" t="s">
        <v>47</v>
      </c>
      <c r="D3736" s="28" t="n">
        <v>1</v>
      </c>
      <c r="E3736" s="29" t="n">
        <v>15000</v>
      </c>
      <c r="F3736" s="30" t="n">
        <v>14</v>
      </c>
      <c r="G3736" s="31" t="n">
        <f aca="false">IFERROR(F3736/D3736,0)</f>
        <v>14</v>
      </c>
    </row>
    <row r="3737" customFormat="false" ht="15" hidden="false" customHeight="false" outlineLevel="0" collapsed="false">
      <c r="A3737" s="28" t="n">
        <v>2024</v>
      </c>
      <c r="B3737" s="28" t="s">
        <v>88</v>
      </c>
      <c r="C3737" s="28" t="s">
        <v>46</v>
      </c>
      <c r="D3737" s="28" t="n">
        <v>15</v>
      </c>
      <c r="E3737" s="29" t="n">
        <v>3498300</v>
      </c>
      <c r="F3737" s="30" t="n">
        <v>161.05</v>
      </c>
      <c r="G3737" s="31" t="n">
        <f aca="false">IFERROR(F3737/D3737,0)</f>
        <v>10.7366666666667</v>
      </c>
    </row>
    <row r="3738" customFormat="false" ht="15" hidden="false" customHeight="false" outlineLevel="0" collapsed="false">
      <c r="A3738" s="28" t="n">
        <v>2024</v>
      </c>
      <c r="B3738" s="28" t="s">
        <v>88</v>
      </c>
      <c r="C3738" s="28" t="s">
        <v>48</v>
      </c>
      <c r="D3738" s="28" t="n">
        <v>26</v>
      </c>
      <c r="E3738" s="29" t="n">
        <v>15601500</v>
      </c>
      <c r="F3738" s="30" t="n">
        <v>310.5</v>
      </c>
      <c r="G3738" s="31" t="n">
        <f aca="false">IFERROR(F3738/D3738,0)</f>
        <v>11.9423076923077</v>
      </c>
    </row>
    <row r="3739" customFormat="false" ht="15" hidden="false" customHeight="false" outlineLevel="0" collapsed="false">
      <c r="A3739" s="28" t="n">
        <v>2024</v>
      </c>
      <c r="B3739" s="28" t="s">
        <v>88</v>
      </c>
      <c r="C3739" s="28" t="s">
        <v>53</v>
      </c>
      <c r="D3739" s="28" t="n">
        <v>3</v>
      </c>
      <c r="E3739" s="29" t="n">
        <v>147000</v>
      </c>
      <c r="F3739" s="30" t="n">
        <v>33.75</v>
      </c>
      <c r="G3739" s="31" t="n">
        <f aca="false">IFERROR(F3739/D3739,0)</f>
        <v>11.25</v>
      </c>
    </row>
    <row r="3740" customFormat="false" ht="15" hidden="false" customHeight="false" outlineLevel="0" collapsed="false">
      <c r="A3740" s="28" t="n">
        <v>2024</v>
      </c>
      <c r="B3740" s="28" t="s">
        <v>88</v>
      </c>
      <c r="C3740" s="28" t="s">
        <v>43</v>
      </c>
      <c r="D3740" s="28" t="n">
        <v>36</v>
      </c>
      <c r="E3740" s="29" t="n">
        <v>14334600</v>
      </c>
      <c r="F3740" s="30" t="n">
        <v>417.723</v>
      </c>
      <c r="G3740" s="31" t="n">
        <f aca="false">IFERROR(F3740/D3740,0)</f>
        <v>11.6034166666667</v>
      </c>
    </row>
    <row r="3741" customFormat="false" ht="15" hidden="false" customHeight="false" outlineLevel="0" collapsed="false">
      <c r="A3741" s="28" t="n">
        <v>2024</v>
      </c>
      <c r="B3741" s="28" t="s">
        <v>88</v>
      </c>
      <c r="C3741" s="28" t="s">
        <v>52</v>
      </c>
      <c r="D3741" s="28" t="n">
        <v>10</v>
      </c>
      <c r="E3741" s="29" t="n">
        <v>264500</v>
      </c>
      <c r="F3741" s="30" t="n">
        <v>127.04</v>
      </c>
      <c r="G3741" s="31" t="n">
        <f aca="false">IFERROR(F3741/D3741,0)</f>
        <v>12.704</v>
      </c>
    </row>
    <row r="3742" customFormat="false" ht="15" hidden="false" customHeight="false" outlineLevel="0" collapsed="false">
      <c r="A3742" s="28" t="n">
        <v>2024</v>
      </c>
      <c r="B3742" s="28" t="s">
        <v>88</v>
      </c>
      <c r="C3742" s="28" t="s">
        <v>60</v>
      </c>
      <c r="D3742" s="28" t="n">
        <v>1</v>
      </c>
      <c r="E3742" s="29" t="n">
        <v>333000</v>
      </c>
      <c r="F3742" s="30" t="n">
        <v>10.5</v>
      </c>
      <c r="G3742" s="31" t="n">
        <f aca="false">IFERROR(F3742/D3742,0)</f>
        <v>10.5</v>
      </c>
    </row>
    <row r="3743" customFormat="false" ht="15" hidden="false" customHeight="false" outlineLevel="0" collapsed="false">
      <c r="A3743" s="28" t="n">
        <v>2024</v>
      </c>
      <c r="B3743" s="28" t="s">
        <v>88</v>
      </c>
      <c r="C3743" s="28" t="s">
        <v>49</v>
      </c>
      <c r="D3743" s="28" t="n">
        <v>5</v>
      </c>
      <c r="E3743" s="29" t="n">
        <v>230000</v>
      </c>
      <c r="F3743" s="30" t="n">
        <v>63.04</v>
      </c>
      <c r="G3743" s="31" t="n">
        <f aca="false">IFERROR(F3743/D3743,0)</f>
        <v>12.608</v>
      </c>
    </row>
    <row r="3744" customFormat="false" ht="15" hidden="false" customHeight="false" outlineLevel="0" collapsed="false">
      <c r="A3744" s="28" t="n">
        <v>2024</v>
      </c>
      <c r="B3744" s="28" t="s">
        <v>79</v>
      </c>
      <c r="C3744" s="28" t="s">
        <v>42</v>
      </c>
      <c r="D3744" s="28" t="n">
        <v>441</v>
      </c>
      <c r="E3744" s="29" t="n">
        <v>314001300</v>
      </c>
      <c r="F3744" s="30" t="n">
        <v>4902.695</v>
      </c>
      <c r="G3744" s="31" t="n">
        <f aca="false">IFERROR(F3744/D3744,0)</f>
        <v>11.1172222222222</v>
      </c>
    </row>
    <row r="3745" customFormat="false" ht="15" hidden="false" customHeight="false" outlineLevel="0" collapsed="false">
      <c r="A3745" s="28" t="n">
        <v>2024</v>
      </c>
      <c r="B3745" s="28" t="s">
        <v>79</v>
      </c>
      <c r="C3745" s="28" t="s">
        <v>50</v>
      </c>
      <c r="D3745" s="28" t="n">
        <v>330</v>
      </c>
      <c r="E3745" s="29" t="n">
        <v>104912000</v>
      </c>
      <c r="F3745" s="30" t="n">
        <v>3875.75</v>
      </c>
      <c r="G3745" s="31" t="n">
        <f aca="false">IFERROR(F3745/D3745,0)</f>
        <v>11.744696969697</v>
      </c>
    </row>
    <row r="3746" customFormat="false" ht="15" hidden="false" customHeight="false" outlineLevel="0" collapsed="false">
      <c r="A3746" s="28" t="n">
        <v>2024</v>
      </c>
      <c r="B3746" s="28" t="s">
        <v>79</v>
      </c>
      <c r="C3746" s="28" t="s">
        <v>55</v>
      </c>
      <c r="D3746" s="28" t="n">
        <v>16</v>
      </c>
      <c r="E3746" s="29" t="n">
        <v>8339300</v>
      </c>
      <c r="F3746" s="30" t="n">
        <v>188.25</v>
      </c>
      <c r="G3746" s="31" t="n">
        <f aca="false">IFERROR(F3746/D3746,0)</f>
        <v>11.765625</v>
      </c>
    </row>
    <row r="3747" customFormat="false" ht="15" hidden="false" customHeight="false" outlineLevel="0" collapsed="false">
      <c r="A3747" s="28" t="n">
        <v>2024</v>
      </c>
      <c r="B3747" s="28" t="s">
        <v>79</v>
      </c>
      <c r="C3747" s="28" t="s">
        <v>51</v>
      </c>
      <c r="D3747" s="28" t="n">
        <v>152</v>
      </c>
      <c r="E3747" s="29" t="n">
        <v>68430800</v>
      </c>
      <c r="F3747" s="30" t="n">
        <v>1747.42</v>
      </c>
      <c r="G3747" s="31" t="n">
        <f aca="false">IFERROR(F3747/D3747,0)</f>
        <v>11.4961842105263</v>
      </c>
    </row>
    <row r="3748" customFormat="false" ht="15" hidden="false" customHeight="false" outlineLevel="0" collapsed="false">
      <c r="A3748" s="28" t="n">
        <v>2024</v>
      </c>
      <c r="B3748" s="28" t="s">
        <v>79</v>
      </c>
      <c r="C3748" s="28" t="s">
        <v>45</v>
      </c>
      <c r="D3748" s="28" t="n">
        <v>773</v>
      </c>
      <c r="E3748" s="29" t="n">
        <v>364379800</v>
      </c>
      <c r="F3748" s="30" t="n">
        <v>9017.409</v>
      </c>
      <c r="G3748" s="31" t="n">
        <f aca="false">IFERROR(F3748/D3748,0)</f>
        <v>11.6654708926261</v>
      </c>
    </row>
    <row r="3749" customFormat="false" ht="15" hidden="false" customHeight="false" outlineLevel="0" collapsed="false">
      <c r="A3749" s="28" t="n">
        <v>2024</v>
      </c>
      <c r="B3749" s="28" t="s">
        <v>79</v>
      </c>
      <c r="C3749" s="28" t="s">
        <v>56</v>
      </c>
      <c r="D3749" s="28" t="n">
        <v>64</v>
      </c>
      <c r="E3749" s="29" t="n">
        <v>32917800</v>
      </c>
      <c r="F3749" s="30" t="n">
        <v>734.98</v>
      </c>
      <c r="G3749" s="31" t="n">
        <f aca="false">IFERROR(F3749/D3749,0)</f>
        <v>11.4840625</v>
      </c>
    </row>
    <row r="3750" customFormat="false" ht="15" hidden="false" customHeight="false" outlineLevel="0" collapsed="false">
      <c r="A3750" s="28" t="n">
        <v>2024</v>
      </c>
      <c r="B3750" s="28" t="s">
        <v>79</v>
      </c>
      <c r="C3750" s="28" t="s">
        <v>54</v>
      </c>
      <c r="D3750" s="28" t="n">
        <v>105</v>
      </c>
      <c r="E3750" s="29" t="n">
        <v>56885200</v>
      </c>
      <c r="F3750" s="30" t="n">
        <v>1238.67</v>
      </c>
      <c r="G3750" s="31" t="n">
        <f aca="false">IFERROR(F3750/D3750,0)</f>
        <v>11.7968571428571</v>
      </c>
    </row>
    <row r="3751" customFormat="false" ht="15" hidden="false" customHeight="false" outlineLevel="0" collapsed="false">
      <c r="A3751" s="28" t="n">
        <v>2024</v>
      </c>
      <c r="B3751" s="28" t="s">
        <v>79</v>
      </c>
      <c r="C3751" s="28" t="s">
        <v>44</v>
      </c>
      <c r="D3751" s="28" t="n">
        <v>575</v>
      </c>
      <c r="E3751" s="29" t="n">
        <v>309492100</v>
      </c>
      <c r="F3751" s="30" t="n">
        <v>6255.56</v>
      </c>
      <c r="G3751" s="31" t="n">
        <f aca="false">IFERROR(F3751/D3751,0)</f>
        <v>10.8792347826087</v>
      </c>
    </row>
    <row r="3752" customFormat="false" ht="15" hidden="false" customHeight="false" outlineLevel="0" collapsed="false">
      <c r="A3752" s="28" t="n">
        <v>2024</v>
      </c>
      <c r="B3752" s="28" t="s">
        <v>79</v>
      </c>
      <c r="C3752" s="28" t="s">
        <v>57</v>
      </c>
      <c r="D3752" s="28" t="n">
        <v>65</v>
      </c>
      <c r="E3752" s="29" t="n">
        <v>28290600</v>
      </c>
      <c r="F3752" s="30" t="n">
        <v>787.8</v>
      </c>
      <c r="G3752" s="31" t="n">
        <f aca="false">IFERROR(F3752/D3752,0)</f>
        <v>12.12</v>
      </c>
    </row>
    <row r="3753" customFormat="false" ht="15" hidden="false" customHeight="false" outlineLevel="0" collapsed="false">
      <c r="A3753" s="28" t="n">
        <v>2024</v>
      </c>
      <c r="B3753" s="28" t="s">
        <v>79</v>
      </c>
      <c r="C3753" s="28" t="s">
        <v>59</v>
      </c>
      <c r="D3753" s="28" t="n">
        <v>1</v>
      </c>
      <c r="E3753" s="29" t="n">
        <v>400000</v>
      </c>
      <c r="F3753" s="30" t="n">
        <v>11.25</v>
      </c>
      <c r="G3753" s="31" t="n">
        <f aca="false">IFERROR(F3753/D3753,0)</f>
        <v>11.25</v>
      </c>
    </row>
    <row r="3754" customFormat="false" ht="15" hidden="false" customHeight="false" outlineLevel="0" collapsed="false">
      <c r="A3754" s="28" t="n">
        <v>2024</v>
      </c>
      <c r="B3754" s="28" t="s">
        <v>79</v>
      </c>
      <c r="C3754" s="28" t="s">
        <v>47</v>
      </c>
      <c r="D3754" s="28" t="n">
        <v>238</v>
      </c>
      <c r="E3754" s="29" t="n">
        <v>151906600</v>
      </c>
      <c r="F3754" s="30" t="n">
        <v>2693.95</v>
      </c>
      <c r="G3754" s="31" t="n">
        <f aca="false">IFERROR(F3754/D3754,0)</f>
        <v>11.3191176470588</v>
      </c>
    </row>
    <row r="3755" customFormat="false" ht="15" hidden="false" customHeight="false" outlineLevel="0" collapsed="false">
      <c r="A3755" s="28" t="n">
        <v>2024</v>
      </c>
      <c r="B3755" s="28" t="s">
        <v>79</v>
      </c>
      <c r="C3755" s="28" t="s">
        <v>46</v>
      </c>
      <c r="D3755" s="28" t="n">
        <v>527</v>
      </c>
      <c r="E3755" s="29" t="n">
        <v>211903100</v>
      </c>
      <c r="F3755" s="30" t="n">
        <v>6211.7</v>
      </c>
      <c r="G3755" s="31" t="n">
        <f aca="false">IFERROR(F3755/D3755,0)</f>
        <v>11.7869070208729</v>
      </c>
    </row>
    <row r="3756" customFormat="false" ht="15" hidden="false" customHeight="false" outlineLevel="0" collapsed="false">
      <c r="A3756" s="28" t="n">
        <v>2024</v>
      </c>
      <c r="B3756" s="28" t="s">
        <v>79</v>
      </c>
      <c r="C3756" s="28" t="s">
        <v>48</v>
      </c>
      <c r="D3756" s="28" t="n">
        <v>623</v>
      </c>
      <c r="E3756" s="29" t="n">
        <v>244216600</v>
      </c>
      <c r="F3756" s="30" t="n">
        <v>7394.676</v>
      </c>
      <c r="G3756" s="31" t="n">
        <f aca="false">IFERROR(F3756/D3756,0)</f>
        <v>11.8694638844302</v>
      </c>
    </row>
    <row r="3757" customFormat="false" ht="15" hidden="false" customHeight="false" outlineLevel="0" collapsed="false">
      <c r="A3757" s="28" t="n">
        <v>2024</v>
      </c>
      <c r="B3757" s="28" t="s">
        <v>79</v>
      </c>
      <c r="C3757" s="28" t="s">
        <v>61</v>
      </c>
      <c r="D3757" s="28" t="n">
        <v>4</v>
      </c>
      <c r="E3757" s="29" t="n">
        <v>579000</v>
      </c>
      <c r="F3757" s="30" t="n">
        <v>56.25</v>
      </c>
      <c r="G3757" s="31" t="n">
        <f aca="false">IFERROR(F3757/D3757,0)</f>
        <v>14.0625</v>
      </c>
    </row>
    <row r="3758" customFormat="false" ht="15" hidden="false" customHeight="false" outlineLevel="0" collapsed="false">
      <c r="A3758" s="28" t="n">
        <v>2024</v>
      </c>
      <c r="B3758" s="28" t="s">
        <v>79</v>
      </c>
      <c r="C3758" s="28" t="s">
        <v>53</v>
      </c>
      <c r="D3758" s="28" t="n">
        <v>132</v>
      </c>
      <c r="E3758" s="29" t="n">
        <v>59627100</v>
      </c>
      <c r="F3758" s="30" t="n">
        <v>1566.985</v>
      </c>
      <c r="G3758" s="31" t="n">
        <f aca="false">IFERROR(F3758/D3758,0)</f>
        <v>11.8710984848485</v>
      </c>
    </row>
    <row r="3759" customFormat="false" ht="15" hidden="false" customHeight="false" outlineLevel="0" collapsed="false">
      <c r="A3759" s="28" t="n">
        <v>2024</v>
      </c>
      <c r="B3759" s="28" t="s">
        <v>79</v>
      </c>
      <c r="C3759" s="28" t="s">
        <v>43</v>
      </c>
      <c r="D3759" s="28" t="n">
        <v>491</v>
      </c>
      <c r="E3759" s="29" t="n">
        <v>222310100</v>
      </c>
      <c r="F3759" s="30" t="n">
        <v>5735.93</v>
      </c>
      <c r="G3759" s="31" t="n">
        <f aca="false">IFERROR(F3759/D3759,0)</f>
        <v>11.6821384928717</v>
      </c>
    </row>
    <row r="3760" customFormat="false" ht="15" hidden="false" customHeight="false" outlineLevel="0" collapsed="false">
      <c r="A3760" s="28" t="n">
        <v>2024</v>
      </c>
      <c r="B3760" s="28" t="s">
        <v>79</v>
      </c>
      <c r="C3760" s="28" t="s">
        <v>52</v>
      </c>
      <c r="D3760" s="28" t="n">
        <v>218</v>
      </c>
      <c r="E3760" s="29" t="n">
        <v>83237100</v>
      </c>
      <c r="F3760" s="30" t="n">
        <v>2620.37</v>
      </c>
      <c r="G3760" s="31" t="n">
        <f aca="false">IFERROR(F3760/D3760,0)</f>
        <v>12.0200458715596</v>
      </c>
    </row>
    <row r="3761" customFormat="false" ht="15" hidden="false" customHeight="false" outlineLevel="0" collapsed="false">
      <c r="A3761" s="28" t="n">
        <v>2024</v>
      </c>
      <c r="B3761" s="28" t="s">
        <v>79</v>
      </c>
      <c r="C3761" s="28" t="s">
        <v>60</v>
      </c>
      <c r="D3761" s="28" t="n">
        <v>9</v>
      </c>
      <c r="E3761" s="29" t="n">
        <v>3702000</v>
      </c>
      <c r="F3761" s="30" t="n">
        <v>118.5</v>
      </c>
      <c r="G3761" s="31" t="n">
        <f aca="false">IFERROR(F3761/D3761,0)</f>
        <v>13.1666666666667</v>
      </c>
    </row>
    <row r="3762" customFormat="false" ht="15" hidden="false" customHeight="false" outlineLevel="0" collapsed="false">
      <c r="A3762" s="28" t="n">
        <v>2024</v>
      </c>
      <c r="B3762" s="28" t="s">
        <v>79</v>
      </c>
      <c r="C3762" s="28" t="s">
        <v>49</v>
      </c>
      <c r="D3762" s="28" t="n">
        <v>357</v>
      </c>
      <c r="E3762" s="29" t="n">
        <v>181164600</v>
      </c>
      <c r="F3762" s="30" t="n">
        <v>4109.877</v>
      </c>
      <c r="G3762" s="31" t="n">
        <f aca="false">IFERROR(F3762/D3762,0)</f>
        <v>11.5122605042017</v>
      </c>
    </row>
    <row r="3763" customFormat="false" ht="15" hidden="false" customHeight="false" outlineLevel="0" collapsed="false">
      <c r="A3763" s="28" t="n">
        <v>2024</v>
      </c>
      <c r="B3763" s="28" t="s">
        <v>81</v>
      </c>
      <c r="C3763" s="28" t="s">
        <v>42</v>
      </c>
      <c r="D3763" s="28" t="n">
        <v>282</v>
      </c>
      <c r="E3763" s="29" t="n">
        <v>249494000</v>
      </c>
      <c r="F3763" s="30" t="n">
        <v>3020.74</v>
      </c>
      <c r="G3763" s="31" t="n">
        <f aca="false">IFERROR(F3763/D3763,0)</f>
        <v>10.7118439716312</v>
      </c>
    </row>
    <row r="3764" customFormat="false" ht="15" hidden="false" customHeight="false" outlineLevel="0" collapsed="false">
      <c r="A3764" s="28" t="n">
        <v>2024</v>
      </c>
      <c r="B3764" s="28" t="s">
        <v>81</v>
      </c>
      <c r="C3764" s="28" t="s">
        <v>50</v>
      </c>
      <c r="D3764" s="28" t="n">
        <v>125</v>
      </c>
      <c r="E3764" s="29" t="n">
        <v>46010100</v>
      </c>
      <c r="F3764" s="30" t="n">
        <v>1472.71</v>
      </c>
      <c r="G3764" s="31" t="n">
        <f aca="false">IFERROR(F3764/D3764,0)</f>
        <v>11.78168</v>
      </c>
    </row>
    <row r="3765" customFormat="false" ht="15" hidden="false" customHeight="false" outlineLevel="0" collapsed="false">
      <c r="A3765" s="28" t="n">
        <v>2024</v>
      </c>
      <c r="B3765" s="28" t="s">
        <v>81</v>
      </c>
      <c r="C3765" s="28" t="s">
        <v>55</v>
      </c>
      <c r="D3765" s="28" t="n">
        <v>17</v>
      </c>
      <c r="E3765" s="29" t="n">
        <v>20713200</v>
      </c>
      <c r="F3765" s="30" t="n">
        <v>172.05</v>
      </c>
      <c r="G3765" s="31" t="n">
        <f aca="false">IFERROR(F3765/D3765,0)</f>
        <v>10.1205882352941</v>
      </c>
    </row>
    <row r="3766" customFormat="false" ht="15" hidden="false" customHeight="false" outlineLevel="0" collapsed="false">
      <c r="A3766" s="28" t="n">
        <v>2024</v>
      </c>
      <c r="B3766" s="28" t="s">
        <v>81</v>
      </c>
      <c r="C3766" s="28" t="s">
        <v>51</v>
      </c>
      <c r="D3766" s="28" t="n">
        <v>44</v>
      </c>
      <c r="E3766" s="29" t="n">
        <v>26891600</v>
      </c>
      <c r="F3766" s="30" t="n">
        <v>485.86</v>
      </c>
      <c r="G3766" s="31" t="n">
        <f aca="false">IFERROR(F3766/D3766,0)</f>
        <v>11.0422727272727</v>
      </c>
    </row>
    <row r="3767" customFormat="false" ht="15" hidden="false" customHeight="false" outlineLevel="0" collapsed="false">
      <c r="A3767" s="28" t="n">
        <v>2024</v>
      </c>
      <c r="B3767" s="28" t="s">
        <v>81</v>
      </c>
      <c r="C3767" s="28" t="s">
        <v>45</v>
      </c>
      <c r="D3767" s="28" t="n">
        <v>170</v>
      </c>
      <c r="E3767" s="29" t="n">
        <v>71768600</v>
      </c>
      <c r="F3767" s="30" t="n">
        <v>1979.05</v>
      </c>
      <c r="G3767" s="31" t="n">
        <f aca="false">IFERROR(F3767/D3767,0)</f>
        <v>11.6414705882353</v>
      </c>
    </row>
    <row r="3768" customFormat="false" ht="15" hidden="false" customHeight="false" outlineLevel="0" collapsed="false">
      <c r="A3768" s="28" t="n">
        <v>2024</v>
      </c>
      <c r="B3768" s="28" t="s">
        <v>81</v>
      </c>
      <c r="C3768" s="28" t="s">
        <v>56</v>
      </c>
      <c r="D3768" s="28" t="n">
        <v>35</v>
      </c>
      <c r="E3768" s="29" t="n">
        <v>17539200</v>
      </c>
      <c r="F3768" s="30" t="n">
        <v>393.96</v>
      </c>
      <c r="G3768" s="31" t="n">
        <f aca="false">IFERROR(F3768/D3768,0)</f>
        <v>11.256</v>
      </c>
    </row>
    <row r="3769" customFormat="false" ht="15" hidden="false" customHeight="false" outlineLevel="0" collapsed="false">
      <c r="A3769" s="28" t="n">
        <v>2024</v>
      </c>
      <c r="B3769" s="28" t="s">
        <v>81</v>
      </c>
      <c r="C3769" s="28" t="s">
        <v>54</v>
      </c>
      <c r="D3769" s="28" t="n">
        <v>21</v>
      </c>
      <c r="E3769" s="29" t="n">
        <v>8216300</v>
      </c>
      <c r="F3769" s="30" t="n">
        <v>249.04</v>
      </c>
      <c r="G3769" s="31" t="n">
        <f aca="false">IFERROR(F3769/D3769,0)</f>
        <v>11.8590476190476</v>
      </c>
    </row>
    <row r="3770" customFormat="false" ht="15" hidden="false" customHeight="false" outlineLevel="0" collapsed="false">
      <c r="A3770" s="28" t="n">
        <v>2024</v>
      </c>
      <c r="B3770" s="28" t="s">
        <v>81</v>
      </c>
      <c r="C3770" s="28" t="s">
        <v>44</v>
      </c>
      <c r="D3770" s="28" t="n">
        <v>205</v>
      </c>
      <c r="E3770" s="29" t="n">
        <v>115390000</v>
      </c>
      <c r="F3770" s="30" t="n">
        <v>2242.27</v>
      </c>
      <c r="G3770" s="31" t="n">
        <f aca="false">IFERROR(F3770/D3770,0)</f>
        <v>10.9379024390244</v>
      </c>
    </row>
    <row r="3771" customFormat="false" ht="15" hidden="false" customHeight="false" outlineLevel="0" collapsed="false">
      <c r="A3771" s="28" t="n">
        <v>2024</v>
      </c>
      <c r="B3771" s="28" t="s">
        <v>81</v>
      </c>
      <c r="C3771" s="28" t="s">
        <v>57</v>
      </c>
      <c r="D3771" s="28" t="n">
        <v>16</v>
      </c>
      <c r="E3771" s="29" t="n">
        <v>3998700</v>
      </c>
      <c r="F3771" s="30" t="n">
        <v>212.65</v>
      </c>
      <c r="G3771" s="31" t="n">
        <f aca="false">IFERROR(F3771/D3771,0)</f>
        <v>13.290625</v>
      </c>
    </row>
    <row r="3772" customFormat="false" ht="15" hidden="false" customHeight="false" outlineLevel="0" collapsed="false">
      <c r="A3772" s="28" t="n">
        <v>2024</v>
      </c>
      <c r="B3772" s="28" t="s">
        <v>81</v>
      </c>
      <c r="C3772" s="28" t="s">
        <v>47</v>
      </c>
      <c r="D3772" s="28" t="n">
        <v>60</v>
      </c>
      <c r="E3772" s="29" t="n">
        <v>48881900</v>
      </c>
      <c r="F3772" s="30" t="n">
        <v>671.67</v>
      </c>
      <c r="G3772" s="31" t="n">
        <f aca="false">IFERROR(F3772/D3772,0)</f>
        <v>11.1945</v>
      </c>
    </row>
    <row r="3773" customFormat="false" ht="15" hidden="false" customHeight="false" outlineLevel="0" collapsed="false">
      <c r="A3773" s="28" t="n">
        <v>2024</v>
      </c>
      <c r="B3773" s="28" t="s">
        <v>81</v>
      </c>
      <c r="C3773" s="28" t="s">
        <v>58</v>
      </c>
      <c r="D3773" s="28" t="n">
        <v>1</v>
      </c>
      <c r="E3773" s="29" t="n">
        <v>1135000</v>
      </c>
      <c r="F3773" s="30" t="n">
        <v>11.25</v>
      </c>
      <c r="G3773" s="31" t="n">
        <f aca="false">IFERROR(F3773/D3773,0)</f>
        <v>11.25</v>
      </c>
    </row>
    <row r="3774" customFormat="false" ht="15" hidden="false" customHeight="false" outlineLevel="0" collapsed="false">
      <c r="A3774" s="28" t="n">
        <v>2024</v>
      </c>
      <c r="B3774" s="28" t="s">
        <v>81</v>
      </c>
      <c r="C3774" s="28" t="s">
        <v>46</v>
      </c>
      <c r="D3774" s="28" t="n">
        <v>186</v>
      </c>
      <c r="E3774" s="29" t="n">
        <v>79908300</v>
      </c>
      <c r="F3774" s="30" t="n">
        <v>2144.92</v>
      </c>
      <c r="G3774" s="31" t="n">
        <f aca="false">IFERROR(F3774/D3774,0)</f>
        <v>11.5318279569892</v>
      </c>
    </row>
    <row r="3775" customFormat="false" ht="15" hidden="false" customHeight="false" outlineLevel="0" collapsed="false">
      <c r="A3775" s="28" t="n">
        <v>2024</v>
      </c>
      <c r="B3775" s="28" t="s">
        <v>81</v>
      </c>
      <c r="C3775" s="28" t="s">
        <v>48</v>
      </c>
      <c r="D3775" s="28" t="n">
        <v>190</v>
      </c>
      <c r="E3775" s="29" t="n">
        <v>76227000</v>
      </c>
      <c r="F3775" s="30" t="n">
        <v>2203.315</v>
      </c>
      <c r="G3775" s="31" t="n">
        <f aca="false">IFERROR(F3775/D3775,0)</f>
        <v>11.5963947368421</v>
      </c>
    </row>
    <row r="3776" customFormat="false" ht="15" hidden="false" customHeight="false" outlineLevel="0" collapsed="false">
      <c r="A3776" s="28" t="n">
        <v>2024</v>
      </c>
      <c r="B3776" s="28" t="s">
        <v>81</v>
      </c>
      <c r="C3776" s="28" t="s">
        <v>53</v>
      </c>
      <c r="D3776" s="28" t="n">
        <v>38</v>
      </c>
      <c r="E3776" s="29" t="n">
        <v>23470900</v>
      </c>
      <c r="F3776" s="30" t="n">
        <v>438.8</v>
      </c>
      <c r="G3776" s="31" t="n">
        <f aca="false">IFERROR(F3776/D3776,0)</f>
        <v>11.5473684210526</v>
      </c>
    </row>
    <row r="3777" customFormat="false" ht="15" hidden="false" customHeight="false" outlineLevel="0" collapsed="false">
      <c r="A3777" s="28" t="n">
        <v>2024</v>
      </c>
      <c r="B3777" s="28" t="s">
        <v>81</v>
      </c>
      <c r="C3777" s="28" t="s">
        <v>43</v>
      </c>
      <c r="D3777" s="28" t="n">
        <v>210</v>
      </c>
      <c r="E3777" s="29" t="n">
        <v>230106900</v>
      </c>
      <c r="F3777" s="30" t="n">
        <v>2332.4</v>
      </c>
      <c r="G3777" s="31" t="n">
        <f aca="false">IFERROR(F3777/D3777,0)</f>
        <v>11.1066666666667</v>
      </c>
    </row>
    <row r="3778" customFormat="false" ht="15" hidden="false" customHeight="false" outlineLevel="0" collapsed="false">
      <c r="A3778" s="28" t="n">
        <v>2024</v>
      </c>
      <c r="B3778" s="28" t="s">
        <v>81</v>
      </c>
      <c r="C3778" s="28" t="s">
        <v>52</v>
      </c>
      <c r="D3778" s="28" t="n">
        <v>89</v>
      </c>
      <c r="E3778" s="29" t="n">
        <v>28693500</v>
      </c>
      <c r="F3778" s="30" t="n">
        <v>1067.495</v>
      </c>
      <c r="G3778" s="31" t="n">
        <f aca="false">IFERROR(F3778/D3778,0)</f>
        <v>11.9943258426966</v>
      </c>
    </row>
    <row r="3779" customFormat="false" ht="15" hidden="false" customHeight="false" outlineLevel="0" collapsed="false">
      <c r="A3779" s="28" t="n">
        <v>2024</v>
      </c>
      <c r="B3779" s="28" t="s">
        <v>81</v>
      </c>
      <c r="C3779" s="28" t="s">
        <v>60</v>
      </c>
      <c r="D3779" s="28" t="n">
        <v>1</v>
      </c>
      <c r="E3779" s="29" t="n">
        <v>1444500</v>
      </c>
      <c r="F3779" s="30" t="n">
        <v>10.75</v>
      </c>
      <c r="G3779" s="31" t="n">
        <f aca="false">IFERROR(F3779/D3779,0)</f>
        <v>10.75</v>
      </c>
    </row>
    <row r="3780" customFormat="false" ht="15" hidden="false" customHeight="false" outlineLevel="0" collapsed="false">
      <c r="A3780" s="28" t="n">
        <v>2024</v>
      </c>
      <c r="B3780" s="28" t="s">
        <v>81</v>
      </c>
      <c r="C3780" s="28" t="s">
        <v>49</v>
      </c>
      <c r="D3780" s="28" t="n">
        <v>73</v>
      </c>
      <c r="E3780" s="29" t="n">
        <v>55243000</v>
      </c>
      <c r="F3780" s="30" t="n">
        <v>827.7</v>
      </c>
      <c r="G3780" s="31" t="n">
        <f aca="false">IFERROR(F3780/D3780,0)</f>
        <v>11.3383561643836</v>
      </c>
    </row>
    <row r="3781" customFormat="false" ht="15" hidden="false" customHeight="false" outlineLevel="0" collapsed="false">
      <c r="A3781" s="28" t="n">
        <v>2024</v>
      </c>
      <c r="B3781" s="28" t="s">
        <v>92</v>
      </c>
      <c r="C3781" s="28" t="s">
        <v>42</v>
      </c>
      <c r="D3781" s="28" t="n">
        <v>2</v>
      </c>
      <c r="E3781" s="29" t="n">
        <v>135000</v>
      </c>
      <c r="F3781" s="30" t="n">
        <v>21</v>
      </c>
      <c r="G3781" s="31" t="n">
        <f aca="false">IFERROR(F3781/D3781,0)</f>
        <v>10.5</v>
      </c>
    </row>
    <row r="3782" customFormat="false" ht="15" hidden="false" customHeight="false" outlineLevel="0" collapsed="false">
      <c r="A3782" s="28" t="n">
        <v>2024</v>
      </c>
      <c r="B3782" s="28" t="s">
        <v>92</v>
      </c>
      <c r="C3782" s="28" t="s">
        <v>45</v>
      </c>
      <c r="D3782" s="28" t="n">
        <v>1</v>
      </c>
      <c r="E3782" s="29" t="n">
        <v>50000</v>
      </c>
      <c r="F3782" s="30" t="n">
        <v>11</v>
      </c>
      <c r="G3782" s="31" t="n">
        <f aca="false">IFERROR(F3782/D3782,0)</f>
        <v>11</v>
      </c>
    </row>
    <row r="3783" customFormat="false" ht="15" hidden="false" customHeight="false" outlineLevel="0" collapsed="false">
      <c r="A3783" s="28" t="n">
        <v>2024</v>
      </c>
      <c r="B3783" s="28" t="s">
        <v>92</v>
      </c>
      <c r="C3783" s="28" t="s">
        <v>44</v>
      </c>
      <c r="D3783" s="28" t="n">
        <v>2</v>
      </c>
      <c r="E3783" s="29" t="n">
        <v>80000</v>
      </c>
      <c r="F3783" s="30" t="n">
        <v>22</v>
      </c>
      <c r="G3783" s="31" t="n">
        <f aca="false">IFERROR(F3783/D3783,0)</f>
        <v>11</v>
      </c>
    </row>
    <row r="3784" customFormat="false" ht="15" hidden="false" customHeight="false" outlineLevel="0" collapsed="false">
      <c r="A3784" s="28" t="n">
        <v>2024</v>
      </c>
      <c r="B3784" s="28" t="s">
        <v>92</v>
      </c>
      <c r="C3784" s="28" t="s">
        <v>46</v>
      </c>
      <c r="D3784" s="28" t="n">
        <v>1</v>
      </c>
      <c r="E3784" s="29" t="n">
        <v>50000</v>
      </c>
      <c r="F3784" s="30" t="n">
        <v>10.5</v>
      </c>
      <c r="G3784" s="31" t="n">
        <f aca="false">IFERROR(F3784/D3784,0)</f>
        <v>10.5</v>
      </c>
    </row>
    <row r="3785" customFormat="false" ht="15" hidden="false" customHeight="false" outlineLevel="0" collapsed="false">
      <c r="A3785" s="28" t="n">
        <v>2024</v>
      </c>
      <c r="B3785" s="28" t="s">
        <v>92</v>
      </c>
      <c r="C3785" s="28" t="s">
        <v>48</v>
      </c>
      <c r="D3785" s="28" t="n">
        <v>1</v>
      </c>
      <c r="E3785" s="29" t="n">
        <v>25000</v>
      </c>
      <c r="F3785" s="30" t="n">
        <v>11.5</v>
      </c>
      <c r="G3785" s="31" t="n">
        <f aca="false">IFERROR(F3785/D3785,0)</f>
        <v>11.5</v>
      </c>
    </row>
    <row r="3786" customFormat="false" ht="15" hidden="false" customHeight="false" outlineLevel="0" collapsed="false">
      <c r="A3786" s="28" t="n">
        <v>2024</v>
      </c>
      <c r="B3786" s="28" t="s">
        <v>92</v>
      </c>
      <c r="C3786" s="28" t="s">
        <v>43</v>
      </c>
      <c r="D3786" s="28" t="n">
        <v>3</v>
      </c>
      <c r="E3786" s="29" t="n">
        <v>424000</v>
      </c>
      <c r="F3786" s="30" t="n">
        <v>32.25</v>
      </c>
      <c r="G3786" s="31" t="n">
        <f aca="false">IFERROR(F3786/D3786,0)</f>
        <v>10.75</v>
      </c>
    </row>
    <row r="3787" customFormat="false" ht="15" hidden="false" customHeight="false" outlineLevel="0" collapsed="false">
      <c r="A3787" s="28" t="n">
        <v>2024</v>
      </c>
      <c r="B3787" s="28" t="s">
        <v>94</v>
      </c>
      <c r="C3787" s="28" t="s">
        <v>42</v>
      </c>
      <c r="D3787" s="28" t="n">
        <v>48</v>
      </c>
      <c r="E3787" s="29" t="n">
        <v>12039400</v>
      </c>
      <c r="F3787" s="30" t="n">
        <v>491.72</v>
      </c>
      <c r="G3787" s="31" t="n">
        <f aca="false">IFERROR(F3787/D3787,0)</f>
        <v>10.2441666666667</v>
      </c>
    </row>
    <row r="3788" customFormat="false" ht="15" hidden="false" customHeight="false" outlineLevel="0" collapsed="false">
      <c r="A3788" s="28" t="n">
        <v>2024</v>
      </c>
      <c r="B3788" s="28" t="s">
        <v>94</v>
      </c>
      <c r="C3788" s="28" t="s">
        <v>50</v>
      </c>
      <c r="D3788" s="28" t="n">
        <v>16</v>
      </c>
      <c r="E3788" s="29" t="n">
        <v>4140000</v>
      </c>
      <c r="F3788" s="30" t="n">
        <v>181.95</v>
      </c>
      <c r="G3788" s="31" t="n">
        <f aca="false">IFERROR(F3788/D3788,0)</f>
        <v>11.371875</v>
      </c>
    </row>
    <row r="3789" customFormat="false" ht="15" hidden="false" customHeight="false" outlineLevel="0" collapsed="false">
      <c r="A3789" s="28" t="n">
        <v>2024</v>
      </c>
      <c r="B3789" s="28" t="s">
        <v>94</v>
      </c>
      <c r="C3789" s="28" t="s">
        <v>55</v>
      </c>
      <c r="D3789" s="28" t="n">
        <v>1</v>
      </c>
      <c r="E3789" s="29" t="n">
        <v>20000</v>
      </c>
      <c r="F3789" s="30" t="n">
        <v>11.5</v>
      </c>
      <c r="G3789" s="31" t="n">
        <f aca="false">IFERROR(F3789/D3789,0)</f>
        <v>11.5</v>
      </c>
    </row>
    <row r="3790" customFormat="false" ht="15" hidden="false" customHeight="false" outlineLevel="0" collapsed="false">
      <c r="A3790" s="28" t="n">
        <v>2024</v>
      </c>
      <c r="B3790" s="28" t="s">
        <v>94</v>
      </c>
      <c r="C3790" s="28" t="s">
        <v>51</v>
      </c>
      <c r="D3790" s="28" t="n">
        <v>4</v>
      </c>
      <c r="E3790" s="29" t="n">
        <v>1629200</v>
      </c>
      <c r="F3790" s="30" t="n">
        <v>43.75</v>
      </c>
      <c r="G3790" s="31" t="n">
        <f aca="false">IFERROR(F3790/D3790,0)</f>
        <v>10.9375</v>
      </c>
    </row>
    <row r="3791" customFormat="false" ht="15" hidden="false" customHeight="false" outlineLevel="0" collapsed="false">
      <c r="A3791" s="28" t="n">
        <v>2024</v>
      </c>
      <c r="B3791" s="28" t="s">
        <v>94</v>
      </c>
      <c r="C3791" s="28" t="s">
        <v>45</v>
      </c>
      <c r="D3791" s="28" t="n">
        <v>34</v>
      </c>
      <c r="E3791" s="29" t="n">
        <v>8395600</v>
      </c>
      <c r="F3791" s="30" t="n">
        <v>370.27</v>
      </c>
      <c r="G3791" s="31" t="n">
        <f aca="false">IFERROR(F3791/D3791,0)</f>
        <v>10.8902941176471</v>
      </c>
    </row>
    <row r="3792" customFormat="false" ht="15" hidden="false" customHeight="false" outlineLevel="0" collapsed="false">
      <c r="A3792" s="28" t="n">
        <v>2024</v>
      </c>
      <c r="B3792" s="28" t="s">
        <v>94</v>
      </c>
      <c r="C3792" s="28" t="s">
        <v>56</v>
      </c>
      <c r="D3792" s="28" t="n">
        <v>1</v>
      </c>
      <c r="E3792" s="29" t="n">
        <v>102800</v>
      </c>
      <c r="F3792" s="30" t="n">
        <v>13.25</v>
      </c>
      <c r="G3792" s="31" t="n">
        <f aca="false">IFERROR(F3792/D3792,0)</f>
        <v>13.25</v>
      </c>
    </row>
    <row r="3793" customFormat="false" ht="15" hidden="false" customHeight="false" outlineLevel="0" collapsed="false">
      <c r="A3793" s="28" t="n">
        <v>2024</v>
      </c>
      <c r="B3793" s="28" t="s">
        <v>94</v>
      </c>
      <c r="C3793" s="28" t="s">
        <v>54</v>
      </c>
      <c r="D3793" s="28" t="n">
        <v>3</v>
      </c>
      <c r="E3793" s="29" t="n">
        <v>60000</v>
      </c>
      <c r="F3793" s="30" t="n">
        <v>35.99</v>
      </c>
      <c r="G3793" s="31" t="n">
        <f aca="false">IFERROR(F3793/D3793,0)</f>
        <v>11.9966666666667</v>
      </c>
    </row>
    <row r="3794" customFormat="false" ht="15" hidden="false" customHeight="false" outlineLevel="0" collapsed="false">
      <c r="A3794" s="28" t="n">
        <v>2024</v>
      </c>
      <c r="B3794" s="28" t="s">
        <v>94</v>
      </c>
      <c r="C3794" s="28" t="s">
        <v>44</v>
      </c>
      <c r="D3794" s="28" t="n">
        <v>12</v>
      </c>
      <c r="E3794" s="29" t="n">
        <v>1920000</v>
      </c>
      <c r="F3794" s="30" t="n">
        <v>127.24</v>
      </c>
      <c r="G3794" s="31" t="n">
        <f aca="false">IFERROR(F3794/D3794,0)</f>
        <v>10.6033333333333</v>
      </c>
    </row>
    <row r="3795" customFormat="false" ht="15" hidden="false" customHeight="false" outlineLevel="0" collapsed="false">
      <c r="A3795" s="28" t="n">
        <v>2024</v>
      </c>
      <c r="B3795" s="28" t="s">
        <v>94</v>
      </c>
      <c r="C3795" s="28" t="s">
        <v>57</v>
      </c>
      <c r="D3795" s="28" t="n">
        <v>3</v>
      </c>
      <c r="E3795" s="29" t="n">
        <v>130000</v>
      </c>
      <c r="F3795" s="30" t="n">
        <v>29.98</v>
      </c>
      <c r="G3795" s="31" t="n">
        <f aca="false">IFERROR(F3795/D3795,0)</f>
        <v>9.99333333333333</v>
      </c>
    </row>
    <row r="3796" customFormat="false" ht="15" hidden="false" customHeight="false" outlineLevel="0" collapsed="false">
      <c r="A3796" s="28" t="n">
        <v>2024</v>
      </c>
      <c r="B3796" s="28" t="s">
        <v>94</v>
      </c>
      <c r="C3796" s="28" t="s">
        <v>47</v>
      </c>
      <c r="D3796" s="28" t="n">
        <v>8</v>
      </c>
      <c r="E3796" s="29" t="n">
        <v>679500</v>
      </c>
      <c r="F3796" s="30" t="n">
        <v>90.88</v>
      </c>
      <c r="G3796" s="31" t="n">
        <f aca="false">IFERROR(F3796/D3796,0)</f>
        <v>11.36</v>
      </c>
    </row>
    <row r="3797" customFormat="false" ht="15" hidden="false" customHeight="false" outlineLevel="0" collapsed="false">
      <c r="A3797" s="28" t="n">
        <v>2024</v>
      </c>
      <c r="B3797" s="28" t="s">
        <v>94</v>
      </c>
      <c r="C3797" s="28" t="s">
        <v>58</v>
      </c>
      <c r="D3797" s="28" t="n">
        <v>1</v>
      </c>
      <c r="E3797" s="29" t="n">
        <v>44700</v>
      </c>
      <c r="F3797" s="30" t="n">
        <v>11.25</v>
      </c>
      <c r="G3797" s="31" t="n">
        <f aca="false">IFERROR(F3797/D3797,0)</f>
        <v>11.25</v>
      </c>
    </row>
    <row r="3798" customFormat="false" ht="15" hidden="false" customHeight="false" outlineLevel="0" collapsed="false">
      <c r="A3798" s="28" t="n">
        <v>2024</v>
      </c>
      <c r="B3798" s="28" t="s">
        <v>94</v>
      </c>
      <c r="C3798" s="28" t="s">
        <v>46</v>
      </c>
      <c r="D3798" s="28" t="n">
        <v>11</v>
      </c>
      <c r="E3798" s="29" t="n">
        <v>2284200</v>
      </c>
      <c r="F3798" s="30" t="n">
        <v>136.8</v>
      </c>
      <c r="G3798" s="31" t="n">
        <f aca="false">IFERROR(F3798/D3798,0)</f>
        <v>12.4363636363636</v>
      </c>
    </row>
    <row r="3799" customFormat="false" ht="15" hidden="false" customHeight="false" outlineLevel="0" collapsed="false">
      <c r="A3799" s="28" t="n">
        <v>2024</v>
      </c>
      <c r="B3799" s="28" t="s">
        <v>94</v>
      </c>
      <c r="C3799" s="28" t="s">
        <v>48</v>
      </c>
      <c r="D3799" s="28" t="n">
        <v>10</v>
      </c>
      <c r="E3799" s="29" t="n">
        <v>395000</v>
      </c>
      <c r="F3799" s="30" t="n">
        <v>124.7</v>
      </c>
      <c r="G3799" s="31" t="n">
        <f aca="false">IFERROR(F3799/D3799,0)</f>
        <v>12.47</v>
      </c>
    </row>
    <row r="3800" customFormat="false" ht="15" hidden="false" customHeight="false" outlineLevel="0" collapsed="false">
      <c r="A3800" s="28" t="n">
        <v>2024</v>
      </c>
      <c r="B3800" s="28" t="s">
        <v>94</v>
      </c>
      <c r="C3800" s="28" t="s">
        <v>53</v>
      </c>
      <c r="D3800" s="28" t="n">
        <v>6</v>
      </c>
      <c r="E3800" s="29" t="n">
        <v>451100</v>
      </c>
      <c r="F3800" s="30" t="n">
        <v>64.3</v>
      </c>
      <c r="G3800" s="31" t="n">
        <f aca="false">IFERROR(F3800/D3800,0)</f>
        <v>10.7166666666667</v>
      </c>
    </row>
    <row r="3801" customFormat="false" ht="15" hidden="false" customHeight="false" outlineLevel="0" collapsed="false">
      <c r="A3801" s="28" t="n">
        <v>2024</v>
      </c>
      <c r="B3801" s="28" t="s">
        <v>94</v>
      </c>
      <c r="C3801" s="28" t="s">
        <v>43</v>
      </c>
      <c r="D3801" s="28" t="n">
        <v>20</v>
      </c>
      <c r="E3801" s="29" t="n">
        <v>5021500</v>
      </c>
      <c r="F3801" s="30" t="n">
        <v>217.66</v>
      </c>
      <c r="G3801" s="31" t="n">
        <f aca="false">IFERROR(F3801/D3801,0)</f>
        <v>10.883</v>
      </c>
    </row>
    <row r="3802" customFormat="false" ht="15" hidden="false" customHeight="false" outlineLevel="0" collapsed="false">
      <c r="A3802" s="28" t="n">
        <v>2024</v>
      </c>
      <c r="B3802" s="28" t="s">
        <v>94</v>
      </c>
      <c r="C3802" s="28" t="s">
        <v>52</v>
      </c>
      <c r="D3802" s="28" t="n">
        <v>6</v>
      </c>
      <c r="E3802" s="29" t="n">
        <v>2188600</v>
      </c>
      <c r="F3802" s="30" t="n">
        <v>57.82</v>
      </c>
      <c r="G3802" s="31" t="n">
        <f aca="false">IFERROR(F3802/D3802,0)</f>
        <v>9.63666666666667</v>
      </c>
    </row>
    <row r="3803" customFormat="false" ht="15" hidden="false" customHeight="false" outlineLevel="0" collapsed="false">
      <c r="A3803" s="28" t="n">
        <v>2024</v>
      </c>
      <c r="B3803" s="28" t="s">
        <v>94</v>
      </c>
      <c r="C3803" s="28" t="s">
        <v>60</v>
      </c>
      <c r="D3803" s="28" t="n">
        <v>1</v>
      </c>
      <c r="E3803" s="29" t="n">
        <v>2500000</v>
      </c>
      <c r="F3803" s="30" t="n">
        <v>9</v>
      </c>
      <c r="G3803" s="31" t="n">
        <f aca="false">IFERROR(F3803/D3803,0)</f>
        <v>9</v>
      </c>
    </row>
    <row r="3804" customFormat="false" ht="15" hidden="false" customHeight="false" outlineLevel="0" collapsed="false">
      <c r="A3804" s="28" t="n">
        <v>2024</v>
      </c>
      <c r="B3804" s="28" t="s">
        <v>94</v>
      </c>
      <c r="C3804" s="28" t="s">
        <v>49</v>
      </c>
      <c r="D3804" s="28" t="n">
        <v>11</v>
      </c>
      <c r="E3804" s="29" t="n">
        <v>4659900</v>
      </c>
      <c r="F3804" s="30" t="n">
        <v>122.18</v>
      </c>
      <c r="G3804" s="31" t="n">
        <f aca="false">IFERROR(F3804/D3804,0)</f>
        <v>11.1072727272727</v>
      </c>
    </row>
    <row r="3805" customFormat="false" ht="15" hidden="false" customHeight="false" outlineLevel="0" collapsed="false">
      <c r="A3805" s="28" t="n">
        <v>2024</v>
      </c>
      <c r="B3805" s="28" t="s">
        <v>96</v>
      </c>
      <c r="C3805" s="28" t="s">
        <v>42</v>
      </c>
      <c r="D3805" s="28" t="n">
        <v>54</v>
      </c>
      <c r="E3805" s="29" t="n">
        <v>23132700</v>
      </c>
      <c r="F3805" s="30" t="n">
        <v>529.9</v>
      </c>
      <c r="G3805" s="31" t="n">
        <f aca="false">IFERROR(F3805/D3805,0)</f>
        <v>9.81296296296296</v>
      </c>
    </row>
    <row r="3806" customFormat="false" ht="15" hidden="false" customHeight="false" outlineLevel="0" collapsed="false">
      <c r="A3806" s="28" t="n">
        <v>2024</v>
      </c>
      <c r="B3806" s="28" t="s">
        <v>96</v>
      </c>
      <c r="C3806" s="28" t="s">
        <v>50</v>
      </c>
      <c r="D3806" s="28" t="n">
        <v>31</v>
      </c>
      <c r="E3806" s="29" t="n">
        <v>14479600</v>
      </c>
      <c r="F3806" s="30" t="n">
        <v>317.89</v>
      </c>
      <c r="G3806" s="31" t="n">
        <f aca="false">IFERROR(F3806/D3806,0)</f>
        <v>10.2545161290323</v>
      </c>
    </row>
    <row r="3807" customFormat="false" ht="15" hidden="false" customHeight="false" outlineLevel="0" collapsed="false">
      <c r="A3807" s="28" t="n">
        <v>2024</v>
      </c>
      <c r="B3807" s="28" t="s">
        <v>96</v>
      </c>
      <c r="C3807" s="28" t="s">
        <v>55</v>
      </c>
      <c r="D3807" s="28" t="n">
        <v>8</v>
      </c>
      <c r="E3807" s="29" t="n">
        <v>2079000</v>
      </c>
      <c r="F3807" s="30" t="n">
        <v>76</v>
      </c>
      <c r="G3807" s="31" t="n">
        <f aca="false">IFERROR(F3807/D3807,0)</f>
        <v>9.5</v>
      </c>
    </row>
    <row r="3808" customFormat="false" ht="15" hidden="false" customHeight="false" outlineLevel="0" collapsed="false">
      <c r="A3808" s="28" t="n">
        <v>2024</v>
      </c>
      <c r="B3808" s="28" t="s">
        <v>96</v>
      </c>
      <c r="C3808" s="28" t="s">
        <v>51</v>
      </c>
      <c r="D3808" s="28" t="n">
        <v>17</v>
      </c>
      <c r="E3808" s="29" t="n">
        <v>9989800</v>
      </c>
      <c r="F3808" s="30" t="n">
        <v>177.05</v>
      </c>
      <c r="G3808" s="31" t="n">
        <f aca="false">IFERROR(F3808/D3808,0)</f>
        <v>10.4147058823529</v>
      </c>
    </row>
    <row r="3809" customFormat="false" ht="15" hidden="false" customHeight="false" outlineLevel="0" collapsed="false">
      <c r="A3809" s="28" t="n">
        <v>2024</v>
      </c>
      <c r="B3809" s="28" t="s">
        <v>96</v>
      </c>
      <c r="C3809" s="28" t="s">
        <v>45</v>
      </c>
      <c r="D3809" s="28" t="n">
        <v>58</v>
      </c>
      <c r="E3809" s="29" t="n">
        <v>11261500</v>
      </c>
      <c r="F3809" s="30" t="n">
        <v>612.59</v>
      </c>
      <c r="G3809" s="31" t="n">
        <f aca="false">IFERROR(F3809/D3809,0)</f>
        <v>10.5618965517241</v>
      </c>
    </row>
    <row r="3810" customFormat="false" ht="15" hidden="false" customHeight="false" outlineLevel="0" collapsed="false">
      <c r="A3810" s="28" t="n">
        <v>2024</v>
      </c>
      <c r="B3810" s="28" t="s">
        <v>96</v>
      </c>
      <c r="C3810" s="28" t="s">
        <v>56</v>
      </c>
      <c r="D3810" s="28" t="n">
        <v>5</v>
      </c>
      <c r="E3810" s="29" t="n">
        <v>331000</v>
      </c>
      <c r="F3810" s="30" t="n">
        <v>57.4</v>
      </c>
      <c r="G3810" s="31" t="n">
        <f aca="false">IFERROR(F3810/D3810,0)</f>
        <v>11.48</v>
      </c>
    </row>
    <row r="3811" customFormat="false" ht="15" hidden="false" customHeight="false" outlineLevel="0" collapsed="false">
      <c r="A3811" s="28" t="n">
        <v>2024</v>
      </c>
      <c r="B3811" s="28" t="s">
        <v>96</v>
      </c>
      <c r="C3811" s="28" t="s">
        <v>54</v>
      </c>
      <c r="D3811" s="28" t="n">
        <v>2</v>
      </c>
      <c r="E3811" s="29" t="n">
        <v>300000</v>
      </c>
      <c r="F3811" s="30" t="n">
        <v>17.25</v>
      </c>
      <c r="G3811" s="31" t="n">
        <f aca="false">IFERROR(F3811/D3811,0)</f>
        <v>8.625</v>
      </c>
    </row>
    <row r="3812" customFormat="false" ht="15" hidden="false" customHeight="false" outlineLevel="0" collapsed="false">
      <c r="A3812" s="28" t="n">
        <v>2024</v>
      </c>
      <c r="B3812" s="28" t="s">
        <v>96</v>
      </c>
      <c r="C3812" s="28" t="s">
        <v>44</v>
      </c>
      <c r="D3812" s="28" t="n">
        <v>33</v>
      </c>
      <c r="E3812" s="29" t="n">
        <v>14790900</v>
      </c>
      <c r="F3812" s="30" t="n">
        <v>333.3</v>
      </c>
      <c r="G3812" s="31" t="n">
        <f aca="false">IFERROR(F3812/D3812,0)</f>
        <v>10.1</v>
      </c>
    </row>
    <row r="3813" customFormat="false" ht="15" hidden="false" customHeight="false" outlineLevel="0" collapsed="false">
      <c r="A3813" s="28" t="n">
        <v>2024</v>
      </c>
      <c r="B3813" s="28" t="s">
        <v>96</v>
      </c>
      <c r="C3813" s="28" t="s">
        <v>57</v>
      </c>
      <c r="D3813" s="28" t="n">
        <v>7</v>
      </c>
      <c r="E3813" s="29" t="n">
        <v>1213700</v>
      </c>
      <c r="F3813" s="30" t="n">
        <v>77.98</v>
      </c>
      <c r="G3813" s="31" t="n">
        <f aca="false">IFERROR(F3813/D3813,0)</f>
        <v>11.14</v>
      </c>
    </row>
    <row r="3814" customFormat="false" ht="15" hidden="false" customHeight="false" outlineLevel="0" collapsed="false">
      <c r="A3814" s="28" t="n">
        <v>2024</v>
      </c>
      <c r="B3814" s="28" t="s">
        <v>96</v>
      </c>
      <c r="C3814" s="28" t="s">
        <v>47</v>
      </c>
      <c r="D3814" s="28" t="n">
        <v>25</v>
      </c>
      <c r="E3814" s="29" t="n">
        <v>15840300</v>
      </c>
      <c r="F3814" s="30" t="n">
        <v>251.82</v>
      </c>
      <c r="G3814" s="31" t="n">
        <f aca="false">IFERROR(F3814/D3814,0)</f>
        <v>10.0728</v>
      </c>
    </row>
    <row r="3815" customFormat="false" ht="15" hidden="false" customHeight="false" outlineLevel="0" collapsed="false">
      <c r="A3815" s="28" t="n">
        <v>2024</v>
      </c>
      <c r="B3815" s="28" t="s">
        <v>96</v>
      </c>
      <c r="C3815" s="28" t="s">
        <v>46</v>
      </c>
      <c r="D3815" s="28" t="n">
        <v>48</v>
      </c>
      <c r="E3815" s="29" t="n">
        <v>11521900</v>
      </c>
      <c r="F3815" s="30" t="n">
        <v>483.46</v>
      </c>
      <c r="G3815" s="31" t="n">
        <f aca="false">IFERROR(F3815/D3815,0)</f>
        <v>10.0720833333333</v>
      </c>
    </row>
    <row r="3816" customFormat="false" ht="15" hidden="false" customHeight="false" outlineLevel="0" collapsed="false">
      <c r="A3816" s="28" t="n">
        <v>2024</v>
      </c>
      <c r="B3816" s="28" t="s">
        <v>96</v>
      </c>
      <c r="C3816" s="28" t="s">
        <v>48</v>
      </c>
      <c r="D3816" s="28" t="n">
        <v>24</v>
      </c>
      <c r="E3816" s="29" t="n">
        <v>4253600</v>
      </c>
      <c r="F3816" s="30" t="n">
        <v>261.36</v>
      </c>
      <c r="G3816" s="31" t="n">
        <f aca="false">IFERROR(F3816/D3816,0)</f>
        <v>10.89</v>
      </c>
    </row>
    <row r="3817" customFormat="false" ht="15" hidden="false" customHeight="false" outlineLevel="0" collapsed="false">
      <c r="A3817" s="28" t="n">
        <v>2024</v>
      </c>
      <c r="B3817" s="28" t="s">
        <v>96</v>
      </c>
      <c r="C3817" s="28" t="s">
        <v>53</v>
      </c>
      <c r="D3817" s="28" t="n">
        <v>11</v>
      </c>
      <c r="E3817" s="29" t="n">
        <v>2477500</v>
      </c>
      <c r="F3817" s="30" t="n">
        <v>125.24</v>
      </c>
      <c r="G3817" s="31" t="n">
        <f aca="false">IFERROR(F3817/D3817,0)</f>
        <v>11.3854545454545</v>
      </c>
    </row>
    <row r="3818" customFormat="false" ht="15" hidden="false" customHeight="false" outlineLevel="0" collapsed="false">
      <c r="A3818" s="28" t="n">
        <v>2024</v>
      </c>
      <c r="B3818" s="28" t="s">
        <v>96</v>
      </c>
      <c r="C3818" s="28" t="s">
        <v>43</v>
      </c>
      <c r="D3818" s="28" t="n">
        <v>42</v>
      </c>
      <c r="E3818" s="29" t="n">
        <v>11854900</v>
      </c>
      <c r="F3818" s="30" t="n">
        <v>420.71</v>
      </c>
      <c r="G3818" s="31" t="n">
        <f aca="false">IFERROR(F3818/D3818,0)</f>
        <v>10.0169047619048</v>
      </c>
    </row>
    <row r="3819" customFormat="false" ht="15" hidden="false" customHeight="false" outlineLevel="0" collapsed="false">
      <c r="A3819" s="28" t="n">
        <v>2024</v>
      </c>
      <c r="B3819" s="28" t="s">
        <v>96</v>
      </c>
      <c r="C3819" s="28" t="s">
        <v>52</v>
      </c>
      <c r="D3819" s="28" t="n">
        <v>12</v>
      </c>
      <c r="E3819" s="29" t="n">
        <v>3108700</v>
      </c>
      <c r="F3819" s="30" t="n">
        <v>134.535</v>
      </c>
      <c r="G3819" s="31" t="n">
        <f aca="false">IFERROR(F3819/D3819,0)</f>
        <v>11.21125</v>
      </c>
    </row>
    <row r="3820" customFormat="false" ht="15" hidden="false" customHeight="false" outlineLevel="0" collapsed="false">
      <c r="A3820" s="28" t="n">
        <v>2024</v>
      </c>
      <c r="B3820" s="28" t="s">
        <v>96</v>
      </c>
      <c r="C3820" s="28" t="s">
        <v>49</v>
      </c>
      <c r="D3820" s="28" t="n">
        <v>14</v>
      </c>
      <c r="E3820" s="29" t="n">
        <v>5635000</v>
      </c>
      <c r="F3820" s="30" t="n">
        <v>151.73</v>
      </c>
      <c r="G3820" s="31" t="n">
        <f aca="false">IFERROR(F3820/D3820,0)</f>
        <v>10.8378571428571</v>
      </c>
    </row>
    <row r="3821" customFormat="false" ht="15" hidden="false" customHeight="false" outlineLevel="0" collapsed="false">
      <c r="A3821" s="28" t="n">
        <v>2024</v>
      </c>
      <c r="B3821" s="28" t="s">
        <v>97</v>
      </c>
      <c r="C3821" s="28" t="s">
        <v>42</v>
      </c>
      <c r="D3821" s="28" t="n">
        <v>59</v>
      </c>
      <c r="E3821" s="29" t="n">
        <v>29903900</v>
      </c>
      <c r="F3821" s="30" t="n">
        <v>634.04</v>
      </c>
      <c r="G3821" s="31" t="n">
        <f aca="false">IFERROR(F3821/D3821,0)</f>
        <v>10.7464406779661</v>
      </c>
    </row>
    <row r="3822" customFormat="false" ht="15" hidden="false" customHeight="false" outlineLevel="0" collapsed="false">
      <c r="A3822" s="28" t="n">
        <v>2024</v>
      </c>
      <c r="B3822" s="28" t="s">
        <v>97</v>
      </c>
      <c r="C3822" s="28" t="s">
        <v>50</v>
      </c>
      <c r="D3822" s="28" t="n">
        <v>35</v>
      </c>
      <c r="E3822" s="29" t="n">
        <v>6337700</v>
      </c>
      <c r="F3822" s="30" t="n">
        <v>390.89</v>
      </c>
      <c r="G3822" s="31" t="n">
        <f aca="false">IFERROR(F3822/D3822,0)</f>
        <v>11.1682857142857</v>
      </c>
    </row>
    <row r="3823" customFormat="false" ht="15" hidden="false" customHeight="false" outlineLevel="0" collapsed="false">
      <c r="A3823" s="28" t="n">
        <v>2024</v>
      </c>
      <c r="B3823" s="28" t="s">
        <v>97</v>
      </c>
      <c r="C3823" s="28" t="s">
        <v>55</v>
      </c>
      <c r="D3823" s="28" t="n">
        <v>15</v>
      </c>
      <c r="E3823" s="29" t="n">
        <v>1994100</v>
      </c>
      <c r="F3823" s="30" t="n">
        <v>155.09</v>
      </c>
      <c r="G3823" s="31" t="n">
        <f aca="false">IFERROR(F3823/D3823,0)</f>
        <v>10.3393333333333</v>
      </c>
    </row>
    <row r="3824" customFormat="false" ht="15" hidden="false" customHeight="false" outlineLevel="0" collapsed="false">
      <c r="A3824" s="28" t="n">
        <v>2024</v>
      </c>
      <c r="B3824" s="28" t="s">
        <v>97</v>
      </c>
      <c r="C3824" s="28" t="s">
        <v>51</v>
      </c>
      <c r="D3824" s="28" t="n">
        <v>19</v>
      </c>
      <c r="E3824" s="29" t="n">
        <v>7155700</v>
      </c>
      <c r="F3824" s="30" t="n">
        <v>208.97</v>
      </c>
      <c r="G3824" s="31" t="n">
        <f aca="false">IFERROR(F3824/D3824,0)</f>
        <v>10.9984210526316</v>
      </c>
    </row>
    <row r="3825" customFormat="false" ht="15" hidden="false" customHeight="false" outlineLevel="0" collapsed="false">
      <c r="A3825" s="28" t="n">
        <v>2024</v>
      </c>
      <c r="B3825" s="28" t="s">
        <v>97</v>
      </c>
      <c r="C3825" s="28" t="s">
        <v>45</v>
      </c>
      <c r="D3825" s="28" t="n">
        <v>129</v>
      </c>
      <c r="E3825" s="29" t="n">
        <v>30542300</v>
      </c>
      <c r="F3825" s="30" t="n">
        <v>1454.16</v>
      </c>
      <c r="G3825" s="31" t="n">
        <f aca="false">IFERROR(F3825/D3825,0)</f>
        <v>11.2725581395349</v>
      </c>
    </row>
    <row r="3826" customFormat="false" ht="15" hidden="false" customHeight="false" outlineLevel="0" collapsed="false">
      <c r="A3826" s="28" t="n">
        <v>2024</v>
      </c>
      <c r="B3826" s="28" t="s">
        <v>97</v>
      </c>
      <c r="C3826" s="28" t="s">
        <v>56</v>
      </c>
      <c r="D3826" s="28" t="n">
        <v>13</v>
      </c>
      <c r="E3826" s="29" t="n">
        <v>4429100</v>
      </c>
      <c r="F3826" s="30" t="n">
        <v>153.8</v>
      </c>
      <c r="G3826" s="31" t="n">
        <f aca="false">IFERROR(F3826/D3826,0)</f>
        <v>11.8307692307692</v>
      </c>
    </row>
    <row r="3827" customFormat="false" ht="15" hidden="false" customHeight="false" outlineLevel="0" collapsed="false">
      <c r="A3827" s="28" t="n">
        <v>2024</v>
      </c>
      <c r="B3827" s="28" t="s">
        <v>97</v>
      </c>
      <c r="C3827" s="28" t="s">
        <v>54</v>
      </c>
      <c r="D3827" s="28" t="n">
        <v>6</v>
      </c>
      <c r="E3827" s="29" t="n">
        <v>2081800</v>
      </c>
      <c r="F3827" s="30" t="n">
        <v>63.73</v>
      </c>
      <c r="G3827" s="31" t="n">
        <f aca="false">IFERROR(F3827/D3827,0)</f>
        <v>10.6216666666667</v>
      </c>
    </row>
    <row r="3828" customFormat="false" ht="15" hidden="false" customHeight="false" outlineLevel="0" collapsed="false">
      <c r="A3828" s="28" t="n">
        <v>2024</v>
      </c>
      <c r="B3828" s="28" t="s">
        <v>97</v>
      </c>
      <c r="C3828" s="28" t="s">
        <v>44</v>
      </c>
      <c r="D3828" s="28" t="n">
        <v>47</v>
      </c>
      <c r="E3828" s="29" t="n">
        <v>16909600</v>
      </c>
      <c r="F3828" s="30" t="n">
        <v>514.6</v>
      </c>
      <c r="G3828" s="31" t="n">
        <f aca="false">IFERROR(F3828/D3828,0)</f>
        <v>10.9489361702128</v>
      </c>
    </row>
    <row r="3829" customFormat="false" ht="15" hidden="false" customHeight="false" outlineLevel="0" collapsed="false">
      <c r="A3829" s="28" t="n">
        <v>2024</v>
      </c>
      <c r="B3829" s="28" t="s">
        <v>97</v>
      </c>
      <c r="C3829" s="28" t="s">
        <v>57</v>
      </c>
      <c r="D3829" s="28" t="n">
        <v>5</v>
      </c>
      <c r="E3829" s="29" t="n">
        <v>2430000</v>
      </c>
      <c r="F3829" s="30" t="n">
        <v>52.9</v>
      </c>
      <c r="G3829" s="31" t="n">
        <f aca="false">IFERROR(F3829/D3829,0)</f>
        <v>10.58</v>
      </c>
    </row>
    <row r="3830" customFormat="false" ht="15" hidden="false" customHeight="false" outlineLevel="0" collapsed="false">
      <c r="A3830" s="28" t="n">
        <v>2024</v>
      </c>
      <c r="B3830" s="28" t="s">
        <v>97</v>
      </c>
      <c r="C3830" s="28" t="s">
        <v>47</v>
      </c>
      <c r="D3830" s="28" t="n">
        <v>44</v>
      </c>
      <c r="E3830" s="29" t="n">
        <v>22320600</v>
      </c>
      <c r="F3830" s="30" t="n">
        <v>483.84</v>
      </c>
      <c r="G3830" s="31" t="n">
        <f aca="false">IFERROR(F3830/D3830,0)</f>
        <v>10.9963636363636</v>
      </c>
    </row>
    <row r="3831" customFormat="false" ht="15" hidden="false" customHeight="false" outlineLevel="0" collapsed="false">
      <c r="A3831" s="28" t="n">
        <v>2024</v>
      </c>
      <c r="B3831" s="28" t="s">
        <v>97</v>
      </c>
      <c r="C3831" s="28" t="s">
        <v>58</v>
      </c>
      <c r="D3831" s="28" t="n">
        <v>4</v>
      </c>
      <c r="E3831" s="29" t="n">
        <v>1163500</v>
      </c>
      <c r="F3831" s="30" t="n">
        <v>45.49</v>
      </c>
      <c r="G3831" s="31" t="n">
        <f aca="false">IFERROR(F3831/D3831,0)</f>
        <v>11.3725</v>
      </c>
    </row>
    <row r="3832" customFormat="false" ht="15" hidden="false" customHeight="false" outlineLevel="0" collapsed="false">
      <c r="A3832" s="28" t="n">
        <v>2024</v>
      </c>
      <c r="B3832" s="28" t="s">
        <v>97</v>
      </c>
      <c r="C3832" s="28" t="s">
        <v>46</v>
      </c>
      <c r="D3832" s="28" t="n">
        <v>61</v>
      </c>
      <c r="E3832" s="29" t="n">
        <v>26149700</v>
      </c>
      <c r="F3832" s="30" t="n">
        <v>660.05</v>
      </c>
      <c r="G3832" s="31" t="n">
        <f aca="false">IFERROR(F3832/D3832,0)</f>
        <v>10.8204918032787</v>
      </c>
    </row>
    <row r="3833" customFormat="false" ht="15" hidden="false" customHeight="false" outlineLevel="0" collapsed="false">
      <c r="A3833" s="28" t="n">
        <v>2024</v>
      </c>
      <c r="B3833" s="28" t="s">
        <v>97</v>
      </c>
      <c r="C3833" s="28" t="s">
        <v>48</v>
      </c>
      <c r="D3833" s="28" t="n">
        <v>40</v>
      </c>
      <c r="E3833" s="29" t="n">
        <v>7661300</v>
      </c>
      <c r="F3833" s="30" t="n">
        <v>445.78</v>
      </c>
      <c r="G3833" s="31" t="n">
        <f aca="false">IFERROR(F3833/D3833,0)</f>
        <v>11.1445</v>
      </c>
    </row>
    <row r="3834" customFormat="false" ht="15" hidden="false" customHeight="false" outlineLevel="0" collapsed="false">
      <c r="A3834" s="28" t="n">
        <v>2024</v>
      </c>
      <c r="B3834" s="28" t="s">
        <v>97</v>
      </c>
      <c r="C3834" s="28" t="s">
        <v>61</v>
      </c>
      <c r="D3834" s="28" t="n">
        <v>1</v>
      </c>
      <c r="E3834" s="29" t="n">
        <v>73000</v>
      </c>
      <c r="F3834" s="30" t="n">
        <v>11</v>
      </c>
      <c r="G3834" s="31" t="n">
        <f aca="false">IFERROR(F3834/D3834,0)</f>
        <v>11</v>
      </c>
    </row>
    <row r="3835" customFormat="false" ht="15" hidden="false" customHeight="false" outlineLevel="0" collapsed="false">
      <c r="A3835" s="28" t="n">
        <v>2024</v>
      </c>
      <c r="B3835" s="28" t="s">
        <v>97</v>
      </c>
      <c r="C3835" s="28" t="s">
        <v>53</v>
      </c>
      <c r="D3835" s="28" t="n">
        <v>15</v>
      </c>
      <c r="E3835" s="29" t="n">
        <v>4688600</v>
      </c>
      <c r="F3835" s="30" t="n">
        <v>155.04</v>
      </c>
      <c r="G3835" s="31" t="n">
        <f aca="false">IFERROR(F3835/D3835,0)</f>
        <v>10.336</v>
      </c>
    </row>
    <row r="3836" customFormat="false" ht="15" hidden="false" customHeight="false" outlineLevel="0" collapsed="false">
      <c r="A3836" s="28" t="n">
        <v>2024</v>
      </c>
      <c r="B3836" s="28" t="s">
        <v>97</v>
      </c>
      <c r="C3836" s="28" t="s">
        <v>43</v>
      </c>
      <c r="D3836" s="28" t="n">
        <v>61</v>
      </c>
      <c r="E3836" s="29" t="n">
        <v>19571200</v>
      </c>
      <c r="F3836" s="30" t="n">
        <v>680.28</v>
      </c>
      <c r="G3836" s="31" t="n">
        <f aca="false">IFERROR(F3836/D3836,0)</f>
        <v>11.152131147541</v>
      </c>
    </row>
    <row r="3837" customFormat="false" ht="15" hidden="false" customHeight="false" outlineLevel="0" collapsed="false">
      <c r="A3837" s="28" t="n">
        <v>2024</v>
      </c>
      <c r="B3837" s="28" t="s">
        <v>97</v>
      </c>
      <c r="C3837" s="28" t="s">
        <v>52</v>
      </c>
      <c r="D3837" s="28" t="n">
        <v>20</v>
      </c>
      <c r="E3837" s="29" t="n">
        <v>4006000</v>
      </c>
      <c r="F3837" s="30" t="n">
        <v>223.02</v>
      </c>
      <c r="G3837" s="31" t="n">
        <f aca="false">IFERROR(F3837/D3837,0)</f>
        <v>11.151</v>
      </c>
    </row>
    <row r="3838" customFormat="false" ht="15" hidden="false" customHeight="false" outlineLevel="0" collapsed="false">
      <c r="A3838" s="28" t="n">
        <v>2024</v>
      </c>
      <c r="B3838" s="28" t="s">
        <v>97</v>
      </c>
      <c r="C3838" s="28" t="s">
        <v>60</v>
      </c>
      <c r="D3838" s="28" t="n">
        <v>2</v>
      </c>
      <c r="E3838" s="29" t="n">
        <v>4955000</v>
      </c>
      <c r="F3838" s="30" t="n">
        <v>22.5</v>
      </c>
      <c r="G3838" s="31" t="n">
        <f aca="false">IFERROR(F3838/D3838,0)</f>
        <v>11.25</v>
      </c>
    </row>
    <row r="3839" customFormat="false" ht="15" hidden="false" customHeight="false" outlineLevel="0" collapsed="false">
      <c r="A3839" s="28" t="n">
        <v>2024</v>
      </c>
      <c r="B3839" s="28" t="s">
        <v>97</v>
      </c>
      <c r="C3839" s="28" t="s">
        <v>49</v>
      </c>
      <c r="D3839" s="28" t="n">
        <v>17</v>
      </c>
      <c r="E3839" s="29" t="n">
        <v>4455000</v>
      </c>
      <c r="F3839" s="30" t="n">
        <v>186.7</v>
      </c>
      <c r="G3839" s="31" t="n">
        <f aca="false">IFERROR(F3839/D3839,0)</f>
        <v>10.9823529411765</v>
      </c>
    </row>
    <row r="3840" customFormat="false" ht="15" hidden="false" customHeight="false" outlineLevel="0" collapsed="false">
      <c r="A3840" s="28" t="n">
        <v>2024</v>
      </c>
      <c r="B3840" s="28" t="s">
        <v>86</v>
      </c>
      <c r="C3840" s="28" t="s">
        <v>42</v>
      </c>
      <c r="D3840" s="28" t="n">
        <v>303</v>
      </c>
      <c r="E3840" s="29" t="n">
        <v>260341100</v>
      </c>
      <c r="F3840" s="30" t="n">
        <v>3195.416</v>
      </c>
      <c r="G3840" s="31" t="n">
        <f aca="false">IFERROR(F3840/D3840,0)</f>
        <v>10.5459273927393</v>
      </c>
    </row>
    <row r="3841" customFormat="false" ht="15" hidden="false" customHeight="false" outlineLevel="0" collapsed="false">
      <c r="A3841" s="28" t="n">
        <v>2024</v>
      </c>
      <c r="B3841" s="28" t="s">
        <v>86</v>
      </c>
      <c r="C3841" s="28" t="s">
        <v>50</v>
      </c>
      <c r="D3841" s="28" t="n">
        <v>110</v>
      </c>
      <c r="E3841" s="29" t="n">
        <v>35932300</v>
      </c>
      <c r="F3841" s="30" t="n">
        <v>1210.53</v>
      </c>
      <c r="G3841" s="31" t="n">
        <f aca="false">IFERROR(F3841/D3841,0)</f>
        <v>11.0048181818182</v>
      </c>
    </row>
    <row r="3842" customFormat="false" ht="15" hidden="false" customHeight="false" outlineLevel="0" collapsed="false">
      <c r="A3842" s="28" t="n">
        <v>2024</v>
      </c>
      <c r="B3842" s="28" t="s">
        <v>86</v>
      </c>
      <c r="C3842" s="28" t="s">
        <v>55</v>
      </c>
      <c r="D3842" s="28" t="n">
        <v>9</v>
      </c>
      <c r="E3842" s="29" t="n">
        <v>1539700</v>
      </c>
      <c r="F3842" s="30" t="n">
        <v>97.99</v>
      </c>
      <c r="G3842" s="31" t="n">
        <f aca="false">IFERROR(F3842/D3842,0)</f>
        <v>10.8877777777778</v>
      </c>
    </row>
    <row r="3843" customFormat="false" ht="15" hidden="false" customHeight="false" outlineLevel="0" collapsed="false">
      <c r="A3843" s="28" t="n">
        <v>2024</v>
      </c>
      <c r="B3843" s="28" t="s">
        <v>86</v>
      </c>
      <c r="C3843" s="28" t="s">
        <v>51</v>
      </c>
      <c r="D3843" s="28" t="n">
        <v>88</v>
      </c>
      <c r="E3843" s="29" t="n">
        <v>73776000</v>
      </c>
      <c r="F3843" s="30" t="n">
        <v>944.29</v>
      </c>
      <c r="G3843" s="31" t="n">
        <f aca="false">IFERROR(F3843/D3843,0)</f>
        <v>10.7305681818182</v>
      </c>
    </row>
    <row r="3844" customFormat="false" ht="15" hidden="false" customHeight="false" outlineLevel="0" collapsed="false">
      <c r="A3844" s="28" t="n">
        <v>2024</v>
      </c>
      <c r="B3844" s="28" t="s">
        <v>86</v>
      </c>
      <c r="C3844" s="28" t="s">
        <v>45</v>
      </c>
      <c r="D3844" s="28" t="n">
        <v>272</v>
      </c>
      <c r="E3844" s="29" t="n">
        <v>76290600</v>
      </c>
      <c r="F3844" s="30" t="n">
        <v>2962.405</v>
      </c>
      <c r="G3844" s="31" t="n">
        <f aca="false">IFERROR(F3844/D3844,0)</f>
        <v>10.8911948529412</v>
      </c>
    </row>
    <row r="3845" customFormat="false" ht="15" hidden="false" customHeight="false" outlineLevel="0" collapsed="false">
      <c r="A3845" s="28" t="n">
        <v>2024</v>
      </c>
      <c r="B3845" s="28" t="s">
        <v>86</v>
      </c>
      <c r="C3845" s="28" t="s">
        <v>56</v>
      </c>
      <c r="D3845" s="28" t="n">
        <v>25</v>
      </c>
      <c r="E3845" s="29" t="n">
        <v>11560000</v>
      </c>
      <c r="F3845" s="30" t="n">
        <v>282.06</v>
      </c>
      <c r="G3845" s="31" t="n">
        <f aca="false">IFERROR(F3845/D3845,0)</f>
        <v>11.2824</v>
      </c>
    </row>
    <row r="3846" customFormat="false" ht="15" hidden="false" customHeight="false" outlineLevel="0" collapsed="false">
      <c r="A3846" s="28" t="n">
        <v>2024</v>
      </c>
      <c r="B3846" s="28" t="s">
        <v>86</v>
      </c>
      <c r="C3846" s="28" t="s">
        <v>54</v>
      </c>
      <c r="D3846" s="28" t="n">
        <v>22</v>
      </c>
      <c r="E3846" s="29" t="n">
        <v>4775900</v>
      </c>
      <c r="F3846" s="30" t="n">
        <v>240.84</v>
      </c>
      <c r="G3846" s="31" t="n">
        <f aca="false">IFERROR(F3846/D3846,0)</f>
        <v>10.9472727272727</v>
      </c>
    </row>
    <row r="3847" customFormat="false" ht="15" hidden="false" customHeight="false" outlineLevel="0" collapsed="false">
      <c r="A3847" s="28" t="n">
        <v>2024</v>
      </c>
      <c r="B3847" s="28" t="s">
        <v>86</v>
      </c>
      <c r="C3847" s="28" t="s">
        <v>44</v>
      </c>
      <c r="D3847" s="28" t="n">
        <v>217</v>
      </c>
      <c r="E3847" s="29" t="n">
        <v>100232700</v>
      </c>
      <c r="F3847" s="30" t="n">
        <v>2310.66</v>
      </c>
      <c r="G3847" s="31" t="n">
        <f aca="false">IFERROR(F3847/D3847,0)</f>
        <v>10.648202764977</v>
      </c>
    </row>
    <row r="3848" customFormat="false" ht="15" hidden="false" customHeight="false" outlineLevel="0" collapsed="false">
      <c r="A3848" s="28" t="n">
        <v>2024</v>
      </c>
      <c r="B3848" s="28" t="s">
        <v>86</v>
      </c>
      <c r="C3848" s="28" t="s">
        <v>57</v>
      </c>
      <c r="D3848" s="28" t="n">
        <v>10</v>
      </c>
      <c r="E3848" s="29" t="n">
        <v>6517000</v>
      </c>
      <c r="F3848" s="30" t="n">
        <v>102.49</v>
      </c>
      <c r="G3848" s="31" t="n">
        <f aca="false">IFERROR(F3848/D3848,0)</f>
        <v>10.249</v>
      </c>
    </row>
    <row r="3849" customFormat="false" ht="15" hidden="false" customHeight="false" outlineLevel="0" collapsed="false">
      <c r="A3849" s="28" t="n">
        <v>2024</v>
      </c>
      <c r="B3849" s="28" t="s">
        <v>86</v>
      </c>
      <c r="C3849" s="28" t="s">
        <v>59</v>
      </c>
      <c r="D3849" s="28" t="n">
        <v>2</v>
      </c>
      <c r="E3849" s="29" t="n">
        <v>4479600</v>
      </c>
      <c r="F3849" s="30" t="n">
        <v>26</v>
      </c>
      <c r="G3849" s="31" t="n">
        <f aca="false">IFERROR(F3849/D3849,0)</f>
        <v>13</v>
      </c>
    </row>
    <row r="3850" customFormat="false" ht="15" hidden="false" customHeight="false" outlineLevel="0" collapsed="false">
      <c r="A3850" s="28" t="n">
        <v>2024</v>
      </c>
      <c r="B3850" s="28" t="s">
        <v>86</v>
      </c>
      <c r="C3850" s="28" t="s">
        <v>47</v>
      </c>
      <c r="D3850" s="28" t="n">
        <v>136</v>
      </c>
      <c r="E3850" s="29" t="n">
        <v>94416200</v>
      </c>
      <c r="F3850" s="30" t="n">
        <v>1430.67</v>
      </c>
      <c r="G3850" s="31" t="n">
        <f aca="false">IFERROR(F3850/D3850,0)</f>
        <v>10.5196323529412</v>
      </c>
    </row>
    <row r="3851" customFormat="false" ht="15" hidden="false" customHeight="false" outlineLevel="0" collapsed="false">
      <c r="A3851" s="28" t="n">
        <v>2024</v>
      </c>
      <c r="B3851" s="28" t="s">
        <v>86</v>
      </c>
      <c r="C3851" s="28" t="s">
        <v>58</v>
      </c>
      <c r="D3851" s="28" t="n">
        <v>2</v>
      </c>
      <c r="E3851" s="29" t="n">
        <v>530000</v>
      </c>
      <c r="F3851" s="30" t="n">
        <v>21.74</v>
      </c>
      <c r="G3851" s="31" t="n">
        <f aca="false">IFERROR(F3851/D3851,0)</f>
        <v>10.87</v>
      </c>
    </row>
    <row r="3852" customFormat="false" ht="15" hidden="false" customHeight="false" outlineLevel="0" collapsed="false">
      <c r="A3852" s="28" t="n">
        <v>2024</v>
      </c>
      <c r="B3852" s="28" t="s">
        <v>86</v>
      </c>
      <c r="C3852" s="28" t="s">
        <v>46</v>
      </c>
      <c r="D3852" s="28" t="n">
        <v>216</v>
      </c>
      <c r="E3852" s="29" t="n">
        <v>80058600</v>
      </c>
      <c r="F3852" s="30" t="n">
        <v>2261.44</v>
      </c>
      <c r="G3852" s="31" t="n">
        <f aca="false">IFERROR(F3852/D3852,0)</f>
        <v>10.4696296296296</v>
      </c>
    </row>
    <row r="3853" customFormat="false" ht="15" hidden="false" customHeight="false" outlineLevel="0" collapsed="false">
      <c r="A3853" s="28" t="n">
        <v>2024</v>
      </c>
      <c r="B3853" s="28" t="s">
        <v>86</v>
      </c>
      <c r="C3853" s="28" t="s">
        <v>48</v>
      </c>
      <c r="D3853" s="28" t="n">
        <v>198</v>
      </c>
      <c r="E3853" s="29" t="n">
        <v>68861900</v>
      </c>
      <c r="F3853" s="30" t="n">
        <v>2176.504</v>
      </c>
      <c r="G3853" s="31" t="n">
        <f aca="false">IFERROR(F3853/D3853,0)</f>
        <v>10.9924444444444</v>
      </c>
    </row>
    <row r="3854" customFormat="false" ht="15" hidden="false" customHeight="false" outlineLevel="0" collapsed="false">
      <c r="A3854" s="28" t="n">
        <v>2024</v>
      </c>
      <c r="B3854" s="28" t="s">
        <v>86</v>
      </c>
      <c r="C3854" s="28" t="s">
        <v>61</v>
      </c>
      <c r="D3854" s="28" t="n">
        <v>2</v>
      </c>
      <c r="E3854" s="29" t="n">
        <v>66000</v>
      </c>
      <c r="F3854" s="30" t="n">
        <v>26.25</v>
      </c>
      <c r="G3854" s="31" t="n">
        <f aca="false">IFERROR(F3854/D3854,0)</f>
        <v>13.125</v>
      </c>
    </row>
    <row r="3855" customFormat="false" ht="15" hidden="false" customHeight="false" outlineLevel="0" collapsed="false">
      <c r="A3855" s="28" t="n">
        <v>2024</v>
      </c>
      <c r="B3855" s="28" t="s">
        <v>86</v>
      </c>
      <c r="C3855" s="28" t="s">
        <v>53</v>
      </c>
      <c r="D3855" s="28" t="n">
        <v>48</v>
      </c>
      <c r="E3855" s="29" t="n">
        <v>28750800</v>
      </c>
      <c r="F3855" s="30" t="n">
        <v>519.86</v>
      </c>
      <c r="G3855" s="31" t="n">
        <f aca="false">IFERROR(F3855/D3855,0)</f>
        <v>10.8304166666667</v>
      </c>
    </row>
    <row r="3856" customFormat="false" ht="15" hidden="false" customHeight="false" outlineLevel="0" collapsed="false">
      <c r="A3856" s="28" t="n">
        <v>2024</v>
      </c>
      <c r="B3856" s="28" t="s">
        <v>86</v>
      </c>
      <c r="C3856" s="28" t="s">
        <v>43</v>
      </c>
      <c r="D3856" s="28" t="n">
        <v>194</v>
      </c>
      <c r="E3856" s="29" t="n">
        <v>110177100</v>
      </c>
      <c r="F3856" s="30" t="n">
        <v>2092.67</v>
      </c>
      <c r="G3856" s="31" t="n">
        <f aca="false">IFERROR(F3856/D3856,0)</f>
        <v>10.7869587628866</v>
      </c>
    </row>
    <row r="3857" customFormat="false" ht="15" hidden="false" customHeight="false" outlineLevel="0" collapsed="false">
      <c r="A3857" s="28" t="n">
        <v>2024</v>
      </c>
      <c r="B3857" s="28" t="s">
        <v>86</v>
      </c>
      <c r="C3857" s="28" t="s">
        <v>52</v>
      </c>
      <c r="D3857" s="28" t="n">
        <v>286</v>
      </c>
      <c r="E3857" s="29" t="n">
        <v>58884700</v>
      </c>
      <c r="F3857" s="30" t="n">
        <v>3132.735</v>
      </c>
      <c r="G3857" s="31" t="n">
        <f aca="false">IFERROR(F3857/D3857,0)</f>
        <v>10.9536188811189</v>
      </c>
    </row>
    <row r="3858" customFormat="false" ht="15" hidden="false" customHeight="false" outlineLevel="0" collapsed="false">
      <c r="A3858" s="28" t="n">
        <v>2024</v>
      </c>
      <c r="B3858" s="28" t="s">
        <v>86</v>
      </c>
      <c r="C3858" s="28" t="s">
        <v>60</v>
      </c>
      <c r="D3858" s="28" t="n">
        <v>2</v>
      </c>
      <c r="E3858" s="29" t="n">
        <v>761000</v>
      </c>
      <c r="F3858" s="30" t="n">
        <v>24.5</v>
      </c>
      <c r="G3858" s="31" t="n">
        <f aca="false">IFERROR(F3858/D3858,0)</f>
        <v>12.25</v>
      </c>
    </row>
    <row r="3859" customFormat="false" ht="15" hidden="false" customHeight="false" outlineLevel="0" collapsed="false">
      <c r="A3859" s="28" t="n">
        <v>2024</v>
      </c>
      <c r="B3859" s="28" t="s">
        <v>86</v>
      </c>
      <c r="C3859" s="28" t="s">
        <v>49</v>
      </c>
      <c r="D3859" s="28" t="n">
        <v>92</v>
      </c>
      <c r="E3859" s="29" t="n">
        <v>47276500</v>
      </c>
      <c r="F3859" s="30" t="n">
        <v>970.6</v>
      </c>
      <c r="G3859" s="31" t="n">
        <f aca="false">IFERROR(F3859/D3859,0)</f>
        <v>10.55</v>
      </c>
    </row>
    <row r="3860" customFormat="false" ht="15" hidden="false" customHeight="false" outlineLevel="0" collapsed="false">
      <c r="A3860" s="28" t="n">
        <v>2024</v>
      </c>
      <c r="B3860" s="28" t="s">
        <v>100</v>
      </c>
      <c r="C3860" s="28" t="s">
        <v>42</v>
      </c>
      <c r="D3860" s="28" t="n">
        <v>182</v>
      </c>
      <c r="E3860" s="29" t="n">
        <v>147100800</v>
      </c>
      <c r="F3860" s="30" t="n">
        <v>1880.315</v>
      </c>
      <c r="G3860" s="31" t="n">
        <f aca="false">IFERROR(F3860/D3860,0)</f>
        <v>10.3314010989011</v>
      </c>
    </row>
    <row r="3861" customFormat="false" ht="15" hidden="false" customHeight="false" outlineLevel="0" collapsed="false">
      <c r="A3861" s="28" t="n">
        <v>2024</v>
      </c>
      <c r="B3861" s="28" t="s">
        <v>100</v>
      </c>
      <c r="C3861" s="28" t="s">
        <v>50</v>
      </c>
      <c r="D3861" s="28" t="n">
        <v>74</v>
      </c>
      <c r="E3861" s="29" t="n">
        <v>21532300</v>
      </c>
      <c r="F3861" s="30" t="n">
        <v>789.65</v>
      </c>
      <c r="G3861" s="31" t="n">
        <f aca="false">IFERROR(F3861/D3861,0)</f>
        <v>10.6709459459459</v>
      </c>
    </row>
    <row r="3862" customFormat="false" ht="15" hidden="false" customHeight="false" outlineLevel="0" collapsed="false">
      <c r="A3862" s="28" t="n">
        <v>2024</v>
      </c>
      <c r="B3862" s="28" t="s">
        <v>100</v>
      </c>
      <c r="C3862" s="28" t="s">
        <v>55</v>
      </c>
      <c r="D3862" s="28" t="n">
        <v>3</v>
      </c>
      <c r="E3862" s="29" t="n">
        <v>700000</v>
      </c>
      <c r="F3862" s="30" t="n">
        <v>28.75</v>
      </c>
      <c r="G3862" s="31" t="n">
        <f aca="false">IFERROR(F3862/D3862,0)</f>
        <v>9.58333333333333</v>
      </c>
    </row>
    <row r="3863" customFormat="false" ht="15" hidden="false" customHeight="false" outlineLevel="0" collapsed="false">
      <c r="A3863" s="28" t="n">
        <v>2024</v>
      </c>
      <c r="B3863" s="28" t="s">
        <v>100</v>
      </c>
      <c r="C3863" s="28" t="s">
        <v>51</v>
      </c>
      <c r="D3863" s="28" t="n">
        <v>48</v>
      </c>
      <c r="E3863" s="29" t="n">
        <v>29635600</v>
      </c>
      <c r="F3863" s="30" t="n">
        <v>519.49</v>
      </c>
      <c r="G3863" s="31" t="n">
        <f aca="false">IFERROR(F3863/D3863,0)</f>
        <v>10.8227083333333</v>
      </c>
    </row>
    <row r="3864" customFormat="false" ht="15" hidden="false" customHeight="false" outlineLevel="0" collapsed="false">
      <c r="A3864" s="28" t="n">
        <v>2024</v>
      </c>
      <c r="B3864" s="28" t="s">
        <v>100</v>
      </c>
      <c r="C3864" s="28" t="s">
        <v>45</v>
      </c>
      <c r="D3864" s="28" t="n">
        <v>143</v>
      </c>
      <c r="E3864" s="29" t="n">
        <v>41597000</v>
      </c>
      <c r="F3864" s="30" t="n">
        <v>1559.215</v>
      </c>
      <c r="G3864" s="31" t="n">
        <f aca="false">IFERROR(F3864/D3864,0)</f>
        <v>10.9036013986014</v>
      </c>
    </row>
    <row r="3865" customFormat="false" ht="15" hidden="false" customHeight="false" outlineLevel="0" collapsed="false">
      <c r="A3865" s="28" t="n">
        <v>2024</v>
      </c>
      <c r="B3865" s="28" t="s">
        <v>100</v>
      </c>
      <c r="C3865" s="28" t="s">
        <v>56</v>
      </c>
      <c r="D3865" s="28" t="n">
        <v>7</v>
      </c>
      <c r="E3865" s="29" t="n">
        <v>1571400</v>
      </c>
      <c r="F3865" s="30" t="n">
        <v>74.5</v>
      </c>
      <c r="G3865" s="31" t="n">
        <f aca="false">IFERROR(F3865/D3865,0)</f>
        <v>10.6428571428571</v>
      </c>
    </row>
    <row r="3866" customFormat="false" ht="15" hidden="false" customHeight="false" outlineLevel="0" collapsed="false">
      <c r="A3866" s="28" t="n">
        <v>2024</v>
      </c>
      <c r="B3866" s="28" t="s">
        <v>100</v>
      </c>
      <c r="C3866" s="28" t="s">
        <v>54</v>
      </c>
      <c r="D3866" s="28" t="n">
        <v>17</v>
      </c>
      <c r="E3866" s="29" t="n">
        <v>5230300</v>
      </c>
      <c r="F3866" s="30" t="n">
        <v>187.49</v>
      </c>
      <c r="G3866" s="31" t="n">
        <f aca="false">IFERROR(F3866/D3866,0)</f>
        <v>11.0288235294118</v>
      </c>
    </row>
    <row r="3867" customFormat="false" ht="15" hidden="false" customHeight="false" outlineLevel="0" collapsed="false">
      <c r="A3867" s="28" t="n">
        <v>2024</v>
      </c>
      <c r="B3867" s="28" t="s">
        <v>100</v>
      </c>
      <c r="C3867" s="28" t="s">
        <v>44</v>
      </c>
      <c r="D3867" s="28" t="n">
        <v>106</v>
      </c>
      <c r="E3867" s="29" t="n">
        <v>38476900</v>
      </c>
      <c r="F3867" s="30" t="n">
        <v>1115.88</v>
      </c>
      <c r="G3867" s="31" t="n">
        <f aca="false">IFERROR(F3867/D3867,0)</f>
        <v>10.5271698113208</v>
      </c>
    </row>
    <row r="3868" customFormat="false" ht="15" hidden="false" customHeight="false" outlineLevel="0" collapsed="false">
      <c r="A3868" s="28" t="n">
        <v>2024</v>
      </c>
      <c r="B3868" s="28" t="s">
        <v>100</v>
      </c>
      <c r="C3868" s="28" t="s">
        <v>57</v>
      </c>
      <c r="D3868" s="28" t="n">
        <v>12</v>
      </c>
      <c r="E3868" s="29" t="n">
        <v>3289600</v>
      </c>
      <c r="F3868" s="30" t="n">
        <v>133.5</v>
      </c>
      <c r="G3868" s="31" t="n">
        <f aca="false">IFERROR(F3868/D3868,0)</f>
        <v>11.125</v>
      </c>
    </row>
    <row r="3869" customFormat="false" ht="15" hidden="false" customHeight="false" outlineLevel="0" collapsed="false">
      <c r="A3869" s="28" t="n">
        <v>2024</v>
      </c>
      <c r="B3869" s="28" t="s">
        <v>100</v>
      </c>
      <c r="C3869" s="28" t="s">
        <v>47</v>
      </c>
      <c r="D3869" s="28" t="n">
        <v>91</v>
      </c>
      <c r="E3869" s="29" t="n">
        <v>51076700</v>
      </c>
      <c r="F3869" s="30" t="n">
        <v>937.48</v>
      </c>
      <c r="G3869" s="31" t="n">
        <f aca="false">IFERROR(F3869/D3869,0)</f>
        <v>10.301978021978</v>
      </c>
    </row>
    <row r="3870" customFormat="false" ht="15" hidden="false" customHeight="false" outlineLevel="0" collapsed="false">
      <c r="A3870" s="28" t="n">
        <v>2024</v>
      </c>
      <c r="B3870" s="28" t="s">
        <v>100</v>
      </c>
      <c r="C3870" s="28" t="s">
        <v>58</v>
      </c>
      <c r="D3870" s="28" t="n">
        <v>1</v>
      </c>
      <c r="E3870" s="29" t="n">
        <v>50000</v>
      </c>
      <c r="F3870" s="30" t="n">
        <v>15</v>
      </c>
      <c r="G3870" s="31" t="n">
        <f aca="false">IFERROR(F3870/D3870,0)</f>
        <v>15</v>
      </c>
    </row>
    <row r="3871" customFormat="false" ht="15" hidden="false" customHeight="false" outlineLevel="0" collapsed="false">
      <c r="A3871" s="28" t="n">
        <v>2024</v>
      </c>
      <c r="B3871" s="28" t="s">
        <v>100</v>
      </c>
      <c r="C3871" s="28" t="s">
        <v>46</v>
      </c>
      <c r="D3871" s="28" t="n">
        <v>131</v>
      </c>
      <c r="E3871" s="29" t="n">
        <v>55884500</v>
      </c>
      <c r="F3871" s="30" t="n">
        <v>1402.63</v>
      </c>
      <c r="G3871" s="31" t="n">
        <f aca="false">IFERROR(F3871/D3871,0)</f>
        <v>10.7070992366412</v>
      </c>
    </row>
    <row r="3872" customFormat="false" ht="15" hidden="false" customHeight="false" outlineLevel="0" collapsed="false">
      <c r="A3872" s="28" t="n">
        <v>2024</v>
      </c>
      <c r="B3872" s="28" t="s">
        <v>100</v>
      </c>
      <c r="C3872" s="28" t="s">
        <v>48</v>
      </c>
      <c r="D3872" s="28" t="n">
        <v>99</v>
      </c>
      <c r="E3872" s="29" t="n">
        <v>39547800</v>
      </c>
      <c r="F3872" s="30" t="n">
        <v>1088.05</v>
      </c>
      <c r="G3872" s="31" t="n">
        <f aca="false">IFERROR(F3872/D3872,0)</f>
        <v>10.990404040404</v>
      </c>
    </row>
    <row r="3873" customFormat="false" ht="15" hidden="false" customHeight="false" outlineLevel="0" collapsed="false">
      <c r="A3873" s="28" t="n">
        <v>2024</v>
      </c>
      <c r="B3873" s="28" t="s">
        <v>100</v>
      </c>
      <c r="C3873" s="28" t="s">
        <v>53</v>
      </c>
      <c r="D3873" s="28" t="n">
        <v>21</v>
      </c>
      <c r="E3873" s="29" t="n">
        <v>7852400</v>
      </c>
      <c r="F3873" s="30" t="n">
        <v>226.85</v>
      </c>
      <c r="G3873" s="31" t="n">
        <f aca="false">IFERROR(F3873/D3873,0)</f>
        <v>10.802380952381</v>
      </c>
    </row>
    <row r="3874" customFormat="false" ht="15" hidden="false" customHeight="false" outlineLevel="0" collapsed="false">
      <c r="A3874" s="28" t="n">
        <v>2024</v>
      </c>
      <c r="B3874" s="28" t="s">
        <v>100</v>
      </c>
      <c r="C3874" s="28" t="s">
        <v>43</v>
      </c>
      <c r="D3874" s="28" t="n">
        <v>119</v>
      </c>
      <c r="E3874" s="29" t="n">
        <v>52510100</v>
      </c>
      <c r="F3874" s="30" t="n">
        <v>1294.245</v>
      </c>
      <c r="G3874" s="31" t="n">
        <f aca="false">IFERROR(F3874/D3874,0)</f>
        <v>10.8760084033613</v>
      </c>
    </row>
    <row r="3875" customFormat="false" ht="15" hidden="false" customHeight="false" outlineLevel="0" collapsed="false">
      <c r="A3875" s="28" t="n">
        <v>2024</v>
      </c>
      <c r="B3875" s="28" t="s">
        <v>100</v>
      </c>
      <c r="C3875" s="28" t="s">
        <v>52</v>
      </c>
      <c r="D3875" s="28" t="n">
        <v>124</v>
      </c>
      <c r="E3875" s="29" t="n">
        <v>18118300</v>
      </c>
      <c r="F3875" s="30" t="n">
        <v>1340.21</v>
      </c>
      <c r="G3875" s="31" t="n">
        <f aca="false">IFERROR(F3875/D3875,0)</f>
        <v>10.8081451612903</v>
      </c>
    </row>
    <row r="3876" customFormat="false" ht="15" hidden="false" customHeight="false" outlineLevel="0" collapsed="false">
      <c r="A3876" s="28" t="n">
        <v>2024</v>
      </c>
      <c r="B3876" s="28" t="s">
        <v>100</v>
      </c>
      <c r="C3876" s="28" t="s">
        <v>60</v>
      </c>
      <c r="D3876" s="28" t="n">
        <v>5</v>
      </c>
      <c r="E3876" s="29" t="n">
        <v>6390000</v>
      </c>
      <c r="F3876" s="30" t="n">
        <v>53.3</v>
      </c>
      <c r="G3876" s="31" t="n">
        <f aca="false">IFERROR(F3876/D3876,0)</f>
        <v>10.66</v>
      </c>
    </row>
    <row r="3877" customFormat="false" ht="15" hidden="false" customHeight="false" outlineLevel="0" collapsed="false">
      <c r="A3877" s="28" t="n">
        <v>2024</v>
      </c>
      <c r="B3877" s="28" t="s">
        <v>100</v>
      </c>
      <c r="C3877" s="28" t="s">
        <v>49</v>
      </c>
      <c r="D3877" s="28" t="n">
        <v>39</v>
      </c>
      <c r="E3877" s="29" t="n">
        <v>19046000</v>
      </c>
      <c r="F3877" s="30" t="n">
        <v>405.985</v>
      </c>
      <c r="G3877" s="31" t="n">
        <f aca="false">IFERROR(F3877/D3877,0)</f>
        <v>10.4098717948718</v>
      </c>
    </row>
    <row r="3878" customFormat="false" ht="15" hidden="false" customHeight="false" outlineLevel="0" collapsed="false">
      <c r="A3878" s="28" t="n">
        <v>2024</v>
      </c>
      <c r="B3878" s="28" t="s">
        <v>101</v>
      </c>
      <c r="C3878" s="28" t="s">
        <v>42</v>
      </c>
      <c r="D3878" s="28" t="n">
        <v>59</v>
      </c>
      <c r="E3878" s="29" t="n">
        <v>51490600</v>
      </c>
      <c r="F3878" s="30" t="n">
        <v>556.205</v>
      </c>
      <c r="G3878" s="31" t="n">
        <f aca="false">IFERROR(F3878/D3878,0)</f>
        <v>9.42720338983051</v>
      </c>
    </row>
    <row r="3879" customFormat="false" ht="15" hidden="false" customHeight="false" outlineLevel="0" collapsed="false">
      <c r="A3879" s="28" t="n">
        <v>2024</v>
      </c>
      <c r="B3879" s="28" t="s">
        <v>101</v>
      </c>
      <c r="C3879" s="28" t="s">
        <v>50</v>
      </c>
      <c r="D3879" s="28" t="n">
        <v>32</v>
      </c>
      <c r="E3879" s="29" t="n">
        <v>14669800</v>
      </c>
      <c r="F3879" s="30" t="n">
        <v>319.79</v>
      </c>
      <c r="G3879" s="31" t="n">
        <f aca="false">IFERROR(F3879/D3879,0)</f>
        <v>9.9934375</v>
      </c>
    </row>
    <row r="3880" customFormat="false" ht="15" hidden="false" customHeight="false" outlineLevel="0" collapsed="false">
      <c r="A3880" s="28" t="n">
        <v>2024</v>
      </c>
      <c r="B3880" s="28" t="s">
        <v>101</v>
      </c>
      <c r="C3880" s="28" t="s">
        <v>55</v>
      </c>
      <c r="D3880" s="28" t="n">
        <v>6</v>
      </c>
      <c r="E3880" s="29" t="n">
        <v>2987400</v>
      </c>
      <c r="F3880" s="30" t="n">
        <v>54.64</v>
      </c>
      <c r="G3880" s="31" t="n">
        <f aca="false">IFERROR(F3880/D3880,0)</f>
        <v>9.10666666666667</v>
      </c>
    </row>
    <row r="3881" customFormat="false" ht="15" hidden="false" customHeight="false" outlineLevel="0" collapsed="false">
      <c r="A3881" s="28" t="n">
        <v>2024</v>
      </c>
      <c r="B3881" s="28" t="s">
        <v>101</v>
      </c>
      <c r="C3881" s="28" t="s">
        <v>51</v>
      </c>
      <c r="D3881" s="28" t="n">
        <v>19</v>
      </c>
      <c r="E3881" s="29" t="n">
        <v>10953400</v>
      </c>
      <c r="F3881" s="30" t="n">
        <v>199.74</v>
      </c>
      <c r="G3881" s="31" t="n">
        <f aca="false">IFERROR(F3881/D3881,0)</f>
        <v>10.5126315789474</v>
      </c>
    </row>
    <row r="3882" customFormat="false" ht="15" hidden="false" customHeight="false" outlineLevel="0" collapsed="false">
      <c r="A3882" s="28" t="n">
        <v>2024</v>
      </c>
      <c r="B3882" s="28" t="s">
        <v>101</v>
      </c>
      <c r="C3882" s="28" t="s">
        <v>45</v>
      </c>
      <c r="D3882" s="28" t="n">
        <v>56</v>
      </c>
      <c r="E3882" s="29" t="n">
        <v>15628500</v>
      </c>
      <c r="F3882" s="30" t="n">
        <v>583.187</v>
      </c>
      <c r="G3882" s="31" t="n">
        <f aca="false">IFERROR(F3882/D3882,0)</f>
        <v>10.4140535714286</v>
      </c>
    </row>
    <row r="3883" customFormat="false" ht="15" hidden="false" customHeight="false" outlineLevel="0" collapsed="false">
      <c r="A3883" s="28" t="n">
        <v>2024</v>
      </c>
      <c r="B3883" s="28" t="s">
        <v>101</v>
      </c>
      <c r="C3883" s="28" t="s">
        <v>56</v>
      </c>
      <c r="D3883" s="28" t="n">
        <v>4</v>
      </c>
      <c r="E3883" s="29" t="n">
        <v>258200</v>
      </c>
      <c r="F3883" s="30" t="n">
        <v>50.57</v>
      </c>
      <c r="G3883" s="31" t="n">
        <f aca="false">IFERROR(F3883/D3883,0)</f>
        <v>12.6425</v>
      </c>
    </row>
    <row r="3884" customFormat="false" ht="15" hidden="false" customHeight="false" outlineLevel="0" collapsed="false">
      <c r="A3884" s="28" t="n">
        <v>2024</v>
      </c>
      <c r="B3884" s="28" t="s">
        <v>101</v>
      </c>
      <c r="C3884" s="28" t="s">
        <v>54</v>
      </c>
      <c r="D3884" s="28" t="n">
        <v>11</v>
      </c>
      <c r="E3884" s="29" t="n">
        <v>5265300</v>
      </c>
      <c r="F3884" s="30" t="n">
        <v>117.25</v>
      </c>
      <c r="G3884" s="31" t="n">
        <f aca="false">IFERROR(F3884/D3884,0)</f>
        <v>10.6590909090909</v>
      </c>
    </row>
    <row r="3885" customFormat="false" ht="15" hidden="false" customHeight="false" outlineLevel="0" collapsed="false">
      <c r="A3885" s="28" t="n">
        <v>2024</v>
      </c>
      <c r="B3885" s="28" t="s">
        <v>101</v>
      </c>
      <c r="C3885" s="28" t="s">
        <v>44</v>
      </c>
      <c r="D3885" s="28" t="n">
        <v>44</v>
      </c>
      <c r="E3885" s="29" t="n">
        <v>23064600</v>
      </c>
      <c r="F3885" s="30" t="n">
        <v>431.97</v>
      </c>
      <c r="G3885" s="31" t="n">
        <f aca="false">IFERROR(F3885/D3885,0)</f>
        <v>9.8175</v>
      </c>
    </row>
    <row r="3886" customFormat="false" ht="15" hidden="false" customHeight="false" outlineLevel="0" collapsed="false">
      <c r="A3886" s="28" t="n">
        <v>2024</v>
      </c>
      <c r="B3886" s="28" t="s">
        <v>101</v>
      </c>
      <c r="C3886" s="28" t="s">
        <v>57</v>
      </c>
      <c r="D3886" s="28" t="n">
        <v>5</v>
      </c>
      <c r="E3886" s="29" t="n">
        <v>5405000</v>
      </c>
      <c r="F3886" s="30" t="n">
        <v>53.25</v>
      </c>
      <c r="G3886" s="31" t="n">
        <f aca="false">IFERROR(F3886/D3886,0)</f>
        <v>10.65</v>
      </c>
    </row>
    <row r="3887" customFormat="false" ht="15" hidden="false" customHeight="false" outlineLevel="0" collapsed="false">
      <c r="A3887" s="28" t="n">
        <v>2024</v>
      </c>
      <c r="B3887" s="28" t="s">
        <v>101</v>
      </c>
      <c r="C3887" s="28" t="s">
        <v>47</v>
      </c>
      <c r="D3887" s="28" t="n">
        <v>32</v>
      </c>
      <c r="E3887" s="29" t="n">
        <v>23975900</v>
      </c>
      <c r="F3887" s="30" t="n">
        <v>306.737</v>
      </c>
      <c r="G3887" s="31" t="n">
        <f aca="false">IFERROR(F3887/D3887,0)</f>
        <v>9.58553125</v>
      </c>
    </row>
    <row r="3888" customFormat="false" ht="15" hidden="false" customHeight="false" outlineLevel="0" collapsed="false">
      <c r="A3888" s="28" t="n">
        <v>2024</v>
      </c>
      <c r="B3888" s="28" t="s">
        <v>101</v>
      </c>
      <c r="C3888" s="28" t="s">
        <v>58</v>
      </c>
      <c r="D3888" s="28" t="n">
        <v>1</v>
      </c>
      <c r="E3888" s="29" t="n">
        <v>49300</v>
      </c>
      <c r="F3888" s="30" t="n">
        <v>9.5</v>
      </c>
      <c r="G3888" s="31" t="n">
        <f aca="false">IFERROR(F3888/D3888,0)</f>
        <v>9.5</v>
      </c>
    </row>
    <row r="3889" customFormat="false" ht="15" hidden="false" customHeight="false" outlineLevel="0" collapsed="false">
      <c r="A3889" s="28" t="n">
        <v>2024</v>
      </c>
      <c r="B3889" s="28" t="s">
        <v>101</v>
      </c>
      <c r="C3889" s="28" t="s">
        <v>46</v>
      </c>
      <c r="D3889" s="28" t="n">
        <v>34</v>
      </c>
      <c r="E3889" s="29" t="n">
        <v>10379400</v>
      </c>
      <c r="F3889" s="30" t="n">
        <v>343.47</v>
      </c>
      <c r="G3889" s="31" t="n">
        <f aca="false">IFERROR(F3889/D3889,0)</f>
        <v>10.1020588235294</v>
      </c>
    </row>
    <row r="3890" customFormat="false" ht="15" hidden="false" customHeight="false" outlineLevel="0" collapsed="false">
      <c r="A3890" s="28" t="n">
        <v>2024</v>
      </c>
      <c r="B3890" s="28" t="s">
        <v>101</v>
      </c>
      <c r="C3890" s="28" t="s">
        <v>48</v>
      </c>
      <c r="D3890" s="28" t="n">
        <v>35</v>
      </c>
      <c r="E3890" s="29" t="n">
        <v>18114800</v>
      </c>
      <c r="F3890" s="30" t="n">
        <v>394.57</v>
      </c>
      <c r="G3890" s="31" t="n">
        <f aca="false">IFERROR(F3890/D3890,0)</f>
        <v>11.2734285714286</v>
      </c>
    </row>
    <row r="3891" customFormat="false" ht="15" hidden="false" customHeight="false" outlineLevel="0" collapsed="false">
      <c r="A3891" s="28" t="n">
        <v>2024</v>
      </c>
      <c r="B3891" s="28" t="s">
        <v>101</v>
      </c>
      <c r="C3891" s="28" t="s">
        <v>53</v>
      </c>
      <c r="D3891" s="28" t="n">
        <v>5</v>
      </c>
      <c r="E3891" s="29" t="n">
        <v>982500</v>
      </c>
      <c r="F3891" s="30" t="n">
        <v>56.5</v>
      </c>
      <c r="G3891" s="31" t="n">
        <f aca="false">IFERROR(F3891/D3891,0)</f>
        <v>11.3</v>
      </c>
    </row>
    <row r="3892" customFormat="false" ht="15" hidden="false" customHeight="false" outlineLevel="0" collapsed="false">
      <c r="A3892" s="28" t="n">
        <v>2024</v>
      </c>
      <c r="B3892" s="28" t="s">
        <v>101</v>
      </c>
      <c r="C3892" s="28" t="s">
        <v>43</v>
      </c>
      <c r="D3892" s="28" t="n">
        <v>41</v>
      </c>
      <c r="E3892" s="29" t="n">
        <v>21605300</v>
      </c>
      <c r="F3892" s="30" t="n">
        <v>432.12</v>
      </c>
      <c r="G3892" s="31" t="n">
        <f aca="false">IFERROR(F3892/D3892,0)</f>
        <v>10.539512195122</v>
      </c>
    </row>
    <row r="3893" customFormat="false" ht="15" hidden="false" customHeight="false" outlineLevel="0" collapsed="false">
      <c r="A3893" s="28" t="n">
        <v>2024</v>
      </c>
      <c r="B3893" s="28" t="s">
        <v>101</v>
      </c>
      <c r="C3893" s="28" t="s">
        <v>52</v>
      </c>
      <c r="D3893" s="28" t="n">
        <v>13</v>
      </c>
      <c r="E3893" s="29" t="n">
        <v>3907900</v>
      </c>
      <c r="F3893" s="30" t="n">
        <v>127.11</v>
      </c>
      <c r="G3893" s="31" t="n">
        <f aca="false">IFERROR(F3893/D3893,0)</f>
        <v>9.77769230769231</v>
      </c>
    </row>
    <row r="3894" customFormat="false" ht="15" hidden="false" customHeight="false" outlineLevel="0" collapsed="false">
      <c r="A3894" s="28" t="n">
        <v>2024</v>
      </c>
      <c r="B3894" s="28" t="s">
        <v>101</v>
      </c>
      <c r="C3894" s="28" t="s">
        <v>49</v>
      </c>
      <c r="D3894" s="28" t="n">
        <v>12</v>
      </c>
      <c r="E3894" s="29" t="n">
        <v>3714700</v>
      </c>
      <c r="F3894" s="30" t="n">
        <v>127.59</v>
      </c>
      <c r="G3894" s="31" t="n">
        <f aca="false">IFERROR(F3894/D3894,0)</f>
        <v>10.6325</v>
      </c>
    </row>
    <row r="3895" customFormat="false" ht="15" hidden="false" customHeight="false" outlineLevel="0" collapsed="false">
      <c r="A3895" s="28" t="n">
        <v>2024</v>
      </c>
      <c r="B3895" s="28" t="s">
        <v>102</v>
      </c>
      <c r="C3895" s="28" t="s">
        <v>42</v>
      </c>
      <c r="D3895" s="28" t="n">
        <v>62</v>
      </c>
      <c r="E3895" s="29" t="n">
        <v>48047600</v>
      </c>
      <c r="F3895" s="30" t="n">
        <v>606.7</v>
      </c>
      <c r="G3895" s="31" t="n">
        <f aca="false">IFERROR(F3895/D3895,0)</f>
        <v>9.78548387096774</v>
      </c>
    </row>
    <row r="3896" customFormat="false" ht="15" hidden="false" customHeight="false" outlineLevel="0" collapsed="false">
      <c r="A3896" s="28" t="n">
        <v>2024</v>
      </c>
      <c r="B3896" s="28" t="s">
        <v>102</v>
      </c>
      <c r="C3896" s="28" t="s">
        <v>50</v>
      </c>
      <c r="D3896" s="28" t="n">
        <v>29</v>
      </c>
      <c r="E3896" s="29" t="n">
        <v>6349700</v>
      </c>
      <c r="F3896" s="30" t="n">
        <v>310.3</v>
      </c>
      <c r="G3896" s="31" t="n">
        <f aca="false">IFERROR(F3896/D3896,0)</f>
        <v>10.7</v>
      </c>
    </row>
    <row r="3897" customFormat="false" ht="15" hidden="false" customHeight="false" outlineLevel="0" collapsed="false">
      <c r="A3897" s="28" t="n">
        <v>2024</v>
      </c>
      <c r="B3897" s="28" t="s">
        <v>102</v>
      </c>
      <c r="C3897" s="28" t="s">
        <v>55</v>
      </c>
      <c r="D3897" s="28" t="n">
        <v>4</v>
      </c>
      <c r="E3897" s="29" t="n">
        <v>3441800</v>
      </c>
      <c r="F3897" s="30" t="n">
        <v>40.8</v>
      </c>
      <c r="G3897" s="31" t="n">
        <f aca="false">IFERROR(F3897/D3897,0)</f>
        <v>10.2</v>
      </c>
    </row>
    <row r="3898" customFormat="false" ht="15" hidden="false" customHeight="false" outlineLevel="0" collapsed="false">
      <c r="A3898" s="28" t="n">
        <v>2024</v>
      </c>
      <c r="B3898" s="28" t="s">
        <v>102</v>
      </c>
      <c r="C3898" s="28" t="s">
        <v>51</v>
      </c>
      <c r="D3898" s="28" t="n">
        <v>14</v>
      </c>
      <c r="E3898" s="29" t="n">
        <v>4683500</v>
      </c>
      <c r="F3898" s="30" t="n">
        <v>140.4</v>
      </c>
      <c r="G3898" s="31" t="n">
        <f aca="false">IFERROR(F3898/D3898,0)</f>
        <v>10.0285714285714</v>
      </c>
    </row>
    <row r="3899" customFormat="false" ht="15" hidden="false" customHeight="false" outlineLevel="0" collapsed="false">
      <c r="A3899" s="28" t="n">
        <v>2024</v>
      </c>
      <c r="B3899" s="28" t="s">
        <v>102</v>
      </c>
      <c r="C3899" s="28" t="s">
        <v>45</v>
      </c>
      <c r="D3899" s="28" t="n">
        <v>86</v>
      </c>
      <c r="E3899" s="29" t="n">
        <v>26565700</v>
      </c>
      <c r="F3899" s="30" t="n">
        <v>915.12</v>
      </c>
      <c r="G3899" s="31" t="n">
        <f aca="false">IFERROR(F3899/D3899,0)</f>
        <v>10.6409302325581</v>
      </c>
    </row>
    <row r="3900" customFormat="false" ht="15" hidden="false" customHeight="false" outlineLevel="0" collapsed="false">
      <c r="A3900" s="28" t="n">
        <v>2024</v>
      </c>
      <c r="B3900" s="28" t="s">
        <v>102</v>
      </c>
      <c r="C3900" s="28" t="s">
        <v>56</v>
      </c>
      <c r="D3900" s="28" t="n">
        <v>4</v>
      </c>
      <c r="E3900" s="29" t="n">
        <v>2083100</v>
      </c>
      <c r="F3900" s="30" t="n">
        <v>42.32</v>
      </c>
      <c r="G3900" s="31" t="n">
        <f aca="false">IFERROR(F3900/D3900,0)</f>
        <v>10.58</v>
      </c>
    </row>
    <row r="3901" customFormat="false" ht="15" hidden="false" customHeight="false" outlineLevel="0" collapsed="false">
      <c r="A3901" s="28" t="n">
        <v>2024</v>
      </c>
      <c r="B3901" s="28" t="s">
        <v>102</v>
      </c>
      <c r="C3901" s="28" t="s">
        <v>54</v>
      </c>
      <c r="D3901" s="28" t="n">
        <v>6</v>
      </c>
      <c r="E3901" s="29" t="n">
        <v>4052200</v>
      </c>
      <c r="F3901" s="30" t="n">
        <v>64.71</v>
      </c>
      <c r="G3901" s="31" t="n">
        <f aca="false">IFERROR(F3901/D3901,0)</f>
        <v>10.785</v>
      </c>
    </row>
    <row r="3902" customFormat="false" ht="15" hidden="false" customHeight="false" outlineLevel="0" collapsed="false">
      <c r="A3902" s="28" t="n">
        <v>2024</v>
      </c>
      <c r="B3902" s="28" t="s">
        <v>102</v>
      </c>
      <c r="C3902" s="28" t="s">
        <v>44</v>
      </c>
      <c r="D3902" s="28" t="n">
        <v>42</v>
      </c>
      <c r="E3902" s="29" t="n">
        <v>14971500</v>
      </c>
      <c r="F3902" s="30" t="n">
        <v>450.24</v>
      </c>
      <c r="G3902" s="31" t="n">
        <f aca="false">IFERROR(F3902/D3902,0)</f>
        <v>10.72</v>
      </c>
    </row>
    <row r="3903" customFormat="false" ht="15" hidden="false" customHeight="false" outlineLevel="0" collapsed="false">
      <c r="A3903" s="28" t="n">
        <v>2024</v>
      </c>
      <c r="B3903" s="28" t="s">
        <v>102</v>
      </c>
      <c r="C3903" s="28" t="s">
        <v>57</v>
      </c>
      <c r="D3903" s="28" t="n">
        <v>2</v>
      </c>
      <c r="E3903" s="29" t="n">
        <v>60000</v>
      </c>
      <c r="F3903" s="30" t="n">
        <v>26</v>
      </c>
      <c r="G3903" s="31" t="n">
        <f aca="false">IFERROR(F3903/D3903,0)</f>
        <v>13</v>
      </c>
    </row>
    <row r="3904" customFormat="false" ht="15" hidden="false" customHeight="false" outlineLevel="0" collapsed="false">
      <c r="A3904" s="28" t="n">
        <v>2024</v>
      </c>
      <c r="B3904" s="28" t="s">
        <v>102</v>
      </c>
      <c r="C3904" s="28" t="s">
        <v>47</v>
      </c>
      <c r="D3904" s="28" t="n">
        <v>28</v>
      </c>
      <c r="E3904" s="29" t="n">
        <v>18351900</v>
      </c>
      <c r="F3904" s="30" t="n">
        <v>282.1</v>
      </c>
      <c r="G3904" s="31" t="n">
        <f aca="false">IFERROR(F3904/D3904,0)</f>
        <v>10.075</v>
      </c>
    </row>
    <row r="3905" customFormat="false" ht="15" hidden="false" customHeight="false" outlineLevel="0" collapsed="false">
      <c r="A3905" s="28" t="n">
        <v>2024</v>
      </c>
      <c r="B3905" s="28" t="s">
        <v>102</v>
      </c>
      <c r="C3905" s="28" t="s">
        <v>46</v>
      </c>
      <c r="D3905" s="28" t="n">
        <v>54</v>
      </c>
      <c r="E3905" s="29" t="n">
        <v>16592300</v>
      </c>
      <c r="F3905" s="30" t="n">
        <v>570.87</v>
      </c>
      <c r="G3905" s="31" t="n">
        <f aca="false">IFERROR(F3905/D3905,0)</f>
        <v>10.5716666666667</v>
      </c>
    </row>
    <row r="3906" customFormat="false" ht="15" hidden="false" customHeight="false" outlineLevel="0" collapsed="false">
      <c r="A3906" s="28" t="n">
        <v>2024</v>
      </c>
      <c r="B3906" s="28" t="s">
        <v>102</v>
      </c>
      <c r="C3906" s="28" t="s">
        <v>48</v>
      </c>
      <c r="D3906" s="28" t="n">
        <v>27</v>
      </c>
      <c r="E3906" s="29" t="n">
        <v>9392600</v>
      </c>
      <c r="F3906" s="30" t="n">
        <v>293.05</v>
      </c>
      <c r="G3906" s="31" t="n">
        <f aca="false">IFERROR(F3906/D3906,0)</f>
        <v>10.8537037037037</v>
      </c>
    </row>
    <row r="3907" customFormat="false" ht="15" hidden="false" customHeight="false" outlineLevel="0" collapsed="false">
      <c r="A3907" s="28" t="n">
        <v>2024</v>
      </c>
      <c r="B3907" s="28" t="s">
        <v>102</v>
      </c>
      <c r="C3907" s="28" t="s">
        <v>53</v>
      </c>
      <c r="D3907" s="28" t="n">
        <v>7</v>
      </c>
      <c r="E3907" s="29" t="n">
        <v>5232000</v>
      </c>
      <c r="F3907" s="30" t="n">
        <v>71.29</v>
      </c>
      <c r="G3907" s="31" t="n">
        <f aca="false">IFERROR(F3907/D3907,0)</f>
        <v>10.1842857142857</v>
      </c>
    </row>
    <row r="3908" customFormat="false" ht="15" hidden="false" customHeight="false" outlineLevel="0" collapsed="false">
      <c r="A3908" s="28" t="n">
        <v>2024</v>
      </c>
      <c r="B3908" s="28" t="s">
        <v>102</v>
      </c>
      <c r="C3908" s="28" t="s">
        <v>43</v>
      </c>
      <c r="D3908" s="28" t="n">
        <v>65</v>
      </c>
      <c r="E3908" s="29" t="n">
        <v>22808500</v>
      </c>
      <c r="F3908" s="30" t="n">
        <v>668.13</v>
      </c>
      <c r="G3908" s="31" t="n">
        <f aca="false">IFERROR(F3908/D3908,0)</f>
        <v>10.2789230769231</v>
      </c>
    </row>
    <row r="3909" customFormat="false" ht="15" hidden="false" customHeight="false" outlineLevel="0" collapsed="false">
      <c r="A3909" s="28" t="n">
        <v>2024</v>
      </c>
      <c r="B3909" s="28" t="s">
        <v>102</v>
      </c>
      <c r="C3909" s="28" t="s">
        <v>52</v>
      </c>
      <c r="D3909" s="28" t="n">
        <v>26</v>
      </c>
      <c r="E3909" s="29" t="n">
        <v>9578600</v>
      </c>
      <c r="F3909" s="30" t="n">
        <v>270.41</v>
      </c>
      <c r="G3909" s="31" t="n">
        <f aca="false">IFERROR(F3909/D3909,0)</f>
        <v>10.4003846153846</v>
      </c>
    </row>
    <row r="3910" customFormat="false" ht="15" hidden="false" customHeight="false" outlineLevel="0" collapsed="false">
      <c r="A3910" s="28" t="n">
        <v>2024</v>
      </c>
      <c r="B3910" s="28" t="s">
        <v>102</v>
      </c>
      <c r="C3910" s="28" t="s">
        <v>49</v>
      </c>
      <c r="D3910" s="28" t="n">
        <v>13</v>
      </c>
      <c r="E3910" s="29" t="n">
        <v>5491700</v>
      </c>
      <c r="F3910" s="30" t="n">
        <v>133.37</v>
      </c>
      <c r="G3910" s="31" t="n">
        <f aca="false">IFERROR(F3910/D3910,0)</f>
        <v>10.2592307692308</v>
      </c>
    </row>
    <row r="3911" customFormat="false" ht="15" hidden="false" customHeight="false" outlineLevel="0" collapsed="false">
      <c r="A3911" s="28" t="n">
        <v>2024</v>
      </c>
      <c r="B3911" s="28" t="s">
        <v>104</v>
      </c>
      <c r="C3911" s="28" t="s">
        <v>42</v>
      </c>
      <c r="D3911" s="28" t="n">
        <v>75</v>
      </c>
      <c r="E3911" s="29" t="n">
        <v>46144100</v>
      </c>
      <c r="F3911" s="30" t="n">
        <v>819.49</v>
      </c>
      <c r="G3911" s="31" t="n">
        <f aca="false">IFERROR(F3911/D3911,0)</f>
        <v>10.9265333333333</v>
      </c>
    </row>
    <row r="3912" customFormat="false" ht="15" hidden="false" customHeight="false" outlineLevel="0" collapsed="false">
      <c r="A3912" s="28" t="n">
        <v>2024</v>
      </c>
      <c r="B3912" s="28" t="s">
        <v>104</v>
      </c>
      <c r="C3912" s="28" t="s">
        <v>50</v>
      </c>
      <c r="D3912" s="28" t="n">
        <v>26</v>
      </c>
      <c r="E3912" s="29" t="n">
        <v>19731300</v>
      </c>
      <c r="F3912" s="30" t="n">
        <v>301.9</v>
      </c>
      <c r="G3912" s="31" t="n">
        <f aca="false">IFERROR(F3912/D3912,0)</f>
        <v>11.6115384615385</v>
      </c>
    </row>
    <row r="3913" customFormat="false" ht="15" hidden="false" customHeight="false" outlineLevel="0" collapsed="false">
      <c r="A3913" s="28" t="n">
        <v>2024</v>
      </c>
      <c r="B3913" s="28" t="s">
        <v>104</v>
      </c>
      <c r="C3913" s="28" t="s">
        <v>55</v>
      </c>
      <c r="D3913" s="28" t="n">
        <v>7</v>
      </c>
      <c r="E3913" s="29" t="n">
        <v>25960000</v>
      </c>
      <c r="F3913" s="30" t="n">
        <v>59.75</v>
      </c>
      <c r="G3913" s="31" t="n">
        <f aca="false">IFERROR(F3913/D3913,0)</f>
        <v>8.53571428571429</v>
      </c>
    </row>
    <row r="3914" customFormat="false" ht="15" hidden="false" customHeight="false" outlineLevel="0" collapsed="false">
      <c r="A3914" s="28" t="n">
        <v>2024</v>
      </c>
      <c r="B3914" s="28" t="s">
        <v>104</v>
      </c>
      <c r="C3914" s="28" t="s">
        <v>51</v>
      </c>
      <c r="D3914" s="28" t="n">
        <v>20</v>
      </c>
      <c r="E3914" s="29" t="n">
        <v>13412400</v>
      </c>
      <c r="F3914" s="30" t="n">
        <v>219.24</v>
      </c>
      <c r="G3914" s="31" t="n">
        <f aca="false">IFERROR(F3914/D3914,0)</f>
        <v>10.962</v>
      </c>
    </row>
    <row r="3915" customFormat="false" ht="15" hidden="false" customHeight="false" outlineLevel="0" collapsed="false">
      <c r="A3915" s="28" t="n">
        <v>2024</v>
      </c>
      <c r="B3915" s="28" t="s">
        <v>104</v>
      </c>
      <c r="C3915" s="28" t="s">
        <v>45</v>
      </c>
      <c r="D3915" s="28" t="n">
        <v>84</v>
      </c>
      <c r="E3915" s="29" t="n">
        <v>29881800</v>
      </c>
      <c r="F3915" s="30" t="n">
        <v>974.892</v>
      </c>
      <c r="G3915" s="31" t="n">
        <f aca="false">IFERROR(F3915/D3915,0)</f>
        <v>11.6058571428571</v>
      </c>
    </row>
    <row r="3916" customFormat="false" ht="15" hidden="false" customHeight="false" outlineLevel="0" collapsed="false">
      <c r="A3916" s="28" t="n">
        <v>2024</v>
      </c>
      <c r="B3916" s="28" t="s">
        <v>104</v>
      </c>
      <c r="C3916" s="28" t="s">
        <v>56</v>
      </c>
      <c r="D3916" s="28" t="n">
        <v>6</v>
      </c>
      <c r="E3916" s="29" t="n">
        <v>1175700</v>
      </c>
      <c r="F3916" s="30" t="n">
        <v>64.64</v>
      </c>
      <c r="G3916" s="31" t="n">
        <f aca="false">IFERROR(F3916/D3916,0)</f>
        <v>10.7733333333333</v>
      </c>
    </row>
    <row r="3917" customFormat="false" ht="15" hidden="false" customHeight="false" outlineLevel="0" collapsed="false">
      <c r="A3917" s="28" t="n">
        <v>2024</v>
      </c>
      <c r="B3917" s="28" t="s">
        <v>104</v>
      </c>
      <c r="C3917" s="28" t="s">
        <v>54</v>
      </c>
      <c r="D3917" s="28" t="n">
        <v>10</v>
      </c>
      <c r="E3917" s="29" t="n">
        <v>7339300</v>
      </c>
      <c r="F3917" s="30" t="n">
        <v>119.69</v>
      </c>
      <c r="G3917" s="31" t="n">
        <f aca="false">IFERROR(F3917/D3917,0)</f>
        <v>11.969</v>
      </c>
    </row>
    <row r="3918" customFormat="false" ht="15" hidden="false" customHeight="false" outlineLevel="0" collapsed="false">
      <c r="A3918" s="28" t="n">
        <v>2024</v>
      </c>
      <c r="B3918" s="28" t="s">
        <v>104</v>
      </c>
      <c r="C3918" s="28" t="s">
        <v>44</v>
      </c>
      <c r="D3918" s="28" t="n">
        <v>59</v>
      </c>
      <c r="E3918" s="29" t="n">
        <v>32492200</v>
      </c>
      <c r="F3918" s="30" t="n">
        <v>647.125</v>
      </c>
      <c r="G3918" s="31" t="n">
        <f aca="false">IFERROR(F3918/D3918,0)</f>
        <v>10.9682203389831</v>
      </c>
    </row>
    <row r="3919" customFormat="false" ht="15" hidden="false" customHeight="false" outlineLevel="0" collapsed="false">
      <c r="A3919" s="28" t="n">
        <v>2024</v>
      </c>
      <c r="B3919" s="28" t="s">
        <v>104</v>
      </c>
      <c r="C3919" s="28" t="s">
        <v>57</v>
      </c>
      <c r="D3919" s="28" t="n">
        <v>8</v>
      </c>
      <c r="E3919" s="29" t="n">
        <v>2010000</v>
      </c>
      <c r="F3919" s="30" t="n">
        <v>102.6</v>
      </c>
      <c r="G3919" s="31" t="n">
        <f aca="false">IFERROR(F3919/D3919,0)</f>
        <v>12.825</v>
      </c>
    </row>
    <row r="3920" customFormat="false" ht="15" hidden="false" customHeight="false" outlineLevel="0" collapsed="false">
      <c r="A3920" s="28" t="n">
        <v>2024</v>
      </c>
      <c r="B3920" s="28" t="s">
        <v>104</v>
      </c>
      <c r="C3920" s="28" t="s">
        <v>47</v>
      </c>
      <c r="D3920" s="28" t="n">
        <v>20</v>
      </c>
      <c r="E3920" s="29" t="n">
        <v>19847600</v>
      </c>
      <c r="F3920" s="30" t="n">
        <v>212.29</v>
      </c>
      <c r="G3920" s="31" t="n">
        <f aca="false">IFERROR(F3920/D3920,0)</f>
        <v>10.6145</v>
      </c>
    </row>
    <row r="3921" customFormat="false" ht="15" hidden="false" customHeight="false" outlineLevel="0" collapsed="false">
      <c r="A3921" s="28" t="n">
        <v>2024</v>
      </c>
      <c r="B3921" s="28" t="s">
        <v>104</v>
      </c>
      <c r="C3921" s="28" t="s">
        <v>58</v>
      </c>
      <c r="D3921" s="28" t="n">
        <v>5</v>
      </c>
      <c r="E3921" s="29" t="n">
        <v>7930000</v>
      </c>
      <c r="F3921" s="30" t="n">
        <v>57.25</v>
      </c>
      <c r="G3921" s="31" t="n">
        <f aca="false">IFERROR(F3921/D3921,0)</f>
        <v>11.45</v>
      </c>
    </row>
    <row r="3922" customFormat="false" ht="15" hidden="false" customHeight="false" outlineLevel="0" collapsed="false">
      <c r="A3922" s="28" t="n">
        <v>2024</v>
      </c>
      <c r="B3922" s="28" t="s">
        <v>104</v>
      </c>
      <c r="C3922" s="28" t="s">
        <v>46</v>
      </c>
      <c r="D3922" s="28" t="n">
        <v>38</v>
      </c>
      <c r="E3922" s="29" t="n">
        <v>18372300</v>
      </c>
      <c r="F3922" s="30" t="n">
        <v>442.44</v>
      </c>
      <c r="G3922" s="31" t="n">
        <f aca="false">IFERROR(F3922/D3922,0)</f>
        <v>11.6431578947368</v>
      </c>
    </row>
    <row r="3923" customFormat="false" ht="15" hidden="false" customHeight="false" outlineLevel="0" collapsed="false">
      <c r="A3923" s="28" t="n">
        <v>2024</v>
      </c>
      <c r="B3923" s="28" t="s">
        <v>104</v>
      </c>
      <c r="C3923" s="28" t="s">
        <v>48</v>
      </c>
      <c r="D3923" s="28" t="n">
        <v>37</v>
      </c>
      <c r="E3923" s="29" t="n">
        <v>13162000</v>
      </c>
      <c r="F3923" s="30" t="n">
        <v>446.08</v>
      </c>
      <c r="G3923" s="31" t="n">
        <f aca="false">IFERROR(F3923/D3923,0)</f>
        <v>12.0562162162162</v>
      </c>
    </row>
    <row r="3924" customFormat="false" ht="15" hidden="false" customHeight="false" outlineLevel="0" collapsed="false">
      <c r="A3924" s="28" t="n">
        <v>2024</v>
      </c>
      <c r="B3924" s="28" t="s">
        <v>104</v>
      </c>
      <c r="C3924" s="28" t="s">
        <v>61</v>
      </c>
      <c r="D3924" s="28" t="n">
        <v>1</v>
      </c>
      <c r="E3924" s="29" t="n">
        <v>20000</v>
      </c>
      <c r="F3924" s="30" t="n">
        <v>15</v>
      </c>
      <c r="G3924" s="31" t="n">
        <f aca="false">IFERROR(F3924/D3924,0)</f>
        <v>15</v>
      </c>
    </row>
    <row r="3925" customFormat="false" ht="15" hidden="false" customHeight="false" outlineLevel="0" collapsed="false">
      <c r="A3925" s="28" t="n">
        <v>2024</v>
      </c>
      <c r="B3925" s="28" t="s">
        <v>104</v>
      </c>
      <c r="C3925" s="28" t="s">
        <v>53</v>
      </c>
      <c r="D3925" s="28" t="n">
        <v>9</v>
      </c>
      <c r="E3925" s="29" t="n">
        <v>9976900</v>
      </c>
      <c r="F3925" s="30" t="n">
        <v>110</v>
      </c>
      <c r="G3925" s="31" t="n">
        <f aca="false">IFERROR(F3925/D3925,0)</f>
        <v>12.2222222222222</v>
      </c>
    </row>
    <row r="3926" customFormat="false" ht="15" hidden="false" customHeight="false" outlineLevel="0" collapsed="false">
      <c r="A3926" s="28" t="n">
        <v>2024</v>
      </c>
      <c r="B3926" s="28" t="s">
        <v>104</v>
      </c>
      <c r="C3926" s="28" t="s">
        <v>43</v>
      </c>
      <c r="D3926" s="28" t="n">
        <v>60</v>
      </c>
      <c r="E3926" s="29" t="n">
        <v>34102800</v>
      </c>
      <c r="F3926" s="30" t="n">
        <v>669.63</v>
      </c>
      <c r="G3926" s="31" t="n">
        <f aca="false">IFERROR(F3926/D3926,0)</f>
        <v>11.1605</v>
      </c>
    </row>
    <row r="3927" customFormat="false" ht="15" hidden="false" customHeight="false" outlineLevel="0" collapsed="false">
      <c r="A3927" s="28" t="n">
        <v>2024</v>
      </c>
      <c r="B3927" s="28" t="s">
        <v>104</v>
      </c>
      <c r="C3927" s="28" t="s">
        <v>52</v>
      </c>
      <c r="D3927" s="28" t="n">
        <v>26</v>
      </c>
      <c r="E3927" s="29" t="n">
        <v>7800100</v>
      </c>
      <c r="F3927" s="30" t="n">
        <v>302.8</v>
      </c>
      <c r="G3927" s="31" t="n">
        <f aca="false">IFERROR(F3927/D3927,0)</f>
        <v>11.6461538461538</v>
      </c>
    </row>
    <row r="3928" customFormat="false" ht="15" hidden="false" customHeight="false" outlineLevel="0" collapsed="false">
      <c r="A3928" s="28" t="n">
        <v>2024</v>
      </c>
      <c r="B3928" s="28" t="s">
        <v>104</v>
      </c>
      <c r="C3928" s="28" t="s">
        <v>60</v>
      </c>
      <c r="D3928" s="28" t="n">
        <v>1</v>
      </c>
      <c r="E3928" s="29" t="n">
        <v>27000</v>
      </c>
      <c r="F3928" s="30" t="n">
        <v>11.25</v>
      </c>
      <c r="G3928" s="31" t="n">
        <f aca="false">IFERROR(F3928/D3928,0)</f>
        <v>11.25</v>
      </c>
    </row>
    <row r="3929" customFormat="false" ht="15" hidden="false" customHeight="false" outlineLevel="0" collapsed="false">
      <c r="A3929" s="28" t="n">
        <v>2024</v>
      </c>
      <c r="B3929" s="28" t="s">
        <v>104</v>
      </c>
      <c r="C3929" s="28" t="s">
        <v>49</v>
      </c>
      <c r="D3929" s="28" t="n">
        <v>19</v>
      </c>
      <c r="E3929" s="29" t="n">
        <v>4762700</v>
      </c>
      <c r="F3929" s="30" t="n">
        <v>230.1</v>
      </c>
      <c r="G3929" s="31" t="n">
        <f aca="false">IFERROR(F3929/D3929,0)</f>
        <v>12.1105263157895</v>
      </c>
    </row>
    <row r="3930" customFormat="false" ht="15" hidden="false" customHeight="false" outlineLevel="0" collapsed="false">
      <c r="A3930" s="28" t="n">
        <v>2024</v>
      </c>
      <c r="B3930" s="28" t="s">
        <v>106</v>
      </c>
      <c r="C3930" s="28" t="s">
        <v>42</v>
      </c>
      <c r="D3930" s="28" t="n">
        <v>183</v>
      </c>
      <c r="E3930" s="29" t="n">
        <v>51514300</v>
      </c>
      <c r="F3930" s="30" t="n">
        <v>1883.4</v>
      </c>
      <c r="G3930" s="31" t="n">
        <f aca="false">IFERROR(F3930/D3930,0)</f>
        <v>10.2918032786885</v>
      </c>
    </row>
    <row r="3931" customFormat="false" ht="15" hidden="false" customHeight="false" outlineLevel="0" collapsed="false">
      <c r="A3931" s="28" t="n">
        <v>2024</v>
      </c>
      <c r="B3931" s="28" t="s">
        <v>106</v>
      </c>
      <c r="C3931" s="28" t="s">
        <v>50</v>
      </c>
      <c r="D3931" s="28" t="n">
        <v>133</v>
      </c>
      <c r="E3931" s="29" t="n">
        <v>28093500</v>
      </c>
      <c r="F3931" s="30" t="n">
        <v>1428.38</v>
      </c>
      <c r="G3931" s="31" t="n">
        <f aca="false">IFERROR(F3931/D3931,0)</f>
        <v>10.7396992481203</v>
      </c>
    </row>
    <row r="3932" customFormat="false" ht="15" hidden="false" customHeight="false" outlineLevel="0" collapsed="false">
      <c r="A3932" s="28" t="n">
        <v>2024</v>
      </c>
      <c r="B3932" s="28" t="s">
        <v>106</v>
      </c>
      <c r="C3932" s="28" t="s">
        <v>55</v>
      </c>
      <c r="D3932" s="28" t="n">
        <v>7</v>
      </c>
      <c r="E3932" s="29" t="n">
        <v>1981300</v>
      </c>
      <c r="F3932" s="30" t="n">
        <v>72</v>
      </c>
      <c r="G3932" s="31" t="n">
        <f aca="false">IFERROR(F3932/D3932,0)</f>
        <v>10.2857142857143</v>
      </c>
    </row>
    <row r="3933" customFormat="false" ht="15" hidden="false" customHeight="false" outlineLevel="0" collapsed="false">
      <c r="A3933" s="28" t="n">
        <v>2024</v>
      </c>
      <c r="B3933" s="28" t="s">
        <v>106</v>
      </c>
      <c r="C3933" s="28" t="s">
        <v>51</v>
      </c>
      <c r="D3933" s="28" t="n">
        <v>60</v>
      </c>
      <c r="E3933" s="29" t="n">
        <v>29852600</v>
      </c>
      <c r="F3933" s="30" t="n">
        <v>614.39</v>
      </c>
      <c r="G3933" s="31" t="n">
        <f aca="false">IFERROR(F3933/D3933,0)</f>
        <v>10.2398333333333</v>
      </c>
    </row>
    <row r="3934" customFormat="false" ht="15" hidden="false" customHeight="false" outlineLevel="0" collapsed="false">
      <c r="A3934" s="28" t="n">
        <v>2024</v>
      </c>
      <c r="B3934" s="28" t="s">
        <v>106</v>
      </c>
      <c r="C3934" s="28" t="s">
        <v>45</v>
      </c>
      <c r="D3934" s="28" t="n">
        <v>315</v>
      </c>
      <c r="E3934" s="29" t="n">
        <v>51886000</v>
      </c>
      <c r="F3934" s="30" t="n">
        <v>3481.865</v>
      </c>
      <c r="G3934" s="31" t="n">
        <f aca="false">IFERROR(F3934/D3934,0)</f>
        <v>11.0535396825397</v>
      </c>
    </row>
    <row r="3935" customFormat="false" ht="15" hidden="false" customHeight="false" outlineLevel="0" collapsed="false">
      <c r="A3935" s="28" t="n">
        <v>2024</v>
      </c>
      <c r="B3935" s="28" t="s">
        <v>106</v>
      </c>
      <c r="C3935" s="28" t="s">
        <v>56</v>
      </c>
      <c r="D3935" s="28" t="n">
        <v>26</v>
      </c>
      <c r="E3935" s="29" t="n">
        <v>6538300</v>
      </c>
      <c r="F3935" s="30" t="n">
        <v>286.82</v>
      </c>
      <c r="G3935" s="31" t="n">
        <f aca="false">IFERROR(F3935/D3935,0)</f>
        <v>11.0315384615385</v>
      </c>
    </row>
    <row r="3936" customFormat="false" ht="15" hidden="false" customHeight="false" outlineLevel="0" collapsed="false">
      <c r="A3936" s="28" t="n">
        <v>2024</v>
      </c>
      <c r="B3936" s="28" t="s">
        <v>106</v>
      </c>
      <c r="C3936" s="28" t="s">
        <v>54</v>
      </c>
      <c r="D3936" s="28" t="n">
        <v>18</v>
      </c>
      <c r="E3936" s="29" t="n">
        <v>2774400</v>
      </c>
      <c r="F3936" s="30" t="n">
        <v>187.49</v>
      </c>
      <c r="G3936" s="31" t="n">
        <f aca="false">IFERROR(F3936/D3936,0)</f>
        <v>10.4161111111111</v>
      </c>
    </row>
    <row r="3937" customFormat="false" ht="15" hidden="false" customHeight="false" outlineLevel="0" collapsed="false">
      <c r="A3937" s="28" t="n">
        <v>2024</v>
      </c>
      <c r="B3937" s="28" t="s">
        <v>106</v>
      </c>
      <c r="C3937" s="28" t="s">
        <v>44</v>
      </c>
      <c r="D3937" s="28" t="n">
        <v>137</v>
      </c>
      <c r="E3937" s="29" t="n">
        <v>53814200</v>
      </c>
      <c r="F3937" s="30" t="n">
        <v>1457.04</v>
      </c>
      <c r="G3937" s="31" t="n">
        <f aca="false">IFERROR(F3937/D3937,0)</f>
        <v>10.6353284671533</v>
      </c>
    </row>
    <row r="3938" customFormat="false" ht="15" hidden="false" customHeight="false" outlineLevel="0" collapsed="false">
      <c r="A3938" s="28" t="n">
        <v>2024</v>
      </c>
      <c r="B3938" s="28" t="s">
        <v>106</v>
      </c>
      <c r="C3938" s="28" t="s">
        <v>57</v>
      </c>
      <c r="D3938" s="28" t="n">
        <v>12</v>
      </c>
      <c r="E3938" s="29" t="n">
        <v>2999000</v>
      </c>
      <c r="F3938" s="30" t="n">
        <v>133.9</v>
      </c>
      <c r="G3938" s="31" t="n">
        <f aca="false">IFERROR(F3938/D3938,0)</f>
        <v>11.1583333333333</v>
      </c>
    </row>
    <row r="3939" customFormat="false" ht="15" hidden="false" customHeight="false" outlineLevel="0" collapsed="false">
      <c r="A3939" s="28" t="n">
        <v>2024</v>
      </c>
      <c r="B3939" s="28" t="s">
        <v>106</v>
      </c>
      <c r="C3939" s="28" t="s">
        <v>47</v>
      </c>
      <c r="D3939" s="28" t="n">
        <v>103</v>
      </c>
      <c r="E3939" s="29" t="n">
        <v>46296100</v>
      </c>
      <c r="F3939" s="30" t="n">
        <v>1030.23</v>
      </c>
      <c r="G3939" s="31" t="n">
        <f aca="false">IFERROR(F3939/D3939,0)</f>
        <v>10.0022330097087</v>
      </c>
    </row>
    <row r="3940" customFormat="false" ht="15" hidden="false" customHeight="false" outlineLevel="0" collapsed="false">
      <c r="A3940" s="28" t="n">
        <v>2024</v>
      </c>
      <c r="B3940" s="28" t="s">
        <v>106</v>
      </c>
      <c r="C3940" s="28" t="s">
        <v>46</v>
      </c>
      <c r="D3940" s="28" t="n">
        <v>184</v>
      </c>
      <c r="E3940" s="29" t="n">
        <v>43194900</v>
      </c>
      <c r="F3940" s="30" t="n">
        <v>1974.88</v>
      </c>
      <c r="G3940" s="31" t="n">
        <f aca="false">IFERROR(F3940/D3940,0)</f>
        <v>10.7330434782609</v>
      </c>
    </row>
    <row r="3941" customFormat="false" ht="15" hidden="false" customHeight="false" outlineLevel="0" collapsed="false">
      <c r="A3941" s="28" t="n">
        <v>2024</v>
      </c>
      <c r="B3941" s="28" t="s">
        <v>106</v>
      </c>
      <c r="C3941" s="28" t="s">
        <v>48</v>
      </c>
      <c r="D3941" s="28" t="n">
        <v>190</v>
      </c>
      <c r="E3941" s="29" t="n">
        <v>43263300</v>
      </c>
      <c r="F3941" s="30" t="n">
        <v>2082.42</v>
      </c>
      <c r="G3941" s="31" t="n">
        <f aca="false">IFERROR(F3941/D3941,0)</f>
        <v>10.9601052631579</v>
      </c>
    </row>
    <row r="3942" customFormat="false" ht="15" hidden="false" customHeight="false" outlineLevel="0" collapsed="false">
      <c r="A3942" s="28" t="n">
        <v>2024</v>
      </c>
      <c r="B3942" s="28" t="s">
        <v>106</v>
      </c>
      <c r="C3942" s="28" t="s">
        <v>53</v>
      </c>
      <c r="D3942" s="28" t="n">
        <v>34</v>
      </c>
      <c r="E3942" s="29" t="n">
        <v>13367700</v>
      </c>
      <c r="F3942" s="30" t="n">
        <v>361.53</v>
      </c>
      <c r="G3942" s="31" t="n">
        <f aca="false">IFERROR(F3942/D3942,0)</f>
        <v>10.6332352941176</v>
      </c>
    </row>
    <row r="3943" customFormat="false" ht="15" hidden="false" customHeight="false" outlineLevel="0" collapsed="false">
      <c r="A3943" s="28" t="n">
        <v>2024</v>
      </c>
      <c r="B3943" s="28" t="s">
        <v>106</v>
      </c>
      <c r="C3943" s="28" t="s">
        <v>43</v>
      </c>
      <c r="D3943" s="28" t="n">
        <v>180</v>
      </c>
      <c r="E3943" s="29" t="n">
        <v>47406000</v>
      </c>
      <c r="F3943" s="30" t="n">
        <v>1908.96</v>
      </c>
      <c r="G3943" s="31" t="n">
        <f aca="false">IFERROR(F3943/D3943,0)</f>
        <v>10.6053333333333</v>
      </c>
    </row>
    <row r="3944" customFormat="false" ht="15" hidden="false" customHeight="false" outlineLevel="0" collapsed="false">
      <c r="A3944" s="28" t="n">
        <v>2024</v>
      </c>
      <c r="B3944" s="28" t="s">
        <v>106</v>
      </c>
      <c r="C3944" s="28" t="s">
        <v>52</v>
      </c>
      <c r="D3944" s="28" t="n">
        <v>81</v>
      </c>
      <c r="E3944" s="29" t="n">
        <v>12346600</v>
      </c>
      <c r="F3944" s="30" t="n">
        <v>845.23</v>
      </c>
      <c r="G3944" s="31" t="n">
        <f aca="false">IFERROR(F3944/D3944,0)</f>
        <v>10.4349382716049</v>
      </c>
    </row>
    <row r="3945" customFormat="false" ht="15" hidden="false" customHeight="false" outlineLevel="0" collapsed="false">
      <c r="A3945" s="28" t="n">
        <v>2024</v>
      </c>
      <c r="B3945" s="28" t="s">
        <v>106</v>
      </c>
      <c r="C3945" s="28" t="s">
        <v>60</v>
      </c>
      <c r="D3945" s="28" t="n">
        <v>3</v>
      </c>
      <c r="E3945" s="29" t="n">
        <v>775000</v>
      </c>
      <c r="F3945" s="30" t="n">
        <v>29.25</v>
      </c>
      <c r="G3945" s="31" t="n">
        <f aca="false">IFERROR(F3945/D3945,0)</f>
        <v>9.75</v>
      </c>
    </row>
    <row r="3946" customFormat="false" ht="15" hidden="false" customHeight="false" outlineLevel="0" collapsed="false">
      <c r="A3946" s="28" t="n">
        <v>2024</v>
      </c>
      <c r="B3946" s="28" t="s">
        <v>106</v>
      </c>
      <c r="C3946" s="28" t="s">
        <v>49</v>
      </c>
      <c r="D3946" s="28" t="n">
        <v>56</v>
      </c>
      <c r="E3946" s="29" t="n">
        <v>27818600</v>
      </c>
      <c r="F3946" s="30" t="n">
        <v>612.355</v>
      </c>
      <c r="G3946" s="31" t="n">
        <f aca="false">IFERROR(F3946/D3946,0)</f>
        <v>10.9349107142857</v>
      </c>
    </row>
    <row r="3947" customFormat="false" ht="15" hidden="false" customHeight="false" outlineLevel="0" collapsed="false">
      <c r="A3947" s="28" t="n">
        <v>2024</v>
      </c>
      <c r="B3947" s="28" t="s">
        <v>107</v>
      </c>
      <c r="C3947" s="28" t="s">
        <v>42</v>
      </c>
      <c r="D3947" s="28" t="n">
        <v>128</v>
      </c>
      <c r="E3947" s="29" t="n">
        <v>56736300</v>
      </c>
      <c r="F3947" s="30" t="n">
        <v>1470.32</v>
      </c>
      <c r="G3947" s="31" t="n">
        <f aca="false">IFERROR(F3947/D3947,0)</f>
        <v>11.486875</v>
      </c>
    </row>
    <row r="3948" customFormat="false" ht="15" hidden="false" customHeight="false" outlineLevel="0" collapsed="false">
      <c r="A3948" s="28" t="n">
        <v>2024</v>
      </c>
      <c r="B3948" s="28" t="s">
        <v>107</v>
      </c>
      <c r="C3948" s="28" t="s">
        <v>50</v>
      </c>
      <c r="D3948" s="28" t="n">
        <v>67</v>
      </c>
      <c r="E3948" s="29" t="n">
        <v>14479000</v>
      </c>
      <c r="F3948" s="30" t="n">
        <v>782.34</v>
      </c>
      <c r="G3948" s="31" t="n">
        <f aca="false">IFERROR(F3948/D3948,0)</f>
        <v>11.6767164179104</v>
      </c>
    </row>
    <row r="3949" customFormat="false" ht="15" hidden="false" customHeight="false" outlineLevel="0" collapsed="false">
      <c r="A3949" s="28" t="n">
        <v>2024</v>
      </c>
      <c r="B3949" s="28" t="s">
        <v>107</v>
      </c>
      <c r="C3949" s="28" t="s">
        <v>55</v>
      </c>
      <c r="D3949" s="28" t="n">
        <v>5</v>
      </c>
      <c r="E3949" s="29" t="n">
        <v>795000</v>
      </c>
      <c r="F3949" s="30" t="n">
        <v>56.74</v>
      </c>
      <c r="G3949" s="31" t="n">
        <f aca="false">IFERROR(F3949/D3949,0)</f>
        <v>11.348</v>
      </c>
    </row>
    <row r="3950" customFormat="false" ht="15" hidden="false" customHeight="false" outlineLevel="0" collapsed="false">
      <c r="A3950" s="28" t="n">
        <v>2024</v>
      </c>
      <c r="B3950" s="28" t="s">
        <v>107</v>
      </c>
      <c r="C3950" s="28" t="s">
        <v>51</v>
      </c>
      <c r="D3950" s="28" t="n">
        <v>36</v>
      </c>
      <c r="E3950" s="29" t="n">
        <v>16763700</v>
      </c>
      <c r="F3950" s="30" t="n">
        <v>413.49</v>
      </c>
      <c r="G3950" s="31" t="n">
        <f aca="false">IFERROR(F3950/D3950,0)</f>
        <v>11.4858333333333</v>
      </c>
    </row>
    <row r="3951" customFormat="false" ht="15" hidden="false" customHeight="false" outlineLevel="0" collapsed="false">
      <c r="A3951" s="28" t="n">
        <v>2024</v>
      </c>
      <c r="B3951" s="28" t="s">
        <v>107</v>
      </c>
      <c r="C3951" s="28" t="s">
        <v>45</v>
      </c>
      <c r="D3951" s="28" t="n">
        <v>139</v>
      </c>
      <c r="E3951" s="29" t="n">
        <v>55628200</v>
      </c>
      <c r="F3951" s="30" t="n">
        <v>1654.41</v>
      </c>
      <c r="G3951" s="31" t="n">
        <f aca="false">IFERROR(F3951/D3951,0)</f>
        <v>11.9022302158273</v>
      </c>
    </row>
    <row r="3952" customFormat="false" ht="15" hidden="false" customHeight="false" outlineLevel="0" collapsed="false">
      <c r="A3952" s="28" t="n">
        <v>2024</v>
      </c>
      <c r="B3952" s="28" t="s">
        <v>107</v>
      </c>
      <c r="C3952" s="28" t="s">
        <v>56</v>
      </c>
      <c r="D3952" s="28" t="n">
        <v>34</v>
      </c>
      <c r="E3952" s="29" t="n">
        <v>10456800</v>
      </c>
      <c r="F3952" s="30" t="n">
        <v>423.74</v>
      </c>
      <c r="G3952" s="31" t="n">
        <f aca="false">IFERROR(F3952/D3952,0)</f>
        <v>12.4629411764706</v>
      </c>
    </row>
    <row r="3953" customFormat="false" ht="15" hidden="false" customHeight="false" outlineLevel="0" collapsed="false">
      <c r="A3953" s="28" t="n">
        <v>2024</v>
      </c>
      <c r="B3953" s="28" t="s">
        <v>107</v>
      </c>
      <c r="C3953" s="28" t="s">
        <v>54</v>
      </c>
      <c r="D3953" s="28" t="n">
        <v>11</v>
      </c>
      <c r="E3953" s="29" t="n">
        <v>3626800</v>
      </c>
      <c r="F3953" s="30" t="n">
        <v>124.61</v>
      </c>
      <c r="G3953" s="31" t="n">
        <f aca="false">IFERROR(F3953/D3953,0)</f>
        <v>11.3281818181818</v>
      </c>
    </row>
    <row r="3954" customFormat="false" ht="15" hidden="false" customHeight="false" outlineLevel="0" collapsed="false">
      <c r="A3954" s="28" t="n">
        <v>2024</v>
      </c>
      <c r="B3954" s="28" t="s">
        <v>107</v>
      </c>
      <c r="C3954" s="28" t="s">
        <v>44</v>
      </c>
      <c r="D3954" s="28" t="n">
        <v>128</v>
      </c>
      <c r="E3954" s="29" t="n">
        <v>35683300</v>
      </c>
      <c r="F3954" s="30" t="n">
        <v>1516.66</v>
      </c>
      <c r="G3954" s="31" t="n">
        <f aca="false">IFERROR(F3954/D3954,0)</f>
        <v>11.84890625</v>
      </c>
    </row>
    <row r="3955" customFormat="false" ht="15" hidden="false" customHeight="false" outlineLevel="0" collapsed="false">
      <c r="A3955" s="28" t="n">
        <v>2024</v>
      </c>
      <c r="B3955" s="28" t="s">
        <v>107</v>
      </c>
      <c r="C3955" s="28" t="s">
        <v>57</v>
      </c>
      <c r="D3955" s="28" t="n">
        <v>10</v>
      </c>
      <c r="E3955" s="29" t="n">
        <v>7368100</v>
      </c>
      <c r="F3955" s="30" t="n">
        <v>121.57</v>
      </c>
      <c r="G3955" s="31" t="n">
        <f aca="false">IFERROR(F3955/D3955,0)</f>
        <v>12.157</v>
      </c>
    </row>
    <row r="3956" customFormat="false" ht="15" hidden="false" customHeight="false" outlineLevel="0" collapsed="false">
      <c r="A3956" s="28" t="n">
        <v>2024</v>
      </c>
      <c r="B3956" s="28" t="s">
        <v>107</v>
      </c>
      <c r="C3956" s="28" t="s">
        <v>47</v>
      </c>
      <c r="D3956" s="28" t="n">
        <v>61</v>
      </c>
      <c r="E3956" s="29" t="n">
        <v>29838200</v>
      </c>
      <c r="F3956" s="30" t="n">
        <v>704.23</v>
      </c>
      <c r="G3956" s="31" t="n">
        <f aca="false">IFERROR(F3956/D3956,0)</f>
        <v>11.5447540983607</v>
      </c>
    </row>
    <row r="3957" customFormat="false" ht="15" hidden="false" customHeight="false" outlineLevel="0" collapsed="false">
      <c r="A3957" s="28" t="n">
        <v>2024</v>
      </c>
      <c r="B3957" s="28" t="s">
        <v>107</v>
      </c>
      <c r="C3957" s="28" t="s">
        <v>58</v>
      </c>
      <c r="D3957" s="28" t="n">
        <v>1</v>
      </c>
      <c r="E3957" s="29" t="n">
        <v>30000</v>
      </c>
      <c r="F3957" s="30" t="n">
        <v>11</v>
      </c>
      <c r="G3957" s="31" t="n">
        <f aca="false">IFERROR(F3957/D3957,0)</f>
        <v>11</v>
      </c>
    </row>
    <row r="3958" customFormat="false" ht="15" hidden="false" customHeight="false" outlineLevel="0" collapsed="false">
      <c r="A3958" s="28" t="n">
        <v>2024</v>
      </c>
      <c r="B3958" s="28" t="s">
        <v>107</v>
      </c>
      <c r="C3958" s="28" t="s">
        <v>46</v>
      </c>
      <c r="D3958" s="28" t="n">
        <v>116</v>
      </c>
      <c r="E3958" s="29" t="n">
        <v>34204700</v>
      </c>
      <c r="F3958" s="30" t="n">
        <v>1383.77</v>
      </c>
      <c r="G3958" s="31" t="n">
        <f aca="false">IFERROR(F3958/D3958,0)</f>
        <v>11.9290517241379</v>
      </c>
    </row>
    <row r="3959" customFormat="false" ht="15" hidden="false" customHeight="false" outlineLevel="0" collapsed="false">
      <c r="A3959" s="28" t="n">
        <v>2024</v>
      </c>
      <c r="B3959" s="28" t="s">
        <v>107</v>
      </c>
      <c r="C3959" s="28" t="s">
        <v>48</v>
      </c>
      <c r="D3959" s="28" t="n">
        <v>145</v>
      </c>
      <c r="E3959" s="29" t="n">
        <v>49549300</v>
      </c>
      <c r="F3959" s="30" t="n">
        <v>1744.29</v>
      </c>
      <c r="G3959" s="31" t="n">
        <f aca="false">IFERROR(F3959/D3959,0)</f>
        <v>12.0295862068966</v>
      </c>
    </row>
    <row r="3960" customFormat="false" ht="15" hidden="false" customHeight="false" outlineLevel="0" collapsed="false">
      <c r="A3960" s="28" t="n">
        <v>2024</v>
      </c>
      <c r="B3960" s="28" t="s">
        <v>107</v>
      </c>
      <c r="C3960" s="28" t="s">
        <v>53</v>
      </c>
      <c r="D3960" s="28" t="n">
        <v>13</v>
      </c>
      <c r="E3960" s="29" t="n">
        <v>10601000</v>
      </c>
      <c r="F3960" s="30" t="n">
        <v>150.29</v>
      </c>
      <c r="G3960" s="31" t="n">
        <f aca="false">IFERROR(F3960/D3960,0)</f>
        <v>11.5607692307692</v>
      </c>
    </row>
    <row r="3961" customFormat="false" ht="15" hidden="false" customHeight="false" outlineLevel="0" collapsed="false">
      <c r="A3961" s="28" t="n">
        <v>2024</v>
      </c>
      <c r="B3961" s="28" t="s">
        <v>107</v>
      </c>
      <c r="C3961" s="28" t="s">
        <v>43</v>
      </c>
      <c r="D3961" s="28" t="n">
        <v>105</v>
      </c>
      <c r="E3961" s="29" t="n">
        <v>39321200</v>
      </c>
      <c r="F3961" s="30" t="n">
        <v>1250.77</v>
      </c>
      <c r="G3961" s="31" t="n">
        <f aca="false">IFERROR(F3961/D3961,0)</f>
        <v>11.9120952380952</v>
      </c>
    </row>
    <row r="3962" customFormat="false" ht="15" hidden="false" customHeight="false" outlineLevel="0" collapsed="false">
      <c r="A3962" s="28" t="n">
        <v>2024</v>
      </c>
      <c r="B3962" s="28" t="s">
        <v>107</v>
      </c>
      <c r="C3962" s="28" t="s">
        <v>52</v>
      </c>
      <c r="D3962" s="28" t="n">
        <v>45</v>
      </c>
      <c r="E3962" s="29" t="n">
        <v>6641200</v>
      </c>
      <c r="F3962" s="30" t="n">
        <v>541.01</v>
      </c>
      <c r="G3962" s="31" t="n">
        <f aca="false">IFERROR(F3962/D3962,0)</f>
        <v>12.0224444444444</v>
      </c>
    </row>
    <row r="3963" customFormat="false" ht="15" hidden="false" customHeight="false" outlineLevel="0" collapsed="false">
      <c r="A3963" s="28" t="n">
        <v>2024</v>
      </c>
      <c r="B3963" s="28" t="s">
        <v>107</v>
      </c>
      <c r="C3963" s="28" t="s">
        <v>60</v>
      </c>
      <c r="D3963" s="28" t="n">
        <v>1</v>
      </c>
      <c r="E3963" s="29" t="n">
        <v>50000</v>
      </c>
      <c r="F3963" s="30" t="n">
        <v>15</v>
      </c>
      <c r="G3963" s="31" t="n">
        <f aca="false">IFERROR(F3963/D3963,0)</f>
        <v>15</v>
      </c>
    </row>
    <row r="3964" customFormat="false" ht="15" hidden="false" customHeight="false" outlineLevel="0" collapsed="false">
      <c r="A3964" s="28" t="n">
        <v>2024</v>
      </c>
      <c r="B3964" s="28" t="s">
        <v>107</v>
      </c>
      <c r="C3964" s="28" t="s">
        <v>49</v>
      </c>
      <c r="D3964" s="28" t="n">
        <v>32</v>
      </c>
      <c r="E3964" s="29" t="n">
        <v>11692700</v>
      </c>
      <c r="F3964" s="30" t="n">
        <v>390.5</v>
      </c>
      <c r="G3964" s="31" t="n">
        <f aca="false">IFERROR(F3964/D3964,0)</f>
        <v>12.203125</v>
      </c>
    </row>
    <row r="3965" customFormat="false" ht="15" hidden="false" customHeight="false" outlineLevel="0" collapsed="false">
      <c r="A3965" s="28" t="n">
        <v>2024</v>
      </c>
      <c r="B3965" s="28" t="s">
        <v>109</v>
      </c>
      <c r="C3965" s="28" t="s">
        <v>42</v>
      </c>
      <c r="D3965" s="28" t="n">
        <v>60</v>
      </c>
      <c r="E3965" s="29" t="n">
        <v>12405300</v>
      </c>
      <c r="F3965" s="30" t="n">
        <v>564.465</v>
      </c>
      <c r="G3965" s="31" t="n">
        <f aca="false">IFERROR(F3965/D3965,0)</f>
        <v>9.40775</v>
      </c>
    </row>
    <row r="3966" customFormat="false" ht="15" hidden="false" customHeight="false" outlineLevel="0" collapsed="false">
      <c r="A3966" s="28" t="n">
        <v>2024</v>
      </c>
      <c r="B3966" s="28" t="s">
        <v>109</v>
      </c>
      <c r="C3966" s="28" t="s">
        <v>50</v>
      </c>
      <c r="D3966" s="28" t="n">
        <v>28</v>
      </c>
      <c r="E3966" s="29" t="n">
        <v>4851300</v>
      </c>
      <c r="F3966" s="30" t="n">
        <v>292.32</v>
      </c>
      <c r="G3966" s="31" t="n">
        <f aca="false">IFERROR(F3966/D3966,0)</f>
        <v>10.44</v>
      </c>
    </row>
    <row r="3967" customFormat="false" ht="15" hidden="false" customHeight="false" outlineLevel="0" collapsed="false">
      <c r="A3967" s="28" t="n">
        <v>2024</v>
      </c>
      <c r="B3967" s="28" t="s">
        <v>109</v>
      </c>
      <c r="C3967" s="28" t="s">
        <v>55</v>
      </c>
      <c r="D3967" s="28" t="n">
        <v>15</v>
      </c>
      <c r="E3967" s="29" t="n">
        <v>3097800</v>
      </c>
      <c r="F3967" s="30" t="n">
        <v>139.37</v>
      </c>
      <c r="G3967" s="31" t="n">
        <f aca="false">IFERROR(F3967/D3967,0)</f>
        <v>9.29133333333333</v>
      </c>
    </row>
    <row r="3968" customFormat="false" ht="15" hidden="false" customHeight="false" outlineLevel="0" collapsed="false">
      <c r="A3968" s="28" t="n">
        <v>2024</v>
      </c>
      <c r="B3968" s="28" t="s">
        <v>109</v>
      </c>
      <c r="C3968" s="28" t="s">
        <v>51</v>
      </c>
      <c r="D3968" s="28" t="n">
        <v>17</v>
      </c>
      <c r="E3968" s="29" t="n">
        <v>3958300</v>
      </c>
      <c r="F3968" s="30" t="n">
        <v>156.43</v>
      </c>
      <c r="G3968" s="31" t="n">
        <f aca="false">IFERROR(F3968/D3968,0)</f>
        <v>9.20176470588235</v>
      </c>
    </row>
    <row r="3969" customFormat="false" ht="15" hidden="false" customHeight="false" outlineLevel="0" collapsed="false">
      <c r="A3969" s="28" t="n">
        <v>2024</v>
      </c>
      <c r="B3969" s="28" t="s">
        <v>109</v>
      </c>
      <c r="C3969" s="28" t="s">
        <v>45</v>
      </c>
      <c r="D3969" s="28" t="n">
        <v>49</v>
      </c>
      <c r="E3969" s="29" t="n">
        <v>8446700</v>
      </c>
      <c r="F3969" s="30" t="n">
        <v>535.855</v>
      </c>
      <c r="G3969" s="31" t="n">
        <f aca="false">IFERROR(F3969/D3969,0)</f>
        <v>10.9358163265306</v>
      </c>
    </row>
    <row r="3970" customFormat="false" ht="15" hidden="false" customHeight="false" outlineLevel="0" collapsed="false">
      <c r="A3970" s="28" t="n">
        <v>2024</v>
      </c>
      <c r="B3970" s="28" t="s">
        <v>109</v>
      </c>
      <c r="C3970" s="28" t="s">
        <v>56</v>
      </c>
      <c r="D3970" s="28" t="n">
        <v>4</v>
      </c>
      <c r="E3970" s="29" t="n">
        <v>700300</v>
      </c>
      <c r="F3970" s="30" t="n">
        <v>36.625</v>
      </c>
      <c r="G3970" s="31" t="n">
        <f aca="false">IFERROR(F3970/D3970,0)</f>
        <v>9.15625</v>
      </c>
    </row>
    <row r="3971" customFormat="false" ht="15" hidden="false" customHeight="false" outlineLevel="0" collapsed="false">
      <c r="A3971" s="28" t="n">
        <v>2024</v>
      </c>
      <c r="B3971" s="28" t="s">
        <v>109</v>
      </c>
      <c r="C3971" s="28" t="s">
        <v>54</v>
      </c>
      <c r="D3971" s="28" t="n">
        <v>4</v>
      </c>
      <c r="E3971" s="29" t="n">
        <v>184800</v>
      </c>
      <c r="F3971" s="30" t="n">
        <v>42.25</v>
      </c>
      <c r="G3971" s="31" t="n">
        <f aca="false">IFERROR(F3971/D3971,0)</f>
        <v>10.5625</v>
      </c>
    </row>
    <row r="3972" customFormat="false" ht="15" hidden="false" customHeight="false" outlineLevel="0" collapsed="false">
      <c r="A3972" s="28" t="n">
        <v>2024</v>
      </c>
      <c r="B3972" s="28" t="s">
        <v>109</v>
      </c>
      <c r="C3972" s="28" t="s">
        <v>44</v>
      </c>
      <c r="D3972" s="28" t="n">
        <v>17</v>
      </c>
      <c r="E3972" s="29" t="n">
        <v>4181600</v>
      </c>
      <c r="F3972" s="30" t="n">
        <v>168.72</v>
      </c>
      <c r="G3972" s="31" t="n">
        <f aca="false">IFERROR(F3972/D3972,0)</f>
        <v>9.92470588235294</v>
      </c>
    </row>
    <row r="3973" customFormat="false" ht="15" hidden="false" customHeight="false" outlineLevel="0" collapsed="false">
      <c r="A3973" s="28" t="n">
        <v>2024</v>
      </c>
      <c r="B3973" s="28" t="s">
        <v>109</v>
      </c>
      <c r="C3973" s="28" t="s">
        <v>57</v>
      </c>
      <c r="D3973" s="28" t="n">
        <v>4</v>
      </c>
      <c r="E3973" s="29" t="n">
        <v>1238500</v>
      </c>
      <c r="F3973" s="30" t="n">
        <v>38.5</v>
      </c>
      <c r="G3973" s="31" t="n">
        <f aca="false">IFERROR(F3973/D3973,0)</f>
        <v>9.625</v>
      </c>
    </row>
    <row r="3974" customFormat="false" ht="15" hidden="false" customHeight="false" outlineLevel="0" collapsed="false">
      <c r="A3974" s="28" t="n">
        <v>2024</v>
      </c>
      <c r="B3974" s="28" t="s">
        <v>109</v>
      </c>
      <c r="C3974" s="28" t="s">
        <v>47</v>
      </c>
      <c r="D3974" s="28" t="n">
        <v>34</v>
      </c>
      <c r="E3974" s="29" t="n">
        <v>11501700</v>
      </c>
      <c r="F3974" s="30" t="n">
        <v>341.3</v>
      </c>
      <c r="G3974" s="31" t="n">
        <f aca="false">IFERROR(F3974/D3974,0)</f>
        <v>10.0382352941176</v>
      </c>
    </row>
    <row r="3975" customFormat="false" ht="15" hidden="false" customHeight="false" outlineLevel="0" collapsed="false">
      <c r="A3975" s="28" t="n">
        <v>2024</v>
      </c>
      <c r="B3975" s="28" t="s">
        <v>109</v>
      </c>
      <c r="C3975" s="28" t="s">
        <v>46</v>
      </c>
      <c r="D3975" s="28" t="n">
        <v>26</v>
      </c>
      <c r="E3975" s="29" t="n">
        <v>5389300</v>
      </c>
      <c r="F3975" s="30" t="n">
        <v>263.335</v>
      </c>
      <c r="G3975" s="31" t="n">
        <f aca="false">IFERROR(F3975/D3975,0)</f>
        <v>10.1282692307692</v>
      </c>
    </row>
    <row r="3976" customFormat="false" ht="15" hidden="false" customHeight="false" outlineLevel="0" collapsed="false">
      <c r="A3976" s="28" t="n">
        <v>2024</v>
      </c>
      <c r="B3976" s="28" t="s">
        <v>109</v>
      </c>
      <c r="C3976" s="28" t="s">
        <v>48</v>
      </c>
      <c r="D3976" s="28" t="n">
        <v>19</v>
      </c>
      <c r="E3976" s="29" t="n">
        <v>2141900</v>
      </c>
      <c r="F3976" s="30" t="n">
        <v>192.865</v>
      </c>
      <c r="G3976" s="31" t="n">
        <f aca="false">IFERROR(F3976/D3976,0)</f>
        <v>10.1507894736842</v>
      </c>
    </row>
    <row r="3977" customFormat="false" ht="15" hidden="false" customHeight="false" outlineLevel="0" collapsed="false">
      <c r="A3977" s="28" t="n">
        <v>2024</v>
      </c>
      <c r="B3977" s="28" t="s">
        <v>109</v>
      </c>
      <c r="C3977" s="28" t="s">
        <v>53</v>
      </c>
      <c r="D3977" s="28" t="n">
        <v>7</v>
      </c>
      <c r="E3977" s="29" t="n">
        <v>1611100</v>
      </c>
      <c r="F3977" s="30" t="n">
        <v>69.82</v>
      </c>
      <c r="G3977" s="31" t="n">
        <f aca="false">IFERROR(F3977/D3977,0)</f>
        <v>9.97428571428571</v>
      </c>
    </row>
    <row r="3978" customFormat="false" ht="15" hidden="false" customHeight="false" outlineLevel="0" collapsed="false">
      <c r="A3978" s="28" t="n">
        <v>2024</v>
      </c>
      <c r="B3978" s="28" t="s">
        <v>109</v>
      </c>
      <c r="C3978" s="28" t="s">
        <v>43</v>
      </c>
      <c r="D3978" s="28" t="n">
        <v>33</v>
      </c>
      <c r="E3978" s="29" t="n">
        <v>18478900</v>
      </c>
      <c r="F3978" s="30" t="n">
        <v>325.115</v>
      </c>
      <c r="G3978" s="31" t="n">
        <f aca="false">IFERROR(F3978/D3978,0)</f>
        <v>9.8519696969697</v>
      </c>
    </row>
    <row r="3979" customFormat="false" ht="15" hidden="false" customHeight="false" outlineLevel="0" collapsed="false">
      <c r="A3979" s="28" t="n">
        <v>2024</v>
      </c>
      <c r="B3979" s="28" t="s">
        <v>109</v>
      </c>
      <c r="C3979" s="28" t="s">
        <v>52</v>
      </c>
      <c r="D3979" s="28" t="n">
        <v>14</v>
      </c>
      <c r="E3979" s="29" t="n">
        <v>2327600</v>
      </c>
      <c r="F3979" s="30" t="n">
        <v>136.125</v>
      </c>
      <c r="G3979" s="31" t="n">
        <f aca="false">IFERROR(F3979/D3979,0)</f>
        <v>9.72321428571429</v>
      </c>
    </row>
    <row r="3980" customFormat="false" ht="15" hidden="false" customHeight="false" outlineLevel="0" collapsed="false">
      <c r="A3980" s="28" t="n">
        <v>2024</v>
      </c>
      <c r="B3980" s="28" t="s">
        <v>109</v>
      </c>
      <c r="C3980" s="28" t="s">
        <v>49</v>
      </c>
      <c r="D3980" s="28" t="n">
        <v>2</v>
      </c>
      <c r="E3980" s="29" t="n">
        <v>425000</v>
      </c>
      <c r="F3980" s="30" t="n">
        <v>19</v>
      </c>
      <c r="G3980" s="31" t="n">
        <f aca="false">IFERROR(F3980/D3980,0)</f>
        <v>9.5</v>
      </c>
    </row>
    <row r="3981" customFormat="false" ht="15" hidden="false" customHeight="false" outlineLevel="0" collapsed="false">
      <c r="A3981" s="28" t="n">
        <v>2024</v>
      </c>
      <c r="B3981" s="28" t="s">
        <v>95</v>
      </c>
      <c r="C3981" s="28" t="s">
        <v>42</v>
      </c>
      <c r="D3981" s="28" t="n">
        <v>299</v>
      </c>
      <c r="E3981" s="29" t="n">
        <v>124206700</v>
      </c>
      <c r="F3981" s="30" t="n">
        <v>3150.905</v>
      </c>
      <c r="G3981" s="31" t="n">
        <f aca="false">IFERROR(F3981/D3981,0)</f>
        <v>10.538143812709</v>
      </c>
    </row>
    <row r="3982" customFormat="false" ht="15" hidden="false" customHeight="false" outlineLevel="0" collapsed="false">
      <c r="A3982" s="28" t="n">
        <v>2024</v>
      </c>
      <c r="B3982" s="28" t="s">
        <v>95</v>
      </c>
      <c r="C3982" s="28" t="s">
        <v>50</v>
      </c>
      <c r="D3982" s="28" t="n">
        <v>152</v>
      </c>
      <c r="E3982" s="29" t="n">
        <v>52388300</v>
      </c>
      <c r="F3982" s="30" t="n">
        <v>1626.95</v>
      </c>
      <c r="G3982" s="31" t="n">
        <f aca="false">IFERROR(F3982/D3982,0)</f>
        <v>10.7036184210526</v>
      </c>
    </row>
    <row r="3983" customFormat="false" ht="15" hidden="false" customHeight="false" outlineLevel="0" collapsed="false">
      <c r="A3983" s="28" t="n">
        <v>2024</v>
      </c>
      <c r="B3983" s="28" t="s">
        <v>95</v>
      </c>
      <c r="C3983" s="28" t="s">
        <v>55</v>
      </c>
      <c r="D3983" s="28" t="n">
        <v>25</v>
      </c>
      <c r="E3983" s="29" t="n">
        <v>2661100</v>
      </c>
      <c r="F3983" s="30" t="n">
        <v>267.39</v>
      </c>
      <c r="G3983" s="31" t="n">
        <f aca="false">IFERROR(F3983/D3983,0)</f>
        <v>10.6956</v>
      </c>
    </row>
    <row r="3984" customFormat="false" ht="15" hidden="false" customHeight="false" outlineLevel="0" collapsed="false">
      <c r="A3984" s="28" t="n">
        <v>2024</v>
      </c>
      <c r="B3984" s="28" t="s">
        <v>95</v>
      </c>
      <c r="C3984" s="28" t="s">
        <v>51</v>
      </c>
      <c r="D3984" s="28" t="n">
        <v>81</v>
      </c>
      <c r="E3984" s="29" t="n">
        <v>23867000</v>
      </c>
      <c r="F3984" s="30" t="n">
        <v>860.59</v>
      </c>
      <c r="G3984" s="31" t="n">
        <f aca="false">IFERROR(F3984/D3984,0)</f>
        <v>10.6245679012346</v>
      </c>
    </row>
    <row r="3985" customFormat="false" ht="15" hidden="false" customHeight="false" outlineLevel="0" collapsed="false">
      <c r="A3985" s="28" t="n">
        <v>2024</v>
      </c>
      <c r="B3985" s="28" t="s">
        <v>95</v>
      </c>
      <c r="C3985" s="28" t="s">
        <v>45</v>
      </c>
      <c r="D3985" s="28" t="n">
        <v>405</v>
      </c>
      <c r="E3985" s="29" t="n">
        <v>102138600</v>
      </c>
      <c r="F3985" s="30" t="n">
        <v>4340.965</v>
      </c>
      <c r="G3985" s="31" t="n">
        <f aca="false">IFERROR(F3985/D3985,0)</f>
        <v>10.7184320987654</v>
      </c>
    </row>
    <row r="3986" customFormat="false" ht="15" hidden="false" customHeight="false" outlineLevel="0" collapsed="false">
      <c r="A3986" s="28" t="n">
        <v>2024</v>
      </c>
      <c r="B3986" s="28" t="s">
        <v>95</v>
      </c>
      <c r="C3986" s="28" t="s">
        <v>56</v>
      </c>
      <c r="D3986" s="28" t="n">
        <v>33</v>
      </c>
      <c r="E3986" s="29" t="n">
        <v>16301700</v>
      </c>
      <c r="F3986" s="30" t="n">
        <v>354.58</v>
      </c>
      <c r="G3986" s="31" t="n">
        <f aca="false">IFERROR(F3986/D3986,0)</f>
        <v>10.7448484848485</v>
      </c>
    </row>
    <row r="3987" customFormat="false" ht="15" hidden="false" customHeight="false" outlineLevel="0" collapsed="false">
      <c r="A3987" s="28" t="n">
        <v>2024</v>
      </c>
      <c r="B3987" s="28" t="s">
        <v>95</v>
      </c>
      <c r="C3987" s="28" t="s">
        <v>54</v>
      </c>
      <c r="D3987" s="28" t="n">
        <v>47</v>
      </c>
      <c r="E3987" s="29" t="n">
        <v>16233200</v>
      </c>
      <c r="F3987" s="30" t="n">
        <v>496.24</v>
      </c>
      <c r="G3987" s="31" t="n">
        <f aca="false">IFERROR(F3987/D3987,0)</f>
        <v>10.5582978723404</v>
      </c>
    </row>
    <row r="3988" customFormat="false" ht="15" hidden="false" customHeight="false" outlineLevel="0" collapsed="false">
      <c r="A3988" s="28" t="n">
        <v>2024</v>
      </c>
      <c r="B3988" s="28" t="s">
        <v>95</v>
      </c>
      <c r="C3988" s="28" t="s">
        <v>44</v>
      </c>
      <c r="D3988" s="28" t="n">
        <v>202</v>
      </c>
      <c r="E3988" s="29" t="n">
        <v>96806800</v>
      </c>
      <c r="F3988" s="30" t="n">
        <v>2086.235</v>
      </c>
      <c r="G3988" s="31" t="n">
        <f aca="false">IFERROR(F3988/D3988,0)</f>
        <v>10.327896039604</v>
      </c>
    </row>
    <row r="3989" customFormat="false" ht="15" hidden="false" customHeight="false" outlineLevel="0" collapsed="false">
      <c r="A3989" s="28" t="n">
        <v>2024</v>
      </c>
      <c r="B3989" s="28" t="s">
        <v>95</v>
      </c>
      <c r="C3989" s="28" t="s">
        <v>57</v>
      </c>
      <c r="D3989" s="28" t="n">
        <v>21</v>
      </c>
      <c r="E3989" s="29" t="n">
        <v>5762800</v>
      </c>
      <c r="F3989" s="30" t="n">
        <v>230.9</v>
      </c>
      <c r="G3989" s="31" t="n">
        <f aca="false">IFERROR(F3989/D3989,0)</f>
        <v>10.9952380952381</v>
      </c>
    </row>
    <row r="3990" customFormat="false" ht="15" hidden="false" customHeight="false" outlineLevel="0" collapsed="false">
      <c r="A3990" s="28" t="n">
        <v>2024</v>
      </c>
      <c r="B3990" s="28" t="s">
        <v>95</v>
      </c>
      <c r="C3990" s="28" t="s">
        <v>59</v>
      </c>
      <c r="D3990" s="28" t="n">
        <v>1</v>
      </c>
      <c r="E3990" s="29" t="n">
        <v>100000</v>
      </c>
      <c r="F3990" s="30" t="n">
        <v>10.55</v>
      </c>
      <c r="G3990" s="31" t="n">
        <f aca="false">IFERROR(F3990/D3990,0)</f>
        <v>10.55</v>
      </c>
    </row>
    <row r="3991" customFormat="false" ht="15" hidden="false" customHeight="false" outlineLevel="0" collapsed="false">
      <c r="A3991" s="28" t="n">
        <v>2024</v>
      </c>
      <c r="B3991" s="28" t="s">
        <v>95</v>
      </c>
      <c r="C3991" s="28" t="s">
        <v>47</v>
      </c>
      <c r="D3991" s="28" t="n">
        <v>166</v>
      </c>
      <c r="E3991" s="29" t="n">
        <v>102577000</v>
      </c>
      <c r="F3991" s="30" t="n">
        <v>1738.395</v>
      </c>
      <c r="G3991" s="31" t="n">
        <f aca="false">IFERROR(F3991/D3991,0)</f>
        <v>10.4722590361446</v>
      </c>
    </row>
    <row r="3992" customFormat="false" ht="15" hidden="false" customHeight="false" outlineLevel="0" collapsed="false">
      <c r="A3992" s="28" t="n">
        <v>2024</v>
      </c>
      <c r="B3992" s="28" t="s">
        <v>95</v>
      </c>
      <c r="C3992" s="28" t="s">
        <v>46</v>
      </c>
      <c r="D3992" s="28" t="n">
        <v>229</v>
      </c>
      <c r="E3992" s="29" t="n">
        <v>64907700</v>
      </c>
      <c r="F3992" s="30" t="n">
        <v>2466.9</v>
      </c>
      <c r="G3992" s="31" t="n">
        <f aca="false">IFERROR(F3992/D3992,0)</f>
        <v>10.7724890829694</v>
      </c>
    </row>
    <row r="3993" customFormat="false" ht="15" hidden="false" customHeight="false" outlineLevel="0" collapsed="false">
      <c r="A3993" s="28" t="n">
        <v>2024</v>
      </c>
      <c r="B3993" s="28" t="s">
        <v>95</v>
      </c>
      <c r="C3993" s="28" t="s">
        <v>48</v>
      </c>
      <c r="D3993" s="28" t="n">
        <v>224</v>
      </c>
      <c r="E3993" s="29" t="n">
        <v>73586600</v>
      </c>
      <c r="F3993" s="30" t="n">
        <v>2479.87</v>
      </c>
      <c r="G3993" s="31" t="n">
        <f aca="false">IFERROR(F3993/D3993,0)</f>
        <v>11.0708482142857</v>
      </c>
    </row>
    <row r="3994" customFormat="false" ht="15" hidden="false" customHeight="false" outlineLevel="0" collapsed="false">
      <c r="A3994" s="28" t="n">
        <v>2024</v>
      </c>
      <c r="B3994" s="28" t="s">
        <v>95</v>
      </c>
      <c r="C3994" s="28" t="s">
        <v>53</v>
      </c>
      <c r="D3994" s="28" t="n">
        <v>33</v>
      </c>
      <c r="E3994" s="29" t="n">
        <v>13535800</v>
      </c>
      <c r="F3994" s="30" t="n">
        <v>339.685</v>
      </c>
      <c r="G3994" s="31" t="n">
        <f aca="false">IFERROR(F3994/D3994,0)</f>
        <v>10.2934848484848</v>
      </c>
    </row>
    <row r="3995" customFormat="false" ht="15" hidden="false" customHeight="false" outlineLevel="0" collapsed="false">
      <c r="A3995" s="28" t="n">
        <v>2024</v>
      </c>
      <c r="B3995" s="28" t="s">
        <v>95</v>
      </c>
      <c r="C3995" s="28" t="s">
        <v>43</v>
      </c>
      <c r="D3995" s="28" t="n">
        <v>295</v>
      </c>
      <c r="E3995" s="29" t="n">
        <v>123287200</v>
      </c>
      <c r="F3995" s="30" t="n">
        <v>3096.21</v>
      </c>
      <c r="G3995" s="31" t="n">
        <f aca="false">IFERROR(F3995/D3995,0)</f>
        <v>10.4956271186441</v>
      </c>
    </row>
    <row r="3996" customFormat="false" ht="15" hidden="false" customHeight="false" outlineLevel="0" collapsed="false">
      <c r="A3996" s="28" t="n">
        <v>2024</v>
      </c>
      <c r="B3996" s="28" t="s">
        <v>95</v>
      </c>
      <c r="C3996" s="28" t="s">
        <v>52</v>
      </c>
      <c r="D3996" s="28" t="n">
        <v>213</v>
      </c>
      <c r="E3996" s="29" t="n">
        <v>32985600</v>
      </c>
      <c r="F3996" s="30" t="n">
        <v>2269.06</v>
      </c>
      <c r="G3996" s="31" t="n">
        <f aca="false">IFERROR(F3996/D3996,0)</f>
        <v>10.6528638497653</v>
      </c>
    </row>
    <row r="3997" customFormat="false" ht="15" hidden="false" customHeight="false" outlineLevel="0" collapsed="false">
      <c r="A3997" s="28" t="n">
        <v>2024</v>
      </c>
      <c r="B3997" s="28" t="s">
        <v>95</v>
      </c>
      <c r="C3997" s="28" t="s">
        <v>60</v>
      </c>
      <c r="D3997" s="28" t="n">
        <v>1</v>
      </c>
      <c r="E3997" s="29" t="n">
        <v>350000</v>
      </c>
      <c r="F3997" s="30" t="n">
        <v>8</v>
      </c>
      <c r="G3997" s="31" t="n">
        <f aca="false">IFERROR(F3997/D3997,0)</f>
        <v>8</v>
      </c>
    </row>
    <row r="3998" customFormat="false" ht="15" hidden="false" customHeight="false" outlineLevel="0" collapsed="false">
      <c r="A3998" s="28" t="n">
        <v>2024</v>
      </c>
      <c r="B3998" s="28" t="s">
        <v>95</v>
      </c>
      <c r="C3998" s="28" t="s">
        <v>49</v>
      </c>
      <c r="D3998" s="28" t="n">
        <v>77</v>
      </c>
      <c r="E3998" s="29" t="n">
        <v>36924900</v>
      </c>
      <c r="F3998" s="30" t="n">
        <v>816.24</v>
      </c>
      <c r="G3998" s="31" t="n">
        <f aca="false">IFERROR(F3998/D3998,0)</f>
        <v>10.6005194805195</v>
      </c>
    </row>
    <row r="3999" customFormat="false" ht="15" hidden="false" customHeight="false" outlineLevel="0" collapsed="false">
      <c r="A3999" s="28" t="n">
        <v>2024</v>
      </c>
      <c r="B3999" s="28" t="s">
        <v>98</v>
      </c>
      <c r="C3999" s="28" t="s">
        <v>42</v>
      </c>
      <c r="D3999" s="28" t="n">
        <v>153</v>
      </c>
      <c r="E3999" s="29" t="n">
        <v>68058200</v>
      </c>
      <c r="F3999" s="30" t="n">
        <v>1536.58</v>
      </c>
      <c r="G3999" s="31" t="n">
        <f aca="false">IFERROR(F3999/D3999,0)</f>
        <v>10.0430065359477</v>
      </c>
    </row>
    <row r="4000" customFormat="false" ht="15" hidden="false" customHeight="false" outlineLevel="0" collapsed="false">
      <c r="A4000" s="28" t="n">
        <v>2024</v>
      </c>
      <c r="B4000" s="28" t="s">
        <v>98</v>
      </c>
      <c r="C4000" s="28" t="s">
        <v>50</v>
      </c>
      <c r="D4000" s="28" t="n">
        <v>93</v>
      </c>
      <c r="E4000" s="29" t="n">
        <v>34733800</v>
      </c>
      <c r="F4000" s="30" t="n">
        <v>965.13</v>
      </c>
      <c r="G4000" s="31" t="n">
        <f aca="false">IFERROR(F4000/D4000,0)</f>
        <v>10.3777419354839</v>
      </c>
    </row>
    <row r="4001" customFormat="false" ht="15" hidden="false" customHeight="false" outlineLevel="0" collapsed="false">
      <c r="A4001" s="28" t="n">
        <v>2024</v>
      </c>
      <c r="B4001" s="28" t="s">
        <v>98</v>
      </c>
      <c r="C4001" s="28" t="s">
        <v>55</v>
      </c>
      <c r="D4001" s="28" t="n">
        <v>15</v>
      </c>
      <c r="E4001" s="29" t="n">
        <v>7019400</v>
      </c>
      <c r="F4001" s="30" t="n">
        <v>150.9</v>
      </c>
      <c r="G4001" s="31" t="n">
        <f aca="false">IFERROR(F4001/D4001,0)</f>
        <v>10.06</v>
      </c>
    </row>
    <row r="4002" customFormat="false" ht="15" hidden="false" customHeight="false" outlineLevel="0" collapsed="false">
      <c r="A4002" s="28" t="n">
        <v>2024</v>
      </c>
      <c r="B4002" s="28" t="s">
        <v>98</v>
      </c>
      <c r="C4002" s="28" t="s">
        <v>51</v>
      </c>
      <c r="D4002" s="28" t="n">
        <v>56</v>
      </c>
      <c r="E4002" s="29" t="n">
        <v>35427000</v>
      </c>
      <c r="F4002" s="30" t="n">
        <v>566.01</v>
      </c>
      <c r="G4002" s="31" t="n">
        <f aca="false">IFERROR(F4002/D4002,0)</f>
        <v>10.1073214285714</v>
      </c>
    </row>
    <row r="4003" customFormat="false" ht="15" hidden="false" customHeight="false" outlineLevel="0" collapsed="false">
      <c r="A4003" s="28" t="n">
        <v>2024</v>
      </c>
      <c r="B4003" s="28" t="s">
        <v>98</v>
      </c>
      <c r="C4003" s="28" t="s">
        <v>45</v>
      </c>
      <c r="D4003" s="28" t="n">
        <v>214</v>
      </c>
      <c r="E4003" s="29" t="n">
        <v>85166100</v>
      </c>
      <c r="F4003" s="30" t="n">
        <v>2232.05</v>
      </c>
      <c r="G4003" s="31" t="n">
        <f aca="false">IFERROR(F4003/D4003,0)</f>
        <v>10.4301401869159</v>
      </c>
    </row>
    <row r="4004" customFormat="false" ht="15" hidden="false" customHeight="false" outlineLevel="0" collapsed="false">
      <c r="A4004" s="28" t="n">
        <v>2024</v>
      </c>
      <c r="B4004" s="28" t="s">
        <v>98</v>
      </c>
      <c r="C4004" s="28" t="s">
        <v>56</v>
      </c>
      <c r="D4004" s="28" t="n">
        <v>24</v>
      </c>
      <c r="E4004" s="29" t="n">
        <v>9617700</v>
      </c>
      <c r="F4004" s="30" t="n">
        <v>251.01</v>
      </c>
      <c r="G4004" s="31" t="n">
        <f aca="false">IFERROR(F4004/D4004,0)</f>
        <v>10.45875</v>
      </c>
    </row>
    <row r="4005" customFormat="false" ht="15" hidden="false" customHeight="false" outlineLevel="0" collapsed="false">
      <c r="A4005" s="28" t="n">
        <v>2024</v>
      </c>
      <c r="B4005" s="28" t="s">
        <v>98</v>
      </c>
      <c r="C4005" s="28" t="s">
        <v>54</v>
      </c>
      <c r="D4005" s="28" t="n">
        <v>21</v>
      </c>
      <c r="E4005" s="29" t="n">
        <v>6715100</v>
      </c>
      <c r="F4005" s="30" t="n">
        <v>213.54</v>
      </c>
      <c r="G4005" s="31" t="n">
        <f aca="false">IFERROR(F4005/D4005,0)</f>
        <v>10.1685714285714</v>
      </c>
    </row>
    <row r="4006" customFormat="false" ht="15" hidden="false" customHeight="false" outlineLevel="0" collapsed="false">
      <c r="A4006" s="28" t="n">
        <v>2024</v>
      </c>
      <c r="B4006" s="28" t="s">
        <v>98</v>
      </c>
      <c r="C4006" s="28" t="s">
        <v>44</v>
      </c>
      <c r="D4006" s="28" t="n">
        <v>148</v>
      </c>
      <c r="E4006" s="29" t="n">
        <v>48870900</v>
      </c>
      <c r="F4006" s="30" t="n">
        <v>1515.73</v>
      </c>
      <c r="G4006" s="31" t="n">
        <f aca="false">IFERROR(F4006/D4006,0)</f>
        <v>10.2414189189189</v>
      </c>
    </row>
    <row r="4007" customFormat="false" ht="15" hidden="false" customHeight="false" outlineLevel="0" collapsed="false">
      <c r="A4007" s="28" t="n">
        <v>2024</v>
      </c>
      <c r="B4007" s="28" t="s">
        <v>98</v>
      </c>
      <c r="C4007" s="28" t="s">
        <v>57</v>
      </c>
      <c r="D4007" s="28" t="n">
        <v>7</v>
      </c>
      <c r="E4007" s="29" t="n">
        <v>826000</v>
      </c>
      <c r="F4007" s="30" t="n">
        <v>74.09</v>
      </c>
      <c r="G4007" s="31" t="n">
        <f aca="false">IFERROR(F4007/D4007,0)</f>
        <v>10.5842857142857</v>
      </c>
    </row>
    <row r="4008" customFormat="false" ht="15" hidden="false" customHeight="false" outlineLevel="0" collapsed="false">
      <c r="A4008" s="28" t="n">
        <v>2024</v>
      </c>
      <c r="B4008" s="28" t="s">
        <v>98</v>
      </c>
      <c r="C4008" s="28" t="s">
        <v>47</v>
      </c>
      <c r="D4008" s="28" t="n">
        <v>151</v>
      </c>
      <c r="E4008" s="29" t="n">
        <v>95949500</v>
      </c>
      <c r="F4008" s="30" t="n">
        <v>1488.865</v>
      </c>
      <c r="G4008" s="31" t="n">
        <f aca="false">IFERROR(F4008/D4008,0)</f>
        <v>9.86003311258278</v>
      </c>
    </row>
    <row r="4009" customFormat="false" ht="15" hidden="false" customHeight="false" outlineLevel="0" collapsed="false">
      <c r="A4009" s="28" t="n">
        <v>2024</v>
      </c>
      <c r="B4009" s="28" t="s">
        <v>98</v>
      </c>
      <c r="C4009" s="28" t="s">
        <v>58</v>
      </c>
      <c r="D4009" s="28" t="n">
        <v>1</v>
      </c>
      <c r="E4009" s="29" t="n">
        <v>150000</v>
      </c>
      <c r="F4009" s="30" t="n">
        <v>9.5</v>
      </c>
      <c r="G4009" s="31" t="n">
        <f aca="false">IFERROR(F4009/D4009,0)</f>
        <v>9.5</v>
      </c>
    </row>
    <row r="4010" customFormat="false" ht="15" hidden="false" customHeight="false" outlineLevel="0" collapsed="false">
      <c r="A4010" s="28" t="n">
        <v>2024</v>
      </c>
      <c r="B4010" s="28" t="s">
        <v>98</v>
      </c>
      <c r="C4010" s="28" t="s">
        <v>46</v>
      </c>
      <c r="D4010" s="28" t="n">
        <v>135</v>
      </c>
      <c r="E4010" s="29" t="n">
        <v>39283600</v>
      </c>
      <c r="F4010" s="30" t="n">
        <v>1407.29</v>
      </c>
      <c r="G4010" s="31" t="n">
        <f aca="false">IFERROR(F4010/D4010,0)</f>
        <v>10.4243703703704</v>
      </c>
    </row>
    <row r="4011" customFormat="false" ht="15" hidden="false" customHeight="false" outlineLevel="0" collapsed="false">
      <c r="A4011" s="28" t="n">
        <v>2024</v>
      </c>
      <c r="B4011" s="28" t="s">
        <v>98</v>
      </c>
      <c r="C4011" s="28" t="s">
        <v>48</v>
      </c>
      <c r="D4011" s="28" t="n">
        <v>141</v>
      </c>
      <c r="E4011" s="29" t="n">
        <v>53261800</v>
      </c>
      <c r="F4011" s="30" t="n">
        <v>1499.76</v>
      </c>
      <c r="G4011" s="31" t="n">
        <f aca="false">IFERROR(F4011/D4011,0)</f>
        <v>10.6365957446809</v>
      </c>
    </row>
    <row r="4012" customFormat="false" ht="15" hidden="false" customHeight="false" outlineLevel="0" collapsed="false">
      <c r="A4012" s="28" t="n">
        <v>2024</v>
      </c>
      <c r="B4012" s="28" t="s">
        <v>98</v>
      </c>
      <c r="C4012" s="28" t="s">
        <v>53</v>
      </c>
      <c r="D4012" s="28" t="n">
        <v>23</v>
      </c>
      <c r="E4012" s="29" t="n">
        <v>10884900</v>
      </c>
      <c r="F4012" s="30" t="n">
        <v>230.81</v>
      </c>
      <c r="G4012" s="31" t="n">
        <f aca="false">IFERROR(F4012/D4012,0)</f>
        <v>10.0352173913043</v>
      </c>
    </row>
    <row r="4013" customFormat="false" ht="15" hidden="false" customHeight="false" outlineLevel="0" collapsed="false">
      <c r="A4013" s="28" t="n">
        <v>2024</v>
      </c>
      <c r="B4013" s="28" t="s">
        <v>98</v>
      </c>
      <c r="C4013" s="28" t="s">
        <v>43</v>
      </c>
      <c r="D4013" s="28" t="n">
        <v>171</v>
      </c>
      <c r="E4013" s="29" t="n">
        <v>72449200</v>
      </c>
      <c r="F4013" s="30" t="n">
        <v>1760.98</v>
      </c>
      <c r="G4013" s="31" t="n">
        <f aca="false">IFERROR(F4013/D4013,0)</f>
        <v>10.2981286549708</v>
      </c>
    </row>
    <row r="4014" customFormat="false" ht="15" hidden="false" customHeight="false" outlineLevel="0" collapsed="false">
      <c r="A4014" s="28" t="n">
        <v>2024</v>
      </c>
      <c r="B4014" s="28" t="s">
        <v>98</v>
      </c>
      <c r="C4014" s="28" t="s">
        <v>52</v>
      </c>
      <c r="D4014" s="28" t="n">
        <v>56</v>
      </c>
      <c r="E4014" s="29" t="n">
        <v>22398200</v>
      </c>
      <c r="F4014" s="30" t="n">
        <v>585.36</v>
      </c>
      <c r="G4014" s="31" t="n">
        <f aca="false">IFERROR(F4014/D4014,0)</f>
        <v>10.4528571428571</v>
      </c>
    </row>
    <row r="4015" customFormat="false" ht="15" hidden="false" customHeight="false" outlineLevel="0" collapsed="false">
      <c r="A4015" s="28" t="n">
        <v>2024</v>
      </c>
      <c r="B4015" s="28" t="s">
        <v>98</v>
      </c>
      <c r="C4015" s="28" t="s">
        <v>60</v>
      </c>
      <c r="D4015" s="28" t="n">
        <v>2</v>
      </c>
      <c r="E4015" s="29" t="n">
        <v>650000</v>
      </c>
      <c r="F4015" s="30" t="n">
        <v>21</v>
      </c>
      <c r="G4015" s="31" t="n">
        <f aca="false">IFERROR(F4015/D4015,0)</f>
        <v>10.5</v>
      </c>
    </row>
    <row r="4016" customFormat="false" ht="15" hidden="false" customHeight="false" outlineLevel="0" collapsed="false">
      <c r="A4016" s="28" t="n">
        <v>2024</v>
      </c>
      <c r="B4016" s="28" t="s">
        <v>98</v>
      </c>
      <c r="C4016" s="28" t="s">
        <v>49</v>
      </c>
      <c r="D4016" s="28" t="n">
        <v>66</v>
      </c>
      <c r="E4016" s="29" t="n">
        <v>36242600</v>
      </c>
      <c r="F4016" s="30" t="n">
        <v>675.75</v>
      </c>
      <c r="G4016" s="31" t="n">
        <f aca="false">IFERROR(F4016/D4016,0)</f>
        <v>10.2386363636364</v>
      </c>
    </row>
    <row r="4017" customFormat="false" ht="15" hidden="false" customHeight="false" outlineLevel="0" collapsed="false">
      <c r="A4017" s="28" t="n">
        <v>2024</v>
      </c>
      <c r="B4017" s="28" t="s">
        <v>103</v>
      </c>
      <c r="C4017" s="28" t="s">
        <v>42</v>
      </c>
      <c r="D4017" s="28" t="n">
        <v>105</v>
      </c>
      <c r="E4017" s="29" t="n">
        <v>55334700</v>
      </c>
      <c r="F4017" s="30" t="n">
        <v>1066.12</v>
      </c>
      <c r="G4017" s="31" t="n">
        <f aca="false">IFERROR(F4017/D4017,0)</f>
        <v>10.1535238095238</v>
      </c>
    </row>
    <row r="4018" customFormat="false" ht="15" hidden="false" customHeight="false" outlineLevel="0" collapsed="false">
      <c r="A4018" s="28" t="n">
        <v>2024</v>
      </c>
      <c r="B4018" s="28" t="s">
        <v>103</v>
      </c>
      <c r="C4018" s="28" t="s">
        <v>50</v>
      </c>
      <c r="D4018" s="28" t="n">
        <v>53</v>
      </c>
      <c r="E4018" s="29" t="n">
        <v>14164300</v>
      </c>
      <c r="F4018" s="30" t="n">
        <v>557.27</v>
      </c>
      <c r="G4018" s="31" t="n">
        <f aca="false">IFERROR(F4018/D4018,0)</f>
        <v>10.5145283018868</v>
      </c>
    </row>
    <row r="4019" customFormat="false" ht="15" hidden="false" customHeight="false" outlineLevel="0" collapsed="false">
      <c r="A4019" s="28" t="n">
        <v>2024</v>
      </c>
      <c r="B4019" s="28" t="s">
        <v>103</v>
      </c>
      <c r="C4019" s="28" t="s">
        <v>55</v>
      </c>
      <c r="D4019" s="28" t="n">
        <v>13</v>
      </c>
      <c r="E4019" s="29" t="n">
        <v>13735500</v>
      </c>
      <c r="F4019" s="30" t="n">
        <v>123.75</v>
      </c>
      <c r="G4019" s="31" t="n">
        <f aca="false">IFERROR(F4019/D4019,0)</f>
        <v>9.51923076923077</v>
      </c>
    </row>
    <row r="4020" customFormat="false" ht="15" hidden="false" customHeight="false" outlineLevel="0" collapsed="false">
      <c r="A4020" s="28" t="n">
        <v>2024</v>
      </c>
      <c r="B4020" s="28" t="s">
        <v>103</v>
      </c>
      <c r="C4020" s="28" t="s">
        <v>51</v>
      </c>
      <c r="D4020" s="28" t="n">
        <v>56</v>
      </c>
      <c r="E4020" s="29" t="n">
        <v>18483300</v>
      </c>
      <c r="F4020" s="30" t="n">
        <v>598.307</v>
      </c>
      <c r="G4020" s="31" t="n">
        <f aca="false">IFERROR(F4020/D4020,0)</f>
        <v>10.6840535714286</v>
      </c>
    </row>
    <row r="4021" customFormat="false" ht="15" hidden="false" customHeight="false" outlineLevel="0" collapsed="false">
      <c r="A4021" s="28" t="n">
        <v>2024</v>
      </c>
      <c r="B4021" s="28" t="s">
        <v>103</v>
      </c>
      <c r="C4021" s="28" t="s">
        <v>45</v>
      </c>
      <c r="D4021" s="28" t="n">
        <v>131</v>
      </c>
      <c r="E4021" s="29" t="n">
        <v>43264200</v>
      </c>
      <c r="F4021" s="30" t="n">
        <v>1402.782</v>
      </c>
      <c r="G4021" s="31" t="n">
        <f aca="false">IFERROR(F4021/D4021,0)</f>
        <v>10.7082595419847</v>
      </c>
    </row>
    <row r="4022" customFormat="false" ht="15" hidden="false" customHeight="false" outlineLevel="0" collapsed="false">
      <c r="A4022" s="28" t="n">
        <v>2024</v>
      </c>
      <c r="B4022" s="28" t="s">
        <v>103</v>
      </c>
      <c r="C4022" s="28" t="s">
        <v>56</v>
      </c>
      <c r="D4022" s="28" t="n">
        <v>12</v>
      </c>
      <c r="E4022" s="29" t="n">
        <v>3950800</v>
      </c>
      <c r="F4022" s="30" t="n">
        <v>114.39</v>
      </c>
      <c r="G4022" s="31" t="n">
        <f aca="false">IFERROR(F4022/D4022,0)</f>
        <v>9.5325</v>
      </c>
    </row>
    <row r="4023" customFormat="false" ht="15" hidden="false" customHeight="false" outlineLevel="0" collapsed="false">
      <c r="A4023" s="28" t="n">
        <v>2024</v>
      </c>
      <c r="B4023" s="28" t="s">
        <v>103</v>
      </c>
      <c r="C4023" s="28" t="s">
        <v>54</v>
      </c>
      <c r="D4023" s="28" t="n">
        <v>15</v>
      </c>
      <c r="E4023" s="29" t="n">
        <v>6082300</v>
      </c>
      <c r="F4023" s="30" t="n">
        <v>161.42</v>
      </c>
      <c r="G4023" s="31" t="n">
        <f aca="false">IFERROR(F4023/D4023,0)</f>
        <v>10.7613333333333</v>
      </c>
    </row>
    <row r="4024" customFormat="false" ht="15" hidden="false" customHeight="false" outlineLevel="0" collapsed="false">
      <c r="A4024" s="28" t="n">
        <v>2024</v>
      </c>
      <c r="B4024" s="28" t="s">
        <v>103</v>
      </c>
      <c r="C4024" s="28" t="s">
        <v>44</v>
      </c>
      <c r="D4024" s="28" t="n">
        <v>89</v>
      </c>
      <c r="E4024" s="29" t="n">
        <v>42323800</v>
      </c>
      <c r="F4024" s="30" t="n">
        <v>973.31</v>
      </c>
      <c r="G4024" s="31" t="n">
        <f aca="false">IFERROR(F4024/D4024,0)</f>
        <v>10.9360674157303</v>
      </c>
    </row>
    <row r="4025" customFormat="false" ht="15" hidden="false" customHeight="false" outlineLevel="0" collapsed="false">
      <c r="A4025" s="28" t="n">
        <v>2024</v>
      </c>
      <c r="B4025" s="28" t="s">
        <v>103</v>
      </c>
      <c r="C4025" s="28" t="s">
        <v>57</v>
      </c>
      <c r="D4025" s="28" t="n">
        <v>8</v>
      </c>
      <c r="E4025" s="29" t="n">
        <v>2267400</v>
      </c>
      <c r="F4025" s="30" t="n">
        <v>94.49</v>
      </c>
      <c r="G4025" s="31" t="n">
        <f aca="false">IFERROR(F4025/D4025,0)</f>
        <v>11.81125</v>
      </c>
    </row>
    <row r="4026" customFormat="false" ht="15" hidden="false" customHeight="false" outlineLevel="0" collapsed="false">
      <c r="A4026" s="28" t="n">
        <v>2024</v>
      </c>
      <c r="B4026" s="28" t="s">
        <v>103</v>
      </c>
      <c r="C4026" s="28" t="s">
        <v>47</v>
      </c>
      <c r="D4026" s="28" t="n">
        <v>67</v>
      </c>
      <c r="E4026" s="29" t="n">
        <v>46036100</v>
      </c>
      <c r="F4026" s="30" t="n">
        <v>694.54</v>
      </c>
      <c r="G4026" s="31" t="n">
        <f aca="false">IFERROR(F4026/D4026,0)</f>
        <v>10.3662686567164</v>
      </c>
    </row>
    <row r="4027" customFormat="false" ht="15" hidden="false" customHeight="false" outlineLevel="0" collapsed="false">
      <c r="A4027" s="28" t="n">
        <v>2024</v>
      </c>
      <c r="B4027" s="28" t="s">
        <v>103</v>
      </c>
      <c r="C4027" s="28" t="s">
        <v>58</v>
      </c>
      <c r="D4027" s="28" t="n">
        <v>1</v>
      </c>
      <c r="E4027" s="29" t="n">
        <v>40000</v>
      </c>
      <c r="F4027" s="30" t="n">
        <v>12</v>
      </c>
      <c r="G4027" s="31" t="n">
        <f aca="false">IFERROR(F4027/D4027,0)</f>
        <v>12</v>
      </c>
    </row>
    <row r="4028" customFormat="false" ht="15" hidden="false" customHeight="false" outlineLevel="0" collapsed="false">
      <c r="A4028" s="28" t="n">
        <v>2024</v>
      </c>
      <c r="B4028" s="28" t="s">
        <v>103</v>
      </c>
      <c r="C4028" s="28" t="s">
        <v>46</v>
      </c>
      <c r="D4028" s="28" t="n">
        <v>104</v>
      </c>
      <c r="E4028" s="29" t="n">
        <v>48001400</v>
      </c>
      <c r="F4028" s="30" t="n">
        <v>1107.5</v>
      </c>
      <c r="G4028" s="31" t="n">
        <f aca="false">IFERROR(F4028/D4028,0)</f>
        <v>10.6490384615385</v>
      </c>
    </row>
    <row r="4029" customFormat="false" ht="15" hidden="false" customHeight="false" outlineLevel="0" collapsed="false">
      <c r="A4029" s="28" t="n">
        <v>2024</v>
      </c>
      <c r="B4029" s="28" t="s">
        <v>103</v>
      </c>
      <c r="C4029" s="28" t="s">
        <v>48</v>
      </c>
      <c r="D4029" s="28" t="n">
        <v>75</v>
      </c>
      <c r="E4029" s="29" t="n">
        <v>36575100</v>
      </c>
      <c r="F4029" s="30" t="n">
        <v>809.06</v>
      </c>
      <c r="G4029" s="31" t="n">
        <f aca="false">IFERROR(F4029/D4029,0)</f>
        <v>10.7874666666667</v>
      </c>
    </row>
    <row r="4030" customFormat="false" ht="15" hidden="false" customHeight="false" outlineLevel="0" collapsed="false">
      <c r="A4030" s="28" t="n">
        <v>2024</v>
      </c>
      <c r="B4030" s="28" t="s">
        <v>103</v>
      </c>
      <c r="C4030" s="28" t="s">
        <v>53</v>
      </c>
      <c r="D4030" s="28" t="n">
        <v>21</v>
      </c>
      <c r="E4030" s="29" t="n">
        <v>8935100</v>
      </c>
      <c r="F4030" s="30" t="n">
        <v>225.35</v>
      </c>
      <c r="G4030" s="31" t="n">
        <f aca="false">IFERROR(F4030/D4030,0)</f>
        <v>10.7309523809524</v>
      </c>
    </row>
    <row r="4031" customFormat="false" ht="15" hidden="false" customHeight="false" outlineLevel="0" collapsed="false">
      <c r="A4031" s="28" t="n">
        <v>2024</v>
      </c>
      <c r="B4031" s="28" t="s">
        <v>103</v>
      </c>
      <c r="C4031" s="28" t="s">
        <v>43</v>
      </c>
      <c r="D4031" s="28" t="n">
        <v>109</v>
      </c>
      <c r="E4031" s="29" t="n">
        <v>58111100</v>
      </c>
      <c r="F4031" s="30" t="n">
        <v>1154.52</v>
      </c>
      <c r="G4031" s="31" t="n">
        <f aca="false">IFERROR(F4031/D4031,0)</f>
        <v>10.5919266055046</v>
      </c>
    </row>
    <row r="4032" customFormat="false" ht="15" hidden="false" customHeight="false" outlineLevel="0" collapsed="false">
      <c r="A4032" s="28" t="n">
        <v>2024</v>
      </c>
      <c r="B4032" s="28" t="s">
        <v>103</v>
      </c>
      <c r="C4032" s="28" t="s">
        <v>52</v>
      </c>
      <c r="D4032" s="28" t="n">
        <v>44</v>
      </c>
      <c r="E4032" s="29" t="n">
        <v>11058300</v>
      </c>
      <c r="F4032" s="30" t="n">
        <v>453.06</v>
      </c>
      <c r="G4032" s="31" t="n">
        <f aca="false">IFERROR(F4032/D4032,0)</f>
        <v>10.2968181818182</v>
      </c>
    </row>
    <row r="4033" customFormat="false" ht="15" hidden="false" customHeight="false" outlineLevel="0" collapsed="false">
      <c r="A4033" s="28" t="n">
        <v>2024</v>
      </c>
      <c r="B4033" s="28" t="s">
        <v>103</v>
      </c>
      <c r="C4033" s="28" t="s">
        <v>60</v>
      </c>
      <c r="D4033" s="28" t="n">
        <v>1</v>
      </c>
      <c r="E4033" s="29" t="n">
        <v>950000</v>
      </c>
      <c r="F4033" s="30" t="n">
        <v>10</v>
      </c>
      <c r="G4033" s="31" t="n">
        <f aca="false">IFERROR(F4033/D4033,0)</f>
        <v>10</v>
      </c>
    </row>
    <row r="4034" customFormat="false" ht="15" hidden="false" customHeight="false" outlineLevel="0" collapsed="false">
      <c r="A4034" s="28" t="n">
        <v>2024</v>
      </c>
      <c r="B4034" s="28" t="s">
        <v>103</v>
      </c>
      <c r="C4034" s="28" t="s">
        <v>49</v>
      </c>
      <c r="D4034" s="28" t="n">
        <v>49</v>
      </c>
      <c r="E4034" s="29" t="n">
        <v>36547400</v>
      </c>
      <c r="F4034" s="30" t="n">
        <v>499.83</v>
      </c>
      <c r="G4034" s="31" t="n">
        <f aca="false">IFERROR(F4034/D4034,0)</f>
        <v>10.200612244898</v>
      </c>
    </row>
    <row r="4035" customFormat="false" ht="15" hidden="false" customHeight="false" outlineLevel="0" collapsed="false">
      <c r="A4035" s="28" t="n">
        <v>2024</v>
      </c>
      <c r="B4035" s="28" t="s">
        <v>113</v>
      </c>
      <c r="C4035" s="28" t="s">
        <v>42</v>
      </c>
      <c r="D4035" s="28" t="n">
        <v>43</v>
      </c>
      <c r="E4035" s="29" t="n">
        <v>46900600</v>
      </c>
      <c r="F4035" s="30" t="n">
        <v>433.28</v>
      </c>
      <c r="G4035" s="31" t="n">
        <f aca="false">IFERROR(F4035/D4035,0)</f>
        <v>10.0762790697674</v>
      </c>
    </row>
    <row r="4036" customFormat="false" ht="15" hidden="false" customHeight="false" outlineLevel="0" collapsed="false">
      <c r="A4036" s="28" t="n">
        <v>2024</v>
      </c>
      <c r="B4036" s="28" t="s">
        <v>113</v>
      </c>
      <c r="C4036" s="28" t="s">
        <v>50</v>
      </c>
      <c r="D4036" s="28" t="n">
        <v>19</v>
      </c>
      <c r="E4036" s="29" t="n">
        <v>3293600</v>
      </c>
      <c r="F4036" s="30" t="n">
        <v>207.365</v>
      </c>
      <c r="G4036" s="31" t="n">
        <f aca="false">IFERROR(F4036/D4036,0)</f>
        <v>10.9139473684211</v>
      </c>
    </row>
    <row r="4037" customFormat="false" ht="15" hidden="false" customHeight="false" outlineLevel="0" collapsed="false">
      <c r="A4037" s="28" t="n">
        <v>2024</v>
      </c>
      <c r="B4037" s="28" t="s">
        <v>113</v>
      </c>
      <c r="C4037" s="28" t="s">
        <v>55</v>
      </c>
      <c r="D4037" s="28" t="n">
        <v>43</v>
      </c>
      <c r="E4037" s="29" t="n">
        <v>35867400</v>
      </c>
      <c r="F4037" s="30" t="n">
        <v>404.27</v>
      </c>
      <c r="G4037" s="31" t="n">
        <f aca="false">IFERROR(F4037/D4037,0)</f>
        <v>9.40162790697674</v>
      </c>
    </row>
    <row r="4038" customFormat="false" ht="15" hidden="false" customHeight="false" outlineLevel="0" collapsed="false">
      <c r="A4038" s="28" t="n">
        <v>2024</v>
      </c>
      <c r="B4038" s="28" t="s">
        <v>113</v>
      </c>
      <c r="C4038" s="28" t="s">
        <v>51</v>
      </c>
      <c r="D4038" s="28" t="n">
        <v>11</v>
      </c>
      <c r="E4038" s="29" t="n">
        <v>4985900</v>
      </c>
      <c r="F4038" s="30" t="n">
        <v>108.39</v>
      </c>
      <c r="G4038" s="31" t="n">
        <f aca="false">IFERROR(F4038/D4038,0)</f>
        <v>9.85363636363636</v>
      </c>
    </row>
    <row r="4039" customFormat="false" ht="15" hidden="false" customHeight="false" outlineLevel="0" collapsed="false">
      <c r="A4039" s="28" t="n">
        <v>2024</v>
      </c>
      <c r="B4039" s="28" t="s">
        <v>113</v>
      </c>
      <c r="C4039" s="28" t="s">
        <v>45</v>
      </c>
      <c r="D4039" s="28" t="n">
        <v>33</v>
      </c>
      <c r="E4039" s="29" t="n">
        <v>6841700</v>
      </c>
      <c r="F4039" s="30" t="n">
        <v>376.07</v>
      </c>
      <c r="G4039" s="31" t="n">
        <f aca="false">IFERROR(F4039/D4039,0)</f>
        <v>11.3960606060606</v>
      </c>
    </row>
    <row r="4040" customFormat="false" ht="15" hidden="false" customHeight="false" outlineLevel="0" collapsed="false">
      <c r="A4040" s="28" t="n">
        <v>2024</v>
      </c>
      <c r="B4040" s="28" t="s">
        <v>113</v>
      </c>
      <c r="C4040" s="28" t="s">
        <v>56</v>
      </c>
      <c r="D4040" s="28" t="n">
        <v>1</v>
      </c>
      <c r="E4040" s="29" t="n">
        <v>100000</v>
      </c>
      <c r="F4040" s="30" t="n">
        <v>11.5</v>
      </c>
      <c r="G4040" s="31" t="n">
        <f aca="false">IFERROR(F4040/D4040,0)</f>
        <v>11.5</v>
      </c>
    </row>
    <row r="4041" customFormat="false" ht="15" hidden="false" customHeight="false" outlineLevel="0" collapsed="false">
      <c r="A4041" s="28" t="n">
        <v>2024</v>
      </c>
      <c r="B4041" s="28" t="s">
        <v>113</v>
      </c>
      <c r="C4041" s="28" t="s">
        <v>54</v>
      </c>
      <c r="D4041" s="28" t="n">
        <v>9</v>
      </c>
      <c r="E4041" s="29" t="n">
        <v>1900400</v>
      </c>
      <c r="F4041" s="30" t="n">
        <v>112.75</v>
      </c>
      <c r="G4041" s="31" t="n">
        <f aca="false">IFERROR(F4041/D4041,0)</f>
        <v>12.5277777777778</v>
      </c>
    </row>
    <row r="4042" customFormat="false" ht="15" hidden="false" customHeight="false" outlineLevel="0" collapsed="false">
      <c r="A4042" s="28" t="n">
        <v>2024</v>
      </c>
      <c r="B4042" s="28" t="s">
        <v>113</v>
      </c>
      <c r="C4042" s="28" t="s">
        <v>44</v>
      </c>
      <c r="D4042" s="28" t="n">
        <v>25</v>
      </c>
      <c r="E4042" s="29" t="n">
        <v>9056800</v>
      </c>
      <c r="F4042" s="30" t="n">
        <v>255.96</v>
      </c>
      <c r="G4042" s="31" t="n">
        <f aca="false">IFERROR(F4042/D4042,0)</f>
        <v>10.2384</v>
      </c>
    </row>
    <row r="4043" customFormat="false" ht="15" hidden="false" customHeight="false" outlineLevel="0" collapsed="false">
      <c r="A4043" s="28" t="n">
        <v>2024</v>
      </c>
      <c r="B4043" s="28" t="s">
        <v>113</v>
      </c>
      <c r="C4043" s="28" t="s">
        <v>47</v>
      </c>
      <c r="D4043" s="28" t="n">
        <v>12</v>
      </c>
      <c r="E4043" s="29" t="n">
        <v>10980500</v>
      </c>
      <c r="F4043" s="30" t="n">
        <v>124.29</v>
      </c>
      <c r="G4043" s="31" t="n">
        <f aca="false">IFERROR(F4043/D4043,0)</f>
        <v>10.3575</v>
      </c>
    </row>
    <row r="4044" customFormat="false" ht="15" hidden="false" customHeight="false" outlineLevel="0" collapsed="false">
      <c r="A4044" s="28" t="n">
        <v>2024</v>
      </c>
      <c r="B4044" s="28" t="s">
        <v>113</v>
      </c>
      <c r="C4044" s="28" t="s">
        <v>46</v>
      </c>
      <c r="D4044" s="28" t="n">
        <v>22</v>
      </c>
      <c r="E4044" s="29" t="n">
        <v>3700500</v>
      </c>
      <c r="F4044" s="30" t="n">
        <v>253.81</v>
      </c>
      <c r="G4044" s="31" t="n">
        <f aca="false">IFERROR(F4044/D4044,0)</f>
        <v>11.5368181818182</v>
      </c>
    </row>
    <row r="4045" customFormat="false" ht="15" hidden="false" customHeight="false" outlineLevel="0" collapsed="false">
      <c r="A4045" s="28" t="n">
        <v>2024</v>
      </c>
      <c r="B4045" s="28" t="s">
        <v>113</v>
      </c>
      <c r="C4045" s="28" t="s">
        <v>48</v>
      </c>
      <c r="D4045" s="28" t="n">
        <v>11</v>
      </c>
      <c r="E4045" s="29" t="n">
        <v>1832400</v>
      </c>
      <c r="F4045" s="30" t="n">
        <v>121.25</v>
      </c>
      <c r="G4045" s="31" t="n">
        <f aca="false">IFERROR(F4045/D4045,0)</f>
        <v>11.0227272727273</v>
      </c>
    </row>
    <row r="4046" customFormat="false" ht="15" hidden="false" customHeight="false" outlineLevel="0" collapsed="false">
      <c r="A4046" s="28" t="n">
        <v>2024</v>
      </c>
      <c r="B4046" s="28" t="s">
        <v>113</v>
      </c>
      <c r="C4046" s="28" t="s">
        <v>53</v>
      </c>
      <c r="D4046" s="28" t="n">
        <v>6</v>
      </c>
      <c r="E4046" s="29" t="n">
        <v>3808900</v>
      </c>
      <c r="F4046" s="30" t="n">
        <v>64</v>
      </c>
      <c r="G4046" s="31" t="n">
        <f aca="false">IFERROR(F4046/D4046,0)</f>
        <v>10.6666666666667</v>
      </c>
    </row>
    <row r="4047" customFormat="false" ht="15" hidden="false" customHeight="false" outlineLevel="0" collapsed="false">
      <c r="A4047" s="28" t="n">
        <v>2024</v>
      </c>
      <c r="B4047" s="28" t="s">
        <v>113</v>
      </c>
      <c r="C4047" s="28" t="s">
        <v>43</v>
      </c>
      <c r="D4047" s="28" t="n">
        <v>38</v>
      </c>
      <c r="E4047" s="29" t="n">
        <v>12683000</v>
      </c>
      <c r="F4047" s="30" t="n">
        <v>426.56</v>
      </c>
      <c r="G4047" s="31" t="n">
        <f aca="false">IFERROR(F4047/D4047,0)</f>
        <v>11.2252631578947</v>
      </c>
    </row>
    <row r="4048" customFormat="false" ht="15" hidden="false" customHeight="false" outlineLevel="0" collapsed="false">
      <c r="A4048" s="28" t="n">
        <v>2024</v>
      </c>
      <c r="B4048" s="28" t="s">
        <v>113</v>
      </c>
      <c r="C4048" s="28" t="s">
        <v>52</v>
      </c>
      <c r="D4048" s="28" t="n">
        <v>29</v>
      </c>
      <c r="E4048" s="29" t="n">
        <v>9557300</v>
      </c>
      <c r="F4048" s="30" t="n">
        <v>325.1</v>
      </c>
      <c r="G4048" s="31" t="n">
        <f aca="false">IFERROR(F4048/D4048,0)</f>
        <v>11.2103448275862</v>
      </c>
    </row>
    <row r="4049" customFormat="false" ht="15" hidden="false" customHeight="false" outlineLevel="0" collapsed="false">
      <c r="A4049" s="28" t="n">
        <v>2024</v>
      </c>
      <c r="B4049" s="28" t="s">
        <v>113</v>
      </c>
      <c r="C4049" s="28" t="s">
        <v>49</v>
      </c>
      <c r="D4049" s="28" t="n">
        <v>12</v>
      </c>
      <c r="E4049" s="29" t="n">
        <v>2401600</v>
      </c>
      <c r="F4049" s="30" t="n">
        <v>133.52</v>
      </c>
      <c r="G4049" s="31" t="n">
        <f aca="false">IFERROR(F4049/D4049,0)</f>
        <v>11.1266666666667</v>
      </c>
    </row>
    <row r="4050" customFormat="false" ht="15" hidden="false" customHeight="false" outlineLevel="0" collapsed="false">
      <c r="A4050" s="28" t="n">
        <v>2024</v>
      </c>
      <c r="B4050" s="28" t="s">
        <v>115</v>
      </c>
      <c r="C4050" s="28" t="s">
        <v>42</v>
      </c>
      <c r="D4050" s="28" t="n">
        <v>25</v>
      </c>
      <c r="E4050" s="29" t="n">
        <v>18089700</v>
      </c>
      <c r="F4050" s="30" t="n">
        <v>255.95</v>
      </c>
      <c r="G4050" s="31" t="n">
        <f aca="false">IFERROR(F4050/D4050,0)</f>
        <v>10.238</v>
      </c>
    </row>
    <row r="4051" customFormat="false" ht="15" hidden="false" customHeight="false" outlineLevel="0" collapsed="false">
      <c r="A4051" s="28" t="n">
        <v>2024</v>
      </c>
      <c r="B4051" s="28" t="s">
        <v>115</v>
      </c>
      <c r="C4051" s="28" t="s">
        <v>50</v>
      </c>
      <c r="D4051" s="28" t="n">
        <v>8</v>
      </c>
      <c r="E4051" s="29" t="n">
        <v>1852500</v>
      </c>
      <c r="F4051" s="30" t="n">
        <v>97.75</v>
      </c>
      <c r="G4051" s="31" t="n">
        <f aca="false">IFERROR(F4051/D4051,0)</f>
        <v>12.21875</v>
      </c>
    </row>
    <row r="4052" customFormat="false" ht="15" hidden="false" customHeight="false" outlineLevel="0" collapsed="false">
      <c r="A4052" s="28" t="n">
        <v>2024</v>
      </c>
      <c r="B4052" s="28" t="s">
        <v>115</v>
      </c>
      <c r="C4052" s="28" t="s">
        <v>55</v>
      </c>
      <c r="D4052" s="28" t="n">
        <v>4</v>
      </c>
      <c r="E4052" s="29" t="n">
        <v>437500</v>
      </c>
      <c r="F4052" s="30" t="n">
        <v>47.5</v>
      </c>
      <c r="G4052" s="31" t="n">
        <f aca="false">IFERROR(F4052/D4052,0)</f>
        <v>11.875</v>
      </c>
    </row>
    <row r="4053" customFormat="false" ht="15" hidden="false" customHeight="false" outlineLevel="0" collapsed="false">
      <c r="A4053" s="28" t="n">
        <v>2024</v>
      </c>
      <c r="B4053" s="28" t="s">
        <v>115</v>
      </c>
      <c r="C4053" s="28" t="s">
        <v>51</v>
      </c>
      <c r="D4053" s="28" t="n">
        <v>9</v>
      </c>
      <c r="E4053" s="29" t="n">
        <v>1503500</v>
      </c>
      <c r="F4053" s="30" t="n">
        <v>97.69</v>
      </c>
      <c r="G4053" s="31" t="n">
        <f aca="false">IFERROR(F4053/D4053,0)</f>
        <v>10.8544444444444</v>
      </c>
    </row>
    <row r="4054" customFormat="false" ht="15" hidden="false" customHeight="false" outlineLevel="0" collapsed="false">
      <c r="A4054" s="28" t="n">
        <v>2024</v>
      </c>
      <c r="B4054" s="28" t="s">
        <v>115</v>
      </c>
      <c r="C4054" s="28" t="s">
        <v>45</v>
      </c>
      <c r="D4054" s="28" t="n">
        <v>29</v>
      </c>
      <c r="E4054" s="29" t="n">
        <v>16473000</v>
      </c>
      <c r="F4054" s="30" t="n">
        <v>303.92</v>
      </c>
      <c r="G4054" s="31" t="n">
        <f aca="false">IFERROR(F4054/D4054,0)</f>
        <v>10.48</v>
      </c>
    </row>
    <row r="4055" customFormat="false" ht="15" hidden="false" customHeight="false" outlineLevel="0" collapsed="false">
      <c r="A4055" s="28" t="n">
        <v>2024</v>
      </c>
      <c r="B4055" s="28" t="s">
        <v>115</v>
      </c>
      <c r="C4055" s="28" t="s">
        <v>56</v>
      </c>
      <c r="D4055" s="28" t="n">
        <v>2</v>
      </c>
      <c r="E4055" s="29" t="n">
        <v>3498100</v>
      </c>
      <c r="F4055" s="30" t="n">
        <v>22.75</v>
      </c>
      <c r="G4055" s="31" t="n">
        <f aca="false">IFERROR(F4055/D4055,0)</f>
        <v>11.375</v>
      </c>
    </row>
    <row r="4056" customFormat="false" ht="15" hidden="false" customHeight="false" outlineLevel="0" collapsed="false">
      <c r="A4056" s="28" t="n">
        <v>2024</v>
      </c>
      <c r="B4056" s="28" t="s">
        <v>115</v>
      </c>
      <c r="C4056" s="28" t="s">
        <v>54</v>
      </c>
      <c r="D4056" s="28" t="n">
        <v>5</v>
      </c>
      <c r="E4056" s="29" t="n">
        <v>3028400</v>
      </c>
      <c r="F4056" s="30" t="n">
        <v>50.35</v>
      </c>
      <c r="G4056" s="31" t="n">
        <f aca="false">IFERROR(F4056/D4056,0)</f>
        <v>10.07</v>
      </c>
    </row>
    <row r="4057" customFormat="false" ht="15" hidden="false" customHeight="false" outlineLevel="0" collapsed="false">
      <c r="A4057" s="28" t="n">
        <v>2024</v>
      </c>
      <c r="B4057" s="28" t="s">
        <v>115</v>
      </c>
      <c r="C4057" s="28" t="s">
        <v>44</v>
      </c>
      <c r="D4057" s="28" t="n">
        <v>17</v>
      </c>
      <c r="E4057" s="29" t="n">
        <v>10179400</v>
      </c>
      <c r="F4057" s="30" t="n">
        <v>180.96</v>
      </c>
      <c r="G4057" s="31" t="n">
        <f aca="false">IFERROR(F4057/D4057,0)</f>
        <v>10.6447058823529</v>
      </c>
    </row>
    <row r="4058" customFormat="false" ht="15" hidden="false" customHeight="false" outlineLevel="0" collapsed="false">
      <c r="A4058" s="28" t="n">
        <v>2024</v>
      </c>
      <c r="B4058" s="28" t="s">
        <v>115</v>
      </c>
      <c r="C4058" s="28" t="s">
        <v>57</v>
      </c>
      <c r="D4058" s="28" t="n">
        <v>1</v>
      </c>
      <c r="E4058" s="29" t="n">
        <v>15000</v>
      </c>
      <c r="F4058" s="30" t="n">
        <v>13</v>
      </c>
      <c r="G4058" s="31" t="n">
        <f aca="false">IFERROR(F4058/D4058,0)</f>
        <v>13</v>
      </c>
    </row>
    <row r="4059" customFormat="false" ht="15" hidden="false" customHeight="false" outlineLevel="0" collapsed="false">
      <c r="A4059" s="28" t="n">
        <v>2024</v>
      </c>
      <c r="B4059" s="28" t="s">
        <v>115</v>
      </c>
      <c r="C4059" s="28" t="s">
        <v>47</v>
      </c>
      <c r="D4059" s="28" t="n">
        <v>9</v>
      </c>
      <c r="E4059" s="29" t="n">
        <v>3264000</v>
      </c>
      <c r="F4059" s="30" t="n">
        <v>91.24</v>
      </c>
      <c r="G4059" s="31" t="n">
        <f aca="false">IFERROR(F4059/D4059,0)</f>
        <v>10.1377777777778</v>
      </c>
    </row>
    <row r="4060" customFormat="false" ht="15" hidden="false" customHeight="false" outlineLevel="0" collapsed="false">
      <c r="A4060" s="28" t="n">
        <v>2024</v>
      </c>
      <c r="B4060" s="28" t="s">
        <v>115</v>
      </c>
      <c r="C4060" s="28" t="s">
        <v>46</v>
      </c>
      <c r="D4060" s="28" t="n">
        <v>17</v>
      </c>
      <c r="E4060" s="29" t="n">
        <v>3797700</v>
      </c>
      <c r="F4060" s="30" t="n">
        <v>181.82</v>
      </c>
      <c r="G4060" s="31" t="n">
        <f aca="false">IFERROR(F4060/D4060,0)</f>
        <v>10.6952941176471</v>
      </c>
    </row>
    <row r="4061" customFormat="false" ht="15" hidden="false" customHeight="false" outlineLevel="0" collapsed="false">
      <c r="A4061" s="28" t="n">
        <v>2024</v>
      </c>
      <c r="B4061" s="28" t="s">
        <v>115</v>
      </c>
      <c r="C4061" s="28" t="s">
        <v>48</v>
      </c>
      <c r="D4061" s="28" t="n">
        <v>26</v>
      </c>
      <c r="E4061" s="29" t="n">
        <v>11325700</v>
      </c>
      <c r="F4061" s="30" t="n">
        <v>295.89</v>
      </c>
      <c r="G4061" s="31" t="n">
        <f aca="false">IFERROR(F4061/D4061,0)</f>
        <v>11.3803846153846</v>
      </c>
    </row>
    <row r="4062" customFormat="false" ht="15" hidden="false" customHeight="false" outlineLevel="0" collapsed="false">
      <c r="A4062" s="28" t="n">
        <v>2024</v>
      </c>
      <c r="B4062" s="28" t="s">
        <v>115</v>
      </c>
      <c r="C4062" s="28" t="s">
        <v>61</v>
      </c>
      <c r="D4062" s="28" t="n">
        <v>1</v>
      </c>
      <c r="E4062" s="29" t="n">
        <v>150000</v>
      </c>
      <c r="F4062" s="30" t="n">
        <v>9.25</v>
      </c>
      <c r="G4062" s="31" t="n">
        <f aca="false">IFERROR(F4062/D4062,0)</f>
        <v>9.25</v>
      </c>
    </row>
    <row r="4063" customFormat="false" ht="15" hidden="false" customHeight="false" outlineLevel="0" collapsed="false">
      <c r="A4063" s="28" t="n">
        <v>2024</v>
      </c>
      <c r="B4063" s="28" t="s">
        <v>115</v>
      </c>
      <c r="C4063" s="28" t="s">
        <v>53</v>
      </c>
      <c r="D4063" s="28" t="n">
        <v>5</v>
      </c>
      <c r="E4063" s="29" t="n">
        <v>1886700</v>
      </c>
      <c r="F4063" s="30" t="n">
        <v>53.48</v>
      </c>
      <c r="G4063" s="31" t="n">
        <f aca="false">IFERROR(F4063/D4063,0)</f>
        <v>10.696</v>
      </c>
    </row>
    <row r="4064" customFormat="false" ht="15" hidden="false" customHeight="false" outlineLevel="0" collapsed="false">
      <c r="A4064" s="28" t="n">
        <v>2024</v>
      </c>
      <c r="B4064" s="28" t="s">
        <v>115</v>
      </c>
      <c r="C4064" s="28" t="s">
        <v>43</v>
      </c>
      <c r="D4064" s="28" t="n">
        <v>28</v>
      </c>
      <c r="E4064" s="29" t="n">
        <v>14287800</v>
      </c>
      <c r="F4064" s="30" t="n">
        <v>295.1</v>
      </c>
      <c r="G4064" s="31" t="n">
        <f aca="false">IFERROR(F4064/D4064,0)</f>
        <v>10.5392857142857</v>
      </c>
    </row>
    <row r="4065" customFormat="false" ht="15" hidden="false" customHeight="false" outlineLevel="0" collapsed="false">
      <c r="A4065" s="28" t="n">
        <v>2024</v>
      </c>
      <c r="B4065" s="28" t="s">
        <v>115</v>
      </c>
      <c r="C4065" s="28" t="s">
        <v>52</v>
      </c>
      <c r="D4065" s="28" t="n">
        <v>6</v>
      </c>
      <c r="E4065" s="29" t="n">
        <v>593500</v>
      </c>
      <c r="F4065" s="30" t="n">
        <v>68.5</v>
      </c>
      <c r="G4065" s="31" t="n">
        <f aca="false">IFERROR(F4065/D4065,0)</f>
        <v>11.4166666666667</v>
      </c>
    </row>
    <row r="4066" customFormat="false" ht="15" hidden="false" customHeight="false" outlineLevel="0" collapsed="false">
      <c r="A4066" s="28" t="n">
        <v>2024</v>
      </c>
      <c r="B4066" s="28" t="s">
        <v>115</v>
      </c>
      <c r="C4066" s="28" t="s">
        <v>49</v>
      </c>
      <c r="D4066" s="28" t="n">
        <v>5</v>
      </c>
      <c r="E4066" s="29" t="n">
        <v>1376000</v>
      </c>
      <c r="F4066" s="30" t="n">
        <v>55.75</v>
      </c>
      <c r="G4066" s="31" t="n">
        <f aca="false">IFERROR(F4066/D4066,0)</f>
        <v>11.15</v>
      </c>
    </row>
    <row r="4067" customFormat="false" ht="15" hidden="false" customHeight="false" outlineLevel="0" collapsed="false">
      <c r="A4067" s="28" t="n">
        <v>2024</v>
      </c>
      <c r="B4067" s="28" t="s">
        <v>90</v>
      </c>
      <c r="C4067" s="28" t="s">
        <v>42</v>
      </c>
      <c r="D4067" s="28" t="n">
        <v>227</v>
      </c>
      <c r="E4067" s="29" t="n">
        <v>248618300</v>
      </c>
      <c r="F4067" s="30" t="n">
        <v>2459.05</v>
      </c>
      <c r="G4067" s="31" t="n">
        <f aca="false">IFERROR(F4067/D4067,0)</f>
        <v>10.8328193832599</v>
      </c>
    </row>
    <row r="4068" customFormat="false" ht="15" hidden="false" customHeight="false" outlineLevel="0" collapsed="false">
      <c r="A4068" s="28" t="n">
        <v>2024</v>
      </c>
      <c r="B4068" s="28" t="s">
        <v>90</v>
      </c>
      <c r="C4068" s="28" t="s">
        <v>50</v>
      </c>
      <c r="D4068" s="28" t="n">
        <v>104</v>
      </c>
      <c r="E4068" s="29" t="n">
        <v>32717800</v>
      </c>
      <c r="F4068" s="30" t="n">
        <v>1203.89</v>
      </c>
      <c r="G4068" s="31" t="n">
        <f aca="false">IFERROR(F4068/D4068,0)</f>
        <v>11.5758653846154</v>
      </c>
    </row>
    <row r="4069" customFormat="false" ht="15" hidden="false" customHeight="false" outlineLevel="0" collapsed="false">
      <c r="A4069" s="28" t="n">
        <v>2024</v>
      </c>
      <c r="B4069" s="28" t="s">
        <v>90</v>
      </c>
      <c r="C4069" s="28" t="s">
        <v>55</v>
      </c>
      <c r="D4069" s="28" t="n">
        <v>9</v>
      </c>
      <c r="E4069" s="29" t="n">
        <v>6449800</v>
      </c>
      <c r="F4069" s="30" t="n">
        <v>90.8</v>
      </c>
      <c r="G4069" s="31" t="n">
        <f aca="false">IFERROR(F4069/D4069,0)</f>
        <v>10.0888888888889</v>
      </c>
    </row>
    <row r="4070" customFormat="false" ht="15" hidden="false" customHeight="false" outlineLevel="0" collapsed="false">
      <c r="A4070" s="28" t="n">
        <v>2024</v>
      </c>
      <c r="B4070" s="28" t="s">
        <v>90</v>
      </c>
      <c r="C4070" s="28" t="s">
        <v>51</v>
      </c>
      <c r="D4070" s="28" t="n">
        <v>51</v>
      </c>
      <c r="E4070" s="29" t="n">
        <v>25139100</v>
      </c>
      <c r="F4070" s="30" t="n">
        <v>574.42</v>
      </c>
      <c r="G4070" s="31" t="n">
        <f aca="false">IFERROR(F4070/D4070,0)</f>
        <v>11.263137254902</v>
      </c>
    </row>
    <row r="4071" customFormat="false" ht="15" hidden="false" customHeight="false" outlineLevel="0" collapsed="false">
      <c r="A4071" s="28" t="n">
        <v>2024</v>
      </c>
      <c r="B4071" s="28" t="s">
        <v>90</v>
      </c>
      <c r="C4071" s="28" t="s">
        <v>45</v>
      </c>
      <c r="D4071" s="28" t="n">
        <v>201</v>
      </c>
      <c r="E4071" s="29" t="n">
        <v>108038400</v>
      </c>
      <c r="F4071" s="30" t="n">
        <v>2241.26</v>
      </c>
      <c r="G4071" s="31" t="n">
        <f aca="false">IFERROR(F4071/D4071,0)</f>
        <v>11.1505472636816</v>
      </c>
    </row>
    <row r="4072" customFormat="false" ht="15" hidden="false" customHeight="false" outlineLevel="0" collapsed="false">
      <c r="A4072" s="28" t="n">
        <v>2024</v>
      </c>
      <c r="B4072" s="28" t="s">
        <v>90</v>
      </c>
      <c r="C4072" s="28" t="s">
        <v>56</v>
      </c>
      <c r="D4072" s="28" t="n">
        <v>25</v>
      </c>
      <c r="E4072" s="29" t="n">
        <v>6420700</v>
      </c>
      <c r="F4072" s="30" t="n">
        <v>298.51</v>
      </c>
      <c r="G4072" s="31" t="n">
        <f aca="false">IFERROR(F4072/D4072,0)</f>
        <v>11.9404</v>
      </c>
    </row>
    <row r="4073" customFormat="false" ht="15" hidden="false" customHeight="false" outlineLevel="0" collapsed="false">
      <c r="A4073" s="28" t="n">
        <v>2024</v>
      </c>
      <c r="B4073" s="28" t="s">
        <v>90</v>
      </c>
      <c r="C4073" s="28" t="s">
        <v>54</v>
      </c>
      <c r="D4073" s="28" t="n">
        <v>25</v>
      </c>
      <c r="E4073" s="29" t="n">
        <v>13280900</v>
      </c>
      <c r="F4073" s="30" t="n">
        <v>278.01</v>
      </c>
      <c r="G4073" s="31" t="n">
        <f aca="false">IFERROR(F4073/D4073,0)</f>
        <v>11.1204</v>
      </c>
    </row>
    <row r="4074" customFormat="false" ht="15" hidden="false" customHeight="false" outlineLevel="0" collapsed="false">
      <c r="A4074" s="28" t="n">
        <v>2024</v>
      </c>
      <c r="B4074" s="28" t="s">
        <v>90</v>
      </c>
      <c r="C4074" s="28" t="s">
        <v>44</v>
      </c>
      <c r="D4074" s="28" t="n">
        <v>122</v>
      </c>
      <c r="E4074" s="29" t="n">
        <v>73851600</v>
      </c>
      <c r="F4074" s="30" t="n">
        <v>1333.915</v>
      </c>
      <c r="G4074" s="31" t="n">
        <f aca="false">IFERROR(F4074/D4074,0)</f>
        <v>10.9337295081967</v>
      </c>
    </row>
    <row r="4075" customFormat="false" ht="15" hidden="false" customHeight="false" outlineLevel="0" collapsed="false">
      <c r="A4075" s="28" t="n">
        <v>2024</v>
      </c>
      <c r="B4075" s="28" t="s">
        <v>90</v>
      </c>
      <c r="C4075" s="28" t="s">
        <v>57</v>
      </c>
      <c r="D4075" s="28" t="n">
        <v>10</v>
      </c>
      <c r="E4075" s="29" t="n">
        <v>4913000</v>
      </c>
      <c r="F4075" s="30" t="n">
        <v>122.3</v>
      </c>
      <c r="G4075" s="31" t="n">
        <f aca="false">IFERROR(F4075/D4075,0)</f>
        <v>12.23</v>
      </c>
    </row>
    <row r="4076" customFormat="false" ht="15" hidden="false" customHeight="false" outlineLevel="0" collapsed="false">
      <c r="A4076" s="28" t="n">
        <v>2024</v>
      </c>
      <c r="B4076" s="28" t="s">
        <v>90</v>
      </c>
      <c r="C4076" s="28" t="s">
        <v>59</v>
      </c>
      <c r="D4076" s="28" t="n">
        <v>1</v>
      </c>
      <c r="E4076" s="29" t="n">
        <v>2170000</v>
      </c>
      <c r="F4076" s="30" t="n">
        <v>10.75</v>
      </c>
      <c r="G4076" s="31" t="n">
        <f aca="false">IFERROR(F4076/D4076,0)</f>
        <v>10.75</v>
      </c>
    </row>
    <row r="4077" customFormat="false" ht="15" hidden="false" customHeight="false" outlineLevel="0" collapsed="false">
      <c r="A4077" s="28" t="n">
        <v>2024</v>
      </c>
      <c r="B4077" s="28" t="s">
        <v>90</v>
      </c>
      <c r="C4077" s="28" t="s">
        <v>47</v>
      </c>
      <c r="D4077" s="28" t="n">
        <v>92</v>
      </c>
      <c r="E4077" s="29" t="n">
        <v>69296800</v>
      </c>
      <c r="F4077" s="30" t="n">
        <v>1012.93</v>
      </c>
      <c r="G4077" s="31" t="n">
        <f aca="false">IFERROR(F4077/D4077,0)</f>
        <v>11.0101086956522</v>
      </c>
    </row>
    <row r="4078" customFormat="false" ht="15" hidden="false" customHeight="false" outlineLevel="0" collapsed="false">
      <c r="A4078" s="28" t="n">
        <v>2024</v>
      </c>
      <c r="B4078" s="28" t="s">
        <v>90</v>
      </c>
      <c r="C4078" s="28" t="s">
        <v>46</v>
      </c>
      <c r="D4078" s="28" t="n">
        <v>135</v>
      </c>
      <c r="E4078" s="29" t="n">
        <v>78710900</v>
      </c>
      <c r="F4078" s="30" t="n">
        <v>1537.97</v>
      </c>
      <c r="G4078" s="31" t="n">
        <f aca="false">IFERROR(F4078/D4078,0)</f>
        <v>11.3923703703704</v>
      </c>
    </row>
    <row r="4079" customFormat="false" ht="15" hidden="false" customHeight="false" outlineLevel="0" collapsed="false">
      <c r="A4079" s="28" t="n">
        <v>2024</v>
      </c>
      <c r="B4079" s="28" t="s">
        <v>90</v>
      </c>
      <c r="C4079" s="28" t="s">
        <v>48</v>
      </c>
      <c r="D4079" s="28" t="n">
        <v>136</v>
      </c>
      <c r="E4079" s="29" t="n">
        <v>72260500</v>
      </c>
      <c r="F4079" s="30" t="n">
        <v>1568.015</v>
      </c>
      <c r="G4079" s="31" t="n">
        <f aca="false">IFERROR(F4079/D4079,0)</f>
        <v>11.5295220588235</v>
      </c>
    </row>
    <row r="4080" customFormat="false" ht="15" hidden="false" customHeight="false" outlineLevel="0" collapsed="false">
      <c r="A4080" s="28" t="n">
        <v>2024</v>
      </c>
      <c r="B4080" s="28" t="s">
        <v>90</v>
      </c>
      <c r="C4080" s="28" t="s">
        <v>53</v>
      </c>
      <c r="D4080" s="28" t="n">
        <v>32</v>
      </c>
      <c r="E4080" s="29" t="n">
        <v>24297500</v>
      </c>
      <c r="F4080" s="30" t="n">
        <v>345.08</v>
      </c>
      <c r="G4080" s="31" t="n">
        <f aca="false">IFERROR(F4080/D4080,0)</f>
        <v>10.78375</v>
      </c>
    </row>
    <row r="4081" customFormat="false" ht="15" hidden="false" customHeight="false" outlineLevel="0" collapsed="false">
      <c r="A4081" s="28" t="n">
        <v>2024</v>
      </c>
      <c r="B4081" s="28" t="s">
        <v>90</v>
      </c>
      <c r="C4081" s="28" t="s">
        <v>43</v>
      </c>
      <c r="D4081" s="28" t="n">
        <v>138</v>
      </c>
      <c r="E4081" s="29" t="n">
        <v>61512700</v>
      </c>
      <c r="F4081" s="30" t="n">
        <v>1562.94</v>
      </c>
      <c r="G4081" s="31" t="n">
        <f aca="false">IFERROR(F4081/D4081,0)</f>
        <v>11.325652173913</v>
      </c>
    </row>
    <row r="4082" customFormat="false" ht="15" hidden="false" customHeight="false" outlineLevel="0" collapsed="false">
      <c r="A4082" s="28" t="n">
        <v>2024</v>
      </c>
      <c r="B4082" s="28" t="s">
        <v>90</v>
      </c>
      <c r="C4082" s="28" t="s">
        <v>52</v>
      </c>
      <c r="D4082" s="28" t="n">
        <v>68</v>
      </c>
      <c r="E4082" s="29" t="n">
        <v>22066400</v>
      </c>
      <c r="F4082" s="30" t="n">
        <v>790.33</v>
      </c>
      <c r="G4082" s="31" t="n">
        <f aca="false">IFERROR(F4082/D4082,0)</f>
        <v>11.6225</v>
      </c>
    </row>
    <row r="4083" customFormat="false" ht="15" hidden="false" customHeight="false" outlineLevel="0" collapsed="false">
      <c r="A4083" s="28" t="n">
        <v>2024</v>
      </c>
      <c r="B4083" s="28" t="s">
        <v>90</v>
      </c>
      <c r="C4083" s="28" t="s">
        <v>60</v>
      </c>
      <c r="D4083" s="28" t="n">
        <v>1</v>
      </c>
      <c r="E4083" s="29" t="n">
        <v>350000</v>
      </c>
      <c r="F4083" s="30" t="n">
        <v>11.25</v>
      </c>
      <c r="G4083" s="31" t="n">
        <f aca="false">IFERROR(F4083/D4083,0)</f>
        <v>11.25</v>
      </c>
    </row>
    <row r="4084" customFormat="false" ht="15" hidden="false" customHeight="false" outlineLevel="0" collapsed="false">
      <c r="A4084" s="28" t="n">
        <v>2024</v>
      </c>
      <c r="B4084" s="28" t="s">
        <v>90</v>
      </c>
      <c r="C4084" s="28" t="s">
        <v>49</v>
      </c>
      <c r="D4084" s="28" t="n">
        <v>42</v>
      </c>
      <c r="E4084" s="29" t="n">
        <v>23995800</v>
      </c>
      <c r="F4084" s="30" t="n">
        <v>465.26</v>
      </c>
      <c r="G4084" s="31" t="n">
        <f aca="false">IFERROR(F4084/D4084,0)</f>
        <v>11.077619047619</v>
      </c>
    </row>
    <row r="4085" customFormat="false" ht="15" hidden="false" customHeight="false" outlineLevel="0" collapsed="false">
      <c r="A4085" s="28" t="n">
        <v>2024</v>
      </c>
      <c r="B4085" s="28" t="s">
        <v>116</v>
      </c>
      <c r="C4085" s="28" t="s">
        <v>42</v>
      </c>
      <c r="D4085" s="28" t="n">
        <v>12</v>
      </c>
      <c r="E4085" s="29" t="n">
        <v>7464300</v>
      </c>
      <c r="F4085" s="30" t="n">
        <v>109.44</v>
      </c>
      <c r="G4085" s="31" t="n">
        <f aca="false">IFERROR(F4085/D4085,0)</f>
        <v>9.12</v>
      </c>
    </row>
    <row r="4086" customFormat="false" ht="15" hidden="false" customHeight="false" outlineLevel="0" collapsed="false">
      <c r="A4086" s="28" t="n">
        <v>2024</v>
      </c>
      <c r="B4086" s="28" t="s">
        <v>116</v>
      </c>
      <c r="C4086" s="28" t="s">
        <v>50</v>
      </c>
      <c r="D4086" s="28" t="n">
        <v>6</v>
      </c>
      <c r="E4086" s="29" t="n">
        <v>758100</v>
      </c>
      <c r="F4086" s="30" t="n">
        <v>68.73</v>
      </c>
      <c r="G4086" s="31" t="n">
        <f aca="false">IFERROR(F4086/D4086,0)</f>
        <v>11.455</v>
      </c>
    </row>
    <row r="4087" customFormat="false" ht="15" hidden="false" customHeight="false" outlineLevel="0" collapsed="false">
      <c r="A4087" s="28" t="n">
        <v>2024</v>
      </c>
      <c r="B4087" s="28" t="s">
        <v>116</v>
      </c>
      <c r="C4087" s="28" t="s">
        <v>51</v>
      </c>
      <c r="D4087" s="28" t="n">
        <v>5</v>
      </c>
      <c r="E4087" s="29" t="n">
        <v>6146000</v>
      </c>
      <c r="F4087" s="30" t="n">
        <v>45.2</v>
      </c>
      <c r="G4087" s="31" t="n">
        <f aca="false">IFERROR(F4087/D4087,0)</f>
        <v>9.04</v>
      </c>
    </row>
    <row r="4088" customFormat="false" ht="15" hidden="false" customHeight="false" outlineLevel="0" collapsed="false">
      <c r="A4088" s="28" t="n">
        <v>2024</v>
      </c>
      <c r="B4088" s="28" t="s">
        <v>116</v>
      </c>
      <c r="C4088" s="28" t="s">
        <v>45</v>
      </c>
      <c r="D4088" s="28" t="n">
        <v>15</v>
      </c>
      <c r="E4088" s="29" t="n">
        <v>1713900</v>
      </c>
      <c r="F4088" s="30" t="n">
        <v>162.22</v>
      </c>
      <c r="G4088" s="31" t="n">
        <f aca="false">IFERROR(F4088/D4088,0)</f>
        <v>10.8146666666667</v>
      </c>
    </row>
    <row r="4089" customFormat="false" ht="15" hidden="false" customHeight="false" outlineLevel="0" collapsed="false">
      <c r="A4089" s="28" t="n">
        <v>2024</v>
      </c>
      <c r="B4089" s="28" t="s">
        <v>116</v>
      </c>
      <c r="C4089" s="28" t="s">
        <v>56</v>
      </c>
      <c r="D4089" s="28" t="n">
        <v>2</v>
      </c>
      <c r="E4089" s="29" t="n">
        <v>115000</v>
      </c>
      <c r="F4089" s="30" t="n">
        <v>17.25</v>
      </c>
      <c r="G4089" s="31" t="n">
        <f aca="false">IFERROR(F4089/D4089,0)</f>
        <v>8.625</v>
      </c>
    </row>
    <row r="4090" customFormat="false" ht="15" hidden="false" customHeight="false" outlineLevel="0" collapsed="false">
      <c r="A4090" s="28" t="n">
        <v>2024</v>
      </c>
      <c r="B4090" s="28" t="s">
        <v>116</v>
      </c>
      <c r="C4090" s="28" t="s">
        <v>54</v>
      </c>
      <c r="D4090" s="28" t="n">
        <v>2</v>
      </c>
      <c r="E4090" s="29" t="n">
        <v>290000</v>
      </c>
      <c r="F4090" s="30" t="n">
        <v>20.25</v>
      </c>
      <c r="G4090" s="31" t="n">
        <f aca="false">IFERROR(F4090/D4090,0)</f>
        <v>10.125</v>
      </c>
    </row>
    <row r="4091" customFormat="false" ht="15" hidden="false" customHeight="false" outlineLevel="0" collapsed="false">
      <c r="A4091" s="28" t="n">
        <v>2024</v>
      </c>
      <c r="B4091" s="28" t="s">
        <v>116</v>
      </c>
      <c r="C4091" s="28" t="s">
        <v>44</v>
      </c>
      <c r="D4091" s="28" t="n">
        <v>7</v>
      </c>
      <c r="E4091" s="29" t="n">
        <v>1153400</v>
      </c>
      <c r="F4091" s="30" t="n">
        <v>66.75</v>
      </c>
      <c r="G4091" s="31" t="n">
        <f aca="false">IFERROR(F4091/D4091,0)</f>
        <v>9.53571428571429</v>
      </c>
    </row>
    <row r="4092" customFormat="false" ht="15" hidden="false" customHeight="false" outlineLevel="0" collapsed="false">
      <c r="A4092" s="28" t="n">
        <v>2024</v>
      </c>
      <c r="B4092" s="28" t="s">
        <v>116</v>
      </c>
      <c r="C4092" s="28" t="s">
        <v>57</v>
      </c>
      <c r="D4092" s="28" t="n">
        <v>2</v>
      </c>
      <c r="E4092" s="29" t="n">
        <v>503500</v>
      </c>
      <c r="F4092" s="30" t="n">
        <v>20.75</v>
      </c>
      <c r="G4092" s="31" t="n">
        <f aca="false">IFERROR(F4092/D4092,0)</f>
        <v>10.375</v>
      </c>
    </row>
    <row r="4093" customFormat="false" ht="15" hidden="false" customHeight="false" outlineLevel="0" collapsed="false">
      <c r="A4093" s="28" t="n">
        <v>2024</v>
      </c>
      <c r="B4093" s="28" t="s">
        <v>116</v>
      </c>
      <c r="C4093" s="28" t="s">
        <v>47</v>
      </c>
      <c r="D4093" s="28" t="n">
        <v>3</v>
      </c>
      <c r="E4093" s="29" t="n">
        <v>249600</v>
      </c>
      <c r="F4093" s="30" t="n">
        <v>39.5</v>
      </c>
      <c r="G4093" s="31" t="n">
        <f aca="false">IFERROR(F4093/D4093,0)</f>
        <v>13.1666666666667</v>
      </c>
    </row>
    <row r="4094" customFormat="false" ht="15" hidden="false" customHeight="false" outlineLevel="0" collapsed="false">
      <c r="A4094" s="28" t="n">
        <v>2024</v>
      </c>
      <c r="B4094" s="28" t="s">
        <v>116</v>
      </c>
      <c r="C4094" s="28" t="s">
        <v>58</v>
      </c>
      <c r="D4094" s="28" t="n">
        <v>1</v>
      </c>
      <c r="E4094" s="29" t="n">
        <v>215100</v>
      </c>
      <c r="F4094" s="30" t="n">
        <v>11.25</v>
      </c>
      <c r="G4094" s="31" t="n">
        <f aca="false">IFERROR(F4094/D4094,0)</f>
        <v>11.25</v>
      </c>
    </row>
    <row r="4095" customFormat="false" ht="15" hidden="false" customHeight="false" outlineLevel="0" collapsed="false">
      <c r="A4095" s="28" t="n">
        <v>2024</v>
      </c>
      <c r="B4095" s="28" t="s">
        <v>116</v>
      </c>
      <c r="C4095" s="28" t="s">
        <v>46</v>
      </c>
      <c r="D4095" s="28" t="n">
        <v>11</v>
      </c>
      <c r="E4095" s="29" t="n">
        <v>2653000</v>
      </c>
      <c r="F4095" s="30" t="n">
        <v>101.65</v>
      </c>
      <c r="G4095" s="31" t="n">
        <f aca="false">IFERROR(F4095/D4095,0)</f>
        <v>9.24090909090909</v>
      </c>
    </row>
    <row r="4096" customFormat="false" ht="15" hidden="false" customHeight="false" outlineLevel="0" collapsed="false">
      <c r="A4096" s="28" t="n">
        <v>2024</v>
      </c>
      <c r="B4096" s="28" t="s">
        <v>116</v>
      </c>
      <c r="C4096" s="28" t="s">
        <v>48</v>
      </c>
      <c r="D4096" s="28" t="n">
        <v>13</v>
      </c>
      <c r="E4096" s="29" t="n">
        <v>3584900</v>
      </c>
      <c r="F4096" s="30" t="n">
        <v>130.99</v>
      </c>
      <c r="G4096" s="31" t="n">
        <f aca="false">IFERROR(F4096/D4096,0)</f>
        <v>10.0761538461538</v>
      </c>
    </row>
    <row r="4097" customFormat="false" ht="15" hidden="false" customHeight="false" outlineLevel="0" collapsed="false">
      <c r="A4097" s="28" t="n">
        <v>2024</v>
      </c>
      <c r="B4097" s="28" t="s">
        <v>116</v>
      </c>
      <c r="C4097" s="28" t="s">
        <v>53</v>
      </c>
      <c r="D4097" s="28" t="n">
        <v>5</v>
      </c>
      <c r="E4097" s="29" t="n">
        <v>594000</v>
      </c>
      <c r="F4097" s="30" t="n">
        <v>57.57</v>
      </c>
      <c r="G4097" s="31" t="n">
        <f aca="false">IFERROR(F4097/D4097,0)</f>
        <v>11.514</v>
      </c>
    </row>
    <row r="4098" customFormat="false" ht="15" hidden="false" customHeight="false" outlineLevel="0" collapsed="false">
      <c r="A4098" s="28" t="n">
        <v>2024</v>
      </c>
      <c r="B4098" s="28" t="s">
        <v>116</v>
      </c>
      <c r="C4098" s="28" t="s">
        <v>43</v>
      </c>
      <c r="D4098" s="28" t="n">
        <v>19</v>
      </c>
      <c r="E4098" s="29" t="n">
        <v>5592500</v>
      </c>
      <c r="F4098" s="30" t="n">
        <v>194.71</v>
      </c>
      <c r="G4098" s="31" t="n">
        <f aca="false">IFERROR(F4098/D4098,0)</f>
        <v>10.2478947368421</v>
      </c>
    </row>
    <row r="4099" customFormat="false" ht="15" hidden="false" customHeight="false" outlineLevel="0" collapsed="false">
      <c r="A4099" s="28" t="n">
        <v>2024</v>
      </c>
      <c r="B4099" s="28" t="s">
        <v>116</v>
      </c>
      <c r="C4099" s="28" t="s">
        <v>52</v>
      </c>
      <c r="D4099" s="28" t="n">
        <v>6</v>
      </c>
      <c r="E4099" s="29" t="n">
        <v>2941000</v>
      </c>
      <c r="F4099" s="30" t="n">
        <v>67.75</v>
      </c>
      <c r="G4099" s="31" t="n">
        <f aca="false">IFERROR(F4099/D4099,0)</f>
        <v>11.2916666666667</v>
      </c>
    </row>
    <row r="4100" customFormat="false" ht="15" hidden="false" customHeight="false" outlineLevel="0" collapsed="false">
      <c r="A4100" s="28" t="n">
        <v>2024</v>
      </c>
      <c r="B4100" s="28" t="s">
        <v>116</v>
      </c>
      <c r="C4100" s="28" t="s">
        <v>49</v>
      </c>
      <c r="D4100" s="28" t="n">
        <v>5</v>
      </c>
      <c r="E4100" s="29" t="n">
        <v>3671200</v>
      </c>
      <c r="F4100" s="30" t="n">
        <v>49.99</v>
      </c>
      <c r="G4100" s="31" t="n">
        <f aca="false">IFERROR(F4100/D4100,0)</f>
        <v>9.998</v>
      </c>
    </row>
    <row r="4101" customFormat="false" ht="15" hidden="false" customHeight="false" outlineLevel="0" collapsed="false">
      <c r="A4101" s="28" t="n">
        <v>2024</v>
      </c>
      <c r="B4101" s="28" t="s">
        <v>117</v>
      </c>
      <c r="C4101" s="28" t="s">
        <v>42</v>
      </c>
      <c r="D4101" s="28" t="n">
        <v>37</v>
      </c>
      <c r="E4101" s="29" t="n">
        <v>24767200</v>
      </c>
      <c r="F4101" s="30" t="n">
        <v>346.88</v>
      </c>
      <c r="G4101" s="31" t="n">
        <f aca="false">IFERROR(F4101/D4101,0)</f>
        <v>9.37513513513514</v>
      </c>
    </row>
    <row r="4102" customFormat="false" ht="15" hidden="false" customHeight="false" outlineLevel="0" collapsed="false">
      <c r="A4102" s="28" t="n">
        <v>2024</v>
      </c>
      <c r="B4102" s="28" t="s">
        <v>117</v>
      </c>
      <c r="C4102" s="28" t="s">
        <v>50</v>
      </c>
      <c r="D4102" s="28" t="n">
        <v>23</v>
      </c>
      <c r="E4102" s="29" t="n">
        <v>5673000</v>
      </c>
      <c r="F4102" s="30" t="n">
        <v>228.48</v>
      </c>
      <c r="G4102" s="31" t="n">
        <f aca="false">IFERROR(F4102/D4102,0)</f>
        <v>9.93391304347826</v>
      </c>
    </row>
    <row r="4103" customFormat="false" ht="15" hidden="false" customHeight="false" outlineLevel="0" collapsed="false">
      <c r="A4103" s="28" t="n">
        <v>2024</v>
      </c>
      <c r="B4103" s="28" t="s">
        <v>117</v>
      </c>
      <c r="C4103" s="28" t="s">
        <v>55</v>
      </c>
      <c r="D4103" s="28" t="n">
        <v>11</v>
      </c>
      <c r="E4103" s="29" t="n">
        <v>10814700</v>
      </c>
      <c r="F4103" s="30" t="n">
        <v>119.4</v>
      </c>
      <c r="G4103" s="31" t="n">
        <f aca="false">IFERROR(F4103/D4103,0)</f>
        <v>10.8545454545455</v>
      </c>
    </row>
    <row r="4104" customFormat="false" ht="15" hidden="false" customHeight="false" outlineLevel="0" collapsed="false">
      <c r="A4104" s="28" t="n">
        <v>2024</v>
      </c>
      <c r="B4104" s="28" t="s">
        <v>117</v>
      </c>
      <c r="C4104" s="28" t="s">
        <v>51</v>
      </c>
      <c r="D4104" s="28" t="n">
        <v>16</v>
      </c>
      <c r="E4104" s="29" t="n">
        <v>5059000</v>
      </c>
      <c r="F4104" s="30" t="n">
        <v>145.69</v>
      </c>
      <c r="G4104" s="31" t="n">
        <f aca="false">IFERROR(F4104/D4104,0)</f>
        <v>9.105625</v>
      </c>
    </row>
    <row r="4105" customFormat="false" ht="15" hidden="false" customHeight="false" outlineLevel="0" collapsed="false">
      <c r="A4105" s="28" t="n">
        <v>2024</v>
      </c>
      <c r="B4105" s="28" t="s">
        <v>117</v>
      </c>
      <c r="C4105" s="28" t="s">
        <v>45</v>
      </c>
      <c r="D4105" s="28" t="n">
        <v>62</v>
      </c>
      <c r="E4105" s="29" t="n">
        <v>25982100</v>
      </c>
      <c r="F4105" s="30" t="n">
        <v>611.43</v>
      </c>
      <c r="G4105" s="31" t="n">
        <f aca="false">IFERROR(F4105/D4105,0)</f>
        <v>9.86177419354839</v>
      </c>
    </row>
    <row r="4106" customFormat="false" ht="15" hidden="false" customHeight="false" outlineLevel="0" collapsed="false">
      <c r="A4106" s="28" t="n">
        <v>2024</v>
      </c>
      <c r="B4106" s="28" t="s">
        <v>117</v>
      </c>
      <c r="C4106" s="28" t="s">
        <v>56</v>
      </c>
      <c r="D4106" s="28" t="n">
        <v>2</v>
      </c>
      <c r="E4106" s="29" t="n">
        <v>366000</v>
      </c>
      <c r="F4106" s="30" t="n">
        <v>20.5</v>
      </c>
      <c r="G4106" s="31" t="n">
        <f aca="false">IFERROR(F4106/D4106,0)</f>
        <v>10.25</v>
      </c>
    </row>
    <row r="4107" customFormat="false" ht="15" hidden="false" customHeight="false" outlineLevel="0" collapsed="false">
      <c r="A4107" s="28" t="n">
        <v>2024</v>
      </c>
      <c r="B4107" s="28" t="s">
        <v>117</v>
      </c>
      <c r="C4107" s="28" t="s">
        <v>54</v>
      </c>
      <c r="D4107" s="28" t="n">
        <v>7</v>
      </c>
      <c r="E4107" s="29" t="n">
        <v>1286000</v>
      </c>
      <c r="F4107" s="30" t="n">
        <v>78.5</v>
      </c>
      <c r="G4107" s="31" t="n">
        <f aca="false">IFERROR(F4107/D4107,0)</f>
        <v>11.2142857142857</v>
      </c>
    </row>
    <row r="4108" customFormat="false" ht="15" hidden="false" customHeight="false" outlineLevel="0" collapsed="false">
      <c r="A4108" s="28" t="n">
        <v>2024</v>
      </c>
      <c r="B4108" s="28" t="s">
        <v>117</v>
      </c>
      <c r="C4108" s="28" t="s">
        <v>44</v>
      </c>
      <c r="D4108" s="28" t="n">
        <v>34</v>
      </c>
      <c r="E4108" s="29" t="n">
        <v>22096900</v>
      </c>
      <c r="F4108" s="30" t="n">
        <v>323.235</v>
      </c>
      <c r="G4108" s="31" t="n">
        <f aca="false">IFERROR(F4108/D4108,0)</f>
        <v>9.50691176470588</v>
      </c>
    </row>
    <row r="4109" customFormat="false" ht="15" hidden="false" customHeight="false" outlineLevel="0" collapsed="false">
      <c r="A4109" s="28" t="n">
        <v>2024</v>
      </c>
      <c r="B4109" s="28" t="s">
        <v>117</v>
      </c>
      <c r="C4109" s="28" t="s">
        <v>57</v>
      </c>
      <c r="D4109" s="28" t="n">
        <v>3</v>
      </c>
      <c r="E4109" s="29" t="n">
        <v>500000</v>
      </c>
      <c r="F4109" s="30" t="n">
        <v>37.25</v>
      </c>
      <c r="G4109" s="31" t="n">
        <f aca="false">IFERROR(F4109/D4109,0)</f>
        <v>12.4166666666667</v>
      </c>
    </row>
    <row r="4110" customFormat="false" ht="15" hidden="false" customHeight="false" outlineLevel="0" collapsed="false">
      <c r="A4110" s="28" t="n">
        <v>2024</v>
      </c>
      <c r="B4110" s="28" t="s">
        <v>117</v>
      </c>
      <c r="C4110" s="28" t="s">
        <v>59</v>
      </c>
      <c r="D4110" s="28" t="n">
        <v>1</v>
      </c>
      <c r="E4110" s="29" t="n">
        <v>110000</v>
      </c>
      <c r="F4110" s="30" t="n">
        <v>7.5</v>
      </c>
      <c r="G4110" s="31" t="n">
        <f aca="false">IFERROR(F4110/D4110,0)</f>
        <v>7.5</v>
      </c>
    </row>
    <row r="4111" customFormat="false" ht="15" hidden="false" customHeight="false" outlineLevel="0" collapsed="false">
      <c r="A4111" s="28" t="n">
        <v>2024</v>
      </c>
      <c r="B4111" s="28" t="s">
        <v>117</v>
      </c>
      <c r="C4111" s="28" t="s">
        <v>47</v>
      </c>
      <c r="D4111" s="28" t="n">
        <v>19</v>
      </c>
      <c r="E4111" s="29" t="n">
        <v>7198600</v>
      </c>
      <c r="F4111" s="30" t="n">
        <v>186.58</v>
      </c>
      <c r="G4111" s="31" t="n">
        <f aca="false">IFERROR(F4111/D4111,0)</f>
        <v>9.82</v>
      </c>
    </row>
    <row r="4112" customFormat="false" ht="15" hidden="false" customHeight="false" outlineLevel="0" collapsed="false">
      <c r="A4112" s="28" t="n">
        <v>2024</v>
      </c>
      <c r="B4112" s="28" t="s">
        <v>117</v>
      </c>
      <c r="C4112" s="28" t="s">
        <v>46</v>
      </c>
      <c r="D4112" s="28" t="n">
        <v>29</v>
      </c>
      <c r="E4112" s="29" t="n">
        <v>12968600</v>
      </c>
      <c r="F4112" s="30" t="n">
        <v>291.54</v>
      </c>
      <c r="G4112" s="31" t="n">
        <f aca="false">IFERROR(F4112/D4112,0)</f>
        <v>10.0531034482759</v>
      </c>
    </row>
    <row r="4113" customFormat="false" ht="15" hidden="false" customHeight="false" outlineLevel="0" collapsed="false">
      <c r="A4113" s="28" t="n">
        <v>2024</v>
      </c>
      <c r="B4113" s="28" t="s">
        <v>117</v>
      </c>
      <c r="C4113" s="28" t="s">
        <v>48</v>
      </c>
      <c r="D4113" s="28" t="n">
        <v>26</v>
      </c>
      <c r="E4113" s="29" t="n">
        <v>5740500</v>
      </c>
      <c r="F4113" s="30" t="n">
        <v>263.65</v>
      </c>
      <c r="G4113" s="31" t="n">
        <f aca="false">IFERROR(F4113/D4113,0)</f>
        <v>10.1403846153846</v>
      </c>
    </row>
    <row r="4114" customFormat="false" ht="15" hidden="false" customHeight="false" outlineLevel="0" collapsed="false">
      <c r="A4114" s="28" t="n">
        <v>2024</v>
      </c>
      <c r="B4114" s="28" t="s">
        <v>117</v>
      </c>
      <c r="C4114" s="28" t="s">
        <v>53</v>
      </c>
      <c r="D4114" s="28" t="n">
        <v>5</v>
      </c>
      <c r="E4114" s="29" t="n">
        <v>542800</v>
      </c>
      <c r="F4114" s="30" t="n">
        <v>49.74</v>
      </c>
      <c r="G4114" s="31" t="n">
        <f aca="false">IFERROR(F4114/D4114,0)</f>
        <v>9.948</v>
      </c>
    </row>
    <row r="4115" customFormat="false" ht="15" hidden="false" customHeight="false" outlineLevel="0" collapsed="false">
      <c r="A4115" s="28" t="n">
        <v>2024</v>
      </c>
      <c r="B4115" s="28" t="s">
        <v>117</v>
      </c>
      <c r="C4115" s="28" t="s">
        <v>43</v>
      </c>
      <c r="D4115" s="28" t="n">
        <v>41</v>
      </c>
      <c r="E4115" s="29" t="n">
        <v>19810300</v>
      </c>
      <c r="F4115" s="30" t="n">
        <v>390.75</v>
      </c>
      <c r="G4115" s="31" t="n">
        <f aca="false">IFERROR(F4115/D4115,0)</f>
        <v>9.53048780487805</v>
      </c>
    </row>
    <row r="4116" customFormat="false" ht="15" hidden="false" customHeight="false" outlineLevel="0" collapsed="false">
      <c r="A4116" s="28" t="n">
        <v>2024</v>
      </c>
      <c r="B4116" s="28" t="s">
        <v>117</v>
      </c>
      <c r="C4116" s="28" t="s">
        <v>52</v>
      </c>
      <c r="D4116" s="28" t="n">
        <v>9</v>
      </c>
      <c r="E4116" s="29" t="n">
        <v>4647300</v>
      </c>
      <c r="F4116" s="30" t="n">
        <v>97.4</v>
      </c>
      <c r="G4116" s="31" t="n">
        <f aca="false">IFERROR(F4116/D4116,0)</f>
        <v>10.8222222222222</v>
      </c>
    </row>
    <row r="4117" customFormat="false" ht="15" hidden="false" customHeight="false" outlineLevel="0" collapsed="false">
      <c r="A4117" s="28" t="n">
        <v>2024</v>
      </c>
      <c r="B4117" s="28" t="s">
        <v>117</v>
      </c>
      <c r="C4117" s="28" t="s">
        <v>49</v>
      </c>
      <c r="D4117" s="28" t="n">
        <v>17</v>
      </c>
      <c r="E4117" s="29" t="n">
        <v>8614700</v>
      </c>
      <c r="F4117" s="30" t="n">
        <v>174.4</v>
      </c>
      <c r="G4117" s="31" t="n">
        <f aca="false">IFERROR(F4117/D4117,0)</f>
        <v>10.2588235294118</v>
      </c>
    </row>
    <row r="4118" customFormat="false" ht="15" hidden="false" customHeight="false" outlineLevel="0" collapsed="false">
      <c r="A4118" s="28" t="n">
        <v>2024</v>
      </c>
      <c r="B4118" s="28" t="s">
        <v>118</v>
      </c>
      <c r="C4118" s="28" t="s">
        <v>42</v>
      </c>
      <c r="D4118" s="28" t="n">
        <v>54</v>
      </c>
      <c r="E4118" s="29" t="n">
        <v>13800700</v>
      </c>
      <c r="F4118" s="30" t="n">
        <v>558.55</v>
      </c>
      <c r="G4118" s="31" t="n">
        <f aca="false">IFERROR(F4118/D4118,0)</f>
        <v>10.3435185185185</v>
      </c>
    </row>
    <row r="4119" customFormat="false" ht="15" hidden="false" customHeight="false" outlineLevel="0" collapsed="false">
      <c r="A4119" s="28" t="n">
        <v>2024</v>
      </c>
      <c r="B4119" s="28" t="s">
        <v>118</v>
      </c>
      <c r="C4119" s="28" t="s">
        <v>50</v>
      </c>
      <c r="D4119" s="28" t="n">
        <v>58</v>
      </c>
      <c r="E4119" s="29" t="n">
        <v>14461400</v>
      </c>
      <c r="F4119" s="30" t="n">
        <v>629.72</v>
      </c>
      <c r="G4119" s="31" t="n">
        <f aca="false">IFERROR(F4119/D4119,0)</f>
        <v>10.8572413793103</v>
      </c>
    </row>
    <row r="4120" customFormat="false" ht="15" hidden="false" customHeight="false" outlineLevel="0" collapsed="false">
      <c r="A4120" s="28" t="n">
        <v>2024</v>
      </c>
      <c r="B4120" s="28" t="s">
        <v>118</v>
      </c>
      <c r="C4120" s="28" t="s">
        <v>55</v>
      </c>
      <c r="D4120" s="28" t="n">
        <v>10</v>
      </c>
      <c r="E4120" s="29" t="n">
        <v>1056000</v>
      </c>
      <c r="F4120" s="30" t="n">
        <v>98.5</v>
      </c>
      <c r="G4120" s="31" t="n">
        <f aca="false">IFERROR(F4120/D4120,0)</f>
        <v>9.85</v>
      </c>
    </row>
    <row r="4121" customFormat="false" ht="15" hidden="false" customHeight="false" outlineLevel="0" collapsed="false">
      <c r="A4121" s="28" t="n">
        <v>2024</v>
      </c>
      <c r="B4121" s="28" t="s">
        <v>118</v>
      </c>
      <c r="C4121" s="28" t="s">
        <v>51</v>
      </c>
      <c r="D4121" s="28" t="n">
        <v>19</v>
      </c>
      <c r="E4121" s="29" t="n">
        <v>11516600</v>
      </c>
      <c r="F4121" s="30" t="n">
        <v>190.34</v>
      </c>
      <c r="G4121" s="31" t="n">
        <f aca="false">IFERROR(F4121/D4121,0)</f>
        <v>10.0178947368421</v>
      </c>
    </row>
    <row r="4122" customFormat="false" ht="15" hidden="false" customHeight="false" outlineLevel="0" collapsed="false">
      <c r="A4122" s="28" t="n">
        <v>2024</v>
      </c>
      <c r="B4122" s="28" t="s">
        <v>118</v>
      </c>
      <c r="C4122" s="28" t="s">
        <v>45</v>
      </c>
      <c r="D4122" s="28" t="n">
        <v>124</v>
      </c>
      <c r="E4122" s="29" t="n">
        <v>17949700</v>
      </c>
      <c r="F4122" s="30" t="n">
        <v>1323.83</v>
      </c>
      <c r="G4122" s="31" t="n">
        <f aca="false">IFERROR(F4122/D4122,0)</f>
        <v>10.6760483870968</v>
      </c>
    </row>
    <row r="4123" customFormat="false" ht="15" hidden="false" customHeight="false" outlineLevel="0" collapsed="false">
      <c r="A4123" s="28" t="n">
        <v>2024</v>
      </c>
      <c r="B4123" s="28" t="s">
        <v>118</v>
      </c>
      <c r="C4123" s="28" t="s">
        <v>56</v>
      </c>
      <c r="D4123" s="28" t="n">
        <v>8</v>
      </c>
      <c r="E4123" s="29" t="n">
        <v>1332000</v>
      </c>
      <c r="F4123" s="30" t="n">
        <v>81.75</v>
      </c>
      <c r="G4123" s="31" t="n">
        <f aca="false">IFERROR(F4123/D4123,0)</f>
        <v>10.21875</v>
      </c>
    </row>
    <row r="4124" customFormat="false" ht="15" hidden="false" customHeight="false" outlineLevel="0" collapsed="false">
      <c r="A4124" s="28" t="n">
        <v>2024</v>
      </c>
      <c r="B4124" s="28" t="s">
        <v>118</v>
      </c>
      <c r="C4124" s="28" t="s">
        <v>54</v>
      </c>
      <c r="D4124" s="28" t="n">
        <v>4</v>
      </c>
      <c r="E4124" s="29" t="n">
        <v>2385000</v>
      </c>
      <c r="F4124" s="30" t="n">
        <v>43.5</v>
      </c>
      <c r="G4124" s="31" t="n">
        <f aca="false">IFERROR(F4124/D4124,0)</f>
        <v>10.875</v>
      </c>
    </row>
    <row r="4125" customFormat="false" ht="15" hidden="false" customHeight="false" outlineLevel="0" collapsed="false">
      <c r="A4125" s="28" t="n">
        <v>2024</v>
      </c>
      <c r="B4125" s="28" t="s">
        <v>118</v>
      </c>
      <c r="C4125" s="28" t="s">
        <v>44</v>
      </c>
      <c r="D4125" s="28" t="n">
        <v>29</v>
      </c>
      <c r="E4125" s="29" t="n">
        <v>6646500</v>
      </c>
      <c r="F4125" s="30" t="n">
        <v>300.72</v>
      </c>
      <c r="G4125" s="31" t="n">
        <f aca="false">IFERROR(F4125/D4125,0)</f>
        <v>10.3696551724138</v>
      </c>
    </row>
    <row r="4126" customFormat="false" ht="15" hidden="false" customHeight="false" outlineLevel="0" collapsed="false">
      <c r="A4126" s="28" t="n">
        <v>2024</v>
      </c>
      <c r="B4126" s="28" t="s">
        <v>118</v>
      </c>
      <c r="C4126" s="28" t="s">
        <v>57</v>
      </c>
      <c r="D4126" s="28" t="n">
        <v>4</v>
      </c>
      <c r="E4126" s="29" t="n">
        <v>411000</v>
      </c>
      <c r="F4126" s="30" t="n">
        <v>45.74</v>
      </c>
      <c r="G4126" s="31" t="n">
        <f aca="false">IFERROR(F4126/D4126,0)</f>
        <v>11.435</v>
      </c>
    </row>
    <row r="4127" customFormat="false" ht="15" hidden="false" customHeight="false" outlineLevel="0" collapsed="false">
      <c r="A4127" s="28" t="n">
        <v>2024</v>
      </c>
      <c r="B4127" s="28" t="s">
        <v>118</v>
      </c>
      <c r="C4127" s="28" t="s">
        <v>59</v>
      </c>
      <c r="D4127" s="28" t="n">
        <v>1</v>
      </c>
      <c r="E4127" s="29" t="n">
        <v>200000</v>
      </c>
      <c r="F4127" s="30" t="n">
        <v>10.5</v>
      </c>
      <c r="G4127" s="31" t="n">
        <f aca="false">IFERROR(F4127/D4127,0)</f>
        <v>10.5</v>
      </c>
    </row>
    <row r="4128" customFormat="false" ht="15" hidden="false" customHeight="false" outlineLevel="0" collapsed="false">
      <c r="A4128" s="28" t="n">
        <v>2024</v>
      </c>
      <c r="B4128" s="28" t="s">
        <v>118</v>
      </c>
      <c r="C4128" s="28" t="s">
        <v>47</v>
      </c>
      <c r="D4128" s="28" t="n">
        <v>36</v>
      </c>
      <c r="E4128" s="29" t="n">
        <v>8862400</v>
      </c>
      <c r="F4128" s="30" t="n">
        <v>352.345</v>
      </c>
      <c r="G4128" s="31" t="n">
        <f aca="false">IFERROR(F4128/D4128,0)</f>
        <v>9.78736111111111</v>
      </c>
    </row>
    <row r="4129" customFormat="false" ht="15" hidden="false" customHeight="false" outlineLevel="0" collapsed="false">
      <c r="A4129" s="28" t="n">
        <v>2024</v>
      </c>
      <c r="B4129" s="28" t="s">
        <v>118</v>
      </c>
      <c r="C4129" s="28" t="s">
        <v>46</v>
      </c>
      <c r="D4129" s="28" t="n">
        <v>54</v>
      </c>
      <c r="E4129" s="29" t="n">
        <v>13404200</v>
      </c>
      <c r="F4129" s="30" t="n">
        <v>577.95</v>
      </c>
      <c r="G4129" s="31" t="n">
        <f aca="false">IFERROR(F4129/D4129,0)</f>
        <v>10.7027777777778</v>
      </c>
    </row>
    <row r="4130" customFormat="false" ht="15" hidden="false" customHeight="false" outlineLevel="0" collapsed="false">
      <c r="A4130" s="28" t="n">
        <v>2024</v>
      </c>
      <c r="B4130" s="28" t="s">
        <v>118</v>
      </c>
      <c r="C4130" s="28" t="s">
        <v>48</v>
      </c>
      <c r="D4130" s="28" t="n">
        <v>35</v>
      </c>
      <c r="E4130" s="29" t="n">
        <v>3836600</v>
      </c>
      <c r="F4130" s="30" t="n">
        <v>402.91</v>
      </c>
      <c r="G4130" s="31" t="n">
        <f aca="false">IFERROR(F4130/D4130,0)</f>
        <v>11.5117142857143</v>
      </c>
    </row>
    <row r="4131" customFormat="false" ht="15" hidden="false" customHeight="false" outlineLevel="0" collapsed="false">
      <c r="A4131" s="28" t="n">
        <v>2024</v>
      </c>
      <c r="B4131" s="28" t="s">
        <v>118</v>
      </c>
      <c r="C4131" s="28" t="s">
        <v>53</v>
      </c>
      <c r="D4131" s="28" t="n">
        <v>13</v>
      </c>
      <c r="E4131" s="29" t="n">
        <v>3156200</v>
      </c>
      <c r="F4131" s="30" t="n">
        <v>144.85</v>
      </c>
      <c r="G4131" s="31" t="n">
        <f aca="false">IFERROR(F4131/D4131,0)</f>
        <v>11.1423076923077</v>
      </c>
    </row>
    <row r="4132" customFormat="false" ht="15" hidden="false" customHeight="false" outlineLevel="0" collapsed="false">
      <c r="A4132" s="28" t="n">
        <v>2024</v>
      </c>
      <c r="B4132" s="28" t="s">
        <v>118</v>
      </c>
      <c r="C4132" s="28" t="s">
        <v>43</v>
      </c>
      <c r="D4132" s="28" t="n">
        <v>51</v>
      </c>
      <c r="E4132" s="29" t="n">
        <v>13244800</v>
      </c>
      <c r="F4132" s="30" t="n">
        <v>538.525</v>
      </c>
      <c r="G4132" s="31" t="n">
        <f aca="false">IFERROR(F4132/D4132,0)</f>
        <v>10.5593137254902</v>
      </c>
    </row>
    <row r="4133" customFormat="false" ht="15" hidden="false" customHeight="false" outlineLevel="0" collapsed="false">
      <c r="A4133" s="28" t="n">
        <v>2024</v>
      </c>
      <c r="B4133" s="28" t="s">
        <v>118</v>
      </c>
      <c r="C4133" s="28" t="s">
        <v>52</v>
      </c>
      <c r="D4133" s="28" t="n">
        <v>18</v>
      </c>
      <c r="E4133" s="29" t="n">
        <v>2454900</v>
      </c>
      <c r="F4133" s="30" t="n">
        <v>200.39</v>
      </c>
      <c r="G4133" s="31" t="n">
        <f aca="false">IFERROR(F4133/D4133,0)</f>
        <v>11.1327777777778</v>
      </c>
    </row>
    <row r="4134" customFormat="false" ht="15" hidden="false" customHeight="false" outlineLevel="0" collapsed="false">
      <c r="A4134" s="28" t="n">
        <v>2024</v>
      </c>
      <c r="B4134" s="28" t="s">
        <v>118</v>
      </c>
      <c r="C4134" s="28" t="s">
        <v>49</v>
      </c>
      <c r="D4134" s="28" t="n">
        <v>13</v>
      </c>
      <c r="E4134" s="29" t="n">
        <v>2201000</v>
      </c>
      <c r="F4134" s="30" t="n">
        <v>134.77</v>
      </c>
      <c r="G4134" s="31" t="n">
        <f aca="false">IFERROR(F4134/D4134,0)</f>
        <v>10.3669230769231</v>
      </c>
    </row>
    <row r="4135" customFormat="false" ht="15" hidden="false" customHeight="false" outlineLevel="0" collapsed="false">
      <c r="A4135" s="28" t="n">
        <v>2024</v>
      </c>
      <c r="B4135" s="28" t="s">
        <v>91</v>
      </c>
      <c r="C4135" s="28" t="s">
        <v>42</v>
      </c>
      <c r="D4135" s="28" t="n">
        <v>219</v>
      </c>
      <c r="E4135" s="29" t="n">
        <v>109193800</v>
      </c>
      <c r="F4135" s="30" t="n">
        <v>2468.8</v>
      </c>
      <c r="G4135" s="31" t="n">
        <f aca="false">IFERROR(F4135/D4135,0)</f>
        <v>11.2730593607306</v>
      </c>
    </row>
    <row r="4136" customFormat="false" ht="15" hidden="false" customHeight="false" outlineLevel="0" collapsed="false">
      <c r="A4136" s="28" t="n">
        <v>2024</v>
      </c>
      <c r="B4136" s="28" t="s">
        <v>91</v>
      </c>
      <c r="C4136" s="28" t="s">
        <v>50</v>
      </c>
      <c r="D4136" s="28" t="n">
        <v>121</v>
      </c>
      <c r="E4136" s="29" t="n">
        <v>37590800</v>
      </c>
      <c r="F4136" s="30" t="n">
        <v>1399.16</v>
      </c>
      <c r="G4136" s="31" t="n">
        <f aca="false">IFERROR(F4136/D4136,0)</f>
        <v>11.563305785124</v>
      </c>
    </row>
    <row r="4137" customFormat="false" ht="15" hidden="false" customHeight="false" outlineLevel="0" collapsed="false">
      <c r="A4137" s="28" t="n">
        <v>2024</v>
      </c>
      <c r="B4137" s="28" t="s">
        <v>91</v>
      </c>
      <c r="C4137" s="28" t="s">
        <v>55</v>
      </c>
      <c r="D4137" s="28" t="n">
        <v>2</v>
      </c>
      <c r="E4137" s="29" t="n">
        <v>1351000</v>
      </c>
      <c r="F4137" s="30" t="n">
        <v>22.75</v>
      </c>
      <c r="G4137" s="31" t="n">
        <f aca="false">IFERROR(F4137/D4137,0)</f>
        <v>11.375</v>
      </c>
    </row>
    <row r="4138" customFormat="false" ht="15" hidden="false" customHeight="false" outlineLevel="0" collapsed="false">
      <c r="A4138" s="28" t="n">
        <v>2024</v>
      </c>
      <c r="B4138" s="28" t="s">
        <v>91</v>
      </c>
      <c r="C4138" s="28" t="s">
        <v>51</v>
      </c>
      <c r="D4138" s="28" t="n">
        <v>68</v>
      </c>
      <c r="E4138" s="29" t="n">
        <v>32870400</v>
      </c>
      <c r="F4138" s="30" t="n">
        <v>805.56</v>
      </c>
      <c r="G4138" s="31" t="n">
        <f aca="false">IFERROR(F4138/D4138,0)</f>
        <v>11.8464705882353</v>
      </c>
    </row>
    <row r="4139" customFormat="false" ht="15" hidden="false" customHeight="false" outlineLevel="0" collapsed="false">
      <c r="A4139" s="28" t="n">
        <v>2024</v>
      </c>
      <c r="B4139" s="28" t="s">
        <v>91</v>
      </c>
      <c r="C4139" s="28" t="s">
        <v>45</v>
      </c>
      <c r="D4139" s="28" t="n">
        <v>306</v>
      </c>
      <c r="E4139" s="29" t="n">
        <v>75727000</v>
      </c>
      <c r="F4139" s="30" t="n">
        <v>3637.57</v>
      </c>
      <c r="G4139" s="31" t="n">
        <f aca="false">IFERROR(F4139/D4139,0)</f>
        <v>11.8874836601307</v>
      </c>
    </row>
    <row r="4140" customFormat="false" ht="15" hidden="false" customHeight="false" outlineLevel="0" collapsed="false">
      <c r="A4140" s="28" t="n">
        <v>2024</v>
      </c>
      <c r="B4140" s="28" t="s">
        <v>91</v>
      </c>
      <c r="C4140" s="28" t="s">
        <v>56</v>
      </c>
      <c r="D4140" s="28" t="n">
        <v>27</v>
      </c>
      <c r="E4140" s="29" t="n">
        <v>11527000</v>
      </c>
      <c r="F4140" s="30" t="n">
        <v>306.18</v>
      </c>
      <c r="G4140" s="31" t="n">
        <f aca="false">IFERROR(F4140/D4140,0)</f>
        <v>11.34</v>
      </c>
    </row>
    <row r="4141" customFormat="false" ht="15" hidden="false" customHeight="false" outlineLevel="0" collapsed="false">
      <c r="A4141" s="28" t="n">
        <v>2024</v>
      </c>
      <c r="B4141" s="28" t="s">
        <v>91</v>
      </c>
      <c r="C4141" s="28" t="s">
        <v>54</v>
      </c>
      <c r="D4141" s="28" t="n">
        <v>33</v>
      </c>
      <c r="E4141" s="29" t="n">
        <v>11966900</v>
      </c>
      <c r="F4141" s="30" t="n">
        <v>390.79</v>
      </c>
      <c r="G4141" s="31" t="n">
        <f aca="false">IFERROR(F4141/D4141,0)</f>
        <v>11.8421212121212</v>
      </c>
    </row>
    <row r="4142" customFormat="false" ht="15" hidden="false" customHeight="false" outlineLevel="0" collapsed="false">
      <c r="A4142" s="28" t="n">
        <v>2024</v>
      </c>
      <c r="B4142" s="28" t="s">
        <v>91</v>
      </c>
      <c r="C4142" s="28" t="s">
        <v>44</v>
      </c>
      <c r="D4142" s="28" t="n">
        <v>201</v>
      </c>
      <c r="E4142" s="29" t="n">
        <v>97087600</v>
      </c>
      <c r="F4142" s="30" t="n">
        <v>2204.606</v>
      </c>
      <c r="G4142" s="31" t="n">
        <f aca="false">IFERROR(F4142/D4142,0)</f>
        <v>10.9681890547264</v>
      </c>
    </row>
    <row r="4143" customFormat="false" ht="15" hidden="false" customHeight="false" outlineLevel="0" collapsed="false">
      <c r="A4143" s="28" t="n">
        <v>2024</v>
      </c>
      <c r="B4143" s="28" t="s">
        <v>91</v>
      </c>
      <c r="C4143" s="28" t="s">
        <v>57</v>
      </c>
      <c r="D4143" s="28" t="n">
        <v>22</v>
      </c>
      <c r="E4143" s="29" t="n">
        <v>4614000</v>
      </c>
      <c r="F4143" s="30" t="n">
        <v>258.055</v>
      </c>
      <c r="G4143" s="31" t="n">
        <f aca="false">IFERROR(F4143/D4143,0)</f>
        <v>11.7297727272727</v>
      </c>
    </row>
    <row r="4144" customFormat="false" ht="15" hidden="false" customHeight="false" outlineLevel="0" collapsed="false">
      <c r="A4144" s="28" t="n">
        <v>2024</v>
      </c>
      <c r="B4144" s="28" t="s">
        <v>91</v>
      </c>
      <c r="C4144" s="28" t="s">
        <v>59</v>
      </c>
      <c r="D4144" s="28" t="n">
        <v>2</v>
      </c>
      <c r="E4144" s="29" t="n">
        <v>185000</v>
      </c>
      <c r="F4144" s="30" t="n">
        <v>23.5</v>
      </c>
      <c r="G4144" s="31" t="n">
        <f aca="false">IFERROR(F4144/D4144,0)</f>
        <v>11.75</v>
      </c>
    </row>
    <row r="4145" customFormat="false" ht="15" hidden="false" customHeight="false" outlineLevel="0" collapsed="false">
      <c r="A4145" s="28" t="n">
        <v>2024</v>
      </c>
      <c r="B4145" s="28" t="s">
        <v>91</v>
      </c>
      <c r="C4145" s="28" t="s">
        <v>47</v>
      </c>
      <c r="D4145" s="28" t="n">
        <v>106</v>
      </c>
      <c r="E4145" s="29" t="n">
        <v>61979300</v>
      </c>
      <c r="F4145" s="30" t="n">
        <v>1201.46</v>
      </c>
      <c r="G4145" s="31" t="n">
        <f aca="false">IFERROR(F4145/D4145,0)</f>
        <v>11.3345283018868</v>
      </c>
    </row>
    <row r="4146" customFormat="false" ht="15" hidden="false" customHeight="false" outlineLevel="0" collapsed="false">
      <c r="A4146" s="28" t="n">
        <v>2024</v>
      </c>
      <c r="B4146" s="28" t="s">
        <v>91</v>
      </c>
      <c r="C4146" s="28" t="s">
        <v>46</v>
      </c>
      <c r="D4146" s="28" t="n">
        <v>223</v>
      </c>
      <c r="E4146" s="29" t="n">
        <v>59047600</v>
      </c>
      <c r="F4146" s="30" t="n">
        <v>2643.83</v>
      </c>
      <c r="G4146" s="31" t="n">
        <f aca="false">IFERROR(F4146/D4146,0)</f>
        <v>11.8557399103139</v>
      </c>
    </row>
    <row r="4147" customFormat="false" ht="15" hidden="false" customHeight="false" outlineLevel="0" collapsed="false">
      <c r="A4147" s="28" t="n">
        <v>2024</v>
      </c>
      <c r="B4147" s="28" t="s">
        <v>91</v>
      </c>
      <c r="C4147" s="28" t="s">
        <v>48</v>
      </c>
      <c r="D4147" s="28" t="n">
        <v>217</v>
      </c>
      <c r="E4147" s="29" t="n">
        <v>54589500</v>
      </c>
      <c r="F4147" s="30" t="n">
        <v>2636.57</v>
      </c>
      <c r="G4147" s="31" t="n">
        <f aca="false">IFERROR(F4147/D4147,0)</f>
        <v>12.1500921658986</v>
      </c>
    </row>
    <row r="4148" customFormat="false" ht="15" hidden="false" customHeight="false" outlineLevel="0" collapsed="false">
      <c r="A4148" s="28" t="n">
        <v>2024</v>
      </c>
      <c r="B4148" s="28" t="s">
        <v>91</v>
      </c>
      <c r="C4148" s="28" t="s">
        <v>61</v>
      </c>
      <c r="D4148" s="28" t="n">
        <v>2</v>
      </c>
      <c r="E4148" s="29" t="n">
        <v>575000</v>
      </c>
      <c r="F4148" s="30" t="n">
        <v>22.75</v>
      </c>
      <c r="G4148" s="31" t="n">
        <f aca="false">IFERROR(F4148/D4148,0)</f>
        <v>11.375</v>
      </c>
    </row>
    <row r="4149" customFormat="false" ht="15" hidden="false" customHeight="false" outlineLevel="0" collapsed="false">
      <c r="A4149" s="28" t="n">
        <v>2024</v>
      </c>
      <c r="B4149" s="28" t="s">
        <v>91</v>
      </c>
      <c r="C4149" s="28" t="s">
        <v>53</v>
      </c>
      <c r="D4149" s="28" t="n">
        <v>52</v>
      </c>
      <c r="E4149" s="29" t="n">
        <v>12762500</v>
      </c>
      <c r="F4149" s="30" t="n">
        <v>628.63</v>
      </c>
      <c r="G4149" s="31" t="n">
        <f aca="false">IFERROR(F4149/D4149,0)</f>
        <v>12.0890384615385</v>
      </c>
    </row>
    <row r="4150" customFormat="false" ht="15" hidden="false" customHeight="false" outlineLevel="0" collapsed="false">
      <c r="A4150" s="28" t="n">
        <v>2024</v>
      </c>
      <c r="B4150" s="28" t="s">
        <v>91</v>
      </c>
      <c r="C4150" s="28" t="s">
        <v>43</v>
      </c>
      <c r="D4150" s="28" t="n">
        <v>255</v>
      </c>
      <c r="E4150" s="29" t="n">
        <v>99420400</v>
      </c>
      <c r="F4150" s="30" t="n">
        <v>3007.35</v>
      </c>
      <c r="G4150" s="31" t="n">
        <f aca="false">IFERROR(F4150/D4150,0)</f>
        <v>11.7935294117647</v>
      </c>
    </row>
    <row r="4151" customFormat="false" ht="15" hidden="false" customHeight="false" outlineLevel="0" collapsed="false">
      <c r="A4151" s="28" t="n">
        <v>2024</v>
      </c>
      <c r="B4151" s="28" t="s">
        <v>91</v>
      </c>
      <c r="C4151" s="28" t="s">
        <v>52</v>
      </c>
      <c r="D4151" s="28" t="n">
        <v>162</v>
      </c>
      <c r="E4151" s="29" t="n">
        <v>35184000</v>
      </c>
      <c r="F4151" s="30" t="n">
        <v>1928.91</v>
      </c>
      <c r="G4151" s="31" t="n">
        <f aca="false">IFERROR(F4151/D4151,0)</f>
        <v>11.9068518518519</v>
      </c>
    </row>
    <row r="4152" customFormat="false" ht="15" hidden="false" customHeight="false" outlineLevel="0" collapsed="false">
      <c r="A4152" s="28" t="n">
        <v>2024</v>
      </c>
      <c r="B4152" s="28" t="s">
        <v>91</v>
      </c>
      <c r="C4152" s="28" t="s">
        <v>60</v>
      </c>
      <c r="D4152" s="28" t="n">
        <v>3</v>
      </c>
      <c r="E4152" s="29" t="n">
        <v>1268000</v>
      </c>
      <c r="F4152" s="30" t="n">
        <v>29</v>
      </c>
      <c r="G4152" s="31" t="n">
        <f aca="false">IFERROR(F4152/D4152,0)</f>
        <v>9.66666666666667</v>
      </c>
    </row>
    <row r="4153" customFormat="false" ht="15" hidden="false" customHeight="false" outlineLevel="0" collapsed="false">
      <c r="A4153" s="28" t="n">
        <v>2024</v>
      </c>
      <c r="B4153" s="28" t="s">
        <v>91</v>
      </c>
      <c r="C4153" s="28" t="s">
        <v>49</v>
      </c>
      <c r="D4153" s="28" t="n">
        <v>149</v>
      </c>
      <c r="E4153" s="29" t="n">
        <v>60393500</v>
      </c>
      <c r="F4153" s="30" t="n">
        <v>1747.111</v>
      </c>
      <c r="G4153" s="31" t="n">
        <f aca="false">IFERROR(F4153/D4153,0)</f>
        <v>11.7255771812081</v>
      </c>
    </row>
    <row r="4154" customFormat="false" ht="15" hidden="false" customHeight="false" outlineLevel="0" collapsed="false">
      <c r="A4154" s="28" t="n">
        <v>2024</v>
      </c>
      <c r="B4154" s="28" t="s">
        <v>119</v>
      </c>
      <c r="C4154" s="28" t="s">
        <v>42</v>
      </c>
      <c r="D4154" s="28" t="n">
        <v>31</v>
      </c>
      <c r="E4154" s="29" t="n">
        <v>31917800</v>
      </c>
      <c r="F4154" s="30" t="n">
        <v>332.38</v>
      </c>
      <c r="G4154" s="31" t="n">
        <f aca="false">IFERROR(F4154/D4154,0)</f>
        <v>10.721935483871</v>
      </c>
    </row>
    <row r="4155" customFormat="false" ht="15" hidden="false" customHeight="false" outlineLevel="0" collapsed="false">
      <c r="A4155" s="28" t="n">
        <v>2024</v>
      </c>
      <c r="B4155" s="28" t="s">
        <v>119</v>
      </c>
      <c r="C4155" s="28" t="s">
        <v>50</v>
      </c>
      <c r="D4155" s="28" t="n">
        <v>10</v>
      </c>
      <c r="E4155" s="29" t="n">
        <v>1557500</v>
      </c>
      <c r="F4155" s="30" t="n">
        <v>116.72</v>
      </c>
      <c r="G4155" s="31" t="n">
        <f aca="false">IFERROR(F4155/D4155,0)</f>
        <v>11.672</v>
      </c>
    </row>
    <row r="4156" customFormat="false" ht="15" hidden="false" customHeight="false" outlineLevel="0" collapsed="false">
      <c r="A4156" s="28" t="n">
        <v>2024</v>
      </c>
      <c r="B4156" s="28" t="s">
        <v>119</v>
      </c>
      <c r="C4156" s="28" t="s">
        <v>55</v>
      </c>
      <c r="D4156" s="28" t="n">
        <v>5</v>
      </c>
      <c r="E4156" s="29" t="n">
        <v>1089000</v>
      </c>
      <c r="F4156" s="30" t="n">
        <v>58.25</v>
      </c>
      <c r="G4156" s="31" t="n">
        <f aca="false">IFERROR(F4156/D4156,0)</f>
        <v>11.65</v>
      </c>
    </row>
    <row r="4157" customFormat="false" ht="15" hidden="false" customHeight="false" outlineLevel="0" collapsed="false">
      <c r="A4157" s="28" t="n">
        <v>2024</v>
      </c>
      <c r="B4157" s="28" t="s">
        <v>119</v>
      </c>
      <c r="C4157" s="28" t="s">
        <v>51</v>
      </c>
      <c r="D4157" s="28" t="n">
        <v>6</v>
      </c>
      <c r="E4157" s="29" t="n">
        <v>1430500</v>
      </c>
      <c r="F4157" s="30" t="n">
        <v>74.49</v>
      </c>
      <c r="G4157" s="31" t="n">
        <f aca="false">IFERROR(F4157/D4157,0)</f>
        <v>12.415</v>
      </c>
    </row>
    <row r="4158" customFormat="false" ht="15" hidden="false" customHeight="false" outlineLevel="0" collapsed="false">
      <c r="A4158" s="28" t="n">
        <v>2024</v>
      </c>
      <c r="B4158" s="28" t="s">
        <v>119</v>
      </c>
      <c r="C4158" s="28" t="s">
        <v>45</v>
      </c>
      <c r="D4158" s="28" t="n">
        <v>32</v>
      </c>
      <c r="E4158" s="29" t="n">
        <v>8069800</v>
      </c>
      <c r="F4158" s="30" t="n">
        <v>360.13</v>
      </c>
      <c r="G4158" s="31" t="n">
        <f aca="false">IFERROR(F4158/D4158,0)</f>
        <v>11.2540625</v>
      </c>
    </row>
    <row r="4159" customFormat="false" ht="15" hidden="false" customHeight="false" outlineLevel="0" collapsed="false">
      <c r="A4159" s="28" t="n">
        <v>2024</v>
      </c>
      <c r="B4159" s="28" t="s">
        <v>119</v>
      </c>
      <c r="C4159" s="28" t="s">
        <v>56</v>
      </c>
      <c r="D4159" s="28" t="n">
        <v>1</v>
      </c>
      <c r="E4159" s="29" t="n">
        <v>186100</v>
      </c>
      <c r="F4159" s="30" t="n">
        <v>11.5</v>
      </c>
      <c r="G4159" s="31" t="n">
        <f aca="false">IFERROR(F4159/D4159,0)</f>
        <v>11.5</v>
      </c>
    </row>
    <row r="4160" customFormat="false" ht="15" hidden="false" customHeight="false" outlineLevel="0" collapsed="false">
      <c r="A4160" s="28" t="n">
        <v>2024</v>
      </c>
      <c r="B4160" s="28" t="s">
        <v>119</v>
      </c>
      <c r="C4160" s="28" t="s">
        <v>54</v>
      </c>
      <c r="D4160" s="28" t="n">
        <v>6</v>
      </c>
      <c r="E4160" s="29" t="n">
        <v>1003800</v>
      </c>
      <c r="F4160" s="30" t="n">
        <v>75.49</v>
      </c>
      <c r="G4160" s="31" t="n">
        <f aca="false">IFERROR(F4160/D4160,0)</f>
        <v>12.5816666666667</v>
      </c>
    </row>
    <row r="4161" customFormat="false" ht="15" hidden="false" customHeight="false" outlineLevel="0" collapsed="false">
      <c r="A4161" s="28" t="n">
        <v>2024</v>
      </c>
      <c r="B4161" s="28" t="s">
        <v>119</v>
      </c>
      <c r="C4161" s="28" t="s">
        <v>44</v>
      </c>
      <c r="D4161" s="28" t="n">
        <v>21</v>
      </c>
      <c r="E4161" s="29" t="n">
        <v>13358800</v>
      </c>
      <c r="F4161" s="30" t="n">
        <v>203.53</v>
      </c>
      <c r="G4161" s="31" t="n">
        <f aca="false">IFERROR(F4161/D4161,0)</f>
        <v>9.69190476190476</v>
      </c>
    </row>
    <row r="4162" customFormat="false" ht="15" hidden="false" customHeight="false" outlineLevel="0" collapsed="false">
      <c r="A4162" s="28" t="n">
        <v>2024</v>
      </c>
      <c r="B4162" s="28" t="s">
        <v>119</v>
      </c>
      <c r="C4162" s="28" t="s">
        <v>57</v>
      </c>
      <c r="D4162" s="28" t="n">
        <v>5</v>
      </c>
      <c r="E4162" s="29" t="n">
        <v>228000</v>
      </c>
      <c r="F4162" s="30" t="n">
        <v>58.5</v>
      </c>
      <c r="G4162" s="31" t="n">
        <f aca="false">IFERROR(F4162/D4162,0)</f>
        <v>11.7</v>
      </c>
    </row>
    <row r="4163" customFormat="false" ht="15" hidden="false" customHeight="false" outlineLevel="0" collapsed="false">
      <c r="A4163" s="28" t="n">
        <v>2024</v>
      </c>
      <c r="B4163" s="28" t="s">
        <v>119</v>
      </c>
      <c r="C4163" s="28" t="s">
        <v>47</v>
      </c>
      <c r="D4163" s="28" t="n">
        <v>19</v>
      </c>
      <c r="E4163" s="29" t="n">
        <v>12223000</v>
      </c>
      <c r="F4163" s="30" t="n">
        <v>202.07</v>
      </c>
      <c r="G4163" s="31" t="n">
        <f aca="false">IFERROR(F4163/D4163,0)</f>
        <v>10.6352631578947</v>
      </c>
    </row>
    <row r="4164" customFormat="false" ht="15" hidden="false" customHeight="false" outlineLevel="0" collapsed="false">
      <c r="A4164" s="28" t="n">
        <v>2024</v>
      </c>
      <c r="B4164" s="28" t="s">
        <v>119</v>
      </c>
      <c r="C4164" s="28" t="s">
        <v>58</v>
      </c>
      <c r="D4164" s="28" t="n">
        <v>6</v>
      </c>
      <c r="E4164" s="29" t="n">
        <v>6266100</v>
      </c>
      <c r="F4164" s="30" t="n">
        <v>58</v>
      </c>
      <c r="G4164" s="31" t="n">
        <f aca="false">IFERROR(F4164/D4164,0)</f>
        <v>9.66666666666667</v>
      </c>
    </row>
    <row r="4165" customFormat="false" ht="15" hidden="false" customHeight="false" outlineLevel="0" collapsed="false">
      <c r="A4165" s="28" t="n">
        <v>2024</v>
      </c>
      <c r="B4165" s="28" t="s">
        <v>119</v>
      </c>
      <c r="C4165" s="28" t="s">
        <v>46</v>
      </c>
      <c r="D4165" s="28" t="n">
        <v>25</v>
      </c>
      <c r="E4165" s="29" t="n">
        <v>6405900</v>
      </c>
      <c r="F4165" s="30" t="n">
        <v>280.03</v>
      </c>
      <c r="G4165" s="31" t="n">
        <f aca="false">IFERROR(F4165/D4165,0)</f>
        <v>11.2012</v>
      </c>
    </row>
    <row r="4166" customFormat="false" ht="15" hidden="false" customHeight="false" outlineLevel="0" collapsed="false">
      <c r="A4166" s="28" t="n">
        <v>2024</v>
      </c>
      <c r="B4166" s="28" t="s">
        <v>119</v>
      </c>
      <c r="C4166" s="28" t="s">
        <v>48</v>
      </c>
      <c r="D4166" s="28" t="n">
        <v>16</v>
      </c>
      <c r="E4166" s="29" t="n">
        <v>5121700</v>
      </c>
      <c r="F4166" s="30" t="n">
        <v>155</v>
      </c>
      <c r="G4166" s="31" t="n">
        <f aca="false">IFERROR(F4166/D4166,0)</f>
        <v>9.6875</v>
      </c>
    </row>
    <row r="4167" customFormat="false" ht="15" hidden="false" customHeight="false" outlineLevel="0" collapsed="false">
      <c r="A4167" s="28" t="n">
        <v>2024</v>
      </c>
      <c r="B4167" s="28" t="s">
        <v>119</v>
      </c>
      <c r="C4167" s="28" t="s">
        <v>53</v>
      </c>
      <c r="D4167" s="28" t="n">
        <v>8</v>
      </c>
      <c r="E4167" s="29" t="n">
        <v>5570500</v>
      </c>
      <c r="F4167" s="30" t="n">
        <v>77.5</v>
      </c>
      <c r="G4167" s="31" t="n">
        <f aca="false">IFERROR(F4167/D4167,0)</f>
        <v>9.6875</v>
      </c>
    </row>
    <row r="4168" customFormat="false" ht="15" hidden="false" customHeight="false" outlineLevel="0" collapsed="false">
      <c r="A4168" s="28" t="n">
        <v>2024</v>
      </c>
      <c r="B4168" s="28" t="s">
        <v>119</v>
      </c>
      <c r="C4168" s="28" t="s">
        <v>43</v>
      </c>
      <c r="D4168" s="28" t="n">
        <v>25</v>
      </c>
      <c r="E4168" s="29" t="n">
        <v>11350000</v>
      </c>
      <c r="F4168" s="30" t="n">
        <v>276.72</v>
      </c>
      <c r="G4168" s="31" t="n">
        <f aca="false">IFERROR(F4168/D4168,0)</f>
        <v>11.0688</v>
      </c>
    </row>
    <row r="4169" customFormat="false" ht="15" hidden="false" customHeight="false" outlineLevel="0" collapsed="false">
      <c r="A4169" s="28" t="n">
        <v>2024</v>
      </c>
      <c r="B4169" s="28" t="s">
        <v>119</v>
      </c>
      <c r="C4169" s="28" t="s">
        <v>52</v>
      </c>
      <c r="D4169" s="28" t="n">
        <v>10</v>
      </c>
      <c r="E4169" s="29" t="n">
        <v>4042500</v>
      </c>
      <c r="F4169" s="30" t="n">
        <v>129.24</v>
      </c>
      <c r="G4169" s="31" t="n">
        <f aca="false">IFERROR(F4169/D4169,0)</f>
        <v>12.924</v>
      </c>
    </row>
    <row r="4170" customFormat="false" ht="15" hidden="false" customHeight="false" outlineLevel="0" collapsed="false">
      <c r="A4170" s="28" t="n">
        <v>2024</v>
      </c>
      <c r="B4170" s="28" t="s">
        <v>119</v>
      </c>
      <c r="C4170" s="28" t="s">
        <v>60</v>
      </c>
      <c r="D4170" s="28" t="n">
        <v>1</v>
      </c>
      <c r="E4170" s="29" t="n">
        <v>150000</v>
      </c>
      <c r="F4170" s="30" t="n">
        <v>13.25</v>
      </c>
      <c r="G4170" s="31" t="n">
        <f aca="false">IFERROR(F4170/D4170,0)</f>
        <v>13.25</v>
      </c>
    </row>
    <row r="4171" customFormat="false" ht="15" hidden="false" customHeight="false" outlineLevel="0" collapsed="false">
      <c r="A4171" s="28" t="n">
        <v>2024</v>
      </c>
      <c r="B4171" s="28" t="s">
        <v>119</v>
      </c>
      <c r="C4171" s="28" t="s">
        <v>49</v>
      </c>
      <c r="D4171" s="28" t="n">
        <v>9</v>
      </c>
      <c r="E4171" s="29" t="n">
        <v>7572100</v>
      </c>
      <c r="F4171" s="30" t="n">
        <v>98.363</v>
      </c>
      <c r="G4171" s="31" t="n">
        <f aca="false">IFERROR(F4171/D4171,0)</f>
        <v>10.9292222222222</v>
      </c>
    </row>
    <row r="4172" customFormat="false" ht="15" hidden="false" customHeight="false" outlineLevel="0" collapsed="false">
      <c r="A4172" s="28" t="n">
        <v>2024</v>
      </c>
      <c r="B4172" s="28" t="s">
        <v>112</v>
      </c>
      <c r="C4172" s="28" t="s">
        <v>42</v>
      </c>
      <c r="D4172" s="28" t="n">
        <v>70</v>
      </c>
      <c r="E4172" s="29" t="n">
        <v>44680400</v>
      </c>
      <c r="F4172" s="30" t="n">
        <v>737.03</v>
      </c>
      <c r="G4172" s="31" t="n">
        <f aca="false">IFERROR(F4172/D4172,0)</f>
        <v>10.529</v>
      </c>
    </row>
    <row r="4173" customFormat="false" ht="15" hidden="false" customHeight="false" outlineLevel="0" collapsed="false">
      <c r="A4173" s="28" t="n">
        <v>2024</v>
      </c>
      <c r="B4173" s="28" t="s">
        <v>112</v>
      </c>
      <c r="C4173" s="28" t="s">
        <v>50</v>
      </c>
      <c r="D4173" s="28" t="n">
        <v>34</v>
      </c>
      <c r="E4173" s="29" t="n">
        <v>9532400</v>
      </c>
      <c r="F4173" s="30" t="n">
        <v>402.96</v>
      </c>
      <c r="G4173" s="31" t="n">
        <f aca="false">IFERROR(F4173/D4173,0)</f>
        <v>11.8517647058824</v>
      </c>
    </row>
    <row r="4174" customFormat="false" ht="15" hidden="false" customHeight="false" outlineLevel="0" collapsed="false">
      <c r="A4174" s="28" t="n">
        <v>2024</v>
      </c>
      <c r="B4174" s="28" t="s">
        <v>112</v>
      </c>
      <c r="C4174" s="28" t="s">
        <v>55</v>
      </c>
      <c r="D4174" s="28" t="n">
        <v>3</v>
      </c>
      <c r="E4174" s="29" t="n">
        <v>411500</v>
      </c>
      <c r="F4174" s="30" t="n">
        <v>37.49</v>
      </c>
      <c r="G4174" s="31" t="n">
        <f aca="false">IFERROR(F4174/D4174,0)</f>
        <v>12.4966666666667</v>
      </c>
    </row>
    <row r="4175" customFormat="false" ht="15" hidden="false" customHeight="false" outlineLevel="0" collapsed="false">
      <c r="A4175" s="28" t="n">
        <v>2024</v>
      </c>
      <c r="B4175" s="28" t="s">
        <v>112</v>
      </c>
      <c r="C4175" s="28" t="s">
        <v>51</v>
      </c>
      <c r="D4175" s="28" t="n">
        <v>31</v>
      </c>
      <c r="E4175" s="29" t="n">
        <v>20251800</v>
      </c>
      <c r="F4175" s="30" t="n">
        <v>356.83</v>
      </c>
      <c r="G4175" s="31" t="n">
        <f aca="false">IFERROR(F4175/D4175,0)</f>
        <v>11.5106451612903</v>
      </c>
    </row>
    <row r="4176" customFormat="false" ht="15" hidden="false" customHeight="false" outlineLevel="0" collapsed="false">
      <c r="A4176" s="28" t="n">
        <v>2024</v>
      </c>
      <c r="B4176" s="28" t="s">
        <v>112</v>
      </c>
      <c r="C4176" s="28" t="s">
        <v>45</v>
      </c>
      <c r="D4176" s="28" t="n">
        <v>81</v>
      </c>
      <c r="E4176" s="29" t="n">
        <v>31522000</v>
      </c>
      <c r="F4176" s="30" t="n">
        <v>897.61</v>
      </c>
      <c r="G4176" s="31" t="n">
        <f aca="false">IFERROR(F4176/D4176,0)</f>
        <v>11.0816049382716</v>
      </c>
    </row>
    <row r="4177" customFormat="false" ht="15" hidden="false" customHeight="false" outlineLevel="0" collapsed="false">
      <c r="A4177" s="28" t="n">
        <v>2024</v>
      </c>
      <c r="B4177" s="28" t="s">
        <v>112</v>
      </c>
      <c r="C4177" s="28" t="s">
        <v>56</v>
      </c>
      <c r="D4177" s="28" t="n">
        <v>17</v>
      </c>
      <c r="E4177" s="29" t="n">
        <v>13471300</v>
      </c>
      <c r="F4177" s="30" t="n">
        <v>180.18</v>
      </c>
      <c r="G4177" s="31" t="n">
        <f aca="false">IFERROR(F4177/D4177,0)</f>
        <v>10.5988235294118</v>
      </c>
    </row>
    <row r="4178" customFormat="false" ht="15" hidden="false" customHeight="false" outlineLevel="0" collapsed="false">
      <c r="A4178" s="28" t="n">
        <v>2024</v>
      </c>
      <c r="B4178" s="28" t="s">
        <v>112</v>
      </c>
      <c r="C4178" s="28" t="s">
        <v>54</v>
      </c>
      <c r="D4178" s="28" t="n">
        <v>13</v>
      </c>
      <c r="E4178" s="29" t="n">
        <v>5395400</v>
      </c>
      <c r="F4178" s="30" t="n">
        <v>142.77</v>
      </c>
      <c r="G4178" s="31" t="n">
        <f aca="false">IFERROR(F4178/D4178,0)</f>
        <v>10.9823076923077</v>
      </c>
    </row>
    <row r="4179" customFormat="false" ht="15" hidden="false" customHeight="false" outlineLevel="0" collapsed="false">
      <c r="A4179" s="28" t="n">
        <v>2024</v>
      </c>
      <c r="B4179" s="28" t="s">
        <v>112</v>
      </c>
      <c r="C4179" s="28" t="s">
        <v>44</v>
      </c>
      <c r="D4179" s="28" t="n">
        <v>71</v>
      </c>
      <c r="E4179" s="29" t="n">
        <v>45090100</v>
      </c>
      <c r="F4179" s="30" t="n">
        <v>751.38</v>
      </c>
      <c r="G4179" s="31" t="n">
        <f aca="false">IFERROR(F4179/D4179,0)</f>
        <v>10.5828169014085</v>
      </c>
    </row>
    <row r="4180" customFormat="false" ht="15" hidden="false" customHeight="false" outlineLevel="0" collapsed="false">
      <c r="A4180" s="28" t="n">
        <v>2024</v>
      </c>
      <c r="B4180" s="28" t="s">
        <v>112</v>
      </c>
      <c r="C4180" s="28" t="s">
        <v>57</v>
      </c>
      <c r="D4180" s="28" t="n">
        <v>4</v>
      </c>
      <c r="E4180" s="29" t="n">
        <v>2242200</v>
      </c>
      <c r="F4180" s="30" t="n">
        <v>48.75</v>
      </c>
      <c r="G4180" s="31" t="n">
        <f aca="false">IFERROR(F4180/D4180,0)</f>
        <v>12.1875</v>
      </c>
    </row>
    <row r="4181" customFormat="false" ht="15" hidden="false" customHeight="false" outlineLevel="0" collapsed="false">
      <c r="A4181" s="28" t="n">
        <v>2024</v>
      </c>
      <c r="B4181" s="28" t="s">
        <v>112</v>
      </c>
      <c r="C4181" s="28" t="s">
        <v>47</v>
      </c>
      <c r="D4181" s="28" t="n">
        <v>29</v>
      </c>
      <c r="E4181" s="29" t="n">
        <v>14865600</v>
      </c>
      <c r="F4181" s="30" t="n">
        <v>340.98</v>
      </c>
      <c r="G4181" s="31" t="n">
        <f aca="false">IFERROR(F4181/D4181,0)</f>
        <v>11.7579310344828</v>
      </c>
    </row>
    <row r="4182" customFormat="false" ht="15" hidden="false" customHeight="false" outlineLevel="0" collapsed="false">
      <c r="A4182" s="28" t="n">
        <v>2024</v>
      </c>
      <c r="B4182" s="28" t="s">
        <v>112</v>
      </c>
      <c r="C4182" s="28" t="s">
        <v>46</v>
      </c>
      <c r="D4182" s="28" t="n">
        <v>65</v>
      </c>
      <c r="E4182" s="29" t="n">
        <v>28433000</v>
      </c>
      <c r="F4182" s="30" t="n">
        <v>710.27</v>
      </c>
      <c r="G4182" s="31" t="n">
        <f aca="false">IFERROR(F4182/D4182,0)</f>
        <v>10.9272307692308</v>
      </c>
    </row>
    <row r="4183" customFormat="false" ht="15" hidden="false" customHeight="false" outlineLevel="0" collapsed="false">
      <c r="A4183" s="28" t="n">
        <v>2024</v>
      </c>
      <c r="B4183" s="28" t="s">
        <v>112</v>
      </c>
      <c r="C4183" s="28" t="s">
        <v>48</v>
      </c>
      <c r="D4183" s="28" t="n">
        <v>75</v>
      </c>
      <c r="E4183" s="29" t="n">
        <v>27820000</v>
      </c>
      <c r="F4183" s="30" t="n">
        <v>868.07</v>
      </c>
      <c r="G4183" s="31" t="n">
        <f aca="false">IFERROR(F4183/D4183,0)</f>
        <v>11.5742666666667</v>
      </c>
    </row>
    <row r="4184" customFormat="false" ht="15" hidden="false" customHeight="false" outlineLevel="0" collapsed="false">
      <c r="A4184" s="28" t="n">
        <v>2024</v>
      </c>
      <c r="B4184" s="28" t="s">
        <v>112</v>
      </c>
      <c r="C4184" s="28" t="s">
        <v>61</v>
      </c>
      <c r="D4184" s="28" t="n">
        <v>2</v>
      </c>
      <c r="E4184" s="29" t="n">
        <v>5000000</v>
      </c>
      <c r="F4184" s="30" t="n">
        <v>22.5</v>
      </c>
      <c r="G4184" s="31" t="n">
        <f aca="false">IFERROR(F4184/D4184,0)</f>
        <v>11.25</v>
      </c>
    </row>
    <row r="4185" customFormat="false" ht="15" hidden="false" customHeight="false" outlineLevel="0" collapsed="false">
      <c r="A4185" s="28" t="n">
        <v>2024</v>
      </c>
      <c r="B4185" s="28" t="s">
        <v>112</v>
      </c>
      <c r="C4185" s="28" t="s">
        <v>53</v>
      </c>
      <c r="D4185" s="28" t="n">
        <v>24</v>
      </c>
      <c r="E4185" s="29" t="n">
        <v>10031200</v>
      </c>
      <c r="F4185" s="30" t="n">
        <v>256.92</v>
      </c>
      <c r="G4185" s="31" t="n">
        <f aca="false">IFERROR(F4185/D4185,0)</f>
        <v>10.705</v>
      </c>
    </row>
    <row r="4186" customFormat="false" ht="15" hidden="false" customHeight="false" outlineLevel="0" collapsed="false">
      <c r="A4186" s="28" t="n">
        <v>2024</v>
      </c>
      <c r="B4186" s="28" t="s">
        <v>112</v>
      </c>
      <c r="C4186" s="28" t="s">
        <v>43</v>
      </c>
      <c r="D4186" s="28" t="n">
        <v>72</v>
      </c>
      <c r="E4186" s="29" t="n">
        <v>27896300</v>
      </c>
      <c r="F4186" s="30" t="n">
        <v>810.72</v>
      </c>
      <c r="G4186" s="31" t="n">
        <f aca="false">IFERROR(F4186/D4186,0)</f>
        <v>11.26</v>
      </c>
    </row>
    <row r="4187" customFormat="false" ht="15" hidden="false" customHeight="false" outlineLevel="0" collapsed="false">
      <c r="A4187" s="28" t="n">
        <v>2024</v>
      </c>
      <c r="B4187" s="28" t="s">
        <v>112</v>
      </c>
      <c r="C4187" s="28" t="s">
        <v>52</v>
      </c>
      <c r="D4187" s="28" t="n">
        <v>27</v>
      </c>
      <c r="E4187" s="29" t="n">
        <v>7799800</v>
      </c>
      <c r="F4187" s="30" t="n">
        <v>324.23</v>
      </c>
      <c r="G4187" s="31" t="n">
        <f aca="false">IFERROR(F4187/D4187,0)</f>
        <v>12.0085185185185</v>
      </c>
    </row>
    <row r="4188" customFormat="false" ht="15" hidden="false" customHeight="false" outlineLevel="0" collapsed="false">
      <c r="A4188" s="28" t="n">
        <v>2024</v>
      </c>
      <c r="B4188" s="28" t="s">
        <v>112</v>
      </c>
      <c r="C4188" s="28" t="s">
        <v>60</v>
      </c>
      <c r="D4188" s="28" t="n">
        <v>2</v>
      </c>
      <c r="E4188" s="29" t="n">
        <v>300000</v>
      </c>
      <c r="F4188" s="30" t="n">
        <v>26.2</v>
      </c>
      <c r="G4188" s="31" t="n">
        <f aca="false">IFERROR(F4188/D4188,0)</f>
        <v>13.1</v>
      </c>
    </row>
    <row r="4189" customFormat="false" ht="15" hidden="false" customHeight="false" outlineLevel="0" collapsed="false">
      <c r="A4189" s="28" t="n">
        <v>2024</v>
      </c>
      <c r="B4189" s="28" t="s">
        <v>112</v>
      </c>
      <c r="C4189" s="28" t="s">
        <v>49</v>
      </c>
      <c r="D4189" s="28" t="n">
        <v>32</v>
      </c>
      <c r="E4189" s="29" t="n">
        <v>8030700</v>
      </c>
      <c r="F4189" s="30" t="n">
        <v>365.891</v>
      </c>
      <c r="G4189" s="31" t="n">
        <f aca="false">IFERROR(F4189/D4189,0)</f>
        <v>11.43409375</v>
      </c>
    </row>
    <row r="4190" customFormat="false" ht="15" hidden="false" customHeight="false" outlineLevel="0" collapsed="false">
      <c r="A4190" s="28" t="n">
        <v>2024</v>
      </c>
      <c r="B4190" s="28" t="s">
        <v>82</v>
      </c>
      <c r="C4190" s="28" t="s">
        <v>42</v>
      </c>
      <c r="D4190" s="28" t="n">
        <v>406</v>
      </c>
      <c r="E4190" s="29" t="n">
        <v>151766300</v>
      </c>
      <c r="F4190" s="30" t="n">
        <v>4625.222</v>
      </c>
      <c r="G4190" s="31" t="n">
        <f aca="false">IFERROR(F4190/D4190,0)</f>
        <v>11.3921724137931</v>
      </c>
    </row>
    <row r="4191" customFormat="false" ht="15" hidden="false" customHeight="false" outlineLevel="0" collapsed="false">
      <c r="A4191" s="28" t="n">
        <v>2024</v>
      </c>
      <c r="B4191" s="28" t="s">
        <v>82</v>
      </c>
      <c r="C4191" s="28" t="s">
        <v>50</v>
      </c>
      <c r="D4191" s="28" t="n">
        <v>214</v>
      </c>
      <c r="E4191" s="29" t="n">
        <v>59951400</v>
      </c>
      <c r="F4191" s="30" t="n">
        <v>2513.085</v>
      </c>
      <c r="G4191" s="31" t="n">
        <f aca="false">IFERROR(F4191/D4191,0)</f>
        <v>11.7433878504673</v>
      </c>
    </row>
    <row r="4192" customFormat="false" ht="15" hidden="false" customHeight="false" outlineLevel="0" collapsed="false">
      <c r="A4192" s="28" t="n">
        <v>2024</v>
      </c>
      <c r="B4192" s="28" t="s">
        <v>82</v>
      </c>
      <c r="C4192" s="28" t="s">
        <v>55</v>
      </c>
      <c r="D4192" s="28" t="n">
        <v>19</v>
      </c>
      <c r="E4192" s="29" t="n">
        <v>2328300</v>
      </c>
      <c r="F4192" s="30" t="n">
        <v>227.5</v>
      </c>
      <c r="G4192" s="31" t="n">
        <f aca="false">IFERROR(F4192/D4192,0)</f>
        <v>11.9736842105263</v>
      </c>
    </row>
    <row r="4193" customFormat="false" ht="15" hidden="false" customHeight="false" outlineLevel="0" collapsed="false">
      <c r="A4193" s="28" t="n">
        <v>2024</v>
      </c>
      <c r="B4193" s="28" t="s">
        <v>82</v>
      </c>
      <c r="C4193" s="28" t="s">
        <v>51</v>
      </c>
      <c r="D4193" s="28" t="n">
        <v>155</v>
      </c>
      <c r="E4193" s="29" t="n">
        <v>45933800</v>
      </c>
      <c r="F4193" s="30" t="n">
        <v>1795.65</v>
      </c>
      <c r="G4193" s="31" t="n">
        <f aca="false">IFERROR(F4193/D4193,0)</f>
        <v>11.5848387096774</v>
      </c>
    </row>
    <row r="4194" customFormat="false" ht="15" hidden="false" customHeight="false" outlineLevel="0" collapsed="false">
      <c r="A4194" s="28" t="n">
        <v>2024</v>
      </c>
      <c r="B4194" s="28" t="s">
        <v>82</v>
      </c>
      <c r="C4194" s="28" t="s">
        <v>45</v>
      </c>
      <c r="D4194" s="28" t="n">
        <v>570</v>
      </c>
      <c r="E4194" s="29" t="n">
        <v>163250300</v>
      </c>
      <c r="F4194" s="30" t="n">
        <v>6701.575</v>
      </c>
      <c r="G4194" s="31" t="n">
        <f aca="false">IFERROR(F4194/D4194,0)</f>
        <v>11.757149122807</v>
      </c>
    </row>
    <row r="4195" customFormat="false" ht="15" hidden="false" customHeight="false" outlineLevel="0" collapsed="false">
      <c r="A4195" s="28" t="n">
        <v>2024</v>
      </c>
      <c r="B4195" s="28" t="s">
        <v>82</v>
      </c>
      <c r="C4195" s="28" t="s">
        <v>56</v>
      </c>
      <c r="D4195" s="28" t="n">
        <v>86</v>
      </c>
      <c r="E4195" s="29" t="n">
        <v>24164800</v>
      </c>
      <c r="F4195" s="30" t="n">
        <v>1032.83</v>
      </c>
      <c r="G4195" s="31" t="n">
        <f aca="false">IFERROR(F4195/D4195,0)</f>
        <v>12.0096511627907</v>
      </c>
    </row>
    <row r="4196" customFormat="false" ht="15" hidden="false" customHeight="false" outlineLevel="0" collapsed="false">
      <c r="A4196" s="28" t="n">
        <v>2024</v>
      </c>
      <c r="B4196" s="28" t="s">
        <v>82</v>
      </c>
      <c r="C4196" s="28" t="s">
        <v>54</v>
      </c>
      <c r="D4196" s="28" t="n">
        <v>78</v>
      </c>
      <c r="E4196" s="29" t="n">
        <v>25858600</v>
      </c>
      <c r="F4196" s="30" t="n">
        <v>907.78</v>
      </c>
      <c r="G4196" s="31" t="n">
        <f aca="false">IFERROR(F4196/D4196,0)</f>
        <v>11.6382051282051</v>
      </c>
    </row>
    <row r="4197" customFormat="false" ht="15" hidden="false" customHeight="false" outlineLevel="0" collapsed="false">
      <c r="A4197" s="28" t="n">
        <v>2024</v>
      </c>
      <c r="B4197" s="28" t="s">
        <v>82</v>
      </c>
      <c r="C4197" s="28" t="s">
        <v>44</v>
      </c>
      <c r="D4197" s="28" t="n">
        <v>301</v>
      </c>
      <c r="E4197" s="29" t="n">
        <v>97683400</v>
      </c>
      <c r="F4197" s="30" t="n">
        <v>3490.975</v>
      </c>
      <c r="G4197" s="31" t="n">
        <f aca="false">IFERROR(F4197/D4197,0)</f>
        <v>11.5979235880399</v>
      </c>
    </row>
    <row r="4198" customFormat="false" ht="15" hidden="false" customHeight="false" outlineLevel="0" collapsed="false">
      <c r="A4198" s="28" t="n">
        <v>2024</v>
      </c>
      <c r="B4198" s="28" t="s">
        <v>82</v>
      </c>
      <c r="C4198" s="28" t="s">
        <v>57</v>
      </c>
      <c r="D4198" s="28" t="n">
        <v>50</v>
      </c>
      <c r="E4198" s="29" t="n">
        <v>16901900</v>
      </c>
      <c r="F4198" s="30" t="n">
        <v>614.18</v>
      </c>
      <c r="G4198" s="31" t="n">
        <f aca="false">IFERROR(F4198/D4198,0)</f>
        <v>12.2836</v>
      </c>
    </row>
    <row r="4199" customFormat="false" ht="15" hidden="false" customHeight="false" outlineLevel="0" collapsed="false">
      <c r="A4199" s="28" t="n">
        <v>2024</v>
      </c>
      <c r="B4199" s="28" t="s">
        <v>82</v>
      </c>
      <c r="C4199" s="28" t="s">
        <v>59</v>
      </c>
      <c r="D4199" s="28" t="n">
        <v>2</v>
      </c>
      <c r="E4199" s="29" t="n">
        <v>2311500</v>
      </c>
      <c r="F4199" s="30" t="n">
        <v>21.75</v>
      </c>
      <c r="G4199" s="31" t="n">
        <f aca="false">IFERROR(F4199/D4199,0)</f>
        <v>10.875</v>
      </c>
    </row>
    <row r="4200" customFormat="false" ht="15" hidden="false" customHeight="false" outlineLevel="0" collapsed="false">
      <c r="A4200" s="28" t="n">
        <v>2024</v>
      </c>
      <c r="B4200" s="28" t="s">
        <v>82</v>
      </c>
      <c r="C4200" s="28" t="s">
        <v>47</v>
      </c>
      <c r="D4200" s="28" t="n">
        <v>217</v>
      </c>
      <c r="E4200" s="29" t="n">
        <v>89078000</v>
      </c>
      <c r="F4200" s="30" t="n">
        <v>2493.38</v>
      </c>
      <c r="G4200" s="31" t="n">
        <f aca="false">IFERROR(F4200/D4200,0)</f>
        <v>11.4902304147465</v>
      </c>
    </row>
    <row r="4201" customFormat="false" ht="15" hidden="false" customHeight="false" outlineLevel="0" collapsed="false">
      <c r="A4201" s="28" t="n">
        <v>2024</v>
      </c>
      <c r="B4201" s="28" t="s">
        <v>82</v>
      </c>
      <c r="C4201" s="28" t="s">
        <v>58</v>
      </c>
      <c r="D4201" s="28" t="n">
        <v>1</v>
      </c>
      <c r="E4201" s="29" t="n">
        <v>10000</v>
      </c>
      <c r="F4201" s="30" t="n">
        <v>12.64</v>
      </c>
      <c r="G4201" s="31" t="n">
        <f aca="false">IFERROR(F4201/D4201,0)</f>
        <v>12.64</v>
      </c>
    </row>
    <row r="4202" customFormat="false" ht="15" hidden="false" customHeight="false" outlineLevel="0" collapsed="false">
      <c r="A4202" s="28" t="n">
        <v>2024</v>
      </c>
      <c r="B4202" s="28" t="s">
        <v>82</v>
      </c>
      <c r="C4202" s="28" t="s">
        <v>46</v>
      </c>
      <c r="D4202" s="28" t="n">
        <v>361</v>
      </c>
      <c r="E4202" s="29" t="n">
        <v>106264800</v>
      </c>
      <c r="F4202" s="30" t="n">
        <v>4164.475</v>
      </c>
      <c r="G4202" s="31" t="n">
        <f aca="false">IFERROR(F4202/D4202,0)</f>
        <v>11.5359418282548</v>
      </c>
    </row>
    <row r="4203" customFormat="false" ht="15" hidden="false" customHeight="false" outlineLevel="0" collapsed="false">
      <c r="A4203" s="28" t="n">
        <v>2024</v>
      </c>
      <c r="B4203" s="28" t="s">
        <v>82</v>
      </c>
      <c r="C4203" s="28" t="s">
        <v>48</v>
      </c>
      <c r="D4203" s="28" t="n">
        <v>539</v>
      </c>
      <c r="E4203" s="29" t="n">
        <v>119885200</v>
      </c>
      <c r="F4203" s="30" t="n">
        <v>6455.885</v>
      </c>
      <c r="G4203" s="31" t="n">
        <f aca="false">IFERROR(F4203/D4203,0)</f>
        <v>11.9775231910946</v>
      </c>
    </row>
    <row r="4204" customFormat="false" ht="15" hidden="false" customHeight="false" outlineLevel="0" collapsed="false">
      <c r="A4204" s="28" t="n">
        <v>2024</v>
      </c>
      <c r="B4204" s="28" t="s">
        <v>82</v>
      </c>
      <c r="C4204" s="28" t="s">
        <v>61</v>
      </c>
      <c r="D4204" s="28" t="n">
        <v>3</v>
      </c>
      <c r="E4204" s="29" t="n">
        <v>725000</v>
      </c>
      <c r="F4204" s="30" t="n">
        <v>37.5</v>
      </c>
      <c r="G4204" s="31" t="n">
        <f aca="false">IFERROR(F4204/D4204,0)</f>
        <v>12.5</v>
      </c>
    </row>
    <row r="4205" customFormat="false" ht="15" hidden="false" customHeight="false" outlineLevel="0" collapsed="false">
      <c r="A4205" s="28" t="n">
        <v>2024</v>
      </c>
      <c r="B4205" s="28" t="s">
        <v>82</v>
      </c>
      <c r="C4205" s="28" t="s">
        <v>53</v>
      </c>
      <c r="D4205" s="28" t="n">
        <v>107</v>
      </c>
      <c r="E4205" s="29" t="n">
        <v>20862100</v>
      </c>
      <c r="F4205" s="30" t="n">
        <v>1280.76</v>
      </c>
      <c r="G4205" s="31" t="n">
        <f aca="false">IFERROR(F4205/D4205,0)</f>
        <v>11.9697196261682</v>
      </c>
    </row>
    <row r="4206" customFormat="false" ht="15" hidden="false" customHeight="false" outlineLevel="0" collapsed="false">
      <c r="A4206" s="28" t="n">
        <v>2024</v>
      </c>
      <c r="B4206" s="28" t="s">
        <v>82</v>
      </c>
      <c r="C4206" s="28" t="s">
        <v>43</v>
      </c>
      <c r="D4206" s="28" t="n">
        <v>607</v>
      </c>
      <c r="E4206" s="29" t="n">
        <v>179050500</v>
      </c>
      <c r="F4206" s="30" t="n">
        <v>7122.54</v>
      </c>
      <c r="G4206" s="31" t="n">
        <f aca="false">IFERROR(F4206/D4206,0)</f>
        <v>11.7340032948929</v>
      </c>
    </row>
    <row r="4207" customFormat="false" ht="15" hidden="false" customHeight="false" outlineLevel="0" collapsed="false">
      <c r="A4207" s="28" t="n">
        <v>2024</v>
      </c>
      <c r="B4207" s="28" t="s">
        <v>82</v>
      </c>
      <c r="C4207" s="28" t="s">
        <v>52</v>
      </c>
      <c r="D4207" s="28" t="n">
        <v>195</v>
      </c>
      <c r="E4207" s="29" t="n">
        <v>25028700</v>
      </c>
      <c r="F4207" s="30" t="n">
        <v>2291.99</v>
      </c>
      <c r="G4207" s="31" t="n">
        <f aca="false">IFERROR(F4207/D4207,0)</f>
        <v>11.7537948717949</v>
      </c>
    </row>
    <row r="4208" customFormat="false" ht="15" hidden="false" customHeight="false" outlineLevel="0" collapsed="false">
      <c r="A4208" s="28" t="n">
        <v>2024</v>
      </c>
      <c r="B4208" s="28" t="s">
        <v>82</v>
      </c>
      <c r="C4208" s="28" t="s">
        <v>60</v>
      </c>
      <c r="D4208" s="28" t="n">
        <v>1</v>
      </c>
      <c r="E4208" s="29" t="n">
        <v>100000</v>
      </c>
      <c r="F4208" s="30" t="n">
        <v>10.75</v>
      </c>
      <c r="G4208" s="31" t="n">
        <f aca="false">IFERROR(F4208/D4208,0)</f>
        <v>10.75</v>
      </c>
    </row>
    <row r="4209" customFormat="false" ht="15" hidden="false" customHeight="false" outlineLevel="0" collapsed="false">
      <c r="A4209" s="28" t="n">
        <v>2024</v>
      </c>
      <c r="B4209" s="28" t="s">
        <v>82</v>
      </c>
      <c r="C4209" s="28" t="s">
        <v>49</v>
      </c>
      <c r="D4209" s="28" t="n">
        <v>307</v>
      </c>
      <c r="E4209" s="29" t="n">
        <v>96044300</v>
      </c>
      <c r="F4209" s="30" t="n">
        <v>3621.175</v>
      </c>
      <c r="G4209" s="31" t="n">
        <f aca="false">IFERROR(F4209/D4209,0)</f>
        <v>11.7953583061889</v>
      </c>
    </row>
    <row r="4210" customFormat="false" ht="15" hidden="false" customHeight="false" outlineLevel="0" collapsed="false">
      <c r="A4210" s="28" t="n">
        <v>2024</v>
      </c>
      <c r="B4210" s="28" t="s">
        <v>84</v>
      </c>
      <c r="C4210" s="28" t="s">
        <v>42</v>
      </c>
      <c r="D4210" s="28" t="n">
        <v>430</v>
      </c>
      <c r="E4210" s="29" t="n">
        <v>193385800</v>
      </c>
      <c r="F4210" s="30" t="n">
        <v>4540.895</v>
      </c>
      <c r="G4210" s="31" t="n">
        <f aca="false">IFERROR(F4210/D4210,0)</f>
        <v>10.5602209302326</v>
      </c>
    </row>
    <row r="4211" customFormat="false" ht="15" hidden="false" customHeight="false" outlineLevel="0" collapsed="false">
      <c r="A4211" s="28" t="n">
        <v>2024</v>
      </c>
      <c r="B4211" s="28" t="s">
        <v>84</v>
      </c>
      <c r="C4211" s="28" t="s">
        <v>50</v>
      </c>
      <c r="D4211" s="28" t="n">
        <v>237</v>
      </c>
      <c r="E4211" s="29" t="n">
        <v>47408100</v>
      </c>
      <c r="F4211" s="30" t="n">
        <v>2540.25</v>
      </c>
      <c r="G4211" s="31" t="n">
        <f aca="false">IFERROR(F4211/D4211,0)</f>
        <v>10.7183544303797</v>
      </c>
    </row>
    <row r="4212" customFormat="false" ht="15" hidden="false" customHeight="false" outlineLevel="0" collapsed="false">
      <c r="A4212" s="28" t="n">
        <v>2024</v>
      </c>
      <c r="B4212" s="28" t="s">
        <v>84</v>
      </c>
      <c r="C4212" s="28" t="s">
        <v>55</v>
      </c>
      <c r="D4212" s="28" t="n">
        <v>24</v>
      </c>
      <c r="E4212" s="29" t="n">
        <v>5061800</v>
      </c>
      <c r="F4212" s="30" t="n">
        <v>244.2</v>
      </c>
      <c r="G4212" s="31" t="n">
        <f aca="false">IFERROR(F4212/D4212,0)</f>
        <v>10.175</v>
      </c>
    </row>
    <row r="4213" customFormat="false" ht="15" hidden="false" customHeight="false" outlineLevel="0" collapsed="false">
      <c r="A4213" s="28" t="n">
        <v>2024</v>
      </c>
      <c r="B4213" s="28" t="s">
        <v>84</v>
      </c>
      <c r="C4213" s="28" t="s">
        <v>51</v>
      </c>
      <c r="D4213" s="28" t="n">
        <v>133</v>
      </c>
      <c r="E4213" s="29" t="n">
        <v>35671100</v>
      </c>
      <c r="F4213" s="30" t="n">
        <v>1413.945</v>
      </c>
      <c r="G4213" s="31" t="n">
        <f aca="false">IFERROR(F4213/D4213,0)</f>
        <v>10.6311654135338</v>
      </c>
    </row>
    <row r="4214" customFormat="false" ht="15" hidden="false" customHeight="false" outlineLevel="0" collapsed="false">
      <c r="A4214" s="28" t="n">
        <v>2024</v>
      </c>
      <c r="B4214" s="28" t="s">
        <v>84</v>
      </c>
      <c r="C4214" s="28" t="s">
        <v>45</v>
      </c>
      <c r="D4214" s="28" t="n">
        <v>651</v>
      </c>
      <c r="E4214" s="29" t="n">
        <v>106095600</v>
      </c>
      <c r="F4214" s="30" t="n">
        <v>7017.5</v>
      </c>
      <c r="G4214" s="31" t="n">
        <f aca="false">IFERROR(F4214/D4214,0)</f>
        <v>10.7795698924731</v>
      </c>
    </row>
    <row r="4215" customFormat="false" ht="15" hidden="false" customHeight="false" outlineLevel="0" collapsed="false">
      <c r="A4215" s="28" t="n">
        <v>2024</v>
      </c>
      <c r="B4215" s="28" t="s">
        <v>84</v>
      </c>
      <c r="C4215" s="28" t="s">
        <v>56</v>
      </c>
      <c r="D4215" s="28" t="n">
        <v>37</v>
      </c>
      <c r="E4215" s="29" t="n">
        <v>6067000</v>
      </c>
      <c r="F4215" s="30" t="n">
        <v>396.81</v>
      </c>
      <c r="G4215" s="31" t="n">
        <f aca="false">IFERROR(F4215/D4215,0)</f>
        <v>10.7245945945946</v>
      </c>
    </row>
    <row r="4216" customFormat="false" ht="15" hidden="false" customHeight="false" outlineLevel="0" collapsed="false">
      <c r="A4216" s="28" t="n">
        <v>2024</v>
      </c>
      <c r="B4216" s="28" t="s">
        <v>84</v>
      </c>
      <c r="C4216" s="28" t="s">
        <v>54</v>
      </c>
      <c r="D4216" s="28" t="n">
        <v>37</v>
      </c>
      <c r="E4216" s="29" t="n">
        <v>10298700</v>
      </c>
      <c r="F4216" s="30" t="n">
        <v>394.29</v>
      </c>
      <c r="G4216" s="31" t="n">
        <f aca="false">IFERROR(F4216/D4216,0)</f>
        <v>10.6564864864865</v>
      </c>
    </row>
    <row r="4217" customFormat="false" ht="15" hidden="false" customHeight="false" outlineLevel="0" collapsed="false">
      <c r="A4217" s="28" t="n">
        <v>2024</v>
      </c>
      <c r="B4217" s="28" t="s">
        <v>84</v>
      </c>
      <c r="C4217" s="28" t="s">
        <v>44</v>
      </c>
      <c r="D4217" s="28" t="n">
        <v>300</v>
      </c>
      <c r="E4217" s="29" t="n">
        <v>123589700</v>
      </c>
      <c r="F4217" s="30" t="n">
        <v>3226.66</v>
      </c>
      <c r="G4217" s="31" t="n">
        <f aca="false">IFERROR(F4217/D4217,0)</f>
        <v>10.7555333333333</v>
      </c>
    </row>
    <row r="4218" customFormat="false" ht="15" hidden="false" customHeight="false" outlineLevel="0" collapsed="false">
      <c r="A4218" s="28" t="n">
        <v>2024</v>
      </c>
      <c r="B4218" s="28" t="s">
        <v>84</v>
      </c>
      <c r="C4218" s="28" t="s">
        <v>57</v>
      </c>
      <c r="D4218" s="28" t="n">
        <v>16</v>
      </c>
      <c r="E4218" s="29" t="n">
        <v>4501300</v>
      </c>
      <c r="F4218" s="30" t="n">
        <v>174.15</v>
      </c>
      <c r="G4218" s="31" t="n">
        <f aca="false">IFERROR(F4218/D4218,0)</f>
        <v>10.884375</v>
      </c>
    </row>
    <row r="4219" customFormat="false" ht="15" hidden="false" customHeight="false" outlineLevel="0" collapsed="false">
      <c r="A4219" s="28" t="n">
        <v>2024</v>
      </c>
      <c r="B4219" s="28" t="s">
        <v>84</v>
      </c>
      <c r="C4219" s="28" t="s">
        <v>59</v>
      </c>
      <c r="D4219" s="28" t="n">
        <v>3</v>
      </c>
      <c r="E4219" s="29" t="n">
        <v>2799200</v>
      </c>
      <c r="F4219" s="30" t="n">
        <v>27.65</v>
      </c>
      <c r="G4219" s="31" t="n">
        <f aca="false">IFERROR(F4219/D4219,0)</f>
        <v>9.21666666666667</v>
      </c>
    </row>
    <row r="4220" customFormat="false" ht="15" hidden="false" customHeight="false" outlineLevel="0" collapsed="false">
      <c r="A4220" s="28" t="n">
        <v>2024</v>
      </c>
      <c r="B4220" s="28" t="s">
        <v>84</v>
      </c>
      <c r="C4220" s="28" t="s">
        <v>47</v>
      </c>
      <c r="D4220" s="28" t="n">
        <v>223</v>
      </c>
      <c r="E4220" s="29" t="n">
        <v>82093200</v>
      </c>
      <c r="F4220" s="30" t="n">
        <v>2329.67</v>
      </c>
      <c r="G4220" s="31" t="n">
        <f aca="false">IFERROR(F4220/D4220,0)</f>
        <v>10.4469506726457</v>
      </c>
    </row>
    <row r="4221" customFormat="false" ht="15" hidden="false" customHeight="false" outlineLevel="0" collapsed="false">
      <c r="A4221" s="28" t="n">
        <v>2024</v>
      </c>
      <c r="B4221" s="28" t="s">
        <v>84</v>
      </c>
      <c r="C4221" s="28" t="s">
        <v>46</v>
      </c>
      <c r="D4221" s="28" t="n">
        <v>342</v>
      </c>
      <c r="E4221" s="29" t="n">
        <v>77328200</v>
      </c>
      <c r="F4221" s="30" t="n">
        <v>3653.77</v>
      </c>
      <c r="G4221" s="31" t="n">
        <f aca="false">IFERROR(F4221/D4221,0)</f>
        <v>10.6835380116959</v>
      </c>
    </row>
    <row r="4222" customFormat="false" ht="15" hidden="false" customHeight="false" outlineLevel="0" collapsed="false">
      <c r="A4222" s="28" t="n">
        <v>2024</v>
      </c>
      <c r="B4222" s="28" t="s">
        <v>84</v>
      </c>
      <c r="C4222" s="28" t="s">
        <v>48</v>
      </c>
      <c r="D4222" s="28" t="n">
        <v>271</v>
      </c>
      <c r="E4222" s="29" t="n">
        <v>81474200</v>
      </c>
      <c r="F4222" s="30" t="n">
        <v>2930.78</v>
      </c>
      <c r="G4222" s="31" t="n">
        <f aca="false">IFERROR(F4222/D4222,0)</f>
        <v>10.8146863468635</v>
      </c>
    </row>
    <row r="4223" customFormat="false" ht="15" hidden="false" customHeight="false" outlineLevel="0" collapsed="false">
      <c r="A4223" s="28" t="n">
        <v>2024</v>
      </c>
      <c r="B4223" s="28" t="s">
        <v>84</v>
      </c>
      <c r="C4223" s="28" t="s">
        <v>53</v>
      </c>
      <c r="D4223" s="28" t="n">
        <v>51</v>
      </c>
      <c r="E4223" s="29" t="n">
        <v>23460300</v>
      </c>
      <c r="F4223" s="30" t="n">
        <v>562.8</v>
      </c>
      <c r="G4223" s="31" t="n">
        <f aca="false">IFERROR(F4223/D4223,0)</f>
        <v>11.0352941176471</v>
      </c>
    </row>
    <row r="4224" customFormat="false" ht="15" hidden="false" customHeight="false" outlineLevel="0" collapsed="false">
      <c r="A4224" s="28" t="n">
        <v>2024</v>
      </c>
      <c r="B4224" s="28" t="s">
        <v>84</v>
      </c>
      <c r="C4224" s="28" t="s">
        <v>43</v>
      </c>
      <c r="D4224" s="28" t="n">
        <v>331</v>
      </c>
      <c r="E4224" s="29" t="n">
        <v>99001900</v>
      </c>
      <c r="F4224" s="30" t="n">
        <v>3575.14</v>
      </c>
      <c r="G4224" s="31" t="n">
        <f aca="false">IFERROR(F4224/D4224,0)</f>
        <v>10.8010271903323</v>
      </c>
    </row>
    <row r="4225" customFormat="false" ht="15" hidden="false" customHeight="false" outlineLevel="0" collapsed="false">
      <c r="A4225" s="28" t="n">
        <v>2024</v>
      </c>
      <c r="B4225" s="28" t="s">
        <v>84</v>
      </c>
      <c r="C4225" s="28" t="s">
        <v>52</v>
      </c>
      <c r="D4225" s="28" t="n">
        <v>391</v>
      </c>
      <c r="E4225" s="29" t="n">
        <v>46081100</v>
      </c>
      <c r="F4225" s="30" t="n">
        <v>4183.57</v>
      </c>
      <c r="G4225" s="31" t="n">
        <f aca="false">IFERROR(F4225/D4225,0)</f>
        <v>10.6996675191816</v>
      </c>
    </row>
    <row r="4226" customFormat="false" ht="15" hidden="false" customHeight="false" outlineLevel="0" collapsed="false">
      <c r="A4226" s="28" t="n">
        <v>2024</v>
      </c>
      <c r="B4226" s="28" t="s">
        <v>84</v>
      </c>
      <c r="C4226" s="28" t="s">
        <v>60</v>
      </c>
      <c r="D4226" s="28" t="n">
        <v>3</v>
      </c>
      <c r="E4226" s="29" t="n">
        <v>1159000</v>
      </c>
      <c r="F4226" s="30" t="n">
        <v>31.04</v>
      </c>
      <c r="G4226" s="31" t="n">
        <f aca="false">IFERROR(F4226/D4226,0)</f>
        <v>10.3466666666667</v>
      </c>
    </row>
    <row r="4227" customFormat="false" ht="15" hidden="false" customHeight="false" outlineLevel="0" collapsed="false">
      <c r="A4227" s="28" t="n">
        <v>2024</v>
      </c>
      <c r="B4227" s="28" t="s">
        <v>84</v>
      </c>
      <c r="C4227" s="28" t="s">
        <v>49</v>
      </c>
      <c r="D4227" s="28" t="n">
        <v>85</v>
      </c>
      <c r="E4227" s="29" t="n">
        <v>35699700</v>
      </c>
      <c r="F4227" s="30" t="n">
        <v>921.89</v>
      </c>
      <c r="G4227" s="31" t="n">
        <f aca="false">IFERROR(F4227/D4227,0)</f>
        <v>10.8457647058824</v>
      </c>
    </row>
    <row r="4228" customFormat="false" ht="15" hidden="false" customHeight="false" outlineLevel="0" collapsed="false">
      <c r="A4228" s="28" t="n">
        <v>2024</v>
      </c>
      <c r="B4228" s="28" t="s">
        <v>114</v>
      </c>
      <c r="C4228" s="28" t="s">
        <v>42</v>
      </c>
      <c r="D4228" s="28" t="n">
        <v>50</v>
      </c>
      <c r="E4228" s="29" t="n">
        <v>42981700</v>
      </c>
      <c r="F4228" s="30" t="n">
        <v>504.24</v>
      </c>
      <c r="G4228" s="31" t="n">
        <f aca="false">IFERROR(F4228/D4228,0)</f>
        <v>10.0848</v>
      </c>
    </row>
    <row r="4229" customFormat="false" ht="15" hidden="false" customHeight="false" outlineLevel="0" collapsed="false">
      <c r="A4229" s="28" t="n">
        <v>2024</v>
      </c>
      <c r="B4229" s="28" t="s">
        <v>114</v>
      </c>
      <c r="C4229" s="28" t="s">
        <v>50</v>
      </c>
      <c r="D4229" s="28" t="n">
        <v>17</v>
      </c>
      <c r="E4229" s="29" t="n">
        <v>9760000</v>
      </c>
      <c r="F4229" s="30" t="n">
        <v>181</v>
      </c>
      <c r="G4229" s="31" t="n">
        <f aca="false">IFERROR(F4229/D4229,0)</f>
        <v>10.6470588235294</v>
      </c>
    </row>
    <row r="4230" customFormat="false" ht="15" hidden="false" customHeight="false" outlineLevel="0" collapsed="false">
      <c r="A4230" s="28" t="n">
        <v>2024</v>
      </c>
      <c r="B4230" s="28" t="s">
        <v>114</v>
      </c>
      <c r="C4230" s="28" t="s">
        <v>55</v>
      </c>
      <c r="D4230" s="28" t="n">
        <v>8</v>
      </c>
      <c r="E4230" s="29" t="n">
        <v>15758600</v>
      </c>
      <c r="F4230" s="30" t="n">
        <v>66.48</v>
      </c>
      <c r="G4230" s="31" t="n">
        <f aca="false">IFERROR(F4230/D4230,0)</f>
        <v>8.31</v>
      </c>
    </row>
    <row r="4231" customFormat="false" ht="15" hidden="false" customHeight="false" outlineLevel="0" collapsed="false">
      <c r="A4231" s="28" t="n">
        <v>2024</v>
      </c>
      <c r="B4231" s="28" t="s">
        <v>114</v>
      </c>
      <c r="C4231" s="28" t="s">
        <v>51</v>
      </c>
      <c r="D4231" s="28" t="n">
        <v>20</v>
      </c>
      <c r="E4231" s="29" t="n">
        <v>15935500</v>
      </c>
      <c r="F4231" s="30" t="n">
        <v>203.24</v>
      </c>
      <c r="G4231" s="31" t="n">
        <f aca="false">IFERROR(F4231/D4231,0)</f>
        <v>10.162</v>
      </c>
    </row>
    <row r="4232" customFormat="false" ht="15" hidden="false" customHeight="false" outlineLevel="0" collapsed="false">
      <c r="A4232" s="28" t="n">
        <v>2024</v>
      </c>
      <c r="B4232" s="28" t="s">
        <v>114</v>
      </c>
      <c r="C4232" s="28" t="s">
        <v>45</v>
      </c>
      <c r="D4232" s="28" t="n">
        <v>53</v>
      </c>
      <c r="E4232" s="29" t="n">
        <v>22627800</v>
      </c>
      <c r="F4232" s="30" t="n">
        <v>559.379</v>
      </c>
      <c r="G4232" s="31" t="n">
        <f aca="false">IFERROR(F4232/D4232,0)</f>
        <v>10.554320754717</v>
      </c>
    </row>
    <row r="4233" customFormat="false" ht="15" hidden="false" customHeight="false" outlineLevel="0" collapsed="false">
      <c r="A4233" s="28" t="n">
        <v>2024</v>
      </c>
      <c r="B4233" s="28" t="s">
        <v>114</v>
      </c>
      <c r="C4233" s="28" t="s">
        <v>56</v>
      </c>
      <c r="D4233" s="28" t="n">
        <v>6</v>
      </c>
      <c r="E4233" s="29" t="n">
        <v>2958900</v>
      </c>
      <c r="F4233" s="30" t="n">
        <v>61.25</v>
      </c>
      <c r="G4233" s="31" t="n">
        <f aca="false">IFERROR(F4233/D4233,0)</f>
        <v>10.2083333333333</v>
      </c>
    </row>
    <row r="4234" customFormat="false" ht="15" hidden="false" customHeight="false" outlineLevel="0" collapsed="false">
      <c r="A4234" s="28" t="n">
        <v>2024</v>
      </c>
      <c r="B4234" s="28" t="s">
        <v>114</v>
      </c>
      <c r="C4234" s="28" t="s">
        <v>54</v>
      </c>
      <c r="D4234" s="28" t="n">
        <v>13</v>
      </c>
      <c r="E4234" s="29" t="n">
        <v>9140200</v>
      </c>
      <c r="F4234" s="30" t="n">
        <v>136.21</v>
      </c>
      <c r="G4234" s="31" t="n">
        <f aca="false">IFERROR(F4234/D4234,0)</f>
        <v>10.4776923076923</v>
      </c>
    </row>
    <row r="4235" customFormat="false" ht="15" hidden="false" customHeight="false" outlineLevel="0" collapsed="false">
      <c r="A4235" s="28" t="n">
        <v>2024</v>
      </c>
      <c r="B4235" s="28" t="s">
        <v>114</v>
      </c>
      <c r="C4235" s="28" t="s">
        <v>44</v>
      </c>
      <c r="D4235" s="28" t="n">
        <v>47</v>
      </c>
      <c r="E4235" s="29" t="n">
        <v>33115500</v>
      </c>
      <c r="F4235" s="30" t="n">
        <v>499.38</v>
      </c>
      <c r="G4235" s="31" t="n">
        <f aca="false">IFERROR(F4235/D4235,0)</f>
        <v>10.6251063829787</v>
      </c>
    </row>
    <row r="4236" customFormat="false" ht="15" hidden="false" customHeight="false" outlineLevel="0" collapsed="false">
      <c r="A4236" s="28" t="n">
        <v>2024</v>
      </c>
      <c r="B4236" s="28" t="s">
        <v>114</v>
      </c>
      <c r="C4236" s="28" t="s">
        <v>57</v>
      </c>
      <c r="D4236" s="28" t="n">
        <v>4</v>
      </c>
      <c r="E4236" s="29" t="n">
        <v>3321500</v>
      </c>
      <c r="F4236" s="30" t="n">
        <v>50.25</v>
      </c>
      <c r="G4236" s="31" t="n">
        <f aca="false">IFERROR(F4236/D4236,0)</f>
        <v>12.5625</v>
      </c>
    </row>
    <row r="4237" customFormat="false" ht="15" hidden="false" customHeight="false" outlineLevel="0" collapsed="false">
      <c r="A4237" s="28" t="n">
        <v>2024</v>
      </c>
      <c r="B4237" s="28" t="s">
        <v>114</v>
      </c>
      <c r="C4237" s="28" t="s">
        <v>59</v>
      </c>
      <c r="D4237" s="28" t="n">
        <v>1</v>
      </c>
      <c r="E4237" s="29" t="n">
        <v>3235000</v>
      </c>
      <c r="F4237" s="30" t="n">
        <v>11.25</v>
      </c>
      <c r="G4237" s="31" t="n">
        <f aca="false">IFERROR(F4237/D4237,0)</f>
        <v>11.25</v>
      </c>
    </row>
    <row r="4238" customFormat="false" ht="15" hidden="false" customHeight="false" outlineLevel="0" collapsed="false">
      <c r="A4238" s="28" t="n">
        <v>2024</v>
      </c>
      <c r="B4238" s="28" t="s">
        <v>114</v>
      </c>
      <c r="C4238" s="28" t="s">
        <v>47</v>
      </c>
      <c r="D4238" s="28" t="n">
        <v>31</v>
      </c>
      <c r="E4238" s="29" t="n">
        <v>19581600</v>
      </c>
      <c r="F4238" s="30" t="n">
        <v>328.885</v>
      </c>
      <c r="G4238" s="31" t="n">
        <f aca="false">IFERROR(F4238/D4238,0)</f>
        <v>10.6091935483871</v>
      </c>
    </row>
    <row r="4239" customFormat="false" ht="15" hidden="false" customHeight="false" outlineLevel="0" collapsed="false">
      <c r="A4239" s="28" t="n">
        <v>2024</v>
      </c>
      <c r="B4239" s="28" t="s">
        <v>114</v>
      </c>
      <c r="C4239" s="28" t="s">
        <v>58</v>
      </c>
      <c r="D4239" s="28" t="n">
        <v>5</v>
      </c>
      <c r="E4239" s="29" t="n">
        <v>2366600</v>
      </c>
      <c r="F4239" s="30" t="n">
        <v>49.759</v>
      </c>
      <c r="G4239" s="31" t="n">
        <f aca="false">IFERROR(F4239/D4239,0)</f>
        <v>9.9518</v>
      </c>
    </row>
    <row r="4240" customFormat="false" ht="15" hidden="false" customHeight="false" outlineLevel="0" collapsed="false">
      <c r="A4240" s="28" t="n">
        <v>2024</v>
      </c>
      <c r="B4240" s="28" t="s">
        <v>114</v>
      </c>
      <c r="C4240" s="28" t="s">
        <v>46</v>
      </c>
      <c r="D4240" s="28" t="n">
        <v>46</v>
      </c>
      <c r="E4240" s="29" t="n">
        <v>28566300</v>
      </c>
      <c r="F4240" s="30" t="n">
        <v>490.03</v>
      </c>
      <c r="G4240" s="31" t="n">
        <f aca="false">IFERROR(F4240/D4240,0)</f>
        <v>10.6528260869565</v>
      </c>
    </row>
    <row r="4241" customFormat="false" ht="15" hidden="false" customHeight="false" outlineLevel="0" collapsed="false">
      <c r="A4241" s="28" t="n">
        <v>2024</v>
      </c>
      <c r="B4241" s="28" t="s">
        <v>114</v>
      </c>
      <c r="C4241" s="28" t="s">
        <v>48</v>
      </c>
      <c r="D4241" s="28" t="n">
        <v>27</v>
      </c>
      <c r="E4241" s="29" t="n">
        <v>12915700</v>
      </c>
      <c r="F4241" s="30" t="n">
        <v>277.1</v>
      </c>
      <c r="G4241" s="31" t="n">
        <f aca="false">IFERROR(F4241/D4241,0)</f>
        <v>10.262962962963</v>
      </c>
    </row>
    <row r="4242" customFormat="false" ht="15" hidden="false" customHeight="false" outlineLevel="0" collapsed="false">
      <c r="A4242" s="28" t="n">
        <v>2024</v>
      </c>
      <c r="B4242" s="28" t="s">
        <v>114</v>
      </c>
      <c r="C4242" s="28" t="s">
        <v>53</v>
      </c>
      <c r="D4242" s="28" t="n">
        <v>7</v>
      </c>
      <c r="E4242" s="29" t="n">
        <v>7364700</v>
      </c>
      <c r="F4242" s="30" t="n">
        <v>66.16</v>
      </c>
      <c r="G4242" s="31" t="n">
        <f aca="false">IFERROR(F4242/D4242,0)</f>
        <v>9.45142857142857</v>
      </c>
    </row>
    <row r="4243" customFormat="false" ht="15" hidden="false" customHeight="false" outlineLevel="0" collapsed="false">
      <c r="A4243" s="28" t="n">
        <v>2024</v>
      </c>
      <c r="B4243" s="28" t="s">
        <v>114</v>
      </c>
      <c r="C4243" s="28" t="s">
        <v>43</v>
      </c>
      <c r="D4243" s="28" t="n">
        <v>66</v>
      </c>
      <c r="E4243" s="29" t="n">
        <v>30738600</v>
      </c>
      <c r="F4243" s="30" t="n">
        <v>682.587</v>
      </c>
      <c r="G4243" s="31" t="n">
        <f aca="false">IFERROR(F4243/D4243,0)</f>
        <v>10.3422272727273</v>
      </c>
    </row>
    <row r="4244" customFormat="false" ht="15" hidden="false" customHeight="false" outlineLevel="0" collapsed="false">
      <c r="A4244" s="28" t="n">
        <v>2024</v>
      </c>
      <c r="B4244" s="28" t="s">
        <v>114</v>
      </c>
      <c r="C4244" s="28" t="s">
        <v>52</v>
      </c>
      <c r="D4244" s="28" t="n">
        <v>15</v>
      </c>
      <c r="E4244" s="29" t="n">
        <v>14058600</v>
      </c>
      <c r="F4244" s="30" t="n">
        <v>155.199</v>
      </c>
      <c r="G4244" s="31" t="n">
        <f aca="false">IFERROR(F4244/D4244,0)</f>
        <v>10.3466</v>
      </c>
    </row>
    <row r="4245" customFormat="false" ht="15" hidden="false" customHeight="false" outlineLevel="0" collapsed="false">
      <c r="A4245" s="28" t="n">
        <v>2024</v>
      </c>
      <c r="B4245" s="28" t="s">
        <v>114</v>
      </c>
      <c r="C4245" s="28" t="s">
        <v>49</v>
      </c>
      <c r="D4245" s="28" t="n">
        <v>12</v>
      </c>
      <c r="E4245" s="29" t="n">
        <v>13006000</v>
      </c>
      <c r="F4245" s="30" t="n">
        <v>125.5</v>
      </c>
      <c r="G4245" s="31" t="n">
        <f aca="false">IFERROR(F4245/D4245,0)</f>
        <v>10.4583333333333</v>
      </c>
    </row>
    <row r="4246" customFormat="false" ht="15" hidden="false" customHeight="false" outlineLevel="0" collapsed="false">
      <c r="A4246" s="28" t="n">
        <v>2024</v>
      </c>
      <c r="B4246" s="28" t="s">
        <v>108</v>
      </c>
      <c r="C4246" s="28" t="s">
        <v>42</v>
      </c>
      <c r="D4246" s="28" t="n">
        <v>110</v>
      </c>
      <c r="E4246" s="29" t="n">
        <v>32926100</v>
      </c>
      <c r="F4246" s="30" t="n">
        <v>1236.83</v>
      </c>
      <c r="G4246" s="31" t="n">
        <f aca="false">IFERROR(F4246/D4246,0)</f>
        <v>11.2439090909091</v>
      </c>
    </row>
    <row r="4247" customFormat="false" ht="15" hidden="false" customHeight="false" outlineLevel="0" collapsed="false">
      <c r="A4247" s="28" t="n">
        <v>2024</v>
      </c>
      <c r="B4247" s="28" t="s">
        <v>108</v>
      </c>
      <c r="C4247" s="28" t="s">
        <v>50</v>
      </c>
      <c r="D4247" s="28" t="n">
        <v>39</v>
      </c>
      <c r="E4247" s="29" t="n">
        <v>14937300</v>
      </c>
      <c r="F4247" s="30" t="n">
        <v>436.95</v>
      </c>
      <c r="G4247" s="31" t="n">
        <f aca="false">IFERROR(F4247/D4247,0)</f>
        <v>11.2038461538462</v>
      </c>
    </row>
    <row r="4248" customFormat="false" ht="15" hidden="false" customHeight="false" outlineLevel="0" collapsed="false">
      <c r="A4248" s="28" t="n">
        <v>2024</v>
      </c>
      <c r="B4248" s="28" t="s">
        <v>108</v>
      </c>
      <c r="C4248" s="28" t="s">
        <v>55</v>
      </c>
      <c r="D4248" s="28" t="n">
        <v>20</v>
      </c>
      <c r="E4248" s="29" t="n">
        <v>2701100</v>
      </c>
      <c r="F4248" s="30" t="n">
        <v>237.99</v>
      </c>
      <c r="G4248" s="31" t="n">
        <f aca="false">IFERROR(F4248/D4248,0)</f>
        <v>11.8995</v>
      </c>
    </row>
    <row r="4249" customFormat="false" ht="15" hidden="false" customHeight="false" outlineLevel="0" collapsed="false">
      <c r="A4249" s="28" t="n">
        <v>2024</v>
      </c>
      <c r="B4249" s="28" t="s">
        <v>108</v>
      </c>
      <c r="C4249" s="28" t="s">
        <v>51</v>
      </c>
      <c r="D4249" s="28" t="n">
        <v>28</v>
      </c>
      <c r="E4249" s="29" t="n">
        <v>7311400</v>
      </c>
      <c r="F4249" s="30" t="n">
        <v>319.14</v>
      </c>
      <c r="G4249" s="31" t="n">
        <f aca="false">IFERROR(F4249/D4249,0)</f>
        <v>11.3978571428571</v>
      </c>
    </row>
    <row r="4250" customFormat="false" ht="15" hidden="false" customHeight="false" outlineLevel="0" collapsed="false">
      <c r="A4250" s="28" t="n">
        <v>2024</v>
      </c>
      <c r="B4250" s="28" t="s">
        <v>108</v>
      </c>
      <c r="C4250" s="28" t="s">
        <v>45</v>
      </c>
      <c r="D4250" s="28" t="n">
        <v>166</v>
      </c>
      <c r="E4250" s="29" t="n">
        <v>38715700</v>
      </c>
      <c r="F4250" s="30" t="n">
        <v>1914.32</v>
      </c>
      <c r="G4250" s="31" t="n">
        <f aca="false">IFERROR(F4250/D4250,0)</f>
        <v>11.5320481927711</v>
      </c>
    </row>
    <row r="4251" customFormat="false" ht="15" hidden="false" customHeight="false" outlineLevel="0" collapsed="false">
      <c r="A4251" s="28" t="n">
        <v>2024</v>
      </c>
      <c r="B4251" s="28" t="s">
        <v>108</v>
      </c>
      <c r="C4251" s="28" t="s">
        <v>56</v>
      </c>
      <c r="D4251" s="28" t="n">
        <v>8</v>
      </c>
      <c r="E4251" s="29" t="n">
        <v>3537600</v>
      </c>
      <c r="F4251" s="30" t="n">
        <v>95.5</v>
      </c>
      <c r="G4251" s="31" t="n">
        <f aca="false">IFERROR(F4251/D4251,0)</f>
        <v>11.9375</v>
      </c>
    </row>
    <row r="4252" customFormat="false" ht="15" hidden="false" customHeight="false" outlineLevel="0" collapsed="false">
      <c r="A4252" s="28" t="n">
        <v>2024</v>
      </c>
      <c r="B4252" s="28" t="s">
        <v>108</v>
      </c>
      <c r="C4252" s="28" t="s">
        <v>54</v>
      </c>
      <c r="D4252" s="28" t="n">
        <v>15</v>
      </c>
      <c r="E4252" s="29" t="n">
        <v>2167500</v>
      </c>
      <c r="F4252" s="30" t="n">
        <v>171.86</v>
      </c>
      <c r="G4252" s="31" t="n">
        <f aca="false">IFERROR(F4252/D4252,0)</f>
        <v>11.4573333333333</v>
      </c>
    </row>
    <row r="4253" customFormat="false" ht="15" hidden="false" customHeight="false" outlineLevel="0" collapsed="false">
      <c r="A4253" s="28" t="n">
        <v>2024</v>
      </c>
      <c r="B4253" s="28" t="s">
        <v>108</v>
      </c>
      <c r="C4253" s="28" t="s">
        <v>44</v>
      </c>
      <c r="D4253" s="28" t="n">
        <v>85</v>
      </c>
      <c r="E4253" s="29" t="n">
        <v>22281100</v>
      </c>
      <c r="F4253" s="30" t="n">
        <v>960.17</v>
      </c>
      <c r="G4253" s="31" t="n">
        <f aca="false">IFERROR(F4253/D4253,0)</f>
        <v>11.2961176470588</v>
      </c>
    </row>
    <row r="4254" customFormat="false" ht="15" hidden="false" customHeight="false" outlineLevel="0" collapsed="false">
      <c r="A4254" s="28" t="n">
        <v>2024</v>
      </c>
      <c r="B4254" s="28" t="s">
        <v>108</v>
      </c>
      <c r="C4254" s="28" t="s">
        <v>57</v>
      </c>
      <c r="D4254" s="28" t="n">
        <v>10</v>
      </c>
      <c r="E4254" s="29" t="n">
        <v>1810600</v>
      </c>
      <c r="F4254" s="30" t="n">
        <v>112.28</v>
      </c>
      <c r="G4254" s="31" t="n">
        <f aca="false">IFERROR(F4254/D4254,0)</f>
        <v>11.228</v>
      </c>
    </row>
    <row r="4255" customFormat="false" ht="15" hidden="false" customHeight="false" outlineLevel="0" collapsed="false">
      <c r="A4255" s="28" t="n">
        <v>2024</v>
      </c>
      <c r="B4255" s="28" t="s">
        <v>108</v>
      </c>
      <c r="C4255" s="28" t="s">
        <v>59</v>
      </c>
      <c r="D4255" s="28" t="n">
        <v>1</v>
      </c>
      <c r="E4255" s="29" t="n">
        <v>27000</v>
      </c>
      <c r="F4255" s="30" t="n">
        <v>13.5</v>
      </c>
      <c r="G4255" s="31" t="n">
        <f aca="false">IFERROR(F4255/D4255,0)</f>
        <v>13.5</v>
      </c>
    </row>
    <row r="4256" customFormat="false" ht="15" hidden="false" customHeight="false" outlineLevel="0" collapsed="false">
      <c r="A4256" s="28" t="n">
        <v>2024</v>
      </c>
      <c r="B4256" s="28" t="s">
        <v>108</v>
      </c>
      <c r="C4256" s="28" t="s">
        <v>47</v>
      </c>
      <c r="D4256" s="28" t="n">
        <v>66</v>
      </c>
      <c r="E4256" s="29" t="n">
        <v>22897800</v>
      </c>
      <c r="F4256" s="30" t="n">
        <v>777.78</v>
      </c>
      <c r="G4256" s="31" t="n">
        <f aca="false">IFERROR(F4256/D4256,0)</f>
        <v>11.7845454545455</v>
      </c>
    </row>
    <row r="4257" customFormat="false" ht="15" hidden="false" customHeight="false" outlineLevel="0" collapsed="false">
      <c r="A4257" s="28" t="n">
        <v>2024</v>
      </c>
      <c r="B4257" s="28" t="s">
        <v>108</v>
      </c>
      <c r="C4257" s="28" t="s">
        <v>58</v>
      </c>
      <c r="D4257" s="28" t="n">
        <v>1</v>
      </c>
      <c r="E4257" s="29" t="n">
        <v>100000</v>
      </c>
      <c r="F4257" s="30" t="n">
        <v>9.5</v>
      </c>
      <c r="G4257" s="31" t="n">
        <f aca="false">IFERROR(F4257/D4257,0)</f>
        <v>9.5</v>
      </c>
    </row>
    <row r="4258" customFormat="false" ht="15" hidden="false" customHeight="false" outlineLevel="0" collapsed="false">
      <c r="A4258" s="28" t="n">
        <v>2024</v>
      </c>
      <c r="B4258" s="28" t="s">
        <v>108</v>
      </c>
      <c r="C4258" s="28" t="s">
        <v>46</v>
      </c>
      <c r="D4258" s="28" t="n">
        <v>89</v>
      </c>
      <c r="E4258" s="29" t="n">
        <v>16854700</v>
      </c>
      <c r="F4258" s="30" t="n">
        <v>1050.91</v>
      </c>
      <c r="G4258" s="31" t="n">
        <f aca="false">IFERROR(F4258/D4258,0)</f>
        <v>11.8079775280899</v>
      </c>
    </row>
    <row r="4259" customFormat="false" ht="15" hidden="false" customHeight="false" outlineLevel="0" collapsed="false">
      <c r="A4259" s="28" t="n">
        <v>2024</v>
      </c>
      <c r="B4259" s="28" t="s">
        <v>108</v>
      </c>
      <c r="C4259" s="28" t="s">
        <v>48</v>
      </c>
      <c r="D4259" s="28" t="n">
        <v>83</v>
      </c>
      <c r="E4259" s="29" t="n">
        <v>36321900</v>
      </c>
      <c r="F4259" s="30" t="n">
        <v>952.695</v>
      </c>
      <c r="G4259" s="31" t="n">
        <f aca="false">IFERROR(F4259/D4259,0)</f>
        <v>11.4782530120482</v>
      </c>
    </row>
    <row r="4260" customFormat="false" ht="15" hidden="false" customHeight="false" outlineLevel="0" collapsed="false">
      <c r="A4260" s="28" t="n">
        <v>2024</v>
      </c>
      <c r="B4260" s="28" t="s">
        <v>108</v>
      </c>
      <c r="C4260" s="28" t="s">
        <v>53</v>
      </c>
      <c r="D4260" s="28" t="n">
        <v>17</v>
      </c>
      <c r="E4260" s="29" t="n">
        <v>3469000</v>
      </c>
      <c r="F4260" s="30" t="n">
        <v>206.71</v>
      </c>
      <c r="G4260" s="31" t="n">
        <f aca="false">IFERROR(F4260/D4260,0)</f>
        <v>12.1594117647059</v>
      </c>
    </row>
    <row r="4261" customFormat="false" ht="15" hidden="false" customHeight="false" outlineLevel="0" collapsed="false">
      <c r="A4261" s="28" t="n">
        <v>2024</v>
      </c>
      <c r="B4261" s="28" t="s">
        <v>108</v>
      </c>
      <c r="C4261" s="28" t="s">
        <v>43</v>
      </c>
      <c r="D4261" s="28" t="n">
        <v>121</v>
      </c>
      <c r="E4261" s="29" t="n">
        <v>65958700</v>
      </c>
      <c r="F4261" s="30" t="n">
        <v>1402.4</v>
      </c>
      <c r="G4261" s="31" t="n">
        <f aca="false">IFERROR(F4261/D4261,0)</f>
        <v>11.5900826446281</v>
      </c>
    </row>
    <row r="4262" customFormat="false" ht="15" hidden="false" customHeight="false" outlineLevel="0" collapsed="false">
      <c r="A4262" s="28" t="n">
        <v>2024</v>
      </c>
      <c r="B4262" s="28" t="s">
        <v>108</v>
      </c>
      <c r="C4262" s="28" t="s">
        <v>52</v>
      </c>
      <c r="D4262" s="28" t="n">
        <v>42</v>
      </c>
      <c r="E4262" s="29" t="n">
        <v>7926300</v>
      </c>
      <c r="F4262" s="30" t="n">
        <v>524.89</v>
      </c>
      <c r="G4262" s="31" t="n">
        <f aca="false">IFERROR(F4262/D4262,0)</f>
        <v>12.497380952381</v>
      </c>
    </row>
    <row r="4263" customFormat="false" ht="15" hidden="false" customHeight="false" outlineLevel="0" collapsed="false">
      <c r="A4263" s="28" t="n">
        <v>2024</v>
      </c>
      <c r="B4263" s="28" t="s">
        <v>108</v>
      </c>
      <c r="C4263" s="28" t="s">
        <v>60</v>
      </c>
      <c r="D4263" s="28" t="n">
        <v>1</v>
      </c>
      <c r="E4263" s="29" t="n">
        <v>279000</v>
      </c>
      <c r="F4263" s="30" t="n">
        <v>11.25</v>
      </c>
      <c r="G4263" s="31" t="n">
        <f aca="false">IFERROR(F4263/D4263,0)</f>
        <v>11.25</v>
      </c>
    </row>
    <row r="4264" customFormat="false" ht="15" hidden="false" customHeight="false" outlineLevel="0" collapsed="false">
      <c r="A4264" s="28" t="n">
        <v>2024</v>
      </c>
      <c r="B4264" s="28" t="s">
        <v>108</v>
      </c>
      <c r="C4264" s="28" t="s">
        <v>49</v>
      </c>
      <c r="D4264" s="28" t="n">
        <v>30</v>
      </c>
      <c r="E4264" s="29" t="n">
        <v>12902300</v>
      </c>
      <c r="F4264" s="30" t="n">
        <v>340.88</v>
      </c>
      <c r="G4264" s="31" t="n">
        <f aca="false">IFERROR(F4264/D4264,0)</f>
        <v>11.3626666666667</v>
      </c>
    </row>
    <row r="4265" customFormat="false" ht="15" hidden="false" customHeight="false" outlineLevel="0" collapsed="false">
      <c r="A4265" s="28" t="n">
        <v>2024</v>
      </c>
      <c r="B4265" s="28" t="s">
        <v>93</v>
      </c>
      <c r="C4265" s="28" t="s">
        <v>42</v>
      </c>
      <c r="D4265" s="28" t="n">
        <v>282</v>
      </c>
      <c r="E4265" s="29" t="n">
        <v>160835000</v>
      </c>
      <c r="F4265" s="30" t="n">
        <v>3073.215</v>
      </c>
      <c r="G4265" s="31" t="n">
        <f aca="false">IFERROR(F4265/D4265,0)</f>
        <v>10.8979255319149</v>
      </c>
    </row>
    <row r="4266" customFormat="false" ht="15" hidden="false" customHeight="false" outlineLevel="0" collapsed="false">
      <c r="A4266" s="28" t="n">
        <v>2024</v>
      </c>
      <c r="B4266" s="28" t="s">
        <v>93</v>
      </c>
      <c r="C4266" s="28" t="s">
        <v>50</v>
      </c>
      <c r="D4266" s="28" t="n">
        <v>143</v>
      </c>
      <c r="E4266" s="29" t="n">
        <v>33256100</v>
      </c>
      <c r="F4266" s="30" t="n">
        <v>1612.83</v>
      </c>
      <c r="G4266" s="31" t="n">
        <f aca="false">IFERROR(F4266/D4266,0)</f>
        <v>11.2785314685315</v>
      </c>
    </row>
    <row r="4267" customFormat="false" ht="15" hidden="false" customHeight="false" outlineLevel="0" collapsed="false">
      <c r="A4267" s="28" t="n">
        <v>2024</v>
      </c>
      <c r="B4267" s="28" t="s">
        <v>93</v>
      </c>
      <c r="C4267" s="28" t="s">
        <v>55</v>
      </c>
      <c r="D4267" s="28" t="n">
        <v>14</v>
      </c>
      <c r="E4267" s="29" t="n">
        <v>1139000</v>
      </c>
      <c r="F4267" s="30" t="n">
        <v>165.25</v>
      </c>
      <c r="G4267" s="31" t="n">
        <f aca="false">IFERROR(F4267/D4267,0)</f>
        <v>11.8035714285714</v>
      </c>
    </row>
    <row r="4268" customFormat="false" ht="15" hidden="false" customHeight="false" outlineLevel="0" collapsed="false">
      <c r="A4268" s="28" t="n">
        <v>2024</v>
      </c>
      <c r="B4268" s="28" t="s">
        <v>93</v>
      </c>
      <c r="C4268" s="28" t="s">
        <v>51</v>
      </c>
      <c r="D4268" s="28" t="n">
        <v>75</v>
      </c>
      <c r="E4268" s="29" t="n">
        <v>28995700</v>
      </c>
      <c r="F4268" s="30" t="n">
        <v>843.63</v>
      </c>
      <c r="G4268" s="31" t="n">
        <f aca="false">IFERROR(F4268/D4268,0)</f>
        <v>11.2484</v>
      </c>
    </row>
    <row r="4269" customFormat="false" ht="15" hidden="false" customHeight="false" outlineLevel="0" collapsed="false">
      <c r="A4269" s="28" t="n">
        <v>2024</v>
      </c>
      <c r="B4269" s="28" t="s">
        <v>93</v>
      </c>
      <c r="C4269" s="28" t="s">
        <v>45</v>
      </c>
      <c r="D4269" s="28" t="n">
        <v>365</v>
      </c>
      <c r="E4269" s="29" t="n">
        <v>92325200</v>
      </c>
      <c r="F4269" s="30" t="n">
        <v>4218.06</v>
      </c>
      <c r="G4269" s="31" t="n">
        <f aca="false">IFERROR(F4269/D4269,0)</f>
        <v>11.5563287671233</v>
      </c>
    </row>
    <row r="4270" customFormat="false" ht="15" hidden="false" customHeight="false" outlineLevel="0" collapsed="false">
      <c r="A4270" s="28" t="n">
        <v>2024</v>
      </c>
      <c r="B4270" s="28" t="s">
        <v>93</v>
      </c>
      <c r="C4270" s="28" t="s">
        <v>56</v>
      </c>
      <c r="D4270" s="28" t="n">
        <v>31</v>
      </c>
      <c r="E4270" s="29" t="n">
        <v>14595100</v>
      </c>
      <c r="F4270" s="30" t="n">
        <v>344.73</v>
      </c>
      <c r="G4270" s="31" t="n">
        <f aca="false">IFERROR(F4270/D4270,0)</f>
        <v>11.1203225806452</v>
      </c>
    </row>
    <row r="4271" customFormat="false" ht="15" hidden="false" customHeight="false" outlineLevel="0" collapsed="false">
      <c r="A4271" s="28" t="n">
        <v>2024</v>
      </c>
      <c r="B4271" s="28" t="s">
        <v>93</v>
      </c>
      <c r="C4271" s="28" t="s">
        <v>54</v>
      </c>
      <c r="D4271" s="28" t="n">
        <v>30</v>
      </c>
      <c r="E4271" s="29" t="n">
        <v>13670200</v>
      </c>
      <c r="F4271" s="30" t="n">
        <v>366.04</v>
      </c>
      <c r="G4271" s="31" t="n">
        <f aca="false">IFERROR(F4271/D4271,0)</f>
        <v>12.2013333333333</v>
      </c>
    </row>
    <row r="4272" customFormat="false" ht="15" hidden="false" customHeight="false" outlineLevel="0" collapsed="false">
      <c r="A4272" s="28" t="n">
        <v>2024</v>
      </c>
      <c r="B4272" s="28" t="s">
        <v>93</v>
      </c>
      <c r="C4272" s="28" t="s">
        <v>44</v>
      </c>
      <c r="D4272" s="28" t="n">
        <v>162</v>
      </c>
      <c r="E4272" s="29" t="n">
        <v>74263300</v>
      </c>
      <c r="F4272" s="30" t="n">
        <v>1755.45</v>
      </c>
      <c r="G4272" s="31" t="n">
        <f aca="false">IFERROR(F4272/D4272,0)</f>
        <v>10.8361111111111</v>
      </c>
    </row>
    <row r="4273" customFormat="false" ht="15" hidden="false" customHeight="false" outlineLevel="0" collapsed="false">
      <c r="A4273" s="28" t="n">
        <v>2024</v>
      </c>
      <c r="B4273" s="28" t="s">
        <v>93</v>
      </c>
      <c r="C4273" s="28" t="s">
        <v>57</v>
      </c>
      <c r="D4273" s="28" t="n">
        <v>12</v>
      </c>
      <c r="E4273" s="29" t="n">
        <v>2692500</v>
      </c>
      <c r="F4273" s="30" t="n">
        <v>137.5</v>
      </c>
      <c r="G4273" s="31" t="n">
        <f aca="false">IFERROR(F4273/D4273,0)</f>
        <v>11.4583333333333</v>
      </c>
    </row>
    <row r="4274" customFormat="false" ht="15" hidden="false" customHeight="false" outlineLevel="0" collapsed="false">
      <c r="A4274" s="28" t="n">
        <v>2024</v>
      </c>
      <c r="B4274" s="28" t="s">
        <v>93</v>
      </c>
      <c r="C4274" s="28" t="s">
        <v>59</v>
      </c>
      <c r="D4274" s="28" t="n">
        <v>1</v>
      </c>
      <c r="E4274" s="29" t="n">
        <v>25000</v>
      </c>
      <c r="F4274" s="30" t="n">
        <v>15</v>
      </c>
      <c r="G4274" s="31" t="n">
        <f aca="false">IFERROR(F4274/D4274,0)</f>
        <v>15</v>
      </c>
    </row>
    <row r="4275" customFormat="false" ht="15" hidden="false" customHeight="false" outlineLevel="0" collapsed="false">
      <c r="A4275" s="28" t="n">
        <v>2024</v>
      </c>
      <c r="B4275" s="28" t="s">
        <v>93</v>
      </c>
      <c r="C4275" s="28" t="s">
        <v>47</v>
      </c>
      <c r="D4275" s="28" t="n">
        <v>140</v>
      </c>
      <c r="E4275" s="29" t="n">
        <v>64037500</v>
      </c>
      <c r="F4275" s="30" t="n">
        <v>1564.62</v>
      </c>
      <c r="G4275" s="31" t="n">
        <f aca="false">IFERROR(F4275/D4275,0)</f>
        <v>11.1758571428571</v>
      </c>
    </row>
    <row r="4276" customFormat="false" ht="15" hidden="false" customHeight="false" outlineLevel="0" collapsed="false">
      <c r="A4276" s="28" t="n">
        <v>2024</v>
      </c>
      <c r="B4276" s="28" t="s">
        <v>93</v>
      </c>
      <c r="C4276" s="28" t="s">
        <v>58</v>
      </c>
      <c r="D4276" s="28" t="n">
        <v>2</v>
      </c>
      <c r="E4276" s="29" t="n">
        <v>68000</v>
      </c>
      <c r="F4276" s="30" t="n">
        <v>18.75</v>
      </c>
      <c r="G4276" s="31" t="n">
        <f aca="false">IFERROR(F4276/D4276,0)</f>
        <v>9.375</v>
      </c>
    </row>
    <row r="4277" customFormat="false" ht="15" hidden="false" customHeight="false" outlineLevel="0" collapsed="false">
      <c r="A4277" s="28" t="n">
        <v>2024</v>
      </c>
      <c r="B4277" s="28" t="s">
        <v>93</v>
      </c>
      <c r="C4277" s="28" t="s">
        <v>46</v>
      </c>
      <c r="D4277" s="28" t="n">
        <v>242</v>
      </c>
      <c r="E4277" s="29" t="n">
        <v>78933000</v>
      </c>
      <c r="F4277" s="30" t="n">
        <v>2720.92</v>
      </c>
      <c r="G4277" s="31" t="n">
        <f aca="false">IFERROR(F4277/D4277,0)</f>
        <v>11.2434710743802</v>
      </c>
    </row>
    <row r="4278" customFormat="false" ht="15" hidden="false" customHeight="false" outlineLevel="0" collapsed="false">
      <c r="A4278" s="28" t="n">
        <v>2024</v>
      </c>
      <c r="B4278" s="28" t="s">
        <v>93</v>
      </c>
      <c r="C4278" s="28" t="s">
        <v>48</v>
      </c>
      <c r="D4278" s="28" t="n">
        <v>191</v>
      </c>
      <c r="E4278" s="29" t="n">
        <v>82290100</v>
      </c>
      <c r="F4278" s="30" t="n">
        <v>2184.15</v>
      </c>
      <c r="G4278" s="31" t="n">
        <f aca="false">IFERROR(F4278/D4278,0)</f>
        <v>11.4353403141361</v>
      </c>
    </row>
    <row r="4279" customFormat="false" ht="15" hidden="false" customHeight="false" outlineLevel="0" collapsed="false">
      <c r="A4279" s="28" t="n">
        <v>2024</v>
      </c>
      <c r="B4279" s="28" t="s">
        <v>93</v>
      </c>
      <c r="C4279" s="28" t="s">
        <v>61</v>
      </c>
      <c r="D4279" s="28" t="n">
        <v>5</v>
      </c>
      <c r="E4279" s="29" t="n">
        <v>2436500</v>
      </c>
      <c r="F4279" s="30" t="n">
        <v>55.5</v>
      </c>
      <c r="G4279" s="31" t="n">
        <f aca="false">IFERROR(F4279/D4279,0)</f>
        <v>11.1</v>
      </c>
    </row>
    <row r="4280" customFormat="false" ht="15" hidden="false" customHeight="false" outlineLevel="0" collapsed="false">
      <c r="A4280" s="28" t="n">
        <v>2024</v>
      </c>
      <c r="B4280" s="28" t="s">
        <v>93</v>
      </c>
      <c r="C4280" s="28" t="s">
        <v>53</v>
      </c>
      <c r="D4280" s="28" t="n">
        <v>27</v>
      </c>
      <c r="E4280" s="29" t="n">
        <v>13797500</v>
      </c>
      <c r="F4280" s="30" t="n">
        <v>303.73</v>
      </c>
      <c r="G4280" s="31" t="n">
        <f aca="false">IFERROR(F4280/D4280,0)</f>
        <v>11.2492592592593</v>
      </c>
    </row>
    <row r="4281" customFormat="false" ht="15" hidden="false" customHeight="false" outlineLevel="0" collapsed="false">
      <c r="A4281" s="28" t="n">
        <v>2024</v>
      </c>
      <c r="B4281" s="28" t="s">
        <v>93</v>
      </c>
      <c r="C4281" s="28" t="s">
        <v>43</v>
      </c>
      <c r="D4281" s="28" t="n">
        <v>237</v>
      </c>
      <c r="E4281" s="29" t="n">
        <v>84816700</v>
      </c>
      <c r="F4281" s="30" t="n">
        <v>2652.32</v>
      </c>
      <c r="G4281" s="31" t="n">
        <f aca="false">IFERROR(F4281/D4281,0)</f>
        <v>11.191223628692</v>
      </c>
    </row>
    <row r="4282" customFormat="false" ht="15" hidden="false" customHeight="false" outlineLevel="0" collapsed="false">
      <c r="A4282" s="28" t="n">
        <v>2024</v>
      </c>
      <c r="B4282" s="28" t="s">
        <v>93</v>
      </c>
      <c r="C4282" s="28" t="s">
        <v>52</v>
      </c>
      <c r="D4282" s="28" t="n">
        <v>132</v>
      </c>
      <c r="E4282" s="29" t="n">
        <v>21639200</v>
      </c>
      <c r="F4282" s="30" t="n">
        <v>1505.88</v>
      </c>
      <c r="G4282" s="31" t="n">
        <f aca="false">IFERROR(F4282/D4282,0)</f>
        <v>11.4081818181818</v>
      </c>
    </row>
    <row r="4283" customFormat="false" ht="15" hidden="false" customHeight="false" outlineLevel="0" collapsed="false">
      <c r="A4283" s="28" t="n">
        <v>2024</v>
      </c>
      <c r="B4283" s="28" t="s">
        <v>93</v>
      </c>
      <c r="C4283" s="28" t="s">
        <v>49</v>
      </c>
      <c r="D4283" s="28" t="n">
        <v>99</v>
      </c>
      <c r="E4283" s="29" t="n">
        <v>55053100</v>
      </c>
      <c r="F4283" s="30" t="n">
        <v>1091.05</v>
      </c>
      <c r="G4283" s="31" t="n">
        <f aca="false">IFERROR(F4283/D4283,0)</f>
        <v>11.0207070707071</v>
      </c>
    </row>
    <row r="4284" customFormat="false" ht="15" hidden="false" customHeight="false" outlineLevel="0" collapsed="false">
      <c r="A4284" s="28" t="n">
        <v>2024</v>
      </c>
      <c r="B4284" s="28" t="s">
        <v>120</v>
      </c>
      <c r="C4284" s="28" t="s">
        <v>42</v>
      </c>
      <c r="D4284" s="28" t="n">
        <v>76</v>
      </c>
      <c r="E4284" s="29" t="n">
        <v>12505000</v>
      </c>
      <c r="F4284" s="30" t="n">
        <v>868.6</v>
      </c>
      <c r="G4284" s="31" t="n">
        <f aca="false">IFERROR(F4284/D4284,0)</f>
        <v>11.4289473684211</v>
      </c>
    </row>
    <row r="4285" customFormat="false" ht="15" hidden="false" customHeight="false" outlineLevel="0" collapsed="false">
      <c r="A4285" s="28" t="n">
        <v>2024</v>
      </c>
      <c r="B4285" s="28" t="s">
        <v>120</v>
      </c>
      <c r="C4285" s="28" t="s">
        <v>50</v>
      </c>
      <c r="D4285" s="28" t="n">
        <v>11</v>
      </c>
      <c r="E4285" s="29" t="n">
        <v>1347600</v>
      </c>
      <c r="F4285" s="30" t="n">
        <v>128.25</v>
      </c>
      <c r="G4285" s="31" t="n">
        <f aca="false">IFERROR(F4285/D4285,0)</f>
        <v>11.6590909090909</v>
      </c>
    </row>
    <row r="4286" customFormat="false" ht="15" hidden="false" customHeight="false" outlineLevel="0" collapsed="false">
      <c r="A4286" s="28" t="n">
        <v>2024</v>
      </c>
      <c r="B4286" s="28" t="s">
        <v>120</v>
      </c>
      <c r="C4286" s="28" t="s">
        <v>55</v>
      </c>
      <c r="D4286" s="28" t="n">
        <v>6</v>
      </c>
      <c r="E4286" s="29" t="n">
        <v>177800</v>
      </c>
      <c r="F4286" s="30" t="n">
        <v>76.75</v>
      </c>
      <c r="G4286" s="31" t="n">
        <f aca="false">IFERROR(F4286/D4286,0)</f>
        <v>12.7916666666667</v>
      </c>
    </row>
    <row r="4287" customFormat="false" ht="15" hidden="false" customHeight="false" outlineLevel="0" collapsed="false">
      <c r="A4287" s="28" t="n">
        <v>2024</v>
      </c>
      <c r="B4287" s="28" t="s">
        <v>120</v>
      </c>
      <c r="C4287" s="28" t="s">
        <v>51</v>
      </c>
      <c r="D4287" s="28" t="n">
        <v>11</v>
      </c>
      <c r="E4287" s="29" t="n">
        <v>956000</v>
      </c>
      <c r="F4287" s="30" t="n">
        <v>131.5</v>
      </c>
      <c r="G4287" s="31" t="n">
        <f aca="false">IFERROR(F4287/D4287,0)</f>
        <v>11.9545454545455</v>
      </c>
    </row>
    <row r="4288" customFormat="false" ht="15" hidden="false" customHeight="false" outlineLevel="0" collapsed="false">
      <c r="A4288" s="28" t="n">
        <v>2024</v>
      </c>
      <c r="B4288" s="28" t="s">
        <v>120</v>
      </c>
      <c r="C4288" s="28" t="s">
        <v>45</v>
      </c>
      <c r="D4288" s="28" t="n">
        <v>51</v>
      </c>
      <c r="E4288" s="29" t="n">
        <v>8505200</v>
      </c>
      <c r="F4288" s="30" t="n">
        <v>605.75</v>
      </c>
      <c r="G4288" s="31" t="n">
        <f aca="false">IFERROR(F4288/D4288,0)</f>
        <v>11.8774509803922</v>
      </c>
    </row>
    <row r="4289" customFormat="false" ht="15" hidden="false" customHeight="false" outlineLevel="0" collapsed="false">
      <c r="A4289" s="28" t="n">
        <v>2024</v>
      </c>
      <c r="B4289" s="28" t="s">
        <v>120</v>
      </c>
      <c r="C4289" s="28" t="s">
        <v>56</v>
      </c>
      <c r="D4289" s="28" t="n">
        <v>8</v>
      </c>
      <c r="E4289" s="29" t="n">
        <v>657500</v>
      </c>
      <c r="F4289" s="30" t="n">
        <v>97</v>
      </c>
      <c r="G4289" s="31" t="n">
        <f aca="false">IFERROR(F4289/D4289,0)</f>
        <v>12.125</v>
      </c>
    </row>
    <row r="4290" customFormat="false" ht="15" hidden="false" customHeight="false" outlineLevel="0" collapsed="false">
      <c r="A4290" s="28" t="n">
        <v>2024</v>
      </c>
      <c r="B4290" s="28" t="s">
        <v>120</v>
      </c>
      <c r="C4290" s="28" t="s">
        <v>54</v>
      </c>
      <c r="D4290" s="28" t="n">
        <v>2</v>
      </c>
      <c r="E4290" s="29" t="n">
        <v>65000</v>
      </c>
      <c r="F4290" s="30" t="n">
        <v>28.25</v>
      </c>
      <c r="G4290" s="31" t="n">
        <f aca="false">IFERROR(F4290/D4290,0)</f>
        <v>14.125</v>
      </c>
    </row>
    <row r="4291" customFormat="false" ht="15" hidden="false" customHeight="false" outlineLevel="0" collapsed="false">
      <c r="A4291" s="28" t="n">
        <v>2024</v>
      </c>
      <c r="B4291" s="28" t="s">
        <v>120</v>
      </c>
      <c r="C4291" s="28" t="s">
        <v>44</v>
      </c>
      <c r="D4291" s="28" t="n">
        <v>149</v>
      </c>
      <c r="E4291" s="29" t="n">
        <v>20672100</v>
      </c>
      <c r="F4291" s="30" t="n">
        <v>1699.85</v>
      </c>
      <c r="G4291" s="31" t="n">
        <f aca="false">IFERROR(F4291/D4291,0)</f>
        <v>11.408389261745</v>
      </c>
    </row>
    <row r="4292" customFormat="false" ht="15" hidden="false" customHeight="false" outlineLevel="0" collapsed="false">
      <c r="A4292" s="28" t="n">
        <v>2024</v>
      </c>
      <c r="B4292" s="28" t="s">
        <v>120</v>
      </c>
      <c r="C4292" s="28" t="s">
        <v>57</v>
      </c>
      <c r="D4292" s="28" t="n">
        <v>3</v>
      </c>
      <c r="E4292" s="29" t="n">
        <v>315500</v>
      </c>
      <c r="F4292" s="30" t="n">
        <v>38.25</v>
      </c>
      <c r="G4292" s="31" t="n">
        <f aca="false">IFERROR(F4292/D4292,0)</f>
        <v>12.75</v>
      </c>
    </row>
    <row r="4293" customFormat="false" ht="15" hidden="false" customHeight="false" outlineLevel="0" collapsed="false">
      <c r="A4293" s="28" t="n">
        <v>2024</v>
      </c>
      <c r="B4293" s="28" t="s">
        <v>120</v>
      </c>
      <c r="C4293" s="28" t="s">
        <v>59</v>
      </c>
      <c r="D4293" s="28" t="n">
        <v>2</v>
      </c>
      <c r="E4293" s="29" t="n">
        <v>4980000</v>
      </c>
      <c r="F4293" s="30" t="n">
        <v>21.25</v>
      </c>
      <c r="G4293" s="31" t="n">
        <f aca="false">IFERROR(F4293/D4293,0)</f>
        <v>10.625</v>
      </c>
    </row>
    <row r="4294" customFormat="false" ht="15" hidden="false" customHeight="false" outlineLevel="0" collapsed="false">
      <c r="A4294" s="28" t="n">
        <v>2024</v>
      </c>
      <c r="B4294" s="28" t="s">
        <v>120</v>
      </c>
      <c r="C4294" s="28" t="s">
        <v>47</v>
      </c>
      <c r="D4294" s="28" t="n">
        <v>34</v>
      </c>
      <c r="E4294" s="29" t="n">
        <v>3077800</v>
      </c>
      <c r="F4294" s="30" t="n">
        <v>408.85</v>
      </c>
      <c r="G4294" s="31" t="n">
        <f aca="false">IFERROR(F4294/D4294,0)</f>
        <v>12.025</v>
      </c>
    </row>
    <row r="4295" customFormat="false" ht="15" hidden="false" customHeight="false" outlineLevel="0" collapsed="false">
      <c r="A4295" s="28" t="n">
        <v>2024</v>
      </c>
      <c r="B4295" s="28" t="s">
        <v>120</v>
      </c>
      <c r="C4295" s="28" t="s">
        <v>46</v>
      </c>
      <c r="D4295" s="28" t="n">
        <v>51</v>
      </c>
      <c r="E4295" s="29" t="n">
        <v>5779600</v>
      </c>
      <c r="F4295" s="30" t="n">
        <v>580.1</v>
      </c>
      <c r="G4295" s="31" t="n">
        <f aca="false">IFERROR(F4295/D4295,0)</f>
        <v>11.3745098039216</v>
      </c>
    </row>
    <row r="4296" customFormat="false" ht="15" hidden="false" customHeight="false" outlineLevel="0" collapsed="false">
      <c r="A4296" s="28" t="n">
        <v>2024</v>
      </c>
      <c r="B4296" s="28" t="s">
        <v>120</v>
      </c>
      <c r="C4296" s="28" t="s">
        <v>48</v>
      </c>
      <c r="D4296" s="28" t="n">
        <v>56</v>
      </c>
      <c r="E4296" s="29" t="n">
        <v>16135200</v>
      </c>
      <c r="F4296" s="30" t="n">
        <v>656.15</v>
      </c>
      <c r="G4296" s="31" t="n">
        <f aca="false">IFERROR(F4296/D4296,0)</f>
        <v>11.7169642857143</v>
      </c>
    </row>
    <row r="4297" customFormat="false" ht="15" hidden="false" customHeight="false" outlineLevel="0" collapsed="false">
      <c r="A4297" s="28" t="n">
        <v>2024</v>
      </c>
      <c r="B4297" s="28" t="s">
        <v>120</v>
      </c>
      <c r="C4297" s="28" t="s">
        <v>53</v>
      </c>
      <c r="D4297" s="28" t="n">
        <v>6</v>
      </c>
      <c r="E4297" s="29" t="n">
        <v>957500</v>
      </c>
      <c r="F4297" s="30" t="n">
        <v>65.25</v>
      </c>
      <c r="G4297" s="31" t="n">
        <f aca="false">IFERROR(F4297/D4297,0)</f>
        <v>10.875</v>
      </c>
    </row>
    <row r="4298" customFormat="false" ht="15" hidden="false" customHeight="false" outlineLevel="0" collapsed="false">
      <c r="A4298" s="28" t="n">
        <v>2024</v>
      </c>
      <c r="B4298" s="28" t="s">
        <v>120</v>
      </c>
      <c r="C4298" s="28" t="s">
        <v>43</v>
      </c>
      <c r="D4298" s="28" t="n">
        <v>77</v>
      </c>
      <c r="E4298" s="29" t="n">
        <v>10834100</v>
      </c>
      <c r="F4298" s="30" t="n">
        <v>870.1</v>
      </c>
      <c r="G4298" s="31" t="n">
        <f aca="false">IFERROR(F4298/D4298,0)</f>
        <v>11.3</v>
      </c>
    </row>
    <row r="4299" customFormat="false" ht="15" hidden="false" customHeight="false" outlineLevel="0" collapsed="false">
      <c r="A4299" s="28" t="n">
        <v>2024</v>
      </c>
      <c r="B4299" s="28" t="s">
        <v>120</v>
      </c>
      <c r="C4299" s="28" t="s">
        <v>52</v>
      </c>
      <c r="D4299" s="28" t="n">
        <v>4</v>
      </c>
      <c r="E4299" s="29" t="n">
        <v>1000000</v>
      </c>
      <c r="F4299" s="30" t="n">
        <v>53</v>
      </c>
      <c r="G4299" s="31" t="n">
        <f aca="false">IFERROR(F4299/D4299,0)</f>
        <v>13.25</v>
      </c>
    </row>
    <row r="4300" customFormat="false" ht="15" hidden="false" customHeight="false" outlineLevel="0" collapsed="false">
      <c r="A4300" s="28" t="n">
        <v>2024</v>
      </c>
      <c r="B4300" s="28" t="s">
        <v>120</v>
      </c>
      <c r="C4300" s="28" t="s">
        <v>60</v>
      </c>
      <c r="D4300" s="28" t="n">
        <v>4</v>
      </c>
      <c r="E4300" s="29" t="n">
        <v>1030000</v>
      </c>
      <c r="F4300" s="30" t="n">
        <v>49.5</v>
      </c>
      <c r="G4300" s="31" t="n">
        <f aca="false">IFERROR(F4300/D4300,0)</f>
        <v>12.375</v>
      </c>
    </row>
    <row r="4301" customFormat="false" ht="15" hidden="false" customHeight="false" outlineLevel="0" collapsed="false">
      <c r="A4301" s="28" t="n">
        <v>2024</v>
      </c>
      <c r="B4301" s="28" t="s">
        <v>120</v>
      </c>
      <c r="C4301" s="28" t="s">
        <v>49</v>
      </c>
      <c r="D4301" s="28" t="n">
        <v>30</v>
      </c>
      <c r="E4301" s="29" t="n">
        <v>10520900</v>
      </c>
      <c r="F4301" s="30" t="n">
        <v>349.25</v>
      </c>
      <c r="G4301" s="31" t="n">
        <f aca="false">IFERROR(F4301/D4301,0)</f>
        <v>11.6416666666667</v>
      </c>
    </row>
    <row r="4302" customFormat="false" ht="15" hidden="false" customHeight="false" outlineLevel="0" collapsed="false">
      <c r="A4302" s="28" t="n">
        <v>2024</v>
      </c>
      <c r="B4302" s="28" t="s">
        <v>121</v>
      </c>
      <c r="C4302" s="28" t="s">
        <v>42</v>
      </c>
      <c r="D4302" s="28" t="n">
        <v>34</v>
      </c>
      <c r="E4302" s="29" t="n">
        <v>12407900</v>
      </c>
      <c r="F4302" s="30" t="n">
        <v>356.24</v>
      </c>
      <c r="G4302" s="31" t="n">
        <f aca="false">IFERROR(F4302/D4302,0)</f>
        <v>10.4776470588235</v>
      </c>
    </row>
    <row r="4303" customFormat="false" ht="15" hidden="false" customHeight="false" outlineLevel="0" collapsed="false">
      <c r="A4303" s="28" t="n">
        <v>2024</v>
      </c>
      <c r="B4303" s="28" t="s">
        <v>121</v>
      </c>
      <c r="C4303" s="28" t="s">
        <v>50</v>
      </c>
      <c r="D4303" s="28" t="n">
        <v>13</v>
      </c>
      <c r="E4303" s="29" t="n">
        <v>6390000</v>
      </c>
      <c r="F4303" s="30" t="n">
        <v>150</v>
      </c>
      <c r="G4303" s="31" t="n">
        <f aca="false">IFERROR(F4303/D4303,0)</f>
        <v>11.5384615384615</v>
      </c>
    </row>
    <row r="4304" customFormat="false" ht="15" hidden="false" customHeight="false" outlineLevel="0" collapsed="false">
      <c r="A4304" s="28" t="n">
        <v>2024</v>
      </c>
      <c r="B4304" s="28" t="s">
        <v>121</v>
      </c>
      <c r="C4304" s="28" t="s">
        <v>55</v>
      </c>
      <c r="D4304" s="28" t="n">
        <v>2</v>
      </c>
      <c r="E4304" s="29" t="n">
        <v>32500</v>
      </c>
      <c r="F4304" s="30" t="n">
        <v>19.5</v>
      </c>
      <c r="G4304" s="31" t="n">
        <f aca="false">IFERROR(F4304/D4304,0)</f>
        <v>9.75</v>
      </c>
    </row>
    <row r="4305" customFormat="false" ht="15" hidden="false" customHeight="false" outlineLevel="0" collapsed="false">
      <c r="A4305" s="28" t="n">
        <v>2024</v>
      </c>
      <c r="B4305" s="28" t="s">
        <v>121</v>
      </c>
      <c r="C4305" s="28" t="s">
        <v>51</v>
      </c>
      <c r="D4305" s="28" t="n">
        <v>5</v>
      </c>
      <c r="E4305" s="29" t="n">
        <v>6075000</v>
      </c>
      <c r="F4305" s="30" t="n">
        <v>55</v>
      </c>
      <c r="G4305" s="31" t="n">
        <f aca="false">IFERROR(F4305/D4305,0)</f>
        <v>11</v>
      </c>
    </row>
    <row r="4306" customFormat="false" ht="15" hidden="false" customHeight="false" outlineLevel="0" collapsed="false">
      <c r="A4306" s="28" t="n">
        <v>2024</v>
      </c>
      <c r="B4306" s="28" t="s">
        <v>121</v>
      </c>
      <c r="C4306" s="28" t="s">
        <v>45</v>
      </c>
      <c r="D4306" s="28" t="n">
        <v>30</v>
      </c>
      <c r="E4306" s="29" t="n">
        <v>4460700</v>
      </c>
      <c r="F4306" s="30" t="n">
        <v>345.64</v>
      </c>
      <c r="G4306" s="31" t="n">
        <f aca="false">IFERROR(F4306/D4306,0)</f>
        <v>11.5213333333333</v>
      </c>
    </row>
    <row r="4307" customFormat="false" ht="15" hidden="false" customHeight="false" outlineLevel="0" collapsed="false">
      <c r="A4307" s="28" t="n">
        <v>2024</v>
      </c>
      <c r="B4307" s="28" t="s">
        <v>121</v>
      </c>
      <c r="C4307" s="28" t="s">
        <v>56</v>
      </c>
      <c r="D4307" s="28" t="n">
        <v>3</v>
      </c>
      <c r="E4307" s="29" t="n">
        <v>570000</v>
      </c>
      <c r="F4307" s="30" t="n">
        <v>33.25</v>
      </c>
      <c r="G4307" s="31" t="n">
        <f aca="false">IFERROR(F4307/D4307,0)</f>
        <v>11.0833333333333</v>
      </c>
    </row>
    <row r="4308" customFormat="false" ht="15" hidden="false" customHeight="false" outlineLevel="0" collapsed="false">
      <c r="A4308" s="28" t="n">
        <v>2024</v>
      </c>
      <c r="B4308" s="28" t="s">
        <v>121</v>
      </c>
      <c r="C4308" s="28" t="s">
        <v>54</v>
      </c>
      <c r="D4308" s="28" t="n">
        <v>5</v>
      </c>
      <c r="E4308" s="29" t="n">
        <v>572000</v>
      </c>
      <c r="F4308" s="30" t="n">
        <v>58.24</v>
      </c>
      <c r="G4308" s="31" t="n">
        <f aca="false">IFERROR(F4308/D4308,0)</f>
        <v>11.648</v>
      </c>
    </row>
    <row r="4309" customFormat="false" ht="15" hidden="false" customHeight="false" outlineLevel="0" collapsed="false">
      <c r="A4309" s="28" t="n">
        <v>2024</v>
      </c>
      <c r="B4309" s="28" t="s">
        <v>121</v>
      </c>
      <c r="C4309" s="28" t="s">
        <v>44</v>
      </c>
      <c r="D4309" s="28" t="n">
        <v>18</v>
      </c>
      <c r="E4309" s="29" t="n">
        <v>5280300</v>
      </c>
      <c r="F4309" s="30" t="n">
        <v>194.49</v>
      </c>
      <c r="G4309" s="31" t="n">
        <f aca="false">IFERROR(F4309/D4309,0)</f>
        <v>10.805</v>
      </c>
    </row>
    <row r="4310" customFormat="false" ht="15" hidden="false" customHeight="false" outlineLevel="0" collapsed="false">
      <c r="A4310" s="28" t="n">
        <v>2024</v>
      </c>
      <c r="B4310" s="28" t="s">
        <v>121</v>
      </c>
      <c r="C4310" s="28" t="s">
        <v>47</v>
      </c>
      <c r="D4310" s="28" t="n">
        <v>14</v>
      </c>
      <c r="E4310" s="29" t="n">
        <v>4758000</v>
      </c>
      <c r="F4310" s="30" t="n">
        <v>152.18</v>
      </c>
      <c r="G4310" s="31" t="n">
        <f aca="false">IFERROR(F4310/D4310,0)</f>
        <v>10.87</v>
      </c>
    </row>
    <row r="4311" customFormat="false" ht="15" hidden="false" customHeight="false" outlineLevel="0" collapsed="false">
      <c r="A4311" s="28" t="n">
        <v>2024</v>
      </c>
      <c r="B4311" s="28" t="s">
        <v>121</v>
      </c>
      <c r="C4311" s="28" t="s">
        <v>46</v>
      </c>
      <c r="D4311" s="28" t="n">
        <v>17</v>
      </c>
      <c r="E4311" s="29" t="n">
        <v>3007600</v>
      </c>
      <c r="F4311" s="30" t="n">
        <v>182.74</v>
      </c>
      <c r="G4311" s="31" t="n">
        <f aca="false">IFERROR(F4311/D4311,0)</f>
        <v>10.7494117647059</v>
      </c>
    </row>
    <row r="4312" customFormat="false" ht="15" hidden="false" customHeight="false" outlineLevel="0" collapsed="false">
      <c r="A4312" s="28" t="n">
        <v>2024</v>
      </c>
      <c r="B4312" s="28" t="s">
        <v>121</v>
      </c>
      <c r="C4312" s="28" t="s">
        <v>48</v>
      </c>
      <c r="D4312" s="28" t="n">
        <v>28</v>
      </c>
      <c r="E4312" s="29" t="n">
        <v>4035000</v>
      </c>
      <c r="F4312" s="30" t="n">
        <v>321.25</v>
      </c>
      <c r="G4312" s="31" t="n">
        <f aca="false">IFERROR(F4312/D4312,0)</f>
        <v>11.4732142857143</v>
      </c>
    </row>
    <row r="4313" customFormat="false" ht="15" hidden="false" customHeight="false" outlineLevel="0" collapsed="false">
      <c r="A4313" s="28" t="n">
        <v>2024</v>
      </c>
      <c r="B4313" s="28" t="s">
        <v>121</v>
      </c>
      <c r="C4313" s="28" t="s">
        <v>53</v>
      </c>
      <c r="D4313" s="28" t="n">
        <v>2</v>
      </c>
      <c r="E4313" s="29" t="n">
        <v>250000</v>
      </c>
      <c r="F4313" s="30" t="n">
        <v>25</v>
      </c>
      <c r="G4313" s="31" t="n">
        <f aca="false">IFERROR(F4313/D4313,0)</f>
        <v>12.5</v>
      </c>
    </row>
    <row r="4314" customFormat="false" ht="15" hidden="false" customHeight="false" outlineLevel="0" collapsed="false">
      <c r="A4314" s="28" t="n">
        <v>2024</v>
      </c>
      <c r="B4314" s="28" t="s">
        <v>121</v>
      </c>
      <c r="C4314" s="28" t="s">
        <v>43</v>
      </c>
      <c r="D4314" s="28" t="n">
        <v>25</v>
      </c>
      <c r="E4314" s="29" t="n">
        <v>4756400</v>
      </c>
      <c r="F4314" s="30" t="n">
        <v>282.54</v>
      </c>
      <c r="G4314" s="31" t="n">
        <f aca="false">IFERROR(F4314/D4314,0)</f>
        <v>11.3016</v>
      </c>
    </row>
    <row r="4315" customFormat="false" ht="15" hidden="false" customHeight="false" outlineLevel="0" collapsed="false">
      <c r="A4315" s="28" t="n">
        <v>2024</v>
      </c>
      <c r="B4315" s="28" t="s">
        <v>121</v>
      </c>
      <c r="C4315" s="28" t="s">
        <v>52</v>
      </c>
      <c r="D4315" s="28" t="n">
        <v>11</v>
      </c>
      <c r="E4315" s="29" t="n">
        <v>449000</v>
      </c>
      <c r="F4315" s="30" t="n">
        <v>128.99</v>
      </c>
      <c r="G4315" s="31" t="n">
        <f aca="false">IFERROR(F4315/D4315,0)</f>
        <v>11.7263636363636</v>
      </c>
    </row>
    <row r="4316" customFormat="false" ht="15" hidden="false" customHeight="false" outlineLevel="0" collapsed="false">
      <c r="A4316" s="28" t="n">
        <v>2024</v>
      </c>
      <c r="B4316" s="28" t="s">
        <v>121</v>
      </c>
      <c r="C4316" s="28" t="s">
        <v>49</v>
      </c>
      <c r="D4316" s="28" t="n">
        <v>8</v>
      </c>
      <c r="E4316" s="29" t="n">
        <v>10705000</v>
      </c>
      <c r="F4316" s="30" t="n">
        <v>91.6</v>
      </c>
      <c r="G4316" s="31" t="n">
        <f aca="false">IFERROR(F4316/D4316,0)</f>
        <v>11.45</v>
      </c>
    </row>
    <row r="4317" customFormat="false" ht="15" hidden="false" customHeight="false" outlineLevel="0" collapsed="false">
      <c r="A4317" s="28" t="n">
        <v>2024</v>
      </c>
      <c r="B4317" s="28" t="s">
        <v>111</v>
      </c>
      <c r="C4317" s="28" t="s">
        <v>42</v>
      </c>
      <c r="D4317" s="28" t="n">
        <v>102</v>
      </c>
      <c r="E4317" s="29" t="n">
        <v>87512600</v>
      </c>
      <c r="F4317" s="30" t="n">
        <v>1102.01</v>
      </c>
      <c r="G4317" s="31" t="n">
        <f aca="false">IFERROR(F4317/D4317,0)</f>
        <v>10.8040196078431</v>
      </c>
    </row>
    <row r="4318" customFormat="false" ht="15" hidden="false" customHeight="false" outlineLevel="0" collapsed="false">
      <c r="A4318" s="28" t="n">
        <v>2024</v>
      </c>
      <c r="B4318" s="28" t="s">
        <v>111</v>
      </c>
      <c r="C4318" s="28" t="s">
        <v>50</v>
      </c>
      <c r="D4318" s="28" t="n">
        <v>59</v>
      </c>
      <c r="E4318" s="29" t="n">
        <v>21462400</v>
      </c>
      <c r="F4318" s="30" t="n">
        <v>667.92</v>
      </c>
      <c r="G4318" s="31" t="n">
        <f aca="false">IFERROR(F4318/D4318,0)</f>
        <v>11.3206779661017</v>
      </c>
    </row>
    <row r="4319" customFormat="false" ht="15" hidden="false" customHeight="false" outlineLevel="0" collapsed="false">
      <c r="A4319" s="28" t="n">
        <v>2024</v>
      </c>
      <c r="B4319" s="28" t="s">
        <v>111</v>
      </c>
      <c r="C4319" s="28" t="s">
        <v>55</v>
      </c>
      <c r="D4319" s="28" t="n">
        <v>3</v>
      </c>
      <c r="E4319" s="29" t="n">
        <v>2215000</v>
      </c>
      <c r="F4319" s="30" t="n">
        <v>27.85</v>
      </c>
      <c r="G4319" s="31" t="n">
        <f aca="false">IFERROR(F4319/D4319,0)</f>
        <v>9.28333333333333</v>
      </c>
    </row>
    <row r="4320" customFormat="false" ht="15" hidden="false" customHeight="false" outlineLevel="0" collapsed="false">
      <c r="A4320" s="28" t="n">
        <v>2024</v>
      </c>
      <c r="B4320" s="28" t="s">
        <v>111</v>
      </c>
      <c r="C4320" s="28" t="s">
        <v>51</v>
      </c>
      <c r="D4320" s="28" t="n">
        <v>28</v>
      </c>
      <c r="E4320" s="29" t="n">
        <v>18320600</v>
      </c>
      <c r="F4320" s="30" t="n">
        <v>315.55</v>
      </c>
      <c r="G4320" s="31" t="n">
        <f aca="false">IFERROR(F4320/D4320,0)</f>
        <v>11.2696428571429</v>
      </c>
    </row>
    <row r="4321" customFormat="false" ht="15" hidden="false" customHeight="false" outlineLevel="0" collapsed="false">
      <c r="A4321" s="28" t="n">
        <v>2024</v>
      </c>
      <c r="B4321" s="28" t="s">
        <v>111</v>
      </c>
      <c r="C4321" s="28" t="s">
        <v>45</v>
      </c>
      <c r="D4321" s="28" t="n">
        <v>96</v>
      </c>
      <c r="E4321" s="29" t="n">
        <v>34070100</v>
      </c>
      <c r="F4321" s="30" t="n">
        <v>1131.17</v>
      </c>
      <c r="G4321" s="31" t="n">
        <f aca="false">IFERROR(F4321/D4321,0)</f>
        <v>11.7830208333333</v>
      </c>
    </row>
    <row r="4322" customFormat="false" ht="15" hidden="false" customHeight="false" outlineLevel="0" collapsed="false">
      <c r="A4322" s="28" t="n">
        <v>2024</v>
      </c>
      <c r="B4322" s="28" t="s">
        <v>111</v>
      </c>
      <c r="C4322" s="28" t="s">
        <v>56</v>
      </c>
      <c r="D4322" s="28" t="n">
        <v>9</v>
      </c>
      <c r="E4322" s="29" t="n">
        <v>3063500</v>
      </c>
      <c r="F4322" s="30" t="n">
        <v>101</v>
      </c>
      <c r="G4322" s="31" t="n">
        <f aca="false">IFERROR(F4322/D4322,0)</f>
        <v>11.2222222222222</v>
      </c>
    </row>
    <row r="4323" customFormat="false" ht="15" hidden="false" customHeight="false" outlineLevel="0" collapsed="false">
      <c r="A4323" s="28" t="n">
        <v>2024</v>
      </c>
      <c r="B4323" s="28" t="s">
        <v>111</v>
      </c>
      <c r="C4323" s="28" t="s">
        <v>54</v>
      </c>
      <c r="D4323" s="28" t="n">
        <v>20</v>
      </c>
      <c r="E4323" s="29" t="n">
        <v>4356400</v>
      </c>
      <c r="F4323" s="30" t="n">
        <v>225.54</v>
      </c>
      <c r="G4323" s="31" t="n">
        <f aca="false">IFERROR(F4323/D4323,0)</f>
        <v>11.277</v>
      </c>
    </row>
    <row r="4324" customFormat="false" ht="15" hidden="false" customHeight="false" outlineLevel="0" collapsed="false">
      <c r="A4324" s="28" t="n">
        <v>2024</v>
      </c>
      <c r="B4324" s="28" t="s">
        <v>111</v>
      </c>
      <c r="C4324" s="28" t="s">
        <v>44</v>
      </c>
      <c r="D4324" s="28" t="n">
        <v>68</v>
      </c>
      <c r="E4324" s="29" t="n">
        <v>44343900</v>
      </c>
      <c r="F4324" s="30" t="n">
        <v>754.72</v>
      </c>
      <c r="G4324" s="31" t="n">
        <f aca="false">IFERROR(F4324/D4324,0)</f>
        <v>11.0988235294118</v>
      </c>
    </row>
    <row r="4325" customFormat="false" ht="15" hidden="false" customHeight="false" outlineLevel="0" collapsed="false">
      <c r="A4325" s="28" t="n">
        <v>2024</v>
      </c>
      <c r="B4325" s="28" t="s">
        <v>111</v>
      </c>
      <c r="C4325" s="28" t="s">
        <v>57</v>
      </c>
      <c r="D4325" s="28" t="n">
        <v>7</v>
      </c>
      <c r="E4325" s="29" t="n">
        <v>5561300</v>
      </c>
      <c r="F4325" s="30" t="n">
        <v>80.75</v>
      </c>
      <c r="G4325" s="31" t="n">
        <f aca="false">IFERROR(F4325/D4325,0)</f>
        <v>11.5357142857143</v>
      </c>
    </row>
    <row r="4326" customFormat="false" ht="15" hidden="false" customHeight="false" outlineLevel="0" collapsed="false">
      <c r="A4326" s="28" t="n">
        <v>2024</v>
      </c>
      <c r="B4326" s="28" t="s">
        <v>111</v>
      </c>
      <c r="C4326" s="28" t="s">
        <v>47</v>
      </c>
      <c r="D4326" s="28" t="n">
        <v>31</v>
      </c>
      <c r="E4326" s="29" t="n">
        <v>33836400</v>
      </c>
      <c r="F4326" s="30" t="n">
        <v>352.99</v>
      </c>
      <c r="G4326" s="31" t="n">
        <f aca="false">IFERROR(F4326/D4326,0)</f>
        <v>11.3867741935484</v>
      </c>
    </row>
    <row r="4327" customFormat="false" ht="15" hidden="false" customHeight="false" outlineLevel="0" collapsed="false">
      <c r="A4327" s="28" t="n">
        <v>2024</v>
      </c>
      <c r="B4327" s="28" t="s">
        <v>111</v>
      </c>
      <c r="C4327" s="28" t="s">
        <v>46</v>
      </c>
      <c r="D4327" s="28" t="n">
        <v>68</v>
      </c>
      <c r="E4327" s="29" t="n">
        <v>29485600</v>
      </c>
      <c r="F4327" s="30" t="n">
        <v>766.28</v>
      </c>
      <c r="G4327" s="31" t="n">
        <f aca="false">IFERROR(F4327/D4327,0)</f>
        <v>11.2688235294118</v>
      </c>
    </row>
    <row r="4328" customFormat="false" ht="15" hidden="false" customHeight="false" outlineLevel="0" collapsed="false">
      <c r="A4328" s="28" t="n">
        <v>2024</v>
      </c>
      <c r="B4328" s="28" t="s">
        <v>111</v>
      </c>
      <c r="C4328" s="28" t="s">
        <v>48</v>
      </c>
      <c r="D4328" s="28" t="n">
        <v>70</v>
      </c>
      <c r="E4328" s="29" t="n">
        <v>35190300</v>
      </c>
      <c r="F4328" s="30" t="n">
        <v>789.85</v>
      </c>
      <c r="G4328" s="31" t="n">
        <f aca="false">IFERROR(F4328/D4328,0)</f>
        <v>11.2835714285714</v>
      </c>
    </row>
    <row r="4329" customFormat="false" ht="15" hidden="false" customHeight="false" outlineLevel="0" collapsed="false">
      <c r="A4329" s="28" t="n">
        <v>2024</v>
      </c>
      <c r="B4329" s="28" t="s">
        <v>111</v>
      </c>
      <c r="C4329" s="28" t="s">
        <v>53</v>
      </c>
      <c r="D4329" s="28" t="n">
        <v>22</v>
      </c>
      <c r="E4329" s="29" t="n">
        <v>8459000</v>
      </c>
      <c r="F4329" s="30" t="n">
        <v>244.44</v>
      </c>
      <c r="G4329" s="31" t="n">
        <f aca="false">IFERROR(F4329/D4329,0)</f>
        <v>11.1109090909091</v>
      </c>
    </row>
    <row r="4330" customFormat="false" ht="15" hidden="false" customHeight="false" outlineLevel="0" collapsed="false">
      <c r="A4330" s="28" t="n">
        <v>2024</v>
      </c>
      <c r="B4330" s="28" t="s">
        <v>111</v>
      </c>
      <c r="C4330" s="28" t="s">
        <v>43</v>
      </c>
      <c r="D4330" s="28" t="n">
        <v>72</v>
      </c>
      <c r="E4330" s="29" t="n">
        <v>38544200</v>
      </c>
      <c r="F4330" s="30" t="n">
        <v>802.87</v>
      </c>
      <c r="G4330" s="31" t="n">
        <f aca="false">IFERROR(F4330/D4330,0)</f>
        <v>11.1509722222222</v>
      </c>
    </row>
    <row r="4331" customFormat="false" ht="15" hidden="false" customHeight="false" outlineLevel="0" collapsed="false">
      <c r="A4331" s="28" t="n">
        <v>2024</v>
      </c>
      <c r="B4331" s="28" t="s">
        <v>111</v>
      </c>
      <c r="C4331" s="28" t="s">
        <v>52</v>
      </c>
      <c r="D4331" s="28" t="n">
        <v>37</v>
      </c>
      <c r="E4331" s="29" t="n">
        <v>10671300</v>
      </c>
      <c r="F4331" s="30" t="n">
        <v>445.7</v>
      </c>
      <c r="G4331" s="31" t="n">
        <f aca="false">IFERROR(F4331/D4331,0)</f>
        <v>12.0459459459459</v>
      </c>
    </row>
    <row r="4332" customFormat="false" ht="15" hidden="false" customHeight="false" outlineLevel="0" collapsed="false">
      <c r="A4332" s="28" t="n">
        <v>2024</v>
      </c>
      <c r="B4332" s="28" t="s">
        <v>111</v>
      </c>
      <c r="C4332" s="28" t="s">
        <v>49</v>
      </c>
      <c r="D4332" s="28" t="n">
        <v>24</v>
      </c>
      <c r="E4332" s="29" t="n">
        <v>23238700</v>
      </c>
      <c r="F4332" s="30" t="n">
        <v>266.42</v>
      </c>
      <c r="G4332" s="31" t="n">
        <f aca="false">IFERROR(F4332/D4332,0)</f>
        <v>11.1008333333333</v>
      </c>
    </row>
    <row r="4333" customFormat="false" ht="15" hidden="false" customHeight="false" outlineLevel="0" collapsed="false">
      <c r="A4333" s="28" t="n">
        <v>2024</v>
      </c>
      <c r="B4333" s="28" t="s">
        <v>122</v>
      </c>
      <c r="C4333" s="28" t="s">
        <v>42</v>
      </c>
      <c r="D4333" s="28" t="n">
        <v>20</v>
      </c>
      <c r="E4333" s="29" t="n">
        <v>6887500</v>
      </c>
      <c r="F4333" s="30" t="n">
        <v>189.93</v>
      </c>
      <c r="G4333" s="31" t="n">
        <f aca="false">IFERROR(F4333/D4333,0)</f>
        <v>9.4965</v>
      </c>
    </row>
    <row r="4334" customFormat="false" ht="15" hidden="false" customHeight="false" outlineLevel="0" collapsed="false">
      <c r="A4334" s="28" t="n">
        <v>2024</v>
      </c>
      <c r="B4334" s="28" t="s">
        <v>122</v>
      </c>
      <c r="C4334" s="28" t="s">
        <v>50</v>
      </c>
      <c r="D4334" s="28" t="n">
        <v>6</v>
      </c>
      <c r="E4334" s="29" t="n">
        <v>2293200</v>
      </c>
      <c r="F4334" s="30" t="n">
        <v>61.5</v>
      </c>
      <c r="G4334" s="31" t="n">
        <f aca="false">IFERROR(F4334/D4334,0)</f>
        <v>10.25</v>
      </c>
    </row>
    <row r="4335" customFormat="false" ht="15" hidden="false" customHeight="false" outlineLevel="0" collapsed="false">
      <c r="A4335" s="28" t="n">
        <v>2024</v>
      </c>
      <c r="B4335" s="28" t="s">
        <v>122</v>
      </c>
      <c r="C4335" s="28" t="s">
        <v>55</v>
      </c>
      <c r="D4335" s="28" t="n">
        <v>1</v>
      </c>
      <c r="E4335" s="29" t="n">
        <v>15000</v>
      </c>
      <c r="F4335" s="30" t="n">
        <v>13</v>
      </c>
      <c r="G4335" s="31" t="n">
        <f aca="false">IFERROR(F4335/D4335,0)</f>
        <v>13</v>
      </c>
    </row>
    <row r="4336" customFormat="false" ht="15" hidden="false" customHeight="false" outlineLevel="0" collapsed="false">
      <c r="A4336" s="28" t="n">
        <v>2024</v>
      </c>
      <c r="B4336" s="28" t="s">
        <v>122</v>
      </c>
      <c r="C4336" s="28" t="s">
        <v>51</v>
      </c>
      <c r="D4336" s="28" t="n">
        <v>7</v>
      </c>
      <c r="E4336" s="29" t="n">
        <v>2982700</v>
      </c>
      <c r="F4336" s="30" t="n">
        <v>67.55</v>
      </c>
      <c r="G4336" s="31" t="n">
        <f aca="false">IFERROR(F4336/D4336,0)</f>
        <v>9.65</v>
      </c>
    </row>
    <row r="4337" customFormat="false" ht="15" hidden="false" customHeight="false" outlineLevel="0" collapsed="false">
      <c r="A4337" s="28" t="n">
        <v>2024</v>
      </c>
      <c r="B4337" s="28" t="s">
        <v>122</v>
      </c>
      <c r="C4337" s="28" t="s">
        <v>45</v>
      </c>
      <c r="D4337" s="28" t="n">
        <v>17</v>
      </c>
      <c r="E4337" s="29" t="n">
        <v>6509500</v>
      </c>
      <c r="F4337" s="30" t="n">
        <v>163.7</v>
      </c>
      <c r="G4337" s="31" t="n">
        <f aca="false">IFERROR(F4337/D4337,0)</f>
        <v>9.62941176470588</v>
      </c>
    </row>
    <row r="4338" customFormat="false" ht="15" hidden="false" customHeight="false" outlineLevel="0" collapsed="false">
      <c r="A4338" s="28" t="n">
        <v>2024</v>
      </c>
      <c r="B4338" s="28" t="s">
        <v>122</v>
      </c>
      <c r="C4338" s="28" t="s">
        <v>56</v>
      </c>
      <c r="D4338" s="28" t="n">
        <v>2</v>
      </c>
      <c r="E4338" s="29" t="n">
        <v>302000</v>
      </c>
      <c r="F4338" s="30" t="n">
        <v>20</v>
      </c>
      <c r="G4338" s="31" t="n">
        <f aca="false">IFERROR(F4338/D4338,0)</f>
        <v>10</v>
      </c>
    </row>
    <row r="4339" customFormat="false" ht="15" hidden="false" customHeight="false" outlineLevel="0" collapsed="false">
      <c r="A4339" s="28" t="n">
        <v>2024</v>
      </c>
      <c r="B4339" s="28" t="s">
        <v>122</v>
      </c>
      <c r="C4339" s="28" t="s">
        <v>54</v>
      </c>
      <c r="D4339" s="28" t="n">
        <v>2</v>
      </c>
      <c r="E4339" s="29" t="n">
        <v>3463000</v>
      </c>
      <c r="F4339" s="30" t="n">
        <v>20</v>
      </c>
      <c r="G4339" s="31" t="n">
        <f aca="false">IFERROR(F4339/D4339,0)</f>
        <v>10</v>
      </c>
    </row>
    <row r="4340" customFormat="false" ht="15" hidden="false" customHeight="false" outlineLevel="0" collapsed="false">
      <c r="A4340" s="28" t="n">
        <v>2024</v>
      </c>
      <c r="B4340" s="28" t="s">
        <v>122</v>
      </c>
      <c r="C4340" s="28" t="s">
        <v>44</v>
      </c>
      <c r="D4340" s="28" t="n">
        <v>11</v>
      </c>
      <c r="E4340" s="29" t="n">
        <v>8320600</v>
      </c>
      <c r="F4340" s="30" t="n">
        <v>106.48</v>
      </c>
      <c r="G4340" s="31" t="n">
        <f aca="false">IFERROR(F4340/D4340,0)</f>
        <v>9.68</v>
      </c>
    </row>
    <row r="4341" customFormat="false" ht="15" hidden="false" customHeight="false" outlineLevel="0" collapsed="false">
      <c r="A4341" s="28" t="n">
        <v>2024</v>
      </c>
      <c r="B4341" s="28" t="s">
        <v>122</v>
      </c>
      <c r="C4341" s="28" t="s">
        <v>47</v>
      </c>
      <c r="D4341" s="28" t="n">
        <v>9</v>
      </c>
      <c r="E4341" s="29" t="n">
        <v>793200</v>
      </c>
      <c r="F4341" s="30" t="n">
        <v>101.97</v>
      </c>
      <c r="G4341" s="31" t="n">
        <f aca="false">IFERROR(F4341/D4341,0)</f>
        <v>11.33</v>
      </c>
    </row>
    <row r="4342" customFormat="false" ht="15" hidden="false" customHeight="false" outlineLevel="0" collapsed="false">
      <c r="A4342" s="28" t="n">
        <v>2024</v>
      </c>
      <c r="B4342" s="28" t="s">
        <v>122</v>
      </c>
      <c r="C4342" s="28" t="s">
        <v>46</v>
      </c>
      <c r="D4342" s="28" t="n">
        <v>24</v>
      </c>
      <c r="E4342" s="29" t="n">
        <v>9708200</v>
      </c>
      <c r="F4342" s="30" t="n">
        <v>230.485</v>
      </c>
      <c r="G4342" s="31" t="n">
        <f aca="false">IFERROR(F4342/D4342,0)</f>
        <v>9.60354166666667</v>
      </c>
    </row>
    <row r="4343" customFormat="false" ht="15" hidden="false" customHeight="false" outlineLevel="0" collapsed="false">
      <c r="A4343" s="28" t="n">
        <v>2024</v>
      </c>
      <c r="B4343" s="28" t="s">
        <v>122</v>
      </c>
      <c r="C4343" s="28" t="s">
        <v>48</v>
      </c>
      <c r="D4343" s="28" t="n">
        <v>5</v>
      </c>
      <c r="E4343" s="29" t="n">
        <v>1460500</v>
      </c>
      <c r="F4343" s="30" t="n">
        <v>49.25</v>
      </c>
      <c r="G4343" s="31" t="n">
        <f aca="false">IFERROR(F4343/D4343,0)</f>
        <v>9.85</v>
      </c>
    </row>
    <row r="4344" customFormat="false" ht="15" hidden="false" customHeight="false" outlineLevel="0" collapsed="false">
      <c r="A4344" s="28" t="n">
        <v>2024</v>
      </c>
      <c r="B4344" s="28" t="s">
        <v>122</v>
      </c>
      <c r="C4344" s="28" t="s">
        <v>61</v>
      </c>
      <c r="D4344" s="28" t="n">
        <v>1</v>
      </c>
      <c r="E4344" s="29" t="n">
        <v>100000</v>
      </c>
      <c r="F4344" s="30" t="n">
        <v>10.5</v>
      </c>
      <c r="G4344" s="31" t="n">
        <f aca="false">IFERROR(F4344/D4344,0)</f>
        <v>10.5</v>
      </c>
    </row>
    <row r="4345" customFormat="false" ht="15" hidden="false" customHeight="false" outlineLevel="0" collapsed="false">
      <c r="A4345" s="28" t="n">
        <v>2024</v>
      </c>
      <c r="B4345" s="28" t="s">
        <v>122</v>
      </c>
      <c r="C4345" s="28" t="s">
        <v>53</v>
      </c>
      <c r="D4345" s="28" t="n">
        <v>1</v>
      </c>
      <c r="E4345" s="29" t="n">
        <v>40000</v>
      </c>
      <c r="F4345" s="30" t="n">
        <v>10.49</v>
      </c>
      <c r="G4345" s="31" t="n">
        <f aca="false">IFERROR(F4345/D4345,0)</f>
        <v>10.49</v>
      </c>
    </row>
    <row r="4346" customFormat="false" ht="15" hidden="false" customHeight="false" outlineLevel="0" collapsed="false">
      <c r="A4346" s="28" t="n">
        <v>2024</v>
      </c>
      <c r="B4346" s="28" t="s">
        <v>122</v>
      </c>
      <c r="C4346" s="28" t="s">
        <v>43</v>
      </c>
      <c r="D4346" s="28" t="n">
        <v>17</v>
      </c>
      <c r="E4346" s="29" t="n">
        <v>8665600</v>
      </c>
      <c r="F4346" s="30" t="n">
        <v>190.94</v>
      </c>
      <c r="G4346" s="31" t="n">
        <f aca="false">IFERROR(F4346/D4346,0)</f>
        <v>11.2317647058824</v>
      </c>
    </row>
    <row r="4347" customFormat="false" ht="15" hidden="false" customHeight="false" outlineLevel="0" collapsed="false">
      <c r="A4347" s="28" t="n">
        <v>2024</v>
      </c>
      <c r="B4347" s="28" t="s">
        <v>122</v>
      </c>
      <c r="C4347" s="28" t="s">
        <v>52</v>
      </c>
      <c r="D4347" s="28" t="n">
        <v>9</v>
      </c>
      <c r="E4347" s="29" t="n">
        <v>1608100</v>
      </c>
      <c r="F4347" s="30" t="n">
        <v>99.95</v>
      </c>
      <c r="G4347" s="31" t="n">
        <f aca="false">IFERROR(F4347/D4347,0)</f>
        <v>11.1055555555556</v>
      </c>
    </row>
    <row r="4348" customFormat="false" ht="15" hidden="false" customHeight="false" outlineLevel="0" collapsed="false">
      <c r="A4348" s="28" t="n">
        <v>2024</v>
      </c>
      <c r="B4348" s="28" t="s">
        <v>122</v>
      </c>
      <c r="C4348" s="28" t="s">
        <v>60</v>
      </c>
      <c r="D4348" s="28" t="n">
        <v>2</v>
      </c>
      <c r="E4348" s="29" t="n">
        <v>143000</v>
      </c>
      <c r="F4348" s="30" t="n">
        <v>21.55</v>
      </c>
      <c r="G4348" s="31" t="n">
        <f aca="false">IFERROR(F4348/D4348,0)</f>
        <v>10.775</v>
      </c>
    </row>
    <row r="4349" customFormat="false" ht="15" hidden="false" customHeight="false" outlineLevel="0" collapsed="false">
      <c r="A4349" s="28" t="n">
        <v>2024</v>
      </c>
      <c r="B4349" s="28" t="s">
        <v>122</v>
      </c>
      <c r="C4349" s="28" t="s">
        <v>49</v>
      </c>
      <c r="D4349" s="28" t="n">
        <v>5</v>
      </c>
      <c r="E4349" s="29" t="n">
        <v>4760000</v>
      </c>
      <c r="F4349" s="30" t="n">
        <v>52.2</v>
      </c>
      <c r="G4349" s="31" t="n">
        <f aca="false">IFERROR(F4349/D4349,0)</f>
        <v>10.44</v>
      </c>
    </row>
    <row r="4350" customFormat="false" ht="15" hidden="false" customHeight="false" outlineLevel="0" collapsed="false">
      <c r="A4350" s="28" t="n">
        <v>2024</v>
      </c>
      <c r="B4350" s="28" t="s">
        <v>110</v>
      </c>
      <c r="C4350" s="28" t="s">
        <v>42</v>
      </c>
      <c r="D4350" s="28" t="n">
        <v>89</v>
      </c>
      <c r="E4350" s="29" t="n">
        <v>62716700</v>
      </c>
      <c r="F4350" s="30" t="n">
        <v>962.415</v>
      </c>
      <c r="G4350" s="31" t="n">
        <f aca="false">IFERROR(F4350/D4350,0)</f>
        <v>10.8136516853933</v>
      </c>
    </row>
    <row r="4351" customFormat="false" ht="15" hidden="false" customHeight="false" outlineLevel="0" collapsed="false">
      <c r="A4351" s="28" t="n">
        <v>2024</v>
      </c>
      <c r="B4351" s="28" t="s">
        <v>110</v>
      </c>
      <c r="C4351" s="28" t="s">
        <v>50</v>
      </c>
      <c r="D4351" s="28" t="n">
        <v>60</v>
      </c>
      <c r="E4351" s="29" t="n">
        <v>18433700</v>
      </c>
      <c r="F4351" s="30" t="n">
        <v>689.93</v>
      </c>
      <c r="G4351" s="31" t="n">
        <f aca="false">IFERROR(F4351/D4351,0)</f>
        <v>11.4988333333333</v>
      </c>
    </row>
    <row r="4352" customFormat="false" ht="15" hidden="false" customHeight="false" outlineLevel="0" collapsed="false">
      <c r="A4352" s="28" t="n">
        <v>2024</v>
      </c>
      <c r="B4352" s="28" t="s">
        <v>110</v>
      </c>
      <c r="C4352" s="28" t="s">
        <v>55</v>
      </c>
      <c r="D4352" s="28" t="n">
        <v>4</v>
      </c>
      <c r="E4352" s="29" t="n">
        <v>1149000</v>
      </c>
      <c r="F4352" s="30" t="n">
        <v>47.45</v>
      </c>
      <c r="G4352" s="31" t="n">
        <f aca="false">IFERROR(F4352/D4352,0)</f>
        <v>11.8625</v>
      </c>
    </row>
    <row r="4353" customFormat="false" ht="15" hidden="false" customHeight="false" outlineLevel="0" collapsed="false">
      <c r="A4353" s="28" t="n">
        <v>2024</v>
      </c>
      <c r="B4353" s="28" t="s">
        <v>110</v>
      </c>
      <c r="C4353" s="28" t="s">
        <v>51</v>
      </c>
      <c r="D4353" s="28" t="n">
        <v>37</v>
      </c>
      <c r="E4353" s="29" t="n">
        <v>21953500</v>
      </c>
      <c r="F4353" s="30" t="n">
        <v>427.07</v>
      </c>
      <c r="G4353" s="31" t="n">
        <f aca="false">IFERROR(F4353/D4353,0)</f>
        <v>11.5424324324324</v>
      </c>
    </row>
    <row r="4354" customFormat="false" ht="15" hidden="false" customHeight="false" outlineLevel="0" collapsed="false">
      <c r="A4354" s="28" t="n">
        <v>2024</v>
      </c>
      <c r="B4354" s="28" t="s">
        <v>110</v>
      </c>
      <c r="C4354" s="28" t="s">
        <v>45</v>
      </c>
      <c r="D4354" s="28" t="n">
        <v>88</v>
      </c>
      <c r="E4354" s="29" t="n">
        <v>31367600</v>
      </c>
      <c r="F4354" s="30" t="n">
        <v>981.45</v>
      </c>
      <c r="G4354" s="31" t="n">
        <f aca="false">IFERROR(F4354/D4354,0)</f>
        <v>11.1528409090909</v>
      </c>
    </row>
    <row r="4355" customFormat="false" ht="15" hidden="false" customHeight="false" outlineLevel="0" collapsed="false">
      <c r="A4355" s="28" t="n">
        <v>2024</v>
      </c>
      <c r="B4355" s="28" t="s">
        <v>110</v>
      </c>
      <c r="C4355" s="28" t="s">
        <v>56</v>
      </c>
      <c r="D4355" s="28" t="n">
        <v>12</v>
      </c>
      <c r="E4355" s="29" t="n">
        <v>1553000</v>
      </c>
      <c r="F4355" s="30" t="n">
        <v>135.97</v>
      </c>
      <c r="G4355" s="31" t="n">
        <f aca="false">IFERROR(F4355/D4355,0)</f>
        <v>11.3308333333333</v>
      </c>
    </row>
    <row r="4356" customFormat="false" ht="15" hidden="false" customHeight="false" outlineLevel="0" collapsed="false">
      <c r="A4356" s="28" t="n">
        <v>2024</v>
      </c>
      <c r="B4356" s="28" t="s">
        <v>110</v>
      </c>
      <c r="C4356" s="28" t="s">
        <v>54</v>
      </c>
      <c r="D4356" s="28" t="n">
        <v>20</v>
      </c>
      <c r="E4356" s="29" t="n">
        <v>7612000</v>
      </c>
      <c r="F4356" s="30" t="n">
        <v>213.7</v>
      </c>
      <c r="G4356" s="31" t="n">
        <f aca="false">IFERROR(F4356/D4356,0)</f>
        <v>10.685</v>
      </c>
    </row>
    <row r="4357" customFormat="false" ht="15" hidden="false" customHeight="false" outlineLevel="0" collapsed="false">
      <c r="A4357" s="28" t="n">
        <v>2024</v>
      </c>
      <c r="B4357" s="28" t="s">
        <v>110</v>
      </c>
      <c r="C4357" s="28" t="s">
        <v>44</v>
      </c>
      <c r="D4357" s="28" t="n">
        <v>60</v>
      </c>
      <c r="E4357" s="29" t="n">
        <v>61879900</v>
      </c>
      <c r="F4357" s="30" t="n">
        <v>630.63</v>
      </c>
      <c r="G4357" s="31" t="n">
        <f aca="false">IFERROR(F4357/D4357,0)</f>
        <v>10.5105</v>
      </c>
    </row>
    <row r="4358" customFormat="false" ht="15" hidden="false" customHeight="false" outlineLevel="0" collapsed="false">
      <c r="A4358" s="28" t="n">
        <v>2024</v>
      </c>
      <c r="B4358" s="28" t="s">
        <v>110</v>
      </c>
      <c r="C4358" s="28" t="s">
        <v>57</v>
      </c>
      <c r="D4358" s="28" t="n">
        <v>9</v>
      </c>
      <c r="E4358" s="29" t="n">
        <v>1630000</v>
      </c>
      <c r="F4358" s="30" t="n">
        <v>101.48</v>
      </c>
      <c r="G4358" s="31" t="n">
        <f aca="false">IFERROR(F4358/D4358,0)</f>
        <v>11.2755555555556</v>
      </c>
    </row>
    <row r="4359" customFormat="false" ht="15" hidden="false" customHeight="false" outlineLevel="0" collapsed="false">
      <c r="A4359" s="28" t="n">
        <v>2024</v>
      </c>
      <c r="B4359" s="28" t="s">
        <v>110</v>
      </c>
      <c r="C4359" s="28" t="s">
        <v>47</v>
      </c>
      <c r="D4359" s="28" t="n">
        <v>27</v>
      </c>
      <c r="E4359" s="29" t="n">
        <v>16369800</v>
      </c>
      <c r="F4359" s="30" t="n">
        <v>310.48</v>
      </c>
      <c r="G4359" s="31" t="n">
        <f aca="false">IFERROR(F4359/D4359,0)</f>
        <v>11.4992592592593</v>
      </c>
    </row>
    <row r="4360" customFormat="false" ht="15" hidden="false" customHeight="false" outlineLevel="0" collapsed="false">
      <c r="A4360" s="28" t="n">
        <v>2024</v>
      </c>
      <c r="B4360" s="28" t="s">
        <v>110</v>
      </c>
      <c r="C4360" s="28" t="s">
        <v>46</v>
      </c>
      <c r="D4360" s="28" t="n">
        <v>95</v>
      </c>
      <c r="E4360" s="29" t="n">
        <v>45367100</v>
      </c>
      <c r="F4360" s="30" t="n">
        <v>1064.16</v>
      </c>
      <c r="G4360" s="31" t="n">
        <f aca="false">IFERROR(F4360/D4360,0)</f>
        <v>11.2016842105263</v>
      </c>
    </row>
    <row r="4361" customFormat="false" ht="15" hidden="false" customHeight="false" outlineLevel="0" collapsed="false">
      <c r="A4361" s="28" t="n">
        <v>2024</v>
      </c>
      <c r="B4361" s="28" t="s">
        <v>110</v>
      </c>
      <c r="C4361" s="28" t="s">
        <v>48</v>
      </c>
      <c r="D4361" s="28" t="n">
        <v>66</v>
      </c>
      <c r="E4361" s="29" t="n">
        <v>35812600</v>
      </c>
      <c r="F4361" s="30" t="n">
        <v>748.33</v>
      </c>
      <c r="G4361" s="31" t="n">
        <f aca="false">IFERROR(F4361/D4361,0)</f>
        <v>11.3383333333333</v>
      </c>
    </row>
    <row r="4362" customFormat="false" ht="15" hidden="false" customHeight="false" outlineLevel="0" collapsed="false">
      <c r="A4362" s="28" t="n">
        <v>2024</v>
      </c>
      <c r="B4362" s="28" t="s">
        <v>110</v>
      </c>
      <c r="C4362" s="28" t="s">
        <v>53</v>
      </c>
      <c r="D4362" s="28" t="n">
        <v>24</v>
      </c>
      <c r="E4362" s="29" t="n">
        <v>11170900</v>
      </c>
      <c r="F4362" s="30" t="n">
        <v>279.22</v>
      </c>
      <c r="G4362" s="31" t="n">
        <f aca="false">IFERROR(F4362/D4362,0)</f>
        <v>11.6341666666667</v>
      </c>
    </row>
    <row r="4363" customFormat="false" ht="15" hidden="false" customHeight="false" outlineLevel="0" collapsed="false">
      <c r="A4363" s="28" t="n">
        <v>2024</v>
      </c>
      <c r="B4363" s="28" t="s">
        <v>110</v>
      </c>
      <c r="C4363" s="28" t="s">
        <v>43</v>
      </c>
      <c r="D4363" s="28" t="n">
        <v>71</v>
      </c>
      <c r="E4363" s="29" t="n">
        <v>36042100</v>
      </c>
      <c r="F4363" s="30" t="n">
        <v>814</v>
      </c>
      <c r="G4363" s="31" t="n">
        <f aca="false">IFERROR(F4363/D4363,0)</f>
        <v>11.4647887323944</v>
      </c>
    </row>
    <row r="4364" customFormat="false" ht="15" hidden="false" customHeight="false" outlineLevel="0" collapsed="false">
      <c r="A4364" s="28" t="n">
        <v>2024</v>
      </c>
      <c r="B4364" s="28" t="s">
        <v>110</v>
      </c>
      <c r="C4364" s="28" t="s">
        <v>52</v>
      </c>
      <c r="D4364" s="28" t="n">
        <v>26</v>
      </c>
      <c r="E4364" s="29" t="n">
        <v>14336800</v>
      </c>
      <c r="F4364" s="30" t="n">
        <v>281.51</v>
      </c>
      <c r="G4364" s="31" t="n">
        <f aca="false">IFERROR(F4364/D4364,0)</f>
        <v>10.8273076923077</v>
      </c>
    </row>
    <row r="4365" customFormat="false" ht="15" hidden="false" customHeight="false" outlineLevel="0" collapsed="false">
      <c r="A4365" s="28" t="n">
        <v>2024</v>
      </c>
      <c r="B4365" s="28" t="s">
        <v>110</v>
      </c>
      <c r="C4365" s="28" t="s">
        <v>60</v>
      </c>
      <c r="D4365" s="28" t="n">
        <v>1</v>
      </c>
      <c r="E4365" s="29" t="n">
        <v>40000</v>
      </c>
      <c r="F4365" s="30" t="n">
        <v>9.24</v>
      </c>
      <c r="G4365" s="31" t="n">
        <f aca="false">IFERROR(F4365/D4365,0)</f>
        <v>9.24</v>
      </c>
    </row>
    <row r="4366" customFormat="false" ht="15" hidden="false" customHeight="false" outlineLevel="0" collapsed="false">
      <c r="A4366" s="28" t="n">
        <v>2024</v>
      </c>
      <c r="B4366" s="28" t="s">
        <v>110</v>
      </c>
      <c r="C4366" s="28" t="s">
        <v>49</v>
      </c>
      <c r="D4366" s="28" t="n">
        <v>26</v>
      </c>
      <c r="E4366" s="29" t="n">
        <v>11407500</v>
      </c>
      <c r="F4366" s="30" t="n">
        <v>294.06</v>
      </c>
      <c r="G4366" s="31" t="n">
        <f aca="false">IFERROR(F4366/D4366,0)</f>
        <v>11.31</v>
      </c>
    </row>
    <row r="4367" customFormat="false" ht="15" hidden="false" customHeight="false" outlineLevel="0" collapsed="false">
      <c r="A4367" s="28" t="n">
        <v>2024</v>
      </c>
      <c r="B4367" s="28" t="s">
        <v>77</v>
      </c>
      <c r="C4367" s="28" t="s">
        <v>42</v>
      </c>
      <c r="D4367" s="28" t="n">
        <v>568</v>
      </c>
      <c r="E4367" s="29" t="n">
        <v>511023200</v>
      </c>
      <c r="F4367" s="30" t="n">
        <v>6142.54</v>
      </c>
      <c r="G4367" s="31" t="n">
        <f aca="false">IFERROR(F4367/D4367,0)</f>
        <v>10.8143309859155</v>
      </c>
    </row>
    <row r="4368" customFormat="false" ht="15" hidden="false" customHeight="false" outlineLevel="0" collapsed="false">
      <c r="A4368" s="28" t="n">
        <v>2024</v>
      </c>
      <c r="B4368" s="28" t="s">
        <v>77</v>
      </c>
      <c r="C4368" s="28" t="s">
        <v>50</v>
      </c>
      <c r="D4368" s="28" t="n">
        <v>274</v>
      </c>
      <c r="E4368" s="29" t="n">
        <v>115481400</v>
      </c>
      <c r="F4368" s="30" t="n">
        <v>3053.29</v>
      </c>
      <c r="G4368" s="31" t="n">
        <f aca="false">IFERROR(F4368/D4368,0)</f>
        <v>11.1433941605839</v>
      </c>
    </row>
    <row r="4369" customFormat="false" ht="15" hidden="false" customHeight="false" outlineLevel="0" collapsed="false">
      <c r="A4369" s="28" t="n">
        <v>2024</v>
      </c>
      <c r="B4369" s="28" t="s">
        <v>77</v>
      </c>
      <c r="C4369" s="28" t="s">
        <v>55</v>
      </c>
      <c r="D4369" s="28" t="n">
        <v>30</v>
      </c>
      <c r="E4369" s="29" t="n">
        <v>23588500</v>
      </c>
      <c r="F4369" s="30" t="n">
        <v>310.55</v>
      </c>
      <c r="G4369" s="31" t="n">
        <f aca="false">IFERROR(F4369/D4369,0)</f>
        <v>10.3516666666667</v>
      </c>
    </row>
    <row r="4370" customFormat="false" ht="15" hidden="false" customHeight="false" outlineLevel="0" collapsed="false">
      <c r="A4370" s="28" t="n">
        <v>2024</v>
      </c>
      <c r="B4370" s="28" t="s">
        <v>77</v>
      </c>
      <c r="C4370" s="28" t="s">
        <v>51</v>
      </c>
      <c r="D4370" s="28" t="n">
        <v>208</v>
      </c>
      <c r="E4370" s="29" t="n">
        <v>115226700</v>
      </c>
      <c r="F4370" s="30" t="n">
        <v>2295.86</v>
      </c>
      <c r="G4370" s="31" t="n">
        <f aca="false">IFERROR(F4370/D4370,0)</f>
        <v>11.0377884615385</v>
      </c>
    </row>
    <row r="4371" customFormat="false" ht="15" hidden="false" customHeight="false" outlineLevel="0" collapsed="false">
      <c r="A4371" s="28" t="n">
        <v>2024</v>
      </c>
      <c r="B4371" s="28" t="s">
        <v>77</v>
      </c>
      <c r="C4371" s="28" t="s">
        <v>45</v>
      </c>
      <c r="D4371" s="28" t="n">
        <v>549</v>
      </c>
      <c r="E4371" s="29" t="n">
        <v>242878800</v>
      </c>
      <c r="F4371" s="30" t="n">
        <v>6427.85</v>
      </c>
      <c r="G4371" s="31" t="n">
        <f aca="false">IFERROR(F4371/D4371,0)</f>
        <v>11.7082877959927</v>
      </c>
    </row>
    <row r="4372" customFormat="false" ht="15" hidden="false" customHeight="false" outlineLevel="0" collapsed="false">
      <c r="A4372" s="28" t="n">
        <v>2024</v>
      </c>
      <c r="B4372" s="28" t="s">
        <v>77</v>
      </c>
      <c r="C4372" s="28" t="s">
        <v>56</v>
      </c>
      <c r="D4372" s="28" t="n">
        <v>97</v>
      </c>
      <c r="E4372" s="29" t="n">
        <v>48667500</v>
      </c>
      <c r="F4372" s="30" t="n">
        <v>1070.644</v>
      </c>
      <c r="G4372" s="31" t="n">
        <f aca="false">IFERROR(F4372/D4372,0)</f>
        <v>11.0375670103093</v>
      </c>
    </row>
    <row r="4373" customFormat="false" ht="15" hidden="false" customHeight="false" outlineLevel="0" collapsed="false">
      <c r="A4373" s="28" t="n">
        <v>2024</v>
      </c>
      <c r="B4373" s="28" t="s">
        <v>77</v>
      </c>
      <c r="C4373" s="28" t="s">
        <v>54</v>
      </c>
      <c r="D4373" s="28" t="n">
        <v>81</v>
      </c>
      <c r="E4373" s="29" t="n">
        <v>32207800</v>
      </c>
      <c r="F4373" s="30" t="n">
        <v>906.18</v>
      </c>
      <c r="G4373" s="31" t="n">
        <f aca="false">IFERROR(F4373/D4373,0)</f>
        <v>11.1874074074074</v>
      </c>
    </row>
    <row r="4374" customFormat="false" ht="15" hidden="false" customHeight="false" outlineLevel="0" collapsed="false">
      <c r="A4374" s="28" t="n">
        <v>2024</v>
      </c>
      <c r="B4374" s="28" t="s">
        <v>77</v>
      </c>
      <c r="C4374" s="28" t="s">
        <v>44</v>
      </c>
      <c r="D4374" s="28" t="n">
        <v>550</v>
      </c>
      <c r="E4374" s="29" t="n">
        <v>376595200</v>
      </c>
      <c r="F4374" s="30" t="n">
        <v>5935.72</v>
      </c>
      <c r="G4374" s="31" t="n">
        <f aca="false">IFERROR(F4374/D4374,0)</f>
        <v>10.7922181818182</v>
      </c>
    </row>
    <row r="4375" customFormat="false" ht="15" hidden="false" customHeight="false" outlineLevel="0" collapsed="false">
      <c r="A4375" s="28" t="n">
        <v>2024</v>
      </c>
      <c r="B4375" s="28" t="s">
        <v>77</v>
      </c>
      <c r="C4375" s="28" t="s">
        <v>57</v>
      </c>
      <c r="D4375" s="28" t="n">
        <v>43</v>
      </c>
      <c r="E4375" s="29" t="n">
        <v>14877300</v>
      </c>
      <c r="F4375" s="30" t="n">
        <v>523.65</v>
      </c>
      <c r="G4375" s="31" t="n">
        <f aca="false">IFERROR(F4375/D4375,0)</f>
        <v>12.1779069767442</v>
      </c>
    </row>
    <row r="4376" customFormat="false" ht="15" hidden="false" customHeight="false" outlineLevel="0" collapsed="false">
      <c r="A4376" s="28" t="n">
        <v>2024</v>
      </c>
      <c r="B4376" s="28" t="s">
        <v>77</v>
      </c>
      <c r="C4376" s="28" t="s">
        <v>59</v>
      </c>
      <c r="D4376" s="28" t="n">
        <v>2</v>
      </c>
      <c r="E4376" s="29" t="n">
        <v>4772600</v>
      </c>
      <c r="F4376" s="30" t="n">
        <v>15.95</v>
      </c>
      <c r="G4376" s="31" t="n">
        <f aca="false">IFERROR(F4376/D4376,0)</f>
        <v>7.975</v>
      </c>
    </row>
    <row r="4377" customFormat="false" ht="15" hidden="false" customHeight="false" outlineLevel="0" collapsed="false">
      <c r="A4377" s="28" t="n">
        <v>2024</v>
      </c>
      <c r="B4377" s="28" t="s">
        <v>77</v>
      </c>
      <c r="C4377" s="28" t="s">
        <v>47</v>
      </c>
      <c r="D4377" s="28" t="n">
        <v>245</v>
      </c>
      <c r="E4377" s="29" t="n">
        <v>172291700</v>
      </c>
      <c r="F4377" s="30" t="n">
        <v>2684.02</v>
      </c>
      <c r="G4377" s="31" t="n">
        <f aca="false">IFERROR(F4377/D4377,0)</f>
        <v>10.9551836734694</v>
      </c>
    </row>
    <row r="4378" customFormat="false" ht="15" hidden="false" customHeight="false" outlineLevel="0" collapsed="false">
      <c r="A4378" s="28" t="n">
        <v>2024</v>
      </c>
      <c r="B4378" s="28" t="s">
        <v>77</v>
      </c>
      <c r="C4378" s="28" t="s">
        <v>58</v>
      </c>
      <c r="D4378" s="28" t="n">
        <v>15</v>
      </c>
      <c r="E4378" s="29" t="n">
        <v>6850000</v>
      </c>
      <c r="F4378" s="30" t="n">
        <v>171.6</v>
      </c>
      <c r="G4378" s="31" t="n">
        <f aca="false">IFERROR(F4378/D4378,0)</f>
        <v>11.44</v>
      </c>
    </row>
    <row r="4379" customFormat="false" ht="15" hidden="false" customHeight="false" outlineLevel="0" collapsed="false">
      <c r="A4379" s="28" t="n">
        <v>2024</v>
      </c>
      <c r="B4379" s="28" t="s">
        <v>77</v>
      </c>
      <c r="C4379" s="28" t="s">
        <v>46</v>
      </c>
      <c r="D4379" s="28" t="n">
        <v>522</v>
      </c>
      <c r="E4379" s="29" t="n">
        <v>288554800</v>
      </c>
      <c r="F4379" s="30" t="n">
        <v>5819.885</v>
      </c>
      <c r="G4379" s="31" t="n">
        <f aca="false">IFERROR(F4379/D4379,0)</f>
        <v>11.1492049808429</v>
      </c>
    </row>
    <row r="4380" customFormat="false" ht="15" hidden="false" customHeight="false" outlineLevel="0" collapsed="false">
      <c r="A4380" s="28" t="n">
        <v>2024</v>
      </c>
      <c r="B4380" s="28" t="s">
        <v>77</v>
      </c>
      <c r="C4380" s="28" t="s">
        <v>48</v>
      </c>
      <c r="D4380" s="28" t="n">
        <v>436</v>
      </c>
      <c r="E4380" s="29" t="n">
        <v>177746300</v>
      </c>
      <c r="F4380" s="30" t="n">
        <v>5032.41</v>
      </c>
      <c r="G4380" s="31" t="n">
        <f aca="false">IFERROR(F4380/D4380,0)</f>
        <v>11.5422247706422</v>
      </c>
    </row>
    <row r="4381" customFormat="false" ht="15" hidden="false" customHeight="false" outlineLevel="0" collapsed="false">
      <c r="A4381" s="28" t="n">
        <v>2024</v>
      </c>
      <c r="B4381" s="28" t="s">
        <v>77</v>
      </c>
      <c r="C4381" s="28" t="s">
        <v>53</v>
      </c>
      <c r="D4381" s="28" t="n">
        <v>89</v>
      </c>
      <c r="E4381" s="29" t="n">
        <v>67896800</v>
      </c>
      <c r="F4381" s="30" t="n">
        <v>971.67</v>
      </c>
      <c r="G4381" s="31" t="n">
        <f aca="false">IFERROR(F4381/D4381,0)</f>
        <v>10.9176404494382</v>
      </c>
    </row>
    <row r="4382" customFormat="false" ht="15" hidden="false" customHeight="false" outlineLevel="0" collapsed="false">
      <c r="A4382" s="28" t="n">
        <v>2024</v>
      </c>
      <c r="B4382" s="28" t="s">
        <v>77</v>
      </c>
      <c r="C4382" s="28" t="s">
        <v>43</v>
      </c>
      <c r="D4382" s="28" t="n">
        <v>528</v>
      </c>
      <c r="E4382" s="29" t="n">
        <v>385457700</v>
      </c>
      <c r="F4382" s="30" t="n">
        <v>5852.3</v>
      </c>
      <c r="G4382" s="31" t="n">
        <f aca="false">IFERROR(F4382/D4382,0)</f>
        <v>11.0839015151515</v>
      </c>
    </row>
    <row r="4383" customFormat="false" ht="15" hidden="false" customHeight="false" outlineLevel="0" collapsed="false">
      <c r="A4383" s="28" t="n">
        <v>2024</v>
      </c>
      <c r="B4383" s="28" t="s">
        <v>77</v>
      </c>
      <c r="C4383" s="28" t="s">
        <v>52</v>
      </c>
      <c r="D4383" s="28" t="n">
        <v>202</v>
      </c>
      <c r="E4383" s="29" t="n">
        <v>90368300</v>
      </c>
      <c r="F4383" s="30" t="n">
        <v>2387.325</v>
      </c>
      <c r="G4383" s="31" t="n">
        <f aca="false">IFERROR(F4383/D4383,0)</f>
        <v>11.8184405940594</v>
      </c>
    </row>
    <row r="4384" customFormat="false" ht="15" hidden="false" customHeight="false" outlineLevel="0" collapsed="false">
      <c r="A4384" s="28" t="n">
        <v>2024</v>
      </c>
      <c r="B4384" s="28" t="s">
        <v>77</v>
      </c>
      <c r="C4384" s="28" t="s">
        <v>60</v>
      </c>
      <c r="D4384" s="28" t="n">
        <v>11</v>
      </c>
      <c r="E4384" s="29" t="n">
        <v>2704000</v>
      </c>
      <c r="F4384" s="30" t="n">
        <v>130.8</v>
      </c>
      <c r="G4384" s="31" t="n">
        <f aca="false">IFERROR(F4384/D4384,0)</f>
        <v>11.8909090909091</v>
      </c>
    </row>
    <row r="4385" customFormat="false" ht="15" hidden="false" customHeight="false" outlineLevel="0" collapsed="false">
      <c r="A4385" s="28" t="n">
        <v>2024</v>
      </c>
      <c r="B4385" s="28" t="s">
        <v>77</v>
      </c>
      <c r="C4385" s="28" t="s">
        <v>49</v>
      </c>
      <c r="D4385" s="28" t="n">
        <v>200</v>
      </c>
      <c r="E4385" s="29" t="n">
        <v>132646900</v>
      </c>
      <c r="F4385" s="30" t="n">
        <v>2221.028</v>
      </c>
      <c r="G4385" s="31" t="n">
        <f aca="false">IFERROR(F4385/D4385,0)</f>
        <v>11.10514</v>
      </c>
    </row>
    <row r="4386" customFormat="false" ht="15" hidden="false" customHeight="false" outlineLevel="0" collapsed="false">
      <c r="A4386" s="28" t="n">
        <v>2024</v>
      </c>
      <c r="B4386" s="28" t="s">
        <v>105</v>
      </c>
      <c r="C4386" s="28" t="s">
        <v>42</v>
      </c>
      <c r="D4386" s="28" t="n">
        <v>103</v>
      </c>
      <c r="E4386" s="29" t="n">
        <v>52367900</v>
      </c>
      <c r="F4386" s="30" t="n">
        <v>1077.87</v>
      </c>
      <c r="G4386" s="31" t="n">
        <f aca="false">IFERROR(F4386/D4386,0)</f>
        <v>10.4647572815534</v>
      </c>
    </row>
    <row r="4387" customFormat="false" ht="15" hidden="false" customHeight="false" outlineLevel="0" collapsed="false">
      <c r="A4387" s="28" t="n">
        <v>2024</v>
      </c>
      <c r="B4387" s="28" t="s">
        <v>105</v>
      </c>
      <c r="C4387" s="28" t="s">
        <v>50</v>
      </c>
      <c r="D4387" s="28" t="n">
        <v>67</v>
      </c>
      <c r="E4387" s="29" t="n">
        <v>19462300</v>
      </c>
      <c r="F4387" s="30" t="n">
        <v>745.08</v>
      </c>
      <c r="G4387" s="31" t="n">
        <f aca="false">IFERROR(F4387/D4387,0)</f>
        <v>11.1205970149254</v>
      </c>
    </row>
    <row r="4388" customFormat="false" ht="15" hidden="false" customHeight="false" outlineLevel="0" collapsed="false">
      <c r="A4388" s="28" t="n">
        <v>2024</v>
      </c>
      <c r="B4388" s="28" t="s">
        <v>105</v>
      </c>
      <c r="C4388" s="28" t="s">
        <v>55</v>
      </c>
      <c r="D4388" s="28" t="n">
        <v>4</v>
      </c>
      <c r="E4388" s="29" t="n">
        <v>751800</v>
      </c>
      <c r="F4388" s="30" t="n">
        <v>43.95</v>
      </c>
      <c r="G4388" s="31" t="n">
        <f aca="false">IFERROR(F4388/D4388,0)</f>
        <v>10.9875</v>
      </c>
    </row>
    <row r="4389" customFormat="false" ht="15" hidden="false" customHeight="false" outlineLevel="0" collapsed="false">
      <c r="A4389" s="28" t="n">
        <v>2024</v>
      </c>
      <c r="B4389" s="28" t="s">
        <v>105</v>
      </c>
      <c r="C4389" s="28" t="s">
        <v>51</v>
      </c>
      <c r="D4389" s="28" t="n">
        <v>36</v>
      </c>
      <c r="E4389" s="29" t="n">
        <v>12983200</v>
      </c>
      <c r="F4389" s="30" t="n">
        <v>395.44</v>
      </c>
      <c r="G4389" s="31" t="n">
        <f aca="false">IFERROR(F4389/D4389,0)</f>
        <v>10.9844444444444</v>
      </c>
    </row>
    <row r="4390" customFormat="false" ht="15" hidden="false" customHeight="false" outlineLevel="0" collapsed="false">
      <c r="A4390" s="28" t="n">
        <v>2024</v>
      </c>
      <c r="B4390" s="28" t="s">
        <v>105</v>
      </c>
      <c r="C4390" s="28" t="s">
        <v>45</v>
      </c>
      <c r="D4390" s="28" t="n">
        <v>140</v>
      </c>
      <c r="E4390" s="29" t="n">
        <v>54747900</v>
      </c>
      <c r="F4390" s="30" t="n">
        <v>1594.93</v>
      </c>
      <c r="G4390" s="31" t="n">
        <f aca="false">IFERROR(F4390/D4390,0)</f>
        <v>11.3923571428571</v>
      </c>
    </row>
    <row r="4391" customFormat="false" ht="15" hidden="false" customHeight="false" outlineLevel="0" collapsed="false">
      <c r="A4391" s="28" t="n">
        <v>2024</v>
      </c>
      <c r="B4391" s="28" t="s">
        <v>105</v>
      </c>
      <c r="C4391" s="28" t="s">
        <v>56</v>
      </c>
      <c r="D4391" s="28" t="n">
        <v>19</v>
      </c>
      <c r="E4391" s="29" t="n">
        <v>10741800</v>
      </c>
      <c r="F4391" s="30" t="n">
        <v>210.63</v>
      </c>
      <c r="G4391" s="31" t="n">
        <f aca="false">IFERROR(F4391/D4391,0)</f>
        <v>11.0857894736842</v>
      </c>
    </row>
    <row r="4392" customFormat="false" ht="15" hidden="false" customHeight="false" outlineLevel="0" collapsed="false">
      <c r="A4392" s="28" t="n">
        <v>2024</v>
      </c>
      <c r="B4392" s="28" t="s">
        <v>105</v>
      </c>
      <c r="C4392" s="28" t="s">
        <v>54</v>
      </c>
      <c r="D4392" s="28" t="n">
        <v>17</v>
      </c>
      <c r="E4392" s="29" t="n">
        <v>4625900</v>
      </c>
      <c r="F4392" s="30" t="n">
        <v>186.51</v>
      </c>
      <c r="G4392" s="31" t="n">
        <f aca="false">IFERROR(F4392/D4392,0)</f>
        <v>10.9711764705882</v>
      </c>
    </row>
    <row r="4393" customFormat="false" ht="15" hidden="false" customHeight="false" outlineLevel="0" collapsed="false">
      <c r="A4393" s="28" t="n">
        <v>2024</v>
      </c>
      <c r="B4393" s="28" t="s">
        <v>105</v>
      </c>
      <c r="C4393" s="28" t="s">
        <v>44</v>
      </c>
      <c r="D4393" s="28" t="n">
        <v>110</v>
      </c>
      <c r="E4393" s="29" t="n">
        <v>57537700</v>
      </c>
      <c r="F4393" s="30" t="n">
        <v>1171.425</v>
      </c>
      <c r="G4393" s="31" t="n">
        <f aca="false">IFERROR(F4393/D4393,0)</f>
        <v>10.6493181818182</v>
      </c>
    </row>
    <row r="4394" customFormat="false" ht="15" hidden="false" customHeight="false" outlineLevel="0" collapsed="false">
      <c r="A4394" s="28" t="n">
        <v>2024</v>
      </c>
      <c r="B4394" s="28" t="s">
        <v>105</v>
      </c>
      <c r="C4394" s="28" t="s">
        <v>57</v>
      </c>
      <c r="D4394" s="28" t="n">
        <v>10</v>
      </c>
      <c r="E4394" s="29" t="n">
        <v>4599500</v>
      </c>
      <c r="F4394" s="30" t="n">
        <v>110.84</v>
      </c>
      <c r="G4394" s="31" t="n">
        <f aca="false">IFERROR(F4394/D4394,0)</f>
        <v>11.084</v>
      </c>
    </row>
    <row r="4395" customFormat="false" ht="15" hidden="false" customHeight="false" outlineLevel="0" collapsed="false">
      <c r="A4395" s="28" t="n">
        <v>2024</v>
      </c>
      <c r="B4395" s="28" t="s">
        <v>105</v>
      </c>
      <c r="C4395" s="28" t="s">
        <v>59</v>
      </c>
      <c r="D4395" s="28" t="n">
        <v>3</v>
      </c>
      <c r="E4395" s="29" t="n">
        <v>5136000</v>
      </c>
      <c r="F4395" s="30" t="n">
        <v>30.4</v>
      </c>
      <c r="G4395" s="31" t="n">
        <f aca="false">IFERROR(F4395/D4395,0)</f>
        <v>10.1333333333333</v>
      </c>
    </row>
    <row r="4396" customFormat="false" ht="15" hidden="false" customHeight="false" outlineLevel="0" collapsed="false">
      <c r="A4396" s="28" t="n">
        <v>2024</v>
      </c>
      <c r="B4396" s="28" t="s">
        <v>105</v>
      </c>
      <c r="C4396" s="28" t="s">
        <v>47</v>
      </c>
      <c r="D4396" s="28" t="n">
        <v>85</v>
      </c>
      <c r="E4396" s="29" t="n">
        <v>55764000</v>
      </c>
      <c r="F4396" s="30" t="n">
        <v>881.86</v>
      </c>
      <c r="G4396" s="31" t="n">
        <f aca="false">IFERROR(F4396/D4396,0)</f>
        <v>10.3748235294118</v>
      </c>
    </row>
    <row r="4397" customFormat="false" ht="15" hidden="false" customHeight="false" outlineLevel="0" collapsed="false">
      <c r="A4397" s="28" t="n">
        <v>2024</v>
      </c>
      <c r="B4397" s="28" t="s">
        <v>105</v>
      </c>
      <c r="C4397" s="28" t="s">
        <v>58</v>
      </c>
      <c r="D4397" s="28" t="n">
        <v>2</v>
      </c>
      <c r="E4397" s="29" t="n">
        <v>4599000</v>
      </c>
      <c r="F4397" s="30" t="n">
        <v>17.35</v>
      </c>
      <c r="G4397" s="31" t="n">
        <f aca="false">IFERROR(F4397/D4397,0)</f>
        <v>8.675</v>
      </c>
    </row>
    <row r="4398" customFormat="false" ht="15" hidden="false" customHeight="false" outlineLevel="0" collapsed="false">
      <c r="A4398" s="28" t="n">
        <v>2024</v>
      </c>
      <c r="B4398" s="28" t="s">
        <v>105</v>
      </c>
      <c r="C4398" s="28" t="s">
        <v>46</v>
      </c>
      <c r="D4398" s="28" t="n">
        <v>106</v>
      </c>
      <c r="E4398" s="29" t="n">
        <v>40749000</v>
      </c>
      <c r="F4398" s="30" t="n">
        <v>1161.88</v>
      </c>
      <c r="G4398" s="31" t="n">
        <f aca="false">IFERROR(F4398/D4398,0)</f>
        <v>10.9611320754717</v>
      </c>
    </row>
    <row r="4399" customFormat="false" ht="15" hidden="false" customHeight="false" outlineLevel="0" collapsed="false">
      <c r="A4399" s="28" t="n">
        <v>2024</v>
      </c>
      <c r="B4399" s="28" t="s">
        <v>105</v>
      </c>
      <c r="C4399" s="28" t="s">
        <v>48</v>
      </c>
      <c r="D4399" s="28" t="n">
        <v>120</v>
      </c>
      <c r="E4399" s="29" t="n">
        <v>46998500</v>
      </c>
      <c r="F4399" s="30" t="n">
        <v>1349.03</v>
      </c>
      <c r="G4399" s="31" t="n">
        <f aca="false">IFERROR(F4399/D4399,0)</f>
        <v>11.2419166666667</v>
      </c>
    </row>
    <row r="4400" customFormat="false" ht="15" hidden="false" customHeight="false" outlineLevel="0" collapsed="false">
      <c r="A4400" s="28" t="n">
        <v>2024</v>
      </c>
      <c r="B4400" s="28" t="s">
        <v>105</v>
      </c>
      <c r="C4400" s="28" t="s">
        <v>53</v>
      </c>
      <c r="D4400" s="28" t="n">
        <v>25</v>
      </c>
      <c r="E4400" s="29" t="n">
        <v>6028900</v>
      </c>
      <c r="F4400" s="30" t="n">
        <v>262.65</v>
      </c>
      <c r="G4400" s="31" t="n">
        <f aca="false">IFERROR(F4400/D4400,0)</f>
        <v>10.506</v>
      </c>
    </row>
    <row r="4401" customFormat="false" ht="15" hidden="false" customHeight="false" outlineLevel="0" collapsed="false">
      <c r="A4401" s="28" t="n">
        <v>2024</v>
      </c>
      <c r="B4401" s="28" t="s">
        <v>105</v>
      </c>
      <c r="C4401" s="28" t="s">
        <v>43</v>
      </c>
      <c r="D4401" s="28" t="n">
        <v>94</v>
      </c>
      <c r="E4401" s="29" t="n">
        <v>46983400</v>
      </c>
      <c r="F4401" s="30" t="n">
        <v>1007.27</v>
      </c>
      <c r="G4401" s="31" t="n">
        <f aca="false">IFERROR(F4401/D4401,0)</f>
        <v>10.7156382978723</v>
      </c>
    </row>
    <row r="4402" customFormat="false" ht="15" hidden="false" customHeight="false" outlineLevel="0" collapsed="false">
      <c r="A4402" s="28" t="n">
        <v>2024</v>
      </c>
      <c r="B4402" s="28" t="s">
        <v>105</v>
      </c>
      <c r="C4402" s="28" t="s">
        <v>52</v>
      </c>
      <c r="D4402" s="28" t="n">
        <v>39</v>
      </c>
      <c r="E4402" s="29" t="n">
        <v>17354100</v>
      </c>
      <c r="F4402" s="30" t="n">
        <v>456.99</v>
      </c>
      <c r="G4402" s="31" t="n">
        <f aca="false">IFERROR(F4402/D4402,0)</f>
        <v>11.7176923076923</v>
      </c>
    </row>
    <row r="4403" customFormat="false" ht="15" hidden="false" customHeight="false" outlineLevel="0" collapsed="false">
      <c r="A4403" s="28" t="n">
        <v>2024</v>
      </c>
      <c r="B4403" s="28" t="s">
        <v>105</v>
      </c>
      <c r="C4403" s="28" t="s">
        <v>60</v>
      </c>
      <c r="D4403" s="28" t="n">
        <v>2</v>
      </c>
      <c r="E4403" s="29" t="n">
        <v>450000</v>
      </c>
      <c r="F4403" s="30" t="n">
        <v>24.55</v>
      </c>
      <c r="G4403" s="31" t="n">
        <f aca="false">IFERROR(F4403/D4403,0)</f>
        <v>12.275</v>
      </c>
    </row>
    <row r="4404" customFormat="false" ht="15" hidden="false" customHeight="false" outlineLevel="0" collapsed="false">
      <c r="A4404" s="28" t="n">
        <v>2024</v>
      </c>
      <c r="B4404" s="28" t="s">
        <v>105</v>
      </c>
      <c r="C4404" s="28" t="s">
        <v>49</v>
      </c>
      <c r="D4404" s="28" t="n">
        <v>46</v>
      </c>
      <c r="E4404" s="29" t="n">
        <v>32618400</v>
      </c>
      <c r="F4404" s="30" t="n">
        <v>509.9</v>
      </c>
      <c r="G4404" s="31" t="n">
        <f aca="false">IFERROR(F4404/D4404,0)</f>
        <v>11.0847826086957</v>
      </c>
    </row>
    <row r="4405" customFormat="false" ht="15" hidden="false" customHeight="false" outlineLevel="0" collapsed="false">
      <c r="A4405" s="28" t="n">
        <v>2024</v>
      </c>
      <c r="B4405" s="28" t="s">
        <v>65</v>
      </c>
      <c r="C4405" s="28" t="s">
        <v>42</v>
      </c>
      <c r="D4405" s="28" t="n">
        <v>138</v>
      </c>
      <c r="E4405" s="29" t="n">
        <v>99972700</v>
      </c>
      <c r="F4405" s="30" t="n">
        <v>1516.24</v>
      </c>
      <c r="G4405" s="31" t="n">
        <f aca="false">IFERROR(F4405/D4405,0)</f>
        <v>10.9872463768116</v>
      </c>
    </row>
    <row r="4406" customFormat="false" ht="15" hidden="false" customHeight="false" outlineLevel="0" collapsed="false">
      <c r="A4406" s="28" t="n">
        <v>2024</v>
      </c>
      <c r="B4406" s="28" t="s">
        <v>65</v>
      </c>
      <c r="C4406" s="28" t="s">
        <v>50</v>
      </c>
      <c r="D4406" s="28" t="n">
        <v>79</v>
      </c>
      <c r="E4406" s="29" t="n">
        <v>25676800</v>
      </c>
      <c r="F4406" s="30" t="n">
        <v>898.84</v>
      </c>
      <c r="G4406" s="31" t="n">
        <f aca="false">IFERROR(F4406/D4406,0)</f>
        <v>11.3777215189873</v>
      </c>
    </row>
    <row r="4407" customFormat="false" ht="15" hidden="false" customHeight="false" outlineLevel="0" collapsed="false">
      <c r="A4407" s="28" t="n">
        <v>2024</v>
      </c>
      <c r="B4407" s="28" t="s">
        <v>65</v>
      </c>
      <c r="C4407" s="28" t="s">
        <v>55</v>
      </c>
      <c r="D4407" s="28" t="n">
        <v>4</v>
      </c>
      <c r="E4407" s="29" t="n">
        <v>3526000</v>
      </c>
      <c r="F4407" s="30" t="n">
        <v>42.25</v>
      </c>
      <c r="G4407" s="31" t="n">
        <f aca="false">IFERROR(F4407/D4407,0)</f>
        <v>10.5625</v>
      </c>
    </row>
    <row r="4408" customFormat="false" ht="15" hidden="false" customHeight="false" outlineLevel="0" collapsed="false">
      <c r="A4408" s="28" t="n">
        <v>2024</v>
      </c>
      <c r="B4408" s="28" t="s">
        <v>65</v>
      </c>
      <c r="C4408" s="28" t="s">
        <v>51</v>
      </c>
      <c r="D4408" s="28" t="n">
        <v>52</v>
      </c>
      <c r="E4408" s="29" t="n">
        <v>32479500</v>
      </c>
      <c r="F4408" s="30" t="n">
        <v>586.03</v>
      </c>
      <c r="G4408" s="31" t="n">
        <f aca="false">IFERROR(F4408/D4408,0)</f>
        <v>11.2698076923077</v>
      </c>
    </row>
    <row r="4409" customFormat="false" ht="15" hidden="false" customHeight="false" outlineLevel="0" collapsed="false">
      <c r="A4409" s="28" t="n">
        <v>2024</v>
      </c>
      <c r="B4409" s="28" t="s">
        <v>65</v>
      </c>
      <c r="C4409" s="28" t="s">
        <v>45</v>
      </c>
      <c r="D4409" s="28" t="n">
        <v>111</v>
      </c>
      <c r="E4409" s="29" t="n">
        <v>36014900</v>
      </c>
      <c r="F4409" s="30" t="n">
        <v>1291.93</v>
      </c>
      <c r="G4409" s="31" t="n">
        <f aca="false">IFERROR(F4409/D4409,0)</f>
        <v>11.639009009009</v>
      </c>
    </row>
    <row r="4410" customFormat="false" ht="15" hidden="false" customHeight="false" outlineLevel="0" collapsed="false">
      <c r="A4410" s="28" t="n">
        <v>2024</v>
      </c>
      <c r="B4410" s="28" t="s">
        <v>65</v>
      </c>
      <c r="C4410" s="28" t="s">
        <v>56</v>
      </c>
      <c r="D4410" s="28" t="n">
        <v>23</v>
      </c>
      <c r="E4410" s="29" t="n">
        <v>10563800</v>
      </c>
      <c r="F4410" s="30" t="n">
        <v>265.74</v>
      </c>
      <c r="G4410" s="31" t="n">
        <f aca="false">IFERROR(F4410/D4410,0)</f>
        <v>11.5539130434783</v>
      </c>
    </row>
    <row r="4411" customFormat="false" ht="15" hidden="false" customHeight="false" outlineLevel="0" collapsed="false">
      <c r="A4411" s="28" t="n">
        <v>2024</v>
      </c>
      <c r="B4411" s="28" t="s">
        <v>65</v>
      </c>
      <c r="C4411" s="28" t="s">
        <v>54</v>
      </c>
      <c r="D4411" s="28" t="n">
        <v>14</v>
      </c>
      <c r="E4411" s="29" t="n">
        <v>2199200</v>
      </c>
      <c r="F4411" s="30" t="n">
        <v>171.3</v>
      </c>
      <c r="G4411" s="31" t="n">
        <f aca="false">IFERROR(F4411/D4411,0)</f>
        <v>12.2357142857143</v>
      </c>
    </row>
    <row r="4412" customFormat="false" ht="15" hidden="false" customHeight="false" outlineLevel="0" collapsed="false">
      <c r="A4412" s="28" t="n">
        <v>2024</v>
      </c>
      <c r="B4412" s="28" t="s">
        <v>65</v>
      </c>
      <c r="C4412" s="28" t="s">
        <v>44</v>
      </c>
      <c r="D4412" s="28" t="n">
        <v>110</v>
      </c>
      <c r="E4412" s="29" t="n">
        <v>61527200</v>
      </c>
      <c r="F4412" s="30" t="n">
        <v>1240.78</v>
      </c>
      <c r="G4412" s="31" t="n">
        <f aca="false">IFERROR(F4412/D4412,0)</f>
        <v>11.2798181818182</v>
      </c>
    </row>
    <row r="4413" customFormat="false" ht="15" hidden="false" customHeight="false" outlineLevel="0" collapsed="false">
      <c r="A4413" s="28" t="n">
        <v>2024</v>
      </c>
      <c r="B4413" s="28" t="s">
        <v>65</v>
      </c>
      <c r="C4413" s="28" t="s">
        <v>57</v>
      </c>
      <c r="D4413" s="28" t="n">
        <v>11</v>
      </c>
      <c r="E4413" s="29" t="n">
        <v>3805000</v>
      </c>
      <c r="F4413" s="30" t="n">
        <v>126.5</v>
      </c>
      <c r="G4413" s="31" t="n">
        <f aca="false">IFERROR(F4413/D4413,0)</f>
        <v>11.5</v>
      </c>
    </row>
    <row r="4414" customFormat="false" ht="15" hidden="false" customHeight="false" outlineLevel="0" collapsed="false">
      <c r="A4414" s="28" t="n">
        <v>2024</v>
      </c>
      <c r="B4414" s="28" t="s">
        <v>65</v>
      </c>
      <c r="C4414" s="28" t="s">
        <v>47</v>
      </c>
      <c r="D4414" s="28" t="n">
        <v>41</v>
      </c>
      <c r="E4414" s="29" t="n">
        <v>22301000</v>
      </c>
      <c r="F4414" s="30" t="n">
        <v>449.44</v>
      </c>
      <c r="G4414" s="31" t="n">
        <f aca="false">IFERROR(F4414/D4414,0)</f>
        <v>10.9619512195122</v>
      </c>
    </row>
    <row r="4415" customFormat="false" ht="15" hidden="false" customHeight="false" outlineLevel="0" collapsed="false">
      <c r="A4415" s="28" t="n">
        <v>2024</v>
      </c>
      <c r="B4415" s="28" t="s">
        <v>65</v>
      </c>
      <c r="C4415" s="28" t="s">
        <v>46</v>
      </c>
      <c r="D4415" s="28" t="n">
        <v>100</v>
      </c>
      <c r="E4415" s="29" t="n">
        <v>29268000</v>
      </c>
      <c r="F4415" s="30" t="n">
        <v>1157.35</v>
      </c>
      <c r="G4415" s="31" t="n">
        <f aca="false">IFERROR(F4415/D4415,0)</f>
        <v>11.5735</v>
      </c>
    </row>
    <row r="4416" customFormat="false" ht="15" hidden="false" customHeight="false" outlineLevel="0" collapsed="false">
      <c r="A4416" s="28" t="n">
        <v>2024</v>
      </c>
      <c r="B4416" s="28" t="s">
        <v>65</v>
      </c>
      <c r="C4416" s="28" t="s">
        <v>48</v>
      </c>
      <c r="D4416" s="28" t="n">
        <v>175</v>
      </c>
      <c r="E4416" s="29" t="n">
        <v>69934800</v>
      </c>
      <c r="F4416" s="30" t="n">
        <v>2003.71</v>
      </c>
      <c r="G4416" s="31" t="n">
        <f aca="false">IFERROR(F4416/D4416,0)</f>
        <v>11.4497714285714</v>
      </c>
    </row>
    <row r="4417" customFormat="false" ht="15" hidden="false" customHeight="false" outlineLevel="0" collapsed="false">
      <c r="A4417" s="28" t="n">
        <v>2024</v>
      </c>
      <c r="B4417" s="28" t="s">
        <v>65</v>
      </c>
      <c r="C4417" s="28" t="s">
        <v>53</v>
      </c>
      <c r="D4417" s="28" t="n">
        <v>19</v>
      </c>
      <c r="E4417" s="29" t="n">
        <v>4572000</v>
      </c>
      <c r="F4417" s="30" t="n">
        <v>230.55</v>
      </c>
      <c r="G4417" s="31" t="n">
        <f aca="false">IFERROR(F4417/D4417,0)</f>
        <v>12.1342105263158</v>
      </c>
    </row>
    <row r="4418" customFormat="false" ht="15" hidden="false" customHeight="false" outlineLevel="0" collapsed="false">
      <c r="A4418" s="28" t="n">
        <v>2024</v>
      </c>
      <c r="B4418" s="28" t="s">
        <v>65</v>
      </c>
      <c r="C4418" s="28" t="s">
        <v>43</v>
      </c>
      <c r="D4418" s="28" t="n">
        <v>98</v>
      </c>
      <c r="E4418" s="29" t="n">
        <v>44765400</v>
      </c>
      <c r="F4418" s="30" t="n">
        <v>1130.89</v>
      </c>
      <c r="G4418" s="31" t="n">
        <f aca="false">IFERROR(F4418/D4418,0)</f>
        <v>11.539693877551</v>
      </c>
    </row>
    <row r="4419" customFormat="false" ht="15" hidden="false" customHeight="false" outlineLevel="0" collapsed="false">
      <c r="A4419" s="28" t="n">
        <v>2024</v>
      </c>
      <c r="B4419" s="28" t="s">
        <v>65</v>
      </c>
      <c r="C4419" s="28" t="s">
        <v>52</v>
      </c>
      <c r="D4419" s="28" t="n">
        <v>50</v>
      </c>
      <c r="E4419" s="29" t="n">
        <v>21470200</v>
      </c>
      <c r="F4419" s="30" t="n">
        <v>582.66</v>
      </c>
      <c r="G4419" s="31" t="n">
        <f aca="false">IFERROR(F4419/D4419,0)</f>
        <v>11.6532</v>
      </c>
    </row>
    <row r="4420" customFormat="false" ht="15" hidden="false" customHeight="false" outlineLevel="0" collapsed="false">
      <c r="A4420" s="28" t="n">
        <v>2024</v>
      </c>
      <c r="B4420" s="28" t="s">
        <v>65</v>
      </c>
      <c r="C4420" s="28" t="s">
        <v>49</v>
      </c>
      <c r="D4420" s="28" t="n">
        <v>36</v>
      </c>
      <c r="E4420" s="29" t="n">
        <v>15584500</v>
      </c>
      <c r="F4420" s="30" t="n">
        <v>402.28</v>
      </c>
      <c r="G4420" s="31" t="n">
        <f aca="false">IFERROR(F4420/D4420,0)</f>
        <v>11.1744444444444</v>
      </c>
    </row>
    <row r="4421" customFormat="false" ht="15" hidden="false" customHeight="false" outlineLevel="0" collapsed="false">
      <c r="A4421" s="28" t="n">
        <v>2024</v>
      </c>
      <c r="B4421" s="28" t="s">
        <v>124</v>
      </c>
      <c r="C4421" s="28" t="s">
        <v>42</v>
      </c>
      <c r="D4421" s="28" t="n">
        <v>3</v>
      </c>
      <c r="E4421" s="29" t="n">
        <v>5664900</v>
      </c>
      <c r="F4421" s="30" t="n">
        <v>32.5</v>
      </c>
      <c r="G4421" s="31" t="n">
        <f aca="false">IFERROR(F4421/D4421,0)</f>
        <v>10.8333333333333</v>
      </c>
    </row>
    <row r="4422" customFormat="false" ht="15" hidden="false" customHeight="false" outlineLevel="0" collapsed="false">
      <c r="A4422" s="28" t="n">
        <v>2024</v>
      </c>
      <c r="B4422" s="28" t="s">
        <v>124</v>
      </c>
      <c r="C4422" s="28" t="s">
        <v>51</v>
      </c>
      <c r="D4422" s="28" t="n">
        <v>1</v>
      </c>
      <c r="E4422" s="29" t="n">
        <v>703000</v>
      </c>
      <c r="F4422" s="30" t="n">
        <v>10.75</v>
      </c>
      <c r="G4422" s="31" t="n">
        <f aca="false">IFERROR(F4422/D4422,0)</f>
        <v>10.75</v>
      </c>
    </row>
    <row r="4423" customFormat="false" ht="15" hidden="false" customHeight="false" outlineLevel="0" collapsed="false">
      <c r="A4423" s="28" t="n">
        <v>2024</v>
      </c>
      <c r="B4423" s="28" t="s">
        <v>124</v>
      </c>
      <c r="C4423" s="28" t="s">
        <v>45</v>
      </c>
      <c r="D4423" s="28" t="n">
        <v>2</v>
      </c>
      <c r="E4423" s="29" t="n">
        <v>253800</v>
      </c>
      <c r="F4423" s="30" t="n">
        <v>22.5</v>
      </c>
      <c r="G4423" s="31" t="n">
        <f aca="false">IFERROR(F4423/D4423,0)</f>
        <v>11.25</v>
      </c>
    </row>
    <row r="4424" customFormat="false" ht="15" hidden="false" customHeight="false" outlineLevel="0" collapsed="false">
      <c r="A4424" s="28" t="n">
        <v>2024</v>
      </c>
      <c r="B4424" s="28" t="s">
        <v>124</v>
      </c>
      <c r="C4424" s="28" t="s">
        <v>44</v>
      </c>
      <c r="D4424" s="28" t="n">
        <v>2</v>
      </c>
      <c r="E4424" s="29" t="n">
        <v>200000</v>
      </c>
      <c r="F4424" s="30" t="n">
        <v>20</v>
      </c>
      <c r="G4424" s="31" t="n">
        <f aca="false">IFERROR(F4424/D4424,0)</f>
        <v>10</v>
      </c>
    </row>
    <row r="4425" customFormat="false" ht="15" hidden="false" customHeight="false" outlineLevel="0" collapsed="false">
      <c r="A4425" s="28" t="n">
        <v>2024</v>
      </c>
      <c r="B4425" s="28" t="s">
        <v>124</v>
      </c>
      <c r="C4425" s="28" t="s">
        <v>47</v>
      </c>
      <c r="D4425" s="28" t="n">
        <v>1</v>
      </c>
      <c r="E4425" s="29" t="n">
        <v>35000</v>
      </c>
      <c r="F4425" s="30" t="n">
        <v>12.75</v>
      </c>
      <c r="G4425" s="31" t="n">
        <f aca="false">IFERROR(F4425/D4425,0)</f>
        <v>12.75</v>
      </c>
    </row>
    <row r="4426" customFormat="false" ht="15" hidden="false" customHeight="false" outlineLevel="0" collapsed="false">
      <c r="A4426" s="28" t="n">
        <v>2024</v>
      </c>
      <c r="B4426" s="28" t="s">
        <v>124</v>
      </c>
      <c r="C4426" s="28" t="s">
        <v>48</v>
      </c>
      <c r="D4426" s="28" t="n">
        <v>1</v>
      </c>
      <c r="E4426" s="29" t="n">
        <v>1000000</v>
      </c>
      <c r="F4426" s="30" t="n">
        <v>10.5</v>
      </c>
      <c r="G4426" s="31" t="n">
        <f aca="false">IFERROR(F4426/D4426,0)</f>
        <v>10.5</v>
      </c>
    </row>
    <row r="4427" customFormat="false" ht="15" hidden="false" customHeight="false" outlineLevel="0" collapsed="false">
      <c r="A4427" s="28" t="n">
        <v>2024</v>
      </c>
      <c r="B4427" s="28" t="s">
        <v>124</v>
      </c>
      <c r="C4427" s="28" t="s">
        <v>53</v>
      </c>
      <c r="D4427" s="28" t="n">
        <v>2</v>
      </c>
      <c r="E4427" s="29" t="n">
        <v>111000</v>
      </c>
      <c r="F4427" s="30" t="n">
        <v>22</v>
      </c>
      <c r="G4427" s="31" t="n">
        <f aca="false">IFERROR(F4427/D4427,0)</f>
        <v>11</v>
      </c>
    </row>
    <row r="4428" customFormat="false" ht="15" hidden="false" customHeight="false" outlineLevel="0" collapsed="false">
      <c r="A4428" s="28" t="n">
        <v>2024</v>
      </c>
      <c r="B4428" s="28" t="s">
        <v>124</v>
      </c>
      <c r="C4428" s="28" t="s">
        <v>43</v>
      </c>
      <c r="D4428" s="28" t="n">
        <v>2</v>
      </c>
      <c r="E4428" s="29" t="n">
        <v>175000</v>
      </c>
      <c r="F4428" s="30" t="n">
        <v>22</v>
      </c>
      <c r="G4428" s="31" t="n">
        <f aca="false">IFERROR(F4428/D4428,0)</f>
        <v>11</v>
      </c>
    </row>
    <row r="4429" customFormat="false" ht="15" hidden="false" customHeight="false" outlineLevel="0" collapsed="false">
      <c r="A4429" s="28" t="n">
        <v>2024</v>
      </c>
      <c r="B4429" s="28" t="s">
        <v>124</v>
      </c>
      <c r="C4429" s="28" t="s">
        <v>52</v>
      </c>
      <c r="D4429" s="28" t="n">
        <v>1</v>
      </c>
      <c r="E4429" s="29" t="n">
        <v>350000</v>
      </c>
      <c r="F4429" s="30" t="n">
        <v>10.25</v>
      </c>
      <c r="G4429" s="31" t="n">
        <f aca="false">IFERROR(F4429/D4429,0)</f>
        <v>10.25</v>
      </c>
    </row>
    <row r="4430" customFormat="false" ht="15" hidden="false" customHeight="false" outlineLevel="0" collapsed="false">
      <c r="A4430" s="28" t="n">
        <v>2024</v>
      </c>
      <c r="B4430" s="28" t="s">
        <v>124</v>
      </c>
      <c r="C4430" s="28" t="s">
        <v>49</v>
      </c>
      <c r="D4430" s="28" t="n">
        <v>3</v>
      </c>
      <c r="E4430" s="29" t="n">
        <v>597000</v>
      </c>
      <c r="F4430" s="30" t="n">
        <v>31</v>
      </c>
      <c r="G4430" s="31" t="n">
        <f aca="false">IFERROR(F4430/D4430,0)</f>
        <v>10.3333333333333</v>
      </c>
    </row>
    <row r="4431" customFormat="false" ht="15" hidden="false" customHeight="false" outlineLevel="0" collapsed="false">
      <c r="A4431" s="28" t="n">
        <v>2024</v>
      </c>
      <c r="B4431" s="28" t="s">
        <v>126</v>
      </c>
      <c r="C4431" s="28" t="s">
        <v>42</v>
      </c>
      <c r="D4431" s="28" t="n">
        <v>16</v>
      </c>
      <c r="E4431" s="29" t="n">
        <v>3703200</v>
      </c>
      <c r="F4431" s="30" t="n">
        <v>146.4</v>
      </c>
      <c r="G4431" s="31" t="n">
        <f aca="false">IFERROR(F4431/D4431,0)</f>
        <v>9.15</v>
      </c>
    </row>
    <row r="4432" customFormat="false" ht="15" hidden="false" customHeight="false" outlineLevel="0" collapsed="false">
      <c r="A4432" s="28" t="n">
        <v>2024</v>
      </c>
      <c r="B4432" s="28" t="s">
        <v>126</v>
      </c>
      <c r="C4432" s="28" t="s">
        <v>50</v>
      </c>
      <c r="D4432" s="28" t="n">
        <v>11</v>
      </c>
      <c r="E4432" s="29" t="n">
        <v>568800</v>
      </c>
      <c r="F4432" s="30" t="n">
        <v>120.3</v>
      </c>
      <c r="G4432" s="31" t="n">
        <f aca="false">IFERROR(F4432/D4432,0)</f>
        <v>10.9363636363636</v>
      </c>
    </row>
    <row r="4433" customFormat="false" ht="15" hidden="false" customHeight="false" outlineLevel="0" collapsed="false">
      <c r="A4433" s="28" t="n">
        <v>2024</v>
      </c>
      <c r="B4433" s="28" t="s">
        <v>126</v>
      </c>
      <c r="C4433" s="28" t="s">
        <v>55</v>
      </c>
      <c r="D4433" s="28" t="n">
        <v>3</v>
      </c>
      <c r="E4433" s="29" t="n">
        <v>286400</v>
      </c>
      <c r="F4433" s="30" t="n">
        <v>36.55</v>
      </c>
      <c r="G4433" s="31" t="n">
        <f aca="false">IFERROR(F4433/D4433,0)</f>
        <v>12.1833333333333</v>
      </c>
    </row>
    <row r="4434" customFormat="false" ht="15" hidden="false" customHeight="false" outlineLevel="0" collapsed="false">
      <c r="A4434" s="28" t="n">
        <v>2024</v>
      </c>
      <c r="B4434" s="28" t="s">
        <v>126</v>
      </c>
      <c r="C4434" s="28" t="s">
        <v>51</v>
      </c>
      <c r="D4434" s="28" t="n">
        <v>2</v>
      </c>
      <c r="E4434" s="29" t="n">
        <v>70000</v>
      </c>
      <c r="F4434" s="30" t="n">
        <v>23.25</v>
      </c>
      <c r="G4434" s="31" t="n">
        <f aca="false">IFERROR(F4434/D4434,0)</f>
        <v>11.625</v>
      </c>
    </row>
    <row r="4435" customFormat="false" ht="15" hidden="false" customHeight="false" outlineLevel="0" collapsed="false">
      <c r="A4435" s="28" t="n">
        <v>2024</v>
      </c>
      <c r="B4435" s="28" t="s">
        <v>126</v>
      </c>
      <c r="C4435" s="28" t="s">
        <v>45</v>
      </c>
      <c r="D4435" s="28" t="n">
        <v>25</v>
      </c>
      <c r="E4435" s="29" t="n">
        <v>3922100</v>
      </c>
      <c r="F4435" s="30" t="n">
        <v>274.84</v>
      </c>
      <c r="G4435" s="31" t="n">
        <f aca="false">IFERROR(F4435/D4435,0)</f>
        <v>10.9936</v>
      </c>
    </row>
    <row r="4436" customFormat="false" ht="15" hidden="false" customHeight="false" outlineLevel="0" collapsed="false">
      <c r="A4436" s="28" t="n">
        <v>2024</v>
      </c>
      <c r="B4436" s="28" t="s">
        <v>126</v>
      </c>
      <c r="C4436" s="28" t="s">
        <v>56</v>
      </c>
      <c r="D4436" s="28" t="n">
        <v>1</v>
      </c>
      <c r="E4436" s="29" t="n">
        <v>100000</v>
      </c>
      <c r="F4436" s="30" t="n">
        <v>10</v>
      </c>
      <c r="G4436" s="31" t="n">
        <f aca="false">IFERROR(F4436/D4436,0)</f>
        <v>10</v>
      </c>
    </row>
    <row r="4437" customFormat="false" ht="15" hidden="false" customHeight="false" outlineLevel="0" collapsed="false">
      <c r="A4437" s="28" t="n">
        <v>2024</v>
      </c>
      <c r="B4437" s="28" t="s">
        <v>126</v>
      </c>
      <c r="C4437" s="28" t="s">
        <v>54</v>
      </c>
      <c r="D4437" s="28" t="n">
        <v>1</v>
      </c>
      <c r="E4437" s="29" t="n">
        <v>20000</v>
      </c>
      <c r="F4437" s="30" t="n">
        <v>11.5</v>
      </c>
      <c r="G4437" s="31" t="n">
        <f aca="false">IFERROR(F4437/D4437,0)</f>
        <v>11.5</v>
      </c>
    </row>
    <row r="4438" customFormat="false" ht="15" hidden="false" customHeight="false" outlineLevel="0" collapsed="false">
      <c r="A4438" s="28" t="n">
        <v>2024</v>
      </c>
      <c r="B4438" s="28" t="s">
        <v>126</v>
      </c>
      <c r="C4438" s="28" t="s">
        <v>44</v>
      </c>
      <c r="D4438" s="28" t="n">
        <v>9</v>
      </c>
      <c r="E4438" s="29" t="n">
        <v>1789600</v>
      </c>
      <c r="F4438" s="30" t="n">
        <v>94.29</v>
      </c>
      <c r="G4438" s="31" t="n">
        <f aca="false">IFERROR(F4438/D4438,0)</f>
        <v>10.4766666666667</v>
      </c>
    </row>
    <row r="4439" customFormat="false" ht="15" hidden="false" customHeight="false" outlineLevel="0" collapsed="false">
      <c r="A4439" s="28" t="n">
        <v>2024</v>
      </c>
      <c r="B4439" s="28" t="s">
        <v>126</v>
      </c>
      <c r="C4439" s="28" t="s">
        <v>57</v>
      </c>
      <c r="D4439" s="28" t="n">
        <v>2</v>
      </c>
      <c r="E4439" s="29" t="n">
        <v>65000</v>
      </c>
      <c r="F4439" s="30" t="n">
        <v>23</v>
      </c>
      <c r="G4439" s="31" t="n">
        <f aca="false">IFERROR(F4439/D4439,0)</f>
        <v>11.5</v>
      </c>
    </row>
    <row r="4440" customFormat="false" ht="15" hidden="false" customHeight="false" outlineLevel="0" collapsed="false">
      <c r="A4440" s="28" t="n">
        <v>2024</v>
      </c>
      <c r="B4440" s="28" t="s">
        <v>126</v>
      </c>
      <c r="C4440" s="28" t="s">
        <v>47</v>
      </c>
      <c r="D4440" s="28" t="n">
        <v>13</v>
      </c>
      <c r="E4440" s="29" t="n">
        <v>2227300</v>
      </c>
      <c r="F4440" s="30" t="n">
        <v>125.35</v>
      </c>
      <c r="G4440" s="31" t="n">
        <f aca="false">IFERROR(F4440/D4440,0)</f>
        <v>9.64230769230769</v>
      </c>
    </row>
    <row r="4441" customFormat="false" ht="15" hidden="false" customHeight="false" outlineLevel="0" collapsed="false">
      <c r="A4441" s="28" t="n">
        <v>2024</v>
      </c>
      <c r="B4441" s="28" t="s">
        <v>126</v>
      </c>
      <c r="C4441" s="28" t="s">
        <v>46</v>
      </c>
      <c r="D4441" s="28" t="n">
        <v>15</v>
      </c>
      <c r="E4441" s="29" t="n">
        <v>5511800</v>
      </c>
      <c r="F4441" s="30" t="n">
        <v>150.07</v>
      </c>
      <c r="G4441" s="31" t="n">
        <f aca="false">IFERROR(F4441/D4441,0)</f>
        <v>10.0046666666667</v>
      </c>
    </row>
    <row r="4442" customFormat="false" ht="15" hidden="false" customHeight="false" outlineLevel="0" collapsed="false">
      <c r="A4442" s="28" t="n">
        <v>2024</v>
      </c>
      <c r="B4442" s="28" t="s">
        <v>126</v>
      </c>
      <c r="C4442" s="28" t="s">
        <v>48</v>
      </c>
      <c r="D4442" s="28" t="n">
        <v>9</v>
      </c>
      <c r="E4442" s="29" t="n">
        <v>2306200</v>
      </c>
      <c r="F4442" s="30" t="n">
        <v>93.29</v>
      </c>
      <c r="G4442" s="31" t="n">
        <f aca="false">IFERROR(F4442/D4442,0)</f>
        <v>10.3655555555556</v>
      </c>
    </row>
    <row r="4443" customFormat="false" ht="15" hidden="false" customHeight="false" outlineLevel="0" collapsed="false">
      <c r="A4443" s="28" t="n">
        <v>2024</v>
      </c>
      <c r="B4443" s="28" t="s">
        <v>126</v>
      </c>
      <c r="C4443" s="28" t="s">
        <v>43</v>
      </c>
      <c r="D4443" s="28" t="n">
        <v>24</v>
      </c>
      <c r="E4443" s="29" t="n">
        <v>10811000</v>
      </c>
      <c r="F4443" s="30" t="n">
        <v>235.34</v>
      </c>
      <c r="G4443" s="31" t="n">
        <f aca="false">IFERROR(F4443/D4443,0)</f>
        <v>9.80583333333333</v>
      </c>
    </row>
    <row r="4444" customFormat="false" ht="15" hidden="false" customHeight="false" outlineLevel="0" collapsed="false">
      <c r="A4444" s="28" t="n">
        <v>2024</v>
      </c>
      <c r="B4444" s="28" t="s">
        <v>126</v>
      </c>
      <c r="C4444" s="28" t="s">
        <v>52</v>
      </c>
      <c r="D4444" s="28" t="n">
        <v>4</v>
      </c>
      <c r="E4444" s="29" t="n">
        <v>495100</v>
      </c>
      <c r="F4444" s="30" t="n">
        <v>36.68</v>
      </c>
      <c r="G4444" s="31" t="n">
        <f aca="false">IFERROR(F4444/D4444,0)</f>
        <v>9.17</v>
      </c>
    </row>
    <row r="4445" customFormat="false" ht="15" hidden="false" customHeight="false" outlineLevel="0" collapsed="false">
      <c r="A4445" s="28" t="n">
        <v>2024</v>
      </c>
      <c r="B4445" s="28" t="s">
        <v>126</v>
      </c>
      <c r="C4445" s="28" t="s">
        <v>49</v>
      </c>
      <c r="D4445" s="28" t="n">
        <v>11</v>
      </c>
      <c r="E4445" s="29" t="n">
        <v>1602200</v>
      </c>
      <c r="F4445" s="30" t="n">
        <v>97.09</v>
      </c>
      <c r="G4445" s="31" t="n">
        <f aca="false">IFERROR(F4445/D4445,0)</f>
        <v>8.82636363636364</v>
      </c>
    </row>
    <row r="4446" customFormat="false" ht="15" hidden="false" customHeight="false" outlineLevel="0" collapsed="false">
      <c r="A4446" s="28" t="n">
        <v>2024</v>
      </c>
      <c r="B4446" s="28" t="s">
        <v>89</v>
      </c>
      <c r="C4446" s="28" t="s">
        <v>42</v>
      </c>
      <c r="D4446" s="28" t="n">
        <v>225</v>
      </c>
      <c r="E4446" s="29" t="n">
        <v>132852100</v>
      </c>
      <c r="F4446" s="30" t="n">
        <v>2398.75</v>
      </c>
      <c r="G4446" s="31" t="n">
        <f aca="false">IFERROR(F4446/D4446,0)</f>
        <v>10.6611111111111</v>
      </c>
    </row>
    <row r="4447" customFormat="false" ht="15" hidden="false" customHeight="false" outlineLevel="0" collapsed="false">
      <c r="A4447" s="28" t="n">
        <v>2024</v>
      </c>
      <c r="B4447" s="28" t="s">
        <v>89</v>
      </c>
      <c r="C4447" s="28" t="s">
        <v>50</v>
      </c>
      <c r="D4447" s="28" t="n">
        <v>87</v>
      </c>
      <c r="E4447" s="29" t="n">
        <v>27007300</v>
      </c>
      <c r="F4447" s="30" t="n">
        <v>1035.625</v>
      </c>
      <c r="G4447" s="31" t="n">
        <f aca="false">IFERROR(F4447/D4447,0)</f>
        <v>11.9037356321839</v>
      </c>
    </row>
    <row r="4448" customFormat="false" ht="15" hidden="false" customHeight="false" outlineLevel="0" collapsed="false">
      <c r="A4448" s="28" t="n">
        <v>2024</v>
      </c>
      <c r="B4448" s="28" t="s">
        <v>89</v>
      </c>
      <c r="C4448" s="28" t="s">
        <v>55</v>
      </c>
      <c r="D4448" s="28" t="n">
        <v>24</v>
      </c>
      <c r="E4448" s="29" t="n">
        <v>3932000</v>
      </c>
      <c r="F4448" s="30" t="n">
        <v>262.755</v>
      </c>
      <c r="G4448" s="31" t="n">
        <f aca="false">IFERROR(F4448/D4448,0)</f>
        <v>10.948125</v>
      </c>
    </row>
    <row r="4449" customFormat="false" ht="15" hidden="false" customHeight="false" outlineLevel="0" collapsed="false">
      <c r="A4449" s="28" t="n">
        <v>2024</v>
      </c>
      <c r="B4449" s="28" t="s">
        <v>89</v>
      </c>
      <c r="C4449" s="28" t="s">
        <v>51</v>
      </c>
      <c r="D4449" s="28" t="n">
        <v>60</v>
      </c>
      <c r="E4449" s="29" t="n">
        <v>26062200</v>
      </c>
      <c r="F4449" s="30" t="n">
        <v>670.15</v>
      </c>
      <c r="G4449" s="31" t="n">
        <f aca="false">IFERROR(F4449/D4449,0)</f>
        <v>11.1691666666667</v>
      </c>
    </row>
    <row r="4450" customFormat="false" ht="15" hidden="false" customHeight="false" outlineLevel="0" collapsed="false">
      <c r="A4450" s="28" t="n">
        <v>2024</v>
      </c>
      <c r="B4450" s="28" t="s">
        <v>89</v>
      </c>
      <c r="C4450" s="28" t="s">
        <v>45</v>
      </c>
      <c r="D4450" s="28" t="n">
        <v>289</v>
      </c>
      <c r="E4450" s="29" t="n">
        <v>85824300</v>
      </c>
      <c r="F4450" s="30" t="n">
        <v>3316.328</v>
      </c>
      <c r="G4450" s="31" t="n">
        <f aca="false">IFERROR(F4450/D4450,0)</f>
        <v>11.4751833910035</v>
      </c>
    </row>
    <row r="4451" customFormat="false" ht="15" hidden="false" customHeight="false" outlineLevel="0" collapsed="false">
      <c r="A4451" s="28" t="n">
        <v>2024</v>
      </c>
      <c r="B4451" s="28" t="s">
        <v>89</v>
      </c>
      <c r="C4451" s="28" t="s">
        <v>56</v>
      </c>
      <c r="D4451" s="28" t="n">
        <v>19</v>
      </c>
      <c r="E4451" s="29" t="n">
        <v>8340100</v>
      </c>
      <c r="F4451" s="30" t="n">
        <v>215.06</v>
      </c>
      <c r="G4451" s="31" t="n">
        <f aca="false">IFERROR(F4451/D4451,0)</f>
        <v>11.3189473684211</v>
      </c>
    </row>
    <row r="4452" customFormat="false" ht="15" hidden="false" customHeight="false" outlineLevel="0" collapsed="false">
      <c r="A4452" s="28" t="n">
        <v>2024</v>
      </c>
      <c r="B4452" s="28" t="s">
        <v>89</v>
      </c>
      <c r="C4452" s="28" t="s">
        <v>54</v>
      </c>
      <c r="D4452" s="28" t="n">
        <v>27</v>
      </c>
      <c r="E4452" s="29" t="n">
        <v>12181200</v>
      </c>
      <c r="F4452" s="30" t="n">
        <v>279.6</v>
      </c>
      <c r="G4452" s="31" t="n">
        <f aca="false">IFERROR(F4452/D4452,0)</f>
        <v>10.3555555555556</v>
      </c>
    </row>
    <row r="4453" customFormat="false" ht="15" hidden="false" customHeight="false" outlineLevel="0" collapsed="false">
      <c r="A4453" s="28" t="n">
        <v>2024</v>
      </c>
      <c r="B4453" s="28" t="s">
        <v>89</v>
      </c>
      <c r="C4453" s="28" t="s">
        <v>44</v>
      </c>
      <c r="D4453" s="28" t="n">
        <v>155</v>
      </c>
      <c r="E4453" s="29" t="n">
        <v>84444900</v>
      </c>
      <c r="F4453" s="30" t="n">
        <v>1699.27</v>
      </c>
      <c r="G4453" s="31" t="n">
        <f aca="false">IFERROR(F4453/D4453,0)</f>
        <v>10.9630322580645</v>
      </c>
    </row>
    <row r="4454" customFormat="false" ht="15" hidden="false" customHeight="false" outlineLevel="0" collapsed="false">
      <c r="A4454" s="28" t="n">
        <v>2024</v>
      </c>
      <c r="B4454" s="28" t="s">
        <v>89</v>
      </c>
      <c r="C4454" s="28" t="s">
        <v>57</v>
      </c>
      <c r="D4454" s="28" t="n">
        <v>13</v>
      </c>
      <c r="E4454" s="29" t="n">
        <v>3802000</v>
      </c>
      <c r="F4454" s="30" t="n">
        <v>147.72</v>
      </c>
      <c r="G4454" s="31" t="n">
        <f aca="false">IFERROR(F4454/D4454,0)</f>
        <v>11.3630769230769</v>
      </c>
    </row>
    <row r="4455" customFormat="false" ht="15" hidden="false" customHeight="false" outlineLevel="0" collapsed="false">
      <c r="A4455" s="28" t="n">
        <v>2024</v>
      </c>
      <c r="B4455" s="28" t="s">
        <v>89</v>
      </c>
      <c r="C4455" s="28" t="s">
        <v>59</v>
      </c>
      <c r="D4455" s="28" t="n">
        <v>1</v>
      </c>
      <c r="E4455" s="29" t="n">
        <v>50000</v>
      </c>
      <c r="F4455" s="30" t="n">
        <v>13.5</v>
      </c>
      <c r="G4455" s="31" t="n">
        <f aca="false">IFERROR(F4455/D4455,0)</f>
        <v>13.5</v>
      </c>
    </row>
    <row r="4456" customFormat="false" ht="15" hidden="false" customHeight="false" outlineLevel="0" collapsed="false">
      <c r="A4456" s="28" t="n">
        <v>2024</v>
      </c>
      <c r="B4456" s="28" t="s">
        <v>89</v>
      </c>
      <c r="C4456" s="28" t="s">
        <v>47</v>
      </c>
      <c r="D4456" s="28" t="n">
        <v>111</v>
      </c>
      <c r="E4456" s="29" t="n">
        <v>51648200</v>
      </c>
      <c r="F4456" s="30" t="n">
        <v>1236.81</v>
      </c>
      <c r="G4456" s="31" t="n">
        <f aca="false">IFERROR(F4456/D4456,0)</f>
        <v>11.1424324324324</v>
      </c>
    </row>
    <row r="4457" customFormat="false" ht="15" hidden="false" customHeight="false" outlineLevel="0" collapsed="false">
      <c r="A4457" s="28" t="n">
        <v>2024</v>
      </c>
      <c r="B4457" s="28" t="s">
        <v>89</v>
      </c>
      <c r="C4457" s="28" t="s">
        <v>46</v>
      </c>
      <c r="D4457" s="28" t="n">
        <v>138</v>
      </c>
      <c r="E4457" s="29" t="n">
        <v>47636300</v>
      </c>
      <c r="F4457" s="30" t="n">
        <v>1580.79</v>
      </c>
      <c r="G4457" s="31" t="n">
        <f aca="false">IFERROR(F4457/D4457,0)</f>
        <v>11.455</v>
      </c>
    </row>
    <row r="4458" customFormat="false" ht="15" hidden="false" customHeight="false" outlineLevel="0" collapsed="false">
      <c r="A4458" s="28" t="n">
        <v>2024</v>
      </c>
      <c r="B4458" s="28" t="s">
        <v>89</v>
      </c>
      <c r="C4458" s="28" t="s">
        <v>48</v>
      </c>
      <c r="D4458" s="28" t="n">
        <v>131</v>
      </c>
      <c r="E4458" s="29" t="n">
        <v>44142300</v>
      </c>
      <c r="F4458" s="30" t="n">
        <v>1511.76</v>
      </c>
      <c r="G4458" s="31" t="n">
        <f aca="false">IFERROR(F4458/D4458,0)</f>
        <v>11.5401526717557</v>
      </c>
    </row>
    <row r="4459" customFormat="false" ht="15" hidden="false" customHeight="false" outlineLevel="0" collapsed="false">
      <c r="A4459" s="28" t="n">
        <v>2024</v>
      </c>
      <c r="B4459" s="28" t="s">
        <v>89</v>
      </c>
      <c r="C4459" s="28" t="s">
        <v>53</v>
      </c>
      <c r="D4459" s="28" t="n">
        <v>33</v>
      </c>
      <c r="E4459" s="29" t="n">
        <v>6503000</v>
      </c>
      <c r="F4459" s="30" t="n">
        <v>384.82</v>
      </c>
      <c r="G4459" s="31" t="n">
        <f aca="false">IFERROR(F4459/D4459,0)</f>
        <v>11.6612121212121</v>
      </c>
    </row>
    <row r="4460" customFormat="false" ht="15" hidden="false" customHeight="false" outlineLevel="0" collapsed="false">
      <c r="A4460" s="28" t="n">
        <v>2024</v>
      </c>
      <c r="B4460" s="28" t="s">
        <v>89</v>
      </c>
      <c r="C4460" s="28" t="s">
        <v>43</v>
      </c>
      <c r="D4460" s="28" t="n">
        <v>243</v>
      </c>
      <c r="E4460" s="29" t="n">
        <v>259810300</v>
      </c>
      <c r="F4460" s="30" t="n">
        <v>2599.31</v>
      </c>
      <c r="G4460" s="31" t="n">
        <f aca="false">IFERROR(F4460/D4460,0)</f>
        <v>10.6967489711934</v>
      </c>
    </row>
    <row r="4461" customFormat="false" ht="15" hidden="false" customHeight="false" outlineLevel="0" collapsed="false">
      <c r="A4461" s="28" t="n">
        <v>2024</v>
      </c>
      <c r="B4461" s="28" t="s">
        <v>89</v>
      </c>
      <c r="C4461" s="28" t="s">
        <v>52</v>
      </c>
      <c r="D4461" s="28" t="n">
        <v>87</v>
      </c>
      <c r="E4461" s="29" t="n">
        <v>32366500</v>
      </c>
      <c r="F4461" s="30" t="n">
        <v>1007.007</v>
      </c>
      <c r="G4461" s="31" t="n">
        <f aca="false">IFERROR(F4461/D4461,0)</f>
        <v>11.5747931034483</v>
      </c>
    </row>
    <row r="4462" customFormat="false" ht="15" hidden="false" customHeight="false" outlineLevel="0" collapsed="false">
      <c r="A4462" s="28" t="n">
        <v>2024</v>
      </c>
      <c r="B4462" s="28" t="s">
        <v>89</v>
      </c>
      <c r="C4462" s="28" t="s">
        <v>49</v>
      </c>
      <c r="D4462" s="28" t="n">
        <v>50</v>
      </c>
      <c r="E4462" s="29" t="n">
        <v>24161800</v>
      </c>
      <c r="F4462" s="30" t="n">
        <v>565.73</v>
      </c>
      <c r="G4462" s="31" t="n">
        <f aca="false">IFERROR(F4462/D4462,0)</f>
        <v>11.3146</v>
      </c>
    </row>
    <row r="4463" customFormat="false" ht="15" hidden="false" customHeight="false" outlineLevel="0" collapsed="false">
      <c r="A4463" s="28" t="n">
        <v>2024</v>
      </c>
      <c r="B4463" s="28" t="s">
        <v>99</v>
      </c>
      <c r="C4463" s="28" t="s">
        <v>42</v>
      </c>
      <c r="D4463" s="28" t="n">
        <v>124</v>
      </c>
      <c r="E4463" s="29" t="n">
        <v>74394500</v>
      </c>
      <c r="F4463" s="30" t="n">
        <v>1224.88</v>
      </c>
      <c r="G4463" s="31" t="n">
        <f aca="false">IFERROR(F4463/D4463,0)</f>
        <v>9.87806451612903</v>
      </c>
    </row>
    <row r="4464" customFormat="false" ht="15" hidden="false" customHeight="false" outlineLevel="0" collapsed="false">
      <c r="A4464" s="28" t="n">
        <v>2024</v>
      </c>
      <c r="B4464" s="28" t="s">
        <v>99</v>
      </c>
      <c r="C4464" s="28" t="s">
        <v>50</v>
      </c>
      <c r="D4464" s="28" t="n">
        <v>57</v>
      </c>
      <c r="E4464" s="29" t="n">
        <v>15632500</v>
      </c>
      <c r="F4464" s="30" t="n">
        <v>588.56</v>
      </c>
      <c r="G4464" s="31" t="n">
        <f aca="false">IFERROR(F4464/D4464,0)</f>
        <v>10.3256140350877</v>
      </c>
    </row>
    <row r="4465" customFormat="false" ht="15" hidden="false" customHeight="false" outlineLevel="0" collapsed="false">
      <c r="A4465" s="28" t="n">
        <v>2024</v>
      </c>
      <c r="B4465" s="28" t="s">
        <v>99</v>
      </c>
      <c r="C4465" s="28" t="s">
        <v>55</v>
      </c>
      <c r="D4465" s="28" t="n">
        <v>22</v>
      </c>
      <c r="E4465" s="29" t="n">
        <v>7190000</v>
      </c>
      <c r="F4465" s="30" t="n">
        <v>215.5</v>
      </c>
      <c r="G4465" s="31" t="n">
        <f aca="false">IFERROR(F4465/D4465,0)</f>
        <v>9.79545454545455</v>
      </c>
    </row>
    <row r="4466" customFormat="false" ht="15" hidden="false" customHeight="false" outlineLevel="0" collapsed="false">
      <c r="A4466" s="28" t="n">
        <v>2024</v>
      </c>
      <c r="B4466" s="28" t="s">
        <v>99</v>
      </c>
      <c r="C4466" s="28" t="s">
        <v>51</v>
      </c>
      <c r="D4466" s="28" t="n">
        <v>41</v>
      </c>
      <c r="E4466" s="29" t="n">
        <v>13345000</v>
      </c>
      <c r="F4466" s="30" t="n">
        <v>459.965</v>
      </c>
      <c r="G4466" s="31" t="n">
        <f aca="false">IFERROR(F4466/D4466,0)</f>
        <v>11.2186585365854</v>
      </c>
    </row>
    <row r="4467" customFormat="false" ht="15" hidden="false" customHeight="false" outlineLevel="0" collapsed="false">
      <c r="A4467" s="28" t="n">
        <v>2024</v>
      </c>
      <c r="B4467" s="28" t="s">
        <v>99</v>
      </c>
      <c r="C4467" s="28" t="s">
        <v>45</v>
      </c>
      <c r="D4467" s="28" t="n">
        <v>132</v>
      </c>
      <c r="E4467" s="29" t="n">
        <v>51468900</v>
      </c>
      <c r="F4467" s="30" t="n">
        <v>1329.115</v>
      </c>
      <c r="G4467" s="31" t="n">
        <f aca="false">IFERROR(F4467/D4467,0)</f>
        <v>10.069053030303</v>
      </c>
    </row>
    <row r="4468" customFormat="false" ht="15" hidden="false" customHeight="false" outlineLevel="0" collapsed="false">
      <c r="A4468" s="28" t="n">
        <v>2024</v>
      </c>
      <c r="B4468" s="28" t="s">
        <v>99</v>
      </c>
      <c r="C4468" s="28" t="s">
        <v>56</v>
      </c>
      <c r="D4468" s="28" t="n">
        <v>9</v>
      </c>
      <c r="E4468" s="29" t="n">
        <v>2079100</v>
      </c>
      <c r="F4468" s="30" t="n">
        <v>97</v>
      </c>
      <c r="G4468" s="31" t="n">
        <f aca="false">IFERROR(F4468/D4468,0)</f>
        <v>10.7777777777778</v>
      </c>
    </row>
    <row r="4469" customFormat="false" ht="15" hidden="false" customHeight="false" outlineLevel="0" collapsed="false">
      <c r="A4469" s="28" t="n">
        <v>2024</v>
      </c>
      <c r="B4469" s="28" t="s">
        <v>99</v>
      </c>
      <c r="C4469" s="28" t="s">
        <v>54</v>
      </c>
      <c r="D4469" s="28" t="n">
        <v>11</v>
      </c>
      <c r="E4469" s="29" t="n">
        <v>8495000</v>
      </c>
      <c r="F4469" s="30" t="n">
        <v>116.15</v>
      </c>
      <c r="G4469" s="31" t="n">
        <f aca="false">IFERROR(F4469/D4469,0)</f>
        <v>10.5590909090909</v>
      </c>
    </row>
    <row r="4470" customFormat="false" ht="15" hidden="false" customHeight="false" outlineLevel="0" collapsed="false">
      <c r="A4470" s="28" t="n">
        <v>2024</v>
      </c>
      <c r="B4470" s="28" t="s">
        <v>99</v>
      </c>
      <c r="C4470" s="28" t="s">
        <v>44</v>
      </c>
      <c r="D4470" s="28" t="n">
        <v>99</v>
      </c>
      <c r="E4470" s="29" t="n">
        <v>68999600</v>
      </c>
      <c r="F4470" s="30" t="n">
        <v>1023.77</v>
      </c>
      <c r="G4470" s="31" t="n">
        <f aca="false">IFERROR(F4470/D4470,0)</f>
        <v>10.3411111111111</v>
      </c>
    </row>
    <row r="4471" customFormat="false" ht="15" hidden="false" customHeight="false" outlineLevel="0" collapsed="false">
      <c r="A4471" s="28" t="n">
        <v>2024</v>
      </c>
      <c r="B4471" s="28" t="s">
        <v>99</v>
      </c>
      <c r="C4471" s="28" t="s">
        <v>57</v>
      </c>
      <c r="D4471" s="28" t="n">
        <v>10</v>
      </c>
      <c r="E4471" s="29" t="n">
        <v>2755600</v>
      </c>
      <c r="F4471" s="30" t="n">
        <v>111.2</v>
      </c>
      <c r="G4471" s="31" t="n">
        <f aca="false">IFERROR(F4471/D4471,0)</f>
        <v>11.12</v>
      </c>
    </row>
    <row r="4472" customFormat="false" ht="15" hidden="false" customHeight="false" outlineLevel="0" collapsed="false">
      <c r="A4472" s="28" t="n">
        <v>2024</v>
      </c>
      <c r="B4472" s="28" t="s">
        <v>99</v>
      </c>
      <c r="C4472" s="28" t="s">
        <v>47</v>
      </c>
      <c r="D4472" s="28" t="n">
        <v>111</v>
      </c>
      <c r="E4472" s="29" t="n">
        <v>71717800</v>
      </c>
      <c r="F4472" s="30" t="n">
        <v>1049.005</v>
      </c>
      <c r="G4472" s="31" t="n">
        <f aca="false">IFERROR(F4472/D4472,0)</f>
        <v>9.4504954954955</v>
      </c>
    </row>
    <row r="4473" customFormat="false" ht="15" hidden="false" customHeight="false" outlineLevel="0" collapsed="false">
      <c r="A4473" s="28" t="n">
        <v>2024</v>
      </c>
      <c r="B4473" s="28" t="s">
        <v>99</v>
      </c>
      <c r="C4473" s="28" t="s">
        <v>46</v>
      </c>
      <c r="D4473" s="28" t="n">
        <v>95</v>
      </c>
      <c r="E4473" s="29" t="n">
        <v>33830100</v>
      </c>
      <c r="F4473" s="30" t="n">
        <v>975.173</v>
      </c>
      <c r="G4473" s="31" t="n">
        <f aca="false">IFERROR(F4473/D4473,0)</f>
        <v>10.2649789473684</v>
      </c>
    </row>
    <row r="4474" customFormat="false" ht="15" hidden="false" customHeight="false" outlineLevel="0" collapsed="false">
      <c r="A4474" s="28" t="n">
        <v>2024</v>
      </c>
      <c r="B4474" s="28" t="s">
        <v>99</v>
      </c>
      <c r="C4474" s="28" t="s">
        <v>48</v>
      </c>
      <c r="D4474" s="28" t="n">
        <v>71</v>
      </c>
      <c r="E4474" s="29" t="n">
        <v>26844900</v>
      </c>
      <c r="F4474" s="30" t="n">
        <v>736.14</v>
      </c>
      <c r="G4474" s="31" t="n">
        <f aca="false">IFERROR(F4474/D4474,0)</f>
        <v>10.3681690140845</v>
      </c>
    </row>
    <row r="4475" customFormat="false" ht="15" hidden="false" customHeight="false" outlineLevel="0" collapsed="false">
      <c r="A4475" s="28" t="n">
        <v>2024</v>
      </c>
      <c r="B4475" s="28" t="s">
        <v>99</v>
      </c>
      <c r="C4475" s="28" t="s">
        <v>61</v>
      </c>
      <c r="D4475" s="28" t="n">
        <v>1</v>
      </c>
      <c r="E4475" s="29" t="n">
        <v>150000</v>
      </c>
      <c r="F4475" s="30" t="n">
        <v>14.5</v>
      </c>
      <c r="G4475" s="31" t="n">
        <f aca="false">IFERROR(F4475/D4475,0)</f>
        <v>14.5</v>
      </c>
    </row>
    <row r="4476" customFormat="false" ht="15" hidden="false" customHeight="false" outlineLevel="0" collapsed="false">
      <c r="A4476" s="28" t="n">
        <v>2024</v>
      </c>
      <c r="B4476" s="28" t="s">
        <v>99</v>
      </c>
      <c r="C4476" s="28" t="s">
        <v>53</v>
      </c>
      <c r="D4476" s="28" t="n">
        <v>15</v>
      </c>
      <c r="E4476" s="29" t="n">
        <v>6614900</v>
      </c>
      <c r="F4476" s="30" t="n">
        <v>156.99</v>
      </c>
      <c r="G4476" s="31" t="n">
        <f aca="false">IFERROR(F4476/D4476,0)</f>
        <v>10.466</v>
      </c>
    </row>
    <row r="4477" customFormat="false" ht="15" hidden="false" customHeight="false" outlineLevel="0" collapsed="false">
      <c r="A4477" s="28" t="n">
        <v>2024</v>
      </c>
      <c r="B4477" s="28" t="s">
        <v>99</v>
      </c>
      <c r="C4477" s="28" t="s">
        <v>43</v>
      </c>
      <c r="D4477" s="28" t="n">
        <v>130</v>
      </c>
      <c r="E4477" s="29" t="n">
        <v>70661700</v>
      </c>
      <c r="F4477" s="30" t="n">
        <v>1317.045</v>
      </c>
      <c r="G4477" s="31" t="n">
        <f aca="false">IFERROR(F4477/D4477,0)</f>
        <v>10.1311153846154</v>
      </c>
    </row>
    <row r="4478" customFormat="false" ht="15" hidden="false" customHeight="false" outlineLevel="0" collapsed="false">
      <c r="A4478" s="28" t="n">
        <v>2024</v>
      </c>
      <c r="B4478" s="28" t="s">
        <v>99</v>
      </c>
      <c r="C4478" s="28" t="s">
        <v>52</v>
      </c>
      <c r="D4478" s="28" t="n">
        <v>41</v>
      </c>
      <c r="E4478" s="29" t="n">
        <v>16515000</v>
      </c>
      <c r="F4478" s="30" t="n">
        <v>440.8</v>
      </c>
      <c r="G4478" s="31" t="n">
        <f aca="false">IFERROR(F4478/D4478,0)</f>
        <v>10.7512195121951</v>
      </c>
    </row>
    <row r="4479" customFormat="false" ht="15" hidden="false" customHeight="false" outlineLevel="0" collapsed="false">
      <c r="A4479" s="28" t="n">
        <v>2024</v>
      </c>
      <c r="B4479" s="28" t="s">
        <v>99</v>
      </c>
      <c r="C4479" s="28" t="s">
        <v>49</v>
      </c>
      <c r="D4479" s="28" t="n">
        <v>42</v>
      </c>
      <c r="E4479" s="29" t="n">
        <v>23388800</v>
      </c>
      <c r="F4479" s="30" t="n">
        <v>432.67</v>
      </c>
      <c r="G4479" s="31" t="n">
        <f aca="false">IFERROR(F4479/D4479,0)</f>
        <v>10.3016666666667</v>
      </c>
    </row>
    <row r="4480" customFormat="false" ht="15" hidden="false" customHeight="false" outlineLevel="0" collapsed="false">
      <c r="A4480" s="28" t="n">
        <v>2024</v>
      </c>
      <c r="B4480" s="28" t="s">
        <v>123</v>
      </c>
      <c r="C4480" s="28" t="s">
        <v>42</v>
      </c>
      <c r="D4480" s="28" t="n">
        <v>23</v>
      </c>
      <c r="E4480" s="29" t="n">
        <v>24858900</v>
      </c>
      <c r="F4480" s="30" t="n">
        <v>229.5</v>
      </c>
      <c r="G4480" s="31" t="n">
        <f aca="false">IFERROR(F4480/D4480,0)</f>
        <v>9.97826086956522</v>
      </c>
    </row>
    <row r="4481" customFormat="false" ht="15" hidden="false" customHeight="false" outlineLevel="0" collapsed="false">
      <c r="A4481" s="28" t="n">
        <v>2024</v>
      </c>
      <c r="B4481" s="28" t="s">
        <v>123</v>
      </c>
      <c r="C4481" s="28" t="s">
        <v>50</v>
      </c>
      <c r="D4481" s="28" t="n">
        <v>7</v>
      </c>
      <c r="E4481" s="29" t="n">
        <v>870800</v>
      </c>
      <c r="F4481" s="30" t="n">
        <v>82.8</v>
      </c>
      <c r="G4481" s="31" t="n">
        <f aca="false">IFERROR(F4481/D4481,0)</f>
        <v>11.8285714285714</v>
      </c>
    </row>
    <row r="4482" customFormat="false" ht="15" hidden="false" customHeight="false" outlineLevel="0" collapsed="false">
      <c r="A4482" s="28" t="n">
        <v>2024</v>
      </c>
      <c r="B4482" s="28" t="s">
        <v>123</v>
      </c>
      <c r="C4482" s="28" t="s">
        <v>55</v>
      </c>
      <c r="D4482" s="28" t="n">
        <v>7</v>
      </c>
      <c r="E4482" s="29" t="n">
        <v>355500</v>
      </c>
      <c r="F4482" s="30" t="n">
        <v>73.25</v>
      </c>
      <c r="G4482" s="31" t="n">
        <f aca="false">IFERROR(F4482/D4482,0)</f>
        <v>10.4642857142857</v>
      </c>
    </row>
    <row r="4483" customFormat="false" ht="15" hidden="false" customHeight="false" outlineLevel="0" collapsed="false">
      <c r="A4483" s="28" t="n">
        <v>2024</v>
      </c>
      <c r="B4483" s="28" t="s">
        <v>123</v>
      </c>
      <c r="C4483" s="28" t="s">
        <v>51</v>
      </c>
      <c r="D4483" s="28" t="n">
        <v>7</v>
      </c>
      <c r="E4483" s="29" t="n">
        <v>2160900</v>
      </c>
      <c r="F4483" s="30" t="n">
        <v>73.25</v>
      </c>
      <c r="G4483" s="31" t="n">
        <f aca="false">IFERROR(F4483/D4483,0)</f>
        <v>10.4642857142857</v>
      </c>
    </row>
    <row r="4484" customFormat="false" ht="15" hidden="false" customHeight="false" outlineLevel="0" collapsed="false">
      <c r="A4484" s="28" t="n">
        <v>2024</v>
      </c>
      <c r="B4484" s="28" t="s">
        <v>123</v>
      </c>
      <c r="C4484" s="28" t="s">
        <v>45</v>
      </c>
      <c r="D4484" s="28" t="n">
        <v>37</v>
      </c>
      <c r="E4484" s="29" t="n">
        <v>6898600</v>
      </c>
      <c r="F4484" s="30" t="n">
        <v>383.19</v>
      </c>
      <c r="G4484" s="31" t="n">
        <f aca="false">IFERROR(F4484/D4484,0)</f>
        <v>10.3564864864865</v>
      </c>
    </row>
    <row r="4485" customFormat="false" ht="15" hidden="false" customHeight="false" outlineLevel="0" collapsed="false">
      <c r="A4485" s="28" t="n">
        <v>2024</v>
      </c>
      <c r="B4485" s="28" t="s">
        <v>123</v>
      </c>
      <c r="C4485" s="28" t="s">
        <v>56</v>
      </c>
      <c r="D4485" s="28" t="n">
        <v>1</v>
      </c>
      <c r="E4485" s="29" t="n">
        <v>150000</v>
      </c>
      <c r="F4485" s="30" t="n">
        <v>10.5</v>
      </c>
      <c r="G4485" s="31" t="n">
        <f aca="false">IFERROR(F4485/D4485,0)</f>
        <v>10.5</v>
      </c>
    </row>
    <row r="4486" customFormat="false" ht="15" hidden="false" customHeight="false" outlineLevel="0" collapsed="false">
      <c r="A4486" s="28" t="n">
        <v>2024</v>
      </c>
      <c r="B4486" s="28" t="s">
        <v>123</v>
      </c>
      <c r="C4486" s="28" t="s">
        <v>54</v>
      </c>
      <c r="D4486" s="28" t="n">
        <v>1</v>
      </c>
      <c r="E4486" s="29" t="n">
        <v>149200</v>
      </c>
      <c r="F4486" s="30" t="n">
        <v>10.5</v>
      </c>
      <c r="G4486" s="31" t="n">
        <f aca="false">IFERROR(F4486/D4486,0)</f>
        <v>10.5</v>
      </c>
    </row>
    <row r="4487" customFormat="false" ht="15" hidden="false" customHeight="false" outlineLevel="0" collapsed="false">
      <c r="A4487" s="28" t="n">
        <v>2024</v>
      </c>
      <c r="B4487" s="28" t="s">
        <v>123</v>
      </c>
      <c r="C4487" s="28" t="s">
        <v>44</v>
      </c>
      <c r="D4487" s="28" t="n">
        <v>17</v>
      </c>
      <c r="E4487" s="29" t="n">
        <v>9551800</v>
      </c>
      <c r="F4487" s="30" t="n">
        <v>183.29</v>
      </c>
      <c r="G4487" s="31" t="n">
        <f aca="false">IFERROR(F4487/D4487,0)</f>
        <v>10.7817647058824</v>
      </c>
    </row>
    <row r="4488" customFormat="false" ht="15" hidden="false" customHeight="false" outlineLevel="0" collapsed="false">
      <c r="A4488" s="28" t="n">
        <v>2024</v>
      </c>
      <c r="B4488" s="28" t="s">
        <v>123</v>
      </c>
      <c r="C4488" s="28" t="s">
        <v>57</v>
      </c>
      <c r="D4488" s="28" t="n">
        <v>4</v>
      </c>
      <c r="E4488" s="29" t="n">
        <v>2677800</v>
      </c>
      <c r="F4488" s="30" t="n">
        <v>40.34</v>
      </c>
      <c r="G4488" s="31" t="n">
        <f aca="false">IFERROR(F4488/D4488,0)</f>
        <v>10.085</v>
      </c>
    </row>
    <row r="4489" customFormat="false" ht="15" hidden="false" customHeight="false" outlineLevel="0" collapsed="false">
      <c r="A4489" s="28" t="n">
        <v>2024</v>
      </c>
      <c r="B4489" s="28" t="s">
        <v>123</v>
      </c>
      <c r="C4489" s="28" t="s">
        <v>47</v>
      </c>
      <c r="D4489" s="28" t="n">
        <v>9</v>
      </c>
      <c r="E4489" s="29" t="n">
        <v>1665700</v>
      </c>
      <c r="F4489" s="30" t="n">
        <v>96.8</v>
      </c>
      <c r="G4489" s="31" t="n">
        <f aca="false">IFERROR(F4489/D4489,0)</f>
        <v>10.7555555555556</v>
      </c>
    </row>
    <row r="4490" customFormat="false" ht="15" hidden="false" customHeight="false" outlineLevel="0" collapsed="false">
      <c r="A4490" s="28" t="n">
        <v>2024</v>
      </c>
      <c r="B4490" s="28" t="s">
        <v>123</v>
      </c>
      <c r="C4490" s="28" t="s">
        <v>46</v>
      </c>
      <c r="D4490" s="28" t="n">
        <v>27</v>
      </c>
      <c r="E4490" s="29" t="n">
        <v>8417500</v>
      </c>
      <c r="F4490" s="30" t="n">
        <v>282.72</v>
      </c>
      <c r="G4490" s="31" t="n">
        <f aca="false">IFERROR(F4490/D4490,0)</f>
        <v>10.4711111111111</v>
      </c>
    </row>
    <row r="4491" customFormat="false" ht="15" hidden="false" customHeight="false" outlineLevel="0" collapsed="false">
      <c r="A4491" s="28" t="n">
        <v>2024</v>
      </c>
      <c r="B4491" s="28" t="s">
        <v>123</v>
      </c>
      <c r="C4491" s="28" t="s">
        <v>48</v>
      </c>
      <c r="D4491" s="28" t="n">
        <v>14</v>
      </c>
      <c r="E4491" s="29" t="n">
        <v>3955700</v>
      </c>
      <c r="F4491" s="30" t="n">
        <v>145.23</v>
      </c>
      <c r="G4491" s="31" t="n">
        <f aca="false">IFERROR(F4491/D4491,0)</f>
        <v>10.3735714285714</v>
      </c>
    </row>
    <row r="4492" customFormat="false" ht="15" hidden="false" customHeight="false" outlineLevel="0" collapsed="false">
      <c r="A4492" s="28" t="n">
        <v>2024</v>
      </c>
      <c r="B4492" s="28" t="s">
        <v>123</v>
      </c>
      <c r="C4492" s="28" t="s">
        <v>53</v>
      </c>
      <c r="D4492" s="28" t="n">
        <v>3</v>
      </c>
      <c r="E4492" s="29" t="n">
        <v>510000</v>
      </c>
      <c r="F4492" s="30" t="n">
        <v>31.4</v>
      </c>
      <c r="G4492" s="31" t="n">
        <f aca="false">IFERROR(F4492/D4492,0)</f>
        <v>10.4666666666667</v>
      </c>
    </row>
    <row r="4493" customFormat="false" ht="15" hidden="false" customHeight="false" outlineLevel="0" collapsed="false">
      <c r="A4493" s="28" t="n">
        <v>2024</v>
      </c>
      <c r="B4493" s="28" t="s">
        <v>123</v>
      </c>
      <c r="C4493" s="28" t="s">
        <v>43</v>
      </c>
      <c r="D4493" s="28" t="n">
        <v>15</v>
      </c>
      <c r="E4493" s="29" t="n">
        <v>8083000</v>
      </c>
      <c r="F4493" s="30" t="n">
        <v>161.7</v>
      </c>
      <c r="G4493" s="31" t="n">
        <f aca="false">IFERROR(F4493/D4493,0)</f>
        <v>10.78</v>
      </c>
    </row>
    <row r="4494" customFormat="false" ht="15" hidden="false" customHeight="false" outlineLevel="0" collapsed="false">
      <c r="A4494" s="28" t="n">
        <v>2024</v>
      </c>
      <c r="B4494" s="28" t="s">
        <v>123</v>
      </c>
      <c r="C4494" s="28" t="s">
        <v>52</v>
      </c>
      <c r="D4494" s="28" t="n">
        <v>13</v>
      </c>
      <c r="E4494" s="29" t="n">
        <v>3687400</v>
      </c>
      <c r="F4494" s="30" t="n">
        <v>130.2</v>
      </c>
      <c r="G4494" s="31" t="n">
        <f aca="false">IFERROR(F4494/D4494,0)</f>
        <v>10.0153846153846</v>
      </c>
    </row>
    <row r="4495" customFormat="false" ht="15" hidden="false" customHeight="false" outlineLevel="0" collapsed="false">
      <c r="A4495" s="28" t="n">
        <v>2024</v>
      </c>
      <c r="B4495" s="28" t="s">
        <v>123</v>
      </c>
      <c r="C4495" s="28" t="s">
        <v>60</v>
      </c>
      <c r="D4495" s="28" t="n">
        <v>1</v>
      </c>
      <c r="E4495" s="29" t="n">
        <v>75000</v>
      </c>
      <c r="F4495" s="30" t="n">
        <v>10.5</v>
      </c>
      <c r="G4495" s="31" t="n">
        <f aca="false">IFERROR(F4495/D4495,0)</f>
        <v>10.5</v>
      </c>
    </row>
    <row r="4496" customFormat="false" ht="15" hidden="false" customHeight="false" outlineLevel="0" collapsed="false">
      <c r="A4496" s="28" t="n">
        <v>2024</v>
      </c>
      <c r="B4496" s="28" t="s">
        <v>123</v>
      </c>
      <c r="C4496" s="28" t="s">
        <v>49</v>
      </c>
      <c r="D4496" s="28" t="n">
        <v>6</v>
      </c>
      <c r="E4496" s="29" t="n">
        <v>6558000</v>
      </c>
      <c r="F4496" s="30" t="n">
        <v>66.5</v>
      </c>
      <c r="G4496" s="31" t="n">
        <f aca="false">IFERROR(F4496/D4496,0)</f>
        <v>11.0833333333333</v>
      </c>
    </row>
    <row r="4497" customFormat="false" ht="15" hidden="false" customHeight="false" outlineLevel="0" collapsed="false">
      <c r="A4497" s="28" t="n">
        <v>2024</v>
      </c>
      <c r="B4497" s="28" t="s">
        <v>125</v>
      </c>
      <c r="C4497" s="28" t="s">
        <v>42</v>
      </c>
      <c r="D4497" s="28" t="n">
        <v>8</v>
      </c>
      <c r="E4497" s="29" t="n">
        <v>4712900</v>
      </c>
      <c r="F4497" s="30" t="n">
        <v>82.45</v>
      </c>
      <c r="G4497" s="31" t="n">
        <f aca="false">IFERROR(F4497/D4497,0)</f>
        <v>10.30625</v>
      </c>
    </row>
    <row r="4498" customFormat="false" ht="15" hidden="false" customHeight="false" outlineLevel="0" collapsed="false">
      <c r="A4498" s="28" t="n">
        <v>2024</v>
      </c>
      <c r="B4498" s="28" t="s">
        <v>125</v>
      </c>
      <c r="C4498" s="28" t="s">
        <v>50</v>
      </c>
      <c r="D4498" s="28" t="n">
        <v>7</v>
      </c>
      <c r="E4498" s="29" t="n">
        <v>1090000</v>
      </c>
      <c r="F4498" s="30" t="n">
        <v>86.75</v>
      </c>
      <c r="G4498" s="31" t="n">
        <f aca="false">IFERROR(F4498/D4498,0)</f>
        <v>12.3928571428571</v>
      </c>
    </row>
    <row r="4499" customFormat="false" ht="15" hidden="false" customHeight="false" outlineLevel="0" collapsed="false">
      <c r="A4499" s="28" t="n">
        <v>2024</v>
      </c>
      <c r="B4499" s="28" t="s">
        <v>125</v>
      </c>
      <c r="C4499" s="28" t="s">
        <v>55</v>
      </c>
      <c r="D4499" s="28" t="n">
        <v>2</v>
      </c>
      <c r="E4499" s="29" t="n">
        <v>158000</v>
      </c>
      <c r="F4499" s="30" t="n">
        <v>21.25</v>
      </c>
      <c r="G4499" s="31" t="n">
        <f aca="false">IFERROR(F4499/D4499,0)</f>
        <v>10.625</v>
      </c>
    </row>
    <row r="4500" customFormat="false" ht="15" hidden="false" customHeight="false" outlineLevel="0" collapsed="false">
      <c r="A4500" s="28" t="n">
        <v>2024</v>
      </c>
      <c r="B4500" s="28" t="s">
        <v>125</v>
      </c>
      <c r="C4500" s="28" t="s">
        <v>51</v>
      </c>
      <c r="D4500" s="28" t="n">
        <v>2</v>
      </c>
      <c r="E4500" s="29" t="n">
        <v>70000</v>
      </c>
      <c r="F4500" s="30" t="n">
        <v>25</v>
      </c>
      <c r="G4500" s="31" t="n">
        <f aca="false">IFERROR(F4500/D4500,0)</f>
        <v>12.5</v>
      </c>
    </row>
    <row r="4501" customFormat="false" ht="15" hidden="false" customHeight="false" outlineLevel="0" collapsed="false">
      <c r="A4501" s="28" t="n">
        <v>2024</v>
      </c>
      <c r="B4501" s="28" t="s">
        <v>125</v>
      </c>
      <c r="C4501" s="28" t="s">
        <v>45</v>
      </c>
      <c r="D4501" s="28" t="n">
        <v>6</v>
      </c>
      <c r="E4501" s="29" t="n">
        <v>1486500</v>
      </c>
      <c r="F4501" s="30" t="n">
        <v>66.99</v>
      </c>
      <c r="G4501" s="31" t="n">
        <f aca="false">IFERROR(F4501/D4501,0)</f>
        <v>11.165</v>
      </c>
    </row>
    <row r="4502" customFormat="false" ht="15" hidden="false" customHeight="false" outlineLevel="0" collapsed="false">
      <c r="A4502" s="28" t="n">
        <v>2024</v>
      </c>
      <c r="B4502" s="28" t="s">
        <v>125</v>
      </c>
      <c r="C4502" s="28" t="s">
        <v>44</v>
      </c>
      <c r="D4502" s="28" t="n">
        <v>8</v>
      </c>
      <c r="E4502" s="29" t="n">
        <v>4002000</v>
      </c>
      <c r="F4502" s="30" t="n">
        <v>83</v>
      </c>
      <c r="G4502" s="31" t="n">
        <f aca="false">IFERROR(F4502/D4502,0)</f>
        <v>10.375</v>
      </c>
    </row>
    <row r="4503" customFormat="false" ht="15" hidden="false" customHeight="false" outlineLevel="0" collapsed="false">
      <c r="A4503" s="28" t="n">
        <v>2024</v>
      </c>
      <c r="B4503" s="28" t="s">
        <v>125</v>
      </c>
      <c r="C4503" s="28" t="s">
        <v>57</v>
      </c>
      <c r="D4503" s="28" t="n">
        <v>2</v>
      </c>
      <c r="E4503" s="29" t="n">
        <v>815000</v>
      </c>
      <c r="F4503" s="30" t="n">
        <v>24.25</v>
      </c>
      <c r="G4503" s="31" t="n">
        <f aca="false">IFERROR(F4503/D4503,0)</f>
        <v>12.125</v>
      </c>
    </row>
    <row r="4504" customFormat="false" ht="15" hidden="false" customHeight="false" outlineLevel="0" collapsed="false">
      <c r="A4504" s="28" t="n">
        <v>2024</v>
      </c>
      <c r="B4504" s="28" t="s">
        <v>125</v>
      </c>
      <c r="C4504" s="28" t="s">
        <v>47</v>
      </c>
      <c r="D4504" s="28" t="n">
        <v>5</v>
      </c>
      <c r="E4504" s="29" t="n">
        <v>1775300</v>
      </c>
      <c r="F4504" s="30" t="n">
        <v>49</v>
      </c>
      <c r="G4504" s="31" t="n">
        <f aca="false">IFERROR(F4504/D4504,0)</f>
        <v>9.8</v>
      </c>
    </row>
    <row r="4505" customFormat="false" ht="15" hidden="false" customHeight="false" outlineLevel="0" collapsed="false">
      <c r="A4505" s="28" t="n">
        <v>2024</v>
      </c>
      <c r="B4505" s="28" t="s">
        <v>125</v>
      </c>
      <c r="C4505" s="28" t="s">
        <v>58</v>
      </c>
      <c r="D4505" s="28" t="n">
        <v>3</v>
      </c>
      <c r="E4505" s="29" t="n">
        <v>1114000</v>
      </c>
      <c r="F4505" s="30" t="n">
        <v>31.25</v>
      </c>
      <c r="G4505" s="31" t="n">
        <f aca="false">IFERROR(F4505/D4505,0)</f>
        <v>10.4166666666667</v>
      </c>
    </row>
    <row r="4506" customFormat="false" ht="15" hidden="false" customHeight="false" outlineLevel="0" collapsed="false">
      <c r="A4506" s="28" t="n">
        <v>2024</v>
      </c>
      <c r="B4506" s="28" t="s">
        <v>125</v>
      </c>
      <c r="C4506" s="28" t="s">
        <v>46</v>
      </c>
      <c r="D4506" s="28" t="n">
        <v>3</v>
      </c>
      <c r="E4506" s="29" t="n">
        <v>2462000</v>
      </c>
      <c r="F4506" s="30" t="n">
        <v>26</v>
      </c>
      <c r="G4506" s="31" t="n">
        <f aca="false">IFERROR(F4506/D4506,0)</f>
        <v>8.66666666666667</v>
      </c>
    </row>
    <row r="4507" customFormat="false" ht="15" hidden="false" customHeight="false" outlineLevel="0" collapsed="false">
      <c r="A4507" s="28" t="n">
        <v>2024</v>
      </c>
      <c r="B4507" s="28" t="s">
        <v>125</v>
      </c>
      <c r="C4507" s="28" t="s">
        <v>48</v>
      </c>
      <c r="D4507" s="28" t="n">
        <v>11</v>
      </c>
      <c r="E4507" s="29" t="n">
        <v>2570000</v>
      </c>
      <c r="F4507" s="30" t="n">
        <v>126.67</v>
      </c>
      <c r="G4507" s="31" t="n">
        <f aca="false">IFERROR(F4507/D4507,0)</f>
        <v>11.5154545454545</v>
      </c>
    </row>
    <row r="4508" customFormat="false" ht="15" hidden="false" customHeight="false" outlineLevel="0" collapsed="false">
      <c r="A4508" s="28" t="n">
        <v>2024</v>
      </c>
      <c r="B4508" s="28" t="s">
        <v>125</v>
      </c>
      <c r="C4508" s="28" t="s">
        <v>53</v>
      </c>
      <c r="D4508" s="28" t="n">
        <v>3</v>
      </c>
      <c r="E4508" s="29" t="n">
        <v>6730000</v>
      </c>
      <c r="F4508" s="30" t="n">
        <v>28.99</v>
      </c>
      <c r="G4508" s="31" t="n">
        <f aca="false">IFERROR(F4508/D4508,0)</f>
        <v>9.66333333333333</v>
      </c>
    </row>
    <row r="4509" customFormat="false" ht="15" hidden="false" customHeight="false" outlineLevel="0" collapsed="false">
      <c r="A4509" s="28" t="n">
        <v>2024</v>
      </c>
      <c r="B4509" s="28" t="s">
        <v>125</v>
      </c>
      <c r="C4509" s="28" t="s">
        <v>43</v>
      </c>
      <c r="D4509" s="28" t="n">
        <v>15</v>
      </c>
      <c r="E4509" s="29" t="n">
        <v>12212800</v>
      </c>
      <c r="F4509" s="30" t="n">
        <v>161.49</v>
      </c>
      <c r="G4509" s="31" t="n">
        <f aca="false">IFERROR(F4509/D4509,0)</f>
        <v>10.766</v>
      </c>
    </row>
    <row r="4510" customFormat="false" ht="15" hidden="false" customHeight="false" outlineLevel="0" collapsed="false">
      <c r="A4510" s="28" t="n">
        <v>2024</v>
      </c>
      <c r="B4510" s="28" t="s">
        <v>125</v>
      </c>
      <c r="C4510" s="28" t="s">
        <v>52</v>
      </c>
      <c r="D4510" s="28" t="n">
        <v>4</v>
      </c>
      <c r="E4510" s="29" t="n">
        <v>2663400</v>
      </c>
      <c r="F4510" s="30" t="n">
        <v>34.45</v>
      </c>
      <c r="G4510" s="31" t="n">
        <f aca="false">IFERROR(F4510/D4510,0)</f>
        <v>8.6125</v>
      </c>
    </row>
    <row r="4511" customFormat="false" ht="15" hidden="false" customHeight="false" outlineLevel="0" collapsed="false">
      <c r="A4511" s="28" t="n">
        <v>2024</v>
      </c>
      <c r="B4511" s="28" t="s">
        <v>125</v>
      </c>
      <c r="C4511" s="28" t="s">
        <v>60</v>
      </c>
      <c r="D4511" s="28" t="n">
        <v>1</v>
      </c>
      <c r="E4511" s="29" t="n">
        <v>100000</v>
      </c>
      <c r="F4511" s="30" t="n">
        <v>10.5</v>
      </c>
      <c r="G4511" s="31" t="n">
        <f aca="false">IFERROR(F4511/D4511,0)</f>
        <v>10.5</v>
      </c>
    </row>
    <row r="4512" customFormat="false" ht="15" hidden="false" customHeight="false" outlineLevel="0" collapsed="false">
      <c r="A4512" s="28" t="n">
        <v>2024</v>
      </c>
      <c r="B4512" s="28" t="s">
        <v>125</v>
      </c>
      <c r="C4512" s="28" t="s">
        <v>49</v>
      </c>
      <c r="D4512" s="28" t="n">
        <v>6</v>
      </c>
      <c r="E4512" s="29" t="n">
        <v>2027000</v>
      </c>
      <c r="F4512" s="30" t="n">
        <v>56.27</v>
      </c>
      <c r="G4512" s="31" t="n">
        <f aca="false">IFERROR(F4512/D4512,0)</f>
        <v>9.37833333333333</v>
      </c>
    </row>
    <row r="4513" customFormat="false" ht="15" hidden="false" customHeight="false" outlineLevel="0" collapsed="false">
      <c r="A4513" s="28" t="n">
        <v>2025</v>
      </c>
      <c r="B4513" s="28" t="s">
        <v>74</v>
      </c>
      <c r="C4513" s="28" t="s">
        <v>42</v>
      </c>
      <c r="D4513" s="28" t="n">
        <v>9</v>
      </c>
      <c r="E4513" s="29" t="n">
        <v>6423700</v>
      </c>
      <c r="F4513" s="30" t="n">
        <v>93.5</v>
      </c>
      <c r="G4513" s="31" t="n">
        <f aca="false">IFERROR(F4513/D4513,0)</f>
        <v>10.3888888888889</v>
      </c>
    </row>
    <row r="4514" customFormat="false" ht="15" hidden="false" customHeight="false" outlineLevel="0" collapsed="false">
      <c r="A4514" s="28" t="n">
        <v>2025</v>
      </c>
      <c r="B4514" s="28" t="s">
        <v>74</v>
      </c>
      <c r="C4514" s="28" t="s">
        <v>50</v>
      </c>
      <c r="D4514" s="28" t="n">
        <v>5</v>
      </c>
      <c r="E4514" s="29" t="n">
        <v>2712000</v>
      </c>
      <c r="F4514" s="30" t="n">
        <v>50.33</v>
      </c>
      <c r="G4514" s="31" t="n">
        <f aca="false">IFERROR(F4514/D4514,0)</f>
        <v>10.066</v>
      </c>
    </row>
    <row r="4515" customFormat="false" ht="15" hidden="false" customHeight="false" outlineLevel="0" collapsed="false">
      <c r="A4515" s="28" t="n">
        <v>2025</v>
      </c>
      <c r="B4515" s="28" t="s">
        <v>74</v>
      </c>
      <c r="C4515" s="28" t="s">
        <v>55</v>
      </c>
      <c r="D4515" s="28" t="n">
        <v>3</v>
      </c>
      <c r="E4515" s="29" t="n">
        <v>376000</v>
      </c>
      <c r="F4515" s="30" t="n">
        <v>32.7</v>
      </c>
      <c r="G4515" s="31" t="n">
        <f aca="false">IFERROR(F4515/D4515,0)</f>
        <v>10.9</v>
      </c>
    </row>
    <row r="4516" customFormat="false" ht="15" hidden="false" customHeight="false" outlineLevel="0" collapsed="false">
      <c r="A4516" s="28" t="n">
        <v>2025</v>
      </c>
      <c r="B4516" s="28" t="s">
        <v>74</v>
      </c>
      <c r="C4516" s="28" t="s">
        <v>51</v>
      </c>
      <c r="D4516" s="28" t="n">
        <v>5</v>
      </c>
      <c r="E4516" s="29" t="n">
        <v>1295500</v>
      </c>
      <c r="F4516" s="30" t="n">
        <v>50.98</v>
      </c>
      <c r="G4516" s="31" t="n">
        <f aca="false">IFERROR(F4516/D4516,0)</f>
        <v>10.196</v>
      </c>
    </row>
    <row r="4517" customFormat="false" ht="15" hidden="false" customHeight="false" outlineLevel="0" collapsed="false">
      <c r="A4517" s="28" t="n">
        <v>2025</v>
      </c>
      <c r="B4517" s="28" t="s">
        <v>74</v>
      </c>
      <c r="C4517" s="28" t="s">
        <v>45</v>
      </c>
      <c r="D4517" s="28" t="n">
        <v>11</v>
      </c>
      <c r="E4517" s="29" t="n">
        <v>2625000</v>
      </c>
      <c r="F4517" s="30" t="n">
        <v>118.62</v>
      </c>
      <c r="G4517" s="31" t="n">
        <f aca="false">IFERROR(F4517/D4517,0)</f>
        <v>10.7836363636364</v>
      </c>
    </row>
    <row r="4518" customFormat="false" ht="15" hidden="false" customHeight="false" outlineLevel="0" collapsed="false">
      <c r="A4518" s="28" t="n">
        <v>2025</v>
      </c>
      <c r="B4518" s="28" t="s">
        <v>74</v>
      </c>
      <c r="C4518" s="28" t="s">
        <v>44</v>
      </c>
      <c r="D4518" s="28" t="n">
        <v>12</v>
      </c>
      <c r="E4518" s="29" t="n">
        <v>13341400</v>
      </c>
      <c r="F4518" s="30" t="n">
        <v>122.47</v>
      </c>
      <c r="G4518" s="31" t="n">
        <f aca="false">IFERROR(F4518/D4518,0)</f>
        <v>10.2058333333333</v>
      </c>
    </row>
    <row r="4519" customFormat="false" ht="15" hidden="false" customHeight="false" outlineLevel="0" collapsed="false">
      <c r="A4519" s="28" t="n">
        <v>2025</v>
      </c>
      <c r="B4519" s="28" t="s">
        <v>74</v>
      </c>
      <c r="C4519" s="28" t="s">
        <v>59</v>
      </c>
      <c r="D4519" s="28" t="n">
        <v>1</v>
      </c>
      <c r="E4519" s="29" t="n">
        <v>2930000</v>
      </c>
      <c r="F4519" s="30" t="n">
        <v>10.5</v>
      </c>
      <c r="G4519" s="31" t="n">
        <f aca="false">IFERROR(F4519/D4519,0)</f>
        <v>10.5</v>
      </c>
    </row>
    <row r="4520" customFormat="false" ht="15" hidden="false" customHeight="false" outlineLevel="0" collapsed="false">
      <c r="A4520" s="28" t="n">
        <v>2025</v>
      </c>
      <c r="B4520" s="28" t="s">
        <v>74</v>
      </c>
      <c r="C4520" s="28" t="s">
        <v>47</v>
      </c>
      <c r="D4520" s="28" t="n">
        <v>2</v>
      </c>
      <c r="E4520" s="29" t="n">
        <v>1514400</v>
      </c>
      <c r="F4520" s="30" t="n">
        <v>16.96</v>
      </c>
      <c r="G4520" s="31" t="n">
        <f aca="false">IFERROR(F4520/D4520,0)</f>
        <v>8.48</v>
      </c>
    </row>
    <row r="4521" customFormat="false" ht="15" hidden="false" customHeight="false" outlineLevel="0" collapsed="false">
      <c r="A4521" s="28" t="n">
        <v>2025</v>
      </c>
      <c r="B4521" s="28" t="s">
        <v>74</v>
      </c>
      <c r="C4521" s="28" t="s">
        <v>58</v>
      </c>
      <c r="D4521" s="28" t="n">
        <v>3</v>
      </c>
      <c r="E4521" s="29" t="n">
        <v>5130600</v>
      </c>
      <c r="F4521" s="30" t="n">
        <v>31.75</v>
      </c>
      <c r="G4521" s="31" t="n">
        <f aca="false">IFERROR(F4521/D4521,0)</f>
        <v>10.5833333333333</v>
      </c>
    </row>
    <row r="4522" customFormat="false" ht="15" hidden="false" customHeight="false" outlineLevel="0" collapsed="false">
      <c r="A4522" s="28" t="n">
        <v>2025</v>
      </c>
      <c r="B4522" s="28" t="s">
        <v>74</v>
      </c>
      <c r="C4522" s="28" t="s">
        <v>46</v>
      </c>
      <c r="D4522" s="28" t="n">
        <v>10</v>
      </c>
      <c r="E4522" s="29" t="n">
        <v>3248400</v>
      </c>
      <c r="F4522" s="30" t="n">
        <v>91.99</v>
      </c>
      <c r="G4522" s="31" t="n">
        <f aca="false">IFERROR(F4522/D4522,0)</f>
        <v>9.199</v>
      </c>
    </row>
    <row r="4523" customFormat="false" ht="15" hidden="false" customHeight="false" outlineLevel="0" collapsed="false">
      <c r="A4523" s="28" t="n">
        <v>2025</v>
      </c>
      <c r="B4523" s="28" t="s">
        <v>74</v>
      </c>
      <c r="C4523" s="28" t="s">
        <v>48</v>
      </c>
      <c r="D4523" s="28" t="n">
        <v>10</v>
      </c>
      <c r="E4523" s="29" t="n">
        <v>6272700</v>
      </c>
      <c r="F4523" s="30" t="n">
        <v>102.75</v>
      </c>
      <c r="G4523" s="31" t="n">
        <f aca="false">IFERROR(F4523/D4523,0)</f>
        <v>10.275</v>
      </c>
    </row>
    <row r="4524" customFormat="false" ht="15" hidden="false" customHeight="false" outlineLevel="0" collapsed="false">
      <c r="A4524" s="28" t="n">
        <v>2025</v>
      </c>
      <c r="B4524" s="28" t="s">
        <v>74</v>
      </c>
      <c r="C4524" s="28" t="s">
        <v>53</v>
      </c>
      <c r="D4524" s="28" t="n">
        <v>4</v>
      </c>
      <c r="E4524" s="29" t="n">
        <v>3027000</v>
      </c>
      <c r="F4524" s="30" t="n">
        <v>40.85</v>
      </c>
      <c r="G4524" s="31" t="n">
        <f aca="false">IFERROR(F4524/D4524,0)</f>
        <v>10.2125</v>
      </c>
    </row>
    <row r="4525" customFormat="false" ht="15" hidden="false" customHeight="false" outlineLevel="0" collapsed="false">
      <c r="A4525" s="28" t="n">
        <v>2025</v>
      </c>
      <c r="B4525" s="28" t="s">
        <v>74</v>
      </c>
      <c r="C4525" s="28" t="s">
        <v>43</v>
      </c>
      <c r="D4525" s="28" t="n">
        <v>8</v>
      </c>
      <c r="E4525" s="29" t="n">
        <v>6360900</v>
      </c>
      <c r="F4525" s="30" t="n">
        <v>79.33</v>
      </c>
      <c r="G4525" s="31" t="n">
        <f aca="false">IFERROR(F4525/D4525,0)</f>
        <v>9.91625</v>
      </c>
    </row>
    <row r="4526" customFormat="false" ht="15" hidden="false" customHeight="false" outlineLevel="0" collapsed="false">
      <c r="A4526" s="28" t="n">
        <v>2025</v>
      </c>
      <c r="B4526" s="28" t="s">
        <v>74</v>
      </c>
      <c r="C4526" s="28" t="s">
        <v>52</v>
      </c>
      <c r="D4526" s="28" t="n">
        <v>3</v>
      </c>
      <c r="E4526" s="29" t="n">
        <v>4972000</v>
      </c>
      <c r="F4526" s="30" t="n">
        <v>30.5</v>
      </c>
      <c r="G4526" s="31" t="n">
        <f aca="false">IFERROR(F4526/D4526,0)</f>
        <v>10.1666666666667</v>
      </c>
    </row>
    <row r="4527" customFormat="false" ht="15" hidden="false" customHeight="false" outlineLevel="0" collapsed="false">
      <c r="A4527" s="28" t="n">
        <v>2025</v>
      </c>
      <c r="B4527" s="28" t="s">
        <v>76</v>
      </c>
      <c r="C4527" s="28" t="s">
        <v>42</v>
      </c>
      <c r="D4527" s="28" t="n">
        <v>78</v>
      </c>
      <c r="E4527" s="29" t="n">
        <v>80405400</v>
      </c>
      <c r="F4527" s="30" t="n">
        <v>766.48</v>
      </c>
      <c r="G4527" s="31" t="n">
        <f aca="false">IFERROR(F4527/D4527,0)</f>
        <v>9.82666666666667</v>
      </c>
    </row>
    <row r="4528" customFormat="false" ht="15" hidden="false" customHeight="false" outlineLevel="0" collapsed="false">
      <c r="A4528" s="28" t="n">
        <v>2025</v>
      </c>
      <c r="B4528" s="28" t="s">
        <v>76</v>
      </c>
      <c r="C4528" s="28" t="s">
        <v>50</v>
      </c>
      <c r="D4528" s="28" t="n">
        <v>32</v>
      </c>
      <c r="E4528" s="29" t="n">
        <v>19311000</v>
      </c>
      <c r="F4528" s="30" t="n">
        <v>338.15</v>
      </c>
      <c r="G4528" s="31" t="n">
        <f aca="false">IFERROR(F4528/D4528,0)</f>
        <v>10.5671875</v>
      </c>
    </row>
    <row r="4529" customFormat="false" ht="15" hidden="false" customHeight="false" outlineLevel="0" collapsed="false">
      <c r="A4529" s="28" t="n">
        <v>2025</v>
      </c>
      <c r="B4529" s="28" t="s">
        <v>76</v>
      </c>
      <c r="C4529" s="28" t="s">
        <v>55</v>
      </c>
      <c r="D4529" s="28" t="n">
        <v>15</v>
      </c>
      <c r="E4529" s="29" t="n">
        <v>24085700</v>
      </c>
      <c r="F4529" s="30" t="n">
        <v>127.55</v>
      </c>
      <c r="G4529" s="31" t="n">
        <f aca="false">IFERROR(F4529/D4529,0)</f>
        <v>8.50333333333333</v>
      </c>
    </row>
    <row r="4530" customFormat="false" ht="15" hidden="false" customHeight="false" outlineLevel="0" collapsed="false">
      <c r="A4530" s="28" t="n">
        <v>2025</v>
      </c>
      <c r="B4530" s="28" t="s">
        <v>76</v>
      </c>
      <c r="C4530" s="28" t="s">
        <v>51</v>
      </c>
      <c r="D4530" s="28" t="n">
        <v>25</v>
      </c>
      <c r="E4530" s="29" t="n">
        <v>13627300</v>
      </c>
      <c r="F4530" s="30" t="n">
        <v>250.13</v>
      </c>
      <c r="G4530" s="31" t="n">
        <f aca="false">IFERROR(F4530/D4530,0)</f>
        <v>10.0052</v>
      </c>
    </row>
    <row r="4531" customFormat="false" ht="15" hidden="false" customHeight="false" outlineLevel="0" collapsed="false">
      <c r="A4531" s="28" t="n">
        <v>2025</v>
      </c>
      <c r="B4531" s="28" t="s">
        <v>76</v>
      </c>
      <c r="C4531" s="28" t="s">
        <v>45</v>
      </c>
      <c r="D4531" s="28" t="n">
        <v>49</v>
      </c>
      <c r="E4531" s="29" t="n">
        <v>21455600</v>
      </c>
      <c r="F4531" s="30" t="n">
        <v>530.84</v>
      </c>
      <c r="G4531" s="31" t="n">
        <f aca="false">IFERROR(F4531/D4531,0)</f>
        <v>10.8334693877551</v>
      </c>
    </row>
    <row r="4532" customFormat="false" ht="15" hidden="false" customHeight="false" outlineLevel="0" collapsed="false">
      <c r="A4532" s="28" t="n">
        <v>2025</v>
      </c>
      <c r="B4532" s="28" t="s">
        <v>76</v>
      </c>
      <c r="C4532" s="28" t="s">
        <v>56</v>
      </c>
      <c r="D4532" s="28" t="n">
        <v>11</v>
      </c>
      <c r="E4532" s="29" t="n">
        <v>5767900</v>
      </c>
      <c r="F4532" s="30" t="n">
        <v>106.93</v>
      </c>
      <c r="G4532" s="31" t="n">
        <f aca="false">IFERROR(F4532/D4532,0)</f>
        <v>9.72090909090909</v>
      </c>
    </row>
    <row r="4533" customFormat="false" ht="15" hidden="false" customHeight="false" outlineLevel="0" collapsed="false">
      <c r="A4533" s="28" t="n">
        <v>2025</v>
      </c>
      <c r="B4533" s="28" t="s">
        <v>76</v>
      </c>
      <c r="C4533" s="28" t="s">
        <v>54</v>
      </c>
      <c r="D4533" s="28" t="n">
        <v>16</v>
      </c>
      <c r="E4533" s="29" t="n">
        <v>4488200</v>
      </c>
      <c r="F4533" s="30" t="n">
        <v>159.46</v>
      </c>
      <c r="G4533" s="31" t="n">
        <f aca="false">IFERROR(F4533/D4533,0)</f>
        <v>9.96625</v>
      </c>
    </row>
    <row r="4534" customFormat="false" ht="15" hidden="false" customHeight="false" outlineLevel="0" collapsed="false">
      <c r="A4534" s="28" t="n">
        <v>2025</v>
      </c>
      <c r="B4534" s="28" t="s">
        <v>76</v>
      </c>
      <c r="C4534" s="28" t="s">
        <v>44</v>
      </c>
      <c r="D4534" s="28" t="n">
        <v>33</v>
      </c>
      <c r="E4534" s="29" t="n">
        <v>15702400</v>
      </c>
      <c r="F4534" s="30" t="n">
        <v>341.99</v>
      </c>
      <c r="G4534" s="31" t="n">
        <f aca="false">IFERROR(F4534/D4534,0)</f>
        <v>10.3633333333333</v>
      </c>
    </row>
    <row r="4535" customFormat="false" ht="15" hidden="false" customHeight="false" outlineLevel="0" collapsed="false">
      <c r="A4535" s="28" t="n">
        <v>2025</v>
      </c>
      <c r="B4535" s="28" t="s">
        <v>76</v>
      </c>
      <c r="C4535" s="28" t="s">
        <v>57</v>
      </c>
      <c r="D4535" s="28" t="n">
        <v>4</v>
      </c>
      <c r="E4535" s="29" t="n">
        <v>395300</v>
      </c>
      <c r="F4535" s="30" t="n">
        <v>44.5</v>
      </c>
      <c r="G4535" s="31" t="n">
        <f aca="false">IFERROR(F4535/D4535,0)</f>
        <v>11.125</v>
      </c>
    </row>
    <row r="4536" customFormat="false" ht="15" hidden="false" customHeight="false" outlineLevel="0" collapsed="false">
      <c r="A4536" s="28" t="n">
        <v>2025</v>
      </c>
      <c r="B4536" s="28" t="s">
        <v>76</v>
      </c>
      <c r="C4536" s="28" t="s">
        <v>59</v>
      </c>
      <c r="D4536" s="28" t="n">
        <v>1</v>
      </c>
      <c r="E4536" s="29" t="n">
        <v>379600</v>
      </c>
      <c r="F4536" s="30" t="n">
        <v>8.8</v>
      </c>
      <c r="G4536" s="31" t="n">
        <f aca="false">IFERROR(F4536/D4536,0)</f>
        <v>8.8</v>
      </c>
    </row>
    <row r="4537" customFormat="false" ht="15" hidden="false" customHeight="false" outlineLevel="0" collapsed="false">
      <c r="A4537" s="28" t="n">
        <v>2025</v>
      </c>
      <c r="B4537" s="28" t="s">
        <v>76</v>
      </c>
      <c r="C4537" s="28" t="s">
        <v>47</v>
      </c>
      <c r="D4537" s="28" t="n">
        <v>25</v>
      </c>
      <c r="E4537" s="29" t="n">
        <v>14607000</v>
      </c>
      <c r="F4537" s="30" t="n">
        <v>265.1</v>
      </c>
      <c r="G4537" s="31" t="n">
        <f aca="false">IFERROR(F4537/D4537,0)</f>
        <v>10.604</v>
      </c>
    </row>
    <row r="4538" customFormat="false" ht="15" hidden="false" customHeight="false" outlineLevel="0" collapsed="false">
      <c r="A4538" s="28" t="n">
        <v>2025</v>
      </c>
      <c r="B4538" s="28" t="s">
        <v>76</v>
      </c>
      <c r="C4538" s="28" t="s">
        <v>46</v>
      </c>
      <c r="D4538" s="28" t="n">
        <v>45</v>
      </c>
      <c r="E4538" s="29" t="n">
        <v>24476900</v>
      </c>
      <c r="F4538" s="30" t="n">
        <v>455.999</v>
      </c>
      <c r="G4538" s="31" t="n">
        <f aca="false">IFERROR(F4538/D4538,0)</f>
        <v>10.1333111111111</v>
      </c>
    </row>
    <row r="4539" customFormat="false" ht="15" hidden="false" customHeight="false" outlineLevel="0" collapsed="false">
      <c r="A4539" s="28" t="n">
        <v>2025</v>
      </c>
      <c r="B4539" s="28" t="s">
        <v>76</v>
      </c>
      <c r="C4539" s="28" t="s">
        <v>48</v>
      </c>
      <c r="D4539" s="28" t="n">
        <v>32</v>
      </c>
      <c r="E4539" s="29" t="n">
        <v>18904100</v>
      </c>
      <c r="F4539" s="30" t="n">
        <v>344.78</v>
      </c>
      <c r="G4539" s="31" t="n">
        <f aca="false">IFERROR(F4539/D4539,0)</f>
        <v>10.774375</v>
      </c>
    </row>
    <row r="4540" customFormat="false" ht="15" hidden="false" customHeight="false" outlineLevel="0" collapsed="false">
      <c r="A4540" s="28" t="n">
        <v>2025</v>
      </c>
      <c r="B4540" s="28" t="s">
        <v>76</v>
      </c>
      <c r="C4540" s="28" t="s">
        <v>53</v>
      </c>
      <c r="D4540" s="28" t="n">
        <v>14</v>
      </c>
      <c r="E4540" s="29" t="n">
        <v>10661700</v>
      </c>
      <c r="F4540" s="30" t="n">
        <v>147.4</v>
      </c>
      <c r="G4540" s="31" t="n">
        <f aca="false">IFERROR(F4540/D4540,0)</f>
        <v>10.5285714285714</v>
      </c>
    </row>
    <row r="4541" customFormat="false" ht="15" hidden="false" customHeight="false" outlineLevel="0" collapsed="false">
      <c r="A4541" s="28" t="n">
        <v>2025</v>
      </c>
      <c r="B4541" s="28" t="s">
        <v>76</v>
      </c>
      <c r="C4541" s="28" t="s">
        <v>43</v>
      </c>
      <c r="D4541" s="28" t="n">
        <v>57</v>
      </c>
      <c r="E4541" s="29" t="n">
        <v>32029800</v>
      </c>
      <c r="F4541" s="30" t="n">
        <v>581.519</v>
      </c>
      <c r="G4541" s="31" t="n">
        <f aca="false">IFERROR(F4541/D4541,0)</f>
        <v>10.2020877192982</v>
      </c>
    </row>
    <row r="4542" customFormat="false" ht="15" hidden="false" customHeight="false" outlineLevel="0" collapsed="false">
      <c r="A4542" s="28" t="n">
        <v>2025</v>
      </c>
      <c r="B4542" s="28" t="s">
        <v>76</v>
      </c>
      <c r="C4542" s="28" t="s">
        <v>52</v>
      </c>
      <c r="D4542" s="28" t="n">
        <v>22</v>
      </c>
      <c r="E4542" s="29" t="n">
        <v>3721100</v>
      </c>
      <c r="F4542" s="30" t="n">
        <v>247.3</v>
      </c>
      <c r="G4542" s="31" t="n">
        <f aca="false">IFERROR(F4542/D4542,0)</f>
        <v>11.2409090909091</v>
      </c>
    </row>
    <row r="4543" customFormat="false" ht="15" hidden="false" customHeight="false" outlineLevel="0" collapsed="false">
      <c r="A4543" s="28" t="n">
        <v>2025</v>
      </c>
      <c r="B4543" s="28" t="s">
        <v>76</v>
      </c>
      <c r="C4543" s="28" t="s">
        <v>49</v>
      </c>
      <c r="D4543" s="28" t="n">
        <v>17</v>
      </c>
      <c r="E4543" s="29" t="n">
        <v>8188000</v>
      </c>
      <c r="F4543" s="30" t="n">
        <v>167.249</v>
      </c>
      <c r="G4543" s="31" t="n">
        <f aca="false">IFERROR(F4543/D4543,0)</f>
        <v>9.83817647058824</v>
      </c>
    </row>
    <row r="4544" customFormat="false" ht="15" hidden="false" customHeight="false" outlineLevel="0" collapsed="false">
      <c r="A4544" s="28" t="n">
        <v>2025</v>
      </c>
      <c r="B4544" s="28" t="s">
        <v>78</v>
      </c>
      <c r="C4544" s="28" t="s">
        <v>42</v>
      </c>
      <c r="D4544" s="28" t="n">
        <v>39</v>
      </c>
      <c r="E4544" s="29" t="n">
        <v>19939400</v>
      </c>
      <c r="F4544" s="30" t="n">
        <v>393.46</v>
      </c>
      <c r="G4544" s="31" t="n">
        <f aca="false">IFERROR(F4544/D4544,0)</f>
        <v>10.0887179487179</v>
      </c>
    </row>
    <row r="4545" customFormat="false" ht="15" hidden="false" customHeight="false" outlineLevel="0" collapsed="false">
      <c r="A4545" s="28" t="n">
        <v>2025</v>
      </c>
      <c r="B4545" s="28" t="s">
        <v>78</v>
      </c>
      <c r="C4545" s="28" t="s">
        <v>50</v>
      </c>
      <c r="D4545" s="28" t="n">
        <v>11</v>
      </c>
      <c r="E4545" s="29" t="n">
        <v>4662600</v>
      </c>
      <c r="F4545" s="30" t="n">
        <v>108.49</v>
      </c>
      <c r="G4545" s="31" t="n">
        <f aca="false">IFERROR(F4545/D4545,0)</f>
        <v>9.86272727272727</v>
      </c>
    </row>
    <row r="4546" customFormat="false" ht="15" hidden="false" customHeight="false" outlineLevel="0" collapsed="false">
      <c r="A4546" s="28" t="n">
        <v>2025</v>
      </c>
      <c r="B4546" s="28" t="s">
        <v>78</v>
      </c>
      <c r="C4546" s="28" t="s">
        <v>55</v>
      </c>
      <c r="D4546" s="28" t="n">
        <v>45</v>
      </c>
      <c r="E4546" s="29" t="n">
        <v>48508300</v>
      </c>
      <c r="F4546" s="30" t="n">
        <v>398.74</v>
      </c>
      <c r="G4546" s="31" t="n">
        <f aca="false">IFERROR(F4546/D4546,0)</f>
        <v>8.86088888888889</v>
      </c>
    </row>
    <row r="4547" customFormat="false" ht="15" hidden="false" customHeight="false" outlineLevel="0" collapsed="false">
      <c r="A4547" s="28" t="n">
        <v>2025</v>
      </c>
      <c r="B4547" s="28" t="s">
        <v>78</v>
      </c>
      <c r="C4547" s="28" t="s">
        <v>51</v>
      </c>
      <c r="D4547" s="28" t="n">
        <v>10</v>
      </c>
      <c r="E4547" s="29" t="n">
        <v>5775800</v>
      </c>
      <c r="F4547" s="30" t="n">
        <v>91.44</v>
      </c>
      <c r="G4547" s="31" t="n">
        <f aca="false">IFERROR(F4547/D4547,0)</f>
        <v>9.144</v>
      </c>
    </row>
    <row r="4548" customFormat="false" ht="15" hidden="false" customHeight="false" outlineLevel="0" collapsed="false">
      <c r="A4548" s="28" t="n">
        <v>2025</v>
      </c>
      <c r="B4548" s="28" t="s">
        <v>78</v>
      </c>
      <c r="C4548" s="28" t="s">
        <v>45</v>
      </c>
      <c r="D4548" s="28" t="n">
        <v>41</v>
      </c>
      <c r="E4548" s="29" t="n">
        <v>15925300</v>
      </c>
      <c r="F4548" s="30" t="n">
        <v>419.91</v>
      </c>
      <c r="G4548" s="31" t="n">
        <f aca="false">IFERROR(F4548/D4548,0)</f>
        <v>10.2417073170732</v>
      </c>
    </row>
    <row r="4549" customFormat="false" ht="15" hidden="false" customHeight="false" outlineLevel="0" collapsed="false">
      <c r="A4549" s="28" t="n">
        <v>2025</v>
      </c>
      <c r="B4549" s="28" t="s">
        <v>78</v>
      </c>
      <c r="C4549" s="28" t="s">
        <v>56</v>
      </c>
      <c r="D4549" s="28" t="n">
        <v>3</v>
      </c>
      <c r="E4549" s="29" t="n">
        <v>2255600</v>
      </c>
      <c r="F4549" s="30" t="n">
        <v>28</v>
      </c>
      <c r="G4549" s="31" t="n">
        <f aca="false">IFERROR(F4549/D4549,0)</f>
        <v>9.33333333333333</v>
      </c>
    </row>
    <row r="4550" customFormat="false" ht="15" hidden="false" customHeight="false" outlineLevel="0" collapsed="false">
      <c r="A4550" s="28" t="n">
        <v>2025</v>
      </c>
      <c r="B4550" s="28" t="s">
        <v>78</v>
      </c>
      <c r="C4550" s="28" t="s">
        <v>54</v>
      </c>
      <c r="D4550" s="28" t="n">
        <v>6</v>
      </c>
      <c r="E4550" s="29" t="n">
        <v>757800</v>
      </c>
      <c r="F4550" s="30" t="n">
        <v>71.24</v>
      </c>
      <c r="G4550" s="31" t="n">
        <f aca="false">IFERROR(F4550/D4550,0)</f>
        <v>11.8733333333333</v>
      </c>
    </row>
    <row r="4551" customFormat="false" ht="15" hidden="false" customHeight="false" outlineLevel="0" collapsed="false">
      <c r="A4551" s="28" t="n">
        <v>2025</v>
      </c>
      <c r="B4551" s="28" t="s">
        <v>78</v>
      </c>
      <c r="C4551" s="28" t="s">
        <v>44</v>
      </c>
      <c r="D4551" s="28" t="n">
        <v>39</v>
      </c>
      <c r="E4551" s="29" t="n">
        <v>17471800</v>
      </c>
      <c r="F4551" s="30" t="n">
        <v>368.35</v>
      </c>
      <c r="G4551" s="31" t="n">
        <f aca="false">IFERROR(F4551/D4551,0)</f>
        <v>9.4448717948718</v>
      </c>
    </row>
    <row r="4552" customFormat="false" ht="15" hidden="false" customHeight="false" outlineLevel="0" collapsed="false">
      <c r="A4552" s="28" t="n">
        <v>2025</v>
      </c>
      <c r="B4552" s="28" t="s">
        <v>78</v>
      </c>
      <c r="C4552" s="28" t="s">
        <v>57</v>
      </c>
      <c r="D4552" s="28" t="n">
        <v>1</v>
      </c>
      <c r="E4552" s="29" t="n">
        <v>202300</v>
      </c>
      <c r="F4552" s="30" t="n">
        <v>10.25</v>
      </c>
      <c r="G4552" s="31" t="n">
        <f aca="false">IFERROR(F4552/D4552,0)</f>
        <v>10.25</v>
      </c>
    </row>
    <row r="4553" customFormat="false" ht="15" hidden="false" customHeight="false" outlineLevel="0" collapsed="false">
      <c r="A4553" s="28" t="n">
        <v>2025</v>
      </c>
      <c r="B4553" s="28" t="s">
        <v>78</v>
      </c>
      <c r="C4553" s="28" t="s">
        <v>47</v>
      </c>
      <c r="D4553" s="28" t="n">
        <v>16</v>
      </c>
      <c r="E4553" s="29" t="n">
        <v>9265500</v>
      </c>
      <c r="F4553" s="30" t="n">
        <v>147.75</v>
      </c>
      <c r="G4553" s="31" t="n">
        <f aca="false">IFERROR(F4553/D4553,0)</f>
        <v>9.234375</v>
      </c>
    </row>
    <row r="4554" customFormat="false" ht="15" hidden="false" customHeight="false" outlineLevel="0" collapsed="false">
      <c r="A4554" s="28" t="n">
        <v>2025</v>
      </c>
      <c r="B4554" s="28" t="s">
        <v>78</v>
      </c>
      <c r="C4554" s="28" t="s">
        <v>58</v>
      </c>
      <c r="D4554" s="28" t="n">
        <v>1</v>
      </c>
      <c r="E4554" s="29" t="n">
        <v>147000</v>
      </c>
      <c r="F4554" s="30" t="n">
        <v>10.25</v>
      </c>
      <c r="G4554" s="31" t="n">
        <f aca="false">IFERROR(F4554/D4554,0)</f>
        <v>10.25</v>
      </c>
    </row>
    <row r="4555" customFormat="false" ht="15" hidden="false" customHeight="false" outlineLevel="0" collapsed="false">
      <c r="A4555" s="28" t="n">
        <v>2025</v>
      </c>
      <c r="B4555" s="28" t="s">
        <v>78</v>
      </c>
      <c r="C4555" s="28" t="s">
        <v>46</v>
      </c>
      <c r="D4555" s="28" t="n">
        <v>33</v>
      </c>
      <c r="E4555" s="29" t="n">
        <v>14814200</v>
      </c>
      <c r="F4555" s="30" t="n">
        <v>324.15</v>
      </c>
      <c r="G4555" s="31" t="n">
        <f aca="false">IFERROR(F4555/D4555,0)</f>
        <v>9.82272727272727</v>
      </c>
    </row>
    <row r="4556" customFormat="false" ht="15" hidden="false" customHeight="false" outlineLevel="0" collapsed="false">
      <c r="A4556" s="28" t="n">
        <v>2025</v>
      </c>
      <c r="B4556" s="28" t="s">
        <v>78</v>
      </c>
      <c r="C4556" s="28" t="s">
        <v>48</v>
      </c>
      <c r="D4556" s="28" t="n">
        <v>21</v>
      </c>
      <c r="E4556" s="29" t="n">
        <v>4948000</v>
      </c>
      <c r="F4556" s="30" t="n">
        <v>215.22</v>
      </c>
      <c r="G4556" s="31" t="n">
        <f aca="false">IFERROR(F4556/D4556,0)</f>
        <v>10.2485714285714</v>
      </c>
    </row>
    <row r="4557" customFormat="false" ht="15" hidden="false" customHeight="false" outlineLevel="0" collapsed="false">
      <c r="A4557" s="28" t="n">
        <v>2025</v>
      </c>
      <c r="B4557" s="28" t="s">
        <v>78</v>
      </c>
      <c r="C4557" s="28" t="s">
        <v>61</v>
      </c>
      <c r="D4557" s="28" t="n">
        <v>1</v>
      </c>
      <c r="E4557" s="29" t="n">
        <v>143000</v>
      </c>
      <c r="F4557" s="30" t="n">
        <v>9.2</v>
      </c>
      <c r="G4557" s="31" t="n">
        <f aca="false">IFERROR(F4557/D4557,0)</f>
        <v>9.2</v>
      </c>
    </row>
    <row r="4558" customFormat="false" ht="15" hidden="false" customHeight="false" outlineLevel="0" collapsed="false">
      <c r="A4558" s="28" t="n">
        <v>2025</v>
      </c>
      <c r="B4558" s="28" t="s">
        <v>78</v>
      </c>
      <c r="C4558" s="28" t="s">
        <v>53</v>
      </c>
      <c r="D4558" s="28" t="n">
        <v>4</v>
      </c>
      <c r="E4558" s="29" t="n">
        <v>2954000</v>
      </c>
      <c r="F4558" s="30" t="n">
        <v>35.25</v>
      </c>
      <c r="G4558" s="31" t="n">
        <f aca="false">IFERROR(F4558/D4558,0)</f>
        <v>8.8125</v>
      </c>
    </row>
    <row r="4559" customFormat="false" ht="15" hidden="false" customHeight="false" outlineLevel="0" collapsed="false">
      <c r="A4559" s="28" t="n">
        <v>2025</v>
      </c>
      <c r="B4559" s="28" t="s">
        <v>78</v>
      </c>
      <c r="C4559" s="28" t="s">
        <v>43</v>
      </c>
      <c r="D4559" s="28" t="n">
        <v>46</v>
      </c>
      <c r="E4559" s="29" t="n">
        <v>47209800</v>
      </c>
      <c r="F4559" s="30" t="n">
        <v>439.88</v>
      </c>
      <c r="G4559" s="31" t="n">
        <f aca="false">IFERROR(F4559/D4559,0)</f>
        <v>9.56260869565217</v>
      </c>
    </row>
    <row r="4560" customFormat="false" ht="15" hidden="false" customHeight="false" outlineLevel="0" collapsed="false">
      <c r="A4560" s="28" t="n">
        <v>2025</v>
      </c>
      <c r="B4560" s="28" t="s">
        <v>78</v>
      </c>
      <c r="C4560" s="28" t="s">
        <v>52</v>
      </c>
      <c r="D4560" s="28" t="n">
        <v>10</v>
      </c>
      <c r="E4560" s="29" t="n">
        <v>9961200</v>
      </c>
      <c r="F4560" s="30" t="n">
        <v>101.45</v>
      </c>
      <c r="G4560" s="31" t="n">
        <f aca="false">IFERROR(F4560/D4560,0)</f>
        <v>10.145</v>
      </c>
    </row>
    <row r="4561" customFormat="false" ht="15" hidden="false" customHeight="false" outlineLevel="0" collapsed="false">
      <c r="A4561" s="28" t="n">
        <v>2025</v>
      </c>
      <c r="B4561" s="28" t="s">
        <v>78</v>
      </c>
      <c r="C4561" s="28" t="s">
        <v>49</v>
      </c>
      <c r="D4561" s="28" t="n">
        <v>6</v>
      </c>
      <c r="E4561" s="29" t="n">
        <v>11137300</v>
      </c>
      <c r="F4561" s="30" t="n">
        <v>60.59</v>
      </c>
      <c r="G4561" s="31" t="n">
        <f aca="false">IFERROR(F4561/D4561,0)</f>
        <v>10.0983333333333</v>
      </c>
    </row>
    <row r="4562" customFormat="false" ht="15" hidden="false" customHeight="false" outlineLevel="0" collapsed="false">
      <c r="A4562" s="28" t="n">
        <v>2025</v>
      </c>
      <c r="B4562" s="28" t="s">
        <v>80</v>
      </c>
      <c r="C4562" s="28" t="s">
        <v>42</v>
      </c>
      <c r="D4562" s="28" t="n">
        <v>152</v>
      </c>
      <c r="E4562" s="29" t="n">
        <v>97086000</v>
      </c>
      <c r="F4562" s="30" t="n">
        <v>1506.565</v>
      </c>
      <c r="G4562" s="31" t="n">
        <f aca="false">IFERROR(F4562/D4562,0)</f>
        <v>9.91161184210526</v>
      </c>
    </row>
    <row r="4563" customFormat="false" ht="15" hidden="false" customHeight="false" outlineLevel="0" collapsed="false">
      <c r="A4563" s="28" t="n">
        <v>2025</v>
      </c>
      <c r="B4563" s="28" t="s">
        <v>80</v>
      </c>
      <c r="C4563" s="28" t="s">
        <v>50</v>
      </c>
      <c r="D4563" s="28" t="n">
        <v>90</v>
      </c>
      <c r="E4563" s="29" t="n">
        <v>35584100</v>
      </c>
      <c r="F4563" s="30" t="n">
        <v>924.66</v>
      </c>
      <c r="G4563" s="31" t="n">
        <f aca="false">IFERROR(F4563/D4563,0)</f>
        <v>10.274</v>
      </c>
    </row>
    <row r="4564" customFormat="false" ht="15" hidden="false" customHeight="false" outlineLevel="0" collapsed="false">
      <c r="A4564" s="28" t="n">
        <v>2025</v>
      </c>
      <c r="B4564" s="28" t="s">
        <v>80</v>
      </c>
      <c r="C4564" s="28" t="s">
        <v>55</v>
      </c>
      <c r="D4564" s="28" t="n">
        <v>7</v>
      </c>
      <c r="E4564" s="29" t="n">
        <v>1397600</v>
      </c>
      <c r="F4564" s="30" t="n">
        <v>72</v>
      </c>
      <c r="G4564" s="31" t="n">
        <f aca="false">IFERROR(F4564/D4564,0)</f>
        <v>10.2857142857143</v>
      </c>
    </row>
    <row r="4565" customFormat="false" ht="15" hidden="false" customHeight="false" outlineLevel="0" collapsed="false">
      <c r="A4565" s="28" t="n">
        <v>2025</v>
      </c>
      <c r="B4565" s="28" t="s">
        <v>80</v>
      </c>
      <c r="C4565" s="28" t="s">
        <v>51</v>
      </c>
      <c r="D4565" s="28" t="n">
        <v>57</v>
      </c>
      <c r="E4565" s="29" t="n">
        <v>24488000</v>
      </c>
      <c r="F4565" s="30" t="n">
        <v>597.15</v>
      </c>
      <c r="G4565" s="31" t="n">
        <f aca="false">IFERROR(F4565/D4565,0)</f>
        <v>10.4763157894737</v>
      </c>
    </row>
    <row r="4566" customFormat="false" ht="15" hidden="false" customHeight="false" outlineLevel="0" collapsed="false">
      <c r="A4566" s="28" t="n">
        <v>2025</v>
      </c>
      <c r="B4566" s="28" t="s">
        <v>80</v>
      </c>
      <c r="C4566" s="28" t="s">
        <v>45</v>
      </c>
      <c r="D4566" s="28" t="n">
        <v>192</v>
      </c>
      <c r="E4566" s="29" t="n">
        <v>105045600</v>
      </c>
      <c r="F4566" s="30" t="n">
        <v>1970.18</v>
      </c>
      <c r="G4566" s="31" t="n">
        <f aca="false">IFERROR(F4566/D4566,0)</f>
        <v>10.2613541666667</v>
      </c>
    </row>
    <row r="4567" customFormat="false" ht="15" hidden="false" customHeight="false" outlineLevel="0" collapsed="false">
      <c r="A4567" s="28" t="n">
        <v>2025</v>
      </c>
      <c r="B4567" s="28" t="s">
        <v>80</v>
      </c>
      <c r="C4567" s="28" t="s">
        <v>56</v>
      </c>
      <c r="D4567" s="28" t="n">
        <v>37</v>
      </c>
      <c r="E4567" s="29" t="n">
        <v>27387900</v>
      </c>
      <c r="F4567" s="30" t="n">
        <v>392.03</v>
      </c>
      <c r="G4567" s="31" t="n">
        <f aca="false">IFERROR(F4567/D4567,0)</f>
        <v>10.5954054054054</v>
      </c>
    </row>
    <row r="4568" customFormat="false" ht="15" hidden="false" customHeight="false" outlineLevel="0" collapsed="false">
      <c r="A4568" s="28" t="n">
        <v>2025</v>
      </c>
      <c r="B4568" s="28" t="s">
        <v>80</v>
      </c>
      <c r="C4568" s="28" t="s">
        <v>54</v>
      </c>
      <c r="D4568" s="28" t="n">
        <v>18</v>
      </c>
      <c r="E4568" s="29" t="n">
        <v>8818300</v>
      </c>
      <c r="F4568" s="30" t="n">
        <v>183.19</v>
      </c>
      <c r="G4568" s="31" t="n">
        <f aca="false">IFERROR(F4568/D4568,0)</f>
        <v>10.1772222222222</v>
      </c>
    </row>
    <row r="4569" customFormat="false" ht="15" hidden="false" customHeight="false" outlineLevel="0" collapsed="false">
      <c r="A4569" s="28" t="n">
        <v>2025</v>
      </c>
      <c r="B4569" s="28" t="s">
        <v>80</v>
      </c>
      <c r="C4569" s="28" t="s">
        <v>44</v>
      </c>
      <c r="D4569" s="28" t="n">
        <v>168</v>
      </c>
      <c r="E4569" s="29" t="n">
        <v>99659200</v>
      </c>
      <c r="F4569" s="30" t="n">
        <v>1604.57</v>
      </c>
      <c r="G4569" s="31" t="n">
        <f aca="false">IFERROR(F4569/D4569,0)</f>
        <v>9.5510119047619</v>
      </c>
    </row>
    <row r="4570" customFormat="false" ht="15" hidden="false" customHeight="false" outlineLevel="0" collapsed="false">
      <c r="A4570" s="28" t="n">
        <v>2025</v>
      </c>
      <c r="B4570" s="28" t="s">
        <v>80</v>
      </c>
      <c r="C4570" s="28" t="s">
        <v>57</v>
      </c>
      <c r="D4570" s="28" t="n">
        <v>8</v>
      </c>
      <c r="E4570" s="29" t="n">
        <v>4229900</v>
      </c>
      <c r="F4570" s="30" t="n">
        <v>85.85</v>
      </c>
      <c r="G4570" s="31" t="n">
        <f aca="false">IFERROR(F4570/D4570,0)</f>
        <v>10.73125</v>
      </c>
    </row>
    <row r="4571" customFormat="false" ht="15" hidden="false" customHeight="false" outlineLevel="0" collapsed="false">
      <c r="A4571" s="28" t="n">
        <v>2025</v>
      </c>
      <c r="B4571" s="28" t="s">
        <v>80</v>
      </c>
      <c r="C4571" s="28" t="s">
        <v>59</v>
      </c>
      <c r="D4571" s="28" t="n">
        <v>1</v>
      </c>
      <c r="E4571" s="29" t="n">
        <v>742100</v>
      </c>
      <c r="F4571" s="30" t="n">
        <v>7.25</v>
      </c>
      <c r="G4571" s="31" t="n">
        <f aca="false">IFERROR(F4571/D4571,0)</f>
        <v>7.25</v>
      </c>
    </row>
    <row r="4572" customFormat="false" ht="15" hidden="false" customHeight="false" outlineLevel="0" collapsed="false">
      <c r="A4572" s="28" t="n">
        <v>2025</v>
      </c>
      <c r="B4572" s="28" t="s">
        <v>80</v>
      </c>
      <c r="C4572" s="28" t="s">
        <v>47</v>
      </c>
      <c r="D4572" s="28" t="n">
        <v>70</v>
      </c>
      <c r="E4572" s="29" t="n">
        <v>47430800</v>
      </c>
      <c r="F4572" s="30" t="n">
        <v>707.28</v>
      </c>
      <c r="G4572" s="31" t="n">
        <f aca="false">IFERROR(F4572/D4572,0)</f>
        <v>10.104</v>
      </c>
    </row>
    <row r="4573" customFormat="false" ht="15" hidden="false" customHeight="false" outlineLevel="0" collapsed="false">
      <c r="A4573" s="28" t="n">
        <v>2025</v>
      </c>
      <c r="B4573" s="28" t="s">
        <v>80</v>
      </c>
      <c r="C4573" s="28" t="s">
        <v>46</v>
      </c>
      <c r="D4573" s="28" t="n">
        <v>154</v>
      </c>
      <c r="E4573" s="29" t="n">
        <v>71863100</v>
      </c>
      <c r="F4573" s="30" t="n">
        <v>1601.73</v>
      </c>
      <c r="G4573" s="31" t="n">
        <f aca="false">IFERROR(F4573/D4573,0)</f>
        <v>10.4008441558442</v>
      </c>
    </row>
    <row r="4574" customFormat="false" ht="15" hidden="false" customHeight="false" outlineLevel="0" collapsed="false">
      <c r="A4574" s="28" t="n">
        <v>2025</v>
      </c>
      <c r="B4574" s="28" t="s">
        <v>80</v>
      </c>
      <c r="C4574" s="28" t="s">
        <v>48</v>
      </c>
      <c r="D4574" s="28" t="n">
        <v>139</v>
      </c>
      <c r="E4574" s="29" t="n">
        <v>62665300</v>
      </c>
      <c r="F4574" s="30" t="n">
        <v>1456.66</v>
      </c>
      <c r="G4574" s="31" t="n">
        <f aca="false">IFERROR(F4574/D4574,0)</f>
        <v>10.4795683453237</v>
      </c>
    </row>
    <row r="4575" customFormat="false" ht="15" hidden="false" customHeight="false" outlineLevel="0" collapsed="false">
      <c r="A4575" s="28" t="n">
        <v>2025</v>
      </c>
      <c r="B4575" s="28" t="s">
        <v>80</v>
      </c>
      <c r="C4575" s="28" t="s">
        <v>61</v>
      </c>
      <c r="D4575" s="28" t="n">
        <v>1</v>
      </c>
      <c r="E4575" s="29" t="n">
        <v>368000</v>
      </c>
      <c r="F4575" s="30" t="n">
        <v>10.75</v>
      </c>
      <c r="G4575" s="31" t="n">
        <f aca="false">IFERROR(F4575/D4575,0)</f>
        <v>10.75</v>
      </c>
    </row>
    <row r="4576" customFormat="false" ht="15" hidden="false" customHeight="false" outlineLevel="0" collapsed="false">
      <c r="A4576" s="28" t="n">
        <v>2025</v>
      </c>
      <c r="B4576" s="28" t="s">
        <v>80</v>
      </c>
      <c r="C4576" s="28" t="s">
        <v>53</v>
      </c>
      <c r="D4576" s="28" t="n">
        <v>46</v>
      </c>
      <c r="E4576" s="29" t="n">
        <v>23923400</v>
      </c>
      <c r="F4576" s="30" t="n">
        <v>474.42</v>
      </c>
      <c r="G4576" s="31" t="n">
        <f aca="false">IFERROR(F4576/D4576,0)</f>
        <v>10.3134782608696</v>
      </c>
    </row>
    <row r="4577" customFormat="false" ht="15" hidden="false" customHeight="false" outlineLevel="0" collapsed="false">
      <c r="A4577" s="28" t="n">
        <v>2025</v>
      </c>
      <c r="B4577" s="28" t="s">
        <v>80</v>
      </c>
      <c r="C4577" s="28" t="s">
        <v>43</v>
      </c>
      <c r="D4577" s="28" t="n">
        <v>137</v>
      </c>
      <c r="E4577" s="29" t="n">
        <v>84549400</v>
      </c>
      <c r="F4577" s="30" t="n">
        <v>1365.73</v>
      </c>
      <c r="G4577" s="31" t="n">
        <f aca="false">IFERROR(F4577/D4577,0)</f>
        <v>9.96883211678832</v>
      </c>
    </row>
    <row r="4578" customFormat="false" ht="15" hidden="false" customHeight="false" outlineLevel="0" collapsed="false">
      <c r="A4578" s="28" t="n">
        <v>2025</v>
      </c>
      <c r="B4578" s="28" t="s">
        <v>80</v>
      </c>
      <c r="C4578" s="28" t="s">
        <v>52</v>
      </c>
      <c r="D4578" s="28" t="n">
        <v>43</v>
      </c>
      <c r="E4578" s="29" t="n">
        <v>17797100</v>
      </c>
      <c r="F4578" s="30" t="n">
        <v>477.565</v>
      </c>
      <c r="G4578" s="31" t="n">
        <f aca="false">IFERROR(F4578/D4578,0)</f>
        <v>11.1061627906977</v>
      </c>
    </row>
    <row r="4579" customFormat="false" ht="15" hidden="false" customHeight="false" outlineLevel="0" collapsed="false">
      <c r="A4579" s="28" t="n">
        <v>2025</v>
      </c>
      <c r="B4579" s="28" t="s">
        <v>80</v>
      </c>
      <c r="C4579" s="28" t="s">
        <v>60</v>
      </c>
      <c r="D4579" s="28" t="n">
        <v>7</v>
      </c>
      <c r="E4579" s="29" t="n">
        <v>3516000</v>
      </c>
      <c r="F4579" s="30" t="n">
        <v>66.5</v>
      </c>
      <c r="G4579" s="31" t="n">
        <f aca="false">IFERROR(F4579/D4579,0)</f>
        <v>9.5</v>
      </c>
    </row>
    <row r="4580" customFormat="false" ht="15" hidden="false" customHeight="false" outlineLevel="0" collapsed="false">
      <c r="A4580" s="28" t="n">
        <v>2025</v>
      </c>
      <c r="B4580" s="28" t="s">
        <v>80</v>
      </c>
      <c r="C4580" s="28" t="s">
        <v>49</v>
      </c>
      <c r="D4580" s="28" t="n">
        <v>40</v>
      </c>
      <c r="E4580" s="29" t="n">
        <v>31976500</v>
      </c>
      <c r="F4580" s="30" t="n">
        <v>390.51</v>
      </c>
      <c r="G4580" s="31" t="n">
        <f aca="false">IFERROR(F4580/D4580,0)</f>
        <v>9.76275</v>
      </c>
    </row>
    <row r="4581" customFormat="false" ht="15" hidden="false" customHeight="false" outlineLevel="0" collapsed="false">
      <c r="A4581" s="28" t="n">
        <v>2025</v>
      </c>
      <c r="B4581" s="28" t="s">
        <v>75</v>
      </c>
      <c r="C4581" s="28" t="s">
        <v>42</v>
      </c>
      <c r="D4581" s="28" t="n">
        <v>914</v>
      </c>
      <c r="E4581" s="29" t="n">
        <v>542617900</v>
      </c>
      <c r="F4581" s="30" t="n">
        <v>9245.525</v>
      </c>
      <c r="G4581" s="31" t="n">
        <f aca="false">IFERROR(F4581/D4581,0)</f>
        <v>10.11545404814</v>
      </c>
    </row>
    <row r="4582" customFormat="false" ht="15" hidden="false" customHeight="false" outlineLevel="0" collapsed="false">
      <c r="A4582" s="28" t="n">
        <v>2025</v>
      </c>
      <c r="B4582" s="28" t="s">
        <v>75</v>
      </c>
      <c r="C4582" s="28" t="s">
        <v>50</v>
      </c>
      <c r="D4582" s="28" t="n">
        <v>378</v>
      </c>
      <c r="E4582" s="29" t="n">
        <v>138814900</v>
      </c>
      <c r="F4582" s="30" t="n">
        <v>3988.5</v>
      </c>
      <c r="G4582" s="31" t="n">
        <f aca="false">IFERROR(F4582/D4582,0)</f>
        <v>10.5515873015873</v>
      </c>
    </row>
    <row r="4583" customFormat="false" ht="15" hidden="false" customHeight="false" outlineLevel="0" collapsed="false">
      <c r="A4583" s="28" t="n">
        <v>2025</v>
      </c>
      <c r="B4583" s="28" t="s">
        <v>75</v>
      </c>
      <c r="C4583" s="28" t="s">
        <v>55</v>
      </c>
      <c r="D4583" s="28" t="n">
        <v>36</v>
      </c>
      <c r="E4583" s="29" t="n">
        <v>15178800</v>
      </c>
      <c r="F4583" s="30" t="n">
        <v>370.84</v>
      </c>
      <c r="G4583" s="31" t="n">
        <f aca="false">IFERROR(F4583/D4583,0)</f>
        <v>10.3011111111111</v>
      </c>
    </row>
    <row r="4584" customFormat="false" ht="15" hidden="false" customHeight="false" outlineLevel="0" collapsed="false">
      <c r="A4584" s="28" t="n">
        <v>2025</v>
      </c>
      <c r="B4584" s="28" t="s">
        <v>75</v>
      </c>
      <c r="C4584" s="28" t="s">
        <v>51</v>
      </c>
      <c r="D4584" s="28" t="n">
        <v>293</v>
      </c>
      <c r="E4584" s="29" t="n">
        <v>150455200</v>
      </c>
      <c r="F4584" s="30" t="n">
        <v>3077.446</v>
      </c>
      <c r="G4584" s="31" t="n">
        <f aca="false">IFERROR(F4584/D4584,0)</f>
        <v>10.503228668942</v>
      </c>
    </row>
    <row r="4585" customFormat="false" ht="15" hidden="false" customHeight="false" outlineLevel="0" collapsed="false">
      <c r="A4585" s="28" t="n">
        <v>2025</v>
      </c>
      <c r="B4585" s="28" t="s">
        <v>75</v>
      </c>
      <c r="C4585" s="28" t="s">
        <v>45</v>
      </c>
      <c r="D4585" s="28" t="n">
        <v>964</v>
      </c>
      <c r="E4585" s="29" t="n">
        <v>357555000</v>
      </c>
      <c r="F4585" s="30" t="n">
        <v>10319.535</v>
      </c>
      <c r="G4585" s="31" t="n">
        <f aca="false">IFERROR(F4585/D4585,0)</f>
        <v>10.7049118257261</v>
      </c>
    </row>
    <row r="4586" customFormat="false" ht="15" hidden="false" customHeight="false" outlineLevel="0" collapsed="false">
      <c r="A4586" s="28" t="n">
        <v>2025</v>
      </c>
      <c r="B4586" s="28" t="s">
        <v>75</v>
      </c>
      <c r="C4586" s="28" t="s">
        <v>56</v>
      </c>
      <c r="D4586" s="28" t="n">
        <v>139</v>
      </c>
      <c r="E4586" s="29" t="n">
        <v>65331400</v>
      </c>
      <c r="F4586" s="30" t="n">
        <v>1489.4</v>
      </c>
      <c r="G4586" s="31" t="n">
        <f aca="false">IFERROR(F4586/D4586,0)</f>
        <v>10.7151079136691</v>
      </c>
    </row>
    <row r="4587" customFormat="false" ht="15" hidden="false" customHeight="false" outlineLevel="0" collapsed="false">
      <c r="A4587" s="28" t="n">
        <v>2025</v>
      </c>
      <c r="B4587" s="28" t="s">
        <v>75</v>
      </c>
      <c r="C4587" s="28" t="s">
        <v>54</v>
      </c>
      <c r="D4587" s="28" t="n">
        <v>106</v>
      </c>
      <c r="E4587" s="29" t="n">
        <v>51031400</v>
      </c>
      <c r="F4587" s="30" t="n">
        <v>1088.89</v>
      </c>
      <c r="G4587" s="31" t="n">
        <f aca="false">IFERROR(F4587/D4587,0)</f>
        <v>10.2725471698113</v>
      </c>
    </row>
    <row r="4588" customFormat="false" ht="15" hidden="false" customHeight="false" outlineLevel="0" collapsed="false">
      <c r="A4588" s="28" t="n">
        <v>2025</v>
      </c>
      <c r="B4588" s="28" t="s">
        <v>75</v>
      </c>
      <c r="C4588" s="28" t="s">
        <v>44</v>
      </c>
      <c r="D4588" s="28" t="n">
        <v>804</v>
      </c>
      <c r="E4588" s="29" t="n">
        <v>526309900</v>
      </c>
      <c r="F4588" s="30" t="n">
        <v>8093.175</v>
      </c>
      <c r="G4588" s="31" t="n">
        <f aca="false">IFERROR(F4588/D4588,0)</f>
        <v>10.0661380597015</v>
      </c>
    </row>
    <row r="4589" customFormat="false" ht="15" hidden="false" customHeight="false" outlineLevel="0" collapsed="false">
      <c r="A4589" s="28" t="n">
        <v>2025</v>
      </c>
      <c r="B4589" s="28" t="s">
        <v>75</v>
      </c>
      <c r="C4589" s="28" t="s">
        <v>57</v>
      </c>
      <c r="D4589" s="28" t="n">
        <v>95</v>
      </c>
      <c r="E4589" s="29" t="n">
        <v>38257400</v>
      </c>
      <c r="F4589" s="30" t="n">
        <v>1028.48</v>
      </c>
      <c r="G4589" s="31" t="n">
        <f aca="false">IFERROR(F4589/D4589,0)</f>
        <v>10.8261052631579</v>
      </c>
    </row>
    <row r="4590" customFormat="false" ht="15" hidden="false" customHeight="false" outlineLevel="0" collapsed="false">
      <c r="A4590" s="28" t="n">
        <v>2025</v>
      </c>
      <c r="B4590" s="28" t="s">
        <v>75</v>
      </c>
      <c r="C4590" s="28" t="s">
        <v>47</v>
      </c>
      <c r="D4590" s="28" t="n">
        <v>462</v>
      </c>
      <c r="E4590" s="29" t="n">
        <v>314781500</v>
      </c>
      <c r="F4590" s="30" t="n">
        <v>4734.33</v>
      </c>
      <c r="G4590" s="31" t="n">
        <f aca="false">IFERROR(F4590/D4590,0)</f>
        <v>10.2474675324675</v>
      </c>
    </row>
    <row r="4591" customFormat="false" ht="15" hidden="false" customHeight="false" outlineLevel="0" collapsed="false">
      <c r="A4591" s="28" t="n">
        <v>2025</v>
      </c>
      <c r="B4591" s="28" t="s">
        <v>75</v>
      </c>
      <c r="C4591" s="28" t="s">
        <v>58</v>
      </c>
      <c r="D4591" s="28" t="n">
        <v>4</v>
      </c>
      <c r="E4591" s="29" t="n">
        <v>1150000</v>
      </c>
      <c r="F4591" s="30" t="n">
        <v>45.75</v>
      </c>
      <c r="G4591" s="31" t="n">
        <f aca="false">IFERROR(F4591/D4591,0)</f>
        <v>11.4375</v>
      </c>
    </row>
    <row r="4592" customFormat="false" ht="15" hidden="false" customHeight="false" outlineLevel="0" collapsed="false">
      <c r="A4592" s="28" t="n">
        <v>2025</v>
      </c>
      <c r="B4592" s="28" t="s">
        <v>75</v>
      </c>
      <c r="C4592" s="28" t="s">
        <v>46</v>
      </c>
      <c r="D4592" s="28" t="n">
        <v>784</v>
      </c>
      <c r="E4592" s="29" t="n">
        <v>386272500</v>
      </c>
      <c r="F4592" s="30" t="n">
        <v>8161.135</v>
      </c>
      <c r="G4592" s="31" t="n">
        <f aca="false">IFERROR(F4592/D4592,0)</f>
        <v>10.4096109693878</v>
      </c>
    </row>
    <row r="4593" customFormat="false" ht="15" hidden="false" customHeight="false" outlineLevel="0" collapsed="false">
      <c r="A4593" s="28" t="n">
        <v>2025</v>
      </c>
      <c r="B4593" s="28" t="s">
        <v>75</v>
      </c>
      <c r="C4593" s="28" t="s">
        <v>48</v>
      </c>
      <c r="D4593" s="28" t="n">
        <v>981</v>
      </c>
      <c r="E4593" s="29" t="n">
        <v>415575500</v>
      </c>
      <c r="F4593" s="30" t="n">
        <v>10453.455</v>
      </c>
      <c r="G4593" s="31" t="n">
        <f aca="false">IFERROR(F4593/D4593,0)</f>
        <v>10.6559174311927</v>
      </c>
    </row>
    <row r="4594" customFormat="false" ht="15" hidden="false" customHeight="false" outlineLevel="0" collapsed="false">
      <c r="A4594" s="28" t="n">
        <v>2025</v>
      </c>
      <c r="B4594" s="28" t="s">
        <v>75</v>
      </c>
      <c r="C4594" s="28" t="s">
        <v>61</v>
      </c>
      <c r="D4594" s="28" t="n">
        <v>2</v>
      </c>
      <c r="E4594" s="29" t="n">
        <v>275000</v>
      </c>
      <c r="F4594" s="30" t="n">
        <v>18.75</v>
      </c>
      <c r="G4594" s="31" t="n">
        <f aca="false">IFERROR(F4594/D4594,0)</f>
        <v>9.375</v>
      </c>
    </row>
    <row r="4595" customFormat="false" ht="15" hidden="false" customHeight="false" outlineLevel="0" collapsed="false">
      <c r="A4595" s="28" t="n">
        <v>2025</v>
      </c>
      <c r="B4595" s="28" t="s">
        <v>75</v>
      </c>
      <c r="C4595" s="28" t="s">
        <v>53</v>
      </c>
      <c r="D4595" s="28" t="n">
        <v>165</v>
      </c>
      <c r="E4595" s="29" t="n">
        <v>67630700</v>
      </c>
      <c r="F4595" s="30" t="n">
        <v>1748.875</v>
      </c>
      <c r="G4595" s="31" t="n">
        <f aca="false">IFERROR(F4595/D4595,0)</f>
        <v>10.5992424242424</v>
      </c>
    </row>
    <row r="4596" customFormat="false" ht="15" hidden="false" customHeight="false" outlineLevel="0" collapsed="false">
      <c r="A4596" s="28" t="n">
        <v>2025</v>
      </c>
      <c r="B4596" s="28" t="s">
        <v>75</v>
      </c>
      <c r="C4596" s="28" t="s">
        <v>43</v>
      </c>
      <c r="D4596" s="28" t="n">
        <v>955</v>
      </c>
      <c r="E4596" s="29" t="n">
        <v>627569800</v>
      </c>
      <c r="F4596" s="30" t="n">
        <v>9801.65</v>
      </c>
      <c r="G4596" s="31" t="n">
        <f aca="false">IFERROR(F4596/D4596,0)</f>
        <v>10.2635078534031</v>
      </c>
    </row>
    <row r="4597" customFormat="false" ht="15" hidden="false" customHeight="false" outlineLevel="0" collapsed="false">
      <c r="A4597" s="28" t="n">
        <v>2025</v>
      </c>
      <c r="B4597" s="28" t="s">
        <v>75</v>
      </c>
      <c r="C4597" s="28" t="s">
        <v>52</v>
      </c>
      <c r="D4597" s="28" t="n">
        <v>302</v>
      </c>
      <c r="E4597" s="29" t="n">
        <v>128669800</v>
      </c>
      <c r="F4597" s="30" t="n">
        <v>3283.71</v>
      </c>
      <c r="G4597" s="31" t="n">
        <f aca="false">IFERROR(F4597/D4597,0)</f>
        <v>10.8732119205298</v>
      </c>
    </row>
    <row r="4598" customFormat="false" ht="15" hidden="false" customHeight="false" outlineLevel="0" collapsed="false">
      <c r="A4598" s="28" t="n">
        <v>2025</v>
      </c>
      <c r="B4598" s="28" t="s">
        <v>75</v>
      </c>
      <c r="C4598" s="28" t="s">
        <v>60</v>
      </c>
      <c r="D4598" s="28" t="n">
        <v>5</v>
      </c>
      <c r="E4598" s="29" t="n">
        <v>917700</v>
      </c>
      <c r="F4598" s="30" t="n">
        <v>56.75</v>
      </c>
      <c r="G4598" s="31" t="n">
        <f aca="false">IFERROR(F4598/D4598,0)</f>
        <v>11.35</v>
      </c>
    </row>
    <row r="4599" customFormat="false" ht="15" hidden="false" customHeight="false" outlineLevel="0" collapsed="false">
      <c r="A4599" s="28" t="n">
        <v>2025</v>
      </c>
      <c r="B4599" s="28" t="s">
        <v>75</v>
      </c>
      <c r="C4599" s="28" t="s">
        <v>49</v>
      </c>
      <c r="D4599" s="28" t="n">
        <v>390</v>
      </c>
      <c r="E4599" s="29" t="n">
        <v>240058800</v>
      </c>
      <c r="F4599" s="30" t="n">
        <v>3998.51</v>
      </c>
      <c r="G4599" s="31" t="n">
        <f aca="false">IFERROR(F4599/D4599,0)</f>
        <v>10.2525897435897</v>
      </c>
    </row>
    <row r="4600" customFormat="false" ht="15" hidden="false" customHeight="false" outlineLevel="0" collapsed="false">
      <c r="A4600" s="28" t="n">
        <v>2025</v>
      </c>
      <c r="B4600" s="28" t="s">
        <v>83</v>
      </c>
      <c r="C4600" s="28" t="s">
        <v>42</v>
      </c>
      <c r="D4600" s="28" t="n">
        <v>223</v>
      </c>
      <c r="E4600" s="29" t="n">
        <v>136513900</v>
      </c>
      <c r="F4600" s="30" t="n">
        <v>2174.395</v>
      </c>
      <c r="G4600" s="31" t="n">
        <f aca="false">IFERROR(F4600/D4600,0)</f>
        <v>9.75065022421525</v>
      </c>
    </row>
    <row r="4601" customFormat="false" ht="15" hidden="false" customHeight="false" outlineLevel="0" collapsed="false">
      <c r="A4601" s="28" t="n">
        <v>2025</v>
      </c>
      <c r="B4601" s="28" t="s">
        <v>83</v>
      </c>
      <c r="C4601" s="28" t="s">
        <v>50</v>
      </c>
      <c r="D4601" s="28" t="n">
        <v>99</v>
      </c>
      <c r="E4601" s="29" t="n">
        <v>47905200</v>
      </c>
      <c r="F4601" s="30" t="n">
        <v>991.61</v>
      </c>
      <c r="G4601" s="31" t="n">
        <f aca="false">IFERROR(F4601/D4601,0)</f>
        <v>10.0162626262626</v>
      </c>
    </row>
    <row r="4602" customFormat="false" ht="15" hidden="false" customHeight="false" outlineLevel="0" collapsed="false">
      <c r="A4602" s="28" t="n">
        <v>2025</v>
      </c>
      <c r="B4602" s="28" t="s">
        <v>83</v>
      </c>
      <c r="C4602" s="28" t="s">
        <v>55</v>
      </c>
      <c r="D4602" s="28" t="n">
        <v>4</v>
      </c>
      <c r="E4602" s="29" t="n">
        <v>620000</v>
      </c>
      <c r="F4602" s="30" t="n">
        <v>38.75</v>
      </c>
      <c r="G4602" s="31" t="n">
        <f aca="false">IFERROR(F4602/D4602,0)</f>
        <v>9.6875</v>
      </c>
    </row>
    <row r="4603" customFormat="false" ht="15" hidden="false" customHeight="false" outlineLevel="0" collapsed="false">
      <c r="A4603" s="28" t="n">
        <v>2025</v>
      </c>
      <c r="B4603" s="28" t="s">
        <v>83</v>
      </c>
      <c r="C4603" s="28" t="s">
        <v>51</v>
      </c>
      <c r="D4603" s="28" t="n">
        <v>78</v>
      </c>
      <c r="E4603" s="29" t="n">
        <v>32986100</v>
      </c>
      <c r="F4603" s="30" t="n">
        <v>790.72</v>
      </c>
      <c r="G4603" s="31" t="n">
        <f aca="false">IFERROR(F4603/D4603,0)</f>
        <v>10.1374358974359</v>
      </c>
    </row>
    <row r="4604" customFormat="false" ht="15" hidden="false" customHeight="false" outlineLevel="0" collapsed="false">
      <c r="A4604" s="28" t="n">
        <v>2025</v>
      </c>
      <c r="B4604" s="28" t="s">
        <v>83</v>
      </c>
      <c r="C4604" s="28" t="s">
        <v>45</v>
      </c>
      <c r="D4604" s="28" t="n">
        <v>339</v>
      </c>
      <c r="E4604" s="29" t="n">
        <v>190978000</v>
      </c>
      <c r="F4604" s="30" t="n">
        <v>3426.53</v>
      </c>
      <c r="G4604" s="31" t="n">
        <f aca="false">IFERROR(F4604/D4604,0)</f>
        <v>10.1077581120944</v>
      </c>
    </row>
    <row r="4605" customFormat="false" ht="15" hidden="false" customHeight="false" outlineLevel="0" collapsed="false">
      <c r="A4605" s="28" t="n">
        <v>2025</v>
      </c>
      <c r="B4605" s="28" t="s">
        <v>83</v>
      </c>
      <c r="C4605" s="28" t="s">
        <v>56</v>
      </c>
      <c r="D4605" s="28" t="n">
        <v>29</v>
      </c>
      <c r="E4605" s="29" t="n">
        <v>10700000</v>
      </c>
      <c r="F4605" s="30" t="n">
        <v>287.1</v>
      </c>
      <c r="G4605" s="31" t="n">
        <f aca="false">IFERROR(F4605/D4605,0)</f>
        <v>9.9</v>
      </c>
    </row>
    <row r="4606" customFormat="false" ht="15" hidden="false" customHeight="false" outlineLevel="0" collapsed="false">
      <c r="A4606" s="28" t="n">
        <v>2025</v>
      </c>
      <c r="B4606" s="28" t="s">
        <v>83</v>
      </c>
      <c r="C4606" s="28" t="s">
        <v>54</v>
      </c>
      <c r="D4606" s="28" t="n">
        <v>39</v>
      </c>
      <c r="E4606" s="29" t="n">
        <v>20795300</v>
      </c>
      <c r="F4606" s="30" t="n">
        <v>382.38</v>
      </c>
      <c r="G4606" s="31" t="n">
        <f aca="false">IFERROR(F4606/D4606,0)</f>
        <v>9.80461538461539</v>
      </c>
    </row>
    <row r="4607" customFormat="false" ht="15" hidden="false" customHeight="false" outlineLevel="0" collapsed="false">
      <c r="A4607" s="28" t="n">
        <v>2025</v>
      </c>
      <c r="B4607" s="28" t="s">
        <v>83</v>
      </c>
      <c r="C4607" s="28" t="s">
        <v>44</v>
      </c>
      <c r="D4607" s="28" t="n">
        <v>166</v>
      </c>
      <c r="E4607" s="29" t="n">
        <v>139459400</v>
      </c>
      <c r="F4607" s="30" t="n">
        <v>1560.36</v>
      </c>
      <c r="G4607" s="31" t="n">
        <f aca="false">IFERROR(F4607/D4607,0)</f>
        <v>9.39975903614458</v>
      </c>
    </row>
    <row r="4608" customFormat="false" ht="15" hidden="false" customHeight="false" outlineLevel="0" collapsed="false">
      <c r="A4608" s="28" t="n">
        <v>2025</v>
      </c>
      <c r="B4608" s="28" t="s">
        <v>83</v>
      </c>
      <c r="C4608" s="28" t="s">
        <v>57</v>
      </c>
      <c r="D4608" s="28" t="n">
        <v>13</v>
      </c>
      <c r="E4608" s="29" t="n">
        <v>9745300</v>
      </c>
      <c r="F4608" s="30" t="n">
        <v>137.29</v>
      </c>
      <c r="G4608" s="31" t="n">
        <f aca="false">IFERROR(F4608/D4608,0)</f>
        <v>10.5607692307692</v>
      </c>
    </row>
    <row r="4609" customFormat="false" ht="15" hidden="false" customHeight="false" outlineLevel="0" collapsed="false">
      <c r="A4609" s="28" t="n">
        <v>2025</v>
      </c>
      <c r="B4609" s="28" t="s">
        <v>83</v>
      </c>
      <c r="C4609" s="28" t="s">
        <v>59</v>
      </c>
      <c r="D4609" s="28" t="n">
        <v>4</v>
      </c>
      <c r="E4609" s="29" t="n">
        <v>6044000</v>
      </c>
      <c r="F4609" s="30" t="n">
        <v>42.49</v>
      </c>
      <c r="G4609" s="31" t="n">
        <f aca="false">IFERROR(F4609/D4609,0)</f>
        <v>10.6225</v>
      </c>
    </row>
    <row r="4610" customFormat="false" ht="15" hidden="false" customHeight="false" outlineLevel="0" collapsed="false">
      <c r="A4610" s="28" t="n">
        <v>2025</v>
      </c>
      <c r="B4610" s="28" t="s">
        <v>83</v>
      </c>
      <c r="C4610" s="28" t="s">
        <v>47</v>
      </c>
      <c r="D4610" s="28" t="n">
        <v>119</v>
      </c>
      <c r="E4610" s="29" t="n">
        <v>65149400</v>
      </c>
      <c r="F4610" s="30" t="n">
        <v>1190.02</v>
      </c>
      <c r="G4610" s="31" t="n">
        <f aca="false">IFERROR(F4610/D4610,0)</f>
        <v>10.0001680672269</v>
      </c>
    </row>
    <row r="4611" customFormat="false" ht="15" hidden="false" customHeight="false" outlineLevel="0" collapsed="false">
      <c r="A4611" s="28" t="n">
        <v>2025</v>
      </c>
      <c r="B4611" s="28" t="s">
        <v>83</v>
      </c>
      <c r="C4611" s="28" t="s">
        <v>58</v>
      </c>
      <c r="D4611" s="28" t="n">
        <v>5</v>
      </c>
      <c r="E4611" s="29" t="n">
        <v>8787400</v>
      </c>
      <c r="F4611" s="30" t="n">
        <v>50.75</v>
      </c>
      <c r="G4611" s="31" t="n">
        <f aca="false">IFERROR(F4611/D4611,0)</f>
        <v>10.15</v>
      </c>
    </row>
    <row r="4612" customFormat="false" ht="15" hidden="false" customHeight="false" outlineLevel="0" collapsed="false">
      <c r="A4612" s="28" t="n">
        <v>2025</v>
      </c>
      <c r="B4612" s="28" t="s">
        <v>83</v>
      </c>
      <c r="C4612" s="28" t="s">
        <v>46</v>
      </c>
      <c r="D4612" s="28" t="n">
        <v>198</v>
      </c>
      <c r="E4612" s="29" t="n">
        <v>100331300</v>
      </c>
      <c r="F4612" s="30" t="n">
        <v>2021.53</v>
      </c>
      <c r="G4612" s="31" t="n">
        <f aca="false">IFERROR(F4612/D4612,0)</f>
        <v>10.2097474747475</v>
      </c>
    </row>
    <row r="4613" customFormat="false" ht="15" hidden="false" customHeight="false" outlineLevel="0" collapsed="false">
      <c r="A4613" s="28" t="n">
        <v>2025</v>
      </c>
      <c r="B4613" s="28" t="s">
        <v>83</v>
      </c>
      <c r="C4613" s="28" t="s">
        <v>48</v>
      </c>
      <c r="D4613" s="28" t="n">
        <v>225</v>
      </c>
      <c r="E4613" s="29" t="n">
        <v>94686300</v>
      </c>
      <c r="F4613" s="30" t="n">
        <v>2328.56</v>
      </c>
      <c r="G4613" s="31" t="n">
        <f aca="false">IFERROR(F4613/D4613,0)</f>
        <v>10.3491555555556</v>
      </c>
    </row>
    <row r="4614" customFormat="false" ht="15" hidden="false" customHeight="false" outlineLevel="0" collapsed="false">
      <c r="A4614" s="28" t="n">
        <v>2025</v>
      </c>
      <c r="B4614" s="28" t="s">
        <v>83</v>
      </c>
      <c r="C4614" s="28" t="s">
        <v>53</v>
      </c>
      <c r="D4614" s="28" t="n">
        <v>31</v>
      </c>
      <c r="E4614" s="29" t="n">
        <v>32052500</v>
      </c>
      <c r="F4614" s="30" t="n">
        <v>310.75</v>
      </c>
      <c r="G4614" s="31" t="n">
        <f aca="false">IFERROR(F4614/D4614,0)</f>
        <v>10.0241935483871</v>
      </c>
    </row>
    <row r="4615" customFormat="false" ht="15" hidden="false" customHeight="false" outlineLevel="0" collapsed="false">
      <c r="A4615" s="28" t="n">
        <v>2025</v>
      </c>
      <c r="B4615" s="28" t="s">
        <v>83</v>
      </c>
      <c r="C4615" s="28" t="s">
        <v>43</v>
      </c>
      <c r="D4615" s="28" t="n">
        <v>214</v>
      </c>
      <c r="E4615" s="29" t="n">
        <v>131367000</v>
      </c>
      <c r="F4615" s="30" t="n">
        <v>2161.19</v>
      </c>
      <c r="G4615" s="31" t="n">
        <f aca="false">IFERROR(F4615/D4615,0)</f>
        <v>10.0990186915888</v>
      </c>
    </row>
    <row r="4616" customFormat="false" ht="15" hidden="false" customHeight="false" outlineLevel="0" collapsed="false">
      <c r="A4616" s="28" t="n">
        <v>2025</v>
      </c>
      <c r="B4616" s="28" t="s">
        <v>83</v>
      </c>
      <c r="C4616" s="28" t="s">
        <v>52</v>
      </c>
      <c r="D4616" s="28" t="n">
        <v>50</v>
      </c>
      <c r="E4616" s="29" t="n">
        <v>16869800</v>
      </c>
      <c r="F4616" s="30" t="n">
        <v>510.07</v>
      </c>
      <c r="G4616" s="31" t="n">
        <f aca="false">IFERROR(F4616/D4616,0)</f>
        <v>10.2014</v>
      </c>
    </row>
    <row r="4617" customFormat="false" ht="15" hidden="false" customHeight="false" outlineLevel="0" collapsed="false">
      <c r="A4617" s="28" t="n">
        <v>2025</v>
      </c>
      <c r="B4617" s="28" t="s">
        <v>83</v>
      </c>
      <c r="C4617" s="28" t="s">
        <v>60</v>
      </c>
      <c r="D4617" s="28" t="n">
        <v>2</v>
      </c>
      <c r="E4617" s="29" t="n">
        <v>300000</v>
      </c>
      <c r="F4617" s="30" t="n">
        <v>19.75</v>
      </c>
      <c r="G4617" s="31" t="n">
        <f aca="false">IFERROR(F4617/D4617,0)</f>
        <v>9.875</v>
      </c>
    </row>
    <row r="4618" customFormat="false" ht="15" hidden="false" customHeight="false" outlineLevel="0" collapsed="false">
      <c r="A4618" s="28" t="n">
        <v>2025</v>
      </c>
      <c r="B4618" s="28" t="s">
        <v>83</v>
      </c>
      <c r="C4618" s="28" t="s">
        <v>49</v>
      </c>
      <c r="D4618" s="28" t="n">
        <v>43</v>
      </c>
      <c r="E4618" s="29" t="n">
        <v>30237400</v>
      </c>
      <c r="F4618" s="30" t="n">
        <v>419.47</v>
      </c>
      <c r="G4618" s="31" t="n">
        <f aca="false">IFERROR(F4618/D4618,0)</f>
        <v>9.75511627906977</v>
      </c>
    </row>
    <row r="4619" customFormat="false" ht="15" hidden="false" customHeight="false" outlineLevel="0" collapsed="false">
      <c r="A4619" s="28" t="n">
        <v>2025</v>
      </c>
      <c r="B4619" s="28" t="s">
        <v>85</v>
      </c>
      <c r="C4619" s="28" t="s">
        <v>42</v>
      </c>
      <c r="D4619" s="28" t="n">
        <v>71</v>
      </c>
      <c r="E4619" s="29" t="n">
        <v>28851500</v>
      </c>
      <c r="F4619" s="30" t="n">
        <v>738.16</v>
      </c>
      <c r="G4619" s="31" t="n">
        <f aca="false">IFERROR(F4619/D4619,0)</f>
        <v>10.3966197183099</v>
      </c>
    </row>
    <row r="4620" customFormat="false" ht="15" hidden="false" customHeight="false" outlineLevel="0" collapsed="false">
      <c r="A4620" s="28" t="n">
        <v>2025</v>
      </c>
      <c r="B4620" s="28" t="s">
        <v>85</v>
      </c>
      <c r="C4620" s="28" t="s">
        <v>50</v>
      </c>
      <c r="D4620" s="28" t="n">
        <v>53</v>
      </c>
      <c r="E4620" s="29" t="n">
        <v>13970400</v>
      </c>
      <c r="F4620" s="30" t="n">
        <v>574.46</v>
      </c>
      <c r="G4620" s="31" t="n">
        <f aca="false">IFERROR(F4620/D4620,0)</f>
        <v>10.8388679245283</v>
      </c>
    </row>
    <row r="4621" customFormat="false" ht="15" hidden="false" customHeight="false" outlineLevel="0" collapsed="false">
      <c r="A4621" s="28" t="n">
        <v>2025</v>
      </c>
      <c r="B4621" s="28" t="s">
        <v>85</v>
      </c>
      <c r="C4621" s="28" t="s">
        <v>55</v>
      </c>
      <c r="D4621" s="28" t="n">
        <v>5</v>
      </c>
      <c r="E4621" s="29" t="n">
        <v>258500</v>
      </c>
      <c r="F4621" s="30" t="n">
        <v>57.75</v>
      </c>
      <c r="G4621" s="31" t="n">
        <f aca="false">IFERROR(F4621/D4621,0)</f>
        <v>11.55</v>
      </c>
    </row>
    <row r="4622" customFormat="false" ht="15" hidden="false" customHeight="false" outlineLevel="0" collapsed="false">
      <c r="A4622" s="28" t="n">
        <v>2025</v>
      </c>
      <c r="B4622" s="28" t="s">
        <v>85</v>
      </c>
      <c r="C4622" s="28" t="s">
        <v>51</v>
      </c>
      <c r="D4622" s="28" t="n">
        <v>24</v>
      </c>
      <c r="E4622" s="29" t="n">
        <v>8266300</v>
      </c>
      <c r="F4622" s="30" t="n">
        <v>250.02</v>
      </c>
      <c r="G4622" s="31" t="n">
        <f aca="false">IFERROR(F4622/D4622,0)</f>
        <v>10.4175</v>
      </c>
    </row>
    <row r="4623" customFormat="false" ht="15" hidden="false" customHeight="false" outlineLevel="0" collapsed="false">
      <c r="A4623" s="28" t="n">
        <v>2025</v>
      </c>
      <c r="B4623" s="28" t="s">
        <v>85</v>
      </c>
      <c r="C4623" s="28" t="s">
        <v>45</v>
      </c>
      <c r="D4623" s="28" t="n">
        <v>145</v>
      </c>
      <c r="E4623" s="29" t="n">
        <v>47936900</v>
      </c>
      <c r="F4623" s="30" t="n">
        <v>1576.29</v>
      </c>
      <c r="G4623" s="31" t="n">
        <f aca="false">IFERROR(F4623/D4623,0)</f>
        <v>10.8709655172414</v>
      </c>
    </row>
    <row r="4624" customFormat="false" ht="15" hidden="false" customHeight="false" outlineLevel="0" collapsed="false">
      <c r="A4624" s="28" t="n">
        <v>2025</v>
      </c>
      <c r="B4624" s="28" t="s">
        <v>85</v>
      </c>
      <c r="C4624" s="28" t="s">
        <v>56</v>
      </c>
      <c r="D4624" s="28" t="n">
        <v>8</v>
      </c>
      <c r="E4624" s="29" t="n">
        <v>852300</v>
      </c>
      <c r="F4624" s="30" t="n">
        <v>90</v>
      </c>
      <c r="G4624" s="31" t="n">
        <f aca="false">IFERROR(F4624/D4624,0)</f>
        <v>11.25</v>
      </c>
    </row>
    <row r="4625" customFormat="false" ht="15" hidden="false" customHeight="false" outlineLevel="0" collapsed="false">
      <c r="A4625" s="28" t="n">
        <v>2025</v>
      </c>
      <c r="B4625" s="28" t="s">
        <v>85</v>
      </c>
      <c r="C4625" s="28" t="s">
        <v>54</v>
      </c>
      <c r="D4625" s="28" t="n">
        <v>14</v>
      </c>
      <c r="E4625" s="29" t="n">
        <v>8643800</v>
      </c>
      <c r="F4625" s="30" t="n">
        <v>133.23</v>
      </c>
      <c r="G4625" s="31" t="n">
        <f aca="false">IFERROR(F4625/D4625,0)</f>
        <v>9.51642857142857</v>
      </c>
    </row>
    <row r="4626" customFormat="false" ht="15" hidden="false" customHeight="false" outlineLevel="0" collapsed="false">
      <c r="A4626" s="28" t="n">
        <v>2025</v>
      </c>
      <c r="B4626" s="28" t="s">
        <v>85</v>
      </c>
      <c r="C4626" s="28" t="s">
        <v>44</v>
      </c>
      <c r="D4626" s="28" t="n">
        <v>71</v>
      </c>
      <c r="E4626" s="29" t="n">
        <v>22820900</v>
      </c>
      <c r="F4626" s="30" t="n">
        <v>715.82</v>
      </c>
      <c r="G4626" s="31" t="n">
        <f aca="false">IFERROR(F4626/D4626,0)</f>
        <v>10.0819718309859</v>
      </c>
    </row>
    <row r="4627" customFormat="false" ht="15" hidden="false" customHeight="false" outlineLevel="0" collapsed="false">
      <c r="A4627" s="28" t="n">
        <v>2025</v>
      </c>
      <c r="B4627" s="28" t="s">
        <v>85</v>
      </c>
      <c r="C4627" s="28" t="s">
        <v>57</v>
      </c>
      <c r="D4627" s="28" t="n">
        <v>6</v>
      </c>
      <c r="E4627" s="29" t="n">
        <v>6245000</v>
      </c>
      <c r="F4627" s="30" t="n">
        <v>63.5</v>
      </c>
      <c r="G4627" s="31" t="n">
        <f aca="false">IFERROR(F4627/D4627,0)</f>
        <v>10.5833333333333</v>
      </c>
    </row>
    <row r="4628" customFormat="false" ht="15" hidden="false" customHeight="false" outlineLevel="0" collapsed="false">
      <c r="A4628" s="28" t="n">
        <v>2025</v>
      </c>
      <c r="B4628" s="28" t="s">
        <v>85</v>
      </c>
      <c r="C4628" s="28" t="s">
        <v>47</v>
      </c>
      <c r="D4628" s="28" t="n">
        <v>60</v>
      </c>
      <c r="E4628" s="29" t="n">
        <v>35525600</v>
      </c>
      <c r="F4628" s="30" t="n">
        <v>584.32</v>
      </c>
      <c r="G4628" s="31" t="n">
        <f aca="false">IFERROR(F4628/D4628,0)</f>
        <v>9.73866666666667</v>
      </c>
    </row>
    <row r="4629" customFormat="false" ht="15" hidden="false" customHeight="false" outlineLevel="0" collapsed="false">
      <c r="A4629" s="28" t="n">
        <v>2025</v>
      </c>
      <c r="B4629" s="28" t="s">
        <v>85</v>
      </c>
      <c r="C4629" s="28" t="s">
        <v>58</v>
      </c>
      <c r="D4629" s="28" t="n">
        <v>2</v>
      </c>
      <c r="E4629" s="29" t="n">
        <v>3049000</v>
      </c>
      <c r="F4629" s="30" t="n">
        <v>20.25</v>
      </c>
      <c r="G4629" s="31" t="n">
        <f aca="false">IFERROR(F4629/D4629,0)</f>
        <v>10.125</v>
      </c>
    </row>
    <row r="4630" customFormat="false" ht="15" hidden="false" customHeight="false" outlineLevel="0" collapsed="false">
      <c r="A4630" s="28" t="n">
        <v>2025</v>
      </c>
      <c r="B4630" s="28" t="s">
        <v>85</v>
      </c>
      <c r="C4630" s="28" t="s">
        <v>46</v>
      </c>
      <c r="D4630" s="28" t="n">
        <v>90</v>
      </c>
      <c r="E4630" s="29" t="n">
        <v>29160800</v>
      </c>
      <c r="F4630" s="30" t="n">
        <v>975.61</v>
      </c>
      <c r="G4630" s="31" t="n">
        <f aca="false">IFERROR(F4630/D4630,0)</f>
        <v>10.8401111111111</v>
      </c>
    </row>
    <row r="4631" customFormat="false" ht="15" hidden="false" customHeight="false" outlineLevel="0" collapsed="false">
      <c r="A4631" s="28" t="n">
        <v>2025</v>
      </c>
      <c r="B4631" s="28" t="s">
        <v>85</v>
      </c>
      <c r="C4631" s="28" t="s">
        <v>48</v>
      </c>
      <c r="D4631" s="28" t="n">
        <v>66</v>
      </c>
      <c r="E4631" s="29" t="n">
        <v>26201900</v>
      </c>
      <c r="F4631" s="30" t="n">
        <v>707.87</v>
      </c>
      <c r="G4631" s="31" t="n">
        <f aca="false">IFERROR(F4631/D4631,0)</f>
        <v>10.725303030303</v>
      </c>
    </row>
    <row r="4632" customFormat="false" ht="15" hidden="false" customHeight="false" outlineLevel="0" collapsed="false">
      <c r="A4632" s="28" t="n">
        <v>2025</v>
      </c>
      <c r="B4632" s="28" t="s">
        <v>85</v>
      </c>
      <c r="C4632" s="28" t="s">
        <v>53</v>
      </c>
      <c r="D4632" s="28" t="n">
        <v>15</v>
      </c>
      <c r="E4632" s="29" t="n">
        <v>9037700</v>
      </c>
      <c r="F4632" s="30" t="n">
        <v>166.24</v>
      </c>
      <c r="G4632" s="31" t="n">
        <f aca="false">IFERROR(F4632/D4632,0)</f>
        <v>11.0826666666667</v>
      </c>
    </row>
    <row r="4633" customFormat="false" ht="15" hidden="false" customHeight="false" outlineLevel="0" collapsed="false">
      <c r="A4633" s="28" t="n">
        <v>2025</v>
      </c>
      <c r="B4633" s="28" t="s">
        <v>85</v>
      </c>
      <c r="C4633" s="28" t="s">
        <v>43</v>
      </c>
      <c r="D4633" s="28" t="n">
        <v>109</v>
      </c>
      <c r="E4633" s="29" t="n">
        <v>25594700</v>
      </c>
      <c r="F4633" s="30" t="n">
        <v>1160.76</v>
      </c>
      <c r="G4633" s="31" t="n">
        <f aca="false">IFERROR(F4633/D4633,0)</f>
        <v>10.6491743119266</v>
      </c>
    </row>
    <row r="4634" customFormat="false" ht="15" hidden="false" customHeight="false" outlineLevel="0" collapsed="false">
      <c r="A4634" s="28" t="n">
        <v>2025</v>
      </c>
      <c r="B4634" s="28" t="s">
        <v>85</v>
      </c>
      <c r="C4634" s="28" t="s">
        <v>52</v>
      </c>
      <c r="D4634" s="28" t="n">
        <v>32</v>
      </c>
      <c r="E4634" s="29" t="n">
        <v>12901700</v>
      </c>
      <c r="F4634" s="30" t="n">
        <v>349.52</v>
      </c>
      <c r="G4634" s="31" t="n">
        <f aca="false">IFERROR(F4634/D4634,0)</f>
        <v>10.9225</v>
      </c>
    </row>
    <row r="4635" customFormat="false" ht="15" hidden="false" customHeight="false" outlineLevel="0" collapsed="false">
      <c r="A4635" s="28" t="n">
        <v>2025</v>
      </c>
      <c r="B4635" s="28" t="s">
        <v>85</v>
      </c>
      <c r="C4635" s="28" t="s">
        <v>49</v>
      </c>
      <c r="D4635" s="28" t="n">
        <v>34</v>
      </c>
      <c r="E4635" s="29" t="n">
        <v>29628100</v>
      </c>
      <c r="F4635" s="30" t="n">
        <v>338.91</v>
      </c>
      <c r="G4635" s="31" t="n">
        <f aca="false">IFERROR(F4635/D4635,0)</f>
        <v>9.96794117647059</v>
      </c>
    </row>
    <row r="4636" customFormat="false" ht="15" hidden="false" customHeight="false" outlineLevel="0" collapsed="false">
      <c r="A4636" s="28" t="n">
        <v>2025</v>
      </c>
      <c r="B4636" s="28" t="s">
        <v>87</v>
      </c>
      <c r="C4636" s="28" t="s">
        <v>42</v>
      </c>
      <c r="D4636" s="28" t="n">
        <v>35</v>
      </c>
      <c r="E4636" s="29" t="n">
        <v>22562100</v>
      </c>
      <c r="F4636" s="30" t="n">
        <v>372.73</v>
      </c>
      <c r="G4636" s="31" t="n">
        <f aca="false">IFERROR(F4636/D4636,0)</f>
        <v>10.6494285714286</v>
      </c>
    </row>
    <row r="4637" customFormat="false" ht="15" hidden="false" customHeight="false" outlineLevel="0" collapsed="false">
      <c r="A4637" s="28" t="n">
        <v>2025</v>
      </c>
      <c r="B4637" s="28" t="s">
        <v>87</v>
      </c>
      <c r="C4637" s="28" t="s">
        <v>50</v>
      </c>
      <c r="D4637" s="28" t="n">
        <v>3</v>
      </c>
      <c r="E4637" s="29" t="n">
        <v>485000</v>
      </c>
      <c r="F4637" s="30" t="n">
        <v>31</v>
      </c>
      <c r="G4637" s="31" t="n">
        <f aca="false">IFERROR(F4637/D4637,0)</f>
        <v>10.3333333333333</v>
      </c>
    </row>
    <row r="4638" customFormat="false" ht="15" hidden="false" customHeight="false" outlineLevel="0" collapsed="false">
      <c r="A4638" s="28" t="n">
        <v>2025</v>
      </c>
      <c r="B4638" s="28" t="s">
        <v>87</v>
      </c>
      <c r="C4638" s="28" t="s">
        <v>51</v>
      </c>
      <c r="D4638" s="28" t="n">
        <v>1</v>
      </c>
      <c r="E4638" s="29" t="n">
        <v>929300</v>
      </c>
      <c r="F4638" s="30" t="n">
        <v>9.5</v>
      </c>
      <c r="G4638" s="31" t="n">
        <f aca="false">IFERROR(F4638/D4638,0)</f>
        <v>9.5</v>
      </c>
    </row>
    <row r="4639" customFormat="false" ht="15" hidden="false" customHeight="false" outlineLevel="0" collapsed="false">
      <c r="A4639" s="28" t="n">
        <v>2025</v>
      </c>
      <c r="B4639" s="28" t="s">
        <v>87</v>
      </c>
      <c r="C4639" s="28" t="s">
        <v>45</v>
      </c>
      <c r="D4639" s="28" t="n">
        <v>10</v>
      </c>
      <c r="E4639" s="29" t="n">
        <v>4852000</v>
      </c>
      <c r="F4639" s="30" t="n">
        <v>105.75</v>
      </c>
      <c r="G4639" s="31" t="n">
        <f aca="false">IFERROR(F4639/D4639,0)</f>
        <v>10.575</v>
      </c>
    </row>
    <row r="4640" customFormat="false" ht="15" hidden="false" customHeight="false" outlineLevel="0" collapsed="false">
      <c r="A4640" s="28" t="n">
        <v>2025</v>
      </c>
      <c r="B4640" s="28" t="s">
        <v>87</v>
      </c>
      <c r="C4640" s="28" t="s">
        <v>56</v>
      </c>
      <c r="D4640" s="28" t="n">
        <v>4</v>
      </c>
      <c r="E4640" s="29" t="n">
        <v>802600</v>
      </c>
      <c r="F4640" s="30" t="n">
        <v>50</v>
      </c>
      <c r="G4640" s="31" t="n">
        <f aca="false">IFERROR(F4640/D4640,0)</f>
        <v>12.5</v>
      </c>
    </row>
    <row r="4641" customFormat="false" ht="15" hidden="false" customHeight="false" outlineLevel="0" collapsed="false">
      <c r="A4641" s="28" t="n">
        <v>2025</v>
      </c>
      <c r="B4641" s="28" t="s">
        <v>87</v>
      </c>
      <c r="C4641" s="28" t="s">
        <v>54</v>
      </c>
      <c r="D4641" s="28" t="n">
        <v>1</v>
      </c>
      <c r="E4641" s="29" t="n">
        <v>225000</v>
      </c>
      <c r="F4641" s="30" t="n">
        <v>10.5</v>
      </c>
      <c r="G4641" s="31" t="n">
        <f aca="false">IFERROR(F4641/D4641,0)</f>
        <v>10.5</v>
      </c>
    </row>
    <row r="4642" customFormat="false" ht="15" hidden="false" customHeight="false" outlineLevel="0" collapsed="false">
      <c r="A4642" s="28" t="n">
        <v>2025</v>
      </c>
      <c r="B4642" s="28" t="s">
        <v>87</v>
      </c>
      <c r="C4642" s="28" t="s">
        <v>44</v>
      </c>
      <c r="D4642" s="28" t="n">
        <v>18</v>
      </c>
      <c r="E4642" s="29" t="n">
        <v>7915200</v>
      </c>
      <c r="F4642" s="30" t="n">
        <v>200</v>
      </c>
      <c r="G4642" s="31" t="n">
        <f aca="false">IFERROR(F4642/D4642,0)</f>
        <v>11.1111111111111</v>
      </c>
    </row>
    <row r="4643" customFormat="false" ht="15" hidden="false" customHeight="false" outlineLevel="0" collapsed="false">
      <c r="A4643" s="28" t="n">
        <v>2025</v>
      </c>
      <c r="B4643" s="28" t="s">
        <v>87</v>
      </c>
      <c r="C4643" s="28" t="s">
        <v>57</v>
      </c>
      <c r="D4643" s="28" t="n">
        <v>3</v>
      </c>
      <c r="E4643" s="29" t="n">
        <v>283500</v>
      </c>
      <c r="F4643" s="30" t="n">
        <v>37.49</v>
      </c>
      <c r="G4643" s="31" t="n">
        <f aca="false">IFERROR(F4643/D4643,0)</f>
        <v>12.4966666666667</v>
      </c>
    </row>
    <row r="4644" customFormat="false" ht="15" hidden="false" customHeight="false" outlineLevel="0" collapsed="false">
      <c r="A4644" s="28" t="n">
        <v>2025</v>
      </c>
      <c r="B4644" s="28" t="s">
        <v>87</v>
      </c>
      <c r="C4644" s="28" t="s">
        <v>47</v>
      </c>
      <c r="D4644" s="28" t="n">
        <v>2</v>
      </c>
      <c r="E4644" s="29" t="n">
        <v>410000</v>
      </c>
      <c r="F4644" s="30" t="n">
        <v>18.75</v>
      </c>
      <c r="G4644" s="31" t="n">
        <f aca="false">IFERROR(F4644/D4644,0)</f>
        <v>9.375</v>
      </c>
    </row>
    <row r="4645" customFormat="false" ht="15" hidden="false" customHeight="false" outlineLevel="0" collapsed="false">
      <c r="A4645" s="28" t="n">
        <v>2025</v>
      </c>
      <c r="B4645" s="28" t="s">
        <v>87</v>
      </c>
      <c r="C4645" s="28" t="s">
        <v>46</v>
      </c>
      <c r="D4645" s="28" t="n">
        <v>23</v>
      </c>
      <c r="E4645" s="29" t="n">
        <v>6404300</v>
      </c>
      <c r="F4645" s="30" t="n">
        <v>264.25</v>
      </c>
      <c r="G4645" s="31" t="n">
        <f aca="false">IFERROR(F4645/D4645,0)</f>
        <v>11.4891304347826</v>
      </c>
    </row>
    <row r="4646" customFormat="false" ht="15" hidden="false" customHeight="false" outlineLevel="0" collapsed="false">
      <c r="A4646" s="28" t="n">
        <v>2025</v>
      </c>
      <c r="B4646" s="28" t="s">
        <v>87</v>
      </c>
      <c r="C4646" s="28" t="s">
        <v>48</v>
      </c>
      <c r="D4646" s="28" t="n">
        <v>18</v>
      </c>
      <c r="E4646" s="29" t="n">
        <v>7269700</v>
      </c>
      <c r="F4646" s="30" t="n">
        <v>194.24</v>
      </c>
      <c r="G4646" s="31" t="n">
        <f aca="false">IFERROR(F4646/D4646,0)</f>
        <v>10.7911111111111</v>
      </c>
    </row>
    <row r="4647" customFormat="false" ht="15" hidden="false" customHeight="false" outlineLevel="0" collapsed="false">
      <c r="A4647" s="28" t="n">
        <v>2025</v>
      </c>
      <c r="B4647" s="28" t="s">
        <v>87</v>
      </c>
      <c r="C4647" s="28" t="s">
        <v>53</v>
      </c>
      <c r="D4647" s="28" t="n">
        <v>1</v>
      </c>
      <c r="E4647" s="29" t="n">
        <v>100000</v>
      </c>
      <c r="F4647" s="30" t="n">
        <v>10.5</v>
      </c>
      <c r="G4647" s="31" t="n">
        <f aca="false">IFERROR(F4647/D4647,0)</f>
        <v>10.5</v>
      </c>
    </row>
    <row r="4648" customFormat="false" ht="15" hidden="false" customHeight="false" outlineLevel="0" collapsed="false">
      <c r="A4648" s="28" t="n">
        <v>2025</v>
      </c>
      <c r="B4648" s="28" t="s">
        <v>87</v>
      </c>
      <c r="C4648" s="28" t="s">
        <v>43</v>
      </c>
      <c r="D4648" s="28" t="n">
        <v>26</v>
      </c>
      <c r="E4648" s="29" t="n">
        <v>13512200</v>
      </c>
      <c r="F4648" s="30" t="n">
        <v>259.22</v>
      </c>
      <c r="G4648" s="31" t="n">
        <f aca="false">IFERROR(F4648/D4648,0)</f>
        <v>9.97</v>
      </c>
    </row>
    <row r="4649" customFormat="false" ht="15" hidden="false" customHeight="false" outlineLevel="0" collapsed="false">
      <c r="A4649" s="28" t="n">
        <v>2025</v>
      </c>
      <c r="B4649" s="28" t="s">
        <v>87</v>
      </c>
      <c r="C4649" s="28" t="s">
        <v>49</v>
      </c>
      <c r="D4649" s="28" t="n">
        <v>2</v>
      </c>
      <c r="E4649" s="29" t="n">
        <v>650000</v>
      </c>
      <c r="F4649" s="30" t="n">
        <v>20</v>
      </c>
      <c r="G4649" s="31" t="n">
        <f aca="false">IFERROR(F4649/D4649,0)</f>
        <v>10</v>
      </c>
    </row>
    <row r="4650" customFormat="false" ht="15" hidden="false" customHeight="false" outlineLevel="0" collapsed="false">
      <c r="A4650" s="28" t="n">
        <v>2025</v>
      </c>
      <c r="B4650" s="28" t="s">
        <v>88</v>
      </c>
      <c r="C4650" s="28" t="s">
        <v>42</v>
      </c>
      <c r="D4650" s="28" t="n">
        <v>23</v>
      </c>
      <c r="E4650" s="29" t="n">
        <v>12437100</v>
      </c>
      <c r="F4650" s="30" t="n">
        <v>225.3</v>
      </c>
      <c r="G4650" s="31" t="n">
        <f aca="false">IFERROR(F4650/D4650,0)</f>
        <v>9.79565217391304</v>
      </c>
    </row>
    <row r="4651" customFormat="false" ht="15" hidden="false" customHeight="false" outlineLevel="0" collapsed="false">
      <c r="A4651" s="28" t="n">
        <v>2025</v>
      </c>
      <c r="B4651" s="28" t="s">
        <v>88</v>
      </c>
      <c r="C4651" s="28" t="s">
        <v>50</v>
      </c>
      <c r="D4651" s="28" t="n">
        <v>16</v>
      </c>
      <c r="E4651" s="29" t="n">
        <v>8535500</v>
      </c>
      <c r="F4651" s="30" t="n">
        <v>167.09</v>
      </c>
      <c r="G4651" s="31" t="n">
        <f aca="false">IFERROR(F4651/D4651,0)</f>
        <v>10.443125</v>
      </c>
    </row>
    <row r="4652" customFormat="false" ht="15" hidden="false" customHeight="false" outlineLevel="0" collapsed="false">
      <c r="A4652" s="28" t="n">
        <v>2025</v>
      </c>
      <c r="B4652" s="28" t="s">
        <v>88</v>
      </c>
      <c r="C4652" s="28" t="s">
        <v>55</v>
      </c>
      <c r="D4652" s="28" t="n">
        <v>3</v>
      </c>
      <c r="E4652" s="29" t="n">
        <v>1985600</v>
      </c>
      <c r="F4652" s="30" t="n">
        <v>31.75</v>
      </c>
      <c r="G4652" s="31" t="n">
        <f aca="false">IFERROR(F4652/D4652,0)</f>
        <v>10.5833333333333</v>
      </c>
    </row>
    <row r="4653" customFormat="false" ht="15" hidden="false" customHeight="false" outlineLevel="0" collapsed="false">
      <c r="A4653" s="28" t="n">
        <v>2025</v>
      </c>
      <c r="B4653" s="28" t="s">
        <v>88</v>
      </c>
      <c r="C4653" s="28" t="s">
        <v>51</v>
      </c>
      <c r="D4653" s="28" t="n">
        <v>9</v>
      </c>
      <c r="E4653" s="29" t="n">
        <v>3087000</v>
      </c>
      <c r="F4653" s="30" t="n">
        <v>100.74</v>
      </c>
      <c r="G4653" s="31" t="n">
        <f aca="false">IFERROR(F4653/D4653,0)</f>
        <v>11.1933333333333</v>
      </c>
    </row>
    <row r="4654" customFormat="false" ht="15" hidden="false" customHeight="false" outlineLevel="0" collapsed="false">
      <c r="A4654" s="28" t="n">
        <v>2025</v>
      </c>
      <c r="B4654" s="28" t="s">
        <v>88</v>
      </c>
      <c r="C4654" s="28" t="s">
        <v>45</v>
      </c>
      <c r="D4654" s="28" t="n">
        <v>30</v>
      </c>
      <c r="E4654" s="29" t="n">
        <v>3538100</v>
      </c>
      <c r="F4654" s="30" t="n">
        <v>353.83</v>
      </c>
      <c r="G4654" s="31" t="n">
        <f aca="false">IFERROR(F4654/D4654,0)</f>
        <v>11.7943333333333</v>
      </c>
    </row>
    <row r="4655" customFormat="false" ht="15" hidden="false" customHeight="false" outlineLevel="0" collapsed="false">
      <c r="A4655" s="28" t="n">
        <v>2025</v>
      </c>
      <c r="B4655" s="28" t="s">
        <v>88</v>
      </c>
      <c r="C4655" s="28" t="s">
        <v>56</v>
      </c>
      <c r="D4655" s="28" t="n">
        <v>6</v>
      </c>
      <c r="E4655" s="29" t="n">
        <v>3751000</v>
      </c>
      <c r="F4655" s="30" t="n">
        <v>62</v>
      </c>
      <c r="G4655" s="31" t="n">
        <f aca="false">IFERROR(F4655/D4655,0)</f>
        <v>10.3333333333333</v>
      </c>
    </row>
    <row r="4656" customFormat="false" ht="15" hidden="false" customHeight="false" outlineLevel="0" collapsed="false">
      <c r="A4656" s="28" t="n">
        <v>2025</v>
      </c>
      <c r="B4656" s="28" t="s">
        <v>88</v>
      </c>
      <c r="C4656" s="28" t="s">
        <v>54</v>
      </c>
      <c r="D4656" s="28" t="n">
        <v>8</v>
      </c>
      <c r="E4656" s="29" t="n">
        <v>695000</v>
      </c>
      <c r="F4656" s="30" t="n">
        <v>99.25</v>
      </c>
      <c r="G4656" s="31" t="n">
        <f aca="false">IFERROR(F4656/D4656,0)</f>
        <v>12.40625</v>
      </c>
    </row>
    <row r="4657" customFormat="false" ht="15" hidden="false" customHeight="false" outlineLevel="0" collapsed="false">
      <c r="A4657" s="28" t="n">
        <v>2025</v>
      </c>
      <c r="B4657" s="28" t="s">
        <v>88</v>
      </c>
      <c r="C4657" s="28" t="s">
        <v>44</v>
      </c>
      <c r="D4657" s="28" t="n">
        <v>10</v>
      </c>
      <c r="E4657" s="29" t="n">
        <v>2930000</v>
      </c>
      <c r="F4657" s="30" t="n">
        <v>106.76</v>
      </c>
      <c r="G4657" s="31" t="n">
        <f aca="false">IFERROR(F4657/D4657,0)</f>
        <v>10.676</v>
      </c>
    </row>
    <row r="4658" customFormat="false" ht="15" hidden="false" customHeight="false" outlineLevel="0" collapsed="false">
      <c r="A4658" s="28" t="n">
        <v>2025</v>
      </c>
      <c r="B4658" s="28" t="s">
        <v>88</v>
      </c>
      <c r="C4658" s="28" t="s">
        <v>57</v>
      </c>
      <c r="D4658" s="28" t="n">
        <v>2</v>
      </c>
      <c r="E4658" s="29" t="n">
        <v>650000</v>
      </c>
      <c r="F4658" s="30" t="n">
        <v>17.88</v>
      </c>
      <c r="G4658" s="31" t="n">
        <f aca="false">IFERROR(F4658/D4658,0)</f>
        <v>8.94</v>
      </c>
    </row>
    <row r="4659" customFormat="false" ht="15" hidden="false" customHeight="false" outlineLevel="0" collapsed="false">
      <c r="A4659" s="28" t="n">
        <v>2025</v>
      </c>
      <c r="B4659" s="28" t="s">
        <v>88</v>
      </c>
      <c r="C4659" s="28" t="s">
        <v>47</v>
      </c>
      <c r="D4659" s="28" t="n">
        <v>6</v>
      </c>
      <c r="E4659" s="29" t="n">
        <v>2516700</v>
      </c>
      <c r="F4659" s="30" t="n">
        <v>67.75</v>
      </c>
      <c r="G4659" s="31" t="n">
        <f aca="false">IFERROR(F4659/D4659,0)</f>
        <v>11.2916666666667</v>
      </c>
    </row>
    <row r="4660" customFormat="false" ht="15" hidden="false" customHeight="false" outlineLevel="0" collapsed="false">
      <c r="A4660" s="28" t="n">
        <v>2025</v>
      </c>
      <c r="B4660" s="28" t="s">
        <v>88</v>
      </c>
      <c r="C4660" s="28" t="s">
        <v>46</v>
      </c>
      <c r="D4660" s="28" t="n">
        <v>34</v>
      </c>
      <c r="E4660" s="29" t="n">
        <v>12702800</v>
      </c>
      <c r="F4660" s="30" t="n">
        <v>367.55</v>
      </c>
      <c r="G4660" s="31" t="n">
        <f aca="false">IFERROR(F4660/D4660,0)</f>
        <v>10.8102941176471</v>
      </c>
    </row>
    <row r="4661" customFormat="false" ht="15" hidden="false" customHeight="false" outlineLevel="0" collapsed="false">
      <c r="A4661" s="28" t="n">
        <v>2025</v>
      </c>
      <c r="B4661" s="28" t="s">
        <v>88</v>
      </c>
      <c r="C4661" s="28" t="s">
        <v>48</v>
      </c>
      <c r="D4661" s="28" t="n">
        <v>27</v>
      </c>
      <c r="E4661" s="29" t="n">
        <v>10540700</v>
      </c>
      <c r="F4661" s="30" t="n">
        <v>297.99</v>
      </c>
      <c r="G4661" s="31" t="n">
        <f aca="false">IFERROR(F4661/D4661,0)</f>
        <v>11.0366666666667</v>
      </c>
    </row>
    <row r="4662" customFormat="false" ht="15" hidden="false" customHeight="false" outlineLevel="0" collapsed="false">
      <c r="A4662" s="28" t="n">
        <v>2025</v>
      </c>
      <c r="B4662" s="28" t="s">
        <v>88</v>
      </c>
      <c r="C4662" s="28" t="s">
        <v>53</v>
      </c>
      <c r="D4662" s="28" t="n">
        <v>7</v>
      </c>
      <c r="E4662" s="29" t="n">
        <v>1949000</v>
      </c>
      <c r="F4662" s="30" t="n">
        <v>81.9</v>
      </c>
      <c r="G4662" s="31" t="n">
        <f aca="false">IFERROR(F4662/D4662,0)</f>
        <v>11.7</v>
      </c>
    </row>
    <row r="4663" customFormat="false" ht="15" hidden="false" customHeight="false" outlineLevel="0" collapsed="false">
      <c r="A4663" s="28" t="n">
        <v>2025</v>
      </c>
      <c r="B4663" s="28" t="s">
        <v>88</v>
      </c>
      <c r="C4663" s="28" t="s">
        <v>43</v>
      </c>
      <c r="D4663" s="28" t="n">
        <v>22</v>
      </c>
      <c r="E4663" s="29" t="n">
        <v>6354500</v>
      </c>
      <c r="F4663" s="30" t="n">
        <v>254.74</v>
      </c>
      <c r="G4663" s="31" t="n">
        <f aca="false">IFERROR(F4663/D4663,0)</f>
        <v>11.5790909090909</v>
      </c>
    </row>
    <row r="4664" customFormat="false" ht="15" hidden="false" customHeight="false" outlineLevel="0" collapsed="false">
      <c r="A4664" s="28" t="n">
        <v>2025</v>
      </c>
      <c r="B4664" s="28" t="s">
        <v>88</v>
      </c>
      <c r="C4664" s="28" t="s">
        <v>52</v>
      </c>
      <c r="D4664" s="28" t="n">
        <v>9</v>
      </c>
      <c r="E4664" s="29" t="n">
        <v>491300</v>
      </c>
      <c r="F4664" s="30" t="n">
        <v>106.5</v>
      </c>
      <c r="G4664" s="31" t="n">
        <f aca="false">IFERROR(F4664/D4664,0)</f>
        <v>11.8333333333333</v>
      </c>
    </row>
    <row r="4665" customFormat="false" ht="15" hidden="false" customHeight="false" outlineLevel="0" collapsed="false">
      <c r="A4665" s="28" t="n">
        <v>2025</v>
      </c>
      <c r="B4665" s="28" t="s">
        <v>88</v>
      </c>
      <c r="C4665" s="28" t="s">
        <v>49</v>
      </c>
      <c r="D4665" s="28" t="n">
        <v>11</v>
      </c>
      <c r="E4665" s="29" t="n">
        <v>2990000</v>
      </c>
      <c r="F4665" s="30" t="n">
        <v>122.81</v>
      </c>
      <c r="G4665" s="31" t="n">
        <f aca="false">IFERROR(F4665/D4665,0)</f>
        <v>11.1645454545455</v>
      </c>
    </row>
    <row r="4666" customFormat="false" ht="15" hidden="false" customHeight="false" outlineLevel="0" collapsed="false">
      <c r="A4666" s="28" t="n">
        <v>2025</v>
      </c>
      <c r="B4666" s="28" t="s">
        <v>79</v>
      </c>
      <c r="C4666" s="28" t="s">
        <v>42</v>
      </c>
      <c r="D4666" s="28" t="n">
        <v>460</v>
      </c>
      <c r="E4666" s="29" t="n">
        <v>308972500</v>
      </c>
      <c r="F4666" s="30" t="n">
        <v>4680.9</v>
      </c>
      <c r="G4666" s="31" t="n">
        <f aca="false">IFERROR(F4666/D4666,0)</f>
        <v>10.1758695652174</v>
      </c>
    </row>
    <row r="4667" customFormat="false" ht="15" hidden="false" customHeight="false" outlineLevel="0" collapsed="false">
      <c r="A4667" s="28" t="n">
        <v>2025</v>
      </c>
      <c r="B4667" s="28" t="s">
        <v>79</v>
      </c>
      <c r="C4667" s="28" t="s">
        <v>50</v>
      </c>
      <c r="D4667" s="28" t="n">
        <v>340</v>
      </c>
      <c r="E4667" s="29" t="n">
        <v>128382800</v>
      </c>
      <c r="F4667" s="30" t="n">
        <v>3628.39</v>
      </c>
      <c r="G4667" s="31" t="n">
        <f aca="false">IFERROR(F4667/D4667,0)</f>
        <v>10.6717352941176</v>
      </c>
    </row>
    <row r="4668" customFormat="false" ht="15" hidden="false" customHeight="false" outlineLevel="0" collapsed="false">
      <c r="A4668" s="28" t="n">
        <v>2025</v>
      </c>
      <c r="B4668" s="28" t="s">
        <v>79</v>
      </c>
      <c r="C4668" s="28" t="s">
        <v>55</v>
      </c>
      <c r="D4668" s="28" t="n">
        <v>16</v>
      </c>
      <c r="E4668" s="29" t="n">
        <v>16063600</v>
      </c>
      <c r="F4668" s="30" t="n">
        <v>163.5</v>
      </c>
      <c r="G4668" s="31" t="n">
        <f aca="false">IFERROR(F4668/D4668,0)</f>
        <v>10.21875</v>
      </c>
    </row>
    <row r="4669" customFormat="false" ht="15" hidden="false" customHeight="false" outlineLevel="0" collapsed="false">
      <c r="A4669" s="28" t="n">
        <v>2025</v>
      </c>
      <c r="B4669" s="28" t="s">
        <v>79</v>
      </c>
      <c r="C4669" s="28" t="s">
        <v>51</v>
      </c>
      <c r="D4669" s="28" t="n">
        <v>181</v>
      </c>
      <c r="E4669" s="29" t="n">
        <v>88580600</v>
      </c>
      <c r="F4669" s="30" t="n">
        <v>1891.81</v>
      </c>
      <c r="G4669" s="31" t="n">
        <f aca="false">IFERROR(F4669/D4669,0)</f>
        <v>10.4519889502762</v>
      </c>
    </row>
    <row r="4670" customFormat="false" ht="15" hidden="false" customHeight="false" outlineLevel="0" collapsed="false">
      <c r="A4670" s="28" t="n">
        <v>2025</v>
      </c>
      <c r="B4670" s="28" t="s">
        <v>79</v>
      </c>
      <c r="C4670" s="28" t="s">
        <v>45</v>
      </c>
      <c r="D4670" s="28" t="n">
        <v>698</v>
      </c>
      <c r="E4670" s="29" t="n">
        <v>387125300</v>
      </c>
      <c r="F4670" s="30" t="n">
        <v>7393.323</v>
      </c>
      <c r="G4670" s="31" t="n">
        <f aca="false">IFERROR(F4670/D4670,0)</f>
        <v>10.5921532951289</v>
      </c>
    </row>
    <row r="4671" customFormat="false" ht="15" hidden="false" customHeight="false" outlineLevel="0" collapsed="false">
      <c r="A4671" s="28" t="n">
        <v>2025</v>
      </c>
      <c r="B4671" s="28" t="s">
        <v>79</v>
      </c>
      <c r="C4671" s="28" t="s">
        <v>56</v>
      </c>
      <c r="D4671" s="28" t="n">
        <v>83</v>
      </c>
      <c r="E4671" s="29" t="n">
        <v>30383800</v>
      </c>
      <c r="F4671" s="30" t="n">
        <v>884.14</v>
      </c>
      <c r="G4671" s="31" t="n">
        <f aca="false">IFERROR(F4671/D4671,0)</f>
        <v>10.6522891566265</v>
      </c>
    </row>
    <row r="4672" customFormat="false" ht="15" hidden="false" customHeight="false" outlineLevel="0" collapsed="false">
      <c r="A4672" s="28" t="n">
        <v>2025</v>
      </c>
      <c r="B4672" s="28" t="s">
        <v>79</v>
      </c>
      <c r="C4672" s="28" t="s">
        <v>54</v>
      </c>
      <c r="D4672" s="28" t="n">
        <v>135</v>
      </c>
      <c r="E4672" s="29" t="n">
        <v>76030700</v>
      </c>
      <c r="F4672" s="30" t="n">
        <v>1413.74</v>
      </c>
      <c r="G4672" s="31" t="n">
        <f aca="false">IFERROR(F4672/D4672,0)</f>
        <v>10.4721481481481</v>
      </c>
    </row>
    <row r="4673" customFormat="false" ht="15" hidden="false" customHeight="false" outlineLevel="0" collapsed="false">
      <c r="A4673" s="28" t="n">
        <v>2025</v>
      </c>
      <c r="B4673" s="28" t="s">
        <v>79</v>
      </c>
      <c r="C4673" s="28" t="s">
        <v>44</v>
      </c>
      <c r="D4673" s="28" t="n">
        <v>556</v>
      </c>
      <c r="E4673" s="29" t="n">
        <v>351533800</v>
      </c>
      <c r="F4673" s="30" t="n">
        <v>5613.68</v>
      </c>
      <c r="G4673" s="31" t="n">
        <f aca="false">IFERROR(F4673/D4673,0)</f>
        <v>10.0965467625899</v>
      </c>
    </row>
    <row r="4674" customFormat="false" ht="15" hidden="false" customHeight="false" outlineLevel="0" collapsed="false">
      <c r="A4674" s="28" t="n">
        <v>2025</v>
      </c>
      <c r="B4674" s="28" t="s">
        <v>79</v>
      </c>
      <c r="C4674" s="28" t="s">
        <v>57</v>
      </c>
      <c r="D4674" s="28" t="n">
        <v>45</v>
      </c>
      <c r="E4674" s="29" t="n">
        <v>19136000</v>
      </c>
      <c r="F4674" s="30" t="n">
        <v>500.818</v>
      </c>
      <c r="G4674" s="31" t="n">
        <f aca="false">IFERROR(F4674/D4674,0)</f>
        <v>11.1292888888889</v>
      </c>
    </row>
    <row r="4675" customFormat="false" ht="15" hidden="false" customHeight="false" outlineLevel="0" collapsed="false">
      <c r="A4675" s="28" t="n">
        <v>2025</v>
      </c>
      <c r="B4675" s="28" t="s">
        <v>79</v>
      </c>
      <c r="C4675" s="28" t="s">
        <v>59</v>
      </c>
      <c r="D4675" s="28" t="n">
        <v>4</v>
      </c>
      <c r="E4675" s="29" t="n">
        <v>4204000</v>
      </c>
      <c r="F4675" s="30" t="n">
        <v>45</v>
      </c>
      <c r="G4675" s="31" t="n">
        <f aca="false">IFERROR(F4675/D4675,0)</f>
        <v>11.25</v>
      </c>
    </row>
    <row r="4676" customFormat="false" ht="15" hidden="false" customHeight="false" outlineLevel="0" collapsed="false">
      <c r="A4676" s="28" t="n">
        <v>2025</v>
      </c>
      <c r="B4676" s="28" t="s">
        <v>79</v>
      </c>
      <c r="C4676" s="28" t="s">
        <v>47</v>
      </c>
      <c r="D4676" s="28" t="n">
        <v>236</v>
      </c>
      <c r="E4676" s="29" t="n">
        <v>135836600</v>
      </c>
      <c r="F4676" s="30" t="n">
        <v>2468.58</v>
      </c>
      <c r="G4676" s="31" t="n">
        <f aca="false">IFERROR(F4676/D4676,0)</f>
        <v>10.4600847457627</v>
      </c>
    </row>
    <row r="4677" customFormat="false" ht="15" hidden="false" customHeight="false" outlineLevel="0" collapsed="false">
      <c r="A4677" s="28" t="n">
        <v>2025</v>
      </c>
      <c r="B4677" s="28" t="s">
        <v>79</v>
      </c>
      <c r="C4677" s="28" t="s">
        <v>58</v>
      </c>
      <c r="D4677" s="28" t="n">
        <v>1</v>
      </c>
      <c r="E4677" s="29" t="n">
        <v>150000</v>
      </c>
      <c r="F4677" s="30" t="n">
        <v>10.75</v>
      </c>
      <c r="G4677" s="31" t="n">
        <f aca="false">IFERROR(F4677/D4677,0)</f>
        <v>10.75</v>
      </c>
    </row>
    <row r="4678" customFormat="false" ht="15" hidden="false" customHeight="false" outlineLevel="0" collapsed="false">
      <c r="A4678" s="28" t="n">
        <v>2025</v>
      </c>
      <c r="B4678" s="28" t="s">
        <v>79</v>
      </c>
      <c r="C4678" s="28" t="s">
        <v>46</v>
      </c>
      <c r="D4678" s="28" t="n">
        <v>460</v>
      </c>
      <c r="E4678" s="29" t="n">
        <v>239817300</v>
      </c>
      <c r="F4678" s="30" t="n">
        <v>4892.49</v>
      </c>
      <c r="G4678" s="31" t="n">
        <f aca="false">IFERROR(F4678/D4678,0)</f>
        <v>10.635847826087</v>
      </c>
    </row>
    <row r="4679" customFormat="false" ht="15" hidden="false" customHeight="false" outlineLevel="0" collapsed="false">
      <c r="A4679" s="28" t="n">
        <v>2025</v>
      </c>
      <c r="B4679" s="28" t="s">
        <v>79</v>
      </c>
      <c r="C4679" s="28" t="s">
        <v>48</v>
      </c>
      <c r="D4679" s="28" t="n">
        <v>590</v>
      </c>
      <c r="E4679" s="29" t="n">
        <v>303448100</v>
      </c>
      <c r="F4679" s="30" t="n">
        <v>6243.79</v>
      </c>
      <c r="G4679" s="31" t="n">
        <f aca="false">IFERROR(F4679/D4679,0)</f>
        <v>10.5826949152542</v>
      </c>
    </row>
    <row r="4680" customFormat="false" ht="15" hidden="false" customHeight="false" outlineLevel="0" collapsed="false">
      <c r="A4680" s="28" t="n">
        <v>2025</v>
      </c>
      <c r="B4680" s="28" t="s">
        <v>79</v>
      </c>
      <c r="C4680" s="28" t="s">
        <v>61</v>
      </c>
      <c r="D4680" s="28" t="n">
        <v>2</v>
      </c>
      <c r="E4680" s="29" t="n">
        <v>73000</v>
      </c>
      <c r="F4680" s="30" t="n">
        <v>25.5</v>
      </c>
      <c r="G4680" s="31" t="n">
        <f aca="false">IFERROR(F4680/D4680,0)</f>
        <v>12.75</v>
      </c>
    </row>
    <row r="4681" customFormat="false" ht="15" hidden="false" customHeight="false" outlineLevel="0" collapsed="false">
      <c r="A4681" s="28" t="n">
        <v>2025</v>
      </c>
      <c r="B4681" s="28" t="s">
        <v>79</v>
      </c>
      <c r="C4681" s="28" t="s">
        <v>53</v>
      </c>
      <c r="D4681" s="28" t="n">
        <v>124</v>
      </c>
      <c r="E4681" s="29" t="n">
        <v>64867200</v>
      </c>
      <c r="F4681" s="30" t="n">
        <v>1324.95</v>
      </c>
      <c r="G4681" s="31" t="n">
        <f aca="false">IFERROR(F4681/D4681,0)</f>
        <v>10.6850806451613</v>
      </c>
    </row>
    <row r="4682" customFormat="false" ht="15" hidden="false" customHeight="false" outlineLevel="0" collapsed="false">
      <c r="A4682" s="28" t="n">
        <v>2025</v>
      </c>
      <c r="B4682" s="28" t="s">
        <v>79</v>
      </c>
      <c r="C4682" s="28" t="s">
        <v>43</v>
      </c>
      <c r="D4682" s="28" t="n">
        <v>453</v>
      </c>
      <c r="E4682" s="29" t="n">
        <v>236889900</v>
      </c>
      <c r="F4682" s="30" t="n">
        <v>4784.19</v>
      </c>
      <c r="G4682" s="31" t="n">
        <f aca="false">IFERROR(F4682/D4682,0)</f>
        <v>10.5611258278146</v>
      </c>
    </row>
    <row r="4683" customFormat="false" ht="15" hidden="false" customHeight="false" outlineLevel="0" collapsed="false">
      <c r="A4683" s="28" t="n">
        <v>2025</v>
      </c>
      <c r="B4683" s="28" t="s">
        <v>79</v>
      </c>
      <c r="C4683" s="28" t="s">
        <v>52</v>
      </c>
      <c r="D4683" s="28" t="n">
        <v>194</v>
      </c>
      <c r="E4683" s="29" t="n">
        <v>76239700</v>
      </c>
      <c r="F4683" s="30" t="n">
        <v>2109.86</v>
      </c>
      <c r="G4683" s="31" t="n">
        <f aca="false">IFERROR(F4683/D4683,0)</f>
        <v>10.8755670103093</v>
      </c>
    </row>
    <row r="4684" customFormat="false" ht="15" hidden="false" customHeight="false" outlineLevel="0" collapsed="false">
      <c r="A4684" s="28" t="n">
        <v>2025</v>
      </c>
      <c r="B4684" s="28" t="s">
        <v>79</v>
      </c>
      <c r="C4684" s="28" t="s">
        <v>60</v>
      </c>
      <c r="D4684" s="28" t="n">
        <v>9</v>
      </c>
      <c r="E4684" s="29" t="n">
        <v>6335300</v>
      </c>
      <c r="F4684" s="30" t="n">
        <v>95.3</v>
      </c>
      <c r="G4684" s="31" t="n">
        <f aca="false">IFERROR(F4684/D4684,0)</f>
        <v>10.5888888888889</v>
      </c>
    </row>
    <row r="4685" customFormat="false" ht="15" hidden="false" customHeight="false" outlineLevel="0" collapsed="false">
      <c r="A4685" s="28" t="n">
        <v>2025</v>
      </c>
      <c r="B4685" s="28" t="s">
        <v>79</v>
      </c>
      <c r="C4685" s="28" t="s">
        <v>49</v>
      </c>
      <c r="D4685" s="28" t="n">
        <v>320</v>
      </c>
      <c r="E4685" s="29" t="n">
        <v>243047000</v>
      </c>
      <c r="F4685" s="30" t="n">
        <v>3414.888</v>
      </c>
      <c r="G4685" s="31" t="n">
        <f aca="false">IFERROR(F4685/D4685,0)</f>
        <v>10.671525</v>
      </c>
    </row>
    <row r="4686" customFormat="false" ht="15" hidden="false" customHeight="false" outlineLevel="0" collapsed="false">
      <c r="A4686" s="28" t="n">
        <v>2025</v>
      </c>
      <c r="B4686" s="28" t="s">
        <v>81</v>
      </c>
      <c r="C4686" s="28" t="s">
        <v>42</v>
      </c>
      <c r="D4686" s="28" t="n">
        <v>313</v>
      </c>
      <c r="E4686" s="29" t="n">
        <v>281873100</v>
      </c>
      <c r="F4686" s="30" t="n">
        <v>3014.655</v>
      </c>
      <c r="G4686" s="31" t="n">
        <f aca="false">IFERROR(F4686/D4686,0)</f>
        <v>9.6314856230032</v>
      </c>
    </row>
    <row r="4687" customFormat="false" ht="15" hidden="false" customHeight="false" outlineLevel="0" collapsed="false">
      <c r="A4687" s="28" t="n">
        <v>2025</v>
      </c>
      <c r="B4687" s="28" t="s">
        <v>81</v>
      </c>
      <c r="C4687" s="28" t="s">
        <v>50</v>
      </c>
      <c r="D4687" s="28" t="n">
        <v>129</v>
      </c>
      <c r="E4687" s="29" t="n">
        <v>50220700</v>
      </c>
      <c r="F4687" s="30" t="n">
        <v>1370.86</v>
      </c>
      <c r="G4687" s="31" t="n">
        <f aca="false">IFERROR(F4687/D4687,0)</f>
        <v>10.6268217054264</v>
      </c>
    </row>
    <row r="4688" customFormat="false" ht="15" hidden="false" customHeight="false" outlineLevel="0" collapsed="false">
      <c r="A4688" s="28" t="n">
        <v>2025</v>
      </c>
      <c r="B4688" s="28" t="s">
        <v>81</v>
      </c>
      <c r="C4688" s="28" t="s">
        <v>55</v>
      </c>
      <c r="D4688" s="28" t="n">
        <v>14</v>
      </c>
      <c r="E4688" s="29" t="n">
        <v>35477100</v>
      </c>
      <c r="F4688" s="30" t="n">
        <v>120.43</v>
      </c>
      <c r="G4688" s="31" t="n">
        <f aca="false">IFERROR(F4688/D4688,0)</f>
        <v>8.60214285714286</v>
      </c>
    </row>
    <row r="4689" customFormat="false" ht="15" hidden="false" customHeight="false" outlineLevel="0" collapsed="false">
      <c r="A4689" s="28" t="n">
        <v>2025</v>
      </c>
      <c r="B4689" s="28" t="s">
        <v>81</v>
      </c>
      <c r="C4689" s="28" t="s">
        <v>51</v>
      </c>
      <c r="D4689" s="28" t="n">
        <v>72</v>
      </c>
      <c r="E4689" s="29" t="n">
        <v>61562700</v>
      </c>
      <c r="F4689" s="30" t="n">
        <v>722.39</v>
      </c>
      <c r="G4689" s="31" t="n">
        <f aca="false">IFERROR(F4689/D4689,0)</f>
        <v>10.0331944444444</v>
      </c>
    </row>
    <row r="4690" customFormat="false" ht="15" hidden="false" customHeight="false" outlineLevel="0" collapsed="false">
      <c r="A4690" s="28" t="n">
        <v>2025</v>
      </c>
      <c r="B4690" s="28" t="s">
        <v>81</v>
      </c>
      <c r="C4690" s="28" t="s">
        <v>45</v>
      </c>
      <c r="D4690" s="28" t="n">
        <v>166</v>
      </c>
      <c r="E4690" s="29" t="n">
        <v>96704000</v>
      </c>
      <c r="F4690" s="30" t="n">
        <v>1781.145</v>
      </c>
      <c r="G4690" s="31" t="n">
        <f aca="false">IFERROR(F4690/D4690,0)</f>
        <v>10.7297891566265</v>
      </c>
    </row>
    <row r="4691" customFormat="false" ht="15" hidden="false" customHeight="false" outlineLevel="0" collapsed="false">
      <c r="A4691" s="28" t="n">
        <v>2025</v>
      </c>
      <c r="B4691" s="28" t="s">
        <v>81</v>
      </c>
      <c r="C4691" s="28" t="s">
        <v>56</v>
      </c>
      <c r="D4691" s="28" t="n">
        <v>32</v>
      </c>
      <c r="E4691" s="29" t="n">
        <v>18760500</v>
      </c>
      <c r="F4691" s="30" t="n">
        <v>323.94</v>
      </c>
      <c r="G4691" s="31" t="n">
        <f aca="false">IFERROR(F4691/D4691,0)</f>
        <v>10.123125</v>
      </c>
    </row>
    <row r="4692" customFormat="false" ht="15" hidden="false" customHeight="false" outlineLevel="0" collapsed="false">
      <c r="A4692" s="28" t="n">
        <v>2025</v>
      </c>
      <c r="B4692" s="28" t="s">
        <v>81</v>
      </c>
      <c r="C4692" s="28" t="s">
        <v>54</v>
      </c>
      <c r="D4692" s="28" t="n">
        <v>41</v>
      </c>
      <c r="E4692" s="29" t="n">
        <v>17607100</v>
      </c>
      <c r="F4692" s="30" t="n">
        <v>435.33</v>
      </c>
      <c r="G4692" s="31" t="n">
        <f aca="false">IFERROR(F4692/D4692,0)</f>
        <v>10.6178048780488</v>
      </c>
    </row>
    <row r="4693" customFormat="false" ht="15" hidden="false" customHeight="false" outlineLevel="0" collapsed="false">
      <c r="A4693" s="28" t="n">
        <v>2025</v>
      </c>
      <c r="B4693" s="28" t="s">
        <v>81</v>
      </c>
      <c r="C4693" s="28" t="s">
        <v>44</v>
      </c>
      <c r="D4693" s="28" t="n">
        <v>209</v>
      </c>
      <c r="E4693" s="29" t="n">
        <v>140187200</v>
      </c>
      <c r="F4693" s="30" t="n">
        <v>2136.915</v>
      </c>
      <c r="G4693" s="31" t="n">
        <f aca="false">IFERROR(F4693/D4693,0)</f>
        <v>10.2244736842105</v>
      </c>
    </row>
    <row r="4694" customFormat="false" ht="15" hidden="false" customHeight="false" outlineLevel="0" collapsed="false">
      <c r="A4694" s="28" t="n">
        <v>2025</v>
      </c>
      <c r="B4694" s="28" t="s">
        <v>81</v>
      </c>
      <c r="C4694" s="28" t="s">
        <v>57</v>
      </c>
      <c r="D4694" s="28" t="n">
        <v>12</v>
      </c>
      <c r="E4694" s="29" t="n">
        <v>7665400</v>
      </c>
      <c r="F4694" s="30" t="n">
        <v>141.6</v>
      </c>
      <c r="G4694" s="31" t="n">
        <f aca="false">IFERROR(F4694/D4694,0)</f>
        <v>11.8</v>
      </c>
    </row>
    <row r="4695" customFormat="false" ht="15" hidden="false" customHeight="false" outlineLevel="0" collapsed="false">
      <c r="A4695" s="28" t="n">
        <v>2025</v>
      </c>
      <c r="B4695" s="28" t="s">
        <v>81</v>
      </c>
      <c r="C4695" s="28" t="s">
        <v>59</v>
      </c>
      <c r="D4695" s="28" t="n">
        <v>1</v>
      </c>
      <c r="E4695" s="29" t="n">
        <v>938000</v>
      </c>
      <c r="F4695" s="30" t="n">
        <v>10.25</v>
      </c>
      <c r="G4695" s="31" t="n">
        <f aca="false">IFERROR(F4695/D4695,0)</f>
        <v>10.25</v>
      </c>
    </row>
    <row r="4696" customFormat="false" ht="15" hidden="false" customHeight="false" outlineLevel="0" collapsed="false">
      <c r="A4696" s="28" t="n">
        <v>2025</v>
      </c>
      <c r="B4696" s="28" t="s">
        <v>81</v>
      </c>
      <c r="C4696" s="28" t="s">
        <v>47</v>
      </c>
      <c r="D4696" s="28" t="n">
        <v>72</v>
      </c>
      <c r="E4696" s="29" t="n">
        <v>73988400</v>
      </c>
      <c r="F4696" s="30" t="n">
        <v>747.93</v>
      </c>
      <c r="G4696" s="31" t="n">
        <f aca="false">IFERROR(F4696/D4696,0)</f>
        <v>10.3879166666667</v>
      </c>
    </row>
    <row r="4697" customFormat="false" ht="15" hidden="false" customHeight="false" outlineLevel="0" collapsed="false">
      <c r="A4697" s="28" t="n">
        <v>2025</v>
      </c>
      <c r="B4697" s="28" t="s">
        <v>81</v>
      </c>
      <c r="C4697" s="28" t="s">
        <v>58</v>
      </c>
      <c r="D4697" s="28" t="n">
        <v>2</v>
      </c>
      <c r="E4697" s="29" t="n">
        <v>690000</v>
      </c>
      <c r="F4697" s="30" t="n">
        <v>21</v>
      </c>
      <c r="G4697" s="31" t="n">
        <f aca="false">IFERROR(F4697/D4697,0)</f>
        <v>10.5</v>
      </c>
    </row>
    <row r="4698" customFormat="false" ht="15" hidden="false" customHeight="false" outlineLevel="0" collapsed="false">
      <c r="A4698" s="28" t="n">
        <v>2025</v>
      </c>
      <c r="B4698" s="28" t="s">
        <v>81</v>
      </c>
      <c r="C4698" s="28" t="s">
        <v>46</v>
      </c>
      <c r="D4698" s="28" t="n">
        <v>196</v>
      </c>
      <c r="E4698" s="29" t="n">
        <v>105434100</v>
      </c>
      <c r="F4698" s="30" t="n">
        <v>2054.17</v>
      </c>
      <c r="G4698" s="31" t="n">
        <f aca="false">IFERROR(F4698/D4698,0)</f>
        <v>10.4804591836735</v>
      </c>
    </row>
    <row r="4699" customFormat="false" ht="15" hidden="false" customHeight="false" outlineLevel="0" collapsed="false">
      <c r="A4699" s="28" t="n">
        <v>2025</v>
      </c>
      <c r="B4699" s="28" t="s">
        <v>81</v>
      </c>
      <c r="C4699" s="28" t="s">
        <v>48</v>
      </c>
      <c r="D4699" s="28" t="n">
        <v>183</v>
      </c>
      <c r="E4699" s="29" t="n">
        <v>76592400</v>
      </c>
      <c r="F4699" s="30" t="n">
        <v>1982.89</v>
      </c>
      <c r="G4699" s="31" t="n">
        <f aca="false">IFERROR(F4699/D4699,0)</f>
        <v>10.8354644808743</v>
      </c>
    </row>
    <row r="4700" customFormat="false" ht="15" hidden="false" customHeight="false" outlineLevel="0" collapsed="false">
      <c r="A4700" s="28" t="n">
        <v>2025</v>
      </c>
      <c r="B4700" s="28" t="s">
        <v>81</v>
      </c>
      <c r="C4700" s="28" t="s">
        <v>53</v>
      </c>
      <c r="D4700" s="28" t="n">
        <v>23</v>
      </c>
      <c r="E4700" s="29" t="n">
        <v>8612200</v>
      </c>
      <c r="F4700" s="30" t="n">
        <v>243.28</v>
      </c>
      <c r="G4700" s="31" t="n">
        <f aca="false">IFERROR(F4700/D4700,0)</f>
        <v>10.5773913043478</v>
      </c>
    </row>
    <row r="4701" customFormat="false" ht="15" hidden="false" customHeight="false" outlineLevel="0" collapsed="false">
      <c r="A4701" s="28" t="n">
        <v>2025</v>
      </c>
      <c r="B4701" s="28" t="s">
        <v>81</v>
      </c>
      <c r="C4701" s="28" t="s">
        <v>43</v>
      </c>
      <c r="D4701" s="28" t="n">
        <v>250</v>
      </c>
      <c r="E4701" s="29" t="n">
        <v>246099300</v>
      </c>
      <c r="F4701" s="30" t="n">
        <v>2537.255</v>
      </c>
      <c r="G4701" s="31" t="n">
        <f aca="false">IFERROR(F4701/D4701,0)</f>
        <v>10.14902</v>
      </c>
    </row>
    <row r="4702" customFormat="false" ht="15" hidden="false" customHeight="false" outlineLevel="0" collapsed="false">
      <c r="A4702" s="28" t="n">
        <v>2025</v>
      </c>
      <c r="B4702" s="28" t="s">
        <v>81</v>
      </c>
      <c r="C4702" s="28" t="s">
        <v>52</v>
      </c>
      <c r="D4702" s="28" t="n">
        <v>74</v>
      </c>
      <c r="E4702" s="29" t="n">
        <v>33869700</v>
      </c>
      <c r="F4702" s="30" t="n">
        <v>813.54</v>
      </c>
      <c r="G4702" s="31" t="n">
        <f aca="false">IFERROR(F4702/D4702,0)</f>
        <v>10.9937837837838</v>
      </c>
    </row>
    <row r="4703" customFormat="false" ht="15" hidden="false" customHeight="false" outlineLevel="0" collapsed="false">
      <c r="A4703" s="28" t="n">
        <v>2025</v>
      </c>
      <c r="B4703" s="28" t="s">
        <v>81</v>
      </c>
      <c r="C4703" s="28" t="s">
        <v>49</v>
      </c>
      <c r="D4703" s="28" t="n">
        <v>76</v>
      </c>
      <c r="E4703" s="29" t="n">
        <v>54399600</v>
      </c>
      <c r="F4703" s="30" t="n">
        <v>789.04</v>
      </c>
      <c r="G4703" s="31" t="n">
        <f aca="false">IFERROR(F4703/D4703,0)</f>
        <v>10.3821052631579</v>
      </c>
    </row>
    <row r="4704" customFormat="false" ht="15" hidden="false" customHeight="false" outlineLevel="0" collapsed="false">
      <c r="A4704" s="28" t="n">
        <v>2025</v>
      </c>
      <c r="B4704" s="28" t="s">
        <v>92</v>
      </c>
      <c r="C4704" s="28" t="s">
        <v>42</v>
      </c>
      <c r="D4704" s="28" t="n">
        <v>1</v>
      </c>
      <c r="E4704" s="29" t="n">
        <v>50000</v>
      </c>
      <c r="F4704" s="30" t="n">
        <v>9.75</v>
      </c>
      <c r="G4704" s="31" t="n">
        <f aca="false">IFERROR(F4704/D4704,0)</f>
        <v>9.75</v>
      </c>
    </row>
    <row r="4705" customFormat="false" ht="15" hidden="false" customHeight="false" outlineLevel="0" collapsed="false">
      <c r="A4705" s="28" t="n">
        <v>2025</v>
      </c>
      <c r="B4705" s="28" t="s">
        <v>92</v>
      </c>
      <c r="C4705" s="28" t="s">
        <v>44</v>
      </c>
      <c r="D4705" s="28" t="n">
        <v>3</v>
      </c>
      <c r="E4705" s="29" t="n">
        <v>2008000</v>
      </c>
      <c r="F4705" s="30" t="n">
        <v>26.5</v>
      </c>
      <c r="G4705" s="31" t="n">
        <f aca="false">IFERROR(F4705/D4705,0)</f>
        <v>8.83333333333333</v>
      </c>
    </row>
    <row r="4706" customFormat="false" ht="15" hidden="false" customHeight="false" outlineLevel="0" collapsed="false">
      <c r="A4706" s="28" t="n">
        <v>2025</v>
      </c>
      <c r="B4706" s="28" t="s">
        <v>92</v>
      </c>
      <c r="C4706" s="28" t="s">
        <v>43</v>
      </c>
      <c r="D4706" s="28" t="n">
        <v>3</v>
      </c>
      <c r="E4706" s="29" t="n">
        <v>600000</v>
      </c>
      <c r="F4706" s="30" t="n">
        <v>29.5</v>
      </c>
      <c r="G4706" s="31" t="n">
        <f aca="false">IFERROR(F4706/D4706,0)</f>
        <v>9.83333333333333</v>
      </c>
    </row>
    <row r="4707" customFormat="false" ht="15" hidden="false" customHeight="false" outlineLevel="0" collapsed="false">
      <c r="A4707" s="28" t="n">
        <v>2025</v>
      </c>
      <c r="B4707" s="28" t="s">
        <v>94</v>
      </c>
      <c r="C4707" s="28" t="s">
        <v>42</v>
      </c>
      <c r="D4707" s="28" t="n">
        <v>35</v>
      </c>
      <c r="E4707" s="29" t="n">
        <v>5177000</v>
      </c>
      <c r="F4707" s="30" t="n">
        <v>363.49</v>
      </c>
      <c r="G4707" s="31" t="n">
        <f aca="false">IFERROR(F4707/D4707,0)</f>
        <v>10.3854285714286</v>
      </c>
    </row>
    <row r="4708" customFormat="false" ht="15" hidden="false" customHeight="false" outlineLevel="0" collapsed="false">
      <c r="A4708" s="28" t="n">
        <v>2025</v>
      </c>
      <c r="B4708" s="28" t="s">
        <v>94</v>
      </c>
      <c r="C4708" s="28" t="s">
        <v>50</v>
      </c>
      <c r="D4708" s="28" t="n">
        <v>12</v>
      </c>
      <c r="E4708" s="29" t="n">
        <v>3370000</v>
      </c>
      <c r="F4708" s="30" t="n">
        <v>134.49</v>
      </c>
      <c r="G4708" s="31" t="n">
        <f aca="false">IFERROR(F4708/D4708,0)</f>
        <v>11.2075</v>
      </c>
    </row>
    <row r="4709" customFormat="false" ht="15" hidden="false" customHeight="false" outlineLevel="0" collapsed="false">
      <c r="A4709" s="28" t="n">
        <v>2025</v>
      </c>
      <c r="B4709" s="28" t="s">
        <v>94</v>
      </c>
      <c r="C4709" s="28" t="s">
        <v>55</v>
      </c>
      <c r="D4709" s="28" t="n">
        <v>2</v>
      </c>
      <c r="E4709" s="29" t="n">
        <v>523500</v>
      </c>
      <c r="F4709" s="30" t="n">
        <v>21</v>
      </c>
      <c r="G4709" s="31" t="n">
        <f aca="false">IFERROR(F4709/D4709,0)</f>
        <v>10.5</v>
      </c>
    </row>
    <row r="4710" customFormat="false" ht="15" hidden="false" customHeight="false" outlineLevel="0" collapsed="false">
      <c r="A4710" s="28" t="n">
        <v>2025</v>
      </c>
      <c r="B4710" s="28" t="s">
        <v>94</v>
      </c>
      <c r="C4710" s="28" t="s">
        <v>51</v>
      </c>
      <c r="D4710" s="28" t="n">
        <v>6</v>
      </c>
      <c r="E4710" s="29" t="n">
        <v>1105300</v>
      </c>
      <c r="F4710" s="30" t="n">
        <v>67</v>
      </c>
      <c r="G4710" s="31" t="n">
        <f aca="false">IFERROR(F4710/D4710,0)</f>
        <v>11.1666666666667</v>
      </c>
    </row>
    <row r="4711" customFormat="false" ht="15" hidden="false" customHeight="false" outlineLevel="0" collapsed="false">
      <c r="A4711" s="28" t="n">
        <v>2025</v>
      </c>
      <c r="B4711" s="28" t="s">
        <v>94</v>
      </c>
      <c r="C4711" s="28" t="s">
        <v>45</v>
      </c>
      <c r="D4711" s="28" t="n">
        <v>31</v>
      </c>
      <c r="E4711" s="29" t="n">
        <v>4930700</v>
      </c>
      <c r="F4711" s="30" t="n">
        <v>344.5</v>
      </c>
      <c r="G4711" s="31" t="n">
        <f aca="false">IFERROR(F4711/D4711,0)</f>
        <v>11.1129032258065</v>
      </c>
    </row>
    <row r="4712" customFormat="false" ht="15" hidden="false" customHeight="false" outlineLevel="0" collapsed="false">
      <c r="A4712" s="28" t="n">
        <v>2025</v>
      </c>
      <c r="B4712" s="28" t="s">
        <v>94</v>
      </c>
      <c r="C4712" s="28" t="s">
        <v>56</v>
      </c>
      <c r="D4712" s="28" t="n">
        <v>3</v>
      </c>
      <c r="E4712" s="29" t="n">
        <v>468500</v>
      </c>
      <c r="F4712" s="30" t="n">
        <v>31.25</v>
      </c>
      <c r="G4712" s="31" t="n">
        <f aca="false">IFERROR(F4712/D4712,0)</f>
        <v>10.4166666666667</v>
      </c>
    </row>
    <row r="4713" customFormat="false" ht="15" hidden="false" customHeight="false" outlineLevel="0" collapsed="false">
      <c r="A4713" s="28" t="n">
        <v>2025</v>
      </c>
      <c r="B4713" s="28" t="s">
        <v>94</v>
      </c>
      <c r="C4713" s="28" t="s">
        <v>54</v>
      </c>
      <c r="D4713" s="28" t="n">
        <v>4</v>
      </c>
      <c r="E4713" s="29" t="n">
        <v>675400</v>
      </c>
      <c r="F4713" s="30" t="n">
        <v>44.75</v>
      </c>
      <c r="G4713" s="31" t="n">
        <f aca="false">IFERROR(F4713/D4713,0)</f>
        <v>11.1875</v>
      </c>
    </row>
    <row r="4714" customFormat="false" ht="15" hidden="false" customHeight="false" outlineLevel="0" collapsed="false">
      <c r="A4714" s="28" t="n">
        <v>2025</v>
      </c>
      <c r="B4714" s="28" t="s">
        <v>94</v>
      </c>
      <c r="C4714" s="28" t="s">
        <v>44</v>
      </c>
      <c r="D4714" s="28" t="n">
        <v>15</v>
      </c>
      <c r="E4714" s="29" t="n">
        <v>9597200</v>
      </c>
      <c r="F4714" s="30" t="n">
        <v>163.99</v>
      </c>
      <c r="G4714" s="31" t="n">
        <f aca="false">IFERROR(F4714/D4714,0)</f>
        <v>10.9326666666667</v>
      </c>
    </row>
    <row r="4715" customFormat="false" ht="15" hidden="false" customHeight="false" outlineLevel="0" collapsed="false">
      <c r="A4715" s="28" t="n">
        <v>2025</v>
      </c>
      <c r="B4715" s="28" t="s">
        <v>94</v>
      </c>
      <c r="C4715" s="28" t="s">
        <v>47</v>
      </c>
      <c r="D4715" s="28" t="n">
        <v>7</v>
      </c>
      <c r="E4715" s="29" t="n">
        <v>392500</v>
      </c>
      <c r="F4715" s="30" t="n">
        <v>82.5</v>
      </c>
      <c r="G4715" s="31" t="n">
        <f aca="false">IFERROR(F4715/D4715,0)</f>
        <v>11.7857142857143</v>
      </c>
    </row>
    <row r="4716" customFormat="false" ht="15" hidden="false" customHeight="false" outlineLevel="0" collapsed="false">
      <c r="A4716" s="28" t="n">
        <v>2025</v>
      </c>
      <c r="B4716" s="28" t="s">
        <v>94</v>
      </c>
      <c r="C4716" s="28" t="s">
        <v>46</v>
      </c>
      <c r="D4716" s="28" t="n">
        <v>20</v>
      </c>
      <c r="E4716" s="29" t="n">
        <v>2490000</v>
      </c>
      <c r="F4716" s="30" t="n">
        <v>211</v>
      </c>
      <c r="G4716" s="31" t="n">
        <f aca="false">IFERROR(F4716/D4716,0)</f>
        <v>10.55</v>
      </c>
    </row>
    <row r="4717" customFormat="false" ht="15" hidden="false" customHeight="false" outlineLevel="0" collapsed="false">
      <c r="A4717" s="28" t="n">
        <v>2025</v>
      </c>
      <c r="B4717" s="28" t="s">
        <v>94</v>
      </c>
      <c r="C4717" s="28" t="s">
        <v>48</v>
      </c>
      <c r="D4717" s="28" t="n">
        <v>14</v>
      </c>
      <c r="E4717" s="29" t="n">
        <v>6240800</v>
      </c>
      <c r="F4717" s="30" t="n">
        <v>143.75</v>
      </c>
      <c r="G4717" s="31" t="n">
        <f aca="false">IFERROR(F4717/D4717,0)</f>
        <v>10.2678571428571</v>
      </c>
    </row>
    <row r="4718" customFormat="false" ht="15" hidden="false" customHeight="false" outlineLevel="0" collapsed="false">
      <c r="A4718" s="28" t="n">
        <v>2025</v>
      </c>
      <c r="B4718" s="28" t="s">
        <v>94</v>
      </c>
      <c r="C4718" s="28" t="s">
        <v>53</v>
      </c>
      <c r="D4718" s="28" t="n">
        <v>3</v>
      </c>
      <c r="E4718" s="29" t="n">
        <v>195000</v>
      </c>
      <c r="F4718" s="30" t="n">
        <v>32</v>
      </c>
      <c r="G4718" s="31" t="n">
        <f aca="false">IFERROR(F4718/D4718,0)</f>
        <v>10.6666666666667</v>
      </c>
    </row>
    <row r="4719" customFormat="false" ht="15" hidden="false" customHeight="false" outlineLevel="0" collapsed="false">
      <c r="A4719" s="28" t="n">
        <v>2025</v>
      </c>
      <c r="B4719" s="28" t="s">
        <v>94</v>
      </c>
      <c r="C4719" s="28" t="s">
        <v>43</v>
      </c>
      <c r="D4719" s="28" t="n">
        <v>21</v>
      </c>
      <c r="E4719" s="29" t="n">
        <v>3625900</v>
      </c>
      <c r="F4719" s="30" t="n">
        <v>232.85</v>
      </c>
      <c r="G4719" s="31" t="n">
        <f aca="false">IFERROR(F4719/D4719,0)</f>
        <v>11.0880952380952</v>
      </c>
    </row>
    <row r="4720" customFormat="false" ht="15" hidden="false" customHeight="false" outlineLevel="0" collapsed="false">
      <c r="A4720" s="28" t="n">
        <v>2025</v>
      </c>
      <c r="B4720" s="28" t="s">
        <v>94</v>
      </c>
      <c r="C4720" s="28" t="s">
        <v>52</v>
      </c>
      <c r="D4720" s="28" t="n">
        <v>4</v>
      </c>
      <c r="E4720" s="29" t="n">
        <v>258000</v>
      </c>
      <c r="F4720" s="30" t="n">
        <v>44.5</v>
      </c>
      <c r="G4720" s="31" t="n">
        <f aca="false">IFERROR(F4720/D4720,0)</f>
        <v>11.125</v>
      </c>
    </row>
    <row r="4721" customFormat="false" ht="15" hidden="false" customHeight="false" outlineLevel="0" collapsed="false">
      <c r="A4721" s="28" t="n">
        <v>2025</v>
      </c>
      <c r="B4721" s="28" t="s">
        <v>94</v>
      </c>
      <c r="C4721" s="28" t="s">
        <v>60</v>
      </c>
      <c r="D4721" s="28" t="n">
        <v>1</v>
      </c>
      <c r="E4721" s="29" t="n">
        <v>300000</v>
      </c>
      <c r="F4721" s="30" t="n">
        <v>12</v>
      </c>
      <c r="G4721" s="31" t="n">
        <f aca="false">IFERROR(F4721/D4721,0)</f>
        <v>12</v>
      </c>
    </row>
    <row r="4722" customFormat="false" ht="15" hidden="false" customHeight="false" outlineLevel="0" collapsed="false">
      <c r="A4722" s="28" t="n">
        <v>2025</v>
      </c>
      <c r="B4722" s="28" t="s">
        <v>94</v>
      </c>
      <c r="C4722" s="28" t="s">
        <v>49</v>
      </c>
      <c r="D4722" s="28" t="n">
        <v>7</v>
      </c>
      <c r="E4722" s="29" t="n">
        <v>3085000</v>
      </c>
      <c r="F4722" s="30" t="n">
        <v>74.75</v>
      </c>
      <c r="G4722" s="31" t="n">
        <f aca="false">IFERROR(F4722/D4722,0)</f>
        <v>10.6785714285714</v>
      </c>
    </row>
    <row r="4723" customFormat="false" ht="15" hidden="false" customHeight="false" outlineLevel="0" collapsed="false">
      <c r="A4723" s="28" t="n">
        <v>2025</v>
      </c>
      <c r="B4723" s="28" t="s">
        <v>96</v>
      </c>
      <c r="C4723" s="28" t="s">
        <v>42</v>
      </c>
      <c r="D4723" s="28" t="n">
        <v>44</v>
      </c>
      <c r="E4723" s="29" t="n">
        <v>24419600</v>
      </c>
      <c r="F4723" s="30" t="n">
        <v>415.5</v>
      </c>
      <c r="G4723" s="31" t="n">
        <f aca="false">IFERROR(F4723/D4723,0)</f>
        <v>9.44318181818182</v>
      </c>
    </row>
    <row r="4724" customFormat="false" ht="15" hidden="false" customHeight="false" outlineLevel="0" collapsed="false">
      <c r="A4724" s="28" t="n">
        <v>2025</v>
      </c>
      <c r="B4724" s="28" t="s">
        <v>96</v>
      </c>
      <c r="C4724" s="28" t="s">
        <v>50</v>
      </c>
      <c r="D4724" s="28" t="n">
        <v>20</v>
      </c>
      <c r="E4724" s="29" t="n">
        <v>9212100</v>
      </c>
      <c r="F4724" s="30" t="n">
        <v>198.09</v>
      </c>
      <c r="G4724" s="31" t="n">
        <f aca="false">IFERROR(F4724/D4724,0)</f>
        <v>9.9045</v>
      </c>
    </row>
    <row r="4725" customFormat="false" ht="15" hidden="false" customHeight="false" outlineLevel="0" collapsed="false">
      <c r="A4725" s="28" t="n">
        <v>2025</v>
      </c>
      <c r="B4725" s="28" t="s">
        <v>96</v>
      </c>
      <c r="C4725" s="28" t="s">
        <v>55</v>
      </c>
      <c r="D4725" s="28" t="n">
        <v>8</v>
      </c>
      <c r="E4725" s="29" t="n">
        <v>5568500</v>
      </c>
      <c r="F4725" s="30" t="n">
        <v>70.94</v>
      </c>
      <c r="G4725" s="31" t="n">
        <f aca="false">IFERROR(F4725/D4725,0)</f>
        <v>8.8675</v>
      </c>
    </row>
    <row r="4726" customFormat="false" ht="15" hidden="false" customHeight="false" outlineLevel="0" collapsed="false">
      <c r="A4726" s="28" t="n">
        <v>2025</v>
      </c>
      <c r="B4726" s="28" t="s">
        <v>96</v>
      </c>
      <c r="C4726" s="28" t="s">
        <v>51</v>
      </c>
      <c r="D4726" s="28" t="n">
        <v>20</v>
      </c>
      <c r="E4726" s="29" t="n">
        <v>4591900</v>
      </c>
      <c r="F4726" s="30" t="n">
        <v>204.24</v>
      </c>
      <c r="G4726" s="31" t="n">
        <f aca="false">IFERROR(F4726/D4726,0)</f>
        <v>10.212</v>
      </c>
    </row>
    <row r="4727" customFormat="false" ht="15" hidden="false" customHeight="false" outlineLevel="0" collapsed="false">
      <c r="A4727" s="28" t="n">
        <v>2025</v>
      </c>
      <c r="B4727" s="28" t="s">
        <v>96</v>
      </c>
      <c r="C4727" s="28" t="s">
        <v>45</v>
      </c>
      <c r="D4727" s="28" t="n">
        <v>60</v>
      </c>
      <c r="E4727" s="29" t="n">
        <v>12475200</v>
      </c>
      <c r="F4727" s="30" t="n">
        <v>638.505</v>
      </c>
      <c r="G4727" s="31" t="n">
        <f aca="false">IFERROR(F4727/D4727,0)</f>
        <v>10.64175</v>
      </c>
    </row>
    <row r="4728" customFormat="false" ht="15" hidden="false" customHeight="false" outlineLevel="0" collapsed="false">
      <c r="A4728" s="28" t="n">
        <v>2025</v>
      </c>
      <c r="B4728" s="28" t="s">
        <v>96</v>
      </c>
      <c r="C4728" s="28" t="s">
        <v>56</v>
      </c>
      <c r="D4728" s="28" t="n">
        <v>4</v>
      </c>
      <c r="E4728" s="29" t="n">
        <v>4295800</v>
      </c>
      <c r="F4728" s="30" t="n">
        <v>41.55</v>
      </c>
      <c r="G4728" s="31" t="n">
        <f aca="false">IFERROR(F4728/D4728,0)</f>
        <v>10.3875</v>
      </c>
    </row>
    <row r="4729" customFormat="false" ht="15" hidden="false" customHeight="false" outlineLevel="0" collapsed="false">
      <c r="A4729" s="28" t="n">
        <v>2025</v>
      </c>
      <c r="B4729" s="28" t="s">
        <v>96</v>
      </c>
      <c r="C4729" s="28" t="s">
        <v>54</v>
      </c>
      <c r="D4729" s="28" t="n">
        <v>3</v>
      </c>
      <c r="E4729" s="29" t="n">
        <v>800000</v>
      </c>
      <c r="F4729" s="30" t="n">
        <v>30.24</v>
      </c>
      <c r="G4729" s="31" t="n">
        <f aca="false">IFERROR(F4729/D4729,0)</f>
        <v>10.08</v>
      </c>
    </row>
    <row r="4730" customFormat="false" ht="15" hidden="false" customHeight="false" outlineLevel="0" collapsed="false">
      <c r="A4730" s="28" t="n">
        <v>2025</v>
      </c>
      <c r="B4730" s="28" t="s">
        <v>96</v>
      </c>
      <c r="C4730" s="28" t="s">
        <v>44</v>
      </c>
      <c r="D4730" s="28" t="n">
        <v>42</v>
      </c>
      <c r="E4730" s="29" t="n">
        <v>17160800</v>
      </c>
      <c r="F4730" s="30" t="n">
        <v>415.18</v>
      </c>
      <c r="G4730" s="31" t="n">
        <f aca="false">IFERROR(F4730/D4730,0)</f>
        <v>9.8852380952381</v>
      </c>
    </row>
    <row r="4731" customFormat="false" ht="15" hidden="false" customHeight="false" outlineLevel="0" collapsed="false">
      <c r="A4731" s="28" t="n">
        <v>2025</v>
      </c>
      <c r="B4731" s="28" t="s">
        <v>96</v>
      </c>
      <c r="C4731" s="28" t="s">
        <v>57</v>
      </c>
      <c r="D4731" s="28" t="n">
        <v>9</v>
      </c>
      <c r="E4731" s="29" t="n">
        <v>1954000</v>
      </c>
      <c r="F4731" s="30" t="n">
        <v>85.77</v>
      </c>
      <c r="G4731" s="31" t="n">
        <f aca="false">IFERROR(F4731/D4731,0)</f>
        <v>9.53</v>
      </c>
    </row>
    <row r="4732" customFormat="false" ht="15" hidden="false" customHeight="false" outlineLevel="0" collapsed="false">
      <c r="A4732" s="28" t="n">
        <v>2025</v>
      </c>
      <c r="B4732" s="28" t="s">
        <v>96</v>
      </c>
      <c r="C4732" s="28" t="s">
        <v>47</v>
      </c>
      <c r="D4732" s="28" t="n">
        <v>17</v>
      </c>
      <c r="E4732" s="29" t="n">
        <v>18758100</v>
      </c>
      <c r="F4732" s="30" t="n">
        <v>155.26</v>
      </c>
      <c r="G4732" s="31" t="n">
        <f aca="false">IFERROR(F4732/D4732,0)</f>
        <v>9.13294117647059</v>
      </c>
    </row>
    <row r="4733" customFormat="false" ht="15" hidden="false" customHeight="false" outlineLevel="0" collapsed="false">
      <c r="A4733" s="28" t="n">
        <v>2025</v>
      </c>
      <c r="B4733" s="28" t="s">
        <v>96</v>
      </c>
      <c r="C4733" s="28" t="s">
        <v>46</v>
      </c>
      <c r="D4733" s="28" t="n">
        <v>41</v>
      </c>
      <c r="E4733" s="29" t="n">
        <v>12101500</v>
      </c>
      <c r="F4733" s="30" t="n">
        <v>393.28</v>
      </c>
      <c r="G4733" s="31" t="n">
        <f aca="false">IFERROR(F4733/D4733,0)</f>
        <v>9.59219512195122</v>
      </c>
    </row>
    <row r="4734" customFormat="false" ht="15" hidden="false" customHeight="false" outlineLevel="0" collapsed="false">
      <c r="A4734" s="28" t="n">
        <v>2025</v>
      </c>
      <c r="B4734" s="28" t="s">
        <v>96</v>
      </c>
      <c r="C4734" s="28" t="s">
        <v>48</v>
      </c>
      <c r="D4734" s="28" t="n">
        <v>31</v>
      </c>
      <c r="E4734" s="29" t="n">
        <v>11600600</v>
      </c>
      <c r="F4734" s="30" t="n">
        <v>301.615</v>
      </c>
      <c r="G4734" s="31" t="n">
        <f aca="false">IFERROR(F4734/D4734,0)</f>
        <v>9.72951612903226</v>
      </c>
    </row>
    <row r="4735" customFormat="false" ht="15" hidden="false" customHeight="false" outlineLevel="0" collapsed="false">
      <c r="A4735" s="28" t="n">
        <v>2025</v>
      </c>
      <c r="B4735" s="28" t="s">
        <v>96</v>
      </c>
      <c r="C4735" s="28" t="s">
        <v>53</v>
      </c>
      <c r="D4735" s="28" t="n">
        <v>4</v>
      </c>
      <c r="E4735" s="29" t="n">
        <v>217100</v>
      </c>
      <c r="F4735" s="30" t="n">
        <v>37.97</v>
      </c>
      <c r="G4735" s="31" t="n">
        <f aca="false">IFERROR(F4735/D4735,0)</f>
        <v>9.4925</v>
      </c>
    </row>
    <row r="4736" customFormat="false" ht="15" hidden="false" customHeight="false" outlineLevel="0" collapsed="false">
      <c r="A4736" s="28" t="n">
        <v>2025</v>
      </c>
      <c r="B4736" s="28" t="s">
        <v>96</v>
      </c>
      <c r="C4736" s="28" t="s">
        <v>43</v>
      </c>
      <c r="D4736" s="28" t="n">
        <v>50</v>
      </c>
      <c r="E4736" s="29" t="n">
        <v>14899900</v>
      </c>
      <c r="F4736" s="30" t="n">
        <v>481.45</v>
      </c>
      <c r="G4736" s="31" t="n">
        <f aca="false">IFERROR(F4736/D4736,0)</f>
        <v>9.629</v>
      </c>
    </row>
    <row r="4737" customFormat="false" ht="15" hidden="false" customHeight="false" outlineLevel="0" collapsed="false">
      <c r="A4737" s="28" t="n">
        <v>2025</v>
      </c>
      <c r="B4737" s="28" t="s">
        <v>96</v>
      </c>
      <c r="C4737" s="28" t="s">
        <v>52</v>
      </c>
      <c r="D4737" s="28" t="n">
        <v>14</v>
      </c>
      <c r="E4737" s="29" t="n">
        <v>6277800</v>
      </c>
      <c r="F4737" s="30" t="n">
        <v>141.72</v>
      </c>
      <c r="G4737" s="31" t="n">
        <f aca="false">IFERROR(F4737/D4737,0)</f>
        <v>10.1228571428571</v>
      </c>
    </row>
    <row r="4738" customFormat="false" ht="15" hidden="false" customHeight="false" outlineLevel="0" collapsed="false">
      <c r="A4738" s="28" t="n">
        <v>2025</v>
      </c>
      <c r="B4738" s="28" t="s">
        <v>96</v>
      </c>
      <c r="C4738" s="28" t="s">
        <v>60</v>
      </c>
      <c r="D4738" s="28" t="n">
        <v>1</v>
      </c>
      <c r="E4738" s="29" t="n">
        <v>500000</v>
      </c>
      <c r="F4738" s="30" t="n">
        <v>11</v>
      </c>
      <c r="G4738" s="31" t="n">
        <f aca="false">IFERROR(F4738/D4738,0)</f>
        <v>11</v>
      </c>
    </row>
    <row r="4739" customFormat="false" ht="15" hidden="false" customHeight="false" outlineLevel="0" collapsed="false">
      <c r="A4739" s="28" t="n">
        <v>2025</v>
      </c>
      <c r="B4739" s="28" t="s">
        <v>96</v>
      </c>
      <c r="C4739" s="28" t="s">
        <v>49</v>
      </c>
      <c r="D4739" s="28" t="n">
        <v>15</v>
      </c>
      <c r="E4739" s="29" t="n">
        <v>12614600</v>
      </c>
      <c r="F4739" s="30" t="n">
        <v>140.57</v>
      </c>
      <c r="G4739" s="31" t="n">
        <f aca="false">IFERROR(F4739/D4739,0)</f>
        <v>9.37133333333333</v>
      </c>
    </row>
    <row r="4740" customFormat="false" ht="15" hidden="false" customHeight="false" outlineLevel="0" collapsed="false">
      <c r="A4740" s="28" t="n">
        <v>2025</v>
      </c>
      <c r="B4740" s="28" t="s">
        <v>97</v>
      </c>
      <c r="C4740" s="28" t="s">
        <v>42</v>
      </c>
      <c r="D4740" s="28" t="n">
        <v>64</v>
      </c>
      <c r="E4740" s="29" t="n">
        <v>25369300</v>
      </c>
      <c r="F4740" s="30" t="n">
        <v>644.47</v>
      </c>
      <c r="G4740" s="31" t="n">
        <f aca="false">IFERROR(F4740/D4740,0)</f>
        <v>10.06984375</v>
      </c>
    </row>
    <row r="4741" customFormat="false" ht="15" hidden="false" customHeight="false" outlineLevel="0" collapsed="false">
      <c r="A4741" s="28" t="n">
        <v>2025</v>
      </c>
      <c r="B4741" s="28" t="s">
        <v>97</v>
      </c>
      <c r="C4741" s="28" t="s">
        <v>50</v>
      </c>
      <c r="D4741" s="28" t="n">
        <v>50</v>
      </c>
      <c r="E4741" s="29" t="n">
        <v>16958600</v>
      </c>
      <c r="F4741" s="30" t="n">
        <v>515.02</v>
      </c>
      <c r="G4741" s="31" t="n">
        <f aca="false">IFERROR(F4741/D4741,0)</f>
        <v>10.3004</v>
      </c>
    </row>
    <row r="4742" customFormat="false" ht="15" hidden="false" customHeight="false" outlineLevel="0" collapsed="false">
      <c r="A4742" s="28" t="n">
        <v>2025</v>
      </c>
      <c r="B4742" s="28" t="s">
        <v>97</v>
      </c>
      <c r="C4742" s="28" t="s">
        <v>55</v>
      </c>
      <c r="D4742" s="28" t="n">
        <v>17</v>
      </c>
      <c r="E4742" s="29" t="n">
        <v>2231900</v>
      </c>
      <c r="F4742" s="30" t="n">
        <v>182.5</v>
      </c>
      <c r="G4742" s="31" t="n">
        <f aca="false">IFERROR(F4742/D4742,0)</f>
        <v>10.7352941176471</v>
      </c>
    </row>
    <row r="4743" customFormat="false" ht="15" hidden="false" customHeight="false" outlineLevel="0" collapsed="false">
      <c r="A4743" s="28" t="n">
        <v>2025</v>
      </c>
      <c r="B4743" s="28" t="s">
        <v>97</v>
      </c>
      <c r="C4743" s="28" t="s">
        <v>51</v>
      </c>
      <c r="D4743" s="28" t="n">
        <v>15</v>
      </c>
      <c r="E4743" s="29" t="n">
        <v>4763400</v>
      </c>
      <c r="F4743" s="30" t="n">
        <v>163.05</v>
      </c>
      <c r="G4743" s="31" t="n">
        <f aca="false">IFERROR(F4743/D4743,0)</f>
        <v>10.87</v>
      </c>
    </row>
    <row r="4744" customFormat="false" ht="15" hidden="false" customHeight="false" outlineLevel="0" collapsed="false">
      <c r="A4744" s="28" t="n">
        <v>2025</v>
      </c>
      <c r="B4744" s="28" t="s">
        <v>97</v>
      </c>
      <c r="C4744" s="28" t="s">
        <v>45</v>
      </c>
      <c r="D4744" s="28" t="n">
        <v>145</v>
      </c>
      <c r="E4744" s="29" t="n">
        <v>44210300</v>
      </c>
      <c r="F4744" s="30" t="n">
        <v>1550.22</v>
      </c>
      <c r="G4744" s="31" t="n">
        <f aca="false">IFERROR(F4744/D4744,0)</f>
        <v>10.6911724137931</v>
      </c>
    </row>
    <row r="4745" customFormat="false" ht="15" hidden="false" customHeight="false" outlineLevel="0" collapsed="false">
      <c r="A4745" s="28" t="n">
        <v>2025</v>
      </c>
      <c r="B4745" s="28" t="s">
        <v>97</v>
      </c>
      <c r="C4745" s="28" t="s">
        <v>56</v>
      </c>
      <c r="D4745" s="28" t="n">
        <v>16</v>
      </c>
      <c r="E4745" s="29" t="n">
        <v>2870200</v>
      </c>
      <c r="F4745" s="30" t="n">
        <v>163.85</v>
      </c>
      <c r="G4745" s="31" t="n">
        <f aca="false">IFERROR(F4745/D4745,0)</f>
        <v>10.240625</v>
      </c>
    </row>
    <row r="4746" customFormat="false" ht="15" hidden="false" customHeight="false" outlineLevel="0" collapsed="false">
      <c r="A4746" s="28" t="n">
        <v>2025</v>
      </c>
      <c r="B4746" s="28" t="s">
        <v>97</v>
      </c>
      <c r="C4746" s="28" t="s">
        <v>54</v>
      </c>
      <c r="D4746" s="28" t="n">
        <v>3</v>
      </c>
      <c r="E4746" s="29" t="n">
        <v>854500</v>
      </c>
      <c r="F4746" s="30" t="n">
        <v>27</v>
      </c>
      <c r="G4746" s="31" t="n">
        <f aca="false">IFERROR(F4746/D4746,0)</f>
        <v>9</v>
      </c>
    </row>
    <row r="4747" customFormat="false" ht="15" hidden="false" customHeight="false" outlineLevel="0" collapsed="false">
      <c r="A4747" s="28" t="n">
        <v>2025</v>
      </c>
      <c r="B4747" s="28" t="s">
        <v>97</v>
      </c>
      <c r="C4747" s="28" t="s">
        <v>44</v>
      </c>
      <c r="D4747" s="28" t="n">
        <v>77</v>
      </c>
      <c r="E4747" s="29" t="n">
        <v>38352600</v>
      </c>
      <c r="F4747" s="30" t="n">
        <v>792.51</v>
      </c>
      <c r="G4747" s="31" t="n">
        <f aca="false">IFERROR(F4747/D4747,0)</f>
        <v>10.2923376623377</v>
      </c>
    </row>
    <row r="4748" customFormat="false" ht="15" hidden="false" customHeight="false" outlineLevel="0" collapsed="false">
      <c r="A4748" s="28" t="n">
        <v>2025</v>
      </c>
      <c r="B4748" s="28" t="s">
        <v>97</v>
      </c>
      <c r="C4748" s="28" t="s">
        <v>57</v>
      </c>
      <c r="D4748" s="28" t="n">
        <v>2</v>
      </c>
      <c r="E4748" s="29" t="n">
        <v>38200</v>
      </c>
      <c r="F4748" s="30" t="n">
        <v>26.49</v>
      </c>
      <c r="G4748" s="31" t="n">
        <f aca="false">IFERROR(F4748/D4748,0)</f>
        <v>13.245</v>
      </c>
    </row>
    <row r="4749" customFormat="false" ht="15" hidden="false" customHeight="false" outlineLevel="0" collapsed="false">
      <c r="A4749" s="28" t="n">
        <v>2025</v>
      </c>
      <c r="B4749" s="28" t="s">
        <v>97</v>
      </c>
      <c r="C4749" s="28" t="s">
        <v>59</v>
      </c>
      <c r="D4749" s="28" t="n">
        <v>2</v>
      </c>
      <c r="E4749" s="29" t="n">
        <v>4161700</v>
      </c>
      <c r="F4749" s="30" t="n">
        <v>16.12</v>
      </c>
      <c r="G4749" s="31" t="n">
        <f aca="false">IFERROR(F4749/D4749,0)</f>
        <v>8.06</v>
      </c>
    </row>
    <row r="4750" customFormat="false" ht="15" hidden="false" customHeight="false" outlineLevel="0" collapsed="false">
      <c r="A4750" s="28" t="n">
        <v>2025</v>
      </c>
      <c r="B4750" s="28" t="s">
        <v>97</v>
      </c>
      <c r="C4750" s="28" t="s">
        <v>47</v>
      </c>
      <c r="D4750" s="28" t="n">
        <v>49</v>
      </c>
      <c r="E4750" s="29" t="n">
        <v>22848600</v>
      </c>
      <c r="F4750" s="30" t="n">
        <v>490.17</v>
      </c>
      <c r="G4750" s="31" t="n">
        <f aca="false">IFERROR(F4750/D4750,0)</f>
        <v>10.0034693877551</v>
      </c>
    </row>
    <row r="4751" customFormat="false" ht="15" hidden="false" customHeight="false" outlineLevel="0" collapsed="false">
      <c r="A4751" s="28" t="n">
        <v>2025</v>
      </c>
      <c r="B4751" s="28" t="s">
        <v>97</v>
      </c>
      <c r="C4751" s="28" t="s">
        <v>58</v>
      </c>
      <c r="D4751" s="28" t="n">
        <v>1</v>
      </c>
      <c r="E4751" s="29" t="n">
        <v>32500</v>
      </c>
      <c r="F4751" s="30" t="n">
        <v>9.24</v>
      </c>
      <c r="G4751" s="31" t="n">
        <f aca="false">IFERROR(F4751/D4751,0)</f>
        <v>9.24</v>
      </c>
    </row>
    <row r="4752" customFormat="false" ht="15" hidden="false" customHeight="false" outlineLevel="0" collapsed="false">
      <c r="A4752" s="28" t="n">
        <v>2025</v>
      </c>
      <c r="B4752" s="28" t="s">
        <v>97</v>
      </c>
      <c r="C4752" s="28" t="s">
        <v>46</v>
      </c>
      <c r="D4752" s="28" t="n">
        <v>67</v>
      </c>
      <c r="E4752" s="29" t="n">
        <v>20851200</v>
      </c>
      <c r="F4752" s="30" t="n">
        <v>689</v>
      </c>
      <c r="G4752" s="31" t="n">
        <f aca="false">IFERROR(F4752/D4752,0)</f>
        <v>10.2835820895522</v>
      </c>
    </row>
    <row r="4753" customFormat="false" ht="15" hidden="false" customHeight="false" outlineLevel="0" collapsed="false">
      <c r="A4753" s="28" t="n">
        <v>2025</v>
      </c>
      <c r="B4753" s="28" t="s">
        <v>97</v>
      </c>
      <c r="C4753" s="28" t="s">
        <v>48</v>
      </c>
      <c r="D4753" s="28" t="n">
        <v>63</v>
      </c>
      <c r="E4753" s="29" t="n">
        <v>27014600</v>
      </c>
      <c r="F4753" s="30" t="n">
        <v>643.38</v>
      </c>
      <c r="G4753" s="31" t="n">
        <f aca="false">IFERROR(F4753/D4753,0)</f>
        <v>10.212380952381</v>
      </c>
    </row>
    <row r="4754" customFormat="false" ht="15" hidden="false" customHeight="false" outlineLevel="0" collapsed="false">
      <c r="A4754" s="28" t="n">
        <v>2025</v>
      </c>
      <c r="B4754" s="28" t="s">
        <v>97</v>
      </c>
      <c r="C4754" s="28" t="s">
        <v>61</v>
      </c>
      <c r="D4754" s="28" t="n">
        <v>2</v>
      </c>
      <c r="E4754" s="29" t="n">
        <v>617000</v>
      </c>
      <c r="F4754" s="30" t="n">
        <v>16.75</v>
      </c>
      <c r="G4754" s="31" t="n">
        <f aca="false">IFERROR(F4754/D4754,0)</f>
        <v>8.375</v>
      </c>
    </row>
    <row r="4755" customFormat="false" ht="15" hidden="false" customHeight="false" outlineLevel="0" collapsed="false">
      <c r="A4755" s="28" t="n">
        <v>2025</v>
      </c>
      <c r="B4755" s="28" t="s">
        <v>97</v>
      </c>
      <c r="C4755" s="28" t="s">
        <v>53</v>
      </c>
      <c r="D4755" s="28" t="n">
        <v>19</v>
      </c>
      <c r="E4755" s="29" t="n">
        <v>4176600</v>
      </c>
      <c r="F4755" s="30" t="n">
        <v>204.09</v>
      </c>
      <c r="G4755" s="31" t="n">
        <f aca="false">IFERROR(F4755/D4755,0)</f>
        <v>10.7415789473684</v>
      </c>
    </row>
    <row r="4756" customFormat="false" ht="15" hidden="false" customHeight="false" outlineLevel="0" collapsed="false">
      <c r="A4756" s="28" t="n">
        <v>2025</v>
      </c>
      <c r="B4756" s="28" t="s">
        <v>97</v>
      </c>
      <c r="C4756" s="28" t="s">
        <v>43</v>
      </c>
      <c r="D4756" s="28" t="n">
        <v>83</v>
      </c>
      <c r="E4756" s="29" t="n">
        <v>33939900</v>
      </c>
      <c r="F4756" s="30" t="n">
        <v>838.92</v>
      </c>
      <c r="G4756" s="31" t="n">
        <f aca="false">IFERROR(F4756/D4756,0)</f>
        <v>10.1074698795181</v>
      </c>
    </row>
    <row r="4757" customFormat="false" ht="15" hidden="false" customHeight="false" outlineLevel="0" collapsed="false">
      <c r="A4757" s="28" t="n">
        <v>2025</v>
      </c>
      <c r="B4757" s="28" t="s">
        <v>97</v>
      </c>
      <c r="C4757" s="28" t="s">
        <v>52</v>
      </c>
      <c r="D4757" s="28" t="n">
        <v>37</v>
      </c>
      <c r="E4757" s="29" t="n">
        <v>9272600</v>
      </c>
      <c r="F4757" s="30" t="n">
        <v>379.18</v>
      </c>
      <c r="G4757" s="31" t="n">
        <f aca="false">IFERROR(F4757/D4757,0)</f>
        <v>10.2481081081081</v>
      </c>
    </row>
    <row r="4758" customFormat="false" ht="15" hidden="false" customHeight="false" outlineLevel="0" collapsed="false">
      <c r="A4758" s="28" t="n">
        <v>2025</v>
      </c>
      <c r="B4758" s="28" t="s">
        <v>97</v>
      </c>
      <c r="C4758" s="28" t="s">
        <v>60</v>
      </c>
      <c r="D4758" s="28" t="n">
        <v>1</v>
      </c>
      <c r="E4758" s="29" t="n">
        <v>50000</v>
      </c>
      <c r="F4758" s="30" t="n">
        <v>13.5</v>
      </c>
      <c r="G4758" s="31" t="n">
        <f aca="false">IFERROR(F4758/D4758,0)</f>
        <v>13.5</v>
      </c>
    </row>
    <row r="4759" customFormat="false" ht="15" hidden="false" customHeight="false" outlineLevel="0" collapsed="false">
      <c r="A4759" s="28" t="n">
        <v>2025</v>
      </c>
      <c r="B4759" s="28" t="s">
        <v>97</v>
      </c>
      <c r="C4759" s="28" t="s">
        <v>49</v>
      </c>
      <c r="D4759" s="28" t="n">
        <v>25</v>
      </c>
      <c r="E4759" s="29" t="n">
        <v>8529200</v>
      </c>
      <c r="F4759" s="30" t="n">
        <v>252.57</v>
      </c>
      <c r="G4759" s="31" t="n">
        <f aca="false">IFERROR(F4759/D4759,0)</f>
        <v>10.1028</v>
      </c>
    </row>
    <row r="4760" customFormat="false" ht="15" hidden="false" customHeight="false" outlineLevel="0" collapsed="false">
      <c r="A4760" s="28" t="n">
        <v>2025</v>
      </c>
      <c r="B4760" s="28" t="s">
        <v>86</v>
      </c>
      <c r="C4760" s="28" t="s">
        <v>42</v>
      </c>
      <c r="D4760" s="28" t="n">
        <v>309</v>
      </c>
      <c r="E4760" s="29" t="n">
        <v>242607000</v>
      </c>
      <c r="F4760" s="30" t="n">
        <v>3001.67</v>
      </c>
      <c r="G4760" s="31" t="n">
        <f aca="false">IFERROR(F4760/D4760,0)</f>
        <v>9.71414239482201</v>
      </c>
    </row>
    <row r="4761" customFormat="false" ht="15" hidden="false" customHeight="false" outlineLevel="0" collapsed="false">
      <c r="A4761" s="28" t="n">
        <v>2025</v>
      </c>
      <c r="B4761" s="28" t="s">
        <v>86</v>
      </c>
      <c r="C4761" s="28" t="s">
        <v>50</v>
      </c>
      <c r="D4761" s="28" t="n">
        <v>107</v>
      </c>
      <c r="E4761" s="29" t="n">
        <v>32549800</v>
      </c>
      <c r="F4761" s="30" t="n">
        <v>1054.829</v>
      </c>
      <c r="G4761" s="31" t="n">
        <f aca="false">IFERROR(F4761/D4761,0)</f>
        <v>9.85821495327103</v>
      </c>
    </row>
    <row r="4762" customFormat="false" ht="15" hidden="false" customHeight="false" outlineLevel="0" collapsed="false">
      <c r="A4762" s="28" t="n">
        <v>2025</v>
      </c>
      <c r="B4762" s="28" t="s">
        <v>86</v>
      </c>
      <c r="C4762" s="28" t="s">
        <v>55</v>
      </c>
      <c r="D4762" s="28" t="n">
        <v>8</v>
      </c>
      <c r="E4762" s="29" t="n">
        <v>3329000</v>
      </c>
      <c r="F4762" s="30" t="n">
        <v>81.55</v>
      </c>
      <c r="G4762" s="31" t="n">
        <f aca="false">IFERROR(F4762/D4762,0)</f>
        <v>10.19375</v>
      </c>
    </row>
    <row r="4763" customFormat="false" ht="15" hidden="false" customHeight="false" outlineLevel="0" collapsed="false">
      <c r="A4763" s="28" t="n">
        <v>2025</v>
      </c>
      <c r="B4763" s="28" t="s">
        <v>86</v>
      </c>
      <c r="C4763" s="28" t="s">
        <v>51</v>
      </c>
      <c r="D4763" s="28" t="n">
        <v>88</v>
      </c>
      <c r="E4763" s="29" t="n">
        <v>45093200</v>
      </c>
      <c r="F4763" s="30" t="n">
        <v>888.07</v>
      </c>
      <c r="G4763" s="31" t="n">
        <f aca="false">IFERROR(F4763/D4763,0)</f>
        <v>10.0917045454545</v>
      </c>
    </row>
    <row r="4764" customFormat="false" ht="15" hidden="false" customHeight="false" outlineLevel="0" collapsed="false">
      <c r="A4764" s="28" t="n">
        <v>2025</v>
      </c>
      <c r="B4764" s="28" t="s">
        <v>86</v>
      </c>
      <c r="C4764" s="28" t="s">
        <v>45</v>
      </c>
      <c r="D4764" s="28" t="n">
        <v>279</v>
      </c>
      <c r="E4764" s="29" t="n">
        <v>81054800</v>
      </c>
      <c r="F4764" s="30" t="n">
        <v>2869.091</v>
      </c>
      <c r="G4764" s="31" t="n">
        <f aca="false">IFERROR(F4764/D4764,0)</f>
        <v>10.2834802867384</v>
      </c>
    </row>
    <row r="4765" customFormat="false" ht="15" hidden="false" customHeight="false" outlineLevel="0" collapsed="false">
      <c r="A4765" s="28" t="n">
        <v>2025</v>
      </c>
      <c r="B4765" s="28" t="s">
        <v>86</v>
      </c>
      <c r="C4765" s="28" t="s">
        <v>56</v>
      </c>
      <c r="D4765" s="28" t="n">
        <v>28</v>
      </c>
      <c r="E4765" s="29" t="n">
        <v>11437300</v>
      </c>
      <c r="F4765" s="30" t="n">
        <v>273.5</v>
      </c>
      <c r="G4765" s="31" t="n">
        <f aca="false">IFERROR(F4765/D4765,0)</f>
        <v>9.76785714285714</v>
      </c>
    </row>
    <row r="4766" customFormat="false" ht="15" hidden="false" customHeight="false" outlineLevel="0" collapsed="false">
      <c r="A4766" s="28" t="n">
        <v>2025</v>
      </c>
      <c r="B4766" s="28" t="s">
        <v>86</v>
      </c>
      <c r="C4766" s="28" t="s">
        <v>54</v>
      </c>
      <c r="D4766" s="28" t="n">
        <v>39</v>
      </c>
      <c r="E4766" s="29" t="n">
        <v>10644000</v>
      </c>
      <c r="F4766" s="30" t="n">
        <v>419.07</v>
      </c>
      <c r="G4766" s="31" t="n">
        <f aca="false">IFERROR(F4766/D4766,0)</f>
        <v>10.7453846153846</v>
      </c>
    </row>
    <row r="4767" customFormat="false" ht="15" hidden="false" customHeight="false" outlineLevel="0" collapsed="false">
      <c r="A4767" s="28" t="n">
        <v>2025</v>
      </c>
      <c r="B4767" s="28" t="s">
        <v>86</v>
      </c>
      <c r="C4767" s="28" t="s">
        <v>44</v>
      </c>
      <c r="D4767" s="28" t="n">
        <v>192</v>
      </c>
      <c r="E4767" s="29" t="n">
        <v>100261700</v>
      </c>
      <c r="F4767" s="30" t="n">
        <v>1902.32</v>
      </c>
      <c r="G4767" s="31" t="n">
        <f aca="false">IFERROR(F4767/D4767,0)</f>
        <v>9.90791666666667</v>
      </c>
    </row>
    <row r="4768" customFormat="false" ht="15" hidden="false" customHeight="false" outlineLevel="0" collapsed="false">
      <c r="A4768" s="28" t="n">
        <v>2025</v>
      </c>
      <c r="B4768" s="28" t="s">
        <v>86</v>
      </c>
      <c r="C4768" s="28" t="s">
        <v>57</v>
      </c>
      <c r="D4768" s="28" t="n">
        <v>21</v>
      </c>
      <c r="E4768" s="29" t="n">
        <v>9081300</v>
      </c>
      <c r="F4768" s="30" t="n">
        <v>211.89</v>
      </c>
      <c r="G4768" s="31" t="n">
        <f aca="false">IFERROR(F4768/D4768,0)</f>
        <v>10.09</v>
      </c>
    </row>
    <row r="4769" customFormat="false" ht="15" hidden="false" customHeight="false" outlineLevel="0" collapsed="false">
      <c r="A4769" s="28" t="n">
        <v>2025</v>
      </c>
      <c r="B4769" s="28" t="s">
        <v>86</v>
      </c>
      <c r="C4769" s="28" t="s">
        <v>59</v>
      </c>
      <c r="D4769" s="28" t="n">
        <v>2</v>
      </c>
      <c r="E4769" s="29" t="n">
        <v>3177000</v>
      </c>
      <c r="F4769" s="30" t="n">
        <v>22.49</v>
      </c>
      <c r="G4769" s="31" t="n">
        <f aca="false">IFERROR(F4769/D4769,0)</f>
        <v>11.245</v>
      </c>
    </row>
    <row r="4770" customFormat="false" ht="15" hidden="false" customHeight="false" outlineLevel="0" collapsed="false">
      <c r="A4770" s="28" t="n">
        <v>2025</v>
      </c>
      <c r="B4770" s="28" t="s">
        <v>86</v>
      </c>
      <c r="C4770" s="28" t="s">
        <v>47</v>
      </c>
      <c r="D4770" s="28" t="n">
        <v>154</v>
      </c>
      <c r="E4770" s="29" t="n">
        <v>107588300</v>
      </c>
      <c r="F4770" s="30" t="n">
        <v>1464.632</v>
      </c>
      <c r="G4770" s="31" t="n">
        <f aca="false">IFERROR(F4770/D4770,0)</f>
        <v>9.5105974025974</v>
      </c>
    </row>
    <row r="4771" customFormat="false" ht="15" hidden="false" customHeight="false" outlineLevel="0" collapsed="false">
      <c r="A4771" s="28" t="n">
        <v>2025</v>
      </c>
      <c r="B4771" s="28" t="s">
        <v>86</v>
      </c>
      <c r="C4771" s="28" t="s">
        <v>58</v>
      </c>
      <c r="D4771" s="28" t="n">
        <v>2</v>
      </c>
      <c r="E4771" s="29" t="n">
        <v>778300</v>
      </c>
      <c r="F4771" s="30" t="n">
        <v>22.5</v>
      </c>
      <c r="G4771" s="31" t="n">
        <f aca="false">IFERROR(F4771/D4771,0)</f>
        <v>11.25</v>
      </c>
    </row>
    <row r="4772" customFormat="false" ht="15" hidden="false" customHeight="false" outlineLevel="0" collapsed="false">
      <c r="A4772" s="28" t="n">
        <v>2025</v>
      </c>
      <c r="B4772" s="28" t="s">
        <v>86</v>
      </c>
      <c r="C4772" s="28" t="s">
        <v>46</v>
      </c>
      <c r="D4772" s="28" t="n">
        <v>259</v>
      </c>
      <c r="E4772" s="29" t="n">
        <v>127960500</v>
      </c>
      <c r="F4772" s="30" t="n">
        <v>2613.13</v>
      </c>
      <c r="G4772" s="31" t="n">
        <f aca="false">IFERROR(F4772/D4772,0)</f>
        <v>10.089305019305</v>
      </c>
    </row>
    <row r="4773" customFormat="false" ht="15" hidden="false" customHeight="false" outlineLevel="0" collapsed="false">
      <c r="A4773" s="28" t="n">
        <v>2025</v>
      </c>
      <c r="B4773" s="28" t="s">
        <v>86</v>
      </c>
      <c r="C4773" s="28" t="s">
        <v>48</v>
      </c>
      <c r="D4773" s="28" t="n">
        <v>197</v>
      </c>
      <c r="E4773" s="29" t="n">
        <v>70577600</v>
      </c>
      <c r="F4773" s="30" t="n">
        <v>2014.52</v>
      </c>
      <c r="G4773" s="31" t="n">
        <f aca="false">IFERROR(F4773/D4773,0)</f>
        <v>10.2259898477157</v>
      </c>
    </row>
    <row r="4774" customFormat="false" ht="15" hidden="false" customHeight="false" outlineLevel="0" collapsed="false">
      <c r="A4774" s="28" t="n">
        <v>2025</v>
      </c>
      <c r="B4774" s="28" t="s">
        <v>86</v>
      </c>
      <c r="C4774" s="28" t="s">
        <v>53</v>
      </c>
      <c r="D4774" s="28" t="n">
        <v>33</v>
      </c>
      <c r="E4774" s="29" t="n">
        <v>12071600</v>
      </c>
      <c r="F4774" s="30" t="n">
        <v>332.245</v>
      </c>
      <c r="G4774" s="31" t="n">
        <f aca="false">IFERROR(F4774/D4774,0)</f>
        <v>10.0680303030303</v>
      </c>
    </row>
    <row r="4775" customFormat="false" ht="15" hidden="false" customHeight="false" outlineLevel="0" collapsed="false">
      <c r="A4775" s="28" t="n">
        <v>2025</v>
      </c>
      <c r="B4775" s="28" t="s">
        <v>86</v>
      </c>
      <c r="C4775" s="28" t="s">
        <v>43</v>
      </c>
      <c r="D4775" s="28" t="n">
        <v>223</v>
      </c>
      <c r="E4775" s="29" t="n">
        <v>130042200</v>
      </c>
      <c r="F4775" s="30" t="n">
        <v>2231.72</v>
      </c>
      <c r="G4775" s="31" t="n">
        <f aca="false">IFERROR(F4775/D4775,0)</f>
        <v>10.0077130044843</v>
      </c>
    </row>
    <row r="4776" customFormat="false" ht="15" hidden="false" customHeight="false" outlineLevel="0" collapsed="false">
      <c r="A4776" s="28" t="n">
        <v>2025</v>
      </c>
      <c r="B4776" s="28" t="s">
        <v>86</v>
      </c>
      <c r="C4776" s="28" t="s">
        <v>52</v>
      </c>
      <c r="D4776" s="28" t="n">
        <v>266</v>
      </c>
      <c r="E4776" s="29" t="n">
        <v>69505000</v>
      </c>
      <c r="F4776" s="30" t="n">
        <v>2737.635</v>
      </c>
      <c r="G4776" s="31" t="n">
        <f aca="false">IFERROR(F4776/D4776,0)</f>
        <v>10.2918609022556</v>
      </c>
    </row>
    <row r="4777" customFormat="false" ht="15" hidden="false" customHeight="false" outlineLevel="0" collapsed="false">
      <c r="A4777" s="28" t="n">
        <v>2025</v>
      </c>
      <c r="B4777" s="28" t="s">
        <v>86</v>
      </c>
      <c r="C4777" s="28" t="s">
        <v>60</v>
      </c>
      <c r="D4777" s="28" t="n">
        <v>1</v>
      </c>
      <c r="E4777" s="29" t="n">
        <v>500000</v>
      </c>
      <c r="F4777" s="30" t="n">
        <v>10.75</v>
      </c>
      <c r="G4777" s="31" t="n">
        <f aca="false">IFERROR(F4777/D4777,0)</f>
        <v>10.75</v>
      </c>
    </row>
    <row r="4778" customFormat="false" ht="15" hidden="false" customHeight="false" outlineLevel="0" collapsed="false">
      <c r="A4778" s="28" t="n">
        <v>2025</v>
      </c>
      <c r="B4778" s="28" t="s">
        <v>86</v>
      </c>
      <c r="C4778" s="28" t="s">
        <v>49</v>
      </c>
      <c r="D4778" s="28" t="n">
        <v>101</v>
      </c>
      <c r="E4778" s="29" t="n">
        <v>56543500</v>
      </c>
      <c r="F4778" s="30" t="n">
        <v>1021.015</v>
      </c>
      <c r="G4778" s="31" t="n">
        <f aca="false">IFERROR(F4778/D4778,0)</f>
        <v>10.1090594059406</v>
      </c>
    </row>
    <row r="4779" customFormat="false" ht="15" hidden="false" customHeight="false" outlineLevel="0" collapsed="false">
      <c r="A4779" s="28" t="n">
        <v>2025</v>
      </c>
      <c r="B4779" s="28" t="s">
        <v>100</v>
      </c>
      <c r="C4779" s="28" t="s">
        <v>42</v>
      </c>
      <c r="D4779" s="28" t="n">
        <v>123</v>
      </c>
      <c r="E4779" s="29" t="n">
        <v>120760800</v>
      </c>
      <c r="F4779" s="30" t="n">
        <v>1207.05</v>
      </c>
      <c r="G4779" s="31" t="n">
        <f aca="false">IFERROR(F4779/D4779,0)</f>
        <v>9.81341463414634</v>
      </c>
    </row>
    <row r="4780" customFormat="false" ht="15" hidden="false" customHeight="false" outlineLevel="0" collapsed="false">
      <c r="A4780" s="28" t="n">
        <v>2025</v>
      </c>
      <c r="B4780" s="28" t="s">
        <v>100</v>
      </c>
      <c r="C4780" s="28" t="s">
        <v>50</v>
      </c>
      <c r="D4780" s="28" t="n">
        <v>75</v>
      </c>
      <c r="E4780" s="29" t="n">
        <v>19063000</v>
      </c>
      <c r="F4780" s="30" t="n">
        <v>736.92</v>
      </c>
      <c r="G4780" s="31" t="n">
        <f aca="false">IFERROR(F4780/D4780,0)</f>
        <v>9.8256</v>
      </c>
    </row>
    <row r="4781" customFormat="false" ht="15" hidden="false" customHeight="false" outlineLevel="0" collapsed="false">
      <c r="A4781" s="28" t="n">
        <v>2025</v>
      </c>
      <c r="B4781" s="28" t="s">
        <v>100</v>
      </c>
      <c r="C4781" s="28" t="s">
        <v>55</v>
      </c>
      <c r="D4781" s="28" t="n">
        <v>8</v>
      </c>
      <c r="E4781" s="29" t="n">
        <v>2691100</v>
      </c>
      <c r="F4781" s="30" t="n">
        <v>76.55</v>
      </c>
      <c r="G4781" s="31" t="n">
        <f aca="false">IFERROR(F4781/D4781,0)</f>
        <v>9.56875</v>
      </c>
    </row>
    <row r="4782" customFormat="false" ht="15" hidden="false" customHeight="false" outlineLevel="0" collapsed="false">
      <c r="A4782" s="28" t="n">
        <v>2025</v>
      </c>
      <c r="B4782" s="28" t="s">
        <v>100</v>
      </c>
      <c r="C4782" s="28" t="s">
        <v>51</v>
      </c>
      <c r="D4782" s="28" t="n">
        <v>42</v>
      </c>
      <c r="E4782" s="29" t="n">
        <v>17751400</v>
      </c>
      <c r="F4782" s="30" t="n">
        <v>409.04</v>
      </c>
      <c r="G4782" s="31" t="n">
        <f aca="false">IFERROR(F4782/D4782,0)</f>
        <v>9.73904761904762</v>
      </c>
    </row>
    <row r="4783" customFormat="false" ht="15" hidden="false" customHeight="false" outlineLevel="0" collapsed="false">
      <c r="A4783" s="28" t="n">
        <v>2025</v>
      </c>
      <c r="B4783" s="28" t="s">
        <v>100</v>
      </c>
      <c r="C4783" s="28" t="s">
        <v>45</v>
      </c>
      <c r="D4783" s="28" t="n">
        <v>151</v>
      </c>
      <c r="E4783" s="29" t="n">
        <v>52478900</v>
      </c>
      <c r="F4783" s="30" t="n">
        <v>1531.965</v>
      </c>
      <c r="G4783" s="31" t="n">
        <f aca="false">IFERROR(F4783/D4783,0)</f>
        <v>10.1454635761589</v>
      </c>
    </row>
    <row r="4784" customFormat="false" ht="15" hidden="false" customHeight="false" outlineLevel="0" collapsed="false">
      <c r="A4784" s="28" t="n">
        <v>2025</v>
      </c>
      <c r="B4784" s="28" t="s">
        <v>100</v>
      </c>
      <c r="C4784" s="28" t="s">
        <v>56</v>
      </c>
      <c r="D4784" s="28" t="n">
        <v>9</v>
      </c>
      <c r="E4784" s="29" t="n">
        <v>3316500</v>
      </c>
      <c r="F4784" s="30" t="n">
        <v>95.5</v>
      </c>
      <c r="G4784" s="31" t="n">
        <f aca="false">IFERROR(F4784/D4784,0)</f>
        <v>10.6111111111111</v>
      </c>
    </row>
    <row r="4785" customFormat="false" ht="15" hidden="false" customHeight="false" outlineLevel="0" collapsed="false">
      <c r="A4785" s="28" t="n">
        <v>2025</v>
      </c>
      <c r="B4785" s="28" t="s">
        <v>100</v>
      </c>
      <c r="C4785" s="28" t="s">
        <v>54</v>
      </c>
      <c r="D4785" s="28" t="n">
        <v>28</v>
      </c>
      <c r="E4785" s="29" t="n">
        <v>11269200</v>
      </c>
      <c r="F4785" s="30" t="n">
        <v>280.94</v>
      </c>
      <c r="G4785" s="31" t="n">
        <f aca="false">IFERROR(F4785/D4785,0)</f>
        <v>10.0335714285714</v>
      </c>
    </row>
    <row r="4786" customFormat="false" ht="15" hidden="false" customHeight="false" outlineLevel="0" collapsed="false">
      <c r="A4786" s="28" t="n">
        <v>2025</v>
      </c>
      <c r="B4786" s="28" t="s">
        <v>100</v>
      </c>
      <c r="C4786" s="28" t="s">
        <v>44</v>
      </c>
      <c r="D4786" s="28" t="n">
        <v>87</v>
      </c>
      <c r="E4786" s="29" t="n">
        <v>41545100</v>
      </c>
      <c r="F4786" s="30" t="n">
        <v>809.39</v>
      </c>
      <c r="G4786" s="31" t="n">
        <f aca="false">IFERROR(F4786/D4786,0)</f>
        <v>9.30333333333333</v>
      </c>
    </row>
    <row r="4787" customFormat="false" ht="15" hidden="false" customHeight="false" outlineLevel="0" collapsed="false">
      <c r="A4787" s="28" t="n">
        <v>2025</v>
      </c>
      <c r="B4787" s="28" t="s">
        <v>100</v>
      </c>
      <c r="C4787" s="28" t="s">
        <v>57</v>
      </c>
      <c r="D4787" s="28" t="n">
        <v>5</v>
      </c>
      <c r="E4787" s="29" t="n">
        <v>1153000</v>
      </c>
      <c r="F4787" s="30" t="n">
        <v>49.25</v>
      </c>
      <c r="G4787" s="31" t="n">
        <f aca="false">IFERROR(F4787/D4787,0)</f>
        <v>9.85</v>
      </c>
    </row>
    <row r="4788" customFormat="false" ht="15" hidden="false" customHeight="false" outlineLevel="0" collapsed="false">
      <c r="A4788" s="28" t="n">
        <v>2025</v>
      </c>
      <c r="B4788" s="28" t="s">
        <v>100</v>
      </c>
      <c r="C4788" s="28" t="s">
        <v>59</v>
      </c>
      <c r="D4788" s="28" t="n">
        <v>3</v>
      </c>
      <c r="E4788" s="29" t="n">
        <v>1880000</v>
      </c>
      <c r="F4788" s="30" t="n">
        <v>32.5</v>
      </c>
      <c r="G4788" s="31" t="n">
        <f aca="false">IFERROR(F4788/D4788,0)</f>
        <v>10.8333333333333</v>
      </c>
    </row>
    <row r="4789" customFormat="false" ht="15" hidden="false" customHeight="false" outlineLevel="0" collapsed="false">
      <c r="A4789" s="28" t="n">
        <v>2025</v>
      </c>
      <c r="B4789" s="28" t="s">
        <v>100</v>
      </c>
      <c r="C4789" s="28" t="s">
        <v>47</v>
      </c>
      <c r="D4789" s="28" t="n">
        <v>88</v>
      </c>
      <c r="E4789" s="29" t="n">
        <v>42451600</v>
      </c>
      <c r="F4789" s="30" t="n">
        <v>843.35</v>
      </c>
      <c r="G4789" s="31" t="n">
        <f aca="false">IFERROR(F4789/D4789,0)</f>
        <v>9.58352272727273</v>
      </c>
    </row>
    <row r="4790" customFormat="false" ht="15" hidden="false" customHeight="false" outlineLevel="0" collapsed="false">
      <c r="A4790" s="28" t="n">
        <v>2025</v>
      </c>
      <c r="B4790" s="28" t="s">
        <v>100</v>
      </c>
      <c r="C4790" s="28" t="s">
        <v>46</v>
      </c>
      <c r="D4790" s="28" t="n">
        <v>89</v>
      </c>
      <c r="E4790" s="29" t="n">
        <v>36376000</v>
      </c>
      <c r="F4790" s="30" t="n">
        <v>885.44</v>
      </c>
      <c r="G4790" s="31" t="n">
        <f aca="false">IFERROR(F4790/D4790,0)</f>
        <v>9.94876404494382</v>
      </c>
    </row>
    <row r="4791" customFormat="false" ht="15" hidden="false" customHeight="false" outlineLevel="0" collapsed="false">
      <c r="A4791" s="28" t="n">
        <v>2025</v>
      </c>
      <c r="B4791" s="28" t="s">
        <v>100</v>
      </c>
      <c r="C4791" s="28" t="s">
        <v>48</v>
      </c>
      <c r="D4791" s="28" t="n">
        <v>106</v>
      </c>
      <c r="E4791" s="29" t="n">
        <v>47247700</v>
      </c>
      <c r="F4791" s="30" t="n">
        <v>1069.38</v>
      </c>
      <c r="G4791" s="31" t="n">
        <f aca="false">IFERROR(F4791/D4791,0)</f>
        <v>10.0884905660377</v>
      </c>
    </row>
    <row r="4792" customFormat="false" ht="15" hidden="false" customHeight="false" outlineLevel="0" collapsed="false">
      <c r="A4792" s="28" t="n">
        <v>2025</v>
      </c>
      <c r="B4792" s="28" t="s">
        <v>100</v>
      </c>
      <c r="C4792" s="28" t="s">
        <v>53</v>
      </c>
      <c r="D4792" s="28" t="n">
        <v>18</v>
      </c>
      <c r="E4792" s="29" t="n">
        <v>6613400</v>
      </c>
      <c r="F4792" s="30" t="n">
        <v>177.19</v>
      </c>
      <c r="G4792" s="31" t="n">
        <f aca="false">IFERROR(F4792/D4792,0)</f>
        <v>9.84388888888889</v>
      </c>
    </row>
    <row r="4793" customFormat="false" ht="15" hidden="false" customHeight="false" outlineLevel="0" collapsed="false">
      <c r="A4793" s="28" t="n">
        <v>2025</v>
      </c>
      <c r="B4793" s="28" t="s">
        <v>100</v>
      </c>
      <c r="C4793" s="28" t="s">
        <v>43</v>
      </c>
      <c r="D4793" s="28" t="n">
        <v>89</v>
      </c>
      <c r="E4793" s="29" t="n">
        <v>51384300</v>
      </c>
      <c r="F4793" s="30" t="n">
        <v>871.99</v>
      </c>
      <c r="G4793" s="31" t="n">
        <f aca="false">IFERROR(F4793/D4793,0)</f>
        <v>9.7976404494382</v>
      </c>
    </row>
    <row r="4794" customFormat="false" ht="15" hidden="false" customHeight="false" outlineLevel="0" collapsed="false">
      <c r="A4794" s="28" t="n">
        <v>2025</v>
      </c>
      <c r="B4794" s="28" t="s">
        <v>100</v>
      </c>
      <c r="C4794" s="28" t="s">
        <v>52</v>
      </c>
      <c r="D4794" s="28" t="n">
        <v>85</v>
      </c>
      <c r="E4794" s="29" t="n">
        <v>13993000</v>
      </c>
      <c r="F4794" s="30" t="n">
        <v>862.84</v>
      </c>
      <c r="G4794" s="31" t="n">
        <f aca="false">IFERROR(F4794/D4794,0)</f>
        <v>10.1510588235294</v>
      </c>
    </row>
    <row r="4795" customFormat="false" ht="15" hidden="false" customHeight="false" outlineLevel="0" collapsed="false">
      <c r="A4795" s="28" t="n">
        <v>2025</v>
      </c>
      <c r="B4795" s="28" t="s">
        <v>100</v>
      </c>
      <c r="C4795" s="28" t="s">
        <v>60</v>
      </c>
      <c r="D4795" s="28" t="n">
        <v>2</v>
      </c>
      <c r="E4795" s="29" t="n">
        <v>250000</v>
      </c>
      <c r="F4795" s="30" t="n">
        <v>21.35</v>
      </c>
      <c r="G4795" s="31" t="n">
        <f aca="false">IFERROR(F4795/D4795,0)</f>
        <v>10.675</v>
      </c>
    </row>
    <row r="4796" customFormat="false" ht="15" hidden="false" customHeight="false" outlineLevel="0" collapsed="false">
      <c r="A4796" s="28" t="n">
        <v>2025</v>
      </c>
      <c r="B4796" s="28" t="s">
        <v>100</v>
      </c>
      <c r="C4796" s="28" t="s">
        <v>49</v>
      </c>
      <c r="D4796" s="28" t="n">
        <v>34</v>
      </c>
      <c r="E4796" s="29" t="n">
        <v>19978700</v>
      </c>
      <c r="F4796" s="30" t="n">
        <v>336.995</v>
      </c>
      <c r="G4796" s="31" t="n">
        <f aca="false">IFERROR(F4796/D4796,0)</f>
        <v>9.91161764705882</v>
      </c>
    </row>
    <row r="4797" customFormat="false" ht="15" hidden="false" customHeight="false" outlineLevel="0" collapsed="false">
      <c r="A4797" s="28" t="n">
        <v>2025</v>
      </c>
      <c r="B4797" s="28" t="s">
        <v>101</v>
      </c>
      <c r="C4797" s="28" t="s">
        <v>42</v>
      </c>
      <c r="D4797" s="28" t="n">
        <v>54</v>
      </c>
      <c r="E4797" s="29" t="n">
        <v>37833100</v>
      </c>
      <c r="F4797" s="30" t="n">
        <v>473.73</v>
      </c>
      <c r="G4797" s="31" t="n">
        <f aca="false">IFERROR(F4797/D4797,0)</f>
        <v>8.77277777777778</v>
      </c>
    </row>
    <row r="4798" customFormat="false" ht="15" hidden="false" customHeight="false" outlineLevel="0" collapsed="false">
      <c r="A4798" s="28" t="n">
        <v>2025</v>
      </c>
      <c r="B4798" s="28" t="s">
        <v>101</v>
      </c>
      <c r="C4798" s="28" t="s">
        <v>50</v>
      </c>
      <c r="D4798" s="28" t="n">
        <v>22</v>
      </c>
      <c r="E4798" s="29" t="n">
        <v>6911800</v>
      </c>
      <c r="F4798" s="30" t="n">
        <v>210.63</v>
      </c>
      <c r="G4798" s="31" t="n">
        <f aca="false">IFERROR(F4798/D4798,0)</f>
        <v>9.57409090909091</v>
      </c>
    </row>
    <row r="4799" customFormat="false" ht="15" hidden="false" customHeight="false" outlineLevel="0" collapsed="false">
      <c r="A4799" s="28" t="n">
        <v>2025</v>
      </c>
      <c r="B4799" s="28" t="s">
        <v>101</v>
      </c>
      <c r="C4799" s="28" t="s">
        <v>55</v>
      </c>
      <c r="D4799" s="28" t="n">
        <v>3</v>
      </c>
      <c r="E4799" s="29" t="n">
        <v>528400</v>
      </c>
      <c r="F4799" s="30" t="n">
        <v>24.8</v>
      </c>
      <c r="G4799" s="31" t="n">
        <f aca="false">IFERROR(F4799/D4799,0)</f>
        <v>8.26666666666667</v>
      </c>
    </row>
    <row r="4800" customFormat="false" ht="15" hidden="false" customHeight="false" outlineLevel="0" collapsed="false">
      <c r="A4800" s="28" t="n">
        <v>2025</v>
      </c>
      <c r="B4800" s="28" t="s">
        <v>101</v>
      </c>
      <c r="C4800" s="28" t="s">
        <v>51</v>
      </c>
      <c r="D4800" s="28" t="n">
        <v>16</v>
      </c>
      <c r="E4800" s="29" t="n">
        <v>14504900</v>
      </c>
      <c r="F4800" s="30" t="n">
        <v>149.74</v>
      </c>
      <c r="G4800" s="31" t="n">
        <f aca="false">IFERROR(F4800/D4800,0)</f>
        <v>9.35875</v>
      </c>
    </row>
    <row r="4801" customFormat="false" ht="15" hidden="false" customHeight="false" outlineLevel="0" collapsed="false">
      <c r="A4801" s="28" t="n">
        <v>2025</v>
      </c>
      <c r="B4801" s="28" t="s">
        <v>101</v>
      </c>
      <c r="C4801" s="28" t="s">
        <v>45</v>
      </c>
      <c r="D4801" s="28" t="n">
        <v>50</v>
      </c>
      <c r="E4801" s="29" t="n">
        <v>20461600</v>
      </c>
      <c r="F4801" s="30" t="n">
        <v>504.75</v>
      </c>
      <c r="G4801" s="31" t="n">
        <f aca="false">IFERROR(F4801/D4801,0)</f>
        <v>10.095</v>
      </c>
    </row>
    <row r="4802" customFormat="false" ht="15" hidden="false" customHeight="false" outlineLevel="0" collapsed="false">
      <c r="A4802" s="28" t="n">
        <v>2025</v>
      </c>
      <c r="B4802" s="28" t="s">
        <v>101</v>
      </c>
      <c r="C4802" s="28" t="s">
        <v>56</v>
      </c>
      <c r="D4802" s="28" t="n">
        <v>5</v>
      </c>
      <c r="E4802" s="29" t="n">
        <v>2893300</v>
      </c>
      <c r="F4802" s="30" t="n">
        <v>45.15</v>
      </c>
      <c r="G4802" s="31" t="n">
        <f aca="false">IFERROR(F4802/D4802,0)</f>
        <v>9.03</v>
      </c>
    </row>
    <row r="4803" customFormat="false" ht="15" hidden="false" customHeight="false" outlineLevel="0" collapsed="false">
      <c r="A4803" s="28" t="n">
        <v>2025</v>
      </c>
      <c r="B4803" s="28" t="s">
        <v>101</v>
      </c>
      <c r="C4803" s="28" t="s">
        <v>54</v>
      </c>
      <c r="D4803" s="28" t="n">
        <v>8</v>
      </c>
      <c r="E4803" s="29" t="n">
        <v>2704400</v>
      </c>
      <c r="F4803" s="30" t="n">
        <v>76.77</v>
      </c>
      <c r="G4803" s="31" t="n">
        <f aca="false">IFERROR(F4803/D4803,0)</f>
        <v>9.59625</v>
      </c>
    </row>
    <row r="4804" customFormat="false" ht="15" hidden="false" customHeight="false" outlineLevel="0" collapsed="false">
      <c r="A4804" s="28" t="n">
        <v>2025</v>
      </c>
      <c r="B4804" s="28" t="s">
        <v>101</v>
      </c>
      <c r="C4804" s="28" t="s">
        <v>44</v>
      </c>
      <c r="D4804" s="28" t="n">
        <v>59</v>
      </c>
      <c r="E4804" s="29" t="n">
        <v>31154100</v>
      </c>
      <c r="F4804" s="30" t="n">
        <v>570.74</v>
      </c>
      <c r="G4804" s="31" t="n">
        <f aca="false">IFERROR(F4804/D4804,0)</f>
        <v>9.6735593220339</v>
      </c>
    </row>
    <row r="4805" customFormat="false" ht="15" hidden="false" customHeight="false" outlineLevel="0" collapsed="false">
      <c r="A4805" s="28" t="n">
        <v>2025</v>
      </c>
      <c r="B4805" s="28" t="s">
        <v>101</v>
      </c>
      <c r="C4805" s="28" t="s">
        <v>57</v>
      </c>
      <c r="D4805" s="28" t="n">
        <v>3</v>
      </c>
      <c r="E4805" s="29" t="n">
        <v>222100</v>
      </c>
      <c r="F4805" s="30" t="n">
        <v>27.74</v>
      </c>
      <c r="G4805" s="31" t="n">
        <f aca="false">IFERROR(F4805/D4805,0)</f>
        <v>9.24666666666667</v>
      </c>
    </row>
    <row r="4806" customFormat="false" ht="15" hidden="false" customHeight="false" outlineLevel="0" collapsed="false">
      <c r="A4806" s="28" t="n">
        <v>2025</v>
      </c>
      <c r="B4806" s="28" t="s">
        <v>101</v>
      </c>
      <c r="C4806" s="28" t="s">
        <v>59</v>
      </c>
      <c r="D4806" s="28" t="n">
        <v>1</v>
      </c>
      <c r="E4806" s="29" t="n">
        <v>1289000</v>
      </c>
      <c r="F4806" s="30" t="n">
        <v>7.8</v>
      </c>
      <c r="G4806" s="31" t="n">
        <f aca="false">IFERROR(F4806/D4806,0)</f>
        <v>7.8</v>
      </c>
    </row>
    <row r="4807" customFormat="false" ht="15" hidden="false" customHeight="false" outlineLevel="0" collapsed="false">
      <c r="A4807" s="28" t="n">
        <v>2025</v>
      </c>
      <c r="B4807" s="28" t="s">
        <v>101</v>
      </c>
      <c r="C4807" s="28" t="s">
        <v>47</v>
      </c>
      <c r="D4807" s="28" t="n">
        <v>28</v>
      </c>
      <c r="E4807" s="29" t="n">
        <v>21165000</v>
      </c>
      <c r="F4807" s="30" t="n">
        <v>256.064</v>
      </c>
      <c r="G4807" s="31" t="n">
        <f aca="false">IFERROR(F4807/D4807,0)</f>
        <v>9.14514285714286</v>
      </c>
    </row>
    <row r="4808" customFormat="false" ht="15" hidden="false" customHeight="false" outlineLevel="0" collapsed="false">
      <c r="A4808" s="28" t="n">
        <v>2025</v>
      </c>
      <c r="B4808" s="28" t="s">
        <v>101</v>
      </c>
      <c r="C4808" s="28" t="s">
        <v>58</v>
      </c>
      <c r="D4808" s="28" t="n">
        <v>1</v>
      </c>
      <c r="E4808" s="29" t="n">
        <v>100000</v>
      </c>
      <c r="F4808" s="30" t="n">
        <v>11.5</v>
      </c>
      <c r="G4808" s="31" t="n">
        <f aca="false">IFERROR(F4808/D4808,0)</f>
        <v>11.5</v>
      </c>
    </row>
    <row r="4809" customFormat="false" ht="15" hidden="false" customHeight="false" outlineLevel="0" collapsed="false">
      <c r="A4809" s="28" t="n">
        <v>2025</v>
      </c>
      <c r="B4809" s="28" t="s">
        <v>101</v>
      </c>
      <c r="C4809" s="28" t="s">
        <v>46</v>
      </c>
      <c r="D4809" s="28" t="n">
        <v>42</v>
      </c>
      <c r="E4809" s="29" t="n">
        <v>10997100</v>
      </c>
      <c r="F4809" s="30" t="n">
        <v>399.239</v>
      </c>
      <c r="G4809" s="31" t="n">
        <f aca="false">IFERROR(F4809/D4809,0)</f>
        <v>9.50569047619048</v>
      </c>
    </row>
    <row r="4810" customFormat="false" ht="15" hidden="false" customHeight="false" outlineLevel="0" collapsed="false">
      <c r="A4810" s="28" t="n">
        <v>2025</v>
      </c>
      <c r="B4810" s="28" t="s">
        <v>101</v>
      </c>
      <c r="C4810" s="28" t="s">
        <v>48</v>
      </c>
      <c r="D4810" s="28" t="n">
        <v>41</v>
      </c>
      <c r="E4810" s="29" t="n">
        <v>19735600</v>
      </c>
      <c r="F4810" s="30" t="n">
        <v>419.98</v>
      </c>
      <c r="G4810" s="31" t="n">
        <f aca="false">IFERROR(F4810/D4810,0)</f>
        <v>10.2434146341463</v>
      </c>
    </row>
    <row r="4811" customFormat="false" ht="15" hidden="false" customHeight="false" outlineLevel="0" collapsed="false">
      <c r="A4811" s="28" t="n">
        <v>2025</v>
      </c>
      <c r="B4811" s="28" t="s">
        <v>101</v>
      </c>
      <c r="C4811" s="28" t="s">
        <v>53</v>
      </c>
      <c r="D4811" s="28" t="n">
        <v>14</v>
      </c>
      <c r="E4811" s="29" t="n">
        <v>6675600</v>
      </c>
      <c r="F4811" s="30" t="n">
        <v>139.159</v>
      </c>
      <c r="G4811" s="31" t="n">
        <f aca="false">IFERROR(F4811/D4811,0)</f>
        <v>9.93992857142857</v>
      </c>
    </row>
    <row r="4812" customFormat="false" ht="15" hidden="false" customHeight="false" outlineLevel="0" collapsed="false">
      <c r="A4812" s="28" t="n">
        <v>2025</v>
      </c>
      <c r="B4812" s="28" t="s">
        <v>101</v>
      </c>
      <c r="C4812" s="28" t="s">
        <v>43</v>
      </c>
      <c r="D4812" s="28" t="n">
        <v>46</v>
      </c>
      <c r="E4812" s="29" t="n">
        <v>18051500</v>
      </c>
      <c r="F4812" s="30" t="n">
        <v>455.324</v>
      </c>
      <c r="G4812" s="31" t="n">
        <f aca="false">IFERROR(F4812/D4812,0)</f>
        <v>9.89834782608696</v>
      </c>
    </row>
    <row r="4813" customFormat="false" ht="15" hidden="false" customHeight="false" outlineLevel="0" collapsed="false">
      <c r="A4813" s="28" t="n">
        <v>2025</v>
      </c>
      <c r="B4813" s="28" t="s">
        <v>101</v>
      </c>
      <c r="C4813" s="28" t="s">
        <v>52</v>
      </c>
      <c r="D4813" s="28" t="n">
        <v>11</v>
      </c>
      <c r="E4813" s="29" t="n">
        <v>2731600</v>
      </c>
      <c r="F4813" s="30" t="n">
        <v>103.51</v>
      </c>
      <c r="G4813" s="31" t="n">
        <f aca="false">IFERROR(F4813/D4813,0)</f>
        <v>9.41</v>
      </c>
    </row>
    <row r="4814" customFormat="false" ht="15" hidden="false" customHeight="false" outlineLevel="0" collapsed="false">
      <c r="A4814" s="28" t="n">
        <v>2025</v>
      </c>
      <c r="B4814" s="28" t="s">
        <v>101</v>
      </c>
      <c r="C4814" s="28" t="s">
        <v>49</v>
      </c>
      <c r="D4814" s="28" t="n">
        <v>10</v>
      </c>
      <c r="E4814" s="29" t="n">
        <v>13550600</v>
      </c>
      <c r="F4814" s="30" t="n">
        <v>105.25</v>
      </c>
      <c r="G4814" s="31" t="n">
        <f aca="false">IFERROR(F4814/D4814,0)</f>
        <v>10.525</v>
      </c>
    </row>
    <row r="4815" customFormat="false" ht="15" hidden="false" customHeight="false" outlineLevel="0" collapsed="false">
      <c r="A4815" s="28" t="n">
        <v>2025</v>
      </c>
      <c r="B4815" s="28" t="s">
        <v>102</v>
      </c>
      <c r="C4815" s="28" t="s">
        <v>42</v>
      </c>
      <c r="D4815" s="28" t="n">
        <v>64</v>
      </c>
      <c r="E4815" s="29" t="n">
        <v>59007300</v>
      </c>
      <c r="F4815" s="30" t="n">
        <v>594.43</v>
      </c>
      <c r="G4815" s="31" t="n">
        <f aca="false">IFERROR(F4815/D4815,0)</f>
        <v>9.28796875</v>
      </c>
    </row>
    <row r="4816" customFormat="false" ht="15" hidden="false" customHeight="false" outlineLevel="0" collapsed="false">
      <c r="A4816" s="28" t="n">
        <v>2025</v>
      </c>
      <c r="B4816" s="28" t="s">
        <v>102</v>
      </c>
      <c r="C4816" s="28" t="s">
        <v>50</v>
      </c>
      <c r="D4816" s="28" t="n">
        <v>25</v>
      </c>
      <c r="E4816" s="29" t="n">
        <v>7037400</v>
      </c>
      <c r="F4816" s="30" t="n">
        <v>259.54</v>
      </c>
      <c r="G4816" s="31" t="n">
        <f aca="false">IFERROR(F4816/D4816,0)</f>
        <v>10.3816</v>
      </c>
    </row>
    <row r="4817" customFormat="false" ht="15" hidden="false" customHeight="false" outlineLevel="0" collapsed="false">
      <c r="A4817" s="28" t="n">
        <v>2025</v>
      </c>
      <c r="B4817" s="28" t="s">
        <v>102</v>
      </c>
      <c r="C4817" s="28" t="s">
        <v>55</v>
      </c>
      <c r="D4817" s="28" t="n">
        <v>6</v>
      </c>
      <c r="E4817" s="29" t="n">
        <v>5421300</v>
      </c>
      <c r="F4817" s="30" t="n">
        <v>54.75</v>
      </c>
      <c r="G4817" s="31" t="n">
        <f aca="false">IFERROR(F4817/D4817,0)</f>
        <v>9.125</v>
      </c>
    </row>
    <row r="4818" customFormat="false" ht="15" hidden="false" customHeight="false" outlineLevel="0" collapsed="false">
      <c r="A4818" s="28" t="n">
        <v>2025</v>
      </c>
      <c r="B4818" s="28" t="s">
        <v>102</v>
      </c>
      <c r="C4818" s="28" t="s">
        <v>51</v>
      </c>
      <c r="D4818" s="28" t="n">
        <v>16</v>
      </c>
      <c r="E4818" s="29" t="n">
        <v>3490300</v>
      </c>
      <c r="F4818" s="30" t="n">
        <v>148.015</v>
      </c>
      <c r="G4818" s="31" t="n">
        <f aca="false">IFERROR(F4818/D4818,0)</f>
        <v>9.2509375</v>
      </c>
    </row>
    <row r="4819" customFormat="false" ht="15" hidden="false" customHeight="false" outlineLevel="0" collapsed="false">
      <c r="A4819" s="28" t="n">
        <v>2025</v>
      </c>
      <c r="B4819" s="28" t="s">
        <v>102</v>
      </c>
      <c r="C4819" s="28" t="s">
        <v>45</v>
      </c>
      <c r="D4819" s="28" t="n">
        <v>76</v>
      </c>
      <c r="E4819" s="29" t="n">
        <v>30217200</v>
      </c>
      <c r="F4819" s="30" t="n">
        <v>753.93</v>
      </c>
      <c r="G4819" s="31" t="n">
        <f aca="false">IFERROR(F4819/D4819,0)</f>
        <v>9.92013157894737</v>
      </c>
    </row>
    <row r="4820" customFormat="false" ht="15" hidden="false" customHeight="false" outlineLevel="0" collapsed="false">
      <c r="A4820" s="28" t="n">
        <v>2025</v>
      </c>
      <c r="B4820" s="28" t="s">
        <v>102</v>
      </c>
      <c r="C4820" s="28" t="s">
        <v>56</v>
      </c>
      <c r="D4820" s="28" t="n">
        <v>3</v>
      </c>
      <c r="E4820" s="29" t="n">
        <v>627500</v>
      </c>
      <c r="F4820" s="30" t="n">
        <v>30.25</v>
      </c>
      <c r="G4820" s="31" t="n">
        <f aca="false">IFERROR(F4820/D4820,0)</f>
        <v>10.0833333333333</v>
      </c>
    </row>
    <row r="4821" customFormat="false" ht="15" hidden="false" customHeight="false" outlineLevel="0" collapsed="false">
      <c r="A4821" s="28" t="n">
        <v>2025</v>
      </c>
      <c r="B4821" s="28" t="s">
        <v>102</v>
      </c>
      <c r="C4821" s="28" t="s">
        <v>54</v>
      </c>
      <c r="D4821" s="28" t="n">
        <v>11</v>
      </c>
      <c r="E4821" s="29" t="n">
        <v>2324900</v>
      </c>
      <c r="F4821" s="30" t="n">
        <v>106.82</v>
      </c>
      <c r="G4821" s="31" t="n">
        <f aca="false">IFERROR(F4821/D4821,0)</f>
        <v>9.71090909090909</v>
      </c>
    </row>
    <row r="4822" customFormat="false" ht="15" hidden="false" customHeight="false" outlineLevel="0" collapsed="false">
      <c r="A4822" s="28" t="n">
        <v>2025</v>
      </c>
      <c r="B4822" s="28" t="s">
        <v>102</v>
      </c>
      <c r="C4822" s="28" t="s">
        <v>44</v>
      </c>
      <c r="D4822" s="28" t="n">
        <v>48</v>
      </c>
      <c r="E4822" s="29" t="n">
        <v>32952600</v>
      </c>
      <c r="F4822" s="30" t="n">
        <v>463.9</v>
      </c>
      <c r="G4822" s="31" t="n">
        <f aca="false">IFERROR(F4822/D4822,0)</f>
        <v>9.66458333333333</v>
      </c>
    </row>
    <row r="4823" customFormat="false" ht="15" hidden="false" customHeight="false" outlineLevel="0" collapsed="false">
      <c r="A4823" s="28" t="n">
        <v>2025</v>
      </c>
      <c r="B4823" s="28" t="s">
        <v>102</v>
      </c>
      <c r="C4823" s="28" t="s">
        <v>57</v>
      </c>
      <c r="D4823" s="28" t="n">
        <v>3</v>
      </c>
      <c r="E4823" s="29" t="n">
        <v>596000</v>
      </c>
      <c r="F4823" s="30" t="n">
        <v>34</v>
      </c>
      <c r="G4823" s="31" t="n">
        <f aca="false">IFERROR(F4823/D4823,0)</f>
        <v>11.3333333333333</v>
      </c>
    </row>
    <row r="4824" customFormat="false" ht="15" hidden="false" customHeight="false" outlineLevel="0" collapsed="false">
      <c r="A4824" s="28" t="n">
        <v>2025</v>
      </c>
      <c r="B4824" s="28" t="s">
        <v>102</v>
      </c>
      <c r="C4824" s="28" t="s">
        <v>47</v>
      </c>
      <c r="D4824" s="28" t="n">
        <v>26</v>
      </c>
      <c r="E4824" s="29" t="n">
        <v>12340000</v>
      </c>
      <c r="F4824" s="30" t="n">
        <v>247.03</v>
      </c>
      <c r="G4824" s="31" t="n">
        <f aca="false">IFERROR(F4824/D4824,0)</f>
        <v>9.50115384615385</v>
      </c>
    </row>
    <row r="4825" customFormat="false" ht="15" hidden="false" customHeight="false" outlineLevel="0" collapsed="false">
      <c r="A4825" s="28" t="n">
        <v>2025</v>
      </c>
      <c r="B4825" s="28" t="s">
        <v>102</v>
      </c>
      <c r="C4825" s="28" t="s">
        <v>58</v>
      </c>
      <c r="D4825" s="28" t="n">
        <v>3</v>
      </c>
      <c r="E4825" s="29" t="n">
        <v>1981500</v>
      </c>
      <c r="F4825" s="30" t="n">
        <v>30.8</v>
      </c>
      <c r="G4825" s="31" t="n">
        <f aca="false">IFERROR(F4825/D4825,0)</f>
        <v>10.2666666666667</v>
      </c>
    </row>
    <row r="4826" customFormat="false" ht="15" hidden="false" customHeight="false" outlineLevel="0" collapsed="false">
      <c r="A4826" s="28" t="n">
        <v>2025</v>
      </c>
      <c r="B4826" s="28" t="s">
        <v>102</v>
      </c>
      <c r="C4826" s="28" t="s">
        <v>46</v>
      </c>
      <c r="D4826" s="28" t="n">
        <v>60</v>
      </c>
      <c r="E4826" s="29" t="n">
        <v>26687200</v>
      </c>
      <c r="F4826" s="30" t="n">
        <v>568.56</v>
      </c>
      <c r="G4826" s="31" t="n">
        <f aca="false">IFERROR(F4826/D4826,0)</f>
        <v>9.476</v>
      </c>
    </row>
    <row r="4827" customFormat="false" ht="15" hidden="false" customHeight="false" outlineLevel="0" collapsed="false">
      <c r="A4827" s="28" t="n">
        <v>2025</v>
      </c>
      <c r="B4827" s="28" t="s">
        <v>102</v>
      </c>
      <c r="C4827" s="28" t="s">
        <v>48</v>
      </c>
      <c r="D4827" s="28" t="n">
        <v>42</v>
      </c>
      <c r="E4827" s="29" t="n">
        <v>8839500</v>
      </c>
      <c r="F4827" s="30" t="n">
        <v>426.95</v>
      </c>
      <c r="G4827" s="31" t="n">
        <f aca="false">IFERROR(F4827/D4827,0)</f>
        <v>10.1654761904762</v>
      </c>
    </row>
    <row r="4828" customFormat="false" ht="15" hidden="false" customHeight="false" outlineLevel="0" collapsed="false">
      <c r="A4828" s="28" t="n">
        <v>2025</v>
      </c>
      <c r="B4828" s="28" t="s">
        <v>102</v>
      </c>
      <c r="C4828" s="28" t="s">
        <v>61</v>
      </c>
      <c r="D4828" s="28" t="n">
        <v>1</v>
      </c>
      <c r="E4828" s="29" t="n">
        <v>20000</v>
      </c>
      <c r="F4828" s="30" t="n">
        <v>14</v>
      </c>
      <c r="G4828" s="31" t="n">
        <f aca="false">IFERROR(F4828/D4828,0)</f>
        <v>14</v>
      </c>
    </row>
    <row r="4829" customFormat="false" ht="15" hidden="false" customHeight="false" outlineLevel="0" collapsed="false">
      <c r="A4829" s="28" t="n">
        <v>2025</v>
      </c>
      <c r="B4829" s="28" t="s">
        <v>102</v>
      </c>
      <c r="C4829" s="28" t="s">
        <v>53</v>
      </c>
      <c r="D4829" s="28" t="n">
        <v>5</v>
      </c>
      <c r="E4829" s="29" t="n">
        <v>6678700</v>
      </c>
      <c r="F4829" s="30" t="n">
        <v>47.41</v>
      </c>
      <c r="G4829" s="31" t="n">
        <f aca="false">IFERROR(F4829/D4829,0)</f>
        <v>9.482</v>
      </c>
    </row>
    <row r="4830" customFormat="false" ht="15" hidden="false" customHeight="false" outlineLevel="0" collapsed="false">
      <c r="A4830" s="28" t="n">
        <v>2025</v>
      </c>
      <c r="B4830" s="28" t="s">
        <v>102</v>
      </c>
      <c r="C4830" s="28" t="s">
        <v>43</v>
      </c>
      <c r="D4830" s="28" t="n">
        <v>59</v>
      </c>
      <c r="E4830" s="29" t="n">
        <v>21041900</v>
      </c>
      <c r="F4830" s="30" t="n">
        <v>552.33</v>
      </c>
      <c r="G4830" s="31" t="n">
        <f aca="false">IFERROR(F4830/D4830,0)</f>
        <v>9.36152542372881</v>
      </c>
    </row>
    <row r="4831" customFormat="false" ht="15" hidden="false" customHeight="false" outlineLevel="0" collapsed="false">
      <c r="A4831" s="28" t="n">
        <v>2025</v>
      </c>
      <c r="B4831" s="28" t="s">
        <v>102</v>
      </c>
      <c r="C4831" s="28" t="s">
        <v>52</v>
      </c>
      <c r="D4831" s="28" t="n">
        <v>23</v>
      </c>
      <c r="E4831" s="29" t="n">
        <v>5259000</v>
      </c>
      <c r="F4831" s="30" t="n">
        <v>225.32</v>
      </c>
      <c r="G4831" s="31" t="n">
        <f aca="false">IFERROR(F4831/D4831,0)</f>
        <v>9.79652173913044</v>
      </c>
    </row>
    <row r="4832" customFormat="false" ht="15" hidden="false" customHeight="false" outlineLevel="0" collapsed="false">
      <c r="A4832" s="28" t="n">
        <v>2025</v>
      </c>
      <c r="B4832" s="28" t="s">
        <v>102</v>
      </c>
      <c r="C4832" s="28" t="s">
        <v>60</v>
      </c>
      <c r="D4832" s="28" t="n">
        <v>2</v>
      </c>
      <c r="E4832" s="29" t="n">
        <v>550000</v>
      </c>
      <c r="F4832" s="30" t="n">
        <v>19.25</v>
      </c>
      <c r="G4832" s="31" t="n">
        <f aca="false">IFERROR(F4832/D4832,0)</f>
        <v>9.625</v>
      </c>
    </row>
    <row r="4833" customFormat="false" ht="15" hidden="false" customHeight="false" outlineLevel="0" collapsed="false">
      <c r="A4833" s="28" t="n">
        <v>2025</v>
      </c>
      <c r="B4833" s="28" t="s">
        <v>102</v>
      </c>
      <c r="C4833" s="28" t="s">
        <v>49</v>
      </c>
      <c r="D4833" s="28" t="n">
        <v>13</v>
      </c>
      <c r="E4833" s="29" t="n">
        <v>11346500</v>
      </c>
      <c r="F4833" s="30" t="n">
        <v>117.83</v>
      </c>
      <c r="G4833" s="31" t="n">
        <f aca="false">IFERROR(F4833/D4833,0)</f>
        <v>9.06384615384615</v>
      </c>
    </row>
    <row r="4834" customFormat="false" ht="15" hidden="false" customHeight="false" outlineLevel="0" collapsed="false">
      <c r="A4834" s="28" t="n">
        <v>2025</v>
      </c>
      <c r="B4834" s="28" t="s">
        <v>104</v>
      </c>
      <c r="C4834" s="28" t="s">
        <v>42</v>
      </c>
      <c r="D4834" s="28" t="n">
        <v>68</v>
      </c>
      <c r="E4834" s="29" t="n">
        <v>55602600</v>
      </c>
      <c r="F4834" s="30" t="n">
        <v>684.7</v>
      </c>
      <c r="G4834" s="31" t="n">
        <f aca="false">IFERROR(F4834/D4834,0)</f>
        <v>10.0691176470588</v>
      </c>
    </row>
    <row r="4835" customFormat="false" ht="15" hidden="false" customHeight="false" outlineLevel="0" collapsed="false">
      <c r="A4835" s="28" t="n">
        <v>2025</v>
      </c>
      <c r="B4835" s="28" t="s">
        <v>104</v>
      </c>
      <c r="C4835" s="28" t="s">
        <v>50</v>
      </c>
      <c r="D4835" s="28" t="n">
        <v>20</v>
      </c>
      <c r="E4835" s="29" t="n">
        <v>6992300</v>
      </c>
      <c r="F4835" s="30" t="n">
        <v>209.24</v>
      </c>
      <c r="G4835" s="31" t="n">
        <f aca="false">IFERROR(F4835/D4835,0)</f>
        <v>10.462</v>
      </c>
    </row>
    <row r="4836" customFormat="false" ht="15" hidden="false" customHeight="false" outlineLevel="0" collapsed="false">
      <c r="A4836" s="28" t="n">
        <v>2025</v>
      </c>
      <c r="B4836" s="28" t="s">
        <v>104</v>
      </c>
      <c r="C4836" s="28" t="s">
        <v>55</v>
      </c>
      <c r="D4836" s="28" t="n">
        <v>10</v>
      </c>
      <c r="E4836" s="29" t="n">
        <v>27243500</v>
      </c>
      <c r="F4836" s="30" t="n">
        <v>85.4</v>
      </c>
      <c r="G4836" s="31" t="n">
        <f aca="false">IFERROR(F4836/D4836,0)</f>
        <v>8.54</v>
      </c>
    </row>
    <row r="4837" customFormat="false" ht="15" hidden="false" customHeight="false" outlineLevel="0" collapsed="false">
      <c r="A4837" s="28" t="n">
        <v>2025</v>
      </c>
      <c r="B4837" s="28" t="s">
        <v>104</v>
      </c>
      <c r="C4837" s="28" t="s">
        <v>51</v>
      </c>
      <c r="D4837" s="28" t="n">
        <v>18</v>
      </c>
      <c r="E4837" s="29" t="n">
        <v>15681700</v>
      </c>
      <c r="F4837" s="30" t="n">
        <v>192.2</v>
      </c>
      <c r="G4837" s="31" t="n">
        <f aca="false">IFERROR(F4837/D4837,0)</f>
        <v>10.6777777777778</v>
      </c>
    </row>
    <row r="4838" customFormat="false" ht="15" hidden="false" customHeight="false" outlineLevel="0" collapsed="false">
      <c r="A4838" s="28" t="n">
        <v>2025</v>
      </c>
      <c r="B4838" s="28" t="s">
        <v>104</v>
      </c>
      <c r="C4838" s="28" t="s">
        <v>45</v>
      </c>
      <c r="D4838" s="28" t="n">
        <v>61</v>
      </c>
      <c r="E4838" s="29" t="n">
        <v>32793100</v>
      </c>
      <c r="F4838" s="30" t="n">
        <v>645.98</v>
      </c>
      <c r="G4838" s="31" t="n">
        <f aca="false">IFERROR(F4838/D4838,0)</f>
        <v>10.5898360655738</v>
      </c>
    </row>
    <row r="4839" customFormat="false" ht="15" hidden="false" customHeight="false" outlineLevel="0" collapsed="false">
      <c r="A4839" s="28" t="n">
        <v>2025</v>
      </c>
      <c r="B4839" s="28" t="s">
        <v>104</v>
      </c>
      <c r="C4839" s="28" t="s">
        <v>56</v>
      </c>
      <c r="D4839" s="28" t="n">
        <v>7</v>
      </c>
      <c r="E4839" s="29" t="n">
        <v>1629100</v>
      </c>
      <c r="F4839" s="30" t="n">
        <v>70.15</v>
      </c>
      <c r="G4839" s="31" t="n">
        <f aca="false">IFERROR(F4839/D4839,0)</f>
        <v>10.0214285714286</v>
      </c>
    </row>
    <row r="4840" customFormat="false" ht="15" hidden="false" customHeight="false" outlineLevel="0" collapsed="false">
      <c r="A4840" s="28" t="n">
        <v>2025</v>
      </c>
      <c r="B4840" s="28" t="s">
        <v>104</v>
      </c>
      <c r="C4840" s="28" t="s">
        <v>54</v>
      </c>
      <c r="D4840" s="28" t="n">
        <v>11</v>
      </c>
      <c r="E4840" s="29" t="n">
        <v>5480900</v>
      </c>
      <c r="F4840" s="30" t="n">
        <v>110.33</v>
      </c>
      <c r="G4840" s="31" t="n">
        <f aca="false">IFERROR(F4840/D4840,0)</f>
        <v>10.03</v>
      </c>
    </row>
    <row r="4841" customFormat="false" ht="15" hidden="false" customHeight="false" outlineLevel="0" collapsed="false">
      <c r="A4841" s="28" t="n">
        <v>2025</v>
      </c>
      <c r="B4841" s="28" t="s">
        <v>104</v>
      </c>
      <c r="C4841" s="28" t="s">
        <v>44</v>
      </c>
      <c r="D4841" s="28" t="n">
        <v>64</v>
      </c>
      <c r="E4841" s="29" t="n">
        <v>32966300</v>
      </c>
      <c r="F4841" s="30" t="n">
        <v>641</v>
      </c>
      <c r="G4841" s="31" t="n">
        <f aca="false">IFERROR(F4841/D4841,0)</f>
        <v>10.015625</v>
      </c>
    </row>
    <row r="4842" customFormat="false" ht="15" hidden="false" customHeight="false" outlineLevel="0" collapsed="false">
      <c r="A4842" s="28" t="n">
        <v>2025</v>
      </c>
      <c r="B4842" s="28" t="s">
        <v>104</v>
      </c>
      <c r="C4842" s="28" t="s">
        <v>57</v>
      </c>
      <c r="D4842" s="28" t="n">
        <v>1</v>
      </c>
      <c r="E4842" s="29" t="n">
        <v>98000</v>
      </c>
      <c r="F4842" s="30" t="n">
        <v>10.25</v>
      </c>
      <c r="G4842" s="31" t="n">
        <f aca="false">IFERROR(F4842/D4842,0)</f>
        <v>10.25</v>
      </c>
    </row>
    <row r="4843" customFormat="false" ht="15" hidden="false" customHeight="false" outlineLevel="0" collapsed="false">
      <c r="A4843" s="28" t="n">
        <v>2025</v>
      </c>
      <c r="B4843" s="28" t="s">
        <v>104</v>
      </c>
      <c r="C4843" s="28" t="s">
        <v>47</v>
      </c>
      <c r="D4843" s="28" t="n">
        <v>26</v>
      </c>
      <c r="E4843" s="29" t="n">
        <v>16415900</v>
      </c>
      <c r="F4843" s="30" t="n">
        <v>265.54</v>
      </c>
      <c r="G4843" s="31" t="n">
        <f aca="false">IFERROR(F4843/D4843,0)</f>
        <v>10.2130769230769</v>
      </c>
    </row>
    <row r="4844" customFormat="false" ht="15" hidden="false" customHeight="false" outlineLevel="0" collapsed="false">
      <c r="A4844" s="28" t="n">
        <v>2025</v>
      </c>
      <c r="B4844" s="28" t="s">
        <v>104</v>
      </c>
      <c r="C4844" s="28" t="s">
        <v>58</v>
      </c>
      <c r="D4844" s="28" t="n">
        <v>2</v>
      </c>
      <c r="E4844" s="29" t="n">
        <v>450000</v>
      </c>
      <c r="F4844" s="30" t="n">
        <v>24</v>
      </c>
      <c r="G4844" s="31" t="n">
        <f aca="false">IFERROR(F4844/D4844,0)</f>
        <v>12</v>
      </c>
    </row>
    <row r="4845" customFormat="false" ht="15" hidden="false" customHeight="false" outlineLevel="0" collapsed="false">
      <c r="A4845" s="28" t="n">
        <v>2025</v>
      </c>
      <c r="B4845" s="28" t="s">
        <v>104</v>
      </c>
      <c r="C4845" s="28" t="s">
        <v>46</v>
      </c>
      <c r="D4845" s="28" t="n">
        <v>47</v>
      </c>
      <c r="E4845" s="29" t="n">
        <v>12194400</v>
      </c>
      <c r="F4845" s="30" t="n">
        <v>507.1</v>
      </c>
      <c r="G4845" s="31" t="n">
        <f aca="false">IFERROR(F4845/D4845,0)</f>
        <v>10.7893617021277</v>
      </c>
    </row>
    <row r="4846" customFormat="false" ht="15" hidden="false" customHeight="false" outlineLevel="0" collapsed="false">
      <c r="A4846" s="28" t="n">
        <v>2025</v>
      </c>
      <c r="B4846" s="28" t="s">
        <v>104</v>
      </c>
      <c r="C4846" s="28" t="s">
        <v>48</v>
      </c>
      <c r="D4846" s="28" t="n">
        <v>45</v>
      </c>
      <c r="E4846" s="29" t="n">
        <v>23559300</v>
      </c>
      <c r="F4846" s="30" t="n">
        <v>478.14</v>
      </c>
      <c r="G4846" s="31" t="n">
        <f aca="false">IFERROR(F4846/D4846,0)</f>
        <v>10.6253333333333</v>
      </c>
    </row>
    <row r="4847" customFormat="false" ht="15" hidden="false" customHeight="false" outlineLevel="0" collapsed="false">
      <c r="A4847" s="28" t="n">
        <v>2025</v>
      </c>
      <c r="B4847" s="28" t="s">
        <v>104</v>
      </c>
      <c r="C4847" s="28" t="s">
        <v>53</v>
      </c>
      <c r="D4847" s="28" t="n">
        <v>7</v>
      </c>
      <c r="E4847" s="29" t="n">
        <v>6382500</v>
      </c>
      <c r="F4847" s="30" t="n">
        <v>69.75</v>
      </c>
      <c r="G4847" s="31" t="n">
        <f aca="false">IFERROR(F4847/D4847,0)</f>
        <v>9.96428571428571</v>
      </c>
    </row>
    <row r="4848" customFormat="false" ht="15" hidden="false" customHeight="false" outlineLevel="0" collapsed="false">
      <c r="A4848" s="28" t="n">
        <v>2025</v>
      </c>
      <c r="B4848" s="28" t="s">
        <v>104</v>
      </c>
      <c r="C4848" s="28" t="s">
        <v>43</v>
      </c>
      <c r="D4848" s="28" t="n">
        <v>55</v>
      </c>
      <c r="E4848" s="29" t="n">
        <v>25066100</v>
      </c>
      <c r="F4848" s="30" t="n">
        <v>577.9</v>
      </c>
      <c r="G4848" s="31" t="n">
        <f aca="false">IFERROR(F4848/D4848,0)</f>
        <v>10.5072727272727</v>
      </c>
    </row>
    <row r="4849" customFormat="false" ht="15" hidden="false" customHeight="false" outlineLevel="0" collapsed="false">
      <c r="A4849" s="28" t="n">
        <v>2025</v>
      </c>
      <c r="B4849" s="28" t="s">
        <v>104</v>
      </c>
      <c r="C4849" s="28" t="s">
        <v>52</v>
      </c>
      <c r="D4849" s="28" t="n">
        <v>15</v>
      </c>
      <c r="E4849" s="29" t="n">
        <v>9604500</v>
      </c>
      <c r="F4849" s="30" t="n">
        <v>166.25</v>
      </c>
      <c r="G4849" s="31" t="n">
        <f aca="false">IFERROR(F4849/D4849,0)</f>
        <v>11.0833333333333</v>
      </c>
    </row>
    <row r="4850" customFormat="false" ht="15" hidden="false" customHeight="false" outlineLevel="0" collapsed="false">
      <c r="A4850" s="28" t="n">
        <v>2025</v>
      </c>
      <c r="B4850" s="28" t="s">
        <v>104</v>
      </c>
      <c r="C4850" s="28" t="s">
        <v>60</v>
      </c>
      <c r="D4850" s="28" t="n">
        <v>1</v>
      </c>
      <c r="E4850" s="29" t="n">
        <v>133000</v>
      </c>
      <c r="F4850" s="30" t="n">
        <v>10.25</v>
      </c>
      <c r="G4850" s="31" t="n">
        <f aca="false">IFERROR(F4850/D4850,0)</f>
        <v>10.25</v>
      </c>
    </row>
    <row r="4851" customFormat="false" ht="15" hidden="false" customHeight="false" outlineLevel="0" collapsed="false">
      <c r="A4851" s="28" t="n">
        <v>2025</v>
      </c>
      <c r="B4851" s="28" t="s">
        <v>104</v>
      </c>
      <c r="C4851" s="28" t="s">
        <v>49</v>
      </c>
      <c r="D4851" s="28" t="n">
        <v>17</v>
      </c>
      <c r="E4851" s="29" t="n">
        <v>13864200</v>
      </c>
      <c r="F4851" s="30" t="n">
        <v>178.35</v>
      </c>
      <c r="G4851" s="31" t="n">
        <f aca="false">IFERROR(F4851/D4851,0)</f>
        <v>10.4911764705882</v>
      </c>
    </row>
    <row r="4852" customFormat="false" ht="15" hidden="false" customHeight="false" outlineLevel="0" collapsed="false">
      <c r="A4852" s="28" t="n">
        <v>2025</v>
      </c>
      <c r="B4852" s="28" t="s">
        <v>106</v>
      </c>
      <c r="C4852" s="28" t="s">
        <v>42</v>
      </c>
      <c r="D4852" s="28" t="n">
        <v>214</v>
      </c>
      <c r="E4852" s="29" t="n">
        <v>68694700</v>
      </c>
      <c r="F4852" s="30" t="n">
        <v>2052.005</v>
      </c>
      <c r="G4852" s="31" t="n">
        <f aca="false">IFERROR(F4852/D4852,0)</f>
        <v>9.58880841121495</v>
      </c>
    </row>
    <row r="4853" customFormat="false" ht="15" hidden="false" customHeight="false" outlineLevel="0" collapsed="false">
      <c r="A4853" s="28" t="n">
        <v>2025</v>
      </c>
      <c r="B4853" s="28" t="s">
        <v>106</v>
      </c>
      <c r="C4853" s="28" t="s">
        <v>50</v>
      </c>
      <c r="D4853" s="28" t="n">
        <v>137</v>
      </c>
      <c r="E4853" s="29" t="n">
        <v>31803800</v>
      </c>
      <c r="F4853" s="30" t="n">
        <v>1360.25</v>
      </c>
      <c r="G4853" s="31" t="n">
        <f aca="false">IFERROR(F4853/D4853,0)</f>
        <v>9.92883211678832</v>
      </c>
    </row>
    <row r="4854" customFormat="false" ht="15" hidden="false" customHeight="false" outlineLevel="0" collapsed="false">
      <c r="A4854" s="28" t="n">
        <v>2025</v>
      </c>
      <c r="B4854" s="28" t="s">
        <v>106</v>
      </c>
      <c r="C4854" s="28" t="s">
        <v>55</v>
      </c>
      <c r="D4854" s="28" t="n">
        <v>6</v>
      </c>
      <c r="E4854" s="29" t="n">
        <v>288200</v>
      </c>
      <c r="F4854" s="30" t="n">
        <v>62.69</v>
      </c>
      <c r="G4854" s="31" t="n">
        <f aca="false">IFERROR(F4854/D4854,0)</f>
        <v>10.4483333333333</v>
      </c>
    </row>
    <row r="4855" customFormat="false" ht="15" hidden="false" customHeight="false" outlineLevel="0" collapsed="false">
      <c r="A4855" s="28" t="n">
        <v>2025</v>
      </c>
      <c r="B4855" s="28" t="s">
        <v>106</v>
      </c>
      <c r="C4855" s="28" t="s">
        <v>51</v>
      </c>
      <c r="D4855" s="28" t="n">
        <v>59</v>
      </c>
      <c r="E4855" s="29" t="n">
        <v>18231600</v>
      </c>
      <c r="F4855" s="30" t="n">
        <v>528.91</v>
      </c>
      <c r="G4855" s="31" t="n">
        <f aca="false">IFERROR(F4855/D4855,0)</f>
        <v>8.96457627118644</v>
      </c>
    </row>
    <row r="4856" customFormat="false" ht="15" hidden="false" customHeight="false" outlineLevel="0" collapsed="false">
      <c r="A4856" s="28" t="n">
        <v>2025</v>
      </c>
      <c r="B4856" s="28" t="s">
        <v>106</v>
      </c>
      <c r="C4856" s="28" t="s">
        <v>45</v>
      </c>
      <c r="D4856" s="28" t="n">
        <v>293</v>
      </c>
      <c r="E4856" s="29" t="n">
        <v>79027400</v>
      </c>
      <c r="F4856" s="30" t="n">
        <v>2951.93</v>
      </c>
      <c r="G4856" s="31" t="n">
        <f aca="false">IFERROR(F4856/D4856,0)</f>
        <v>10.0748464163823</v>
      </c>
    </row>
    <row r="4857" customFormat="false" ht="15" hidden="false" customHeight="false" outlineLevel="0" collapsed="false">
      <c r="A4857" s="28" t="n">
        <v>2025</v>
      </c>
      <c r="B4857" s="28" t="s">
        <v>106</v>
      </c>
      <c r="C4857" s="28" t="s">
        <v>56</v>
      </c>
      <c r="D4857" s="28" t="n">
        <v>39</v>
      </c>
      <c r="E4857" s="29" t="n">
        <v>10934800</v>
      </c>
      <c r="F4857" s="30" t="n">
        <v>407.76</v>
      </c>
      <c r="G4857" s="31" t="n">
        <f aca="false">IFERROR(F4857/D4857,0)</f>
        <v>10.4553846153846</v>
      </c>
    </row>
    <row r="4858" customFormat="false" ht="15" hidden="false" customHeight="false" outlineLevel="0" collapsed="false">
      <c r="A4858" s="28" t="n">
        <v>2025</v>
      </c>
      <c r="B4858" s="28" t="s">
        <v>106</v>
      </c>
      <c r="C4858" s="28" t="s">
        <v>54</v>
      </c>
      <c r="D4858" s="28" t="n">
        <v>17</v>
      </c>
      <c r="E4858" s="29" t="n">
        <v>4456400</v>
      </c>
      <c r="F4858" s="30" t="n">
        <v>167.44</v>
      </c>
      <c r="G4858" s="31" t="n">
        <f aca="false">IFERROR(F4858/D4858,0)</f>
        <v>9.84941176470588</v>
      </c>
    </row>
    <row r="4859" customFormat="false" ht="15" hidden="false" customHeight="false" outlineLevel="0" collapsed="false">
      <c r="A4859" s="28" t="n">
        <v>2025</v>
      </c>
      <c r="B4859" s="28" t="s">
        <v>106</v>
      </c>
      <c r="C4859" s="28" t="s">
        <v>44</v>
      </c>
      <c r="D4859" s="28" t="n">
        <v>166</v>
      </c>
      <c r="E4859" s="29" t="n">
        <v>60161200</v>
      </c>
      <c r="F4859" s="30" t="n">
        <v>1633.795</v>
      </c>
      <c r="G4859" s="31" t="n">
        <f aca="false">IFERROR(F4859/D4859,0)</f>
        <v>9.84213855421687</v>
      </c>
    </row>
    <row r="4860" customFormat="false" ht="15" hidden="false" customHeight="false" outlineLevel="0" collapsed="false">
      <c r="A4860" s="28" t="n">
        <v>2025</v>
      </c>
      <c r="B4860" s="28" t="s">
        <v>106</v>
      </c>
      <c r="C4860" s="28" t="s">
        <v>57</v>
      </c>
      <c r="D4860" s="28" t="n">
        <v>14</v>
      </c>
      <c r="E4860" s="29" t="n">
        <v>3919400</v>
      </c>
      <c r="F4860" s="30" t="n">
        <v>152.36</v>
      </c>
      <c r="G4860" s="31" t="n">
        <f aca="false">IFERROR(F4860/D4860,0)</f>
        <v>10.8828571428571</v>
      </c>
    </row>
    <row r="4861" customFormat="false" ht="15" hidden="false" customHeight="false" outlineLevel="0" collapsed="false">
      <c r="A4861" s="28" t="n">
        <v>2025</v>
      </c>
      <c r="B4861" s="28" t="s">
        <v>106</v>
      </c>
      <c r="C4861" s="28" t="s">
        <v>59</v>
      </c>
      <c r="D4861" s="28" t="n">
        <v>1</v>
      </c>
      <c r="E4861" s="29" t="n">
        <v>1161000</v>
      </c>
      <c r="F4861" s="30" t="n">
        <v>10.25</v>
      </c>
      <c r="G4861" s="31" t="n">
        <f aca="false">IFERROR(F4861/D4861,0)</f>
        <v>10.25</v>
      </c>
    </row>
    <row r="4862" customFormat="false" ht="15" hidden="false" customHeight="false" outlineLevel="0" collapsed="false">
      <c r="A4862" s="28" t="n">
        <v>2025</v>
      </c>
      <c r="B4862" s="28" t="s">
        <v>106</v>
      </c>
      <c r="C4862" s="28" t="s">
        <v>47</v>
      </c>
      <c r="D4862" s="28" t="n">
        <v>62</v>
      </c>
      <c r="E4862" s="29" t="n">
        <v>25860400</v>
      </c>
      <c r="F4862" s="30" t="n">
        <v>601.79</v>
      </c>
      <c r="G4862" s="31" t="n">
        <f aca="false">IFERROR(F4862/D4862,0)</f>
        <v>9.70629032258064</v>
      </c>
    </row>
    <row r="4863" customFormat="false" ht="15" hidden="false" customHeight="false" outlineLevel="0" collapsed="false">
      <c r="A4863" s="28" t="n">
        <v>2025</v>
      </c>
      <c r="B4863" s="28" t="s">
        <v>106</v>
      </c>
      <c r="C4863" s="28" t="s">
        <v>46</v>
      </c>
      <c r="D4863" s="28" t="n">
        <v>183</v>
      </c>
      <c r="E4863" s="29" t="n">
        <v>41991100</v>
      </c>
      <c r="F4863" s="30" t="n">
        <v>1848.57</v>
      </c>
      <c r="G4863" s="31" t="n">
        <f aca="false">IFERROR(F4863/D4863,0)</f>
        <v>10.1014754098361</v>
      </c>
    </row>
    <row r="4864" customFormat="false" ht="15" hidden="false" customHeight="false" outlineLevel="0" collapsed="false">
      <c r="A4864" s="28" t="n">
        <v>2025</v>
      </c>
      <c r="B4864" s="28" t="s">
        <v>106</v>
      </c>
      <c r="C4864" s="28" t="s">
        <v>48</v>
      </c>
      <c r="D4864" s="28" t="n">
        <v>210</v>
      </c>
      <c r="E4864" s="29" t="n">
        <v>74801200</v>
      </c>
      <c r="F4864" s="30" t="n">
        <v>2116.725</v>
      </c>
      <c r="G4864" s="31" t="n">
        <f aca="false">IFERROR(F4864/D4864,0)</f>
        <v>10.0796428571429</v>
      </c>
    </row>
    <row r="4865" customFormat="false" ht="15" hidden="false" customHeight="false" outlineLevel="0" collapsed="false">
      <c r="A4865" s="28" t="n">
        <v>2025</v>
      </c>
      <c r="B4865" s="28" t="s">
        <v>106</v>
      </c>
      <c r="C4865" s="28" t="s">
        <v>61</v>
      </c>
      <c r="D4865" s="28" t="n">
        <v>1</v>
      </c>
      <c r="E4865" s="29" t="n">
        <v>25000</v>
      </c>
      <c r="F4865" s="30" t="n">
        <v>10.75</v>
      </c>
      <c r="G4865" s="31" t="n">
        <f aca="false">IFERROR(F4865/D4865,0)</f>
        <v>10.75</v>
      </c>
    </row>
    <row r="4866" customFormat="false" ht="15" hidden="false" customHeight="false" outlineLevel="0" collapsed="false">
      <c r="A4866" s="28" t="n">
        <v>2025</v>
      </c>
      <c r="B4866" s="28" t="s">
        <v>106</v>
      </c>
      <c r="C4866" s="28" t="s">
        <v>53</v>
      </c>
      <c r="D4866" s="28" t="n">
        <v>31</v>
      </c>
      <c r="E4866" s="29" t="n">
        <v>7348600</v>
      </c>
      <c r="F4866" s="30" t="n">
        <v>300.51</v>
      </c>
      <c r="G4866" s="31" t="n">
        <f aca="false">IFERROR(F4866/D4866,0)</f>
        <v>9.69387096774194</v>
      </c>
    </row>
    <row r="4867" customFormat="false" ht="15" hidden="false" customHeight="false" outlineLevel="0" collapsed="false">
      <c r="A4867" s="28" t="n">
        <v>2025</v>
      </c>
      <c r="B4867" s="28" t="s">
        <v>106</v>
      </c>
      <c r="C4867" s="28" t="s">
        <v>43</v>
      </c>
      <c r="D4867" s="28" t="n">
        <v>165</v>
      </c>
      <c r="E4867" s="29" t="n">
        <v>41527900</v>
      </c>
      <c r="F4867" s="30" t="n">
        <v>1626.01</v>
      </c>
      <c r="G4867" s="31" t="n">
        <f aca="false">IFERROR(F4867/D4867,0)</f>
        <v>9.85460606060606</v>
      </c>
    </row>
    <row r="4868" customFormat="false" ht="15" hidden="false" customHeight="false" outlineLevel="0" collapsed="false">
      <c r="A4868" s="28" t="n">
        <v>2025</v>
      </c>
      <c r="B4868" s="28" t="s">
        <v>106</v>
      </c>
      <c r="C4868" s="28" t="s">
        <v>52</v>
      </c>
      <c r="D4868" s="28" t="n">
        <v>75</v>
      </c>
      <c r="E4868" s="29" t="n">
        <v>12884900</v>
      </c>
      <c r="F4868" s="30" t="n">
        <v>733.955</v>
      </c>
      <c r="G4868" s="31" t="n">
        <f aca="false">IFERROR(F4868/D4868,0)</f>
        <v>9.78606666666667</v>
      </c>
    </row>
    <row r="4869" customFormat="false" ht="15" hidden="false" customHeight="false" outlineLevel="0" collapsed="false">
      <c r="A4869" s="28" t="n">
        <v>2025</v>
      </c>
      <c r="B4869" s="28" t="s">
        <v>106</v>
      </c>
      <c r="C4869" s="28" t="s">
        <v>60</v>
      </c>
      <c r="D4869" s="28" t="n">
        <v>1</v>
      </c>
      <c r="E4869" s="29" t="n">
        <v>50000</v>
      </c>
      <c r="F4869" s="30" t="n">
        <v>13.49</v>
      </c>
      <c r="G4869" s="31" t="n">
        <f aca="false">IFERROR(F4869/D4869,0)</f>
        <v>13.49</v>
      </c>
    </row>
    <row r="4870" customFormat="false" ht="15" hidden="false" customHeight="false" outlineLevel="0" collapsed="false">
      <c r="A4870" s="28" t="n">
        <v>2025</v>
      </c>
      <c r="B4870" s="28" t="s">
        <v>106</v>
      </c>
      <c r="C4870" s="28" t="s">
        <v>49</v>
      </c>
      <c r="D4870" s="28" t="n">
        <v>44</v>
      </c>
      <c r="E4870" s="29" t="n">
        <v>24744600</v>
      </c>
      <c r="F4870" s="30" t="n">
        <v>433.29</v>
      </c>
      <c r="G4870" s="31" t="n">
        <f aca="false">IFERROR(F4870/D4870,0)</f>
        <v>9.8475</v>
      </c>
    </row>
    <row r="4871" customFormat="false" ht="15" hidden="false" customHeight="false" outlineLevel="0" collapsed="false">
      <c r="A4871" s="28" t="n">
        <v>2025</v>
      </c>
      <c r="B4871" s="28" t="s">
        <v>107</v>
      </c>
      <c r="C4871" s="28" t="s">
        <v>42</v>
      </c>
      <c r="D4871" s="28" t="n">
        <v>135</v>
      </c>
      <c r="E4871" s="29" t="n">
        <v>85297600</v>
      </c>
      <c r="F4871" s="30" t="n">
        <v>1407.14</v>
      </c>
      <c r="G4871" s="31" t="n">
        <f aca="false">IFERROR(F4871/D4871,0)</f>
        <v>10.4232592592593</v>
      </c>
    </row>
    <row r="4872" customFormat="false" ht="15" hidden="false" customHeight="false" outlineLevel="0" collapsed="false">
      <c r="A4872" s="28" t="n">
        <v>2025</v>
      </c>
      <c r="B4872" s="28" t="s">
        <v>107</v>
      </c>
      <c r="C4872" s="28" t="s">
        <v>50</v>
      </c>
      <c r="D4872" s="28" t="n">
        <v>77</v>
      </c>
      <c r="E4872" s="29" t="n">
        <v>21644200</v>
      </c>
      <c r="F4872" s="30" t="n">
        <v>844.7</v>
      </c>
      <c r="G4872" s="31" t="n">
        <f aca="false">IFERROR(F4872/D4872,0)</f>
        <v>10.9701298701299</v>
      </c>
    </row>
    <row r="4873" customFormat="false" ht="15" hidden="false" customHeight="false" outlineLevel="0" collapsed="false">
      <c r="A4873" s="28" t="n">
        <v>2025</v>
      </c>
      <c r="B4873" s="28" t="s">
        <v>107</v>
      </c>
      <c r="C4873" s="28" t="s">
        <v>55</v>
      </c>
      <c r="D4873" s="28" t="n">
        <v>6</v>
      </c>
      <c r="E4873" s="29" t="n">
        <v>414000</v>
      </c>
      <c r="F4873" s="30" t="n">
        <v>69.24</v>
      </c>
      <c r="G4873" s="31" t="n">
        <f aca="false">IFERROR(F4873/D4873,0)</f>
        <v>11.54</v>
      </c>
    </row>
    <row r="4874" customFormat="false" ht="15" hidden="false" customHeight="false" outlineLevel="0" collapsed="false">
      <c r="A4874" s="28" t="n">
        <v>2025</v>
      </c>
      <c r="B4874" s="28" t="s">
        <v>107</v>
      </c>
      <c r="C4874" s="28" t="s">
        <v>51</v>
      </c>
      <c r="D4874" s="28" t="n">
        <v>49</v>
      </c>
      <c r="E4874" s="29" t="n">
        <v>24746700</v>
      </c>
      <c r="F4874" s="30" t="n">
        <v>503.48</v>
      </c>
      <c r="G4874" s="31" t="n">
        <f aca="false">IFERROR(F4874/D4874,0)</f>
        <v>10.2751020408163</v>
      </c>
    </row>
    <row r="4875" customFormat="false" ht="15" hidden="false" customHeight="false" outlineLevel="0" collapsed="false">
      <c r="A4875" s="28" t="n">
        <v>2025</v>
      </c>
      <c r="B4875" s="28" t="s">
        <v>107</v>
      </c>
      <c r="C4875" s="28" t="s">
        <v>45</v>
      </c>
      <c r="D4875" s="28" t="n">
        <v>136</v>
      </c>
      <c r="E4875" s="29" t="n">
        <v>35786200</v>
      </c>
      <c r="F4875" s="30" t="n">
        <v>1519.77</v>
      </c>
      <c r="G4875" s="31" t="n">
        <f aca="false">IFERROR(F4875/D4875,0)</f>
        <v>11.1747794117647</v>
      </c>
    </row>
    <row r="4876" customFormat="false" ht="15" hidden="false" customHeight="false" outlineLevel="0" collapsed="false">
      <c r="A4876" s="28" t="n">
        <v>2025</v>
      </c>
      <c r="B4876" s="28" t="s">
        <v>107</v>
      </c>
      <c r="C4876" s="28" t="s">
        <v>56</v>
      </c>
      <c r="D4876" s="28" t="n">
        <v>35</v>
      </c>
      <c r="E4876" s="29" t="n">
        <v>5783800</v>
      </c>
      <c r="F4876" s="30" t="n">
        <v>397.23</v>
      </c>
      <c r="G4876" s="31" t="n">
        <f aca="false">IFERROR(F4876/D4876,0)</f>
        <v>11.3494285714286</v>
      </c>
    </row>
    <row r="4877" customFormat="false" ht="15" hidden="false" customHeight="false" outlineLevel="0" collapsed="false">
      <c r="A4877" s="28" t="n">
        <v>2025</v>
      </c>
      <c r="B4877" s="28" t="s">
        <v>107</v>
      </c>
      <c r="C4877" s="28" t="s">
        <v>54</v>
      </c>
      <c r="D4877" s="28" t="n">
        <v>21</v>
      </c>
      <c r="E4877" s="29" t="n">
        <v>4833600</v>
      </c>
      <c r="F4877" s="30" t="n">
        <v>227.85</v>
      </c>
      <c r="G4877" s="31" t="n">
        <f aca="false">IFERROR(F4877/D4877,0)</f>
        <v>10.85</v>
      </c>
    </row>
    <row r="4878" customFormat="false" ht="15" hidden="false" customHeight="false" outlineLevel="0" collapsed="false">
      <c r="A4878" s="28" t="n">
        <v>2025</v>
      </c>
      <c r="B4878" s="28" t="s">
        <v>107</v>
      </c>
      <c r="C4878" s="28" t="s">
        <v>44</v>
      </c>
      <c r="D4878" s="28" t="n">
        <v>170</v>
      </c>
      <c r="E4878" s="29" t="n">
        <v>60225900</v>
      </c>
      <c r="F4878" s="30" t="n">
        <v>1836.99</v>
      </c>
      <c r="G4878" s="31" t="n">
        <f aca="false">IFERROR(F4878/D4878,0)</f>
        <v>10.8058235294118</v>
      </c>
    </row>
    <row r="4879" customFormat="false" ht="15" hidden="false" customHeight="false" outlineLevel="0" collapsed="false">
      <c r="A4879" s="28" t="n">
        <v>2025</v>
      </c>
      <c r="B4879" s="28" t="s">
        <v>107</v>
      </c>
      <c r="C4879" s="28" t="s">
        <v>57</v>
      </c>
      <c r="D4879" s="28" t="n">
        <v>18</v>
      </c>
      <c r="E4879" s="29" t="n">
        <v>3956200</v>
      </c>
      <c r="F4879" s="30" t="n">
        <v>211.74</v>
      </c>
      <c r="G4879" s="31" t="n">
        <f aca="false">IFERROR(F4879/D4879,0)</f>
        <v>11.7633333333333</v>
      </c>
    </row>
    <row r="4880" customFormat="false" ht="15" hidden="false" customHeight="false" outlineLevel="0" collapsed="false">
      <c r="A4880" s="28" t="n">
        <v>2025</v>
      </c>
      <c r="B4880" s="28" t="s">
        <v>107</v>
      </c>
      <c r="C4880" s="28" t="s">
        <v>47</v>
      </c>
      <c r="D4880" s="28" t="n">
        <v>40</v>
      </c>
      <c r="E4880" s="29" t="n">
        <v>16032700</v>
      </c>
      <c r="F4880" s="30" t="n">
        <v>427.42</v>
      </c>
      <c r="G4880" s="31" t="n">
        <f aca="false">IFERROR(F4880/D4880,0)</f>
        <v>10.6855</v>
      </c>
    </row>
    <row r="4881" customFormat="false" ht="15" hidden="false" customHeight="false" outlineLevel="0" collapsed="false">
      <c r="A4881" s="28" t="n">
        <v>2025</v>
      </c>
      <c r="B4881" s="28" t="s">
        <v>107</v>
      </c>
      <c r="C4881" s="28" t="s">
        <v>46</v>
      </c>
      <c r="D4881" s="28" t="n">
        <v>133</v>
      </c>
      <c r="E4881" s="29" t="n">
        <v>49687200</v>
      </c>
      <c r="F4881" s="30" t="n">
        <v>1412.93</v>
      </c>
      <c r="G4881" s="31" t="n">
        <f aca="false">IFERROR(F4881/D4881,0)</f>
        <v>10.6235338345865</v>
      </c>
    </row>
    <row r="4882" customFormat="false" ht="15" hidden="false" customHeight="false" outlineLevel="0" collapsed="false">
      <c r="A4882" s="28" t="n">
        <v>2025</v>
      </c>
      <c r="B4882" s="28" t="s">
        <v>107</v>
      </c>
      <c r="C4882" s="28" t="s">
        <v>48</v>
      </c>
      <c r="D4882" s="28" t="n">
        <v>178</v>
      </c>
      <c r="E4882" s="29" t="n">
        <v>57348100</v>
      </c>
      <c r="F4882" s="30" t="n">
        <v>2005.26</v>
      </c>
      <c r="G4882" s="31" t="n">
        <f aca="false">IFERROR(F4882/D4882,0)</f>
        <v>11.2655056179775</v>
      </c>
    </row>
    <row r="4883" customFormat="false" ht="15" hidden="false" customHeight="false" outlineLevel="0" collapsed="false">
      <c r="A4883" s="28" t="n">
        <v>2025</v>
      </c>
      <c r="B4883" s="28" t="s">
        <v>107</v>
      </c>
      <c r="C4883" s="28" t="s">
        <v>53</v>
      </c>
      <c r="D4883" s="28" t="n">
        <v>17</v>
      </c>
      <c r="E4883" s="29" t="n">
        <v>9519600</v>
      </c>
      <c r="F4883" s="30" t="n">
        <v>190.55</v>
      </c>
      <c r="G4883" s="31" t="n">
        <f aca="false">IFERROR(F4883/D4883,0)</f>
        <v>11.2088235294118</v>
      </c>
    </row>
    <row r="4884" customFormat="false" ht="15" hidden="false" customHeight="false" outlineLevel="0" collapsed="false">
      <c r="A4884" s="28" t="n">
        <v>2025</v>
      </c>
      <c r="B4884" s="28" t="s">
        <v>107</v>
      </c>
      <c r="C4884" s="28" t="s">
        <v>43</v>
      </c>
      <c r="D4884" s="28" t="n">
        <v>110</v>
      </c>
      <c r="E4884" s="29" t="n">
        <v>43508700</v>
      </c>
      <c r="F4884" s="30" t="n">
        <v>1178.72</v>
      </c>
      <c r="G4884" s="31" t="n">
        <f aca="false">IFERROR(F4884/D4884,0)</f>
        <v>10.7156363636364</v>
      </c>
    </row>
    <row r="4885" customFormat="false" ht="15" hidden="false" customHeight="false" outlineLevel="0" collapsed="false">
      <c r="A4885" s="28" t="n">
        <v>2025</v>
      </c>
      <c r="B4885" s="28" t="s">
        <v>107</v>
      </c>
      <c r="C4885" s="28" t="s">
        <v>52</v>
      </c>
      <c r="D4885" s="28" t="n">
        <v>50</v>
      </c>
      <c r="E4885" s="29" t="n">
        <v>13563200</v>
      </c>
      <c r="F4885" s="30" t="n">
        <v>561.47</v>
      </c>
      <c r="G4885" s="31" t="n">
        <f aca="false">IFERROR(F4885/D4885,0)</f>
        <v>11.2294</v>
      </c>
    </row>
    <row r="4886" customFormat="false" ht="15" hidden="false" customHeight="false" outlineLevel="0" collapsed="false">
      <c r="A4886" s="28" t="n">
        <v>2025</v>
      </c>
      <c r="B4886" s="28" t="s">
        <v>107</v>
      </c>
      <c r="C4886" s="28" t="s">
        <v>60</v>
      </c>
      <c r="D4886" s="28" t="n">
        <v>3</v>
      </c>
      <c r="E4886" s="29" t="n">
        <v>1661000</v>
      </c>
      <c r="F4886" s="30" t="n">
        <v>33.5</v>
      </c>
      <c r="G4886" s="31" t="n">
        <f aca="false">IFERROR(F4886/D4886,0)</f>
        <v>11.1666666666667</v>
      </c>
    </row>
    <row r="4887" customFormat="false" ht="15" hidden="false" customHeight="false" outlineLevel="0" collapsed="false">
      <c r="A4887" s="28" t="n">
        <v>2025</v>
      </c>
      <c r="B4887" s="28" t="s">
        <v>107</v>
      </c>
      <c r="C4887" s="28" t="s">
        <v>49</v>
      </c>
      <c r="D4887" s="28" t="n">
        <v>23</v>
      </c>
      <c r="E4887" s="29" t="n">
        <v>12040500</v>
      </c>
      <c r="F4887" s="30" t="n">
        <v>247.37</v>
      </c>
      <c r="G4887" s="31" t="n">
        <f aca="false">IFERROR(F4887/D4887,0)</f>
        <v>10.7552173913043</v>
      </c>
    </row>
    <row r="4888" customFormat="false" ht="15" hidden="false" customHeight="false" outlineLevel="0" collapsed="false">
      <c r="A4888" s="28" t="n">
        <v>2025</v>
      </c>
      <c r="B4888" s="28" t="s">
        <v>109</v>
      </c>
      <c r="C4888" s="28" t="s">
        <v>42</v>
      </c>
      <c r="D4888" s="28" t="n">
        <v>51</v>
      </c>
      <c r="E4888" s="29" t="n">
        <v>18786600</v>
      </c>
      <c r="F4888" s="30" t="n">
        <v>454.33</v>
      </c>
      <c r="G4888" s="31" t="n">
        <f aca="false">IFERROR(F4888/D4888,0)</f>
        <v>8.90843137254902</v>
      </c>
    </row>
    <row r="4889" customFormat="false" ht="15" hidden="false" customHeight="false" outlineLevel="0" collapsed="false">
      <c r="A4889" s="28" t="n">
        <v>2025</v>
      </c>
      <c r="B4889" s="28" t="s">
        <v>109</v>
      </c>
      <c r="C4889" s="28" t="s">
        <v>50</v>
      </c>
      <c r="D4889" s="28" t="n">
        <v>22</v>
      </c>
      <c r="E4889" s="29" t="n">
        <v>6205900</v>
      </c>
      <c r="F4889" s="30" t="n">
        <v>212.805</v>
      </c>
      <c r="G4889" s="31" t="n">
        <f aca="false">IFERROR(F4889/D4889,0)</f>
        <v>9.67295454545455</v>
      </c>
    </row>
    <row r="4890" customFormat="false" ht="15" hidden="false" customHeight="false" outlineLevel="0" collapsed="false">
      <c r="A4890" s="28" t="n">
        <v>2025</v>
      </c>
      <c r="B4890" s="28" t="s">
        <v>109</v>
      </c>
      <c r="C4890" s="28" t="s">
        <v>55</v>
      </c>
      <c r="D4890" s="28" t="n">
        <v>18</v>
      </c>
      <c r="E4890" s="29" t="n">
        <v>2247400</v>
      </c>
      <c r="F4890" s="30" t="n">
        <v>155.32</v>
      </c>
      <c r="G4890" s="31" t="n">
        <f aca="false">IFERROR(F4890/D4890,0)</f>
        <v>8.62888888888889</v>
      </c>
    </row>
    <row r="4891" customFormat="false" ht="15" hidden="false" customHeight="false" outlineLevel="0" collapsed="false">
      <c r="A4891" s="28" t="n">
        <v>2025</v>
      </c>
      <c r="B4891" s="28" t="s">
        <v>109</v>
      </c>
      <c r="C4891" s="28" t="s">
        <v>51</v>
      </c>
      <c r="D4891" s="28" t="n">
        <v>13</v>
      </c>
      <c r="E4891" s="29" t="n">
        <v>4407700</v>
      </c>
      <c r="F4891" s="30" t="n">
        <v>112.2</v>
      </c>
      <c r="G4891" s="31" t="n">
        <f aca="false">IFERROR(F4891/D4891,0)</f>
        <v>8.63076923076923</v>
      </c>
    </row>
    <row r="4892" customFormat="false" ht="15" hidden="false" customHeight="false" outlineLevel="0" collapsed="false">
      <c r="A4892" s="28" t="n">
        <v>2025</v>
      </c>
      <c r="B4892" s="28" t="s">
        <v>109</v>
      </c>
      <c r="C4892" s="28" t="s">
        <v>45</v>
      </c>
      <c r="D4892" s="28" t="n">
        <v>45</v>
      </c>
      <c r="E4892" s="29" t="n">
        <v>8581700</v>
      </c>
      <c r="F4892" s="30" t="n">
        <v>428.955</v>
      </c>
      <c r="G4892" s="31" t="n">
        <f aca="false">IFERROR(F4892/D4892,0)</f>
        <v>9.53233333333333</v>
      </c>
    </row>
    <row r="4893" customFormat="false" ht="15" hidden="false" customHeight="false" outlineLevel="0" collapsed="false">
      <c r="A4893" s="28" t="n">
        <v>2025</v>
      </c>
      <c r="B4893" s="28" t="s">
        <v>109</v>
      </c>
      <c r="C4893" s="28" t="s">
        <v>56</v>
      </c>
      <c r="D4893" s="28" t="n">
        <v>4</v>
      </c>
      <c r="E4893" s="29" t="n">
        <v>870000</v>
      </c>
      <c r="F4893" s="30" t="n">
        <v>38.75</v>
      </c>
      <c r="G4893" s="31" t="n">
        <f aca="false">IFERROR(F4893/D4893,0)</f>
        <v>9.6875</v>
      </c>
    </row>
    <row r="4894" customFormat="false" ht="15" hidden="false" customHeight="false" outlineLevel="0" collapsed="false">
      <c r="A4894" s="28" t="n">
        <v>2025</v>
      </c>
      <c r="B4894" s="28" t="s">
        <v>109</v>
      </c>
      <c r="C4894" s="28" t="s">
        <v>54</v>
      </c>
      <c r="D4894" s="28" t="n">
        <v>3</v>
      </c>
      <c r="E4894" s="29" t="n">
        <v>1248000</v>
      </c>
      <c r="F4894" s="30" t="n">
        <v>29.75</v>
      </c>
      <c r="G4894" s="31" t="n">
        <f aca="false">IFERROR(F4894/D4894,0)</f>
        <v>9.91666666666667</v>
      </c>
    </row>
    <row r="4895" customFormat="false" ht="15" hidden="false" customHeight="false" outlineLevel="0" collapsed="false">
      <c r="A4895" s="28" t="n">
        <v>2025</v>
      </c>
      <c r="B4895" s="28" t="s">
        <v>109</v>
      </c>
      <c r="C4895" s="28" t="s">
        <v>44</v>
      </c>
      <c r="D4895" s="28" t="n">
        <v>35</v>
      </c>
      <c r="E4895" s="29" t="n">
        <v>6234900</v>
      </c>
      <c r="F4895" s="30" t="n">
        <v>299.89</v>
      </c>
      <c r="G4895" s="31" t="n">
        <f aca="false">IFERROR(F4895/D4895,0)</f>
        <v>8.56828571428572</v>
      </c>
    </row>
    <row r="4896" customFormat="false" ht="15" hidden="false" customHeight="false" outlineLevel="0" collapsed="false">
      <c r="A4896" s="28" t="n">
        <v>2025</v>
      </c>
      <c r="B4896" s="28" t="s">
        <v>109</v>
      </c>
      <c r="C4896" s="28" t="s">
        <v>57</v>
      </c>
      <c r="D4896" s="28" t="n">
        <v>2</v>
      </c>
      <c r="E4896" s="29" t="n">
        <v>3050000</v>
      </c>
      <c r="F4896" s="30" t="n">
        <v>18.75</v>
      </c>
      <c r="G4896" s="31" t="n">
        <f aca="false">IFERROR(F4896/D4896,0)</f>
        <v>9.375</v>
      </c>
    </row>
    <row r="4897" customFormat="false" ht="15" hidden="false" customHeight="false" outlineLevel="0" collapsed="false">
      <c r="A4897" s="28" t="n">
        <v>2025</v>
      </c>
      <c r="B4897" s="28" t="s">
        <v>109</v>
      </c>
      <c r="C4897" s="28" t="s">
        <v>47</v>
      </c>
      <c r="D4897" s="28" t="n">
        <v>11</v>
      </c>
      <c r="E4897" s="29" t="n">
        <v>5924800</v>
      </c>
      <c r="F4897" s="30" t="n">
        <v>107.625</v>
      </c>
      <c r="G4897" s="31" t="n">
        <f aca="false">IFERROR(F4897/D4897,0)</f>
        <v>9.78409090909091</v>
      </c>
    </row>
    <row r="4898" customFormat="false" ht="15" hidden="false" customHeight="false" outlineLevel="0" collapsed="false">
      <c r="A4898" s="28" t="n">
        <v>2025</v>
      </c>
      <c r="B4898" s="28" t="s">
        <v>109</v>
      </c>
      <c r="C4898" s="28" t="s">
        <v>58</v>
      </c>
      <c r="D4898" s="28" t="n">
        <v>2</v>
      </c>
      <c r="E4898" s="29" t="n">
        <v>205800</v>
      </c>
      <c r="F4898" s="30" t="n">
        <v>16.5</v>
      </c>
      <c r="G4898" s="31" t="n">
        <f aca="false">IFERROR(F4898/D4898,0)</f>
        <v>8.25</v>
      </c>
    </row>
    <row r="4899" customFormat="false" ht="15" hidden="false" customHeight="false" outlineLevel="0" collapsed="false">
      <c r="A4899" s="28" t="n">
        <v>2025</v>
      </c>
      <c r="B4899" s="28" t="s">
        <v>109</v>
      </c>
      <c r="C4899" s="28" t="s">
        <v>46</v>
      </c>
      <c r="D4899" s="28" t="n">
        <v>40</v>
      </c>
      <c r="E4899" s="29" t="n">
        <v>4901200</v>
      </c>
      <c r="F4899" s="30" t="n">
        <v>375.09</v>
      </c>
      <c r="G4899" s="31" t="n">
        <f aca="false">IFERROR(F4899/D4899,0)</f>
        <v>9.37725</v>
      </c>
    </row>
    <row r="4900" customFormat="false" ht="15" hidden="false" customHeight="false" outlineLevel="0" collapsed="false">
      <c r="A4900" s="28" t="n">
        <v>2025</v>
      </c>
      <c r="B4900" s="28" t="s">
        <v>109</v>
      </c>
      <c r="C4900" s="28" t="s">
        <v>48</v>
      </c>
      <c r="D4900" s="28" t="n">
        <v>27</v>
      </c>
      <c r="E4900" s="29" t="n">
        <v>7124100</v>
      </c>
      <c r="F4900" s="30" t="n">
        <v>264.96</v>
      </c>
      <c r="G4900" s="31" t="n">
        <f aca="false">IFERROR(F4900/D4900,0)</f>
        <v>9.81333333333333</v>
      </c>
    </row>
    <row r="4901" customFormat="false" ht="15" hidden="false" customHeight="false" outlineLevel="0" collapsed="false">
      <c r="A4901" s="28" t="n">
        <v>2025</v>
      </c>
      <c r="B4901" s="28" t="s">
        <v>109</v>
      </c>
      <c r="C4901" s="28" t="s">
        <v>53</v>
      </c>
      <c r="D4901" s="28" t="n">
        <v>5</v>
      </c>
      <c r="E4901" s="29" t="n">
        <v>2205000</v>
      </c>
      <c r="F4901" s="30" t="n">
        <v>43.24</v>
      </c>
      <c r="G4901" s="31" t="n">
        <f aca="false">IFERROR(F4901/D4901,0)</f>
        <v>8.648</v>
      </c>
    </row>
    <row r="4902" customFormat="false" ht="15" hidden="false" customHeight="false" outlineLevel="0" collapsed="false">
      <c r="A4902" s="28" t="n">
        <v>2025</v>
      </c>
      <c r="B4902" s="28" t="s">
        <v>109</v>
      </c>
      <c r="C4902" s="28" t="s">
        <v>43</v>
      </c>
      <c r="D4902" s="28" t="n">
        <v>30</v>
      </c>
      <c r="E4902" s="29" t="n">
        <v>10719500</v>
      </c>
      <c r="F4902" s="30" t="n">
        <v>290.09</v>
      </c>
      <c r="G4902" s="31" t="n">
        <f aca="false">IFERROR(F4902/D4902,0)</f>
        <v>9.66966666666667</v>
      </c>
    </row>
    <row r="4903" customFormat="false" ht="15" hidden="false" customHeight="false" outlineLevel="0" collapsed="false">
      <c r="A4903" s="28" t="n">
        <v>2025</v>
      </c>
      <c r="B4903" s="28" t="s">
        <v>109</v>
      </c>
      <c r="C4903" s="28" t="s">
        <v>52</v>
      </c>
      <c r="D4903" s="28" t="n">
        <v>22</v>
      </c>
      <c r="E4903" s="29" t="n">
        <v>5206200</v>
      </c>
      <c r="F4903" s="30" t="n">
        <v>211.375</v>
      </c>
      <c r="G4903" s="31" t="n">
        <f aca="false">IFERROR(F4903/D4903,0)</f>
        <v>9.60795454545455</v>
      </c>
    </row>
    <row r="4904" customFormat="false" ht="15" hidden="false" customHeight="false" outlineLevel="0" collapsed="false">
      <c r="A4904" s="28" t="n">
        <v>2025</v>
      </c>
      <c r="B4904" s="28" t="s">
        <v>109</v>
      </c>
      <c r="C4904" s="28" t="s">
        <v>49</v>
      </c>
      <c r="D4904" s="28" t="n">
        <v>9</v>
      </c>
      <c r="E4904" s="29" t="n">
        <v>1619400</v>
      </c>
      <c r="F4904" s="30" t="n">
        <v>93.895</v>
      </c>
      <c r="G4904" s="31" t="n">
        <f aca="false">IFERROR(F4904/D4904,0)</f>
        <v>10.4327777777778</v>
      </c>
    </row>
    <row r="4905" customFormat="false" ht="15" hidden="false" customHeight="false" outlineLevel="0" collapsed="false">
      <c r="A4905" s="28" t="n">
        <v>2025</v>
      </c>
      <c r="B4905" s="28" t="s">
        <v>95</v>
      </c>
      <c r="C4905" s="28" t="s">
        <v>42</v>
      </c>
      <c r="D4905" s="28" t="n">
        <v>264</v>
      </c>
      <c r="E4905" s="29" t="n">
        <v>155651600</v>
      </c>
      <c r="F4905" s="30" t="n">
        <v>2536.56</v>
      </c>
      <c r="G4905" s="31" t="n">
        <f aca="false">IFERROR(F4905/D4905,0)</f>
        <v>9.60818181818182</v>
      </c>
    </row>
    <row r="4906" customFormat="false" ht="15" hidden="false" customHeight="false" outlineLevel="0" collapsed="false">
      <c r="A4906" s="28" t="n">
        <v>2025</v>
      </c>
      <c r="B4906" s="28" t="s">
        <v>95</v>
      </c>
      <c r="C4906" s="28" t="s">
        <v>50</v>
      </c>
      <c r="D4906" s="28" t="n">
        <v>125</v>
      </c>
      <c r="E4906" s="29" t="n">
        <v>33875900</v>
      </c>
      <c r="F4906" s="30" t="n">
        <v>1201.84</v>
      </c>
      <c r="G4906" s="31" t="n">
        <f aca="false">IFERROR(F4906/D4906,0)</f>
        <v>9.61472</v>
      </c>
    </row>
    <row r="4907" customFormat="false" ht="15" hidden="false" customHeight="false" outlineLevel="0" collapsed="false">
      <c r="A4907" s="28" t="n">
        <v>2025</v>
      </c>
      <c r="B4907" s="28" t="s">
        <v>95</v>
      </c>
      <c r="C4907" s="28" t="s">
        <v>55</v>
      </c>
      <c r="D4907" s="28" t="n">
        <v>18</v>
      </c>
      <c r="E4907" s="29" t="n">
        <v>1626400</v>
      </c>
      <c r="F4907" s="30" t="n">
        <v>179.45</v>
      </c>
      <c r="G4907" s="31" t="n">
        <f aca="false">IFERROR(F4907/D4907,0)</f>
        <v>9.96944444444444</v>
      </c>
    </row>
    <row r="4908" customFormat="false" ht="15" hidden="false" customHeight="false" outlineLevel="0" collapsed="false">
      <c r="A4908" s="28" t="n">
        <v>2025</v>
      </c>
      <c r="B4908" s="28" t="s">
        <v>95</v>
      </c>
      <c r="C4908" s="28" t="s">
        <v>51</v>
      </c>
      <c r="D4908" s="28" t="n">
        <v>85</v>
      </c>
      <c r="E4908" s="29" t="n">
        <v>37077700</v>
      </c>
      <c r="F4908" s="30" t="n">
        <v>819.85</v>
      </c>
      <c r="G4908" s="31" t="n">
        <f aca="false">IFERROR(F4908/D4908,0)</f>
        <v>9.64529411764706</v>
      </c>
    </row>
    <row r="4909" customFormat="false" ht="15" hidden="false" customHeight="false" outlineLevel="0" collapsed="false">
      <c r="A4909" s="28" t="n">
        <v>2025</v>
      </c>
      <c r="B4909" s="28" t="s">
        <v>95</v>
      </c>
      <c r="C4909" s="28" t="s">
        <v>45</v>
      </c>
      <c r="D4909" s="28" t="n">
        <v>339</v>
      </c>
      <c r="E4909" s="29" t="n">
        <v>92126000</v>
      </c>
      <c r="F4909" s="30" t="n">
        <v>3390.22</v>
      </c>
      <c r="G4909" s="31" t="n">
        <f aca="false">IFERROR(F4909/D4909,0)</f>
        <v>10.0006489675516</v>
      </c>
    </row>
    <row r="4910" customFormat="false" ht="15" hidden="false" customHeight="false" outlineLevel="0" collapsed="false">
      <c r="A4910" s="28" t="n">
        <v>2025</v>
      </c>
      <c r="B4910" s="28" t="s">
        <v>95</v>
      </c>
      <c r="C4910" s="28" t="s">
        <v>56</v>
      </c>
      <c r="D4910" s="28" t="n">
        <v>34</v>
      </c>
      <c r="E4910" s="29" t="n">
        <v>6885200</v>
      </c>
      <c r="F4910" s="30" t="n">
        <v>346.97</v>
      </c>
      <c r="G4910" s="31" t="n">
        <f aca="false">IFERROR(F4910/D4910,0)</f>
        <v>10.205</v>
      </c>
    </row>
    <row r="4911" customFormat="false" ht="15" hidden="false" customHeight="false" outlineLevel="0" collapsed="false">
      <c r="A4911" s="28" t="n">
        <v>2025</v>
      </c>
      <c r="B4911" s="28" t="s">
        <v>95</v>
      </c>
      <c r="C4911" s="28" t="s">
        <v>54</v>
      </c>
      <c r="D4911" s="28" t="n">
        <v>31</v>
      </c>
      <c r="E4911" s="29" t="n">
        <v>12123600</v>
      </c>
      <c r="F4911" s="30" t="n">
        <v>293.75</v>
      </c>
      <c r="G4911" s="31" t="n">
        <f aca="false">IFERROR(F4911/D4911,0)</f>
        <v>9.4758064516129</v>
      </c>
    </row>
    <row r="4912" customFormat="false" ht="15" hidden="false" customHeight="false" outlineLevel="0" collapsed="false">
      <c r="A4912" s="28" t="n">
        <v>2025</v>
      </c>
      <c r="B4912" s="28" t="s">
        <v>95</v>
      </c>
      <c r="C4912" s="28" t="s">
        <v>44</v>
      </c>
      <c r="D4912" s="28" t="n">
        <v>189</v>
      </c>
      <c r="E4912" s="29" t="n">
        <v>83998100</v>
      </c>
      <c r="F4912" s="30" t="n">
        <v>1857.12</v>
      </c>
      <c r="G4912" s="31" t="n">
        <f aca="false">IFERROR(F4912/D4912,0)</f>
        <v>9.82603174603175</v>
      </c>
    </row>
    <row r="4913" customFormat="false" ht="15" hidden="false" customHeight="false" outlineLevel="0" collapsed="false">
      <c r="A4913" s="28" t="n">
        <v>2025</v>
      </c>
      <c r="B4913" s="28" t="s">
        <v>95</v>
      </c>
      <c r="C4913" s="28" t="s">
        <v>57</v>
      </c>
      <c r="D4913" s="28" t="n">
        <v>13</v>
      </c>
      <c r="E4913" s="29" t="n">
        <v>5613400</v>
      </c>
      <c r="F4913" s="30" t="n">
        <v>136.05</v>
      </c>
      <c r="G4913" s="31" t="n">
        <f aca="false">IFERROR(F4913/D4913,0)</f>
        <v>10.4653846153846</v>
      </c>
    </row>
    <row r="4914" customFormat="false" ht="15" hidden="false" customHeight="false" outlineLevel="0" collapsed="false">
      <c r="A4914" s="28" t="n">
        <v>2025</v>
      </c>
      <c r="B4914" s="28" t="s">
        <v>95</v>
      </c>
      <c r="C4914" s="28" t="s">
        <v>47</v>
      </c>
      <c r="D4914" s="28" t="n">
        <v>141</v>
      </c>
      <c r="E4914" s="29" t="n">
        <v>73216500</v>
      </c>
      <c r="F4914" s="30" t="n">
        <v>1349.8</v>
      </c>
      <c r="G4914" s="31" t="n">
        <f aca="false">IFERROR(F4914/D4914,0)</f>
        <v>9.57304964539007</v>
      </c>
    </row>
    <row r="4915" customFormat="false" ht="15" hidden="false" customHeight="false" outlineLevel="0" collapsed="false">
      <c r="A4915" s="28" t="n">
        <v>2025</v>
      </c>
      <c r="B4915" s="28" t="s">
        <v>95</v>
      </c>
      <c r="C4915" s="28" t="s">
        <v>58</v>
      </c>
      <c r="D4915" s="28" t="n">
        <v>3</v>
      </c>
      <c r="E4915" s="29" t="n">
        <v>5249300</v>
      </c>
      <c r="F4915" s="30" t="n">
        <v>25.75</v>
      </c>
      <c r="G4915" s="31" t="n">
        <f aca="false">IFERROR(F4915/D4915,0)</f>
        <v>8.58333333333333</v>
      </c>
    </row>
    <row r="4916" customFormat="false" ht="15" hidden="false" customHeight="false" outlineLevel="0" collapsed="false">
      <c r="A4916" s="28" t="n">
        <v>2025</v>
      </c>
      <c r="B4916" s="28" t="s">
        <v>95</v>
      </c>
      <c r="C4916" s="28" t="s">
        <v>46</v>
      </c>
      <c r="D4916" s="28" t="n">
        <v>215</v>
      </c>
      <c r="E4916" s="29" t="n">
        <v>77700300</v>
      </c>
      <c r="F4916" s="30" t="n">
        <v>2126.25</v>
      </c>
      <c r="G4916" s="31" t="n">
        <f aca="false">IFERROR(F4916/D4916,0)</f>
        <v>9.88953488372093</v>
      </c>
    </row>
    <row r="4917" customFormat="false" ht="15" hidden="false" customHeight="false" outlineLevel="0" collapsed="false">
      <c r="A4917" s="28" t="n">
        <v>2025</v>
      </c>
      <c r="B4917" s="28" t="s">
        <v>95</v>
      </c>
      <c r="C4917" s="28" t="s">
        <v>48</v>
      </c>
      <c r="D4917" s="28" t="n">
        <v>143</v>
      </c>
      <c r="E4917" s="29" t="n">
        <v>59942100</v>
      </c>
      <c r="F4917" s="30" t="n">
        <v>1433.09</v>
      </c>
      <c r="G4917" s="31" t="n">
        <f aca="false">IFERROR(F4917/D4917,0)</f>
        <v>10.0216083916084</v>
      </c>
    </row>
    <row r="4918" customFormat="false" ht="15" hidden="false" customHeight="false" outlineLevel="0" collapsed="false">
      <c r="A4918" s="28" t="n">
        <v>2025</v>
      </c>
      <c r="B4918" s="28" t="s">
        <v>95</v>
      </c>
      <c r="C4918" s="28" t="s">
        <v>53</v>
      </c>
      <c r="D4918" s="28" t="n">
        <v>35</v>
      </c>
      <c r="E4918" s="29" t="n">
        <v>10832700</v>
      </c>
      <c r="F4918" s="30" t="n">
        <v>333.86</v>
      </c>
      <c r="G4918" s="31" t="n">
        <f aca="false">IFERROR(F4918/D4918,0)</f>
        <v>9.53885714285714</v>
      </c>
    </row>
    <row r="4919" customFormat="false" ht="15" hidden="false" customHeight="false" outlineLevel="0" collapsed="false">
      <c r="A4919" s="28" t="n">
        <v>2025</v>
      </c>
      <c r="B4919" s="28" t="s">
        <v>95</v>
      </c>
      <c r="C4919" s="28" t="s">
        <v>43</v>
      </c>
      <c r="D4919" s="28" t="n">
        <v>267</v>
      </c>
      <c r="E4919" s="29" t="n">
        <v>143859200</v>
      </c>
      <c r="F4919" s="30" t="n">
        <v>2618.55</v>
      </c>
      <c r="G4919" s="31" t="n">
        <f aca="false">IFERROR(F4919/D4919,0)</f>
        <v>9.80730337078652</v>
      </c>
    </row>
    <row r="4920" customFormat="false" ht="15" hidden="false" customHeight="false" outlineLevel="0" collapsed="false">
      <c r="A4920" s="28" t="n">
        <v>2025</v>
      </c>
      <c r="B4920" s="28" t="s">
        <v>95</v>
      </c>
      <c r="C4920" s="28" t="s">
        <v>52</v>
      </c>
      <c r="D4920" s="28" t="n">
        <v>140</v>
      </c>
      <c r="E4920" s="29" t="n">
        <v>25799500</v>
      </c>
      <c r="F4920" s="30" t="n">
        <v>1403.58</v>
      </c>
      <c r="G4920" s="31" t="n">
        <f aca="false">IFERROR(F4920/D4920,0)</f>
        <v>10.0255714285714</v>
      </c>
    </row>
    <row r="4921" customFormat="false" ht="15" hidden="false" customHeight="false" outlineLevel="0" collapsed="false">
      <c r="A4921" s="28" t="n">
        <v>2025</v>
      </c>
      <c r="B4921" s="28" t="s">
        <v>95</v>
      </c>
      <c r="C4921" s="28" t="s">
        <v>60</v>
      </c>
      <c r="D4921" s="28" t="n">
        <v>2</v>
      </c>
      <c r="E4921" s="29" t="n">
        <v>650000</v>
      </c>
      <c r="F4921" s="30" t="n">
        <v>20</v>
      </c>
      <c r="G4921" s="31" t="n">
        <f aca="false">IFERROR(F4921/D4921,0)</f>
        <v>10</v>
      </c>
    </row>
    <row r="4922" customFormat="false" ht="15" hidden="false" customHeight="false" outlineLevel="0" collapsed="false">
      <c r="A4922" s="28" t="n">
        <v>2025</v>
      </c>
      <c r="B4922" s="28" t="s">
        <v>95</v>
      </c>
      <c r="C4922" s="28" t="s">
        <v>49</v>
      </c>
      <c r="D4922" s="28" t="n">
        <v>73</v>
      </c>
      <c r="E4922" s="29" t="n">
        <v>45993400</v>
      </c>
      <c r="F4922" s="30" t="n">
        <v>711.56</v>
      </c>
      <c r="G4922" s="31" t="n">
        <f aca="false">IFERROR(F4922/D4922,0)</f>
        <v>9.74739726027397</v>
      </c>
    </row>
    <row r="4923" customFormat="false" ht="15" hidden="false" customHeight="false" outlineLevel="0" collapsed="false">
      <c r="A4923" s="28" t="n">
        <v>2025</v>
      </c>
      <c r="B4923" s="28" t="s">
        <v>98</v>
      </c>
      <c r="C4923" s="28" t="s">
        <v>42</v>
      </c>
      <c r="D4923" s="28" t="n">
        <v>127</v>
      </c>
      <c r="E4923" s="29" t="n">
        <v>48091400</v>
      </c>
      <c r="F4923" s="30" t="n">
        <v>1205.73</v>
      </c>
      <c r="G4923" s="31" t="n">
        <f aca="false">IFERROR(F4923/D4923,0)</f>
        <v>9.49393700787402</v>
      </c>
    </row>
    <row r="4924" customFormat="false" ht="15" hidden="false" customHeight="false" outlineLevel="0" collapsed="false">
      <c r="A4924" s="28" t="n">
        <v>2025</v>
      </c>
      <c r="B4924" s="28" t="s">
        <v>98</v>
      </c>
      <c r="C4924" s="28" t="s">
        <v>50</v>
      </c>
      <c r="D4924" s="28" t="n">
        <v>78</v>
      </c>
      <c r="E4924" s="29" t="n">
        <v>24286400</v>
      </c>
      <c r="F4924" s="30" t="n">
        <v>757.33</v>
      </c>
      <c r="G4924" s="31" t="n">
        <f aca="false">IFERROR(F4924/D4924,0)</f>
        <v>9.70935897435898</v>
      </c>
    </row>
    <row r="4925" customFormat="false" ht="15" hidden="false" customHeight="false" outlineLevel="0" collapsed="false">
      <c r="A4925" s="28" t="n">
        <v>2025</v>
      </c>
      <c r="B4925" s="28" t="s">
        <v>98</v>
      </c>
      <c r="C4925" s="28" t="s">
        <v>55</v>
      </c>
      <c r="D4925" s="28" t="n">
        <v>11</v>
      </c>
      <c r="E4925" s="29" t="n">
        <v>10350000</v>
      </c>
      <c r="F4925" s="30" t="n">
        <v>97.75</v>
      </c>
      <c r="G4925" s="31" t="n">
        <f aca="false">IFERROR(F4925/D4925,0)</f>
        <v>8.88636363636364</v>
      </c>
    </row>
    <row r="4926" customFormat="false" ht="15" hidden="false" customHeight="false" outlineLevel="0" collapsed="false">
      <c r="A4926" s="28" t="n">
        <v>2025</v>
      </c>
      <c r="B4926" s="28" t="s">
        <v>98</v>
      </c>
      <c r="C4926" s="28" t="s">
        <v>51</v>
      </c>
      <c r="D4926" s="28" t="n">
        <v>61</v>
      </c>
      <c r="E4926" s="29" t="n">
        <v>33556600</v>
      </c>
      <c r="F4926" s="30" t="n">
        <v>584.58</v>
      </c>
      <c r="G4926" s="31" t="n">
        <f aca="false">IFERROR(F4926/D4926,0)</f>
        <v>9.58327868852459</v>
      </c>
    </row>
    <row r="4927" customFormat="false" ht="15" hidden="false" customHeight="false" outlineLevel="0" collapsed="false">
      <c r="A4927" s="28" t="n">
        <v>2025</v>
      </c>
      <c r="B4927" s="28" t="s">
        <v>98</v>
      </c>
      <c r="C4927" s="28" t="s">
        <v>45</v>
      </c>
      <c r="D4927" s="28" t="n">
        <v>211</v>
      </c>
      <c r="E4927" s="29" t="n">
        <v>65463800</v>
      </c>
      <c r="F4927" s="30" t="n">
        <v>2089.25</v>
      </c>
      <c r="G4927" s="31" t="n">
        <f aca="false">IFERROR(F4927/D4927,0)</f>
        <v>9.90165876777251</v>
      </c>
    </row>
    <row r="4928" customFormat="false" ht="15" hidden="false" customHeight="false" outlineLevel="0" collapsed="false">
      <c r="A4928" s="28" t="n">
        <v>2025</v>
      </c>
      <c r="B4928" s="28" t="s">
        <v>98</v>
      </c>
      <c r="C4928" s="28" t="s">
        <v>56</v>
      </c>
      <c r="D4928" s="28" t="n">
        <v>25</v>
      </c>
      <c r="E4928" s="29" t="n">
        <v>13560200</v>
      </c>
      <c r="F4928" s="30" t="n">
        <v>231.28</v>
      </c>
      <c r="G4928" s="31" t="n">
        <f aca="false">IFERROR(F4928/D4928,0)</f>
        <v>9.2512</v>
      </c>
    </row>
    <row r="4929" customFormat="false" ht="15" hidden="false" customHeight="false" outlineLevel="0" collapsed="false">
      <c r="A4929" s="28" t="n">
        <v>2025</v>
      </c>
      <c r="B4929" s="28" t="s">
        <v>98</v>
      </c>
      <c r="C4929" s="28" t="s">
        <v>54</v>
      </c>
      <c r="D4929" s="28" t="n">
        <v>30</v>
      </c>
      <c r="E4929" s="29" t="n">
        <v>12099400</v>
      </c>
      <c r="F4929" s="30" t="n">
        <v>277.4</v>
      </c>
      <c r="G4929" s="31" t="n">
        <f aca="false">IFERROR(F4929/D4929,0)</f>
        <v>9.24666666666667</v>
      </c>
    </row>
    <row r="4930" customFormat="false" ht="15" hidden="false" customHeight="false" outlineLevel="0" collapsed="false">
      <c r="A4930" s="28" t="n">
        <v>2025</v>
      </c>
      <c r="B4930" s="28" t="s">
        <v>98</v>
      </c>
      <c r="C4930" s="28" t="s">
        <v>44</v>
      </c>
      <c r="D4930" s="28" t="n">
        <v>155</v>
      </c>
      <c r="E4930" s="29" t="n">
        <v>96251500</v>
      </c>
      <c r="F4930" s="30" t="n">
        <v>1475.72</v>
      </c>
      <c r="G4930" s="31" t="n">
        <f aca="false">IFERROR(F4930/D4930,0)</f>
        <v>9.52077419354839</v>
      </c>
    </row>
    <row r="4931" customFormat="false" ht="15" hidden="false" customHeight="false" outlineLevel="0" collapsed="false">
      <c r="A4931" s="28" t="n">
        <v>2025</v>
      </c>
      <c r="B4931" s="28" t="s">
        <v>98</v>
      </c>
      <c r="C4931" s="28" t="s">
        <v>57</v>
      </c>
      <c r="D4931" s="28" t="n">
        <v>26</v>
      </c>
      <c r="E4931" s="29" t="n">
        <v>8228800</v>
      </c>
      <c r="F4931" s="30" t="n">
        <v>246.78</v>
      </c>
      <c r="G4931" s="31" t="n">
        <f aca="false">IFERROR(F4931/D4931,0)</f>
        <v>9.49153846153846</v>
      </c>
    </row>
    <row r="4932" customFormat="false" ht="15" hidden="false" customHeight="false" outlineLevel="0" collapsed="false">
      <c r="A4932" s="28" t="n">
        <v>2025</v>
      </c>
      <c r="B4932" s="28" t="s">
        <v>98</v>
      </c>
      <c r="C4932" s="28" t="s">
        <v>59</v>
      </c>
      <c r="D4932" s="28" t="n">
        <v>4</v>
      </c>
      <c r="E4932" s="29" t="n">
        <v>5145000</v>
      </c>
      <c r="F4932" s="30" t="n">
        <v>33.2</v>
      </c>
      <c r="G4932" s="31" t="n">
        <f aca="false">IFERROR(F4932/D4932,0)</f>
        <v>8.3</v>
      </c>
    </row>
    <row r="4933" customFormat="false" ht="15" hidden="false" customHeight="false" outlineLevel="0" collapsed="false">
      <c r="A4933" s="28" t="n">
        <v>2025</v>
      </c>
      <c r="B4933" s="28" t="s">
        <v>98</v>
      </c>
      <c r="C4933" s="28" t="s">
        <v>47</v>
      </c>
      <c r="D4933" s="28" t="n">
        <v>112</v>
      </c>
      <c r="E4933" s="29" t="n">
        <v>65284800</v>
      </c>
      <c r="F4933" s="30" t="n">
        <v>1049.951</v>
      </c>
      <c r="G4933" s="31" t="n">
        <f aca="false">IFERROR(F4933/D4933,0)</f>
        <v>9.3745625</v>
      </c>
    </row>
    <row r="4934" customFormat="false" ht="15" hidden="false" customHeight="false" outlineLevel="0" collapsed="false">
      <c r="A4934" s="28" t="n">
        <v>2025</v>
      </c>
      <c r="B4934" s="28" t="s">
        <v>98</v>
      </c>
      <c r="C4934" s="28" t="s">
        <v>58</v>
      </c>
      <c r="D4934" s="28" t="n">
        <v>1</v>
      </c>
      <c r="E4934" s="29" t="n">
        <v>5000000</v>
      </c>
      <c r="F4934" s="30" t="n">
        <v>8.25</v>
      </c>
      <c r="G4934" s="31" t="n">
        <f aca="false">IFERROR(F4934/D4934,0)</f>
        <v>8.25</v>
      </c>
    </row>
    <row r="4935" customFormat="false" ht="15" hidden="false" customHeight="false" outlineLevel="0" collapsed="false">
      <c r="A4935" s="28" t="n">
        <v>2025</v>
      </c>
      <c r="B4935" s="28" t="s">
        <v>98</v>
      </c>
      <c r="C4935" s="28" t="s">
        <v>46</v>
      </c>
      <c r="D4935" s="28" t="n">
        <v>135</v>
      </c>
      <c r="E4935" s="29" t="n">
        <v>37645400</v>
      </c>
      <c r="F4935" s="30" t="n">
        <v>1309.35</v>
      </c>
      <c r="G4935" s="31" t="n">
        <f aca="false">IFERROR(F4935/D4935,0)</f>
        <v>9.69888888888889</v>
      </c>
    </row>
    <row r="4936" customFormat="false" ht="15" hidden="false" customHeight="false" outlineLevel="0" collapsed="false">
      <c r="A4936" s="28" t="n">
        <v>2025</v>
      </c>
      <c r="B4936" s="28" t="s">
        <v>98</v>
      </c>
      <c r="C4936" s="28" t="s">
        <v>48</v>
      </c>
      <c r="D4936" s="28" t="n">
        <v>128</v>
      </c>
      <c r="E4936" s="29" t="n">
        <v>49361200</v>
      </c>
      <c r="F4936" s="30" t="n">
        <v>1269.65</v>
      </c>
      <c r="G4936" s="31" t="n">
        <f aca="false">IFERROR(F4936/D4936,0)</f>
        <v>9.919140625</v>
      </c>
    </row>
    <row r="4937" customFormat="false" ht="15" hidden="false" customHeight="false" outlineLevel="0" collapsed="false">
      <c r="A4937" s="28" t="n">
        <v>2025</v>
      </c>
      <c r="B4937" s="28" t="s">
        <v>98</v>
      </c>
      <c r="C4937" s="28" t="s">
        <v>53</v>
      </c>
      <c r="D4937" s="28" t="n">
        <v>26</v>
      </c>
      <c r="E4937" s="29" t="n">
        <v>14553500</v>
      </c>
      <c r="F4937" s="30" t="n">
        <v>246.12</v>
      </c>
      <c r="G4937" s="31" t="n">
        <f aca="false">IFERROR(F4937/D4937,0)</f>
        <v>9.46615384615385</v>
      </c>
    </row>
    <row r="4938" customFormat="false" ht="15" hidden="false" customHeight="false" outlineLevel="0" collapsed="false">
      <c r="A4938" s="28" t="n">
        <v>2025</v>
      </c>
      <c r="B4938" s="28" t="s">
        <v>98</v>
      </c>
      <c r="C4938" s="28" t="s">
        <v>43</v>
      </c>
      <c r="D4938" s="28" t="n">
        <v>146</v>
      </c>
      <c r="E4938" s="29" t="n">
        <v>62909000</v>
      </c>
      <c r="F4938" s="30" t="n">
        <v>1422.78</v>
      </c>
      <c r="G4938" s="31" t="n">
        <f aca="false">IFERROR(F4938/D4938,0)</f>
        <v>9.74506849315069</v>
      </c>
    </row>
    <row r="4939" customFormat="false" ht="15" hidden="false" customHeight="false" outlineLevel="0" collapsed="false">
      <c r="A4939" s="28" t="n">
        <v>2025</v>
      </c>
      <c r="B4939" s="28" t="s">
        <v>98</v>
      </c>
      <c r="C4939" s="28" t="s">
        <v>52</v>
      </c>
      <c r="D4939" s="28" t="n">
        <v>72</v>
      </c>
      <c r="E4939" s="29" t="n">
        <v>26777600</v>
      </c>
      <c r="F4939" s="30" t="n">
        <v>686.79</v>
      </c>
      <c r="G4939" s="31" t="n">
        <f aca="false">IFERROR(F4939/D4939,0)</f>
        <v>9.53875</v>
      </c>
    </row>
    <row r="4940" customFormat="false" ht="15" hidden="false" customHeight="false" outlineLevel="0" collapsed="false">
      <c r="A4940" s="28" t="n">
        <v>2025</v>
      </c>
      <c r="B4940" s="28" t="s">
        <v>98</v>
      </c>
      <c r="C4940" s="28" t="s">
        <v>60</v>
      </c>
      <c r="D4940" s="28" t="n">
        <v>2</v>
      </c>
      <c r="E4940" s="29" t="n">
        <v>379100</v>
      </c>
      <c r="F4940" s="30" t="n">
        <v>19.75</v>
      </c>
      <c r="G4940" s="31" t="n">
        <f aca="false">IFERROR(F4940/D4940,0)</f>
        <v>9.875</v>
      </c>
    </row>
    <row r="4941" customFormat="false" ht="15" hidden="false" customHeight="false" outlineLevel="0" collapsed="false">
      <c r="A4941" s="28" t="n">
        <v>2025</v>
      </c>
      <c r="B4941" s="28" t="s">
        <v>98</v>
      </c>
      <c r="C4941" s="28" t="s">
        <v>49</v>
      </c>
      <c r="D4941" s="28" t="n">
        <v>49</v>
      </c>
      <c r="E4941" s="29" t="n">
        <v>34095500</v>
      </c>
      <c r="F4941" s="30" t="n">
        <v>466.08</v>
      </c>
      <c r="G4941" s="31" t="n">
        <f aca="false">IFERROR(F4941/D4941,0)</f>
        <v>9.51183673469388</v>
      </c>
    </row>
    <row r="4942" customFormat="false" ht="15" hidden="false" customHeight="false" outlineLevel="0" collapsed="false">
      <c r="A4942" s="28" t="n">
        <v>2025</v>
      </c>
      <c r="B4942" s="28" t="s">
        <v>103</v>
      </c>
      <c r="C4942" s="28" t="s">
        <v>42</v>
      </c>
      <c r="D4942" s="28" t="n">
        <v>122</v>
      </c>
      <c r="E4942" s="29" t="n">
        <v>115000100</v>
      </c>
      <c r="F4942" s="30" t="n">
        <v>1154.72</v>
      </c>
      <c r="G4942" s="31" t="n">
        <f aca="false">IFERROR(F4942/D4942,0)</f>
        <v>9.46491803278689</v>
      </c>
    </row>
    <row r="4943" customFormat="false" ht="15" hidden="false" customHeight="false" outlineLevel="0" collapsed="false">
      <c r="A4943" s="28" t="n">
        <v>2025</v>
      </c>
      <c r="B4943" s="28" t="s">
        <v>103</v>
      </c>
      <c r="C4943" s="28" t="s">
        <v>50</v>
      </c>
      <c r="D4943" s="28" t="n">
        <v>51</v>
      </c>
      <c r="E4943" s="29" t="n">
        <v>18709900</v>
      </c>
      <c r="F4943" s="30" t="n">
        <v>481.06</v>
      </c>
      <c r="G4943" s="31" t="n">
        <f aca="false">IFERROR(F4943/D4943,0)</f>
        <v>9.43254901960784</v>
      </c>
    </row>
    <row r="4944" customFormat="false" ht="15" hidden="false" customHeight="false" outlineLevel="0" collapsed="false">
      <c r="A4944" s="28" t="n">
        <v>2025</v>
      </c>
      <c r="B4944" s="28" t="s">
        <v>103</v>
      </c>
      <c r="C4944" s="28" t="s">
        <v>55</v>
      </c>
      <c r="D4944" s="28" t="n">
        <v>34</v>
      </c>
      <c r="E4944" s="29" t="n">
        <v>63651000</v>
      </c>
      <c r="F4944" s="30" t="n">
        <v>303.13</v>
      </c>
      <c r="G4944" s="31" t="n">
        <f aca="false">IFERROR(F4944/D4944,0)</f>
        <v>8.91558823529412</v>
      </c>
    </row>
    <row r="4945" customFormat="false" ht="15" hidden="false" customHeight="false" outlineLevel="0" collapsed="false">
      <c r="A4945" s="28" t="n">
        <v>2025</v>
      </c>
      <c r="B4945" s="28" t="s">
        <v>103</v>
      </c>
      <c r="C4945" s="28" t="s">
        <v>51</v>
      </c>
      <c r="D4945" s="28" t="n">
        <v>48</v>
      </c>
      <c r="E4945" s="29" t="n">
        <v>20179900</v>
      </c>
      <c r="F4945" s="30" t="n">
        <v>459.44</v>
      </c>
      <c r="G4945" s="31" t="n">
        <f aca="false">IFERROR(F4945/D4945,0)</f>
        <v>9.57166666666667</v>
      </c>
    </row>
    <row r="4946" customFormat="false" ht="15" hidden="false" customHeight="false" outlineLevel="0" collapsed="false">
      <c r="A4946" s="28" t="n">
        <v>2025</v>
      </c>
      <c r="B4946" s="28" t="s">
        <v>103</v>
      </c>
      <c r="C4946" s="28" t="s">
        <v>45</v>
      </c>
      <c r="D4946" s="28" t="n">
        <v>160</v>
      </c>
      <c r="E4946" s="29" t="n">
        <v>71441900</v>
      </c>
      <c r="F4946" s="30" t="n">
        <v>1619.783</v>
      </c>
      <c r="G4946" s="31" t="n">
        <f aca="false">IFERROR(F4946/D4946,0)</f>
        <v>10.12364375</v>
      </c>
    </row>
    <row r="4947" customFormat="false" ht="15" hidden="false" customHeight="false" outlineLevel="0" collapsed="false">
      <c r="A4947" s="28" t="n">
        <v>2025</v>
      </c>
      <c r="B4947" s="28" t="s">
        <v>103</v>
      </c>
      <c r="C4947" s="28" t="s">
        <v>56</v>
      </c>
      <c r="D4947" s="28" t="n">
        <v>12</v>
      </c>
      <c r="E4947" s="29" t="n">
        <v>5251900</v>
      </c>
      <c r="F4947" s="30" t="n">
        <v>121.74</v>
      </c>
      <c r="G4947" s="31" t="n">
        <f aca="false">IFERROR(F4947/D4947,0)</f>
        <v>10.145</v>
      </c>
    </row>
    <row r="4948" customFormat="false" ht="15" hidden="false" customHeight="false" outlineLevel="0" collapsed="false">
      <c r="A4948" s="28" t="n">
        <v>2025</v>
      </c>
      <c r="B4948" s="28" t="s">
        <v>103</v>
      </c>
      <c r="C4948" s="28" t="s">
        <v>54</v>
      </c>
      <c r="D4948" s="28" t="n">
        <v>28</v>
      </c>
      <c r="E4948" s="29" t="n">
        <v>16792000</v>
      </c>
      <c r="F4948" s="30" t="n">
        <v>269.05</v>
      </c>
      <c r="G4948" s="31" t="n">
        <f aca="false">IFERROR(F4948/D4948,0)</f>
        <v>9.60892857142857</v>
      </c>
    </row>
    <row r="4949" customFormat="false" ht="15" hidden="false" customHeight="false" outlineLevel="0" collapsed="false">
      <c r="A4949" s="28" t="n">
        <v>2025</v>
      </c>
      <c r="B4949" s="28" t="s">
        <v>103</v>
      </c>
      <c r="C4949" s="28" t="s">
        <v>44</v>
      </c>
      <c r="D4949" s="28" t="n">
        <v>91</v>
      </c>
      <c r="E4949" s="29" t="n">
        <v>50893500</v>
      </c>
      <c r="F4949" s="30" t="n">
        <v>905.186</v>
      </c>
      <c r="G4949" s="31" t="n">
        <f aca="false">IFERROR(F4949/D4949,0)</f>
        <v>9.9470989010989</v>
      </c>
    </row>
    <row r="4950" customFormat="false" ht="15" hidden="false" customHeight="false" outlineLevel="0" collapsed="false">
      <c r="A4950" s="28" t="n">
        <v>2025</v>
      </c>
      <c r="B4950" s="28" t="s">
        <v>103</v>
      </c>
      <c r="C4950" s="28" t="s">
        <v>57</v>
      </c>
      <c r="D4950" s="28" t="n">
        <v>9</v>
      </c>
      <c r="E4950" s="29" t="n">
        <v>4074600</v>
      </c>
      <c r="F4950" s="30" t="n">
        <v>90.49</v>
      </c>
      <c r="G4950" s="31" t="n">
        <f aca="false">IFERROR(F4950/D4950,0)</f>
        <v>10.0544444444444</v>
      </c>
    </row>
    <row r="4951" customFormat="false" ht="15" hidden="false" customHeight="false" outlineLevel="0" collapsed="false">
      <c r="A4951" s="28" t="n">
        <v>2025</v>
      </c>
      <c r="B4951" s="28" t="s">
        <v>103</v>
      </c>
      <c r="C4951" s="28" t="s">
        <v>59</v>
      </c>
      <c r="D4951" s="28" t="n">
        <v>2</v>
      </c>
      <c r="E4951" s="29" t="n">
        <v>830500</v>
      </c>
      <c r="F4951" s="30" t="n">
        <v>21.5</v>
      </c>
      <c r="G4951" s="31" t="n">
        <f aca="false">IFERROR(F4951/D4951,0)</f>
        <v>10.75</v>
      </c>
    </row>
    <row r="4952" customFormat="false" ht="15" hidden="false" customHeight="false" outlineLevel="0" collapsed="false">
      <c r="A4952" s="28" t="n">
        <v>2025</v>
      </c>
      <c r="B4952" s="28" t="s">
        <v>103</v>
      </c>
      <c r="C4952" s="28" t="s">
        <v>47</v>
      </c>
      <c r="D4952" s="28" t="n">
        <v>60</v>
      </c>
      <c r="E4952" s="29" t="n">
        <v>47674300</v>
      </c>
      <c r="F4952" s="30" t="n">
        <v>561.84</v>
      </c>
      <c r="G4952" s="31" t="n">
        <f aca="false">IFERROR(F4952/D4952,0)</f>
        <v>9.364</v>
      </c>
    </row>
    <row r="4953" customFormat="false" ht="15" hidden="false" customHeight="false" outlineLevel="0" collapsed="false">
      <c r="A4953" s="28" t="n">
        <v>2025</v>
      </c>
      <c r="B4953" s="28" t="s">
        <v>103</v>
      </c>
      <c r="C4953" s="28" t="s">
        <v>58</v>
      </c>
      <c r="D4953" s="28" t="n">
        <v>1</v>
      </c>
      <c r="E4953" s="29" t="n">
        <v>45000</v>
      </c>
      <c r="F4953" s="30" t="n">
        <v>10.24</v>
      </c>
      <c r="G4953" s="31" t="n">
        <f aca="false">IFERROR(F4953/D4953,0)</f>
        <v>10.24</v>
      </c>
    </row>
    <row r="4954" customFormat="false" ht="15" hidden="false" customHeight="false" outlineLevel="0" collapsed="false">
      <c r="A4954" s="28" t="n">
        <v>2025</v>
      </c>
      <c r="B4954" s="28" t="s">
        <v>103</v>
      </c>
      <c r="C4954" s="28" t="s">
        <v>46</v>
      </c>
      <c r="D4954" s="28" t="n">
        <v>119</v>
      </c>
      <c r="E4954" s="29" t="n">
        <v>56782600</v>
      </c>
      <c r="F4954" s="30" t="n">
        <v>1169.59</v>
      </c>
      <c r="G4954" s="31" t="n">
        <f aca="false">IFERROR(F4954/D4954,0)</f>
        <v>9.82848739495798</v>
      </c>
    </row>
    <row r="4955" customFormat="false" ht="15" hidden="false" customHeight="false" outlineLevel="0" collapsed="false">
      <c r="A4955" s="28" t="n">
        <v>2025</v>
      </c>
      <c r="B4955" s="28" t="s">
        <v>103</v>
      </c>
      <c r="C4955" s="28" t="s">
        <v>48</v>
      </c>
      <c r="D4955" s="28" t="n">
        <v>88</v>
      </c>
      <c r="E4955" s="29" t="n">
        <v>37868000</v>
      </c>
      <c r="F4955" s="30" t="n">
        <v>877.93</v>
      </c>
      <c r="G4955" s="31" t="n">
        <f aca="false">IFERROR(F4955/D4955,0)</f>
        <v>9.97647727272727</v>
      </c>
    </row>
    <row r="4956" customFormat="false" ht="15" hidden="false" customHeight="false" outlineLevel="0" collapsed="false">
      <c r="A4956" s="28" t="n">
        <v>2025</v>
      </c>
      <c r="B4956" s="28" t="s">
        <v>103</v>
      </c>
      <c r="C4956" s="28" t="s">
        <v>53</v>
      </c>
      <c r="D4956" s="28" t="n">
        <v>22</v>
      </c>
      <c r="E4956" s="29" t="n">
        <v>12887900</v>
      </c>
      <c r="F4956" s="30" t="n">
        <v>216.15</v>
      </c>
      <c r="G4956" s="31" t="n">
        <f aca="false">IFERROR(F4956/D4956,0)</f>
        <v>9.825</v>
      </c>
    </row>
    <row r="4957" customFormat="false" ht="15" hidden="false" customHeight="false" outlineLevel="0" collapsed="false">
      <c r="A4957" s="28" t="n">
        <v>2025</v>
      </c>
      <c r="B4957" s="28" t="s">
        <v>103</v>
      </c>
      <c r="C4957" s="28" t="s">
        <v>43</v>
      </c>
      <c r="D4957" s="28" t="n">
        <v>96</v>
      </c>
      <c r="E4957" s="29" t="n">
        <v>43072100</v>
      </c>
      <c r="F4957" s="30" t="n">
        <v>963.888</v>
      </c>
      <c r="G4957" s="31" t="n">
        <f aca="false">IFERROR(F4957/D4957,0)</f>
        <v>10.0405</v>
      </c>
    </row>
    <row r="4958" customFormat="false" ht="15" hidden="false" customHeight="false" outlineLevel="0" collapsed="false">
      <c r="A4958" s="28" t="n">
        <v>2025</v>
      </c>
      <c r="B4958" s="28" t="s">
        <v>103</v>
      </c>
      <c r="C4958" s="28" t="s">
        <v>52</v>
      </c>
      <c r="D4958" s="28" t="n">
        <v>42</v>
      </c>
      <c r="E4958" s="29" t="n">
        <v>25756700</v>
      </c>
      <c r="F4958" s="30" t="n">
        <v>400.065</v>
      </c>
      <c r="G4958" s="31" t="n">
        <f aca="false">IFERROR(F4958/D4958,0)</f>
        <v>9.52535714285714</v>
      </c>
    </row>
    <row r="4959" customFormat="false" ht="15" hidden="false" customHeight="false" outlineLevel="0" collapsed="false">
      <c r="A4959" s="28" t="n">
        <v>2025</v>
      </c>
      <c r="B4959" s="28" t="s">
        <v>103</v>
      </c>
      <c r="C4959" s="28" t="s">
        <v>49</v>
      </c>
      <c r="D4959" s="28" t="n">
        <v>31</v>
      </c>
      <c r="E4959" s="29" t="n">
        <v>27194900</v>
      </c>
      <c r="F4959" s="30" t="n">
        <v>311.153</v>
      </c>
      <c r="G4959" s="31" t="n">
        <f aca="false">IFERROR(F4959/D4959,0)</f>
        <v>10.0371935483871</v>
      </c>
    </row>
    <row r="4960" customFormat="false" ht="15" hidden="false" customHeight="false" outlineLevel="0" collapsed="false">
      <c r="A4960" s="28" t="n">
        <v>2025</v>
      </c>
      <c r="B4960" s="28" t="s">
        <v>113</v>
      </c>
      <c r="C4960" s="28" t="s">
        <v>42</v>
      </c>
      <c r="D4960" s="28" t="n">
        <v>38</v>
      </c>
      <c r="E4960" s="29" t="n">
        <v>26355600</v>
      </c>
      <c r="F4960" s="30" t="n">
        <v>363.34</v>
      </c>
      <c r="G4960" s="31" t="n">
        <f aca="false">IFERROR(F4960/D4960,0)</f>
        <v>9.56157894736842</v>
      </c>
    </row>
    <row r="4961" customFormat="false" ht="15" hidden="false" customHeight="false" outlineLevel="0" collapsed="false">
      <c r="A4961" s="28" t="n">
        <v>2025</v>
      </c>
      <c r="B4961" s="28" t="s">
        <v>113</v>
      </c>
      <c r="C4961" s="28" t="s">
        <v>50</v>
      </c>
      <c r="D4961" s="28" t="n">
        <v>21</v>
      </c>
      <c r="E4961" s="29" t="n">
        <v>7581300</v>
      </c>
      <c r="F4961" s="30" t="n">
        <v>200.77</v>
      </c>
      <c r="G4961" s="31" t="n">
        <f aca="false">IFERROR(F4961/D4961,0)</f>
        <v>9.56047619047619</v>
      </c>
    </row>
    <row r="4962" customFormat="false" ht="15" hidden="false" customHeight="false" outlineLevel="0" collapsed="false">
      <c r="A4962" s="28" t="n">
        <v>2025</v>
      </c>
      <c r="B4962" s="28" t="s">
        <v>113</v>
      </c>
      <c r="C4962" s="28" t="s">
        <v>55</v>
      </c>
      <c r="D4962" s="28" t="n">
        <v>33</v>
      </c>
      <c r="E4962" s="29" t="n">
        <v>40945000</v>
      </c>
      <c r="F4962" s="30" t="n">
        <v>265.79</v>
      </c>
      <c r="G4962" s="31" t="n">
        <f aca="false">IFERROR(F4962/D4962,0)</f>
        <v>8.05424242424243</v>
      </c>
    </row>
    <row r="4963" customFormat="false" ht="15" hidden="false" customHeight="false" outlineLevel="0" collapsed="false">
      <c r="A4963" s="28" t="n">
        <v>2025</v>
      </c>
      <c r="B4963" s="28" t="s">
        <v>113</v>
      </c>
      <c r="C4963" s="28" t="s">
        <v>51</v>
      </c>
      <c r="D4963" s="28" t="n">
        <v>7</v>
      </c>
      <c r="E4963" s="29" t="n">
        <v>4781800</v>
      </c>
      <c r="F4963" s="30" t="n">
        <v>67.24</v>
      </c>
      <c r="G4963" s="31" t="n">
        <f aca="false">IFERROR(F4963/D4963,0)</f>
        <v>9.60571428571429</v>
      </c>
    </row>
    <row r="4964" customFormat="false" ht="15" hidden="false" customHeight="false" outlineLevel="0" collapsed="false">
      <c r="A4964" s="28" t="n">
        <v>2025</v>
      </c>
      <c r="B4964" s="28" t="s">
        <v>113</v>
      </c>
      <c r="C4964" s="28" t="s">
        <v>45</v>
      </c>
      <c r="D4964" s="28" t="n">
        <v>19</v>
      </c>
      <c r="E4964" s="29" t="n">
        <v>8938300</v>
      </c>
      <c r="F4964" s="30" t="n">
        <v>188.61</v>
      </c>
      <c r="G4964" s="31" t="n">
        <f aca="false">IFERROR(F4964/D4964,0)</f>
        <v>9.92684210526316</v>
      </c>
    </row>
    <row r="4965" customFormat="false" ht="15" hidden="false" customHeight="false" outlineLevel="0" collapsed="false">
      <c r="A4965" s="28" t="n">
        <v>2025</v>
      </c>
      <c r="B4965" s="28" t="s">
        <v>113</v>
      </c>
      <c r="C4965" s="28" t="s">
        <v>56</v>
      </c>
      <c r="D4965" s="28" t="n">
        <v>3</v>
      </c>
      <c r="E4965" s="29" t="n">
        <v>717800</v>
      </c>
      <c r="F4965" s="30" t="n">
        <v>28.75</v>
      </c>
      <c r="G4965" s="31" t="n">
        <f aca="false">IFERROR(F4965/D4965,0)</f>
        <v>9.58333333333333</v>
      </c>
    </row>
    <row r="4966" customFormat="false" ht="15" hidden="false" customHeight="false" outlineLevel="0" collapsed="false">
      <c r="A4966" s="28" t="n">
        <v>2025</v>
      </c>
      <c r="B4966" s="28" t="s">
        <v>113</v>
      </c>
      <c r="C4966" s="28" t="s">
        <v>54</v>
      </c>
      <c r="D4966" s="28" t="n">
        <v>10</v>
      </c>
      <c r="E4966" s="29" t="n">
        <v>3323800</v>
      </c>
      <c r="F4966" s="30" t="n">
        <v>105</v>
      </c>
      <c r="G4966" s="31" t="n">
        <f aca="false">IFERROR(F4966/D4966,0)</f>
        <v>10.5</v>
      </c>
    </row>
    <row r="4967" customFormat="false" ht="15" hidden="false" customHeight="false" outlineLevel="0" collapsed="false">
      <c r="A4967" s="28" t="n">
        <v>2025</v>
      </c>
      <c r="B4967" s="28" t="s">
        <v>113</v>
      </c>
      <c r="C4967" s="28" t="s">
        <v>44</v>
      </c>
      <c r="D4967" s="28" t="n">
        <v>29</v>
      </c>
      <c r="E4967" s="29" t="n">
        <v>14751200</v>
      </c>
      <c r="F4967" s="30" t="n">
        <v>278.09</v>
      </c>
      <c r="G4967" s="31" t="n">
        <f aca="false">IFERROR(F4967/D4967,0)</f>
        <v>9.58931034482758</v>
      </c>
    </row>
    <row r="4968" customFormat="false" ht="15" hidden="false" customHeight="false" outlineLevel="0" collapsed="false">
      <c r="A4968" s="28" t="n">
        <v>2025</v>
      </c>
      <c r="B4968" s="28" t="s">
        <v>113</v>
      </c>
      <c r="C4968" s="28" t="s">
        <v>57</v>
      </c>
      <c r="D4968" s="28" t="n">
        <v>2</v>
      </c>
      <c r="E4968" s="29" t="n">
        <v>697000</v>
      </c>
      <c r="F4968" s="30" t="n">
        <v>24.25</v>
      </c>
      <c r="G4968" s="31" t="n">
        <f aca="false">IFERROR(F4968/D4968,0)</f>
        <v>12.125</v>
      </c>
    </row>
    <row r="4969" customFormat="false" ht="15" hidden="false" customHeight="false" outlineLevel="0" collapsed="false">
      <c r="A4969" s="28" t="n">
        <v>2025</v>
      </c>
      <c r="B4969" s="28" t="s">
        <v>113</v>
      </c>
      <c r="C4969" s="28" t="s">
        <v>47</v>
      </c>
      <c r="D4969" s="28" t="n">
        <v>8</v>
      </c>
      <c r="E4969" s="29" t="n">
        <v>5244900</v>
      </c>
      <c r="F4969" s="30" t="n">
        <v>85.08</v>
      </c>
      <c r="G4969" s="31" t="n">
        <f aca="false">IFERROR(F4969/D4969,0)</f>
        <v>10.635</v>
      </c>
    </row>
    <row r="4970" customFormat="false" ht="15" hidden="false" customHeight="false" outlineLevel="0" collapsed="false">
      <c r="A4970" s="28" t="n">
        <v>2025</v>
      </c>
      <c r="B4970" s="28" t="s">
        <v>113</v>
      </c>
      <c r="C4970" s="28" t="s">
        <v>58</v>
      </c>
      <c r="D4970" s="28" t="n">
        <v>1</v>
      </c>
      <c r="E4970" s="29" t="n">
        <v>2000000</v>
      </c>
      <c r="F4970" s="30" t="n">
        <v>10</v>
      </c>
      <c r="G4970" s="31" t="n">
        <f aca="false">IFERROR(F4970/D4970,0)</f>
        <v>10</v>
      </c>
    </row>
    <row r="4971" customFormat="false" ht="15" hidden="false" customHeight="false" outlineLevel="0" collapsed="false">
      <c r="A4971" s="28" t="n">
        <v>2025</v>
      </c>
      <c r="B4971" s="28" t="s">
        <v>113</v>
      </c>
      <c r="C4971" s="28" t="s">
        <v>46</v>
      </c>
      <c r="D4971" s="28" t="n">
        <v>24</v>
      </c>
      <c r="E4971" s="29" t="n">
        <v>14136900</v>
      </c>
      <c r="F4971" s="30" t="n">
        <v>235.15</v>
      </c>
      <c r="G4971" s="31" t="n">
        <f aca="false">IFERROR(F4971/D4971,0)</f>
        <v>9.79791666666667</v>
      </c>
    </row>
    <row r="4972" customFormat="false" ht="15" hidden="false" customHeight="false" outlineLevel="0" collapsed="false">
      <c r="A4972" s="28" t="n">
        <v>2025</v>
      </c>
      <c r="B4972" s="28" t="s">
        <v>113</v>
      </c>
      <c r="C4972" s="28" t="s">
        <v>48</v>
      </c>
      <c r="D4972" s="28" t="n">
        <v>19</v>
      </c>
      <c r="E4972" s="29" t="n">
        <v>9995900</v>
      </c>
      <c r="F4972" s="30" t="n">
        <v>193.89</v>
      </c>
      <c r="G4972" s="31" t="n">
        <f aca="false">IFERROR(F4972/D4972,0)</f>
        <v>10.2047368421053</v>
      </c>
    </row>
    <row r="4973" customFormat="false" ht="15" hidden="false" customHeight="false" outlineLevel="0" collapsed="false">
      <c r="A4973" s="28" t="n">
        <v>2025</v>
      </c>
      <c r="B4973" s="28" t="s">
        <v>113</v>
      </c>
      <c r="C4973" s="28" t="s">
        <v>53</v>
      </c>
      <c r="D4973" s="28" t="n">
        <v>7</v>
      </c>
      <c r="E4973" s="29" t="n">
        <v>5442700</v>
      </c>
      <c r="F4973" s="30" t="n">
        <v>67.525</v>
      </c>
      <c r="G4973" s="31" t="n">
        <f aca="false">IFERROR(F4973/D4973,0)</f>
        <v>9.64642857142857</v>
      </c>
    </row>
    <row r="4974" customFormat="false" ht="15" hidden="false" customHeight="false" outlineLevel="0" collapsed="false">
      <c r="A4974" s="28" t="n">
        <v>2025</v>
      </c>
      <c r="B4974" s="28" t="s">
        <v>113</v>
      </c>
      <c r="C4974" s="28" t="s">
        <v>43</v>
      </c>
      <c r="D4974" s="28" t="n">
        <v>24</v>
      </c>
      <c r="E4974" s="29" t="n">
        <v>23706200</v>
      </c>
      <c r="F4974" s="30" t="n">
        <v>239.19</v>
      </c>
      <c r="G4974" s="31" t="n">
        <f aca="false">IFERROR(F4974/D4974,0)</f>
        <v>9.96625</v>
      </c>
    </row>
    <row r="4975" customFormat="false" ht="15" hidden="false" customHeight="false" outlineLevel="0" collapsed="false">
      <c r="A4975" s="28" t="n">
        <v>2025</v>
      </c>
      <c r="B4975" s="28" t="s">
        <v>113</v>
      </c>
      <c r="C4975" s="28" t="s">
        <v>52</v>
      </c>
      <c r="D4975" s="28" t="n">
        <v>25</v>
      </c>
      <c r="E4975" s="29" t="n">
        <v>3813100</v>
      </c>
      <c r="F4975" s="30" t="n">
        <v>241.18</v>
      </c>
      <c r="G4975" s="31" t="n">
        <f aca="false">IFERROR(F4975/D4975,0)</f>
        <v>9.6472</v>
      </c>
    </row>
    <row r="4976" customFormat="false" ht="15" hidden="false" customHeight="false" outlineLevel="0" collapsed="false">
      <c r="A4976" s="28" t="n">
        <v>2025</v>
      </c>
      <c r="B4976" s="28" t="s">
        <v>113</v>
      </c>
      <c r="C4976" s="28" t="s">
        <v>60</v>
      </c>
      <c r="D4976" s="28" t="n">
        <v>1</v>
      </c>
      <c r="E4976" s="29" t="n">
        <v>97300</v>
      </c>
      <c r="F4976" s="30" t="n">
        <v>10.25</v>
      </c>
      <c r="G4976" s="31" t="n">
        <f aca="false">IFERROR(F4976/D4976,0)</f>
        <v>10.25</v>
      </c>
    </row>
    <row r="4977" customFormat="false" ht="15" hidden="false" customHeight="false" outlineLevel="0" collapsed="false">
      <c r="A4977" s="28" t="n">
        <v>2025</v>
      </c>
      <c r="B4977" s="28" t="s">
        <v>113</v>
      </c>
      <c r="C4977" s="28" t="s">
        <v>49</v>
      </c>
      <c r="D4977" s="28" t="n">
        <v>6</v>
      </c>
      <c r="E4977" s="29" t="n">
        <v>2082500</v>
      </c>
      <c r="F4977" s="30" t="n">
        <v>57.97</v>
      </c>
      <c r="G4977" s="31" t="n">
        <f aca="false">IFERROR(F4977/D4977,0)</f>
        <v>9.66166666666667</v>
      </c>
    </row>
    <row r="4978" customFormat="false" ht="15" hidden="false" customHeight="false" outlineLevel="0" collapsed="false">
      <c r="A4978" s="28" t="n">
        <v>2025</v>
      </c>
      <c r="B4978" s="28" t="s">
        <v>115</v>
      </c>
      <c r="C4978" s="28" t="s">
        <v>42</v>
      </c>
      <c r="D4978" s="28" t="n">
        <v>33</v>
      </c>
      <c r="E4978" s="29" t="n">
        <v>21896400</v>
      </c>
      <c r="F4978" s="30" t="n">
        <v>304.47</v>
      </c>
      <c r="G4978" s="31" t="n">
        <f aca="false">IFERROR(F4978/D4978,0)</f>
        <v>9.22636363636364</v>
      </c>
    </row>
    <row r="4979" customFormat="false" ht="15" hidden="false" customHeight="false" outlineLevel="0" collapsed="false">
      <c r="A4979" s="28" t="n">
        <v>2025</v>
      </c>
      <c r="B4979" s="28" t="s">
        <v>115</v>
      </c>
      <c r="C4979" s="28" t="s">
        <v>50</v>
      </c>
      <c r="D4979" s="28" t="n">
        <v>21</v>
      </c>
      <c r="E4979" s="29" t="n">
        <v>4246000</v>
      </c>
      <c r="F4979" s="30" t="n">
        <v>215.25</v>
      </c>
      <c r="G4979" s="31" t="n">
        <f aca="false">IFERROR(F4979/D4979,0)</f>
        <v>10.25</v>
      </c>
    </row>
    <row r="4980" customFormat="false" ht="15" hidden="false" customHeight="false" outlineLevel="0" collapsed="false">
      <c r="A4980" s="28" t="n">
        <v>2025</v>
      </c>
      <c r="B4980" s="28" t="s">
        <v>115</v>
      </c>
      <c r="C4980" s="28" t="s">
        <v>55</v>
      </c>
      <c r="D4980" s="28" t="n">
        <v>1</v>
      </c>
      <c r="E4980" s="29" t="n">
        <v>291000</v>
      </c>
      <c r="F4980" s="30" t="n">
        <v>8</v>
      </c>
      <c r="G4980" s="31" t="n">
        <f aca="false">IFERROR(F4980/D4980,0)</f>
        <v>8</v>
      </c>
    </row>
    <row r="4981" customFormat="false" ht="15" hidden="false" customHeight="false" outlineLevel="0" collapsed="false">
      <c r="A4981" s="28" t="n">
        <v>2025</v>
      </c>
      <c r="B4981" s="28" t="s">
        <v>115</v>
      </c>
      <c r="C4981" s="28" t="s">
        <v>51</v>
      </c>
      <c r="D4981" s="28" t="n">
        <v>5</v>
      </c>
      <c r="E4981" s="29" t="n">
        <v>2394200</v>
      </c>
      <c r="F4981" s="30" t="n">
        <v>49.94</v>
      </c>
      <c r="G4981" s="31" t="n">
        <f aca="false">IFERROR(F4981/D4981,0)</f>
        <v>9.988</v>
      </c>
    </row>
    <row r="4982" customFormat="false" ht="15" hidden="false" customHeight="false" outlineLevel="0" collapsed="false">
      <c r="A4982" s="28" t="n">
        <v>2025</v>
      </c>
      <c r="B4982" s="28" t="s">
        <v>115</v>
      </c>
      <c r="C4982" s="28" t="s">
        <v>45</v>
      </c>
      <c r="D4982" s="28" t="n">
        <v>41</v>
      </c>
      <c r="E4982" s="29" t="n">
        <v>17491600</v>
      </c>
      <c r="F4982" s="30" t="n">
        <v>418.67</v>
      </c>
      <c r="G4982" s="31" t="n">
        <f aca="false">IFERROR(F4982/D4982,0)</f>
        <v>10.2114634146341</v>
      </c>
    </row>
    <row r="4983" customFormat="false" ht="15" hidden="false" customHeight="false" outlineLevel="0" collapsed="false">
      <c r="A4983" s="28" t="n">
        <v>2025</v>
      </c>
      <c r="B4983" s="28" t="s">
        <v>115</v>
      </c>
      <c r="C4983" s="28" t="s">
        <v>56</v>
      </c>
      <c r="D4983" s="28" t="n">
        <v>1</v>
      </c>
      <c r="E4983" s="29" t="n">
        <v>400000</v>
      </c>
      <c r="F4983" s="30" t="n">
        <v>9</v>
      </c>
      <c r="G4983" s="31" t="n">
        <f aca="false">IFERROR(F4983/D4983,0)</f>
        <v>9</v>
      </c>
    </row>
    <row r="4984" customFormat="false" ht="15" hidden="false" customHeight="false" outlineLevel="0" collapsed="false">
      <c r="A4984" s="28" t="n">
        <v>2025</v>
      </c>
      <c r="B4984" s="28" t="s">
        <v>115</v>
      </c>
      <c r="C4984" s="28" t="s">
        <v>54</v>
      </c>
      <c r="D4984" s="28" t="n">
        <v>4</v>
      </c>
      <c r="E4984" s="29" t="n">
        <v>1231000</v>
      </c>
      <c r="F4984" s="30" t="n">
        <v>39.75</v>
      </c>
      <c r="G4984" s="31" t="n">
        <f aca="false">IFERROR(F4984/D4984,0)</f>
        <v>9.9375</v>
      </c>
    </row>
    <row r="4985" customFormat="false" ht="15" hidden="false" customHeight="false" outlineLevel="0" collapsed="false">
      <c r="A4985" s="28" t="n">
        <v>2025</v>
      </c>
      <c r="B4985" s="28" t="s">
        <v>115</v>
      </c>
      <c r="C4985" s="28" t="s">
        <v>44</v>
      </c>
      <c r="D4985" s="28" t="n">
        <v>15</v>
      </c>
      <c r="E4985" s="29" t="n">
        <v>5268300</v>
      </c>
      <c r="F4985" s="30" t="n">
        <v>146.24</v>
      </c>
      <c r="G4985" s="31" t="n">
        <f aca="false">IFERROR(F4985/D4985,0)</f>
        <v>9.74933333333333</v>
      </c>
    </row>
    <row r="4986" customFormat="false" ht="15" hidden="false" customHeight="false" outlineLevel="0" collapsed="false">
      <c r="A4986" s="28" t="n">
        <v>2025</v>
      </c>
      <c r="B4986" s="28" t="s">
        <v>115</v>
      </c>
      <c r="C4986" s="28" t="s">
        <v>57</v>
      </c>
      <c r="D4986" s="28" t="n">
        <v>1</v>
      </c>
      <c r="E4986" s="29" t="n">
        <v>150000</v>
      </c>
      <c r="F4986" s="30" t="n">
        <v>12.75</v>
      </c>
      <c r="G4986" s="31" t="n">
        <f aca="false">IFERROR(F4986/D4986,0)</f>
        <v>12.75</v>
      </c>
    </row>
    <row r="4987" customFormat="false" ht="15" hidden="false" customHeight="false" outlineLevel="0" collapsed="false">
      <c r="A4987" s="28" t="n">
        <v>2025</v>
      </c>
      <c r="B4987" s="28" t="s">
        <v>115</v>
      </c>
      <c r="C4987" s="28" t="s">
        <v>47</v>
      </c>
      <c r="D4987" s="28" t="n">
        <v>10</v>
      </c>
      <c r="E4987" s="29" t="n">
        <v>8771700</v>
      </c>
      <c r="F4987" s="30" t="n">
        <v>104.15</v>
      </c>
      <c r="G4987" s="31" t="n">
        <f aca="false">IFERROR(F4987/D4987,0)</f>
        <v>10.415</v>
      </c>
    </row>
    <row r="4988" customFormat="false" ht="15" hidden="false" customHeight="false" outlineLevel="0" collapsed="false">
      <c r="A4988" s="28" t="n">
        <v>2025</v>
      </c>
      <c r="B4988" s="28" t="s">
        <v>115</v>
      </c>
      <c r="C4988" s="28" t="s">
        <v>46</v>
      </c>
      <c r="D4988" s="28" t="n">
        <v>21</v>
      </c>
      <c r="E4988" s="29" t="n">
        <v>9158200</v>
      </c>
      <c r="F4988" s="30" t="n">
        <v>204.98</v>
      </c>
      <c r="G4988" s="31" t="n">
        <f aca="false">IFERROR(F4988/D4988,0)</f>
        <v>9.76095238095238</v>
      </c>
    </row>
    <row r="4989" customFormat="false" ht="15" hidden="false" customHeight="false" outlineLevel="0" collapsed="false">
      <c r="A4989" s="28" t="n">
        <v>2025</v>
      </c>
      <c r="B4989" s="28" t="s">
        <v>115</v>
      </c>
      <c r="C4989" s="28" t="s">
        <v>48</v>
      </c>
      <c r="D4989" s="28" t="n">
        <v>13</v>
      </c>
      <c r="E4989" s="29" t="n">
        <v>4459000</v>
      </c>
      <c r="F4989" s="30" t="n">
        <v>145.26</v>
      </c>
      <c r="G4989" s="31" t="n">
        <f aca="false">IFERROR(F4989/D4989,0)</f>
        <v>11.1738461538462</v>
      </c>
    </row>
    <row r="4990" customFormat="false" ht="15" hidden="false" customHeight="false" outlineLevel="0" collapsed="false">
      <c r="A4990" s="28" t="n">
        <v>2025</v>
      </c>
      <c r="B4990" s="28" t="s">
        <v>115</v>
      </c>
      <c r="C4990" s="28" t="s">
        <v>53</v>
      </c>
      <c r="D4990" s="28" t="n">
        <v>10</v>
      </c>
      <c r="E4990" s="29" t="n">
        <v>9914800</v>
      </c>
      <c r="F4990" s="30" t="n">
        <v>87.48</v>
      </c>
      <c r="G4990" s="31" t="n">
        <f aca="false">IFERROR(F4990/D4990,0)</f>
        <v>8.748</v>
      </c>
    </row>
    <row r="4991" customFormat="false" ht="15" hidden="false" customHeight="false" outlineLevel="0" collapsed="false">
      <c r="A4991" s="28" t="n">
        <v>2025</v>
      </c>
      <c r="B4991" s="28" t="s">
        <v>115</v>
      </c>
      <c r="C4991" s="28" t="s">
        <v>43</v>
      </c>
      <c r="D4991" s="28" t="n">
        <v>35</v>
      </c>
      <c r="E4991" s="29" t="n">
        <v>25891000</v>
      </c>
      <c r="F4991" s="30" t="n">
        <v>350.41</v>
      </c>
      <c r="G4991" s="31" t="n">
        <f aca="false">IFERROR(F4991/D4991,0)</f>
        <v>10.0117142857143</v>
      </c>
    </row>
    <row r="4992" customFormat="false" ht="15" hidden="false" customHeight="false" outlineLevel="0" collapsed="false">
      <c r="A4992" s="28" t="n">
        <v>2025</v>
      </c>
      <c r="B4992" s="28" t="s">
        <v>115</v>
      </c>
      <c r="C4992" s="28" t="s">
        <v>52</v>
      </c>
      <c r="D4992" s="28" t="n">
        <v>3</v>
      </c>
      <c r="E4992" s="29" t="n">
        <v>4276400</v>
      </c>
      <c r="F4992" s="30" t="n">
        <v>28.75</v>
      </c>
      <c r="G4992" s="31" t="n">
        <f aca="false">IFERROR(F4992/D4992,0)</f>
        <v>9.58333333333333</v>
      </c>
    </row>
    <row r="4993" customFormat="false" ht="15" hidden="false" customHeight="false" outlineLevel="0" collapsed="false">
      <c r="A4993" s="28" t="n">
        <v>2025</v>
      </c>
      <c r="B4993" s="28" t="s">
        <v>115</v>
      </c>
      <c r="C4993" s="28" t="s">
        <v>49</v>
      </c>
      <c r="D4993" s="28" t="n">
        <v>3</v>
      </c>
      <c r="E4993" s="29" t="n">
        <v>1352500</v>
      </c>
      <c r="F4993" s="30" t="n">
        <v>36.25</v>
      </c>
      <c r="G4993" s="31" t="n">
        <f aca="false">IFERROR(F4993/D4993,0)</f>
        <v>12.0833333333333</v>
      </c>
    </row>
    <row r="4994" customFormat="false" ht="15" hidden="false" customHeight="false" outlineLevel="0" collapsed="false">
      <c r="A4994" s="28" t="n">
        <v>2025</v>
      </c>
      <c r="B4994" s="28" t="s">
        <v>90</v>
      </c>
      <c r="C4994" s="28" t="s">
        <v>42</v>
      </c>
      <c r="D4994" s="28" t="n">
        <v>242</v>
      </c>
      <c r="E4994" s="29" t="n">
        <v>266458600</v>
      </c>
      <c r="F4994" s="30" t="n">
        <v>2382.04</v>
      </c>
      <c r="G4994" s="31" t="n">
        <f aca="false">IFERROR(F4994/D4994,0)</f>
        <v>9.84314049586777</v>
      </c>
    </row>
    <row r="4995" customFormat="false" ht="15" hidden="false" customHeight="false" outlineLevel="0" collapsed="false">
      <c r="A4995" s="28" t="n">
        <v>2025</v>
      </c>
      <c r="B4995" s="28" t="s">
        <v>90</v>
      </c>
      <c r="C4995" s="28" t="s">
        <v>50</v>
      </c>
      <c r="D4995" s="28" t="n">
        <v>94</v>
      </c>
      <c r="E4995" s="29" t="n">
        <v>25892800</v>
      </c>
      <c r="F4995" s="30" t="n">
        <v>973.74</v>
      </c>
      <c r="G4995" s="31" t="n">
        <f aca="false">IFERROR(F4995/D4995,0)</f>
        <v>10.3589361702128</v>
      </c>
    </row>
    <row r="4996" customFormat="false" ht="15" hidden="false" customHeight="false" outlineLevel="0" collapsed="false">
      <c r="A4996" s="28" t="n">
        <v>2025</v>
      </c>
      <c r="B4996" s="28" t="s">
        <v>90</v>
      </c>
      <c r="C4996" s="28" t="s">
        <v>55</v>
      </c>
      <c r="D4996" s="28" t="n">
        <v>13</v>
      </c>
      <c r="E4996" s="29" t="n">
        <v>10724900</v>
      </c>
      <c r="F4996" s="30" t="n">
        <v>128.25</v>
      </c>
      <c r="G4996" s="31" t="n">
        <f aca="false">IFERROR(F4996/D4996,0)</f>
        <v>9.86538461538462</v>
      </c>
    </row>
    <row r="4997" customFormat="false" ht="15" hidden="false" customHeight="false" outlineLevel="0" collapsed="false">
      <c r="A4997" s="28" t="n">
        <v>2025</v>
      </c>
      <c r="B4997" s="28" t="s">
        <v>90</v>
      </c>
      <c r="C4997" s="28" t="s">
        <v>51</v>
      </c>
      <c r="D4997" s="28" t="n">
        <v>73</v>
      </c>
      <c r="E4997" s="29" t="n">
        <v>64561900</v>
      </c>
      <c r="F4997" s="30" t="n">
        <v>728.88</v>
      </c>
      <c r="G4997" s="31" t="n">
        <f aca="false">IFERROR(F4997/D4997,0)</f>
        <v>9.98465753424657</v>
      </c>
    </row>
    <row r="4998" customFormat="false" ht="15" hidden="false" customHeight="false" outlineLevel="0" collapsed="false">
      <c r="A4998" s="28" t="n">
        <v>2025</v>
      </c>
      <c r="B4998" s="28" t="s">
        <v>90</v>
      </c>
      <c r="C4998" s="28" t="s">
        <v>45</v>
      </c>
      <c r="D4998" s="28" t="n">
        <v>190</v>
      </c>
      <c r="E4998" s="29" t="n">
        <v>109004700</v>
      </c>
      <c r="F4998" s="30" t="n">
        <v>1984.88</v>
      </c>
      <c r="G4998" s="31" t="n">
        <f aca="false">IFERROR(F4998/D4998,0)</f>
        <v>10.4467368421053</v>
      </c>
    </row>
    <row r="4999" customFormat="false" ht="15" hidden="false" customHeight="false" outlineLevel="0" collapsed="false">
      <c r="A4999" s="28" t="n">
        <v>2025</v>
      </c>
      <c r="B4999" s="28" t="s">
        <v>90</v>
      </c>
      <c r="C4999" s="28" t="s">
        <v>56</v>
      </c>
      <c r="D4999" s="28" t="n">
        <v>25</v>
      </c>
      <c r="E4999" s="29" t="n">
        <v>11412200</v>
      </c>
      <c r="F4999" s="30" t="n">
        <v>259.45</v>
      </c>
      <c r="G4999" s="31" t="n">
        <f aca="false">IFERROR(F4999/D4999,0)</f>
        <v>10.378</v>
      </c>
    </row>
    <row r="5000" customFormat="false" ht="15" hidden="false" customHeight="false" outlineLevel="0" collapsed="false">
      <c r="A5000" s="28" t="n">
        <v>2025</v>
      </c>
      <c r="B5000" s="28" t="s">
        <v>90</v>
      </c>
      <c r="C5000" s="28" t="s">
        <v>54</v>
      </c>
      <c r="D5000" s="28" t="n">
        <v>14</v>
      </c>
      <c r="E5000" s="29" t="n">
        <v>5235600</v>
      </c>
      <c r="F5000" s="30" t="n">
        <v>147.38</v>
      </c>
      <c r="G5000" s="31" t="n">
        <f aca="false">IFERROR(F5000/D5000,0)</f>
        <v>10.5271428571429</v>
      </c>
    </row>
    <row r="5001" customFormat="false" ht="15" hidden="false" customHeight="false" outlineLevel="0" collapsed="false">
      <c r="A5001" s="28" t="n">
        <v>2025</v>
      </c>
      <c r="B5001" s="28" t="s">
        <v>90</v>
      </c>
      <c r="C5001" s="28" t="s">
        <v>44</v>
      </c>
      <c r="D5001" s="28" t="n">
        <v>144</v>
      </c>
      <c r="E5001" s="29" t="n">
        <v>94772300</v>
      </c>
      <c r="F5001" s="30" t="n">
        <v>1419.99</v>
      </c>
      <c r="G5001" s="31" t="n">
        <f aca="false">IFERROR(F5001/D5001,0)</f>
        <v>9.86104166666667</v>
      </c>
    </row>
    <row r="5002" customFormat="false" ht="15" hidden="false" customHeight="false" outlineLevel="0" collapsed="false">
      <c r="A5002" s="28" t="n">
        <v>2025</v>
      </c>
      <c r="B5002" s="28" t="s">
        <v>90</v>
      </c>
      <c r="C5002" s="28" t="s">
        <v>57</v>
      </c>
      <c r="D5002" s="28" t="n">
        <v>13</v>
      </c>
      <c r="E5002" s="29" t="n">
        <v>5511800</v>
      </c>
      <c r="F5002" s="30" t="n">
        <v>135.09</v>
      </c>
      <c r="G5002" s="31" t="n">
        <f aca="false">IFERROR(F5002/D5002,0)</f>
        <v>10.3915384615385</v>
      </c>
    </row>
    <row r="5003" customFormat="false" ht="15" hidden="false" customHeight="false" outlineLevel="0" collapsed="false">
      <c r="A5003" s="28" t="n">
        <v>2025</v>
      </c>
      <c r="B5003" s="28" t="s">
        <v>90</v>
      </c>
      <c r="C5003" s="28" t="s">
        <v>59</v>
      </c>
      <c r="D5003" s="28" t="n">
        <v>1</v>
      </c>
      <c r="E5003" s="29" t="n">
        <v>687000</v>
      </c>
      <c r="F5003" s="30" t="n">
        <v>10.5</v>
      </c>
      <c r="G5003" s="31" t="n">
        <f aca="false">IFERROR(F5003/D5003,0)</f>
        <v>10.5</v>
      </c>
    </row>
    <row r="5004" customFormat="false" ht="15" hidden="false" customHeight="false" outlineLevel="0" collapsed="false">
      <c r="A5004" s="28" t="n">
        <v>2025</v>
      </c>
      <c r="B5004" s="28" t="s">
        <v>90</v>
      </c>
      <c r="C5004" s="28" t="s">
        <v>47</v>
      </c>
      <c r="D5004" s="28" t="n">
        <v>97</v>
      </c>
      <c r="E5004" s="29" t="n">
        <v>60046000</v>
      </c>
      <c r="F5004" s="30" t="n">
        <v>986.17</v>
      </c>
      <c r="G5004" s="31" t="n">
        <f aca="false">IFERROR(F5004/D5004,0)</f>
        <v>10.1667010309278</v>
      </c>
    </row>
    <row r="5005" customFormat="false" ht="15" hidden="false" customHeight="false" outlineLevel="0" collapsed="false">
      <c r="A5005" s="28" t="n">
        <v>2025</v>
      </c>
      <c r="B5005" s="28" t="s">
        <v>90</v>
      </c>
      <c r="C5005" s="28" t="s">
        <v>46</v>
      </c>
      <c r="D5005" s="28" t="n">
        <v>168</v>
      </c>
      <c r="E5005" s="29" t="n">
        <v>104679500</v>
      </c>
      <c r="F5005" s="30" t="n">
        <v>1737.68</v>
      </c>
      <c r="G5005" s="31" t="n">
        <f aca="false">IFERROR(F5005/D5005,0)</f>
        <v>10.3433333333333</v>
      </c>
    </row>
    <row r="5006" customFormat="false" ht="15" hidden="false" customHeight="false" outlineLevel="0" collapsed="false">
      <c r="A5006" s="28" t="n">
        <v>2025</v>
      </c>
      <c r="B5006" s="28" t="s">
        <v>90</v>
      </c>
      <c r="C5006" s="28" t="s">
        <v>48</v>
      </c>
      <c r="D5006" s="28" t="n">
        <v>161</v>
      </c>
      <c r="E5006" s="29" t="n">
        <v>79471000</v>
      </c>
      <c r="F5006" s="30" t="n">
        <v>1708.96</v>
      </c>
      <c r="G5006" s="31" t="n">
        <f aca="false">IFERROR(F5006/D5006,0)</f>
        <v>10.6146583850932</v>
      </c>
    </row>
    <row r="5007" customFormat="false" ht="15" hidden="false" customHeight="false" outlineLevel="0" collapsed="false">
      <c r="A5007" s="28" t="n">
        <v>2025</v>
      </c>
      <c r="B5007" s="28" t="s">
        <v>90</v>
      </c>
      <c r="C5007" s="28" t="s">
        <v>53</v>
      </c>
      <c r="D5007" s="28" t="n">
        <v>35</v>
      </c>
      <c r="E5007" s="29" t="n">
        <v>29426300</v>
      </c>
      <c r="F5007" s="30" t="n">
        <v>341.23</v>
      </c>
      <c r="G5007" s="31" t="n">
        <f aca="false">IFERROR(F5007/D5007,0)</f>
        <v>9.74942857142857</v>
      </c>
    </row>
    <row r="5008" customFormat="false" ht="15" hidden="false" customHeight="false" outlineLevel="0" collapsed="false">
      <c r="A5008" s="28" t="n">
        <v>2025</v>
      </c>
      <c r="B5008" s="28" t="s">
        <v>90</v>
      </c>
      <c r="C5008" s="28" t="s">
        <v>43</v>
      </c>
      <c r="D5008" s="28" t="n">
        <v>176</v>
      </c>
      <c r="E5008" s="29" t="n">
        <v>103939600</v>
      </c>
      <c r="F5008" s="30" t="n">
        <v>1813.51</v>
      </c>
      <c r="G5008" s="31" t="n">
        <f aca="false">IFERROR(F5008/D5008,0)</f>
        <v>10.3040340909091</v>
      </c>
    </row>
    <row r="5009" customFormat="false" ht="15" hidden="false" customHeight="false" outlineLevel="0" collapsed="false">
      <c r="A5009" s="28" t="n">
        <v>2025</v>
      </c>
      <c r="B5009" s="28" t="s">
        <v>90</v>
      </c>
      <c r="C5009" s="28" t="s">
        <v>52</v>
      </c>
      <c r="D5009" s="28" t="n">
        <v>73</v>
      </c>
      <c r="E5009" s="29" t="n">
        <v>53930200</v>
      </c>
      <c r="F5009" s="30" t="n">
        <v>701.17</v>
      </c>
      <c r="G5009" s="31" t="n">
        <f aca="false">IFERROR(F5009/D5009,0)</f>
        <v>9.60506849315068</v>
      </c>
    </row>
    <row r="5010" customFormat="false" ht="15" hidden="false" customHeight="false" outlineLevel="0" collapsed="false">
      <c r="A5010" s="28" t="n">
        <v>2025</v>
      </c>
      <c r="B5010" s="28" t="s">
        <v>90</v>
      </c>
      <c r="C5010" s="28" t="s">
        <v>49</v>
      </c>
      <c r="D5010" s="28" t="n">
        <v>42</v>
      </c>
      <c r="E5010" s="29" t="n">
        <v>30518800</v>
      </c>
      <c r="F5010" s="30" t="n">
        <v>415.97</v>
      </c>
      <c r="G5010" s="31" t="n">
        <f aca="false">IFERROR(F5010/D5010,0)</f>
        <v>9.90404761904762</v>
      </c>
    </row>
    <row r="5011" customFormat="false" ht="15" hidden="false" customHeight="false" outlineLevel="0" collapsed="false">
      <c r="A5011" s="28" t="n">
        <v>2025</v>
      </c>
      <c r="B5011" s="28" t="s">
        <v>116</v>
      </c>
      <c r="C5011" s="28" t="s">
        <v>42</v>
      </c>
      <c r="D5011" s="28" t="n">
        <v>19</v>
      </c>
      <c r="E5011" s="29" t="n">
        <v>26606800</v>
      </c>
      <c r="F5011" s="30" t="n">
        <v>168.75</v>
      </c>
      <c r="G5011" s="31" t="n">
        <f aca="false">IFERROR(F5011/D5011,0)</f>
        <v>8.88157894736842</v>
      </c>
    </row>
    <row r="5012" customFormat="false" ht="15" hidden="false" customHeight="false" outlineLevel="0" collapsed="false">
      <c r="A5012" s="28" t="n">
        <v>2025</v>
      </c>
      <c r="B5012" s="28" t="s">
        <v>116</v>
      </c>
      <c r="C5012" s="28" t="s">
        <v>50</v>
      </c>
      <c r="D5012" s="28" t="n">
        <v>2</v>
      </c>
      <c r="E5012" s="29" t="n">
        <v>925000</v>
      </c>
      <c r="F5012" s="30" t="n">
        <v>16.25</v>
      </c>
      <c r="G5012" s="31" t="n">
        <f aca="false">IFERROR(F5012/D5012,0)</f>
        <v>8.125</v>
      </c>
    </row>
    <row r="5013" customFormat="false" ht="15" hidden="false" customHeight="false" outlineLevel="0" collapsed="false">
      <c r="A5013" s="28" t="n">
        <v>2025</v>
      </c>
      <c r="B5013" s="28" t="s">
        <v>116</v>
      </c>
      <c r="C5013" s="28" t="s">
        <v>51</v>
      </c>
      <c r="D5013" s="28" t="n">
        <v>2</v>
      </c>
      <c r="E5013" s="29" t="n">
        <v>982800</v>
      </c>
      <c r="F5013" s="30" t="n">
        <v>15.5</v>
      </c>
      <c r="G5013" s="31" t="n">
        <f aca="false">IFERROR(F5013/D5013,0)</f>
        <v>7.75</v>
      </c>
    </row>
    <row r="5014" customFormat="false" ht="15" hidden="false" customHeight="false" outlineLevel="0" collapsed="false">
      <c r="A5014" s="28" t="n">
        <v>2025</v>
      </c>
      <c r="B5014" s="28" t="s">
        <v>116</v>
      </c>
      <c r="C5014" s="28" t="s">
        <v>45</v>
      </c>
      <c r="D5014" s="28" t="n">
        <v>19</v>
      </c>
      <c r="E5014" s="29" t="n">
        <v>11055700</v>
      </c>
      <c r="F5014" s="30" t="n">
        <v>162.83</v>
      </c>
      <c r="G5014" s="31" t="n">
        <f aca="false">IFERROR(F5014/D5014,0)</f>
        <v>8.57</v>
      </c>
    </row>
    <row r="5015" customFormat="false" ht="15" hidden="false" customHeight="false" outlineLevel="0" collapsed="false">
      <c r="A5015" s="28" t="n">
        <v>2025</v>
      </c>
      <c r="B5015" s="28" t="s">
        <v>116</v>
      </c>
      <c r="C5015" s="28" t="s">
        <v>56</v>
      </c>
      <c r="D5015" s="28" t="n">
        <v>2</v>
      </c>
      <c r="E5015" s="29" t="n">
        <v>160000</v>
      </c>
      <c r="F5015" s="30" t="n">
        <v>25.5</v>
      </c>
      <c r="G5015" s="31" t="n">
        <f aca="false">IFERROR(F5015/D5015,0)</f>
        <v>12.75</v>
      </c>
    </row>
    <row r="5016" customFormat="false" ht="15" hidden="false" customHeight="false" outlineLevel="0" collapsed="false">
      <c r="A5016" s="28" t="n">
        <v>2025</v>
      </c>
      <c r="B5016" s="28" t="s">
        <v>116</v>
      </c>
      <c r="C5016" s="28" t="s">
        <v>44</v>
      </c>
      <c r="D5016" s="28" t="n">
        <v>12</v>
      </c>
      <c r="E5016" s="29" t="n">
        <v>2756200</v>
      </c>
      <c r="F5016" s="30" t="n">
        <v>107.95</v>
      </c>
      <c r="G5016" s="31" t="n">
        <f aca="false">IFERROR(F5016/D5016,0)</f>
        <v>8.99583333333333</v>
      </c>
    </row>
    <row r="5017" customFormat="false" ht="15" hidden="false" customHeight="false" outlineLevel="0" collapsed="false">
      <c r="A5017" s="28" t="n">
        <v>2025</v>
      </c>
      <c r="B5017" s="28" t="s">
        <v>116</v>
      </c>
      <c r="C5017" s="28" t="s">
        <v>57</v>
      </c>
      <c r="D5017" s="28" t="n">
        <v>3</v>
      </c>
      <c r="E5017" s="29" t="n">
        <v>350000</v>
      </c>
      <c r="F5017" s="30" t="n">
        <v>25.75</v>
      </c>
      <c r="G5017" s="31" t="n">
        <f aca="false">IFERROR(F5017/D5017,0)</f>
        <v>8.58333333333333</v>
      </c>
    </row>
    <row r="5018" customFormat="false" ht="15" hidden="false" customHeight="false" outlineLevel="0" collapsed="false">
      <c r="A5018" s="28" t="n">
        <v>2025</v>
      </c>
      <c r="B5018" s="28" t="s">
        <v>116</v>
      </c>
      <c r="C5018" s="28" t="s">
        <v>47</v>
      </c>
      <c r="D5018" s="28" t="n">
        <v>8</v>
      </c>
      <c r="E5018" s="29" t="n">
        <v>10513000</v>
      </c>
      <c r="F5018" s="30" t="n">
        <v>69.5</v>
      </c>
      <c r="G5018" s="31" t="n">
        <f aca="false">IFERROR(F5018/D5018,0)</f>
        <v>8.6875</v>
      </c>
    </row>
    <row r="5019" customFormat="false" ht="15" hidden="false" customHeight="false" outlineLevel="0" collapsed="false">
      <c r="A5019" s="28" t="n">
        <v>2025</v>
      </c>
      <c r="B5019" s="28" t="s">
        <v>116</v>
      </c>
      <c r="C5019" s="28" t="s">
        <v>58</v>
      </c>
      <c r="D5019" s="28" t="n">
        <v>5</v>
      </c>
      <c r="E5019" s="29" t="n">
        <v>2266400</v>
      </c>
      <c r="F5019" s="30" t="n">
        <v>47.48</v>
      </c>
      <c r="G5019" s="31" t="n">
        <f aca="false">IFERROR(F5019/D5019,0)</f>
        <v>9.496</v>
      </c>
    </row>
    <row r="5020" customFormat="false" ht="15" hidden="false" customHeight="false" outlineLevel="0" collapsed="false">
      <c r="A5020" s="28" t="n">
        <v>2025</v>
      </c>
      <c r="B5020" s="28" t="s">
        <v>116</v>
      </c>
      <c r="C5020" s="28" t="s">
        <v>46</v>
      </c>
      <c r="D5020" s="28" t="n">
        <v>12</v>
      </c>
      <c r="E5020" s="29" t="n">
        <v>9060100</v>
      </c>
      <c r="F5020" s="30" t="n">
        <v>106.38</v>
      </c>
      <c r="G5020" s="31" t="n">
        <f aca="false">IFERROR(F5020/D5020,0)</f>
        <v>8.865</v>
      </c>
    </row>
    <row r="5021" customFormat="false" ht="15" hidden="false" customHeight="false" outlineLevel="0" collapsed="false">
      <c r="A5021" s="28" t="n">
        <v>2025</v>
      </c>
      <c r="B5021" s="28" t="s">
        <v>116</v>
      </c>
      <c r="C5021" s="28" t="s">
        <v>48</v>
      </c>
      <c r="D5021" s="28" t="n">
        <v>6</v>
      </c>
      <c r="E5021" s="29" t="n">
        <v>842200</v>
      </c>
      <c r="F5021" s="30" t="n">
        <v>62.24</v>
      </c>
      <c r="G5021" s="31" t="n">
        <f aca="false">IFERROR(F5021/D5021,0)</f>
        <v>10.3733333333333</v>
      </c>
    </row>
    <row r="5022" customFormat="false" ht="15" hidden="false" customHeight="false" outlineLevel="0" collapsed="false">
      <c r="A5022" s="28" t="n">
        <v>2025</v>
      </c>
      <c r="B5022" s="28" t="s">
        <v>116</v>
      </c>
      <c r="C5022" s="28" t="s">
        <v>53</v>
      </c>
      <c r="D5022" s="28" t="n">
        <v>2</v>
      </c>
      <c r="E5022" s="29" t="n">
        <v>305000</v>
      </c>
      <c r="F5022" s="30" t="n">
        <v>19.49</v>
      </c>
      <c r="G5022" s="31" t="n">
        <f aca="false">IFERROR(F5022/D5022,0)</f>
        <v>9.745</v>
      </c>
    </row>
    <row r="5023" customFormat="false" ht="15" hidden="false" customHeight="false" outlineLevel="0" collapsed="false">
      <c r="A5023" s="28" t="n">
        <v>2025</v>
      </c>
      <c r="B5023" s="28" t="s">
        <v>116</v>
      </c>
      <c r="C5023" s="28" t="s">
        <v>43</v>
      </c>
      <c r="D5023" s="28" t="n">
        <v>11</v>
      </c>
      <c r="E5023" s="29" t="n">
        <v>12000500</v>
      </c>
      <c r="F5023" s="30" t="n">
        <v>102.99</v>
      </c>
      <c r="G5023" s="31" t="n">
        <f aca="false">IFERROR(F5023/D5023,0)</f>
        <v>9.36272727272727</v>
      </c>
    </row>
    <row r="5024" customFormat="false" ht="15" hidden="false" customHeight="false" outlineLevel="0" collapsed="false">
      <c r="A5024" s="28" t="n">
        <v>2025</v>
      </c>
      <c r="B5024" s="28" t="s">
        <v>116</v>
      </c>
      <c r="C5024" s="28" t="s">
        <v>52</v>
      </c>
      <c r="D5024" s="28" t="n">
        <v>2</v>
      </c>
      <c r="E5024" s="29" t="n">
        <v>375000</v>
      </c>
      <c r="F5024" s="30" t="n">
        <v>23.25</v>
      </c>
      <c r="G5024" s="31" t="n">
        <f aca="false">IFERROR(F5024/D5024,0)</f>
        <v>11.625</v>
      </c>
    </row>
    <row r="5025" customFormat="false" ht="15" hidden="false" customHeight="false" outlineLevel="0" collapsed="false">
      <c r="A5025" s="28" t="n">
        <v>2025</v>
      </c>
      <c r="B5025" s="28" t="s">
        <v>116</v>
      </c>
      <c r="C5025" s="28" t="s">
        <v>49</v>
      </c>
      <c r="D5025" s="28" t="n">
        <v>4</v>
      </c>
      <c r="E5025" s="29" t="n">
        <v>6731200</v>
      </c>
      <c r="F5025" s="30" t="n">
        <v>33.8</v>
      </c>
      <c r="G5025" s="31" t="n">
        <f aca="false">IFERROR(F5025/D5025,0)</f>
        <v>8.45</v>
      </c>
    </row>
    <row r="5026" customFormat="false" ht="15" hidden="false" customHeight="false" outlineLevel="0" collapsed="false">
      <c r="A5026" s="28" t="n">
        <v>2025</v>
      </c>
      <c r="B5026" s="28" t="s">
        <v>117</v>
      </c>
      <c r="C5026" s="28" t="s">
        <v>42</v>
      </c>
      <c r="D5026" s="28" t="n">
        <v>32</v>
      </c>
      <c r="E5026" s="29" t="n">
        <v>26306700</v>
      </c>
      <c r="F5026" s="30" t="n">
        <v>284.3</v>
      </c>
      <c r="G5026" s="31" t="n">
        <f aca="false">IFERROR(F5026/D5026,0)</f>
        <v>8.884375</v>
      </c>
    </row>
    <row r="5027" customFormat="false" ht="15" hidden="false" customHeight="false" outlineLevel="0" collapsed="false">
      <c r="A5027" s="28" t="n">
        <v>2025</v>
      </c>
      <c r="B5027" s="28" t="s">
        <v>117</v>
      </c>
      <c r="C5027" s="28" t="s">
        <v>50</v>
      </c>
      <c r="D5027" s="28" t="n">
        <v>24</v>
      </c>
      <c r="E5027" s="29" t="n">
        <v>14734200</v>
      </c>
      <c r="F5027" s="30" t="n">
        <v>223.41</v>
      </c>
      <c r="G5027" s="31" t="n">
        <f aca="false">IFERROR(F5027/D5027,0)</f>
        <v>9.30875</v>
      </c>
    </row>
    <row r="5028" customFormat="false" ht="15" hidden="false" customHeight="false" outlineLevel="0" collapsed="false">
      <c r="A5028" s="28" t="n">
        <v>2025</v>
      </c>
      <c r="B5028" s="28" t="s">
        <v>117</v>
      </c>
      <c r="C5028" s="28" t="s">
        <v>55</v>
      </c>
      <c r="D5028" s="28" t="n">
        <v>5</v>
      </c>
      <c r="E5028" s="29" t="n">
        <v>10285300</v>
      </c>
      <c r="F5028" s="30" t="n">
        <v>41.7</v>
      </c>
      <c r="G5028" s="31" t="n">
        <f aca="false">IFERROR(F5028/D5028,0)</f>
        <v>8.34</v>
      </c>
    </row>
    <row r="5029" customFormat="false" ht="15" hidden="false" customHeight="false" outlineLevel="0" collapsed="false">
      <c r="A5029" s="28" t="n">
        <v>2025</v>
      </c>
      <c r="B5029" s="28" t="s">
        <v>117</v>
      </c>
      <c r="C5029" s="28" t="s">
        <v>51</v>
      </c>
      <c r="D5029" s="28" t="n">
        <v>14</v>
      </c>
      <c r="E5029" s="29" t="n">
        <v>5379200</v>
      </c>
      <c r="F5029" s="30" t="n">
        <v>119.59</v>
      </c>
      <c r="G5029" s="31" t="n">
        <f aca="false">IFERROR(F5029/D5029,0)</f>
        <v>8.54214285714286</v>
      </c>
    </row>
    <row r="5030" customFormat="false" ht="15" hidden="false" customHeight="false" outlineLevel="0" collapsed="false">
      <c r="A5030" s="28" t="n">
        <v>2025</v>
      </c>
      <c r="B5030" s="28" t="s">
        <v>117</v>
      </c>
      <c r="C5030" s="28" t="s">
        <v>45</v>
      </c>
      <c r="D5030" s="28" t="n">
        <v>45</v>
      </c>
      <c r="E5030" s="29" t="n">
        <v>22022200</v>
      </c>
      <c r="F5030" s="30" t="n">
        <v>437.36</v>
      </c>
      <c r="G5030" s="31" t="n">
        <f aca="false">IFERROR(F5030/D5030,0)</f>
        <v>9.71911111111111</v>
      </c>
    </row>
    <row r="5031" customFormat="false" ht="15" hidden="false" customHeight="false" outlineLevel="0" collapsed="false">
      <c r="A5031" s="28" t="n">
        <v>2025</v>
      </c>
      <c r="B5031" s="28" t="s">
        <v>117</v>
      </c>
      <c r="C5031" s="28" t="s">
        <v>56</v>
      </c>
      <c r="D5031" s="28" t="n">
        <v>3</v>
      </c>
      <c r="E5031" s="29" t="n">
        <v>832000</v>
      </c>
      <c r="F5031" s="30" t="n">
        <v>29.49</v>
      </c>
      <c r="G5031" s="31" t="n">
        <f aca="false">IFERROR(F5031/D5031,0)</f>
        <v>9.83</v>
      </c>
    </row>
    <row r="5032" customFormat="false" ht="15" hidden="false" customHeight="false" outlineLevel="0" collapsed="false">
      <c r="A5032" s="28" t="n">
        <v>2025</v>
      </c>
      <c r="B5032" s="28" t="s">
        <v>117</v>
      </c>
      <c r="C5032" s="28" t="s">
        <v>54</v>
      </c>
      <c r="D5032" s="28" t="n">
        <v>8</v>
      </c>
      <c r="E5032" s="29" t="n">
        <v>2362400</v>
      </c>
      <c r="F5032" s="30" t="n">
        <v>84.49</v>
      </c>
      <c r="G5032" s="31" t="n">
        <f aca="false">IFERROR(F5032/D5032,0)</f>
        <v>10.56125</v>
      </c>
    </row>
    <row r="5033" customFormat="false" ht="15" hidden="false" customHeight="false" outlineLevel="0" collapsed="false">
      <c r="A5033" s="28" t="n">
        <v>2025</v>
      </c>
      <c r="B5033" s="28" t="s">
        <v>117</v>
      </c>
      <c r="C5033" s="28" t="s">
        <v>44</v>
      </c>
      <c r="D5033" s="28" t="n">
        <v>28</v>
      </c>
      <c r="E5033" s="29" t="n">
        <v>19863600</v>
      </c>
      <c r="F5033" s="30" t="n">
        <v>238.53</v>
      </c>
      <c r="G5033" s="31" t="n">
        <f aca="false">IFERROR(F5033/D5033,0)</f>
        <v>8.51892857142857</v>
      </c>
    </row>
    <row r="5034" customFormat="false" ht="15" hidden="false" customHeight="false" outlineLevel="0" collapsed="false">
      <c r="A5034" s="28" t="n">
        <v>2025</v>
      </c>
      <c r="B5034" s="28" t="s">
        <v>117</v>
      </c>
      <c r="C5034" s="28" t="s">
        <v>57</v>
      </c>
      <c r="D5034" s="28" t="n">
        <v>5</v>
      </c>
      <c r="E5034" s="29" t="n">
        <v>525000</v>
      </c>
      <c r="F5034" s="30" t="n">
        <v>45.5</v>
      </c>
      <c r="G5034" s="31" t="n">
        <f aca="false">IFERROR(F5034/D5034,0)</f>
        <v>9.1</v>
      </c>
    </row>
    <row r="5035" customFormat="false" ht="15" hidden="false" customHeight="false" outlineLevel="0" collapsed="false">
      <c r="A5035" s="28" t="n">
        <v>2025</v>
      </c>
      <c r="B5035" s="28" t="s">
        <v>117</v>
      </c>
      <c r="C5035" s="28" t="s">
        <v>47</v>
      </c>
      <c r="D5035" s="28" t="n">
        <v>14</v>
      </c>
      <c r="E5035" s="29" t="n">
        <v>5657700</v>
      </c>
      <c r="F5035" s="30" t="n">
        <v>124.25</v>
      </c>
      <c r="G5035" s="31" t="n">
        <f aca="false">IFERROR(F5035/D5035,0)</f>
        <v>8.875</v>
      </c>
    </row>
    <row r="5036" customFormat="false" ht="15" hidden="false" customHeight="false" outlineLevel="0" collapsed="false">
      <c r="A5036" s="28" t="n">
        <v>2025</v>
      </c>
      <c r="B5036" s="28" t="s">
        <v>117</v>
      </c>
      <c r="C5036" s="28" t="s">
        <v>46</v>
      </c>
      <c r="D5036" s="28" t="n">
        <v>46</v>
      </c>
      <c r="E5036" s="29" t="n">
        <v>9601600</v>
      </c>
      <c r="F5036" s="30" t="n">
        <v>443.79</v>
      </c>
      <c r="G5036" s="31" t="n">
        <f aca="false">IFERROR(F5036/D5036,0)</f>
        <v>9.64760869565217</v>
      </c>
    </row>
    <row r="5037" customFormat="false" ht="15" hidden="false" customHeight="false" outlineLevel="0" collapsed="false">
      <c r="A5037" s="28" t="n">
        <v>2025</v>
      </c>
      <c r="B5037" s="28" t="s">
        <v>117</v>
      </c>
      <c r="C5037" s="28" t="s">
        <v>48</v>
      </c>
      <c r="D5037" s="28" t="n">
        <v>20</v>
      </c>
      <c r="E5037" s="29" t="n">
        <v>6810600</v>
      </c>
      <c r="F5037" s="30" t="n">
        <v>183.77</v>
      </c>
      <c r="G5037" s="31" t="n">
        <f aca="false">IFERROR(F5037/D5037,0)</f>
        <v>9.1885</v>
      </c>
    </row>
    <row r="5038" customFormat="false" ht="15" hidden="false" customHeight="false" outlineLevel="0" collapsed="false">
      <c r="A5038" s="28" t="n">
        <v>2025</v>
      </c>
      <c r="B5038" s="28" t="s">
        <v>117</v>
      </c>
      <c r="C5038" s="28" t="s">
        <v>53</v>
      </c>
      <c r="D5038" s="28" t="n">
        <v>8</v>
      </c>
      <c r="E5038" s="29" t="n">
        <v>3120800</v>
      </c>
      <c r="F5038" s="30" t="n">
        <v>63.83</v>
      </c>
      <c r="G5038" s="31" t="n">
        <f aca="false">IFERROR(F5038/D5038,0)</f>
        <v>7.97875</v>
      </c>
    </row>
    <row r="5039" customFormat="false" ht="15" hidden="false" customHeight="false" outlineLevel="0" collapsed="false">
      <c r="A5039" s="28" t="n">
        <v>2025</v>
      </c>
      <c r="B5039" s="28" t="s">
        <v>117</v>
      </c>
      <c r="C5039" s="28" t="s">
        <v>43</v>
      </c>
      <c r="D5039" s="28" t="n">
        <v>25</v>
      </c>
      <c r="E5039" s="29" t="n">
        <v>8683700</v>
      </c>
      <c r="F5039" s="30" t="n">
        <v>242.65</v>
      </c>
      <c r="G5039" s="31" t="n">
        <f aca="false">IFERROR(F5039/D5039,0)</f>
        <v>9.706</v>
      </c>
    </row>
    <row r="5040" customFormat="false" ht="15" hidden="false" customHeight="false" outlineLevel="0" collapsed="false">
      <c r="A5040" s="28" t="n">
        <v>2025</v>
      </c>
      <c r="B5040" s="28" t="s">
        <v>117</v>
      </c>
      <c r="C5040" s="28" t="s">
        <v>52</v>
      </c>
      <c r="D5040" s="28" t="n">
        <v>6</v>
      </c>
      <c r="E5040" s="29" t="n">
        <v>3235300</v>
      </c>
      <c r="F5040" s="30" t="n">
        <v>54.74</v>
      </c>
      <c r="G5040" s="31" t="n">
        <f aca="false">IFERROR(F5040/D5040,0)</f>
        <v>9.12333333333333</v>
      </c>
    </row>
    <row r="5041" customFormat="false" ht="15" hidden="false" customHeight="false" outlineLevel="0" collapsed="false">
      <c r="A5041" s="28" t="n">
        <v>2025</v>
      </c>
      <c r="B5041" s="28" t="s">
        <v>117</v>
      </c>
      <c r="C5041" s="28" t="s">
        <v>49</v>
      </c>
      <c r="D5041" s="28" t="n">
        <v>4</v>
      </c>
      <c r="E5041" s="29" t="n">
        <v>915000</v>
      </c>
      <c r="F5041" s="30" t="n">
        <v>42</v>
      </c>
      <c r="G5041" s="31" t="n">
        <f aca="false">IFERROR(F5041/D5041,0)</f>
        <v>10.5</v>
      </c>
    </row>
    <row r="5042" customFormat="false" ht="15" hidden="false" customHeight="false" outlineLevel="0" collapsed="false">
      <c r="A5042" s="28" t="n">
        <v>2025</v>
      </c>
      <c r="B5042" s="28" t="s">
        <v>118</v>
      </c>
      <c r="C5042" s="28" t="s">
        <v>42</v>
      </c>
      <c r="D5042" s="28" t="n">
        <v>62</v>
      </c>
      <c r="E5042" s="29" t="n">
        <v>19732600</v>
      </c>
      <c r="F5042" s="30" t="n">
        <v>595.95</v>
      </c>
      <c r="G5042" s="31" t="n">
        <f aca="false">IFERROR(F5042/D5042,0)</f>
        <v>9.61209677419355</v>
      </c>
    </row>
    <row r="5043" customFormat="false" ht="15" hidden="false" customHeight="false" outlineLevel="0" collapsed="false">
      <c r="A5043" s="28" t="n">
        <v>2025</v>
      </c>
      <c r="B5043" s="28" t="s">
        <v>118</v>
      </c>
      <c r="C5043" s="28" t="s">
        <v>50</v>
      </c>
      <c r="D5043" s="28" t="n">
        <v>56</v>
      </c>
      <c r="E5043" s="29" t="n">
        <v>10498500</v>
      </c>
      <c r="F5043" s="30" t="n">
        <v>524.49</v>
      </c>
      <c r="G5043" s="31" t="n">
        <f aca="false">IFERROR(F5043/D5043,0)</f>
        <v>9.36589285714286</v>
      </c>
    </row>
    <row r="5044" customFormat="false" ht="15" hidden="false" customHeight="false" outlineLevel="0" collapsed="false">
      <c r="A5044" s="28" t="n">
        <v>2025</v>
      </c>
      <c r="B5044" s="28" t="s">
        <v>118</v>
      </c>
      <c r="C5044" s="28" t="s">
        <v>55</v>
      </c>
      <c r="D5044" s="28" t="n">
        <v>6</v>
      </c>
      <c r="E5044" s="29" t="n">
        <v>765000</v>
      </c>
      <c r="F5044" s="30" t="n">
        <v>58.48</v>
      </c>
      <c r="G5044" s="31" t="n">
        <f aca="false">IFERROR(F5044/D5044,0)</f>
        <v>9.74666666666667</v>
      </c>
    </row>
    <row r="5045" customFormat="false" ht="15" hidden="false" customHeight="false" outlineLevel="0" collapsed="false">
      <c r="A5045" s="28" t="n">
        <v>2025</v>
      </c>
      <c r="B5045" s="28" t="s">
        <v>118</v>
      </c>
      <c r="C5045" s="28" t="s">
        <v>51</v>
      </c>
      <c r="D5045" s="28" t="n">
        <v>13</v>
      </c>
      <c r="E5045" s="29" t="n">
        <v>2644600</v>
      </c>
      <c r="F5045" s="30" t="n">
        <v>113.375</v>
      </c>
      <c r="G5045" s="31" t="n">
        <f aca="false">IFERROR(F5045/D5045,0)</f>
        <v>8.72115384615385</v>
      </c>
    </row>
    <row r="5046" customFormat="false" ht="15" hidden="false" customHeight="false" outlineLevel="0" collapsed="false">
      <c r="A5046" s="28" t="n">
        <v>2025</v>
      </c>
      <c r="B5046" s="28" t="s">
        <v>118</v>
      </c>
      <c r="C5046" s="28" t="s">
        <v>45</v>
      </c>
      <c r="D5046" s="28" t="n">
        <v>111</v>
      </c>
      <c r="E5046" s="29" t="n">
        <v>29882600</v>
      </c>
      <c r="F5046" s="30" t="n">
        <v>1130.54</v>
      </c>
      <c r="G5046" s="31" t="n">
        <f aca="false">IFERROR(F5046/D5046,0)</f>
        <v>10.185045045045</v>
      </c>
    </row>
    <row r="5047" customFormat="false" ht="15" hidden="false" customHeight="false" outlineLevel="0" collapsed="false">
      <c r="A5047" s="28" t="n">
        <v>2025</v>
      </c>
      <c r="B5047" s="28" t="s">
        <v>118</v>
      </c>
      <c r="C5047" s="28" t="s">
        <v>56</v>
      </c>
      <c r="D5047" s="28" t="n">
        <v>3</v>
      </c>
      <c r="E5047" s="29" t="n">
        <v>195000</v>
      </c>
      <c r="F5047" s="30" t="n">
        <v>32.05</v>
      </c>
      <c r="G5047" s="31" t="n">
        <f aca="false">IFERROR(F5047/D5047,0)</f>
        <v>10.6833333333333</v>
      </c>
    </row>
    <row r="5048" customFormat="false" ht="15" hidden="false" customHeight="false" outlineLevel="0" collapsed="false">
      <c r="A5048" s="28" t="n">
        <v>2025</v>
      </c>
      <c r="B5048" s="28" t="s">
        <v>118</v>
      </c>
      <c r="C5048" s="28" t="s">
        <v>54</v>
      </c>
      <c r="D5048" s="28" t="n">
        <v>7</v>
      </c>
      <c r="E5048" s="29" t="n">
        <v>2158000</v>
      </c>
      <c r="F5048" s="30" t="n">
        <v>67.75</v>
      </c>
      <c r="G5048" s="31" t="n">
        <f aca="false">IFERROR(F5048/D5048,0)</f>
        <v>9.67857142857143</v>
      </c>
    </row>
    <row r="5049" customFormat="false" ht="15" hidden="false" customHeight="false" outlineLevel="0" collapsed="false">
      <c r="A5049" s="28" t="n">
        <v>2025</v>
      </c>
      <c r="B5049" s="28" t="s">
        <v>118</v>
      </c>
      <c r="C5049" s="28" t="s">
        <v>44</v>
      </c>
      <c r="D5049" s="28" t="n">
        <v>33</v>
      </c>
      <c r="E5049" s="29" t="n">
        <v>7183100</v>
      </c>
      <c r="F5049" s="30" t="n">
        <v>306.49</v>
      </c>
      <c r="G5049" s="31" t="n">
        <f aca="false">IFERROR(F5049/D5049,0)</f>
        <v>9.28757575757576</v>
      </c>
    </row>
    <row r="5050" customFormat="false" ht="15" hidden="false" customHeight="false" outlineLevel="0" collapsed="false">
      <c r="A5050" s="28" t="n">
        <v>2025</v>
      </c>
      <c r="B5050" s="28" t="s">
        <v>118</v>
      </c>
      <c r="C5050" s="28" t="s">
        <v>57</v>
      </c>
      <c r="D5050" s="28" t="n">
        <v>6</v>
      </c>
      <c r="E5050" s="29" t="n">
        <v>521000</v>
      </c>
      <c r="F5050" s="30" t="n">
        <v>61.86</v>
      </c>
      <c r="G5050" s="31" t="n">
        <f aca="false">IFERROR(F5050/D5050,0)</f>
        <v>10.31</v>
      </c>
    </row>
    <row r="5051" customFormat="false" ht="15" hidden="false" customHeight="false" outlineLevel="0" collapsed="false">
      <c r="A5051" s="28" t="n">
        <v>2025</v>
      </c>
      <c r="B5051" s="28" t="s">
        <v>118</v>
      </c>
      <c r="C5051" s="28" t="s">
        <v>59</v>
      </c>
      <c r="D5051" s="28" t="n">
        <v>1</v>
      </c>
      <c r="E5051" s="29" t="n">
        <v>3830000</v>
      </c>
      <c r="F5051" s="30" t="n">
        <v>9.75</v>
      </c>
      <c r="G5051" s="31" t="n">
        <f aca="false">IFERROR(F5051/D5051,0)</f>
        <v>9.75</v>
      </c>
    </row>
    <row r="5052" customFormat="false" ht="15" hidden="false" customHeight="false" outlineLevel="0" collapsed="false">
      <c r="A5052" s="28" t="n">
        <v>2025</v>
      </c>
      <c r="B5052" s="28" t="s">
        <v>118</v>
      </c>
      <c r="C5052" s="28" t="s">
        <v>47</v>
      </c>
      <c r="D5052" s="28" t="n">
        <v>28</v>
      </c>
      <c r="E5052" s="29" t="n">
        <v>21828600</v>
      </c>
      <c r="F5052" s="30" t="n">
        <v>246.15</v>
      </c>
      <c r="G5052" s="31" t="n">
        <f aca="false">IFERROR(F5052/D5052,0)</f>
        <v>8.79107142857143</v>
      </c>
    </row>
    <row r="5053" customFormat="false" ht="15" hidden="false" customHeight="false" outlineLevel="0" collapsed="false">
      <c r="A5053" s="28" t="n">
        <v>2025</v>
      </c>
      <c r="B5053" s="28" t="s">
        <v>118</v>
      </c>
      <c r="C5053" s="28" t="s">
        <v>58</v>
      </c>
      <c r="D5053" s="28" t="n">
        <v>1</v>
      </c>
      <c r="E5053" s="29" t="n">
        <v>100000</v>
      </c>
      <c r="F5053" s="30" t="n">
        <v>11.5</v>
      </c>
      <c r="G5053" s="31" t="n">
        <f aca="false">IFERROR(F5053/D5053,0)</f>
        <v>11.5</v>
      </c>
    </row>
    <row r="5054" customFormat="false" ht="15" hidden="false" customHeight="false" outlineLevel="0" collapsed="false">
      <c r="A5054" s="28" t="n">
        <v>2025</v>
      </c>
      <c r="B5054" s="28" t="s">
        <v>118</v>
      </c>
      <c r="C5054" s="28" t="s">
        <v>46</v>
      </c>
      <c r="D5054" s="28" t="n">
        <v>58</v>
      </c>
      <c r="E5054" s="29" t="n">
        <v>8825100</v>
      </c>
      <c r="F5054" s="30" t="n">
        <v>586.71</v>
      </c>
      <c r="G5054" s="31" t="n">
        <f aca="false">IFERROR(F5054/D5054,0)</f>
        <v>10.1156896551724</v>
      </c>
    </row>
    <row r="5055" customFormat="false" ht="15" hidden="false" customHeight="false" outlineLevel="0" collapsed="false">
      <c r="A5055" s="28" t="n">
        <v>2025</v>
      </c>
      <c r="B5055" s="28" t="s">
        <v>118</v>
      </c>
      <c r="C5055" s="28" t="s">
        <v>48</v>
      </c>
      <c r="D5055" s="28" t="n">
        <v>35</v>
      </c>
      <c r="E5055" s="29" t="n">
        <v>13130100</v>
      </c>
      <c r="F5055" s="30" t="n">
        <v>346.46</v>
      </c>
      <c r="G5055" s="31" t="n">
        <f aca="false">IFERROR(F5055/D5055,0)</f>
        <v>9.89885714285714</v>
      </c>
    </row>
    <row r="5056" customFormat="false" ht="15" hidden="false" customHeight="false" outlineLevel="0" collapsed="false">
      <c r="A5056" s="28" t="n">
        <v>2025</v>
      </c>
      <c r="B5056" s="28" t="s">
        <v>118</v>
      </c>
      <c r="C5056" s="28" t="s">
        <v>53</v>
      </c>
      <c r="D5056" s="28" t="n">
        <v>10</v>
      </c>
      <c r="E5056" s="29" t="n">
        <v>7018300</v>
      </c>
      <c r="F5056" s="30" t="n">
        <v>93.52</v>
      </c>
      <c r="G5056" s="31" t="n">
        <f aca="false">IFERROR(F5056/D5056,0)</f>
        <v>9.352</v>
      </c>
    </row>
    <row r="5057" customFormat="false" ht="15" hidden="false" customHeight="false" outlineLevel="0" collapsed="false">
      <c r="A5057" s="28" t="n">
        <v>2025</v>
      </c>
      <c r="B5057" s="28" t="s">
        <v>118</v>
      </c>
      <c r="C5057" s="28" t="s">
        <v>43</v>
      </c>
      <c r="D5057" s="28" t="n">
        <v>57</v>
      </c>
      <c r="E5057" s="29" t="n">
        <v>15296000</v>
      </c>
      <c r="F5057" s="30" t="n">
        <v>554.45</v>
      </c>
      <c r="G5057" s="31" t="n">
        <f aca="false">IFERROR(F5057/D5057,0)</f>
        <v>9.72719298245614</v>
      </c>
    </row>
    <row r="5058" customFormat="false" ht="15" hidden="false" customHeight="false" outlineLevel="0" collapsed="false">
      <c r="A5058" s="28" t="n">
        <v>2025</v>
      </c>
      <c r="B5058" s="28" t="s">
        <v>118</v>
      </c>
      <c r="C5058" s="28" t="s">
        <v>52</v>
      </c>
      <c r="D5058" s="28" t="n">
        <v>13</v>
      </c>
      <c r="E5058" s="29" t="n">
        <v>3873000</v>
      </c>
      <c r="F5058" s="30" t="n">
        <v>142.97</v>
      </c>
      <c r="G5058" s="31" t="n">
        <f aca="false">IFERROR(F5058/D5058,0)</f>
        <v>10.9976923076923</v>
      </c>
    </row>
    <row r="5059" customFormat="false" ht="15" hidden="false" customHeight="false" outlineLevel="0" collapsed="false">
      <c r="A5059" s="28" t="n">
        <v>2025</v>
      </c>
      <c r="B5059" s="28" t="s">
        <v>118</v>
      </c>
      <c r="C5059" s="28" t="s">
        <v>60</v>
      </c>
      <c r="D5059" s="28" t="n">
        <v>1</v>
      </c>
      <c r="E5059" s="29" t="n">
        <v>50000</v>
      </c>
      <c r="F5059" s="30" t="n">
        <v>9.25</v>
      </c>
      <c r="G5059" s="31" t="n">
        <f aca="false">IFERROR(F5059/D5059,0)</f>
        <v>9.25</v>
      </c>
    </row>
    <row r="5060" customFormat="false" ht="15" hidden="false" customHeight="false" outlineLevel="0" collapsed="false">
      <c r="A5060" s="28" t="n">
        <v>2025</v>
      </c>
      <c r="B5060" s="28" t="s">
        <v>118</v>
      </c>
      <c r="C5060" s="28" t="s">
        <v>49</v>
      </c>
      <c r="D5060" s="28" t="n">
        <v>18</v>
      </c>
      <c r="E5060" s="29" t="n">
        <v>20112100</v>
      </c>
      <c r="F5060" s="30" t="n">
        <v>161.78</v>
      </c>
      <c r="G5060" s="31" t="n">
        <f aca="false">IFERROR(F5060/D5060,0)</f>
        <v>8.98777777777778</v>
      </c>
    </row>
    <row r="5061" customFormat="false" ht="15" hidden="false" customHeight="false" outlineLevel="0" collapsed="false">
      <c r="A5061" s="28" t="n">
        <v>2025</v>
      </c>
      <c r="B5061" s="28" t="s">
        <v>91</v>
      </c>
      <c r="C5061" s="28" t="s">
        <v>42</v>
      </c>
      <c r="D5061" s="28" t="n">
        <v>245</v>
      </c>
      <c r="E5061" s="29" t="n">
        <v>152535500</v>
      </c>
      <c r="F5061" s="30" t="n">
        <v>2541</v>
      </c>
      <c r="G5061" s="31" t="n">
        <f aca="false">IFERROR(F5061/D5061,0)</f>
        <v>10.3714285714286</v>
      </c>
    </row>
    <row r="5062" customFormat="false" ht="15" hidden="false" customHeight="false" outlineLevel="0" collapsed="false">
      <c r="A5062" s="28" t="n">
        <v>2025</v>
      </c>
      <c r="B5062" s="28" t="s">
        <v>91</v>
      </c>
      <c r="C5062" s="28" t="s">
        <v>50</v>
      </c>
      <c r="D5062" s="28" t="n">
        <v>150</v>
      </c>
      <c r="E5062" s="29" t="n">
        <v>45307100</v>
      </c>
      <c r="F5062" s="30" t="n">
        <v>1551.83</v>
      </c>
      <c r="G5062" s="31" t="n">
        <f aca="false">IFERROR(F5062/D5062,0)</f>
        <v>10.3455333333333</v>
      </c>
    </row>
    <row r="5063" customFormat="false" ht="15" hidden="false" customHeight="false" outlineLevel="0" collapsed="false">
      <c r="A5063" s="28" t="n">
        <v>2025</v>
      </c>
      <c r="B5063" s="28" t="s">
        <v>91</v>
      </c>
      <c r="C5063" s="28" t="s">
        <v>55</v>
      </c>
      <c r="D5063" s="28" t="n">
        <v>6</v>
      </c>
      <c r="E5063" s="29" t="n">
        <v>5300000</v>
      </c>
      <c r="F5063" s="30" t="n">
        <v>64.05</v>
      </c>
      <c r="G5063" s="31" t="n">
        <f aca="false">IFERROR(F5063/D5063,0)</f>
        <v>10.675</v>
      </c>
    </row>
    <row r="5064" customFormat="false" ht="15" hidden="false" customHeight="false" outlineLevel="0" collapsed="false">
      <c r="A5064" s="28" t="n">
        <v>2025</v>
      </c>
      <c r="B5064" s="28" t="s">
        <v>91</v>
      </c>
      <c r="C5064" s="28" t="s">
        <v>51</v>
      </c>
      <c r="D5064" s="28" t="n">
        <v>105</v>
      </c>
      <c r="E5064" s="29" t="n">
        <v>46504300</v>
      </c>
      <c r="F5064" s="30" t="n">
        <v>1062.98</v>
      </c>
      <c r="G5064" s="31" t="n">
        <f aca="false">IFERROR(F5064/D5064,0)</f>
        <v>10.123619047619</v>
      </c>
    </row>
    <row r="5065" customFormat="false" ht="15" hidden="false" customHeight="false" outlineLevel="0" collapsed="false">
      <c r="A5065" s="28" t="n">
        <v>2025</v>
      </c>
      <c r="B5065" s="28" t="s">
        <v>91</v>
      </c>
      <c r="C5065" s="28" t="s">
        <v>45</v>
      </c>
      <c r="D5065" s="28" t="n">
        <v>270</v>
      </c>
      <c r="E5065" s="29" t="n">
        <v>84837400</v>
      </c>
      <c r="F5065" s="30" t="n">
        <v>2923.995</v>
      </c>
      <c r="G5065" s="31" t="n">
        <f aca="false">IFERROR(F5065/D5065,0)</f>
        <v>10.8296111111111</v>
      </c>
    </row>
    <row r="5066" customFormat="false" ht="15" hidden="false" customHeight="false" outlineLevel="0" collapsed="false">
      <c r="A5066" s="28" t="n">
        <v>2025</v>
      </c>
      <c r="B5066" s="28" t="s">
        <v>91</v>
      </c>
      <c r="C5066" s="28" t="s">
        <v>56</v>
      </c>
      <c r="D5066" s="28" t="n">
        <v>48</v>
      </c>
      <c r="E5066" s="29" t="n">
        <v>20696700</v>
      </c>
      <c r="F5066" s="30" t="n">
        <v>504.08</v>
      </c>
      <c r="G5066" s="31" t="n">
        <f aca="false">IFERROR(F5066/D5066,0)</f>
        <v>10.5016666666667</v>
      </c>
    </row>
    <row r="5067" customFormat="false" ht="15" hidden="false" customHeight="false" outlineLevel="0" collapsed="false">
      <c r="A5067" s="28" t="n">
        <v>2025</v>
      </c>
      <c r="B5067" s="28" t="s">
        <v>91</v>
      </c>
      <c r="C5067" s="28" t="s">
        <v>54</v>
      </c>
      <c r="D5067" s="28" t="n">
        <v>23</v>
      </c>
      <c r="E5067" s="29" t="n">
        <v>4889500</v>
      </c>
      <c r="F5067" s="30" t="n">
        <v>248.93</v>
      </c>
      <c r="G5067" s="31" t="n">
        <f aca="false">IFERROR(F5067/D5067,0)</f>
        <v>10.8230434782609</v>
      </c>
    </row>
    <row r="5068" customFormat="false" ht="15" hidden="false" customHeight="false" outlineLevel="0" collapsed="false">
      <c r="A5068" s="28" t="n">
        <v>2025</v>
      </c>
      <c r="B5068" s="28" t="s">
        <v>91</v>
      </c>
      <c r="C5068" s="28" t="s">
        <v>44</v>
      </c>
      <c r="D5068" s="28" t="n">
        <v>192</v>
      </c>
      <c r="E5068" s="29" t="n">
        <v>78086400</v>
      </c>
      <c r="F5068" s="30" t="n">
        <v>1972.77</v>
      </c>
      <c r="G5068" s="31" t="n">
        <f aca="false">IFERROR(F5068/D5068,0)</f>
        <v>10.27484375</v>
      </c>
    </row>
    <row r="5069" customFormat="false" ht="15" hidden="false" customHeight="false" outlineLevel="0" collapsed="false">
      <c r="A5069" s="28" t="n">
        <v>2025</v>
      </c>
      <c r="B5069" s="28" t="s">
        <v>91</v>
      </c>
      <c r="C5069" s="28" t="s">
        <v>57</v>
      </c>
      <c r="D5069" s="28" t="n">
        <v>19</v>
      </c>
      <c r="E5069" s="29" t="n">
        <v>3800200</v>
      </c>
      <c r="F5069" s="30" t="n">
        <v>213.65</v>
      </c>
      <c r="G5069" s="31" t="n">
        <f aca="false">IFERROR(F5069/D5069,0)</f>
        <v>11.2447368421053</v>
      </c>
    </row>
    <row r="5070" customFormat="false" ht="15" hidden="false" customHeight="false" outlineLevel="0" collapsed="false">
      <c r="A5070" s="28" t="n">
        <v>2025</v>
      </c>
      <c r="B5070" s="28" t="s">
        <v>91</v>
      </c>
      <c r="C5070" s="28" t="s">
        <v>47</v>
      </c>
      <c r="D5070" s="28" t="n">
        <v>127</v>
      </c>
      <c r="E5070" s="29" t="n">
        <v>82486500</v>
      </c>
      <c r="F5070" s="30" t="n">
        <v>1345.72</v>
      </c>
      <c r="G5070" s="31" t="n">
        <f aca="false">IFERROR(F5070/D5070,0)</f>
        <v>10.5962204724409</v>
      </c>
    </row>
    <row r="5071" customFormat="false" ht="15" hidden="false" customHeight="false" outlineLevel="0" collapsed="false">
      <c r="A5071" s="28" t="n">
        <v>2025</v>
      </c>
      <c r="B5071" s="28" t="s">
        <v>91</v>
      </c>
      <c r="C5071" s="28" t="s">
        <v>46</v>
      </c>
      <c r="D5071" s="28" t="n">
        <v>259</v>
      </c>
      <c r="E5071" s="29" t="n">
        <v>111541700</v>
      </c>
      <c r="F5071" s="30" t="n">
        <v>2694.42</v>
      </c>
      <c r="G5071" s="31" t="n">
        <f aca="false">IFERROR(F5071/D5071,0)</f>
        <v>10.403166023166</v>
      </c>
    </row>
    <row r="5072" customFormat="false" ht="15" hidden="false" customHeight="false" outlineLevel="0" collapsed="false">
      <c r="A5072" s="28" t="n">
        <v>2025</v>
      </c>
      <c r="B5072" s="28" t="s">
        <v>91</v>
      </c>
      <c r="C5072" s="28" t="s">
        <v>48</v>
      </c>
      <c r="D5072" s="28" t="n">
        <v>262</v>
      </c>
      <c r="E5072" s="29" t="n">
        <v>105598700</v>
      </c>
      <c r="F5072" s="30" t="n">
        <v>2824.03</v>
      </c>
      <c r="G5072" s="31" t="n">
        <f aca="false">IFERROR(F5072/D5072,0)</f>
        <v>10.7787404580153</v>
      </c>
    </row>
    <row r="5073" customFormat="false" ht="15" hidden="false" customHeight="false" outlineLevel="0" collapsed="false">
      <c r="A5073" s="28" t="n">
        <v>2025</v>
      </c>
      <c r="B5073" s="28" t="s">
        <v>91</v>
      </c>
      <c r="C5073" s="28" t="s">
        <v>53</v>
      </c>
      <c r="D5073" s="28" t="n">
        <v>31</v>
      </c>
      <c r="E5073" s="29" t="n">
        <v>11471800</v>
      </c>
      <c r="F5073" s="30" t="n">
        <v>343.89</v>
      </c>
      <c r="G5073" s="31" t="n">
        <f aca="false">IFERROR(F5073/D5073,0)</f>
        <v>11.0932258064516</v>
      </c>
    </row>
    <row r="5074" customFormat="false" ht="15" hidden="false" customHeight="false" outlineLevel="0" collapsed="false">
      <c r="A5074" s="28" t="n">
        <v>2025</v>
      </c>
      <c r="B5074" s="28" t="s">
        <v>91</v>
      </c>
      <c r="C5074" s="28" t="s">
        <v>43</v>
      </c>
      <c r="D5074" s="28" t="n">
        <v>268</v>
      </c>
      <c r="E5074" s="29" t="n">
        <v>152900200</v>
      </c>
      <c r="F5074" s="30" t="n">
        <v>2788.32</v>
      </c>
      <c r="G5074" s="31" t="n">
        <f aca="false">IFERROR(F5074/D5074,0)</f>
        <v>10.4041791044776</v>
      </c>
    </row>
    <row r="5075" customFormat="false" ht="15" hidden="false" customHeight="false" outlineLevel="0" collapsed="false">
      <c r="A5075" s="28" t="n">
        <v>2025</v>
      </c>
      <c r="B5075" s="28" t="s">
        <v>91</v>
      </c>
      <c r="C5075" s="28" t="s">
        <v>52</v>
      </c>
      <c r="D5075" s="28" t="n">
        <v>128</v>
      </c>
      <c r="E5075" s="29" t="n">
        <v>37533900</v>
      </c>
      <c r="F5075" s="30" t="n">
        <v>1424.57</v>
      </c>
      <c r="G5075" s="31" t="n">
        <f aca="false">IFERROR(F5075/D5075,0)</f>
        <v>11.129453125</v>
      </c>
    </row>
    <row r="5076" customFormat="false" ht="15" hidden="false" customHeight="false" outlineLevel="0" collapsed="false">
      <c r="A5076" s="28" t="n">
        <v>2025</v>
      </c>
      <c r="B5076" s="28" t="s">
        <v>91</v>
      </c>
      <c r="C5076" s="28" t="s">
        <v>60</v>
      </c>
      <c r="D5076" s="28" t="n">
        <v>1</v>
      </c>
      <c r="E5076" s="29" t="n">
        <v>150000</v>
      </c>
      <c r="F5076" s="30" t="n">
        <v>12.75</v>
      </c>
      <c r="G5076" s="31" t="n">
        <f aca="false">IFERROR(F5076/D5076,0)</f>
        <v>12.75</v>
      </c>
    </row>
    <row r="5077" customFormat="false" ht="15" hidden="false" customHeight="false" outlineLevel="0" collapsed="false">
      <c r="A5077" s="28" t="n">
        <v>2025</v>
      </c>
      <c r="B5077" s="28" t="s">
        <v>91</v>
      </c>
      <c r="C5077" s="28" t="s">
        <v>49</v>
      </c>
      <c r="D5077" s="28" t="n">
        <v>127</v>
      </c>
      <c r="E5077" s="29" t="n">
        <v>81043300</v>
      </c>
      <c r="F5077" s="30" t="n">
        <v>1336.983</v>
      </c>
      <c r="G5077" s="31" t="n">
        <f aca="false">IFERROR(F5077/D5077,0)</f>
        <v>10.5274251968504</v>
      </c>
    </row>
    <row r="5078" customFormat="false" ht="15" hidden="false" customHeight="false" outlineLevel="0" collapsed="false">
      <c r="A5078" s="28" t="n">
        <v>2025</v>
      </c>
      <c r="B5078" s="28" t="s">
        <v>119</v>
      </c>
      <c r="C5078" s="28" t="s">
        <v>42</v>
      </c>
      <c r="D5078" s="28" t="n">
        <v>38</v>
      </c>
      <c r="E5078" s="29" t="n">
        <v>51490000</v>
      </c>
      <c r="F5078" s="30" t="n">
        <v>360.69</v>
      </c>
      <c r="G5078" s="31" t="n">
        <f aca="false">IFERROR(F5078/D5078,0)</f>
        <v>9.49184210526316</v>
      </c>
    </row>
    <row r="5079" customFormat="false" ht="15" hidden="false" customHeight="false" outlineLevel="0" collapsed="false">
      <c r="A5079" s="28" t="n">
        <v>2025</v>
      </c>
      <c r="B5079" s="28" t="s">
        <v>119</v>
      </c>
      <c r="C5079" s="28" t="s">
        <v>50</v>
      </c>
      <c r="D5079" s="28" t="n">
        <v>9</v>
      </c>
      <c r="E5079" s="29" t="n">
        <v>4491100</v>
      </c>
      <c r="F5079" s="30" t="n">
        <v>93.24</v>
      </c>
      <c r="G5079" s="31" t="n">
        <f aca="false">IFERROR(F5079/D5079,0)</f>
        <v>10.36</v>
      </c>
    </row>
    <row r="5080" customFormat="false" ht="15" hidden="false" customHeight="false" outlineLevel="0" collapsed="false">
      <c r="A5080" s="28" t="n">
        <v>2025</v>
      </c>
      <c r="B5080" s="28" t="s">
        <v>119</v>
      </c>
      <c r="C5080" s="28" t="s">
        <v>55</v>
      </c>
      <c r="D5080" s="28" t="n">
        <v>1</v>
      </c>
      <c r="E5080" s="29" t="n">
        <v>15000</v>
      </c>
      <c r="F5080" s="30" t="n">
        <v>12.5</v>
      </c>
      <c r="G5080" s="31" t="n">
        <f aca="false">IFERROR(F5080/D5080,0)</f>
        <v>12.5</v>
      </c>
    </row>
    <row r="5081" customFormat="false" ht="15" hidden="false" customHeight="false" outlineLevel="0" collapsed="false">
      <c r="A5081" s="28" t="n">
        <v>2025</v>
      </c>
      <c r="B5081" s="28" t="s">
        <v>119</v>
      </c>
      <c r="C5081" s="28" t="s">
        <v>51</v>
      </c>
      <c r="D5081" s="28" t="n">
        <v>10</v>
      </c>
      <c r="E5081" s="29" t="n">
        <v>4278600</v>
      </c>
      <c r="F5081" s="30" t="n">
        <v>93.2</v>
      </c>
      <c r="G5081" s="31" t="n">
        <f aca="false">IFERROR(F5081/D5081,0)</f>
        <v>9.32</v>
      </c>
    </row>
    <row r="5082" customFormat="false" ht="15" hidden="false" customHeight="false" outlineLevel="0" collapsed="false">
      <c r="A5082" s="28" t="n">
        <v>2025</v>
      </c>
      <c r="B5082" s="28" t="s">
        <v>119</v>
      </c>
      <c r="C5082" s="28" t="s">
        <v>45</v>
      </c>
      <c r="D5082" s="28" t="n">
        <v>43</v>
      </c>
      <c r="E5082" s="29" t="n">
        <v>28302600</v>
      </c>
      <c r="F5082" s="30" t="n">
        <v>445.07</v>
      </c>
      <c r="G5082" s="31" t="n">
        <f aca="false">IFERROR(F5082/D5082,0)</f>
        <v>10.3504651162791</v>
      </c>
    </row>
    <row r="5083" customFormat="false" ht="15" hidden="false" customHeight="false" outlineLevel="0" collapsed="false">
      <c r="A5083" s="28" t="n">
        <v>2025</v>
      </c>
      <c r="B5083" s="28" t="s">
        <v>119</v>
      </c>
      <c r="C5083" s="28" t="s">
        <v>56</v>
      </c>
      <c r="D5083" s="28" t="n">
        <v>3</v>
      </c>
      <c r="E5083" s="29" t="n">
        <v>522500</v>
      </c>
      <c r="F5083" s="30" t="n">
        <v>29.99</v>
      </c>
      <c r="G5083" s="31" t="n">
        <f aca="false">IFERROR(F5083/D5083,0)</f>
        <v>9.99666666666667</v>
      </c>
    </row>
    <row r="5084" customFormat="false" ht="15" hidden="false" customHeight="false" outlineLevel="0" collapsed="false">
      <c r="A5084" s="28" t="n">
        <v>2025</v>
      </c>
      <c r="B5084" s="28" t="s">
        <v>119</v>
      </c>
      <c r="C5084" s="28" t="s">
        <v>54</v>
      </c>
      <c r="D5084" s="28" t="n">
        <v>4</v>
      </c>
      <c r="E5084" s="29" t="n">
        <v>510000</v>
      </c>
      <c r="F5084" s="30" t="n">
        <v>45.99</v>
      </c>
      <c r="G5084" s="31" t="n">
        <f aca="false">IFERROR(F5084/D5084,0)</f>
        <v>11.4975</v>
      </c>
    </row>
    <row r="5085" customFormat="false" ht="15" hidden="false" customHeight="false" outlineLevel="0" collapsed="false">
      <c r="A5085" s="28" t="n">
        <v>2025</v>
      </c>
      <c r="B5085" s="28" t="s">
        <v>119</v>
      </c>
      <c r="C5085" s="28" t="s">
        <v>44</v>
      </c>
      <c r="D5085" s="28" t="n">
        <v>22</v>
      </c>
      <c r="E5085" s="29" t="n">
        <v>7775200</v>
      </c>
      <c r="F5085" s="30" t="n">
        <v>216.6</v>
      </c>
      <c r="G5085" s="31" t="n">
        <f aca="false">IFERROR(F5085/D5085,0)</f>
        <v>9.84545454545455</v>
      </c>
    </row>
    <row r="5086" customFormat="false" ht="15" hidden="false" customHeight="false" outlineLevel="0" collapsed="false">
      <c r="A5086" s="28" t="n">
        <v>2025</v>
      </c>
      <c r="B5086" s="28" t="s">
        <v>119</v>
      </c>
      <c r="C5086" s="28" t="s">
        <v>57</v>
      </c>
      <c r="D5086" s="28" t="n">
        <v>1</v>
      </c>
      <c r="E5086" s="29" t="n">
        <v>365000</v>
      </c>
      <c r="F5086" s="30" t="n">
        <v>10.25</v>
      </c>
      <c r="G5086" s="31" t="n">
        <f aca="false">IFERROR(F5086/D5086,0)</f>
        <v>10.25</v>
      </c>
    </row>
    <row r="5087" customFormat="false" ht="15" hidden="false" customHeight="false" outlineLevel="0" collapsed="false">
      <c r="A5087" s="28" t="n">
        <v>2025</v>
      </c>
      <c r="B5087" s="28" t="s">
        <v>119</v>
      </c>
      <c r="C5087" s="28" t="s">
        <v>59</v>
      </c>
      <c r="D5087" s="28" t="n">
        <v>1</v>
      </c>
      <c r="E5087" s="29" t="n">
        <v>90000</v>
      </c>
      <c r="F5087" s="30" t="n">
        <v>10.5</v>
      </c>
      <c r="G5087" s="31" t="n">
        <f aca="false">IFERROR(F5087/D5087,0)</f>
        <v>10.5</v>
      </c>
    </row>
    <row r="5088" customFormat="false" ht="15" hidden="false" customHeight="false" outlineLevel="0" collapsed="false">
      <c r="A5088" s="28" t="n">
        <v>2025</v>
      </c>
      <c r="B5088" s="28" t="s">
        <v>119</v>
      </c>
      <c r="C5088" s="28" t="s">
        <v>47</v>
      </c>
      <c r="D5088" s="28" t="n">
        <v>17</v>
      </c>
      <c r="E5088" s="29" t="n">
        <v>12398400</v>
      </c>
      <c r="F5088" s="30" t="n">
        <v>176.74</v>
      </c>
      <c r="G5088" s="31" t="n">
        <f aca="false">IFERROR(F5088/D5088,0)</f>
        <v>10.3964705882353</v>
      </c>
    </row>
    <row r="5089" customFormat="false" ht="15" hidden="false" customHeight="false" outlineLevel="0" collapsed="false">
      <c r="A5089" s="28" t="n">
        <v>2025</v>
      </c>
      <c r="B5089" s="28" t="s">
        <v>119</v>
      </c>
      <c r="C5089" s="28" t="s">
        <v>58</v>
      </c>
      <c r="D5089" s="28" t="n">
        <v>3</v>
      </c>
      <c r="E5089" s="29" t="n">
        <v>2697100</v>
      </c>
      <c r="F5089" s="30" t="n">
        <v>24.25</v>
      </c>
      <c r="G5089" s="31" t="n">
        <f aca="false">IFERROR(F5089/D5089,0)</f>
        <v>8.08333333333333</v>
      </c>
    </row>
    <row r="5090" customFormat="false" ht="15" hidden="false" customHeight="false" outlineLevel="0" collapsed="false">
      <c r="A5090" s="28" t="n">
        <v>2025</v>
      </c>
      <c r="B5090" s="28" t="s">
        <v>119</v>
      </c>
      <c r="C5090" s="28" t="s">
        <v>46</v>
      </c>
      <c r="D5090" s="28" t="n">
        <v>27</v>
      </c>
      <c r="E5090" s="29" t="n">
        <v>7503100</v>
      </c>
      <c r="F5090" s="30" t="n">
        <v>296.45</v>
      </c>
      <c r="G5090" s="31" t="n">
        <f aca="false">IFERROR(F5090/D5090,0)</f>
        <v>10.9796296296296</v>
      </c>
    </row>
    <row r="5091" customFormat="false" ht="15" hidden="false" customHeight="false" outlineLevel="0" collapsed="false">
      <c r="A5091" s="28" t="n">
        <v>2025</v>
      </c>
      <c r="B5091" s="28" t="s">
        <v>119</v>
      </c>
      <c r="C5091" s="28" t="s">
        <v>48</v>
      </c>
      <c r="D5091" s="28" t="n">
        <v>31</v>
      </c>
      <c r="E5091" s="29" t="n">
        <v>15125600</v>
      </c>
      <c r="F5091" s="30" t="n">
        <v>308.64</v>
      </c>
      <c r="G5091" s="31" t="n">
        <f aca="false">IFERROR(F5091/D5091,0)</f>
        <v>9.95612903225806</v>
      </c>
    </row>
    <row r="5092" customFormat="false" ht="15" hidden="false" customHeight="false" outlineLevel="0" collapsed="false">
      <c r="A5092" s="28" t="n">
        <v>2025</v>
      </c>
      <c r="B5092" s="28" t="s">
        <v>119</v>
      </c>
      <c r="C5092" s="28" t="s">
        <v>53</v>
      </c>
      <c r="D5092" s="28" t="n">
        <v>7</v>
      </c>
      <c r="E5092" s="29" t="n">
        <v>3802500</v>
      </c>
      <c r="F5092" s="30" t="n">
        <v>63.18</v>
      </c>
      <c r="G5092" s="31" t="n">
        <f aca="false">IFERROR(F5092/D5092,0)</f>
        <v>9.02571428571429</v>
      </c>
    </row>
    <row r="5093" customFormat="false" ht="15" hidden="false" customHeight="false" outlineLevel="0" collapsed="false">
      <c r="A5093" s="28" t="n">
        <v>2025</v>
      </c>
      <c r="B5093" s="28" t="s">
        <v>119</v>
      </c>
      <c r="C5093" s="28" t="s">
        <v>43</v>
      </c>
      <c r="D5093" s="28" t="n">
        <v>33</v>
      </c>
      <c r="E5093" s="29" t="n">
        <v>15984200</v>
      </c>
      <c r="F5093" s="30" t="n">
        <v>325.575</v>
      </c>
      <c r="G5093" s="31" t="n">
        <f aca="false">IFERROR(F5093/D5093,0)</f>
        <v>9.86590909090909</v>
      </c>
    </row>
    <row r="5094" customFormat="false" ht="15" hidden="false" customHeight="false" outlineLevel="0" collapsed="false">
      <c r="A5094" s="28" t="n">
        <v>2025</v>
      </c>
      <c r="B5094" s="28" t="s">
        <v>119</v>
      </c>
      <c r="C5094" s="28" t="s">
        <v>52</v>
      </c>
      <c r="D5094" s="28" t="n">
        <v>12</v>
      </c>
      <c r="E5094" s="29" t="n">
        <v>5853000</v>
      </c>
      <c r="F5094" s="30" t="n">
        <v>133.23</v>
      </c>
      <c r="G5094" s="31" t="n">
        <f aca="false">IFERROR(F5094/D5094,0)</f>
        <v>11.1025</v>
      </c>
    </row>
    <row r="5095" customFormat="false" ht="15" hidden="false" customHeight="false" outlineLevel="0" collapsed="false">
      <c r="A5095" s="28" t="n">
        <v>2025</v>
      </c>
      <c r="B5095" s="28" t="s">
        <v>119</v>
      </c>
      <c r="C5095" s="28" t="s">
        <v>49</v>
      </c>
      <c r="D5095" s="28" t="n">
        <v>9</v>
      </c>
      <c r="E5095" s="29" t="n">
        <v>5818200</v>
      </c>
      <c r="F5095" s="30" t="n">
        <v>80.09</v>
      </c>
      <c r="G5095" s="31" t="n">
        <f aca="false">IFERROR(F5095/D5095,0)</f>
        <v>8.89888888888889</v>
      </c>
    </row>
    <row r="5096" customFormat="false" ht="15" hidden="false" customHeight="false" outlineLevel="0" collapsed="false">
      <c r="A5096" s="28" t="n">
        <v>2025</v>
      </c>
      <c r="B5096" s="28" t="s">
        <v>112</v>
      </c>
      <c r="C5096" s="28" t="s">
        <v>42</v>
      </c>
      <c r="D5096" s="28" t="n">
        <v>101</v>
      </c>
      <c r="E5096" s="29" t="n">
        <v>58724300</v>
      </c>
      <c r="F5096" s="30" t="n">
        <v>1003.905</v>
      </c>
      <c r="G5096" s="31" t="n">
        <f aca="false">IFERROR(F5096/D5096,0)</f>
        <v>9.93965346534653</v>
      </c>
    </row>
    <row r="5097" customFormat="false" ht="15" hidden="false" customHeight="false" outlineLevel="0" collapsed="false">
      <c r="A5097" s="28" t="n">
        <v>2025</v>
      </c>
      <c r="B5097" s="28" t="s">
        <v>112</v>
      </c>
      <c r="C5097" s="28" t="s">
        <v>50</v>
      </c>
      <c r="D5097" s="28" t="n">
        <v>52</v>
      </c>
      <c r="E5097" s="29" t="n">
        <v>22797700</v>
      </c>
      <c r="F5097" s="30" t="n">
        <v>536.89</v>
      </c>
      <c r="G5097" s="31" t="n">
        <f aca="false">IFERROR(F5097/D5097,0)</f>
        <v>10.3248076923077</v>
      </c>
    </row>
    <row r="5098" customFormat="false" ht="15" hidden="false" customHeight="false" outlineLevel="0" collapsed="false">
      <c r="A5098" s="28" t="n">
        <v>2025</v>
      </c>
      <c r="B5098" s="28" t="s">
        <v>112</v>
      </c>
      <c r="C5098" s="28" t="s">
        <v>51</v>
      </c>
      <c r="D5098" s="28" t="n">
        <v>21</v>
      </c>
      <c r="E5098" s="29" t="n">
        <v>4523100</v>
      </c>
      <c r="F5098" s="30" t="n">
        <v>222.22</v>
      </c>
      <c r="G5098" s="31" t="n">
        <f aca="false">IFERROR(F5098/D5098,0)</f>
        <v>10.5819047619048</v>
      </c>
    </row>
    <row r="5099" customFormat="false" ht="15" hidden="false" customHeight="false" outlineLevel="0" collapsed="false">
      <c r="A5099" s="28" t="n">
        <v>2025</v>
      </c>
      <c r="B5099" s="28" t="s">
        <v>112</v>
      </c>
      <c r="C5099" s="28" t="s">
        <v>45</v>
      </c>
      <c r="D5099" s="28" t="n">
        <v>91</v>
      </c>
      <c r="E5099" s="29" t="n">
        <v>38860700</v>
      </c>
      <c r="F5099" s="30" t="n">
        <v>958.69</v>
      </c>
      <c r="G5099" s="31" t="n">
        <f aca="false">IFERROR(F5099/D5099,0)</f>
        <v>10.5350549450549</v>
      </c>
    </row>
    <row r="5100" customFormat="false" ht="15" hidden="false" customHeight="false" outlineLevel="0" collapsed="false">
      <c r="A5100" s="28" t="n">
        <v>2025</v>
      </c>
      <c r="B5100" s="28" t="s">
        <v>112</v>
      </c>
      <c r="C5100" s="28" t="s">
        <v>56</v>
      </c>
      <c r="D5100" s="28" t="n">
        <v>11</v>
      </c>
      <c r="E5100" s="29" t="n">
        <v>1886800</v>
      </c>
      <c r="F5100" s="30" t="n">
        <v>120.42</v>
      </c>
      <c r="G5100" s="31" t="n">
        <f aca="false">IFERROR(F5100/D5100,0)</f>
        <v>10.9472727272727</v>
      </c>
    </row>
    <row r="5101" customFormat="false" ht="15" hidden="false" customHeight="false" outlineLevel="0" collapsed="false">
      <c r="A5101" s="28" t="n">
        <v>2025</v>
      </c>
      <c r="B5101" s="28" t="s">
        <v>112</v>
      </c>
      <c r="C5101" s="28" t="s">
        <v>54</v>
      </c>
      <c r="D5101" s="28" t="n">
        <v>11</v>
      </c>
      <c r="E5101" s="29" t="n">
        <v>13700000</v>
      </c>
      <c r="F5101" s="30" t="n">
        <v>95.76</v>
      </c>
      <c r="G5101" s="31" t="n">
        <f aca="false">IFERROR(F5101/D5101,0)</f>
        <v>8.70545454545455</v>
      </c>
    </row>
    <row r="5102" customFormat="false" ht="15" hidden="false" customHeight="false" outlineLevel="0" collapsed="false">
      <c r="A5102" s="28" t="n">
        <v>2025</v>
      </c>
      <c r="B5102" s="28" t="s">
        <v>112</v>
      </c>
      <c r="C5102" s="28" t="s">
        <v>44</v>
      </c>
      <c r="D5102" s="28" t="n">
        <v>68</v>
      </c>
      <c r="E5102" s="29" t="n">
        <v>42778300</v>
      </c>
      <c r="F5102" s="30" t="n">
        <v>662.61</v>
      </c>
      <c r="G5102" s="31" t="n">
        <f aca="false">IFERROR(F5102/D5102,0)</f>
        <v>9.74426470588235</v>
      </c>
    </row>
    <row r="5103" customFormat="false" ht="15" hidden="false" customHeight="false" outlineLevel="0" collapsed="false">
      <c r="A5103" s="28" t="n">
        <v>2025</v>
      </c>
      <c r="B5103" s="28" t="s">
        <v>112</v>
      </c>
      <c r="C5103" s="28" t="s">
        <v>57</v>
      </c>
      <c r="D5103" s="28" t="n">
        <v>12</v>
      </c>
      <c r="E5103" s="29" t="n">
        <v>2084300</v>
      </c>
      <c r="F5103" s="30" t="n">
        <v>130.33</v>
      </c>
      <c r="G5103" s="31" t="n">
        <f aca="false">IFERROR(F5103/D5103,0)</f>
        <v>10.8608333333333</v>
      </c>
    </row>
    <row r="5104" customFormat="false" ht="15" hidden="false" customHeight="false" outlineLevel="0" collapsed="false">
      <c r="A5104" s="28" t="n">
        <v>2025</v>
      </c>
      <c r="B5104" s="28" t="s">
        <v>112</v>
      </c>
      <c r="C5104" s="28" t="s">
        <v>47</v>
      </c>
      <c r="D5104" s="28" t="n">
        <v>38</v>
      </c>
      <c r="E5104" s="29" t="n">
        <v>28507200</v>
      </c>
      <c r="F5104" s="30" t="n">
        <v>383.75</v>
      </c>
      <c r="G5104" s="31" t="n">
        <f aca="false">IFERROR(F5104/D5104,0)</f>
        <v>10.0986842105263</v>
      </c>
    </row>
    <row r="5105" customFormat="false" ht="15" hidden="false" customHeight="false" outlineLevel="0" collapsed="false">
      <c r="A5105" s="28" t="n">
        <v>2025</v>
      </c>
      <c r="B5105" s="28" t="s">
        <v>112</v>
      </c>
      <c r="C5105" s="28" t="s">
        <v>58</v>
      </c>
      <c r="D5105" s="28" t="n">
        <v>1</v>
      </c>
      <c r="E5105" s="29" t="n">
        <v>250000</v>
      </c>
      <c r="F5105" s="30" t="n">
        <v>10.25</v>
      </c>
      <c r="G5105" s="31" t="n">
        <f aca="false">IFERROR(F5105/D5105,0)</f>
        <v>10.25</v>
      </c>
    </row>
    <row r="5106" customFormat="false" ht="15" hidden="false" customHeight="false" outlineLevel="0" collapsed="false">
      <c r="A5106" s="28" t="n">
        <v>2025</v>
      </c>
      <c r="B5106" s="28" t="s">
        <v>112</v>
      </c>
      <c r="C5106" s="28" t="s">
        <v>46</v>
      </c>
      <c r="D5106" s="28" t="n">
        <v>98</v>
      </c>
      <c r="E5106" s="29" t="n">
        <v>32061300</v>
      </c>
      <c r="F5106" s="30" t="n">
        <v>999.305</v>
      </c>
      <c r="G5106" s="31" t="n">
        <f aca="false">IFERROR(F5106/D5106,0)</f>
        <v>10.1969897959184</v>
      </c>
    </row>
    <row r="5107" customFormat="false" ht="15" hidden="false" customHeight="false" outlineLevel="0" collapsed="false">
      <c r="A5107" s="28" t="n">
        <v>2025</v>
      </c>
      <c r="B5107" s="28" t="s">
        <v>112</v>
      </c>
      <c r="C5107" s="28" t="s">
        <v>48</v>
      </c>
      <c r="D5107" s="28" t="n">
        <v>81</v>
      </c>
      <c r="E5107" s="29" t="n">
        <v>27245900</v>
      </c>
      <c r="F5107" s="30" t="n">
        <v>834.04</v>
      </c>
      <c r="G5107" s="31" t="n">
        <f aca="false">IFERROR(F5107/D5107,0)</f>
        <v>10.2967901234568</v>
      </c>
    </row>
    <row r="5108" customFormat="false" ht="15" hidden="false" customHeight="false" outlineLevel="0" collapsed="false">
      <c r="A5108" s="28" t="n">
        <v>2025</v>
      </c>
      <c r="B5108" s="28" t="s">
        <v>112</v>
      </c>
      <c r="C5108" s="28" t="s">
        <v>61</v>
      </c>
      <c r="D5108" s="28" t="n">
        <v>1</v>
      </c>
      <c r="E5108" s="29" t="n">
        <v>150000</v>
      </c>
      <c r="F5108" s="30" t="n">
        <v>10.25</v>
      </c>
      <c r="G5108" s="31" t="n">
        <f aca="false">IFERROR(F5108/D5108,0)</f>
        <v>10.25</v>
      </c>
    </row>
    <row r="5109" customFormat="false" ht="15" hidden="false" customHeight="false" outlineLevel="0" collapsed="false">
      <c r="A5109" s="28" t="n">
        <v>2025</v>
      </c>
      <c r="B5109" s="28" t="s">
        <v>112</v>
      </c>
      <c r="C5109" s="28" t="s">
        <v>53</v>
      </c>
      <c r="D5109" s="28" t="n">
        <v>20</v>
      </c>
      <c r="E5109" s="29" t="n">
        <v>4635100</v>
      </c>
      <c r="F5109" s="30" t="n">
        <v>221.25</v>
      </c>
      <c r="G5109" s="31" t="n">
        <f aca="false">IFERROR(F5109/D5109,0)</f>
        <v>11.0625</v>
      </c>
    </row>
    <row r="5110" customFormat="false" ht="15" hidden="false" customHeight="false" outlineLevel="0" collapsed="false">
      <c r="A5110" s="28" t="n">
        <v>2025</v>
      </c>
      <c r="B5110" s="28" t="s">
        <v>112</v>
      </c>
      <c r="C5110" s="28" t="s">
        <v>43</v>
      </c>
      <c r="D5110" s="28" t="n">
        <v>65</v>
      </c>
      <c r="E5110" s="29" t="n">
        <v>32284800</v>
      </c>
      <c r="F5110" s="30" t="n">
        <v>691.96</v>
      </c>
      <c r="G5110" s="31" t="n">
        <f aca="false">IFERROR(F5110/D5110,0)</f>
        <v>10.6455384615385</v>
      </c>
    </row>
    <row r="5111" customFormat="false" ht="15" hidden="false" customHeight="false" outlineLevel="0" collapsed="false">
      <c r="A5111" s="28" t="n">
        <v>2025</v>
      </c>
      <c r="B5111" s="28" t="s">
        <v>112</v>
      </c>
      <c r="C5111" s="28" t="s">
        <v>52</v>
      </c>
      <c r="D5111" s="28" t="n">
        <v>26</v>
      </c>
      <c r="E5111" s="29" t="n">
        <v>13806000</v>
      </c>
      <c r="F5111" s="30" t="n">
        <v>297.85</v>
      </c>
      <c r="G5111" s="31" t="n">
        <f aca="false">IFERROR(F5111/D5111,0)</f>
        <v>11.4557692307692</v>
      </c>
    </row>
    <row r="5112" customFormat="false" ht="15" hidden="false" customHeight="false" outlineLevel="0" collapsed="false">
      <c r="A5112" s="28" t="n">
        <v>2025</v>
      </c>
      <c r="B5112" s="28" t="s">
        <v>112</v>
      </c>
      <c r="C5112" s="28" t="s">
        <v>49</v>
      </c>
      <c r="D5112" s="28" t="n">
        <v>23</v>
      </c>
      <c r="E5112" s="29" t="n">
        <v>19168900</v>
      </c>
      <c r="F5112" s="30" t="n">
        <v>230.72</v>
      </c>
      <c r="G5112" s="31" t="n">
        <f aca="false">IFERROR(F5112/D5112,0)</f>
        <v>10.0313043478261</v>
      </c>
    </row>
    <row r="5113" customFormat="false" ht="15" hidden="false" customHeight="false" outlineLevel="0" collapsed="false">
      <c r="A5113" s="28" t="n">
        <v>2025</v>
      </c>
      <c r="B5113" s="28" t="s">
        <v>82</v>
      </c>
      <c r="C5113" s="28" t="s">
        <v>42</v>
      </c>
      <c r="D5113" s="28" t="n">
        <v>476</v>
      </c>
      <c r="E5113" s="29" t="n">
        <v>186629700</v>
      </c>
      <c r="F5113" s="30" t="n">
        <v>5018.725</v>
      </c>
      <c r="G5113" s="31" t="n">
        <f aca="false">IFERROR(F5113/D5113,0)</f>
        <v>10.5435399159664</v>
      </c>
    </row>
    <row r="5114" customFormat="false" ht="15" hidden="false" customHeight="false" outlineLevel="0" collapsed="false">
      <c r="A5114" s="28" t="n">
        <v>2025</v>
      </c>
      <c r="B5114" s="28" t="s">
        <v>82</v>
      </c>
      <c r="C5114" s="28" t="s">
        <v>50</v>
      </c>
      <c r="D5114" s="28" t="n">
        <v>258</v>
      </c>
      <c r="E5114" s="29" t="n">
        <v>64803300</v>
      </c>
      <c r="F5114" s="30" t="n">
        <v>2784.07</v>
      </c>
      <c r="G5114" s="31" t="n">
        <f aca="false">IFERROR(F5114/D5114,0)</f>
        <v>10.7909689922481</v>
      </c>
    </row>
    <row r="5115" customFormat="false" ht="15" hidden="false" customHeight="false" outlineLevel="0" collapsed="false">
      <c r="A5115" s="28" t="n">
        <v>2025</v>
      </c>
      <c r="B5115" s="28" t="s">
        <v>82</v>
      </c>
      <c r="C5115" s="28" t="s">
        <v>55</v>
      </c>
      <c r="D5115" s="28" t="n">
        <v>17</v>
      </c>
      <c r="E5115" s="29" t="n">
        <v>1601900</v>
      </c>
      <c r="F5115" s="30" t="n">
        <v>184.85</v>
      </c>
      <c r="G5115" s="31" t="n">
        <f aca="false">IFERROR(F5115/D5115,0)</f>
        <v>10.8735294117647</v>
      </c>
    </row>
    <row r="5116" customFormat="false" ht="15" hidden="false" customHeight="false" outlineLevel="0" collapsed="false">
      <c r="A5116" s="28" t="n">
        <v>2025</v>
      </c>
      <c r="B5116" s="28" t="s">
        <v>82</v>
      </c>
      <c r="C5116" s="28" t="s">
        <v>51</v>
      </c>
      <c r="D5116" s="28" t="n">
        <v>147</v>
      </c>
      <c r="E5116" s="29" t="n">
        <v>54312300</v>
      </c>
      <c r="F5116" s="30" t="n">
        <v>1561.39</v>
      </c>
      <c r="G5116" s="31" t="n">
        <f aca="false">IFERROR(F5116/D5116,0)</f>
        <v>10.6217006802721</v>
      </c>
    </row>
    <row r="5117" customFormat="false" ht="15" hidden="false" customHeight="false" outlineLevel="0" collapsed="false">
      <c r="A5117" s="28" t="n">
        <v>2025</v>
      </c>
      <c r="B5117" s="28" t="s">
        <v>82</v>
      </c>
      <c r="C5117" s="28" t="s">
        <v>45</v>
      </c>
      <c r="D5117" s="28" t="n">
        <v>614</v>
      </c>
      <c r="E5117" s="29" t="n">
        <v>182012800</v>
      </c>
      <c r="F5117" s="30" t="n">
        <v>6624.455</v>
      </c>
      <c r="G5117" s="31" t="n">
        <f aca="false">IFERROR(F5117/D5117,0)</f>
        <v>10.7890146579805</v>
      </c>
    </row>
    <row r="5118" customFormat="false" ht="15" hidden="false" customHeight="false" outlineLevel="0" collapsed="false">
      <c r="A5118" s="28" t="n">
        <v>2025</v>
      </c>
      <c r="B5118" s="28" t="s">
        <v>82</v>
      </c>
      <c r="C5118" s="28" t="s">
        <v>56</v>
      </c>
      <c r="D5118" s="28" t="n">
        <v>71</v>
      </c>
      <c r="E5118" s="29" t="n">
        <v>17395200</v>
      </c>
      <c r="F5118" s="30" t="n">
        <v>785.4</v>
      </c>
      <c r="G5118" s="31" t="n">
        <f aca="false">IFERROR(F5118/D5118,0)</f>
        <v>11.0619718309859</v>
      </c>
    </row>
    <row r="5119" customFormat="false" ht="15" hidden="false" customHeight="false" outlineLevel="0" collapsed="false">
      <c r="A5119" s="28" t="n">
        <v>2025</v>
      </c>
      <c r="B5119" s="28" t="s">
        <v>82</v>
      </c>
      <c r="C5119" s="28" t="s">
        <v>54</v>
      </c>
      <c r="D5119" s="28" t="n">
        <v>75</v>
      </c>
      <c r="E5119" s="29" t="n">
        <v>25858800</v>
      </c>
      <c r="F5119" s="30" t="n">
        <v>824.07</v>
      </c>
      <c r="G5119" s="31" t="n">
        <f aca="false">IFERROR(F5119/D5119,0)</f>
        <v>10.9876</v>
      </c>
    </row>
    <row r="5120" customFormat="false" ht="15" hidden="false" customHeight="false" outlineLevel="0" collapsed="false">
      <c r="A5120" s="28" t="n">
        <v>2025</v>
      </c>
      <c r="B5120" s="28" t="s">
        <v>82</v>
      </c>
      <c r="C5120" s="28" t="s">
        <v>44</v>
      </c>
      <c r="D5120" s="28" t="n">
        <v>302</v>
      </c>
      <c r="E5120" s="29" t="n">
        <v>127075500</v>
      </c>
      <c r="F5120" s="30" t="n">
        <v>3179.025</v>
      </c>
      <c r="G5120" s="31" t="n">
        <f aca="false">IFERROR(F5120/D5120,0)</f>
        <v>10.5265728476821</v>
      </c>
    </row>
    <row r="5121" customFormat="false" ht="15" hidden="false" customHeight="false" outlineLevel="0" collapsed="false">
      <c r="A5121" s="28" t="n">
        <v>2025</v>
      </c>
      <c r="B5121" s="28" t="s">
        <v>82</v>
      </c>
      <c r="C5121" s="28" t="s">
        <v>57</v>
      </c>
      <c r="D5121" s="28" t="n">
        <v>60</v>
      </c>
      <c r="E5121" s="29" t="n">
        <v>15627500</v>
      </c>
      <c r="F5121" s="30" t="n">
        <v>657.315</v>
      </c>
      <c r="G5121" s="31" t="n">
        <f aca="false">IFERROR(F5121/D5121,0)</f>
        <v>10.95525</v>
      </c>
    </row>
    <row r="5122" customFormat="false" ht="15" hidden="false" customHeight="false" outlineLevel="0" collapsed="false">
      <c r="A5122" s="28" t="n">
        <v>2025</v>
      </c>
      <c r="B5122" s="28" t="s">
        <v>82</v>
      </c>
      <c r="C5122" s="28" t="s">
        <v>59</v>
      </c>
      <c r="D5122" s="28" t="n">
        <v>1</v>
      </c>
      <c r="E5122" s="29" t="n">
        <v>928800</v>
      </c>
      <c r="F5122" s="30" t="n">
        <v>6.15</v>
      </c>
      <c r="G5122" s="31" t="n">
        <f aca="false">IFERROR(F5122/D5122,0)</f>
        <v>6.15</v>
      </c>
    </row>
    <row r="5123" customFormat="false" ht="15" hidden="false" customHeight="false" outlineLevel="0" collapsed="false">
      <c r="A5123" s="28" t="n">
        <v>2025</v>
      </c>
      <c r="B5123" s="28" t="s">
        <v>82</v>
      </c>
      <c r="C5123" s="28" t="s">
        <v>47</v>
      </c>
      <c r="D5123" s="28" t="n">
        <v>220</v>
      </c>
      <c r="E5123" s="29" t="n">
        <v>106312300</v>
      </c>
      <c r="F5123" s="30" t="n">
        <v>2268.645</v>
      </c>
      <c r="G5123" s="31" t="n">
        <f aca="false">IFERROR(F5123/D5123,0)</f>
        <v>10.3120227272727</v>
      </c>
    </row>
    <row r="5124" customFormat="false" ht="15" hidden="false" customHeight="false" outlineLevel="0" collapsed="false">
      <c r="A5124" s="28" t="n">
        <v>2025</v>
      </c>
      <c r="B5124" s="28" t="s">
        <v>82</v>
      </c>
      <c r="C5124" s="28" t="s">
        <v>58</v>
      </c>
      <c r="D5124" s="28" t="n">
        <v>4</v>
      </c>
      <c r="E5124" s="29" t="n">
        <v>1765000</v>
      </c>
      <c r="F5124" s="30" t="n">
        <v>44.25</v>
      </c>
      <c r="G5124" s="31" t="n">
        <f aca="false">IFERROR(F5124/D5124,0)</f>
        <v>11.0625</v>
      </c>
    </row>
    <row r="5125" customFormat="false" ht="15" hidden="false" customHeight="false" outlineLevel="0" collapsed="false">
      <c r="A5125" s="28" t="n">
        <v>2025</v>
      </c>
      <c r="B5125" s="28" t="s">
        <v>82</v>
      </c>
      <c r="C5125" s="28" t="s">
        <v>46</v>
      </c>
      <c r="D5125" s="28" t="n">
        <v>407</v>
      </c>
      <c r="E5125" s="29" t="n">
        <v>113580000</v>
      </c>
      <c r="F5125" s="30" t="n">
        <v>4397.25</v>
      </c>
      <c r="G5125" s="31" t="n">
        <f aca="false">IFERROR(F5125/D5125,0)</f>
        <v>10.8040540540541</v>
      </c>
    </row>
    <row r="5126" customFormat="false" ht="15" hidden="false" customHeight="false" outlineLevel="0" collapsed="false">
      <c r="A5126" s="28" t="n">
        <v>2025</v>
      </c>
      <c r="B5126" s="28" t="s">
        <v>82</v>
      </c>
      <c r="C5126" s="28" t="s">
        <v>48</v>
      </c>
      <c r="D5126" s="28" t="n">
        <v>550</v>
      </c>
      <c r="E5126" s="29" t="n">
        <v>172855900</v>
      </c>
      <c r="F5126" s="30" t="n">
        <v>6030.645</v>
      </c>
      <c r="G5126" s="31" t="n">
        <f aca="false">IFERROR(F5126/D5126,0)</f>
        <v>10.9648090909091</v>
      </c>
    </row>
    <row r="5127" customFormat="false" ht="15" hidden="false" customHeight="false" outlineLevel="0" collapsed="false">
      <c r="A5127" s="28" t="n">
        <v>2025</v>
      </c>
      <c r="B5127" s="28" t="s">
        <v>82</v>
      </c>
      <c r="C5127" s="28" t="s">
        <v>61</v>
      </c>
      <c r="D5127" s="28" t="n">
        <v>1</v>
      </c>
      <c r="E5127" s="29" t="n">
        <v>20000</v>
      </c>
      <c r="F5127" s="30" t="n">
        <v>10.5</v>
      </c>
      <c r="G5127" s="31" t="n">
        <f aca="false">IFERROR(F5127/D5127,0)</f>
        <v>10.5</v>
      </c>
    </row>
    <row r="5128" customFormat="false" ht="15" hidden="false" customHeight="false" outlineLevel="0" collapsed="false">
      <c r="A5128" s="28" t="n">
        <v>2025</v>
      </c>
      <c r="B5128" s="28" t="s">
        <v>82</v>
      </c>
      <c r="C5128" s="28" t="s">
        <v>53</v>
      </c>
      <c r="D5128" s="28" t="n">
        <v>73</v>
      </c>
      <c r="E5128" s="29" t="n">
        <v>17911900</v>
      </c>
      <c r="F5128" s="30" t="n">
        <v>803.21</v>
      </c>
      <c r="G5128" s="31" t="n">
        <f aca="false">IFERROR(F5128/D5128,0)</f>
        <v>11.0028767123288</v>
      </c>
    </row>
    <row r="5129" customFormat="false" ht="15" hidden="false" customHeight="false" outlineLevel="0" collapsed="false">
      <c r="A5129" s="28" t="n">
        <v>2025</v>
      </c>
      <c r="B5129" s="28" t="s">
        <v>82</v>
      </c>
      <c r="C5129" s="28" t="s">
        <v>43</v>
      </c>
      <c r="D5129" s="28" t="n">
        <v>580</v>
      </c>
      <c r="E5129" s="29" t="n">
        <v>221661900</v>
      </c>
      <c r="F5129" s="30" t="n">
        <v>6206.59</v>
      </c>
      <c r="G5129" s="31" t="n">
        <f aca="false">IFERROR(F5129/D5129,0)</f>
        <v>10.7010172413793</v>
      </c>
    </row>
    <row r="5130" customFormat="false" ht="15" hidden="false" customHeight="false" outlineLevel="0" collapsed="false">
      <c r="A5130" s="28" t="n">
        <v>2025</v>
      </c>
      <c r="B5130" s="28" t="s">
        <v>82</v>
      </c>
      <c r="C5130" s="28" t="s">
        <v>52</v>
      </c>
      <c r="D5130" s="28" t="n">
        <v>146</v>
      </c>
      <c r="E5130" s="29" t="n">
        <v>40639800</v>
      </c>
      <c r="F5130" s="30" t="n">
        <v>1588.38</v>
      </c>
      <c r="G5130" s="31" t="n">
        <f aca="false">IFERROR(F5130/D5130,0)</f>
        <v>10.8793150684932</v>
      </c>
    </row>
    <row r="5131" customFormat="false" ht="15" hidden="false" customHeight="false" outlineLevel="0" collapsed="false">
      <c r="A5131" s="28" t="n">
        <v>2025</v>
      </c>
      <c r="B5131" s="28" t="s">
        <v>82</v>
      </c>
      <c r="C5131" s="28" t="s">
        <v>49</v>
      </c>
      <c r="D5131" s="28" t="n">
        <v>255</v>
      </c>
      <c r="E5131" s="29" t="n">
        <v>129800500</v>
      </c>
      <c r="F5131" s="30" t="n">
        <v>2686</v>
      </c>
      <c r="G5131" s="31" t="n">
        <f aca="false">IFERROR(F5131/D5131,0)</f>
        <v>10.5333333333333</v>
      </c>
    </row>
    <row r="5132" customFormat="false" ht="15" hidden="false" customHeight="false" outlineLevel="0" collapsed="false">
      <c r="A5132" s="28" t="n">
        <v>2025</v>
      </c>
      <c r="B5132" s="28" t="s">
        <v>84</v>
      </c>
      <c r="C5132" s="28" t="s">
        <v>42</v>
      </c>
      <c r="D5132" s="28" t="n">
        <v>334</v>
      </c>
      <c r="E5132" s="29" t="n">
        <v>221479600</v>
      </c>
      <c r="F5132" s="30" t="n">
        <v>3228.91</v>
      </c>
      <c r="G5132" s="31" t="n">
        <f aca="false">IFERROR(F5132/D5132,0)</f>
        <v>9.66739520958084</v>
      </c>
    </row>
    <row r="5133" customFormat="false" ht="15" hidden="false" customHeight="false" outlineLevel="0" collapsed="false">
      <c r="A5133" s="28" t="n">
        <v>2025</v>
      </c>
      <c r="B5133" s="28" t="s">
        <v>84</v>
      </c>
      <c r="C5133" s="28" t="s">
        <v>50</v>
      </c>
      <c r="D5133" s="28" t="n">
        <v>143</v>
      </c>
      <c r="E5133" s="29" t="n">
        <v>33775800</v>
      </c>
      <c r="F5133" s="30" t="n">
        <v>1423.495</v>
      </c>
      <c r="G5133" s="31" t="n">
        <f aca="false">IFERROR(F5133/D5133,0)</f>
        <v>9.95451048951049</v>
      </c>
    </row>
    <row r="5134" customFormat="false" ht="15" hidden="false" customHeight="false" outlineLevel="0" collapsed="false">
      <c r="A5134" s="28" t="n">
        <v>2025</v>
      </c>
      <c r="B5134" s="28" t="s">
        <v>84</v>
      </c>
      <c r="C5134" s="28" t="s">
        <v>55</v>
      </c>
      <c r="D5134" s="28" t="n">
        <v>15</v>
      </c>
      <c r="E5134" s="29" t="n">
        <v>3254900</v>
      </c>
      <c r="F5134" s="30" t="n">
        <v>141.65</v>
      </c>
      <c r="G5134" s="31" t="n">
        <f aca="false">IFERROR(F5134/D5134,0)</f>
        <v>9.44333333333333</v>
      </c>
    </row>
    <row r="5135" customFormat="false" ht="15" hidden="false" customHeight="false" outlineLevel="0" collapsed="false">
      <c r="A5135" s="28" t="n">
        <v>2025</v>
      </c>
      <c r="B5135" s="28" t="s">
        <v>84</v>
      </c>
      <c r="C5135" s="28" t="s">
        <v>51</v>
      </c>
      <c r="D5135" s="28" t="n">
        <v>117</v>
      </c>
      <c r="E5135" s="29" t="n">
        <v>42352200</v>
      </c>
      <c r="F5135" s="30" t="n">
        <v>1132.15</v>
      </c>
      <c r="G5135" s="31" t="n">
        <f aca="false">IFERROR(F5135/D5135,0)</f>
        <v>9.67649572649573</v>
      </c>
    </row>
    <row r="5136" customFormat="false" ht="15" hidden="false" customHeight="false" outlineLevel="0" collapsed="false">
      <c r="A5136" s="28" t="n">
        <v>2025</v>
      </c>
      <c r="B5136" s="28" t="s">
        <v>84</v>
      </c>
      <c r="C5136" s="28" t="s">
        <v>45</v>
      </c>
      <c r="D5136" s="28" t="n">
        <v>457</v>
      </c>
      <c r="E5136" s="29" t="n">
        <v>136144600</v>
      </c>
      <c r="F5136" s="30" t="n">
        <v>4567.48</v>
      </c>
      <c r="G5136" s="31" t="n">
        <f aca="false">IFERROR(F5136/D5136,0)</f>
        <v>9.99448577680525</v>
      </c>
    </row>
    <row r="5137" customFormat="false" ht="15" hidden="false" customHeight="false" outlineLevel="0" collapsed="false">
      <c r="A5137" s="28" t="n">
        <v>2025</v>
      </c>
      <c r="B5137" s="28" t="s">
        <v>84</v>
      </c>
      <c r="C5137" s="28" t="s">
        <v>56</v>
      </c>
      <c r="D5137" s="28" t="n">
        <v>43</v>
      </c>
      <c r="E5137" s="29" t="n">
        <v>15349000</v>
      </c>
      <c r="F5137" s="30" t="n">
        <v>426.83</v>
      </c>
      <c r="G5137" s="31" t="n">
        <f aca="false">IFERROR(F5137/D5137,0)</f>
        <v>9.92627906976744</v>
      </c>
    </row>
    <row r="5138" customFormat="false" ht="15" hidden="false" customHeight="false" outlineLevel="0" collapsed="false">
      <c r="A5138" s="28" t="n">
        <v>2025</v>
      </c>
      <c r="B5138" s="28" t="s">
        <v>84</v>
      </c>
      <c r="C5138" s="28" t="s">
        <v>54</v>
      </c>
      <c r="D5138" s="28" t="n">
        <v>36</v>
      </c>
      <c r="E5138" s="29" t="n">
        <v>15818800</v>
      </c>
      <c r="F5138" s="30" t="n">
        <v>360.66</v>
      </c>
      <c r="G5138" s="31" t="n">
        <f aca="false">IFERROR(F5138/D5138,0)</f>
        <v>10.0183333333333</v>
      </c>
    </row>
    <row r="5139" customFormat="false" ht="15" hidden="false" customHeight="false" outlineLevel="0" collapsed="false">
      <c r="A5139" s="28" t="n">
        <v>2025</v>
      </c>
      <c r="B5139" s="28" t="s">
        <v>84</v>
      </c>
      <c r="C5139" s="28" t="s">
        <v>44</v>
      </c>
      <c r="D5139" s="28" t="n">
        <v>264</v>
      </c>
      <c r="E5139" s="29" t="n">
        <v>110042500</v>
      </c>
      <c r="F5139" s="30" t="n">
        <v>2578.465</v>
      </c>
      <c r="G5139" s="31" t="n">
        <f aca="false">IFERROR(F5139/D5139,0)</f>
        <v>9.76691287878788</v>
      </c>
    </row>
    <row r="5140" customFormat="false" ht="15" hidden="false" customHeight="false" outlineLevel="0" collapsed="false">
      <c r="A5140" s="28" t="n">
        <v>2025</v>
      </c>
      <c r="B5140" s="28" t="s">
        <v>84</v>
      </c>
      <c r="C5140" s="28" t="s">
        <v>57</v>
      </c>
      <c r="D5140" s="28" t="n">
        <v>23</v>
      </c>
      <c r="E5140" s="29" t="n">
        <v>7105500</v>
      </c>
      <c r="F5140" s="30" t="n">
        <v>231.54</v>
      </c>
      <c r="G5140" s="31" t="n">
        <f aca="false">IFERROR(F5140/D5140,0)</f>
        <v>10.0669565217391</v>
      </c>
    </row>
    <row r="5141" customFormat="false" ht="15" hidden="false" customHeight="false" outlineLevel="0" collapsed="false">
      <c r="A5141" s="28" t="n">
        <v>2025</v>
      </c>
      <c r="B5141" s="28" t="s">
        <v>84</v>
      </c>
      <c r="C5141" s="28" t="s">
        <v>59</v>
      </c>
      <c r="D5141" s="28" t="n">
        <v>2</v>
      </c>
      <c r="E5141" s="29" t="n">
        <v>1959000</v>
      </c>
      <c r="F5141" s="30" t="n">
        <v>19</v>
      </c>
      <c r="G5141" s="31" t="n">
        <f aca="false">IFERROR(F5141/D5141,0)</f>
        <v>9.5</v>
      </c>
    </row>
    <row r="5142" customFormat="false" ht="15" hidden="false" customHeight="false" outlineLevel="0" collapsed="false">
      <c r="A5142" s="28" t="n">
        <v>2025</v>
      </c>
      <c r="B5142" s="28" t="s">
        <v>84</v>
      </c>
      <c r="C5142" s="28" t="s">
        <v>47</v>
      </c>
      <c r="D5142" s="28" t="n">
        <v>211</v>
      </c>
      <c r="E5142" s="29" t="n">
        <v>147263500</v>
      </c>
      <c r="F5142" s="30" t="n">
        <v>2030.104</v>
      </c>
      <c r="G5142" s="31" t="n">
        <f aca="false">IFERROR(F5142/D5142,0)</f>
        <v>9.62134597156398</v>
      </c>
    </row>
    <row r="5143" customFormat="false" ht="15" hidden="false" customHeight="false" outlineLevel="0" collapsed="false">
      <c r="A5143" s="28" t="n">
        <v>2025</v>
      </c>
      <c r="B5143" s="28" t="s">
        <v>84</v>
      </c>
      <c r="C5143" s="28" t="s">
        <v>58</v>
      </c>
      <c r="D5143" s="28" t="n">
        <v>1</v>
      </c>
      <c r="E5143" s="29" t="n">
        <v>40000</v>
      </c>
      <c r="F5143" s="30" t="n">
        <v>10</v>
      </c>
      <c r="G5143" s="31" t="n">
        <f aca="false">IFERROR(F5143/D5143,0)</f>
        <v>10</v>
      </c>
    </row>
    <row r="5144" customFormat="false" ht="15" hidden="false" customHeight="false" outlineLevel="0" collapsed="false">
      <c r="A5144" s="28" t="n">
        <v>2025</v>
      </c>
      <c r="B5144" s="28" t="s">
        <v>84</v>
      </c>
      <c r="C5144" s="28" t="s">
        <v>46</v>
      </c>
      <c r="D5144" s="28" t="n">
        <v>268</v>
      </c>
      <c r="E5144" s="29" t="n">
        <v>73868000</v>
      </c>
      <c r="F5144" s="30" t="n">
        <v>2624.955</v>
      </c>
      <c r="G5144" s="31" t="n">
        <f aca="false">IFERROR(F5144/D5144,0)</f>
        <v>9.79460820895522</v>
      </c>
    </row>
    <row r="5145" customFormat="false" ht="15" hidden="false" customHeight="false" outlineLevel="0" collapsed="false">
      <c r="A5145" s="28" t="n">
        <v>2025</v>
      </c>
      <c r="B5145" s="28" t="s">
        <v>84</v>
      </c>
      <c r="C5145" s="28" t="s">
        <v>48</v>
      </c>
      <c r="D5145" s="28" t="n">
        <v>217</v>
      </c>
      <c r="E5145" s="29" t="n">
        <v>74472700</v>
      </c>
      <c r="F5145" s="30" t="n">
        <v>2202.74</v>
      </c>
      <c r="G5145" s="31" t="n">
        <f aca="false">IFERROR(F5145/D5145,0)</f>
        <v>10.1508755760369</v>
      </c>
    </row>
    <row r="5146" customFormat="false" ht="15" hidden="false" customHeight="false" outlineLevel="0" collapsed="false">
      <c r="A5146" s="28" t="n">
        <v>2025</v>
      </c>
      <c r="B5146" s="28" t="s">
        <v>84</v>
      </c>
      <c r="C5146" s="28" t="s">
        <v>53</v>
      </c>
      <c r="D5146" s="28" t="n">
        <v>45</v>
      </c>
      <c r="E5146" s="29" t="n">
        <v>20134300</v>
      </c>
      <c r="F5146" s="30" t="n">
        <v>443.665</v>
      </c>
      <c r="G5146" s="31" t="n">
        <f aca="false">IFERROR(F5146/D5146,0)</f>
        <v>9.85922222222222</v>
      </c>
    </row>
    <row r="5147" customFormat="false" ht="15" hidden="false" customHeight="false" outlineLevel="0" collapsed="false">
      <c r="A5147" s="28" t="n">
        <v>2025</v>
      </c>
      <c r="B5147" s="28" t="s">
        <v>84</v>
      </c>
      <c r="C5147" s="28" t="s">
        <v>43</v>
      </c>
      <c r="D5147" s="28" t="n">
        <v>267</v>
      </c>
      <c r="E5147" s="29" t="n">
        <v>93981600</v>
      </c>
      <c r="F5147" s="30" t="n">
        <v>2695.69</v>
      </c>
      <c r="G5147" s="31" t="n">
        <f aca="false">IFERROR(F5147/D5147,0)</f>
        <v>10.0962172284644</v>
      </c>
    </row>
    <row r="5148" customFormat="false" ht="15" hidden="false" customHeight="false" outlineLevel="0" collapsed="false">
      <c r="A5148" s="28" t="n">
        <v>2025</v>
      </c>
      <c r="B5148" s="28" t="s">
        <v>84</v>
      </c>
      <c r="C5148" s="28" t="s">
        <v>52</v>
      </c>
      <c r="D5148" s="28" t="n">
        <v>305</v>
      </c>
      <c r="E5148" s="29" t="n">
        <v>51070100</v>
      </c>
      <c r="F5148" s="30" t="n">
        <v>3008.141</v>
      </c>
      <c r="G5148" s="31" t="n">
        <f aca="false">IFERROR(F5148/D5148,0)</f>
        <v>9.86275737704918</v>
      </c>
    </row>
    <row r="5149" customFormat="false" ht="15" hidden="false" customHeight="false" outlineLevel="0" collapsed="false">
      <c r="A5149" s="28" t="n">
        <v>2025</v>
      </c>
      <c r="B5149" s="28" t="s">
        <v>84</v>
      </c>
      <c r="C5149" s="28" t="s">
        <v>60</v>
      </c>
      <c r="D5149" s="28" t="n">
        <v>3</v>
      </c>
      <c r="E5149" s="29" t="n">
        <v>649400</v>
      </c>
      <c r="F5149" s="30" t="n">
        <v>27.25</v>
      </c>
      <c r="G5149" s="31" t="n">
        <f aca="false">IFERROR(F5149/D5149,0)</f>
        <v>9.08333333333333</v>
      </c>
    </row>
    <row r="5150" customFormat="false" ht="15" hidden="false" customHeight="false" outlineLevel="0" collapsed="false">
      <c r="A5150" s="28" t="n">
        <v>2025</v>
      </c>
      <c r="B5150" s="28" t="s">
        <v>84</v>
      </c>
      <c r="C5150" s="28" t="s">
        <v>49</v>
      </c>
      <c r="D5150" s="28" t="n">
        <v>94</v>
      </c>
      <c r="E5150" s="29" t="n">
        <v>49413200</v>
      </c>
      <c r="F5150" s="30" t="n">
        <v>919.06</v>
      </c>
      <c r="G5150" s="31" t="n">
        <f aca="false">IFERROR(F5150/D5150,0)</f>
        <v>9.77723404255319</v>
      </c>
    </row>
    <row r="5151" customFormat="false" ht="15" hidden="false" customHeight="false" outlineLevel="0" collapsed="false">
      <c r="A5151" s="28" t="n">
        <v>2025</v>
      </c>
      <c r="B5151" s="28" t="s">
        <v>114</v>
      </c>
      <c r="C5151" s="28" t="s">
        <v>42</v>
      </c>
      <c r="D5151" s="28" t="n">
        <v>47</v>
      </c>
      <c r="E5151" s="29" t="n">
        <v>42086300</v>
      </c>
      <c r="F5151" s="30" t="n">
        <v>441.315</v>
      </c>
      <c r="G5151" s="31" t="n">
        <f aca="false">IFERROR(F5151/D5151,0)</f>
        <v>9.38968085106383</v>
      </c>
    </row>
    <row r="5152" customFormat="false" ht="15" hidden="false" customHeight="false" outlineLevel="0" collapsed="false">
      <c r="A5152" s="28" t="n">
        <v>2025</v>
      </c>
      <c r="B5152" s="28" t="s">
        <v>114</v>
      </c>
      <c r="C5152" s="28" t="s">
        <v>50</v>
      </c>
      <c r="D5152" s="28" t="n">
        <v>28</v>
      </c>
      <c r="E5152" s="29" t="n">
        <v>17647500</v>
      </c>
      <c r="F5152" s="30" t="n">
        <v>267.7</v>
      </c>
      <c r="G5152" s="31" t="n">
        <f aca="false">IFERROR(F5152/D5152,0)</f>
        <v>9.56071428571429</v>
      </c>
    </row>
    <row r="5153" customFormat="false" ht="15" hidden="false" customHeight="false" outlineLevel="0" collapsed="false">
      <c r="A5153" s="28" t="n">
        <v>2025</v>
      </c>
      <c r="B5153" s="28" t="s">
        <v>114</v>
      </c>
      <c r="C5153" s="28" t="s">
        <v>55</v>
      </c>
      <c r="D5153" s="28" t="n">
        <v>5</v>
      </c>
      <c r="E5153" s="29" t="n">
        <v>6026500</v>
      </c>
      <c r="F5153" s="30" t="n">
        <v>48.459</v>
      </c>
      <c r="G5153" s="31" t="n">
        <f aca="false">IFERROR(F5153/D5153,0)</f>
        <v>9.6918</v>
      </c>
    </row>
    <row r="5154" customFormat="false" ht="15" hidden="false" customHeight="false" outlineLevel="0" collapsed="false">
      <c r="A5154" s="28" t="n">
        <v>2025</v>
      </c>
      <c r="B5154" s="28" t="s">
        <v>114</v>
      </c>
      <c r="C5154" s="28" t="s">
        <v>51</v>
      </c>
      <c r="D5154" s="28" t="n">
        <v>16</v>
      </c>
      <c r="E5154" s="29" t="n">
        <v>6361500</v>
      </c>
      <c r="F5154" s="30" t="n">
        <v>152</v>
      </c>
      <c r="G5154" s="31" t="n">
        <f aca="false">IFERROR(F5154/D5154,0)</f>
        <v>9.5</v>
      </c>
    </row>
    <row r="5155" customFormat="false" ht="15" hidden="false" customHeight="false" outlineLevel="0" collapsed="false">
      <c r="A5155" s="28" t="n">
        <v>2025</v>
      </c>
      <c r="B5155" s="28" t="s">
        <v>114</v>
      </c>
      <c r="C5155" s="28" t="s">
        <v>45</v>
      </c>
      <c r="D5155" s="28" t="n">
        <v>56</v>
      </c>
      <c r="E5155" s="29" t="n">
        <v>20653600</v>
      </c>
      <c r="F5155" s="30" t="n">
        <v>563.639</v>
      </c>
      <c r="G5155" s="31" t="n">
        <f aca="false">IFERROR(F5155/D5155,0)</f>
        <v>10.0649821428571</v>
      </c>
    </row>
    <row r="5156" customFormat="false" ht="15" hidden="false" customHeight="false" outlineLevel="0" collapsed="false">
      <c r="A5156" s="28" t="n">
        <v>2025</v>
      </c>
      <c r="B5156" s="28" t="s">
        <v>114</v>
      </c>
      <c r="C5156" s="28" t="s">
        <v>56</v>
      </c>
      <c r="D5156" s="28" t="n">
        <v>8</v>
      </c>
      <c r="E5156" s="29" t="n">
        <v>5753200</v>
      </c>
      <c r="F5156" s="30" t="n">
        <v>81.75</v>
      </c>
      <c r="G5156" s="31" t="n">
        <f aca="false">IFERROR(F5156/D5156,0)</f>
        <v>10.21875</v>
      </c>
    </row>
    <row r="5157" customFormat="false" ht="15" hidden="false" customHeight="false" outlineLevel="0" collapsed="false">
      <c r="A5157" s="28" t="n">
        <v>2025</v>
      </c>
      <c r="B5157" s="28" t="s">
        <v>114</v>
      </c>
      <c r="C5157" s="28" t="s">
        <v>54</v>
      </c>
      <c r="D5157" s="28" t="n">
        <v>11</v>
      </c>
      <c r="E5157" s="29" t="n">
        <v>4956900</v>
      </c>
      <c r="F5157" s="30" t="n">
        <v>113.99</v>
      </c>
      <c r="G5157" s="31" t="n">
        <f aca="false">IFERROR(F5157/D5157,0)</f>
        <v>10.3627272727273</v>
      </c>
    </row>
    <row r="5158" customFormat="false" ht="15" hidden="false" customHeight="false" outlineLevel="0" collapsed="false">
      <c r="A5158" s="28" t="n">
        <v>2025</v>
      </c>
      <c r="B5158" s="28" t="s">
        <v>114</v>
      </c>
      <c r="C5158" s="28" t="s">
        <v>44</v>
      </c>
      <c r="D5158" s="28" t="n">
        <v>61</v>
      </c>
      <c r="E5158" s="29" t="n">
        <v>52641300</v>
      </c>
      <c r="F5158" s="30" t="n">
        <v>571.317</v>
      </c>
      <c r="G5158" s="31" t="n">
        <f aca="false">IFERROR(F5158/D5158,0)</f>
        <v>9.36585245901639</v>
      </c>
    </row>
    <row r="5159" customFormat="false" ht="15" hidden="false" customHeight="false" outlineLevel="0" collapsed="false">
      <c r="A5159" s="28" t="n">
        <v>2025</v>
      </c>
      <c r="B5159" s="28" t="s">
        <v>114</v>
      </c>
      <c r="C5159" s="28" t="s">
        <v>57</v>
      </c>
      <c r="D5159" s="28" t="n">
        <v>5</v>
      </c>
      <c r="E5159" s="29" t="n">
        <v>508000</v>
      </c>
      <c r="F5159" s="30" t="n">
        <v>56.209</v>
      </c>
      <c r="G5159" s="31" t="n">
        <f aca="false">IFERROR(F5159/D5159,0)</f>
        <v>11.2418</v>
      </c>
    </row>
    <row r="5160" customFormat="false" ht="15" hidden="false" customHeight="false" outlineLevel="0" collapsed="false">
      <c r="A5160" s="28" t="n">
        <v>2025</v>
      </c>
      <c r="B5160" s="28" t="s">
        <v>114</v>
      </c>
      <c r="C5160" s="28" t="s">
        <v>47</v>
      </c>
      <c r="D5160" s="28" t="n">
        <v>26</v>
      </c>
      <c r="E5160" s="29" t="n">
        <v>18359800</v>
      </c>
      <c r="F5160" s="30" t="n">
        <v>240</v>
      </c>
      <c r="G5160" s="31" t="n">
        <f aca="false">IFERROR(F5160/D5160,0)</f>
        <v>9.23076923076923</v>
      </c>
    </row>
    <row r="5161" customFormat="false" ht="15" hidden="false" customHeight="false" outlineLevel="0" collapsed="false">
      <c r="A5161" s="28" t="n">
        <v>2025</v>
      </c>
      <c r="B5161" s="28" t="s">
        <v>114</v>
      </c>
      <c r="C5161" s="28" t="s">
        <v>58</v>
      </c>
      <c r="D5161" s="28" t="n">
        <v>10</v>
      </c>
      <c r="E5161" s="29" t="n">
        <v>10251800</v>
      </c>
      <c r="F5161" s="30" t="n">
        <v>96.74</v>
      </c>
      <c r="G5161" s="31" t="n">
        <f aca="false">IFERROR(F5161/D5161,0)</f>
        <v>9.674</v>
      </c>
    </row>
    <row r="5162" customFormat="false" ht="15" hidden="false" customHeight="false" outlineLevel="0" collapsed="false">
      <c r="A5162" s="28" t="n">
        <v>2025</v>
      </c>
      <c r="B5162" s="28" t="s">
        <v>114</v>
      </c>
      <c r="C5162" s="28" t="s">
        <v>46</v>
      </c>
      <c r="D5162" s="28" t="n">
        <v>40</v>
      </c>
      <c r="E5162" s="29" t="n">
        <v>16170200</v>
      </c>
      <c r="F5162" s="30" t="n">
        <v>386.51</v>
      </c>
      <c r="G5162" s="31" t="n">
        <f aca="false">IFERROR(F5162/D5162,0)</f>
        <v>9.66275</v>
      </c>
    </row>
    <row r="5163" customFormat="false" ht="15" hidden="false" customHeight="false" outlineLevel="0" collapsed="false">
      <c r="A5163" s="28" t="n">
        <v>2025</v>
      </c>
      <c r="B5163" s="28" t="s">
        <v>114</v>
      </c>
      <c r="C5163" s="28" t="s">
        <v>48</v>
      </c>
      <c r="D5163" s="28" t="n">
        <v>33</v>
      </c>
      <c r="E5163" s="29" t="n">
        <v>15084400</v>
      </c>
      <c r="F5163" s="30" t="n">
        <v>304.2</v>
      </c>
      <c r="G5163" s="31" t="n">
        <f aca="false">IFERROR(F5163/D5163,0)</f>
        <v>9.21818181818182</v>
      </c>
    </row>
    <row r="5164" customFormat="false" ht="15" hidden="false" customHeight="false" outlineLevel="0" collapsed="false">
      <c r="A5164" s="28" t="n">
        <v>2025</v>
      </c>
      <c r="B5164" s="28" t="s">
        <v>114</v>
      </c>
      <c r="C5164" s="28" t="s">
        <v>53</v>
      </c>
      <c r="D5164" s="28" t="n">
        <v>10</v>
      </c>
      <c r="E5164" s="29" t="n">
        <v>6590900</v>
      </c>
      <c r="F5164" s="30" t="n">
        <v>101</v>
      </c>
      <c r="G5164" s="31" t="n">
        <f aca="false">IFERROR(F5164/D5164,0)</f>
        <v>10.1</v>
      </c>
    </row>
    <row r="5165" customFormat="false" ht="15" hidden="false" customHeight="false" outlineLevel="0" collapsed="false">
      <c r="A5165" s="28" t="n">
        <v>2025</v>
      </c>
      <c r="B5165" s="28" t="s">
        <v>114</v>
      </c>
      <c r="C5165" s="28" t="s">
        <v>43</v>
      </c>
      <c r="D5165" s="28" t="n">
        <v>47</v>
      </c>
      <c r="E5165" s="29" t="n">
        <v>31148700</v>
      </c>
      <c r="F5165" s="30" t="n">
        <v>439.508</v>
      </c>
      <c r="G5165" s="31" t="n">
        <f aca="false">IFERROR(F5165/D5165,0)</f>
        <v>9.35123404255319</v>
      </c>
    </row>
    <row r="5166" customFormat="false" ht="15" hidden="false" customHeight="false" outlineLevel="0" collapsed="false">
      <c r="A5166" s="28" t="n">
        <v>2025</v>
      </c>
      <c r="B5166" s="28" t="s">
        <v>114</v>
      </c>
      <c r="C5166" s="28" t="s">
        <v>52</v>
      </c>
      <c r="D5166" s="28" t="n">
        <v>9</v>
      </c>
      <c r="E5166" s="29" t="n">
        <v>2988400</v>
      </c>
      <c r="F5166" s="30" t="n">
        <v>87.25</v>
      </c>
      <c r="G5166" s="31" t="n">
        <f aca="false">IFERROR(F5166/D5166,0)</f>
        <v>9.69444444444445</v>
      </c>
    </row>
    <row r="5167" customFormat="false" ht="15" hidden="false" customHeight="false" outlineLevel="0" collapsed="false">
      <c r="A5167" s="28" t="n">
        <v>2025</v>
      </c>
      <c r="B5167" s="28" t="s">
        <v>114</v>
      </c>
      <c r="C5167" s="28" t="s">
        <v>60</v>
      </c>
      <c r="D5167" s="28" t="n">
        <v>1</v>
      </c>
      <c r="E5167" s="29" t="n">
        <v>335000</v>
      </c>
      <c r="F5167" s="30" t="n">
        <v>8.683</v>
      </c>
      <c r="G5167" s="31" t="n">
        <f aca="false">IFERROR(F5167/D5167,0)</f>
        <v>8.683</v>
      </c>
    </row>
    <row r="5168" customFormat="false" ht="15" hidden="false" customHeight="false" outlineLevel="0" collapsed="false">
      <c r="A5168" s="28" t="n">
        <v>2025</v>
      </c>
      <c r="B5168" s="28" t="s">
        <v>114</v>
      </c>
      <c r="C5168" s="28" t="s">
        <v>49</v>
      </c>
      <c r="D5168" s="28" t="n">
        <v>10</v>
      </c>
      <c r="E5168" s="29" t="n">
        <v>2375300</v>
      </c>
      <c r="F5168" s="30" t="n">
        <v>100</v>
      </c>
      <c r="G5168" s="31" t="n">
        <f aca="false">IFERROR(F5168/D5168,0)</f>
        <v>10</v>
      </c>
    </row>
    <row r="5169" customFormat="false" ht="15" hidden="false" customHeight="false" outlineLevel="0" collapsed="false">
      <c r="A5169" s="28" t="n">
        <v>2025</v>
      </c>
      <c r="B5169" s="28" t="s">
        <v>108</v>
      </c>
      <c r="C5169" s="28" t="s">
        <v>42</v>
      </c>
      <c r="D5169" s="28" t="n">
        <v>116</v>
      </c>
      <c r="E5169" s="29" t="n">
        <v>52521500</v>
      </c>
      <c r="F5169" s="30" t="n">
        <v>1209.67</v>
      </c>
      <c r="G5169" s="31" t="n">
        <f aca="false">IFERROR(F5169/D5169,0)</f>
        <v>10.4281896551724</v>
      </c>
    </row>
    <row r="5170" customFormat="false" ht="15" hidden="false" customHeight="false" outlineLevel="0" collapsed="false">
      <c r="A5170" s="28" t="n">
        <v>2025</v>
      </c>
      <c r="B5170" s="28" t="s">
        <v>108</v>
      </c>
      <c r="C5170" s="28" t="s">
        <v>50</v>
      </c>
      <c r="D5170" s="28" t="n">
        <v>54</v>
      </c>
      <c r="E5170" s="29" t="n">
        <v>15704900</v>
      </c>
      <c r="F5170" s="30" t="n">
        <v>582.2</v>
      </c>
      <c r="G5170" s="31" t="n">
        <f aca="false">IFERROR(F5170/D5170,0)</f>
        <v>10.7814814814815</v>
      </c>
    </row>
    <row r="5171" customFormat="false" ht="15" hidden="false" customHeight="false" outlineLevel="0" collapsed="false">
      <c r="A5171" s="28" t="n">
        <v>2025</v>
      </c>
      <c r="B5171" s="28" t="s">
        <v>108</v>
      </c>
      <c r="C5171" s="28" t="s">
        <v>55</v>
      </c>
      <c r="D5171" s="28" t="n">
        <v>26</v>
      </c>
      <c r="E5171" s="29" t="n">
        <v>5639400</v>
      </c>
      <c r="F5171" s="30" t="n">
        <v>298.97</v>
      </c>
      <c r="G5171" s="31" t="n">
        <f aca="false">IFERROR(F5171/D5171,0)</f>
        <v>11.4988461538462</v>
      </c>
    </row>
    <row r="5172" customFormat="false" ht="15" hidden="false" customHeight="false" outlineLevel="0" collapsed="false">
      <c r="A5172" s="28" t="n">
        <v>2025</v>
      </c>
      <c r="B5172" s="28" t="s">
        <v>108</v>
      </c>
      <c r="C5172" s="28" t="s">
        <v>51</v>
      </c>
      <c r="D5172" s="28" t="n">
        <v>40</v>
      </c>
      <c r="E5172" s="29" t="n">
        <v>17542200</v>
      </c>
      <c r="F5172" s="30" t="n">
        <v>422.89</v>
      </c>
      <c r="G5172" s="31" t="n">
        <f aca="false">IFERROR(F5172/D5172,0)</f>
        <v>10.57225</v>
      </c>
    </row>
    <row r="5173" customFormat="false" ht="15" hidden="false" customHeight="false" outlineLevel="0" collapsed="false">
      <c r="A5173" s="28" t="n">
        <v>2025</v>
      </c>
      <c r="B5173" s="28" t="s">
        <v>108</v>
      </c>
      <c r="C5173" s="28" t="s">
        <v>45</v>
      </c>
      <c r="D5173" s="28" t="n">
        <v>198</v>
      </c>
      <c r="E5173" s="29" t="n">
        <v>55733100</v>
      </c>
      <c r="F5173" s="30" t="n">
        <v>2189.9</v>
      </c>
      <c r="G5173" s="31" t="n">
        <f aca="false">IFERROR(F5173/D5173,0)</f>
        <v>11.060101010101</v>
      </c>
    </row>
    <row r="5174" customFormat="false" ht="15" hidden="false" customHeight="false" outlineLevel="0" collapsed="false">
      <c r="A5174" s="28" t="n">
        <v>2025</v>
      </c>
      <c r="B5174" s="28" t="s">
        <v>108</v>
      </c>
      <c r="C5174" s="28" t="s">
        <v>56</v>
      </c>
      <c r="D5174" s="28" t="n">
        <v>18</v>
      </c>
      <c r="E5174" s="29" t="n">
        <v>9472100</v>
      </c>
      <c r="F5174" s="30" t="n">
        <v>182.87</v>
      </c>
      <c r="G5174" s="31" t="n">
        <f aca="false">IFERROR(F5174/D5174,0)</f>
        <v>10.1594444444444</v>
      </c>
    </row>
    <row r="5175" customFormat="false" ht="15" hidden="false" customHeight="false" outlineLevel="0" collapsed="false">
      <c r="A5175" s="28" t="n">
        <v>2025</v>
      </c>
      <c r="B5175" s="28" t="s">
        <v>108</v>
      </c>
      <c r="C5175" s="28" t="s">
        <v>54</v>
      </c>
      <c r="D5175" s="28" t="n">
        <v>18</v>
      </c>
      <c r="E5175" s="29" t="n">
        <v>12582500</v>
      </c>
      <c r="F5175" s="30" t="n">
        <v>182.17</v>
      </c>
      <c r="G5175" s="31" t="n">
        <f aca="false">IFERROR(F5175/D5175,0)</f>
        <v>10.1205555555556</v>
      </c>
    </row>
    <row r="5176" customFormat="false" ht="15" hidden="false" customHeight="false" outlineLevel="0" collapsed="false">
      <c r="A5176" s="28" t="n">
        <v>2025</v>
      </c>
      <c r="B5176" s="28" t="s">
        <v>108</v>
      </c>
      <c r="C5176" s="28" t="s">
        <v>44</v>
      </c>
      <c r="D5176" s="28" t="n">
        <v>91</v>
      </c>
      <c r="E5176" s="29" t="n">
        <v>41461700</v>
      </c>
      <c r="F5176" s="30" t="n">
        <v>928.365</v>
      </c>
      <c r="G5176" s="31" t="n">
        <f aca="false">IFERROR(F5176/D5176,0)</f>
        <v>10.2018131868132</v>
      </c>
    </row>
    <row r="5177" customFormat="false" ht="15" hidden="false" customHeight="false" outlineLevel="0" collapsed="false">
      <c r="A5177" s="28" t="n">
        <v>2025</v>
      </c>
      <c r="B5177" s="28" t="s">
        <v>108</v>
      </c>
      <c r="C5177" s="28" t="s">
        <v>57</v>
      </c>
      <c r="D5177" s="28" t="n">
        <v>9</v>
      </c>
      <c r="E5177" s="29" t="n">
        <v>2346700</v>
      </c>
      <c r="F5177" s="30" t="n">
        <v>100.49</v>
      </c>
      <c r="G5177" s="31" t="n">
        <f aca="false">IFERROR(F5177/D5177,0)</f>
        <v>11.1655555555556</v>
      </c>
    </row>
    <row r="5178" customFormat="false" ht="15" hidden="false" customHeight="false" outlineLevel="0" collapsed="false">
      <c r="A5178" s="28" t="n">
        <v>2025</v>
      </c>
      <c r="B5178" s="28" t="s">
        <v>108</v>
      </c>
      <c r="C5178" s="28" t="s">
        <v>47</v>
      </c>
      <c r="D5178" s="28" t="n">
        <v>73</v>
      </c>
      <c r="E5178" s="29" t="n">
        <v>38426100</v>
      </c>
      <c r="F5178" s="30" t="n">
        <v>766.595</v>
      </c>
      <c r="G5178" s="31" t="n">
        <f aca="false">IFERROR(F5178/D5178,0)</f>
        <v>10.501301369863</v>
      </c>
    </row>
    <row r="5179" customFormat="false" ht="15" hidden="false" customHeight="false" outlineLevel="0" collapsed="false">
      <c r="A5179" s="28" t="n">
        <v>2025</v>
      </c>
      <c r="B5179" s="28" t="s">
        <v>108</v>
      </c>
      <c r="C5179" s="28" t="s">
        <v>58</v>
      </c>
      <c r="D5179" s="28" t="n">
        <v>2</v>
      </c>
      <c r="E5179" s="29" t="n">
        <v>5650000</v>
      </c>
      <c r="F5179" s="30" t="n">
        <v>19</v>
      </c>
      <c r="G5179" s="31" t="n">
        <f aca="false">IFERROR(F5179/D5179,0)</f>
        <v>9.5</v>
      </c>
    </row>
    <row r="5180" customFormat="false" ht="15" hidden="false" customHeight="false" outlineLevel="0" collapsed="false">
      <c r="A5180" s="28" t="n">
        <v>2025</v>
      </c>
      <c r="B5180" s="28" t="s">
        <v>108</v>
      </c>
      <c r="C5180" s="28" t="s">
        <v>46</v>
      </c>
      <c r="D5180" s="28" t="n">
        <v>110</v>
      </c>
      <c r="E5180" s="29" t="n">
        <v>33381900</v>
      </c>
      <c r="F5180" s="30" t="n">
        <v>1212.14</v>
      </c>
      <c r="G5180" s="31" t="n">
        <f aca="false">IFERROR(F5180/D5180,0)</f>
        <v>11.0194545454545</v>
      </c>
    </row>
    <row r="5181" customFormat="false" ht="15" hidden="false" customHeight="false" outlineLevel="0" collapsed="false">
      <c r="A5181" s="28" t="n">
        <v>2025</v>
      </c>
      <c r="B5181" s="28" t="s">
        <v>108</v>
      </c>
      <c r="C5181" s="28" t="s">
        <v>48</v>
      </c>
      <c r="D5181" s="28" t="n">
        <v>100</v>
      </c>
      <c r="E5181" s="29" t="n">
        <v>37374300</v>
      </c>
      <c r="F5181" s="30" t="n">
        <v>1064.49</v>
      </c>
      <c r="G5181" s="31" t="n">
        <f aca="false">IFERROR(F5181/D5181,0)</f>
        <v>10.6449</v>
      </c>
    </row>
    <row r="5182" customFormat="false" ht="15" hidden="false" customHeight="false" outlineLevel="0" collapsed="false">
      <c r="A5182" s="28" t="n">
        <v>2025</v>
      </c>
      <c r="B5182" s="28" t="s">
        <v>108</v>
      </c>
      <c r="C5182" s="28" t="s">
        <v>53</v>
      </c>
      <c r="D5182" s="28" t="n">
        <v>30</v>
      </c>
      <c r="E5182" s="29" t="n">
        <v>15171600</v>
      </c>
      <c r="F5182" s="30" t="n">
        <v>314.65</v>
      </c>
      <c r="G5182" s="31" t="n">
        <f aca="false">IFERROR(F5182/D5182,0)</f>
        <v>10.4883333333333</v>
      </c>
    </row>
    <row r="5183" customFormat="false" ht="15" hidden="false" customHeight="false" outlineLevel="0" collapsed="false">
      <c r="A5183" s="28" t="n">
        <v>2025</v>
      </c>
      <c r="B5183" s="28" t="s">
        <v>108</v>
      </c>
      <c r="C5183" s="28" t="s">
        <v>43</v>
      </c>
      <c r="D5183" s="28" t="n">
        <v>121</v>
      </c>
      <c r="E5183" s="29" t="n">
        <v>88731300</v>
      </c>
      <c r="F5183" s="30" t="n">
        <v>1263.77</v>
      </c>
      <c r="G5183" s="31" t="n">
        <f aca="false">IFERROR(F5183/D5183,0)</f>
        <v>10.4443801652893</v>
      </c>
    </row>
    <row r="5184" customFormat="false" ht="15" hidden="false" customHeight="false" outlineLevel="0" collapsed="false">
      <c r="A5184" s="28" t="n">
        <v>2025</v>
      </c>
      <c r="B5184" s="28" t="s">
        <v>108</v>
      </c>
      <c r="C5184" s="28" t="s">
        <v>52</v>
      </c>
      <c r="D5184" s="28" t="n">
        <v>39</v>
      </c>
      <c r="E5184" s="29" t="n">
        <v>10977300</v>
      </c>
      <c r="F5184" s="30" t="n">
        <v>433.24</v>
      </c>
      <c r="G5184" s="31" t="n">
        <f aca="false">IFERROR(F5184/D5184,0)</f>
        <v>11.1087179487179</v>
      </c>
    </row>
    <row r="5185" customFormat="false" ht="15" hidden="false" customHeight="false" outlineLevel="0" collapsed="false">
      <c r="A5185" s="28" t="n">
        <v>2025</v>
      </c>
      <c r="B5185" s="28" t="s">
        <v>108</v>
      </c>
      <c r="C5185" s="28" t="s">
        <v>60</v>
      </c>
      <c r="D5185" s="28" t="n">
        <v>1</v>
      </c>
      <c r="E5185" s="29" t="n">
        <v>2581000</v>
      </c>
      <c r="F5185" s="30" t="n">
        <v>7.25</v>
      </c>
      <c r="G5185" s="31" t="n">
        <f aca="false">IFERROR(F5185/D5185,0)</f>
        <v>7.25</v>
      </c>
    </row>
    <row r="5186" customFormat="false" ht="15" hidden="false" customHeight="false" outlineLevel="0" collapsed="false">
      <c r="A5186" s="28" t="n">
        <v>2025</v>
      </c>
      <c r="B5186" s="28" t="s">
        <v>108</v>
      </c>
      <c r="C5186" s="28" t="s">
        <v>49</v>
      </c>
      <c r="D5186" s="28" t="n">
        <v>29</v>
      </c>
      <c r="E5186" s="29" t="n">
        <v>7719200</v>
      </c>
      <c r="F5186" s="30" t="n">
        <v>310.17</v>
      </c>
      <c r="G5186" s="31" t="n">
        <f aca="false">IFERROR(F5186/D5186,0)</f>
        <v>10.6955172413793</v>
      </c>
    </row>
    <row r="5187" customFormat="false" ht="15" hidden="false" customHeight="false" outlineLevel="0" collapsed="false">
      <c r="A5187" s="28" t="n">
        <v>2025</v>
      </c>
      <c r="B5187" s="28" t="s">
        <v>93</v>
      </c>
      <c r="C5187" s="28" t="s">
        <v>42</v>
      </c>
      <c r="D5187" s="28" t="n">
        <v>267</v>
      </c>
      <c r="E5187" s="29" t="n">
        <v>136003100</v>
      </c>
      <c r="F5187" s="30" t="n">
        <v>2698.06</v>
      </c>
      <c r="G5187" s="31" t="n">
        <f aca="false">IFERROR(F5187/D5187,0)</f>
        <v>10.1050936329588</v>
      </c>
    </row>
    <row r="5188" customFormat="false" ht="15" hidden="false" customHeight="false" outlineLevel="0" collapsed="false">
      <c r="A5188" s="28" t="n">
        <v>2025</v>
      </c>
      <c r="B5188" s="28" t="s">
        <v>93</v>
      </c>
      <c r="C5188" s="28" t="s">
        <v>50</v>
      </c>
      <c r="D5188" s="28" t="n">
        <v>157</v>
      </c>
      <c r="E5188" s="29" t="n">
        <v>46128100</v>
      </c>
      <c r="F5188" s="30" t="n">
        <v>1610.78</v>
      </c>
      <c r="G5188" s="31" t="n">
        <f aca="false">IFERROR(F5188/D5188,0)</f>
        <v>10.2597452229299</v>
      </c>
    </row>
    <row r="5189" customFormat="false" ht="15" hidden="false" customHeight="false" outlineLevel="0" collapsed="false">
      <c r="A5189" s="28" t="n">
        <v>2025</v>
      </c>
      <c r="B5189" s="28" t="s">
        <v>93</v>
      </c>
      <c r="C5189" s="28" t="s">
        <v>55</v>
      </c>
      <c r="D5189" s="28" t="n">
        <v>18</v>
      </c>
      <c r="E5189" s="29" t="n">
        <v>2058200</v>
      </c>
      <c r="F5189" s="30" t="n">
        <v>204.25</v>
      </c>
      <c r="G5189" s="31" t="n">
        <f aca="false">IFERROR(F5189/D5189,0)</f>
        <v>11.3472222222222</v>
      </c>
    </row>
    <row r="5190" customFormat="false" ht="15" hidden="false" customHeight="false" outlineLevel="0" collapsed="false">
      <c r="A5190" s="28" t="n">
        <v>2025</v>
      </c>
      <c r="B5190" s="28" t="s">
        <v>93</v>
      </c>
      <c r="C5190" s="28" t="s">
        <v>51</v>
      </c>
      <c r="D5190" s="28" t="n">
        <v>116</v>
      </c>
      <c r="E5190" s="29" t="n">
        <v>56787300</v>
      </c>
      <c r="F5190" s="30" t="n">
        <v>1197.23</v>
      </c>
      <c r="G5190" s="31" t="n">
        <f aca="false">IFERROR(F5190/D5190,0)</f>
        <v>10.3209482758621</v>
      </c>
    </row>
    <row r="5191" customFormat="false" ht="15" hidden="false" customHeight="false" outlineLevel="0" collapsed="false">
      <c r="A5191" s="28" t="n">
        <v>2025</v>
      </c>
      <c r="B5191" s="28" t="s">
        <v>93</v>
      </c>
      <c r="C5191" s="28" t="s">
        <v>45</v>
      </c>
      <c r="D5191" s="28" t="n">
        <v>331</v>
      </c>
      <c r="E5191" s="29" t="n">
        <v>124916300</v>
      </c>
      <c r="F5191" s="30" t="n">
        <v>3482.44</v>
      </c>
      <c r="G5191" s="31" t="n">
        <f aca="false">IFERROR(F5191/D5191,0)</f>
        <v>10.5209667673716</v>
      </c>
    </row>
    <row r="5192" customFormat="false" ht="15" hidden="false" customHeight="false" outlineLevel="0" collapsed="false">
      <c r="A5192" s="28" t="n">
        <v>2025</v>
      </c>
      <c r="B5192" s="28" t="s">
        <v>93</v>
      </c>
      <c r="C5192" s="28" t="s">
        <v>56</v>
      </c>
      <c r="D5192" s="28" t="n">
        <v>25</v>
      </c>
      <c r="E5192" s="29" t="n">
        <v>4066700</v>
      </c>
      <c r="F5192" s="30" t="n">
        <v>279.12</v>
      </c>
      <c r="G5192" s="31" t="n">
        <f aca="false">IFERROR(F5192/D5192,0)</f>
        <v>11.1648</v>
      </c>
    </row>
    <row r="5193" customFormat="false" ht="15" hidden="false" customHeight="false" outlineLevel="0" collapsed="false">
      <c r="A5193" s="28" t="n">
        <v>2025</v>
      </c>
      <c r="B5193" s="28" t="s">
        <v>93</v>
      </c>
      <c r="C5193" s="28" t="s">
        <v>54</v>
      </c>
      <c r="D5193" s="28" t="n">
        <v>40</v>
      </c>
      <c r="E5193" s="29" t="n">
        <v>19523800</v>
      </c>
      <c r="F5193" s="30" t="n">
        <v>403.42</v>
      </c>
      <c r="G5193" s="31" t="n">
        <f aca="false">IFERROR(F5193/D5193,0)</f>
        <v>10.0855</v>
      </c>
    </row>
    <row r="5194" customFormat="false" ht="15" hidden="false" customHeight="false" outlineLevel="0" collapsed="false">
      <c r="A5194" s="28" t="n">
        <v>2025</v>
      </c>
      <c r="B5194" s="28" t="s">
        <v>93</v>
      </c>
      <c r="C5194" s="28" t="s">
        <v>44</v>
      </c>
      <c r="D5194" s="28" t="n">
        <v>221</v>
      </c>
      <c r="E5194" s="29" t="n">
        <v>118215500</v>
      </c>
      <c r="F5194" s="30" t="n">
        <v>2268.31</v>
      </c>
      <c r="G5194" s="31" t="n">
        <f aca="false">IFERROR(F5194/D5194,0)</f>
        <v>10.2638461538462</v>
      </c>
    </row>
    <row r="5195" customFormat="false" ht="15" hidden="false" customHeight="false" outlineLevel="0" collapsed="false">
      <c r="A5195" s="28" t="n">
        <v>2025</v>
      </c>
      <c r="B5195" s="28" t="s">
        <v>93</v>
      </c>
      <c r="C5195" s="28" t="s">
        <v>57</v>
      </c>
      <c r="D5195" s="28" t="n">
        <v>15</v>
      </c>
      <c r="E5195" s="29" t="n">
        <v>9028200</v>
      </c>
      <c r="F5195" s="30" t="n">
        <v>160.8</v>
      </c>
      <c r="G5195" s="31" t="n">
        <f aca="false">IFERROR(F5195/D5195,0)</f>
        <v>10.72</v>
      </c>
    </row>
    <row r="5196" customFormat="false" ht="15" hidden="false" customHeight="false" outlineLevel="0" collapsed="false">
      <c r="A5196" s="28" t="n">
        <v>2025</v>
      </c>
      <c r="B5196" s="28" t="s">
        <v>93</v>
      </c>
      <c r="C5196" s="28" t="s">
        <v>59</v>
      </c>
      <c r="D5196" s="28" t="n">
        <v>2</v>
      </c>
      <c r="E5196" s="29" t="n">
        <v>1290000</v>
      </c>
      <c r="F5196" s="30" t="n">
        <v>15.44</v>
      </c>
      <c r="G5196" s="31" t="n">
        <f aca="false">IFERROR(F5196/D5196,0)</f>
        <v>7.72</v>
      </c>
    </row>
    <row r="5197" customFormat="false" ht="15" hidden="false" customHeight="false" outlineLevel="0" collapsed="false">
      <c r="A5197" s="28" t="n">
        <v>2025</v>
      </c>
      <c r="B5197" s="28" t="s">
        <v>93</v>
      </c>
      <c r="C5197" s="28" t="s">
        <v>47</v>
      </c>
      <c r="D5197" s="28" t="n">
        <v>156</v>
      </c>
      <c r="E5197" s="29" t="n">
        <v>128279600</v>
      </c>
      <c r="F5197" s="30" t="n">
        <v>1560.26</v>
      </c>
      <c r="G5197" s="31" t="n">
        <f aca="false">IFERROR(F5197/D5197,0)</f>
        <v>10.0016666666667</v>
      </c>
    </row>
    <row r="5198" customFormat="false" ht="15" hidden="false" customHeight="false" outlineLevel="0" collapsed="false">
      <c r="A5198" s="28" t="n">
        <v>2025</v>
      </c>
      <c r="B5198" s="28" t="s">
        <v>93</v>
      </c>
      <c r="C5198" s="28" t="s">
        <v>58</v>
      </c>
      <c r="D5198" s="28" t="n">
        <v>3</v>
      </c>
      <c r="E5198" s="29" t="n">
        <v>478500</v>
      </c>
      <c r="F5198" s="30" t="n">
        <v>31.25</v>
      </c>
      <c r="G5198" s="31" t="n">
        <f aca="false">IFERROR(F5198/D5198,0)</f>
        <v>10.4166666666667</v>
      </c>
    </row>
    <row r="5199" customFormat="false" ht="15" hidden="false" customHeight="false" outlineLevel="0" collapsed="false">
      <c r="A5199" s="28" t="n">
        <v>2025</v>
      </c>
      <c r="B5199" s="28" t="s">
        <v>93</v>
      </c>
      <c r="C5199" s="28" t="s">
        <v>46</v>
      </c>
      <c r="D5199" s="28" t="n">
        <v>251</v>
      </c>
      <c r="E5199" s="29" t="n">
        <v>103519200</v>
      </c>
      <c r="F5199" s="30" t="n">
        <v>2567.63</v>
      </c>
      <c r="G5199" s="31" t="n">
        <f aca="false">IFERROR(F5199/D5199,0)</f>
        <v>10.2296015936255</v>
      </c>
    </row>
    <row r="5200" customFormat="false" ht="15" hidden="false" customHeight="false" outlineLevel="0" collapsed="false">
      <c r="A5200" s="28" t="n">
        <v>2025</v>
      </c>
      <c r="B5200" s="28" t="s">
        <v>93</v>
      </c>
      <c r="C5200" s="28" t="s">
        <v>48</v>
      </c>
      <c r="D5200" s="28" t="n">
        <v>197</v>
      </c>
      <c r="E5200" s="29" t="n">
        <v>116654100</v>
      </c>
      <c r="F5200" s="30" t="n">
        <v>2045.61</v>
      </c>
      <c r="G5200" s="31" t="n">
        <f aca="false">IFERROR(F5200/D5200,0)</f>
        <v>10.383807106599</v>
      </c>
    </row>
    <row r="5201" customFormat="false" ht="15" hidden="false" customHeight="false" outlineLevel="0" collapsed="false">
      <c r="A5201" s="28" t="n">
        <v>2025</v>
      </c>
      <c r="B5201" s="28" t="s">
        <v>93</v>
      </c>
      <c r="C5201" s="28" t="s">
        <v>61</v>
      </c>
      <c r="D5201" s="28" t="n">
        <v>2</v>
      </c>
      <c r="E5201" s="29" t="n">
        <v>151000</v>
      </c>
      <c r="F5201" s="30" t="n">
        <v>21</v>
      </c>
      <c r="G5201" s="31" t="n">
        <f aca="false">IFERROR(F5201/D5201,0)</f>
        <v>10.5</v>
      </c>
    </row>
    <row r="5202" customFormat="false" ht="15" hidden="false" customHeight="false" outlineLevel="0" collapsed="false">
      <c r="A5202" s="28" t="n">
        <v>2025</v>
      </c>
      <c r="B5202" s="28" t="s">
        <v>93</v>
      </c>
      <c r="C5202" s="28" t="s">
        <v>53</v>
      </c>
      <c r="D5202" s="28" t="n">
        <v>32</v>
      </c>
      <c r="E5202" s="29" t="n">
        <v>9499300</v>
      </c>
      <c r="F5202" s="30" t="n">
        <v>347.45</v>
      </c>
      <c r="G5202" s="31" t="n">
        <f aca="false">IFERROR(F5202/D5202,0)</f>
        <v>10.8578125</v>
      </c>
    </row>
    <row r="5203" customFormat="false" ht="15" hidden="false" customHeight="false" outlineLevel="0" collapsed="false">
      <c r="A5203" s="28" t="n">
        <v>2025</v>
      </c>
      <c r="B5203" s="28" t="s">
        <v>93</v>
      </c>
      <c r="C5203" s="28" t="s">
        <v>43</v>
      </c>
      <c r="D5203" s="28" t="n">
        <v>221</v>
      </c>
      <c r="E5203" s="29" t="n">
        <v>100124300</v>
      </c>
      <c r="F5203" s="30" t="n">
        <v>2349.57</v>
      </c>
      <c r="G5203" s="31" t="n">
        <f aca="false">IFERROR(F5203/D5203,0)</f>
        <v>10.6315384615385</v>
      </c>
    </row>
    <row r="5204" customFormat="false" ht="15" hidden="false" customHeight="false" outlineLevel="0" collapsed="false">
      <c r="A5204" s="28" t="n">
        <v>2025</v>
      </c>
      <c r="B5204" s="28" t="s">
        <v>93</v>
      </c>
      <c r="C5204" s="28" t="s">
        <v>52</v>
      </c>
      <c r="D5204" s="28" t="n">
        <v>123</v>
      </c>
      <c r="E5204" s="29" t="n">
        <v>34522100</v>
      </c>
      <c r="F5204" s="30" t="n">
        <v>1270.195</v>
      </c>
      <c r="G5204" s="31" t="n">
        <f aca="false">IFERROR(F5204/D5204,0)</f>
        <v>10.3267886178862</v>
      </c>
    </row>
    <row r="5205" customFormat="false" ht="15" hidden="false" customHeight="false" outlineLevel="0" collapsed="false">
      <c r="A5205" s="28" t="n">
        <v>2025</v>
      </c>
      <c r="B5205" s="28" t="s">
        <v>93</v>
      </c>
      <c r="C5205" s="28" t="s">
        <v>60</v>
      </c>
      <c r="D5205" s="28" t="n">
        <v>2</v>
      </c>
      <c r="E5205" s="29" t="n">
        <v>578000</v>
      </c>
      <c r="F5205" s="30" t="n">
        <v>20</v>
      </c>
      <c r="G5205" s="31" t="n">
        <f aca="false">IFERROR(F5205/D5205,0)</f>
        <v>10</v>
      </c>
    </row>
    <row r="5206" customFormat="false" ht="15" hidden="false" customHeight="false" outlineLevel="0" collapsed="false">
      <c r="A5206" s="28" t="n">
        <v>2025</v>
      </c>
      <c r="B5206" s="28" t="s">
        <v>93</v>
      </c>
      <c r="C5206" s="28" t="s">
        <v>49</v>
      </c>
      <c r="D5206" s="28" t="n">
        <v>58</v>
      </c>
      <c r="E5206" s="29" t="n">
        <v>39001400</v>
      </c>
      <c r="F5206" s="30" t="n">
        <v>599.58</v>
      </c>
      <c r="G5206" s="31" t="n">
        <f aca="false">IFERROR(F5206/D5206,0)</f>
        <v>10.3375862068966</v>
      </c>
    </row>
    <row r="5207" customFormat="false" ht="15" hidden="false" customHeight="false" outlineLevel="0" collapsed="false">
      <c r="A5207" s="28" t="n">
        <v>2025</v>
      </c>
      <c r="B5207" s="28" t="s">
        <v>120</v>
      </c>
      <c r="C5207" s="28" t="s">
        <v>42</v>
      </c>
      <c r="D5207" s="28" t="n">
        <v>62</v>
      </c>
      <c r="E5207" s="29" t="n">
        <v>8827700</v>
      </c>
      <c r="F5207" s="30" t="n">
        <v>664.15</v>
      </c>
      <c r="G5207" s="31" t="n">
        <f aca="false">IFERROR(F5207/D5207,0)</f>
        <v>10.7120967741935</v>
      </c>
    </row>
    <row r="5208" customFormat="false" ht="15" hidden="false" customHeight="false" outlineLevel="0" collapsed="false">
      <c r="A5208" s="28" t="n">
        <v>2025</v>
      </c>
      <c r="B5208" s="28" t="s">
        <v>120</v>
      </c>
      <c r="C5208" s="28" t="s">
        <v>50</v>
      </c>
      <c r="D5208" s="28" t="n">
        <v>18</v>
      </c>
      <c r="E5208" s="29" t="n">
        <v>2105900</v>
      </c>
      <c r="F5208" s="30" t="n">
        <v>210.5</v>
      </c>
      <c r="G5208" s="31" t="n">
        <f aca="false">IFERROR(F5208/D5208,0)</f>
        <v>11.6944444444444</v>
      </c>
    </row>
    <row r="5209" customFormat="false" ht="15" hidden="false" customHeight="false" outlineLevel="0" collapsed="false">
      <c r="A5209" s="28" t="n">
        <v>2025</v>
      </c>
      <c r="B5209" s="28" t="s">
        <v>120</v>
      </c>
      <c r="C5209" s="28" t="s">
        <v>55</v>
      </c>
      <c r="D5209" s="28" t="n">
        <v>3</v>
      </c>
      <c r="E5209" s="29" t="n">
        <v>37000</v>
      </c>
      <c r="F5209" s="30" t="n">
        <v>39.75</v>
      </c>
      <c r="G5209" s="31" t="n">
        <f aca="false">IFERROR(F5209/D5209,0)</f>
        <v>13.25</v>
      </c>
    </row>
    <row r="5210" customFormat="false" ht="15" hidden="false" customHeight="false" outlineLevel="0" collapsed="false">
      <c r="A5210" s="28" t="n">
        <v>2025</v>
      </c>
      <c r="B5210" s="28" t="s">
        <v>120</v>
      </c>
      <c r="C5210" s="28" t="s">
        <v>51</v>
      </c>
      <c r="D5210" s="28" t="n">
        <v>11</v>
      </c>
      <c r="E5210" s="29" t="n">
        <v>3444200</v>
      </c>
      <c r="F5210" s="30" t="n">
        <v>122.5</v>
      </c>
      <c r="G5210" s="31" t="n">
        <f aca="false">IFERROR(F5210/D5210,0)</f>
        <v>11.1363636363636</v>
      </c>
    </row>
    <row r="5211" customFormat="false" ht="15" hidden="false" customHeight="false" outlineLevel="0" collapsed="false">
      <c r="A5211" s="28" t="n">
        <v>2025</v>
      </c>
      <c r="B5211" s="28" t="s">
        <v>120</v>
      </c>
      <c r="C5211" s="28" t="s">
        <v>45</v>
      </c>
      <c r="D5211" s="28" t="n">
        <v>43</v>
      </c>
      <c r="E5211" s="29" t="n">
        <v>7360300</v>
      </c>
      <c r="F5211" s="30" t="n">
        <v>490.5</v>
      </c>
      <c r="G5211" s="31" t="n">
        <f aca="false">IFERROR(F5211/D5211,0)</f>
        <v>11.406976744186</v>
      </c>
    </row>
    <row r="5212" customFormat="false" ht="15" hidden="false" customHeight="false" outlineLevel="0" collapsed="false">
      <c r="A5212" s="28" t="n">
        <v>2025</v>
      </c>
      <c r="B5212" s="28" t="s">
        <v>120</v>
      </c>
      <c r="C5212" s="28" t="s">
        <v>56</v>
      </c>
      <c r="D5212" s="28" t="n">
        <v>4</v>
      </c>
      <c r="E5212" s="29" t="n">
        <v>889700</v>
      </c>
      <c r="F5212" s="30" t="n">
        <v>43.75</v>
      </c>
      <c r="G5212" s="31" t="n">
        <f aca="false">IFERROR(F5212/D5212,0)</f>
        <v>10.9375</v>
      </c>
    </row>
    <row r="5213" customFormat="false" ht="15" hidden="false" customHeight="false" outlineLevel="0" collapsed="false">
      <c r="A5213" s="28" t="n">
        <v>2025</v>
      </c>
      <c r="B5213" s="28" t="s">
        <v>120</v>
      </c>
      <c r="C5213" s="28" t="s">
        <v>54</v>
      </c>
      <c r="D5213" s="28" t="n">
        <v>4</v>
      </c>
      <c r="E5213" s="29" t="n">
        <v>260000</v>
      </c>
      <c r="F5213" s="30" t="n">
        <v>42.25</v>
      </c>
      <c r="G5213" s="31" t="n">
        <f aca="false">IFERROR(F5213/D5213,0)</f>
        <v>10.5625</v>
      </c>
    </row>
    <row r="5214" customFormat="false" ht="15" hidden="false" customHeight="false" outlineLevel="0" collapsed="false">
      <c r="A5214" s="28" t="n">
        <v>2025</v>
      </c>
      <c r="B5214" s="28" t="s">
        <v>120</v>
      </c>
      <c r="C5214" s="28" t="s">
        <v>44</v>
      </c>
      <c r="D5214" s="28" t="n">
        <v>140</v>
      </c>
      <c r="E5214" s="29" t="n">
        <v>21828200</v>
      </c>
      <c r="F5214" s="30" t="n">
        <v>1471.7</v>
      </c>
      <c r="G5214" s="31" t="n">
        <f aca="false">IFERROR(F5214/D5214,0)</f>
        <v>10.5121428571429</v>
      </c>
    </row>
    <row r="5215" customFormat="false" ht="15" hidden="false" customHeight="false" outlineLevel="0" collapsed="false">
      <c r="A5215" s="28" t="n">
        <v>2025</v>
      </c>
      <c r="B5215" s="28" t="s">
        <v>120</v>
      </c>
      <c r="C5215" s="28" t="s">
        <v>57</v>
      </c>
      <c r="D5215" s="28" t="n">
        <v>2</v>
      </c>
      <c r="E5215" s="29" t="n">
        <v>335000</v>
      </c>
      <c r="F5215" s="30" t="n">
        <v>23.25</v>
      </c>
      <c r="G5215" s="31" t="n">
        <f aca="false">IFERROR(F5215/D5215,0)</f>
        <v>11.625</v>
      </c>
    </row>
    <row r="5216" customFormat="false" ht="15" hidden="false" customHeight="false" outlineLevel="0" collapsed="false">
      <c r="A5216" s="28" t="n">
        <v>2025</v>
      </c>
      <c r="B5216" s="28" t="s">
        <v>120</v>
      </c>
      <c r="C5216" s="28" t="s">
        <v>47</v>
      </c>
      <c r="D5216" s="28" t="n">
        <v>33</v>
      </c>
      <c r="E5216" s="29" t="n">
        <v>5049900</v>
      </c>
      <c r="F5216" s="30" t="n">
        <v>354.75</v>
      </c>
      <c r="G5216" s="31" t="n">
        <f aca="false">IFERROR(F5216/D5216,0)</f>
        <v>10.75</v>
      </c>
    </row>
    <row r="5217" customFormat="false" ht="15" hidden="false" customHeight="false" outlineLevel="0" collapsed="false">
      <c r="A5217" s="28" t="n">
        <v>2025</v>
      </c>
      <c r="B5217" s="28" t="s">
        <v>120</v>
      </c>
      <c r="C5217" s="28" t="s">
        <v>46</v>
      </c>
      <c r="D5217" s="28" t="n">
        <v>31</v>
      </c>
      <c r="E5217" s="29" t="n">
        <v>3713300</v>
      </c>
      <c r="F5217" s="30" t="n">
        <v>334.25</v>
      </c>
      <c r="G5217" s="31" t="n">
        <f aca="false">IFERROR(F5217/D5217,0)</f>
        <v>10.7822580645161</v>
      </c>
    </row>
    <row r="5218" customFormat="false" ht="15" hidden="false" customHeight="false" outlineLevel="0" collapsed="false">
      <c r="A5218" s="28" t="n">
        <v>2025</v>
      </c>
      <c r="B5218" s="28" t="s">
        <v>120</v>
      </c>
      <c r="C5218" s="28" t="s">
        <v>48</v>
      </c>
      <c r="D5218" s="28" t="n">
        <v>51</v>
      </c>
      <c r="E5218" s="29" t="n">
        <v>11374800</v>
      </c>
      <c r="F5218" s="30" t="n">
        <v>539.375</v>
      </c>
      <c r="G5218" s="31" t="n">
        <f aca="false">IFERROR(F5218/D5218,0)</f>
        <v>10.5759803921569</v>
      </c>
    </row>
    <row r="5219" customFormat="false" ht="15" hidden="false" customHeight="false" outlineLevel="0" collapsed="false">
      <c r="A5219" s="28" t="n">
        <v>2025</v>
      </c>
      <c r="B5219" s="28" t="s">
        <v>120</v>
      </c>
      <c r="C5219" s="28" t="s">
        <v>53</v>
      </c>
      <c r="D5219" s="28" t="n">
        <v>7</v>
      </c>
      <c r="E5219" s="29" t="n">
        <v>2663100</v>
      </c>
      <c r="F5219" s="30" t="n">
        <v>66.25</v>
      </c>
      <c r="G5219" s="31" t="n">
        <f aca="false">IFERROR(F5219/D5219,0)</f>
        <v>9.46428571428571</v>
      </c>
    </row>
    <row r="5220" customFormat="false" ht="15" hidden="false" customHeight="false" outlineLevel="0" collapsed="false">
      <c r="A5220" s="28" t="n">
        <v>2025</v>
      </c>
      <c r="B5220" s="28" t="s">
        <v>120</v>
      </c>
      <c r="C5220" s="28" t="s">
        <v>43</v>
      </c>
      <c r="D5220" s="28" t="n">
        <v>71</v>
      </c>
      <c r="E5220" s="29" t="n">
        <v>9762900</v>
      </c>
      <c r="F5220" s="30" t="n">
        <v>757.45</v>
      </c>
      <c r="G5220" s="31" t="n">
        <f aca="false">IFERROR(F5220/D5220,0)</f>
        <v>10.6683098591549</v>
      </c>
    </row>
    <row r="5221" customFormat="false" ht="15" hidden="false" customHeight="false" outlineLevel="0" collapsed="false">
      <c r="A5221" s="28" t="n">
        <v>2025</v>
      </c>
      <c r="B5221" s="28" t="s">
        <v>120</v>
      </c>
      <c r="C5221" s="28" t="s">
        <v>52</v>
      </c>
      <c r="D5221" s="28" t="n">
        <v>11</v>
      </c>
      <c r="E5221" s="29" t="n">
        <v>1364200</v>
      </c>
      <c r="F5221" s="30" t="n">
        <v>123.75</v>
      </c>
      <c r="G5221" s="31" t="n">
        <f aca="false">IFERROR(F5221/D5221,0)</f>
        <v>11.25</v>
      </c>
    </row>
    <row r="5222" customFormat="false" ht="15" hidden="false" customHeight="false" outlineLevel="0" collapsed="false">
      <c r="A5222" s="28" t="n">
        <v>2025</v>
      </c>
      <c r="B5222" s="28" t="s">
        <v>120</v>
      </c>
      <c r="C5222" s="28" t="s">
        <v>60</v>
      </c>
      <c r="D5222" s="28" t="n">
        <v>4</v>
      </c>
      <c r="E5222" s="29" t="n">
        <v>358000</v>
      </c>
      <c r="F5222" s="30" t="n">
        <v>46.5</v>
      </c>
      <c r="G5222" s="31" t="n">
        <f aca="false">IFERROR(F5222/D5222,0)</f>
        <v>11.625</v>
      </c>
    </row>
    <row r="5223" customFormat="false" ht="15" hidden="false" customHeight="false" outlineLevel="0" collapsed="false">
      <c r="A5223" s="28" t="n">
        <v>2025</v>
      </c>
      <c r="B5223" s="28" t="s">
        <v>120</v>
      </c>
      <c r="C5223" s="28" t="s">
        <v>49</v>
      </c>
      <c r="D5223" s="28" t="n">
        <v>16</v>
      </c>
      <c r="E5223" s="29" t="n">
        <v>2155700</v>
      </c>
      <c r="F5223" s="30" t="n">
        <v>179</v>
      </c>
      <c r="G5223" s="31" t="n">
        <f aca="false">IFERROR(F5223/D5223,0)</f>
        <v>11.1875</v>
      </c>
    </row>
    <row r="5224" customFormat="false" ht="15" hidden="false" customHeight="false" outlineLevel="0" collapsed="false">
      <c r="A5224" s="28" t="n">
        <v>2025</v>
      </c>
      <c r="B5224" s="28" t="s">
        <v>121</v>
      </c>
      <c r="C5224" s="28" t="s">
        <v>42</v>
      </c>
      <c r="D5224" s="28" t="n">
        <v>40</v>
      </c>
      <c r="E5224" s="29" t="n">
        <v>15775800</v>
      </c>
      <c r="F5224" s="30" t="n">
        <v>417.96</v>
      </c>
      <c r="G5224" s="31" t="n">
        <f aca="false">IFERROR(F5224/D5224,0)</f>
        <v>10.449</v>
      </c>
    </row>
    <row r="5225" customFormat="false" ht="15" hidden="false" customHeight="false" outlineLevel="0" collapsed="false">
      <c r="A5225" s="28" t="n">
        <v>2025</v>
      </c>
      <c r="B5225" s="28" t="s">
        <v>121</v>
      </c>
      <c r="C5225" s="28" t="s">
        <v>50</v>
      </c>
      <c r="D5225" s="28" t="n">
        <v>24</v>
      </c>
      <c r="E5225" s="29" t="n">
        <v>5284000</v>
      </c>
      <c r="F5225" s="30" t="n">
        <v>240.68</v>
      </c>
      <c r="G5225" s="31" t="n">
        <f aca="false">IFERROR(F5225/D5225,0)</f>
        <v>10.0283333333333</v>
      </c>
    </row>
    <row r="5226" customFormat="false" ht="15" hidden="false" customHeight="false" outlineLevel="0" collapsed="false">
      <c r="A5226" s="28" t="n">
        <v>2025</v>
      </c>
      <c r="B5226" s="28" t="s">
        <v>121</v>
      </c>
      <c r="C5226" s="28" t="s">
        <v>55</v>
      </c>
      <c r="D5226" s="28" t="n">
        <v>1</v>
      </c>
      <c r="E5226" s="29" t="n">
        <v>67500</v>
      </c>
      <c r="F5226" s="30" t="n">
        <v>4</v>
      </c>
      <c r="G5226" s="31" t="n">
        <f aca="false">IFERROR(F5226/D5226,0)</f>
        <v>4</v>
      </c>
    </row>
    <row r="5227" customFormat="false" ht="15" hidden="false" customHeight="false" outlineLevel="0" collapsed="false">
      <c r="A5227" s="28" t="n">
        <v>2025</v>
      </c>
      <c r="B5227" s="28" t="s">
        <v>121</v>
      </c>
      <c r="C5227" s="28" t="s">
        <v>51</v>
      </c>
      <c r="D5227" s="28" t="n">
        <v>11</v>
      </c>
      <c r="E5227" s="29" t="n">
        <v>2239000</v>
      </c>
      <c r="F5227" s="30" t="n">
        <v>102.34</v>
      </c>
      <c r="G5227" s="31" t="n">
        <f aca="false">IFERROR(F5227/D5227,0)</f>
        <v>9.30363636363637</v>
      </c>
    </row>
    <row r="5228" customFormat="false" ht="15" hidden="false" customHeight="false" outlineLevel="0" collapsed="false">
      <c r="A5228" s="28" t="n">
        <v>2025</v>
      </c>
      <c r="B5228" s="28" t="s">
        <v>121</v>
      </c>
      <c r="C5228" s="28" t="s">
        <v>45</v>
      </c>
      <c r="D5228" s="28" t="n">
        <v>45</v>
      </c>
      <c r="E5228" s="29" t="n">
        <v>11714000</v>
      </c>
      <c r="F5228" s="30" t="n">
        <v>465.55</v>
      </c>
      <c r="G5228" s="31" t="n">
        <f aca="false">IFERROR(F5228/D5228,0)</f>
        <v>10.3455555555556</v>
      </c>
    </row>
    <row r="5229" customFormat="false" ht="15" hidden="false" customHeight="false" outlineLevel="0" collapsed="false">
      <c r="A5229" s="28" t="n">
        <v>2025</v>
      </c>
      <c r="B5229" s="28" t="s">
        <v>121</v>
      </c>
      <c r="C5229" s="28" t="s">
        <v>54</v>
      </c>
      <c r="D5229" s="28" t="n">
        <v>3</v>
      </c>
      <c r="E5229" s="29" t="n">
        <v>165500</v>
      </c>
      <c r="F5229" s="30" t="n">
        <v>28.75</v>
      </c>
      <c r="G5229" s="31" t="n">
        <f aca="false">IFERROR(F5229/D5229,0)</f>
        <v>9.58333333333333</v>
      </c>
    </row>
    <row r="5230" customFormat="false" ht="15" hidden="false" customHeight="false" outlineLevel="0" collapsed="false">
      <c r="A5230" s="28" t="n">
        <v>2025</v>
      </c>
      <c r="B5230" s="28" t="s">
        <v>121</v>
      </c>
      <c r="C5230" s="28" t="s">
        <v>44</v>
      </c>
      <c r="D5230" s="28" t="n">
        <v>29</v>
      </c>
      <c r="E5230" s="29" t="n">
        <v>21266100</v>
      </c>
      <c r="F5230" s="30" t="n">
        <v>290.83</v>
      </c>
      <c r="G5230" s="31" t="n">
        <f aca="false">IFERROR(F5230/D5230,0)</f>
        <v>10.0286206896552</v>
      </c>
    </row>
    <row r="5231" customFormat="false" ht="15" hidden="false" customHeight="false" outlineLevel="0" collapsed="false">
      <c r="A5231" s="28" t="n">
        <v>2025</v>
      </c>
      <c r="B5231" s="28" t="s">
        <v>121</v>
      </c>
      <c r="C5231" s="28" t="s">
        <v>57</v>
      </c>
      <c r="D5231" s="28" t="n">
        <v>3</v>
      </c>
      <c r="E5231" s="29" t="n">
        <v>2884000</v>
      </c>
      <c r="F5231" s="30" t="n">
        <v>30.75</v>
      </c>
      <c r="G5231" s="31" t="n">
        <f aca="false">IFERROR(F5231/D5231,0)</f>
        <v>10.25</v>
      </c>
    </row>
    <row r="5232" customFormat="false" ht="15" hidden="false" customHeight="false" outlineLevel="0" collapsed="false">
      <c r="A5232" s="28" t="n">
        <v>2025</v>
      </c>
      <c r="B5232" s="28" t="s">
        <v>121</v>
      </c>
      <c r="C5232" s="28" t="s">
        <v>47</v>
      </c>
      <c r="D5232" s="28" t="n">
        <v>19</v>
      </c>
      <c r="E5232" s="29" t="n">
        <v>5621900</v>
      </c>
      <c r="F5232" s="30" t="n">
        <v>195.8</v>
      </c>
      <c r="G5232" s="31" t="n">
        <f aca="false">IFERROR(F5232/D5232,0)</f>
        <v>10.3052631578947</v>
      </c>
    </row>
    <row r="5233" customFormat="false" ht="15" hidden="false" customHeight="false" outlineLevel="0" collapsed="false">
      <c r="A5233" s="28" t="n">
        <v>2025</v>
      </c>
      <c r="B5233" s="28" t="s">
        <v>121</v>
      </c>
      <c r="C5233" s="28" t="s">
        <v>46</v>
      </c>
      <c r="D5233" s="28" t="n">
        <v>28</v>
      </c>
      <c r="E5233" s="29" t="n">
        <v>4306600</v>
      </c>
      <c r="F5233" s="30" t="n">
        <v>297.33</v>
      </c>
      <c r="G5233" s="31" t="n">
        <f aca="false">IFERROR(F5233/D5233,0)</f>
        <v>10.6189285714286</v>
      </c>
    </row>
    <row r="5234" customFormat="false" ht="15" hidden="false" customHeight="false" outlineLevel="0" collapsed="false">
      <c r="A5234" s="28" t="n">
        <v>2025</v>
      </c>
      <c r="B5234" s="28" t="s">
        <v>121</v>
      </c>
      <c r="C5234" s="28" t="s">
        <v>48</v>
      </c>
      <c r="D5234" s="28" t="n">
        <v>23</v>
      </c>
      <c r="E5234" s="29" t="n">
        <v>6200100</v>
      </c>
      <c r="F5234" s="30" t="n">
        <v>245.15</v>
      </c>
      <c r="G5234" s="31" t="n">
        <f aca="false">IFERROR(F5234/D5234,0)</f>
        <v>10.6586956521739</v>
      </c>
    </row>
    <row r="5235" customFormat="false" ht="15" hidden="false" customHeight="false" outlineLevel="0" collapsed="false">
      <c r="A5235" s="28" t="n">
        <v>2025</v>
      </c>
      <c r="B5235" s="28" t="s">
        <v>121</v>
      </c>
      <c r="C5235" s="28" t="s">
        <v>53</v>
      </c>
      <c r="D5235" s="28" t="n">
        <v>7</v>
      </c>
      <c r="E5235" s="29" t="n">
        <v>2493000</v>
      </c>
      <c r="F5235" s="30" t="n">
        <v>68.5</v>
      </c>
      <c r="G5235" s="31" t="n">
        <f aca="false">IFERROR(F5235/D5235,0)</f>
        <v>9.78571428571429</v>
      </c>
    </row>
    <row r="5236" customFormat="false" ht="15" hidden="false" customHeight="false" outlineLevel="0" collapsed="false">
      <c r="A5236" s="28" t="n">
        <v>2025</v>
      </c>
      <c r="B5236" s="28" t="s">
        <v>121</v>
      </c>
      <c r="C5236" s="28" t="s">
        <v>43</v>
      </c>
      <c r="D5236" s="28" t="n">
        <v>33</v>
      </c>
      <c r="E5236" s="29" t="n">
        <v>6897500</v>
      </c>
      <c r="F5236" s="30" t="n">
        <v>336.61</v>
      </c>
      <c r="G5236" s="31" t="n">
        <f aca="false">IFERROR(F5236/D5236,0)</f>
        <v>10.200303030303</v>
      </c>
    </row>
    <row r="5237" customFormat="false" ht="15" hidden="false" customHeight="false" outlineLevel="0" collapsed="false">
      <c r="A5237" s="28" t="n">
        <v>2025</v>
      </c>
      <c r="B5237" s="28" t="s">
        <v>121</v>
      </c>
      <c r="C5237" s="28" t="s">
        <v>52</v>
      </c>
      <c r="D5237" s="28" t="n">
        <v>6</v>
      </c>
      <c r="E5237" s="29" t="n">
        <v>225000</v>
      </c>
      <c r="F5237" s="30" t="n">
        <v>70.5</v>
      </c>
      <c r="G5237" s="31" t="n">
        <f aca="false">IFERROR(F5237/D5237,0)</f>
        <v>11.75</v>
      </c>
    </row>
    <row r="5238" customFormat="false" ht="15" hidden="false" customHeight="false" outlineLevel="0" collapsed="false">
      <c r="A5238" s="28" t="n">
        <v>2025</v>
      </c>
      <c r="B5238" s="28" t="s">
        <v>121</v>
      </c>
      <c r="C5238" s="28" t="s">
        <v>60</v>
      </c>
      <c r="D5238" s="28" t="n">
        <v>1</v>
      </c>
      <c r="E5238" s="29" t="n">
        <v>60000</v>
      </c>
      <c r="F5238" s="30" t="n">
        <v>12.5</v>
      </c>
      <c r="G5238" s="31" t="n">
        <f aca="false">IFERROR(F5238/D5238,0)</f>
        <v>12.5</v>
      </c>
    </row>
    <row r="5239" customFormat="false" ht="15" hidden="false" customHeight="false" outlineLevel="0" collapsed="false">
      <c r="A5239" s="28" t="n">
        <v>2025</v>
      </c>
      <c r="B5239" s="28" t="s">
        <v>121</v>
      </c>
      <c r="C5239" s="28" t="s">
        <v>49</v>
      </c>
      <c r="D5239" s="28" t="n">
        <v>11</v>
      </c>
      <c r="E5239" s="29" t="n">
        <v>7363000</v>
      </c>
      <c r="F5239" s="30" t="n">
        <v>110.5</v>
      </c>
      <c r="G5239" s="31" t="n">
        <f aca="false">IFERROR(F5239/D5239,0)</f>
        <v>10.0454545454545</v>
      </c>
    </row>
    <row r="5240" customFormat="false" ht="15" hidden="false" customHeight="false" outlineLevel="0" collapsed="false">
      <c r="A5240" s="28" t="n">
        <v>2025</v>
      </c>
      <c r="B5240" s="28" t="s">
        <v>111</v>
      </c>
      <c r="C5240" s="28" t="s">
        <v>42</v>
      </c>
      <c r="D5240" s="28" t="n">
        <v>123</v>
      </c>
      <c r="E5240" s="29" t="n">
        <v>155655500</v>
      </c>
      <c r="F5240" s="30" t="n">
        <v>1200.92</v>
      </c>
      <c r="G5240" s="31" t="n">
        <f aca="false">IFERROR(F5240/D5240,0)</f>
        <v>9.76357723577236</v>
      </c>
    </row>
    <row r="5241" customFormat="false" ht="15" hidden="false" customHeight="false" outlineLevel="0" collapsed="false">
      <c r="A5241" s="28" t="n">
        <v>2025</v>
      </c>
      <c r="B5241" s="28" t="s">
        <v>111</v>
      </c>
      <c r="C5241" s="28" t="s">
        <v>50</v>
      </c>
      <c r="D5241" s="28" t="n">
        <v>48</v>
      </c>
      <c r="E5241" s="29" t="n">
        <v>9413500</v>
      </c>
      <c r="F5241" s="30" t="n">
        <v>510.74</v>
      </c>
      <c r="G5241" s="31" t="n">
        <f aca="false">IFERROR(F5241/D5241,0)</f>
        <v>10.6404166666667</v>
      </c>
    </row>
    <row r="5242" customFormat="false" ht="15" hidden="false" customHeight="false" outlineLevel="0" collapsed="false">
      <c r="A5242" s="28" t="n">
        <v>2025</v>
      </c>
      <c r="B5242" s="28" t="s">
        <v>111</v>
      </c>
      <c r="C5242" s="28" t="s">
        <v>55</v>
      </c>
      <c r="D5242" s="28" t="n">
        <v>10</v>
      </c>
      <c r="E5242" s="29" t="n">
        <v>6736500</v>
      </c>
      <c r="F5242" s="30" t="n">
        <v>112</v>
      </c>
      <c r="G5242" s="31" t="n">
        <f aca="false">IFERROR(F5242/D5242,0)</f>
        <v>11.2</v>
      </c>
    </row>
    <row r="5243" customFormat="false" ht="15" hidden="false" customHeight="false" outlineLevel="0" collapsed="false">
      <c r="A5243" s="28" t="n">
        <v>2025</v>
      </c>
      <c r="B5243" s="28" t="s">
        <v>111</v>
      </c>
      <c r="C5243" s="28" t="s">
        <v>51</v>
      </c>
      <c r="D5243" s="28" t="n">
        <v>38</v>
      </c>
      <c r="E5243" s="29" t="n">
        <v>23280100</v>
      </c>
      <c r="F5243" s="30" t="n">
        <v>382.274</v>
      </c>
      <c r="G5243" s="31" t="n">
        <f aca="false">IFERROR(F5243/D5243,0)</f>
        <v>10.0598421052632</v>
      </c>
    </row>
    <row r="5244" customFormat="false" ht="15" hidden="false" customHeight="false" outlineLevel="0" collapsed="false">
      <c r="A5244" s="28" t="n">
        <v>2025</v>
      </c>
      <c r="B5244" s="28" t="s">
        <v>111</v>
      </c>
      <c r="C5244" s="28" t="s">
        <v>45</v>
      </c>
      <c r="D5244" s="28" t="n">
        <v>101</v>
      </c>
      <c r="E5244" s="29" t="n">
        <v>39380400</v>
      </c>
      <c r="F5244" s="30" t="n">
        <v>1069.24</v>
      </c>
      <c r="G5244" s="31" t="n">
        <f aca="false">IFERROR(F5244/D5244,0)</f>
        <v>10.5865346534653</v>
      </c>
    </row>
    <row r="5245" customFormat="false" ht="15" hidden="false" customHeight="false" outlineLevel="0" collapsed="false">
      <c r="A5245" s="28" t="n">
        <v>2025</v>
      </c>
      <c r="B5245" s="28" t="s">
        <v>111</v>
      </c>
      <c r="C5245" s="28" t="s">
        <v>56</v>
      </c>
      <c r="D5245" s="28" t="n">
        <v>11</v>
      </c>
      <c r="E5245" s="29" t="n">
        <v>4374400</v>
      </c>
      <c r="F5245" s="30" t="n">
        <v>111.65</v>
      </c>
      <c r="G5245" s="31" t="n">
        <f aca="false">IFERROR(F5245/D5245,0)</f>
        <v>10.15</v>
      </c>
    </row>
    <row r="5246" customFormat="false" ht="15" hidden="false" customHeight="false" outlineLevel="0" collapsed="false">
      <c r="A5246" s="28" t="n">
        <v>2025</v>
      </c>
      <c r="B5246" s="28" t="s">
        <v>111</v>
      </c>
      <c r="C5246" s="28" t="s">
        <v>54</v>
      </c>
      <c r="D5246" s="28" t="n">
        <v>12</v>
      </c>
      <c r="E5246" s="29" t="n">
        <v>5186000</v>
      </c>
      <c r="F5246" s="30" t="n">
        <v>123.99</v>
      </c>
      <c r="G5246" s="31" t="n">
        <f aca="false">IFERROR(F5246/D5246,0)</f>
        <v>10.3325</v>
      </c>
    </row>
    <row r="5247" customFormat="false" ht="15" hidden="false" customHeight="false" outlineLevel="0" collapsed="false">
      <c r="A5247" s="28" t="n">
        <v>2025</v>
      </c>
      <c r="B5247" s="28" t="s">
        <v>111</v>
      </c>
      <c r="C5247" s="28" t="s">
        <v>44</v>
      </c>
      <c r="D5247" s="28" t="n">
        <v>63</v>
      </c>
      <c r="E5247" s="29" t="n">
        <v>41001800</v>
      </c>
      <c r="F5247" s="30" t="n">
        <v>639.83</v>
      </c>
      <c r="G5247" s="31" t="n">
        <f aca="false">IFERROR(F5247/D5247,0)</f>
        <v>10.1560317460317</v>
      </c>
    </row>
    <row r="5248" customFormat="false" ht="15" hidden="false" customHeight="false" outlineLevel="0" collapsed="false">
      <c r="A5248" s="28" t="n">
        <v>2025</v>
      </c>
      <c r="B5248" s="28" t="s">
        <v>111</v>
      </c>
      <c r="C5248" s="28" t="s">
        <v>57</v>
      </c>
      <c r="D5248" s="28" t="n">
        <v>4</v>
      </c>
      <c r="E5248" s="29" t="n">
        <v>935000</v>
      </c>
      <c r="F5248" s="30" t="n">
        <v>42.68</v>
      </c>
      <c r="G5248" s="31" t="n">
        <f aca="false">IFERROR(F5248/D5248,0)</f>
        <v>10.67</v>
      </c>
    </row>
    <row r="5249" customFormat="false" ht="15" hidden="false" customHeight="false" outlineLevel="0" collapsed="false">
      <c r="A5249" s="28" t="n">
        <v>2025</v>
      </c>
      <c r="B5249" s="28" t="s">
        <v>111</v>
      </c>
      <c r="C5249" s="28" t="s">
        <v>47</v>
      </c>
      <c r="D5249" s="28" t="n">
        <v>36</v>
      </c>
      <c r="E5249" s="29" t="n">
        <v>32271200</v>
      </c>
      <c r="F5249" s="30" t="n">
        <v>359.11</v>
      </c>
      <c r="G5249" s="31" t="n">
        <f aca="false">IFERROR(F5249/D5249,0)</f>
        <v>9.97527777777778</v>
      </c>
    </row>
    <row r="5250" customFormat="false" ht="15" hidden="false" customHeight="false" outlineLevel="0" collapsed="false">
      <c r="A5250" s="28" t="n">
        <v>2025</v>
      </c>
      <c r="B5250" s="28" t="s">
        <v>111</v>
      </c>
      <c r="C5250" s="28" t="s">
        <v>46</v>
      </c>
      <c r="D5250" s="28" t="n">
        <v>87</v>
      </c>
      <c r="E5250" s="29" t="n">
        <v>44123700</v>
      </c>
      <c r="F5250" s="30" t="n">
        <v>889.65</v>
      </c>
      <c r="G5250" s="31" t="n">
        <f aca="false">IFERROR(F5250/D5250,0)</f>
        <v>10.2258620689655</v>
      </c>
    </row>
    <row r="5251" customFormat="false" ht="15" hidden="false" customHeight="false" outlineLevel="0" collapsed="false">
      <c r="A5251" s="28" t="n">
        <v>2025</v>
      </c>
      <c r="B5251" s="28" t="s">
        <v>111</v>
      </c>
      <c r="C5251" s="28" t="s">
        <v>48</v>
      </c>
      <c r="D5251" s="28" t="n">
        <v>63</v>
      </c>
      <c r="E5251" s="29" t="n">
        <v>22945000</v>
      </c>
      <c r="F5251" s="30" t="n">
        <v>665.85</v>
      </c>
      <c r="G5251" s="31" t="n">
        <f aca="false">IFERROR(F5251/D5251,0)</f>
        <v>10.5690476190476</v>
      </c>
    </row>
    <row r="5252" customFormat="false" ht="15" hidden="false" customHeight="false" outlineLevel="0" collapsed="false">
      <c r="A5252" s="28" t="n">
        <v>2025</v>
      </c>
      <c r="B5252" s="28" t="s">
        <v>111</v>
      </c>
      <c r="C5252" s="28" t="s">
        <v>53</v>
      </c>
      <c r="D5252" s="28" t="n">
        <v>23</v>
      </c>
      <c r="E5252" s="29" t="n">
        <v>10778600</v>
      </c>
      <c r="F5252" s="30" t="n">
        <v>233.9</v>
      </c>
      <c r="G5252" s="31" t="n">
        <f aca="false">IFERROR(F5252/D5252,0)</f>
        <v>10.1695652173913</v>
      </c>
    </row>
    <row r="5253" customFormat="false" ht="15" hidden="false" customHeight="false" outlineLevel="0" collapsed="false">
      <c r="A5253" s="28" t="n">
        <v>2025</v>
      </c>
      <c r="B5253" s="28" t="s">
        <v>111</v>
      </c>
      <c r="C5253" s="28" t="s">
        <v>43</v>
      </c>
      <c r="D5253" s="28" t="n">
        <v>83</v>
      </c>
      <c r="E5253" s="29" t="n">
        <v>45912600</v>
      </c>
      <c r="F5253" s="30" t="n">
        <v>846.26</v>
      </c>
      <c r="G5253" s="31" t="n">
        <f aca="false">IFERROR(F5253/D5253,0)</f>
        <v>10.1959036144578</v>
      </c>
    </row>
    <row r="5254" customFormat="false" ht="15" hidden="false" customHeight="false" outlineLevel="0" collapsed="false">
      <c r="A5254" s="28" t="n">
        <v>2025</v>
      </c>
      <c r="B5254" s="28" t="s">
        <v>111</v>
      </c>
      <c r="C5254" s="28" t="s">
        <v>52</v>
      </c>
      <c r="D5254" s="28" t="n">
        <v>42</v>
      </c>
      <c r="E5254" s="29" t="n">
        <v>14358100</v>
      </c>
      <c r="F5254" s="30" t="n">
        <v>463.1</v>
      </c>
      <c r="G5254" s="31" t="n">
        <f aca="false">IFERROR(F5254/D5254,0)</f>
        <v>11.0261904761905</v>
      </c>
    </row>
    <row r="5255" customFormat="false" ht="15" hidden="false" customHeight="false" outlineLevel="0" collapsed="false">
      <c r="A5255" s="28" t="n">
        <v>2025</v>
      </c>
      <c r="B5255" s="28" t="s">
        <v>111</v>
      </c>
      <c r="C5255" s="28" t="s">
        <v>60</v>
      </c>
      <c r="D5255" s="28" t="n">
        <v>1</v>
      </c>
      <c r="E5255" s="29" t="n">
        <v>20000</v>
      </c>
      <c r="F5255" s="30" t="n">
        <v>13</v>
      </c>
      <c r="G5255" s="31" t="n">
        <f aca="false">IFERROR(F5255/D5255,0)</f>
        <v>13</v>
      </c>
    </row>
    <row r="5256" customFormat="false" ht="15" hidden="false" customHeight="false" outlineLevel="0" collapsed="false">
      <c r="A5256" s="28" t="n">
        <v>2025</v>
      </c>
      <c r="B5256" s="28" t="s">
        <v>111</v>
      </c>
      <c r="C5256" s="28" t="s">
        <v>49</v>
      </c>
      <c r="D5256" s="28" t="n">
        <v>22</v>
      </c>
      <c r="E5256" s="29" t="n">
        <v>11734000</v>
      </c>
      <c r="F5256" s="30" t="n">
        <v>226.11</v>
      </c>
      <c r="G5256" s="31" t="n">
        <f aca="false">IFERROR(F5256/D5256,0)</f>
        <v>10.2777272727273</v>
      </c>
    </row>
    <row r="5257" customFormat="false" ht="15" hidden="false" customHeight="false" outlineLevel="0" collapsed="false">
      <c r="A5257" s="28" t="n">
        <v>2025</v>
      </c>
      <c r="B5257" s="28" t="s">
        <v>122</v>
      </c>
      <c r="C5257" s="28" t="s">
        <v>42</v>
      </c>
      <c r="D5257" s="28" t="n">
        <v>24</v>
      </c>
      <c r="E5257" s="29" t="n">
        <v>19500500</v>
      </c>
      <c r="F5257" s="30" t="n">
        <v>224.415</v>
      </c>
      <c r="G5257" s="31" t="n">
        <f aca="false">IFERROR(F5257/D5257,0)</f>
        <v>9.350625</v>
      </c>
    </row>
    <row r="5258" customFormat="false" ht="15" hidden="false" customHeight="false" outlineLevel="0" collapsed="false">
      <c r="A5258" s="28" t="n">
        <v>2025</v>
      </c>
      <c r="B5258" s="28" t="s">
        <v>122</v>
      </c>
      <c r="C5258" s="28" t="s">
        <v>50</v>
      </c>
      <c r="D5258" s="28" t="n">
        <v>13</v>
      </c>
      <c r="E5258" s="29" t="n">
        <v>6820700</v>
      </c>
      <c r="F5258" s="30" t="n">
        <v>125.77</v>
      </c>
      <c r="G5258" s="31" t="n">
        <f aca="false">IFERROR(F5258/D5258,0)</f>
        <v>9.67461538461538</v>
      </c>
    </row>
    <row r="5259" customFormat="false" ht="15" hidden="false" customHeight="false" outlineLevel="0" collapsed="false">
      <c r="A5259" s="28" t="n">
        <v>2025</v>
      </c>
      <c r="B5259" s="28" t="s">
        <v>122</v>
      </c>
      <c r="C5259" s="28" t="s">
        <v>55</v>
      </c>
      <c r="D5259" s="28" t="n">
        <v>2</v>
      </c>
      <c r="E5259" s="29" t="n">
        <v>70100</v>
      </c>
      <c r="F5259" s="30" t="n">
        <v>20.8</v>
      </c>
      <c r="G5259" s="31" t="n">
        <f aca="false">IFERROR(F5259/D5259,0)</f>
        <v>10.4</v>
      </c>
    </row>
    <row r="5260" customFormat="false" ht="15" hidden="false" customHeight="false" outlineLevel="0" collapsed="false">
      <c r="A5260" s="28" t="n">
        <v>2025</v>
      </c>
      <c r="B5260" s="28" t="s">
        <v>122</v>
      </c>
      <c r="C5260" s="28" t="s">
        <v>51</v>
      </c>
      <c r="D5260" s="28" t="n">
        <v>5</v>
      </c>
      <c r="E5260" s="29" t="n">
        <v>1460300</v>
      </c>
      <c r="F5260" s="30" t="n">
        <v>39.2</v>
      </c>
      <c r="G5260" s="31" t="n">
        <f aca="false">IFERROR(F5260/D5260,0)</f>
        <v>7.84</v>
      </c>
    </row>
    <row r="5261" customFormat="false" ht="15" hidden="false" customHeight="false" outlineLevel="0" collapsed="false">
      <c r="A5261" s="28" t="n">
        <v>2025</v>
      </c>
      <c r="B5261" s="28" t="s">
        <v>122</v>
      </c>
      <c r="C5261" s="28" t="s">
        <v>45</v>
      </c>
      <c r="D5261" s="28" t="n">
        <v>28</v>
      </c>
      <c r="E5261" s="29" t="n">
        <v>13966900</v>
      </c>
      <c r="F5261" s="30" t="n">
        <v>272.03</v>
      </c>
      <c r="G5261" s="31" t="n">
        <f aca="false">IFERROR(F5261/D5261,0)</f>
        <v>9.71535714285714</v>
      </c>
    </row>
    <row r="5262" customFormat="false" ht="15" hidden="false" customHeight="false" outlineLevel="0" collapsed="false">
      <c r="A5262" s="28" t="n">
        <v>2025</v>
      </c>
      <c r="B5262" s="28" t="s">
        <v>122</v>
      </c>
      <c r="C5262" s="28" t="s">
        <v>56</v>
      </c>
      <c r="D5262" s="28" t="n">
        <v>2</v>
      </c>
      <c r="E5262" s="29" t="n">
        <v>487700</v>
      </c>
      <c r="F5262" s="30" t="n">
        <v>20.35</v>
      </c>
      <c r="G5262" s="31" t="n">
        <f aca="false">IFERROR(F5262/D5262,0)</f>
        <v>10.175</v>
      </c>
    </row>
    <row r="5263" customFormat="false" ht="15" hidden="false" customHeight="false" outlineLevel="0" collapsed="false">
      <c r="A5263" s="28" t="n">
        <v>2025</v>
      </c>
      <c r="B5263" s="28" t="s">
        <v>122</v>
      </c>
      <c r="C5263" s="28" t="s">
        <v>54</v>
      </c>
      <c r="D5263" s="28" t="n">
        <v>2</v>
      </c>
      <c r="E5263" s="29" t="n">
        <v>2052700</v>
      </c>
      <c r="F5263" s="30" t="n">
        <v>19.99</v>
      </c>
      <c r="G5263" s="31" t="n">
        <f aca="false">IFERROR(F5263/D5263,0)</f>
        <v>9.995</v>
      </c>
    </row>
    <row r="5264" customFormat="false" ht="15" hidden="false" customHeight="false" outlineLevel="0" collapsed="false">
      <c r="A5264" s="28" t="n">
        <v>2025</v>
      </c>
      <c r="B5264" s="28" t="s">
        <v>122</v>
      </c>
      <c r="C5264" s="28" t="s">
        <v>44</v>
      </c>
      <c r="D5264" s="28" t="n">
        <v>10</v>
      </c>
      <c r="E5264" s="29" t="n">
        <v>3368700</v>
      </c>
      <c r="F5264" s="30" t="n">
        <v>88.9</v>
      </c>
      <c r="G5264" s="31" t="n">
        <f aca="false">IFERROR(F5264/D5264,0)</f>
        <v>8.89</v>
      </c>
    </row>
    <row r="5265" customFormat="false" ht="15" hidden="false" customHeight="false" outlineLevel="0" collapsed="false">
      <c r="A5265" s="28" t="n">
        <v>2025</v>
      </c>
      <c r="B5265" s="28" t="s">
        <v>122</v>
      </c>
      <c r="C5265" s="28" t="s">
        <v>57</v>
      </c>
      <c r="D5265" s="28" t="n">
        <v>1</v>
      </c>
      <c r="E5265" s="29" t="n">
        <v>830000</v>
      </c>
      <c r="F5265" s="30" t="n">
        <v>10.75</v>
      </c>
      <c r="G5265" s="31" t="n">
        <f aca="false">IFERROR(F5265/D5265,0)</f>
        <v>10.75</v>
      </c>
    </row>
    <row r="5266" customFormat="false" ht="15" hidden="false" customHeight="false" outlineLevel="0" collapsed="false">
      <c r="A5266" s="28" t="n">
        <v>2025</v>
      </c>
      <c r="B5266" s="28" t="s">
        <v>122</v>
      </c>
      <c r="C5266" s="28" t="s">
        <v>59</v>
      </c>
      <c r="D5266" s="28" t="n">
        <v>1</v>
      </c>
      <c r="E5266" s="29" t="n">
        <v>530500</v>
      </c>
      <c r="F5266" s="30" t="n">
        <v>7.5</v>
      </c>
      <c r="G5266" s="31" t="n">
        <f aca="false">IFERROR(F5266/D5266,0)</f>
        <v>7.5</v>
      </c>
    </row>
    <row r="5267" customFormat="false" ht="15" hidden="false" customHeight="false" outlineLevel="0" collapsed="false">
      <c r="A5267" s="28" t="n">
        <v>2025</v>
      </c>
      <c r="B5267" s="28" t="s">
        <v>122</v>
      </c>
      <c r="C5267" s="28" t="s">
        <v>47</v>
      </c>
      <c r="D5267" s="28" t="n">
        <v>6</v>
      </c>
      <c r="E5267" s="29" t="n">
        <v>1100600</v>
      </c>
      <c r="F5267" s="30" t="n">
        <v>55.8</v>
      </c>
      <c r="G5267" s="31" t="n">
        <f aca="false">IFERROR(F5267/D5267,0)</f>
        <v>9.3</v>
      </c>
    </row>
    <row r="5268" customFormat="false" ht="15" hidden="false" customHeight="false" outlineLevel="0" collapsed="false">
      <c r="A5268" s="28" t="n">
        <v>2025</v>
      </c>
      <c r="B5268" s="28" t="s">
        <v>122</v>
      </c>
      <c r="C5268" s="28" t="s">
        <v>46</v>
      </c>
      <c r="D5268" s="28" t="n">
        <v>10</v>
      </c>
      <c r="E5268" s="29" t="n">
        <v>2915400</v>
      </c>
      <c r="F5268" s="30" t="n">
        <v>89.25</v>
      </c>
      <c r="G5268" s="31" t="n">
        <f aca="false">IFERROR(F5268/D5268,0)</f>
        <v>8.925</v>
      </c>
    </row>
    <row r="5269" customFormat="false" ht="15" hidden="false" customHeight="false" outlineLevel="0" collapsed="false">
      <c r="A5269" s="28" t="n">
        <v>2025</v>
      </c>
      <c r="B5269" s="28" t="s">
        <v>122</v>
      </c>
      <c r="C5269" s="28" t="s">
        <v>48</v>
      </c>
      <c r="D5269" s="28" t="n">
        <v>6</v>
      </c>
      <c r="E5269" s="29" t="n">
        <v>5715100</v>
      </c>
      <c r="F5269" s="30" t="n">
        <v>49.03</v>
      </c>
      <c r="G5269" s="31" t="n">
        <f aca="false">IFERROR(F5269/D5269,0)</f>
        <v>8.17166666666667</v>
      </c>
    </row>
    <row r="5270" customFormat="false" ht="15" hidden="false" customHeight="false" outlineLevel="0" collapsed="false">
      <c r="A5270" s="28" t="n">
        <v>2025</v>
      </c>
      <c r="B5270" s="28" t="s">
        <v>122</v>
      </c>
      <c r="C5270" s="28" t="s">
        <v>53</v>
      </c>
      <c r="D5270" s="28" t="n">
        <v>4</v>
      </c>
      <c r="E5270" s="29" t="n">
        <v>601200</v>
      </c>
      <c r="F5270" s="30" t="n">
        <v>41.23</v>
      </c>
      <c r="G5270" s="31" t="n">
        <f aca="false">IFERROR(F5270/D5270,0)</f>
        <v>10.3075</v>
      </c>
    </row>
    <row r="5271" customFormat="false" ht="15" hidden="false" customHeight="false" outlineLevel="0" collapsed="false">
      <c r="A5271" s="28" t="n">
        <v>2025</v>
      </c>
      <c r="B5271" s="28" t="s">
        <v>122</v>
      </c>
      <c r="C5271" s="28" t="s">
        <v>43</v>
      </c>
      <c r="D5271" s="28" t="n">
        <v>15</v>
      </c>
      <c r="E5271" s="29" t="n">
        <v>8662300</v>
      </c>
      <c r="F5271" s="30" t="n">
        <v>147.75</v>
      </c>
      <c r="G5271" s="31" t="n">
        <f aca="false">IFERROR(F5271/D5271,0)</f>
        <v>9.85</v>
      </c>
    </row>
    <row r="5272" customFormat="false" ht="15" hidden="false" customHeight="false" outlineLevel="0" collapsed="false">
      <c r="A5272" s="28" t="n">
        <v>2025</v>
      </c>
      <c r="B5272" s="28" t="s">
        <v>122</v>
      </c>
      <c r="C5272" s="28" t="s">
        <v>52</v>
      </c>
      <c r="D5272" s="28" t="n">
        <v>9</v>
      </c>
      <c r="E5272" s="29" t="n">
        <v>1358100</v>
      </c>
      <c r="F5272" s="30" t="n">
        <v>78.08</v>
      </c>
      <c r="G5272" s="31" t="n">
        <f aca="false">IFERROR(F5272/D5272,0)</f>
        <v>8.67555555555556</v>
      </c>
    </row>
    <row r="5273" customFormat="false" ht="15" hidden="false" customHeight="false" outlineLevel="0" collapsed="false">
      <c r="A5273" s="28" t="n">
        <v>2025</v>
      </c>
      <c r="B5273" s="28" t="s">
        <v>122</v>
      </c>
      <c r="C5273" s="28" t="s">
        <v>60</v>
      </c>
      <c r="D5273" s="28" t="n">
        <v>1</v>
      </c>
      <c r="E5273" s="29" t="n">
        <v>544800</v>
      </c>
      <c r="F5273" s="30" t="n">
        <v>8.75</v>
      </c>
      <c r="G5273" s="31" t="n">
        <f aca="false">IFERROR(F5273/D5273,0)</f>
        <v>8.75</v>
      </c>
    </row>
    <row r="5274" customFormat="false" ht="15" hidden="false" customHeight="false" outlineLevel="0" collapsed="false">
      <c r="A5274" s="28" t="n">
        <v>2025</v>
      </c>
      <c r="B5274" s="28" t="s">
        <v>122</v>
      </c>
      <c r="C5274" s="28" t="s">
        <v>49</v>
      </c>
      <c r="D5274" s="28" t="n">
        <v>5</v>
      </c>
      <c r="E5274" s="29" t="n">
        <v>3747500</v>
      </c>
      <c r="F5274" s="30" t="n">
        <v>49.79</v>
      </c>
      <c r="G5274" s="31" t="n">
        <f aca="false">IFERROR(F5274/D5274,0)</f>
        <v>9.958</v>
      </c>
    </row>
    <row r="5275" customFormat="false" ht="15" hidden="false" customHeight="false" outlineLevel="0" collapsed="false">
      <c r="A5275" s="28" t="n">
        <v>2025</v>
      </c>
      <c r="B5275" s="28" t="s">
        <v>110</v>
      </c>
      <c r="C5275" s="28" t="s">
        <v>42</v>
      </c>
      <c r="D5275" s="28" t="n">
        <v>113</v>
      </c>
      <c r="E5275" s="29" t="n">
        <v>105662000</v>
      </c>
      <c r="F5275" s="30" t="n">
        <v>1110.11</v>
      </c>
      <c r="G5275" s="31" t="n">
        <f aca="false">IFERROR(F5275/D5275,0)</f>
        <v>9.82398230088496</v>
      </c>
    </row>
    <row r="5276" customFormat="false" ht="15" hidden="false" customHeight="false" outlineLevel="0" collapsed="false">
      <c r="A5276" s="28" t="n">
        <v>2025</v>
      </c>
      <c r="B5276" s="28" t="s">
        <v>110</v>
      </c>
      <c r="C5276" s="28" t="s">
        <v>50</v>
      </c>
      <c r="D5276" s="28" t="n">
        <v>75</v>
      </c>
      <c r="E5276" s="29" t="n">
        <v>24340500</v>
      </c>
      <c r="F5276" s="30" t="n">
        <v>779.37</v>
      </c>
      <c r="G5276" s="31" t="n">
        <f aca="false">IFERROR(F5276/D5276,0)</f>
        <v>10.3916</v>
      </c>
    </row>
    <row r="5277" customFormat="false" ht="15" hidden="false" customHeight="false" outlineLevel="0" collapsed="false">
      <c r="A5277" s="28" t="n">
        <v>2025</v>
      </c>
      <c r="B5277" s="28" t="s">
        <v>110</v>
      </c>
      <c r="C5277" s="28" t="s">
        <v>55</v>
      </c>
      <c r="D5277" s="28" t="n">
        <v>5</v>
      </c>
      <c r="E5277" s="29" t="n">
        <v>5312000</v>
      </c>
      <c r="F5277" s="30" t="n">
        <v>48.95</v>
      </c>
      <c r="G5277" s="31" t="n">
        <f aca="false">IFERROR(F5277/D5277,0)</f>
        <v>9.79</v>
      </c>
    </row>
    <row r="5278" customFormat="false" ht="15" hidden="false" customHeight="false" outlineLevel="0" collapsed="false">
      <c r="A5278" s="28" t="n">
        <v>2025</v>
      </c>
      <c r="B5278" s="28" t="s">
        <v>110</v>
      </c>
      <c r="C5278" s="28" t="s">
        <v>51</v>
      </c>
      <c r="D5278" s="28" t="n">
        <v>54</v>
      </c>
      <c r="E5278" s="29" t="n">
        <v>20435000</v>
      </c>
      <c r="F5278" s="30" t="n">
        <v>560.81</v>
      </c>
      <c r="G5278" s="31" t="n">
        <f aca="false">IFERROR(F5278/D5278,0)</f>
        <v>10.3853703703704</v>
      </c>
    </row>
    <row r="5279" customFormat="false" ht="15" hidden="false" customHeight="false" outlineLevel="0" collapsed="false">
      <c r="A5279" s="28" t="n">
        <v>2025</v>
      </c>
      <c r="B5279" s="28" t="s">
        <v>110</v>
      </c>
      <c r="C5279" s="28" t="s">
        <v>45</v>
      </c>
      <c r="D5279" s="28" t="n">
        <v>98</v>
      </c>
      <c r="E5279" s="29" t="n">
        <v>31531600</v>
      </c>
      <c r="F5279" s="30" t="n">
        <v>1062.84</v>
      </c>
      <c r="G5279" s="31" t="n">
        <f aca="false">IFERROR(F5279/D5279,0)</f>
        <v>10.845306122449</v>
      </c>
    </row>
    <row r="5280" customFormat="false" ht="15" hidden="false" customHeight="false" outlineLevel="0" collapsed="false">
      <c r="A5280" s="28" t="n">
        <v>2025</v>
      </c>
      <c r="B5280" s="28" t="s">
        <v>110</v>
      </c>
      <c r="C5280" s="28" t="s">
        <v>56</v>
      </c>
      <c r="D5280" s="28" t="n">
        <v>22</v>
      </c>
      <c r="E5280" s="29" t="n">
        <v>9394300</v>
      </c>
      <c r="F5280" s="30" t="n">
        <v>227.13</v>
      </c>
      <c r="G5280" s="31" t="n">
        <f aca="false">IFERROR(F5280/D5280,0)</f>
        <v>10.3240909090909</v>
      </c>
    </row>
    <row r="5281" customFormat="false" ht="15" hidden="false" customHeight="false" outlineLevel="0" collapsed="false">
      <c r="A5281" s="28" t="n">
        <v>2025</v>
      </c>
      <c r="B5281" s="28" t="s">
        <v>110</v>
      </c>
      <c r="C5281" s="28" t="s">
        <v>54</v>
      </c>
      <c r="D5281" s="28" t="n">
        <v>11</v>
      </c>
      <c r="E5281" s="29" t="n">
        <v>6706000</v>
      </c>
      <c r="F5281" s="30" t="n">
        <v>104.63</v>
      </c>
      <c r="G5281" s="31" t="n">
        <f aca="false">IFERROR(F5281/D5281,0)</f>
        <v>9.51181818181818</v>
      </c>
    </row>
    <row r="5282" customFormat="false" ht="15" hidden="false" customHeight="false" outlineLevel="0" collapsed="false">
      <c r="A5282" s="28" t="n">
        <v>2025</v>
      </c>
      <c r="B5282" s="28" t="s">
        <v>110</v>
      </c>
      <c r="C5282" s="28" t="s">
        <v>44</v>
      </c>
      <c r="D5282" s="28" t="n">
        <v>56</v>
      </c>
      <c r="E5282" s="29" t="n">
        <v>32551400</v>
      </c>
      <c r="F5282" s="30" t="n">
        <v>569.32</v>
      </c>
      <c r="G5282" s="31" t="n">
        <f aca="false">IFERROR(F5282/D5282,0)</f>
        <v>10.1664285714286</v>
      </c>
    </row>
    <row r="5283" customFormat="false" ht="15" hidden="false" customHeight="false" outlineLevel="0" collapsed="false">
      <c r="A5283" s="28" t="n">
        <v>2025</v>
      </c>
      <c r="B5283" s="28" t="s">
        <v>110</v>
      </c>
      <c r="C5283" s="28" t="s">
        <v>57</v>
      </c>
      <c r="D5283" s="28" t="n">
        <v>14</v>
      </c>
      <c r="E5283" s="29" t="n">
        <v>10770900</v>
      </c>
      <c r="F5283" s="30" t="n">
        <v>143.5</v>
      </c>
      <c r="G5283" s="31" t="n">
        <f aca="false">IFERROR(F5283/D5283,0)</f>
        <v>10.25</v>
      </c>
    </row>
    <row r="5284" customFormat="false" ht="15" hidden="false" customHeight="false" outlineLevel="0" collapsed="false">
      <c r="A5284" s="28" t="n">
        <v>2025</v>
      </c>
      <c r="B5284" s="28" t="s">
        <v>110</v>
      </c>
      <c r="C5284" s="28" t="s">
        <v>59</v>
      </c>
      <c r="D5284" s="28" t="n">
        <v>1</v>
      </c>
      <c r="E5284" s="29" t="n">
        <v>49000</v>
      </c>
      <c r="F5284" s="30" t="n">
        <v>12.49</v>
      </c>
      <c r="G5284" s="31" t="n">
        <f aca="false">IFERROR(F5284/D5284,0)</f>
        <v>12.49</v>
      </c>
    </row>
    <row r="5285" customFormat="false" ht="15" hidden="false" customHeight="false" outlineLevel="0" collapsed="false">
      <c r="A5285" s="28" t="n">
        <v>2025</v>
      </c>
      <c r="B5285" s="28" t="s">
        <v>110</v>
      </c>
      <c r="C5285" s="28" t="s">
        <v>47</v>
      </c>
      <c r="D5285" s="28" t="n">
        <v>43</v>
      </c>
      <c r="E5285" s="29" t="n">
        <v>37028700</v>
      </c>
      <c r="F5285" s="30" t="n">
        <v>444.55</v>
      </c>
      <c r="G5285" s="31" t="n">
        <f aca="false">IFERROR(F5285/D5285,0)</f>
        <v>10.3383720930233</v>
      </c>
    </row>
    <row r="5286" customFormat="false" ht="15" hidden="false" customHeight="false" outlineLevel="0" collapsed="false">
      <c r="A5286" s="28" t="n">
        <v>2025</v>
      </c>
      <c r="B5286" s="28" t="s">
        <v>110</v>
      </c>
      <c r="C5286" s="28" t="s">
        <v>58</v>
      </c>
      <c r="D5286" s="28" t="n">
        <v>1</v>
      </c>
      <c r="E5286" s="29" t="n">
        <v>150000</v>
      </c>
      <c r="F5286" s="30" t="n">
        <v>12.5</v>
      </c>
      <c r="G5286" s="31" t="n">
        <f aca="false">IFERROR(F5286/D5286,0)</f>
        <v>12.5</v>
      </c>
    </row>
    <row r="5287" customFormat="false" ht="15" hidden="false" customHeight="false" outlineLevel="0" collapsed="false">
      <c r="A5287" s="28" t="n">
        <v>2025</v>
      </c>
      <c r="B5287" s="28" t="s">
        <v>110</v>
      </c>
      <c r="C5287" s="28" t="s">
        <v>46</v>
      </c>
      <c r="D5287" s="28" t="n">
        <v>90</v>
      </c>
      <c r="E5287" s="29" t="n">
        <v>50539200</v>
      </c>
      <c r="F5287" s="30" t="n">
        <v>915.2</v>
      </c>
      <c r="G5287" s="31" t="n">
        <f aca="false">IFERROR(F5287/D5287,0)</f>
        <v>10.1688888888889</v>
      </c>
    </row>
    <row r="5288" customFormat="false" ht="15" hidden="false" customHeight="false" outlineLevel="0" collapsed="false">
      <c r="A5288" s="28" t="n">
        <v>2025</v>
      </c>
      <c r="B5288" s="28" t="s">
        <v>110</v>
      </c>
      <c r="C5288" s="28" t="s">
        <v>48</v>
      </c>
      <c r="D5288" s="28" t="n">
        <v>69</v>
      </c>
      <c r="E5288" s="29" t="n">
        <v>39038400</v>
      </c>
      <c r="F5288" s="30" t="n">
        <v>726.405</v>
      </c>
      <c r="G5288" s="31" t="n">
        <f aca="false">IFERROR(F5288/D5288,0)</f>
        <v>10.5276086956522</v>
      </c>
    </row>
    <row r="5289" customFormat="false" ht="15" hidden="false" customHeight="false" outlineLevel="0" collapsed="false">
      <c r="A5289" s="28" t="n">
        <v>2025</v>
      </c>
      <c r="B5289" s="28" t="s">
        <v>110</v>
      </c>
      <c r="C5289" s="28" t="s">
        <v>61</v>
      </c>
      <c r="D5289" s="28" t="n">
        <v>1</v>
      </c>
      <c r="E5289" s="29" t="n">
        <v>142000</v>
      </c>
      <c r="F5289" s="30" t="n">
        <v>10.5</v>
      </c>
      <c r="G5289" s="31" t="n">
        <f aca="false">IFERROR(F5289/D5289,0)</f>
        <v>10.5</v>
      </c>
    </row>
    <row r="5290" customFormat="false" ht="15" hidden="false" customHeight="false" outlineLevel="0" collapsed="false">
      <c r="A5290" s="28" t="n">
        <v>2025</v>
      </c>
      <c r="B5290" s="28" t="s">
        <v>110</v>
      </c>
      <c r="C5290" s="28" t="s">
        <v>53</v>
      </c>
      <c r="D5290" s="28" t="n">
        <v>17</v>
      </c>
      <c r="E5290" s="29" t="n">
        <v>11679000</v>
      </c>
      <c r="F5290" s="30" t="n">
        <v>169.04</v>
      </c>
      <c r="G5290" s="31" t="n">
        <f aca="false">IFERROR(F5290/D5290,0)</f>
        <v>9.94352941176471</v>
      </c>
    </row>
    <row r="5291" customFormat="false" ht="15" hidden="false" customHeight="false" outlineLevel="0" collapsed="false">
      <c r="A5291" s="28" t="n">
        <v>2025</v>
      </c>
      <c r="B5291" s="28" t="s">
        <v>110</v>
      </c>
      <c r="C5291" s="28" t="s">
        <v>43</v>
      </c>
      <c r="D5291" s="28" t="n">
        <v>117</v>
      </c>
      <c r="E5291" s="29" t="n">
        <v>60676600</v>
      </c>
      <c r="F5291" s="30" t="n">
        <v>1209.57</v>
      </c>
      <c r="G5291" s="31" t="n">
        <f aca="false">IFERROR(F5291/D5291,0)</f>
        <v>10.3382051282051</v>
      </c>
    </row>
    <row r="5292" customFormat="false" ht="15" hidden="false" customHeight="false" outlineLevel="0" collapsed="false">
      <c r="A5292" s="28" t="n">
        <v>2025</v>
      </c>
      <c r="B5292" s="28" t="s">
        <v>110</v>
      </c>
      <c r="C5292" s="28" t="s">
        <v>52</v>
      </c>
      <c r="D5292" s="28" t="n">
        <v>19</v>
      </c>
      <c r="E5292" s="29" t="n">
        <v>13670200</v>
      </c>
      <c r="F5292" s="30" t="n">
        <v>202.3</v>
      </c>
      <c r="G5292" s="31" t="n">
        <f aca="false">IFERROR(F5292/D5292,0)</f>
        <v>10.6473684210526</v>
      </c>
    </row>
    <row r="5293" customFormat="false" ht="15" hidden="false" customHeight="false" outlineLevel="0" collapsed="false">
      <c r="A5293" s="28" t="n">
        <v>2025</v>
      </c>
      <c r="B5293" s="28" t="s">
        <v>110</v>
      </c>
      <c r="C5293" s="28" t="s">
        <v>49</v>
      </c>
      <c r="D5293" s="28" t="n">
        <v>23</v>
      </c>
      <c r="E5293" s="29" t="n">
        <v>21145300</v>
      </c>
      <c r="F5293" s="30" t="n">
        <v>231.16</v>
      </c>
      <c r="G5293" s="31" t="n">
        <f aca="false">IFERROR(F5293/D5293,0)</f>
        <v>10.0504347826087</v>
      </c>
    </row>
    <row r="5294" customFormat="false" ht="15" hidden="false" customHeight="false" outlineLevel="0" collapsed="false">
      <c r="A5294" s="28" t="n">
        <v>2025</v>
      </c>
      <c r="B5294" s="28" t="s">
        <v>77</v>
      </c>
      <c r="C5294" s="28" t="s">
        <v>42</v>
      </c>
      <c r="D5294" s="28" t="n">
        <v>685</v>
      </c>
      <c r="E5294" s="29" t="n">
        <v>734629100</v>
      </c>
      <c r="F5294" s="30" t="n">
        <v>6593.9</v>
      </c>
      <c r="G5294" s="31" t="n">
        <f aca="false">IFERROR(F5294/D5294,0)</f>
        <v>9.62613138686131</v>
      </c>
    </row>
    <row r="5295" customFormat="false" ht="15" hidden="false" customHeight="false" outlineLevel="0" collapsed="false">
      <c r="A5295" s="28" t="n">
        <v>2025</v>
      </c>
      <c r="B5295" s="28" t="s">
        <v>77</v>
      </c>
      <c r="C5295" s="28" t="s">
        <v>50</v>
      </c>
      <c r="D5295" s="28" t="n">
        <v>295</v>
      </c>
      <c r="E5295" s="29" t="n">
        <v>123807500</v>
      </c>
      <c r="F5295" s="30" t="n">
        <v>3033.505</v>
      </c>
      <c r="G5295" s="31" t="n">
        <f aca="false">IFERROR(F5295/D5295,0)</f>
        <v>10.2830677966102</v>
      </c>
    </row>
    <row r="5296" customFormat="false" ht="15" hidden="false" customHeight="false" outlineLevel="0" collapsed="false">
      <c r="A5296" s="28" t="n">
        <v>2025</v>
      </c>
      <c r="B5296" s="28" t="s">
        <v>77</v>
      </c>
      <c r="C5296" s="28" t="s">
        <v>55</v>
      </c>
      <c r="D5296" s="28" t="n">
        <v>32</v>
      </c>
      <c r="E5296" s="29" t="n">
        <v>48281800</v>
      </c>
      <c r="F5296" s="30" t="n">
        <v>296.02</v>
      </c>
      <c r="G5296" s="31" t="n">
        <f aca="false">IFERROR(F5296/D5296,0)</f>
        <v>9.250625</v>
      </c>
    </row>
    <row r="5297" customFormat="false" ht="15" hidden="false" customHeight="false" outlineLevel="0" collapsed="false">
      <c r="A5297" s="28" t="n">
        <v>2025</v>
      </c>
      <c r="B5297" s="28" t="s">
        <v>77</v>
      </c>
      <c r="C5297" s="28" t="s">
        <v>51</v>
      </c>
      <c r="D5297" s="28" t="n">
        <v>234</v>
      </c>
      <c r="E5297" s="29" t="n">
        <v>142373300</v>
      </c>
      <c r="F5297" s="30" t="n">
        <v>2359.5</v>
      </c>
      <c r="G5297" s="31" t="n">
        <f aca="false">IFERROR(F5297/D5297,0)</f>
        <v>10.0833333333333</v>
      </c>
    </row>
    <row r="5298" customFormat="false" ht="15" hidden="false" customHeight="false" outlineLevel="0" collapsed="false">
      <c r="A5298" s="28" t="n">
        <v>2025</v>
      </c>
      <c r="B5298" s="28" t="s">
        <v>77</v>
      </c>
      <c r="C5298" s="28" t="s">
        <v>45</v>
      </c>
      <c r="D5298" s="28" t="n">
        <v>570</v>
      </c>
      <c r="E5298" s="29" t="n">
        <v>258032800</v>
      </c>
      <c r="F5298" s="30" t="n">
        <v>6095.335</v>
      </c>
      <c r="G5298" s="31" t="n">
        <f aca="false">IFERROR(F5298/D5298,0)</f>
        <v>10.6935701754386</v>
      </c>
    </row>
    <row r="5299" customFormat="false" ht="15" hidden="false" customHeight="false" outlineLevel="0" collapsed="false">
      <c r="A5299" s="28" t="n">
        <v>2025</v>
      </c>
      <c r="B5299" s="28" t="s">
        <v>77</v>
      </c>
      <c r="C5299" s="28" t="s">
        <v>56</v>
      </c>
      <c r="D5299" s="28" t="n">
        <v>107</v>
      </c>
      <c r="E5299" s="29" t="n">
        <v>77456600</v>
      </c>
      <c r="F5299" s="30" t="n">
        <v>1055.185</v>
      </c>
      <c r="G5299" s="31" t="n">
        <f aca="false">IFERROR(F5299/D5299,0)</f>
        <v>9.86154205607477</v>
      </c>
    </row>
    <row r="5300" customFormat="false" ht="15" hidden="false" customHeight="false" outlineLevel="0" collapsed="false">
      <c r="A5300" s="28" t="n">
        <v>2025</v>
      </c>
      <c r="B5300" s="28" t="s">
        <v>77</v>
      </c>
      <c r="C5300" s="28" t="s">
        <v>54</v>
      </c>
      <c r="D5300" s="28" t="n">
        <v>127</v>
      </c>
      <c r="E5300" s="29" t="n">
        <v>56512100</v>
      </c>
      <c r="F5300" s="30" t="n">
        <v>1289.85</v>
      </c>
      <c r="G5300" s="31" t="n">
        <f aca="false">IFERROR(F5300/D5300,0)</f>
        <v>10.1562992125984</v>
      </c>
    </row>
    <row r="5301" customFormat="false" ht="15" hidden="false" customHeight="false" outlineLevel="0" collapsed="false">
      <c r="A5301" s="28" t="n">
        <v>2025</v>
      </c>
      <c r="B5301" s="28" t="s">
        <v>77</v>
      </c>
      <c r="C5301" s="28" t="s">
        <v>44</v>
      </c>
      <c r="D5301" s="28" t="n">
        <v>613</v>
      </c>
      <c r="E5301" s="29" t="n">
        <v>415636900</v>
      </c>
      <c r="F5301" s="30" t="n">
        <v>6078.985</v>
      </c>
      <c r="G5301" s="31" t="n">
        <f aca="false">IFERROR(F5301/D5301,0)</f>
        <v>9.91677814029364</v>
      </c>
    </row>
    <row r="5302" customFormat="false" ht="15" hidden="false" customHeight="false" outlineLevel="0" collapsed="false">
      <c r="A5302" s="28" t="n">
        <v>2025</v>
      </c>
      <c r="B5302" s="28" t="s">
        <v>77</v>
      </c>
      <c r="C5302" s="28" t="s">
        <v>57</v>
      </c>
      <c r="D5302" s="28" t="n">
        <v>59</v>
      </c>
      <c r="E5302" s="29" t="n">
        <v>21289200</v>
      </c>
      <c r="F5302" s="30" t="n">
        <v>640.76</v>
      </c>
      <c r="G5302" s="31" t="n">
        <f aca="false">IFERROR(F5302/D5302,0)</f>
        <v>10.8603389830508</v>
      </c>
    </row>
    <row r="5303" customFormat="false" ht="15" hidden="false" customHeight="false" outlineLevel="0" collapsed="false">
      <c r="A5303" s="28" t="n">
        <v>2025</v>
      </c>
      <c r="B5303" s="28" t="s">
        <v>77</v>
      </c>
      <c r="C5303" s="28" t="s">
        <v>59</v>
      </c>
      <c r="D5303" s="28" t="n">
        <v>3</v>
      </c>
      <c r="E5303" s="29" t="n">
        <v>2411700</v>
      </c>
      <c r="F5303" s="30" t="n">
        <v>23.75</v>
      </c>
      <c r="G5303" s="31" t="n">
        <f aca="false">IFERROR(F5303/D5303,0)</f>
        <v>7.91666666666667</v>
      </c>
    </row>
    <row r="5304" customFormat="false" ht="15" hidden="false" customHeight="false" outlineLevel="0" collapsed="false">
      <c r="A5304" s="28" t="n">
        <v>2025</v>
      </c>
      <c r="B5304" s="28" t="s">
        <v>77</v>
      </c>
      <c r="C5304" s="28" t="s">
        <v>47</v>
      </c>
      <c r="D5304" s="28" t="n">
        <v>236</v>
      </c>
      <c r="E5304" s="29" t="n">
        <v>192212000</v>
      </c>
      <c r="F5304" s="30" t="n">
        <v>2396.47</v>
      </c>
      <c r="G5304" s="31" t="n">
        <f aca="false">IFERROR(F5304/D5304,0)</f>
        <v>10.1545338983051</v>
      </c>
    </row>
    <row r="5305" customFormat="false" ht="15" hidden="false" customHeight="false" outlineLevel="0" collapsed="false">
      <c r="A5305" s="28" t="n">
        <v>2025</v>
      </c>
      <c r="B5305" s="28" t="s">
        <v>77</v>
      </c>
      <c r="C5305" s="28" t="s">
        <v>58</v>
      </c>
      <c r="D5305" s="28" t="n">
        <v>18</v>
      </c>
      <c r="E5305" s="29" t="n">
        <v>22348400</v>
      </c>
      <c r="F5305" s="30" t="n">
        <v>197.639</v>
      </c>
      <c r="G5305" s="31" t="n">
        <f aca="false">IFERROR(F5305/D5305,0)</f>
        <v>10.9799444444444</v>
      </c>
    </row>
    <row r="5306" customFormat="false" ht="15" hidden="false" customHeight="false" outlineLevel="0" collapsed="false">
      <c r="A5306" s="28" t="n">
        <v>2025</v>
      </c>
      <c r="B5306" s="28" t="s">
        <v>77</v>
      </c>
      <c r="C5306" s="28" t="s">
        <v>46</v>
      </c>
      <c r="D5306" s="28" t="n">
        <v>580</v>
      </c>
      <c r="E5306" s="29" t="n">
        <v>365812000</v>
      </c>
      <c r="F5306" s="30" t="n">
        <v>5940.135</v>
      </c>
      <c r="G5306" s="31" t="n">
        <f aca="false">IFERROR(F5306/D5306,0)</f>
        <v>10.2416120689655</v>
      </c>
    </row>
    <row r="5307" customFormat="false" ht="15" hidden="false" customHeight="false" outlineLevel="0" collapsed="false">
      <c r="A5307" s="28" t="n">
        <v>2025</v>
      </c>
      <c r="B5307" s="28" t="s">
        <v>77</v>
      </c>
      <c r="C5307" s="28" t="s">
        <v>48</v>
      </c>
      <c r="D5307" s="28" t="n">
        <v>569</v>
      </c>
      <c r="E5307" s="29" t="n">
        <v>292121000</v>
      </c>
      <c r="F5307" s="30" t="n">
        <v>5976.16</v>
      </c>
      <c r="G5307" s="31" t="n">
        <f aca="false">IFERROR(F5307/D5307,0)</f>
        <v>10.5029173989455</v>
      </c>
    </row>
    <row r="5308" customFormat="false" ht="15" hidden="false" customHeight="false" outlineLevel="0" collapsed="false">
      <c r="A5308" s="28" t="n">
        <v>2025</v>
      </c>
      <c r="B5308" s="28" t="s">
        <v>77</v>
      </c>
      <c r="C5308" s="28" t="s">
        <v>53</v>
      </c>
      <c r="D5308" s="28" t="n">
        <v>76</v>
      </c>
      <c r="E5308" s="29" t="n">
        <v>48386200</v>
      </c>
      <c r="F5308" s="30" t="n">
        <v>805.09</v>
      </c>
      <c r="G5308" s="31" t="n">
        <f aca="false">IFERROR(F5308/D5308,0)</f>
        <v>10.5932894736842</v>
      </c>
    </row>
    <row r="5309" customFormat="false" ht="15" hidden="false" customHeight="false" outlineLevel="0" collapsed="false">
      <c r="A5309" s="28" t="n">
        <v>2025</v>
      </c>
      <c r="B5309" s="28" t="s">
        <v>77</v>
      </c>
      <c r="C5309" s="28" t="s">
        <v>43</v>
      </c>
      <c r="D5309" s="28" t="n">
        <v>578</v>
      </c>
      <c r="E5309" s="29" t="n">
        <v>454180400</v>
      </c>
      <c r="F5309" s="30" t="n">
        <v>5824.225</v>
      </c>
      <c r="G5309" s="31" t="n">
        <f aca="false">IFERROR(F5309/D5309,0)</f>
        <v>10.0765138408305</v>
      </c>
    </row>
    <row r="5310" customFormat="false" ht="15" hidden="false" customHeight="false" outlineLevel="0" collapsed="false">
      <c r="A5310" s="28" t="n">
        <v>2025</v>
      </c>
      <c r="B5310" s="28" t="s">
        <v>77</v>
      </c>
      <c r="C5310" s="28" t="s">
        <v>52</v>
      </c>
      <c r="D5310" s="28" t="n">
        <v>164</v>
      </c>
      <c r="E5310" s="29" t="n">
        <v>79755000</v>
      </c>
      <c r="F5310" s="30" t="n">
        <v>1768.12</v>
      </c>
      <c r="G5310" s="31" t="n">
        <f aca="false">IFERROR(F5310/D5310,0)</f>
        <v>10.7812195121951</v>
      </c>
    </row>
    <row r="5311" customFormat="false" ht="15" hidden="false" customHeight="false" outlineLevel="0" collapsed="false">
      <c r="A5311" s="28" t="n">
        <v>2025</v>
      </c>
      <c r="B5311" s="28" t="s">
        <v>77</v>
      </c>
      <c r="C5311" s="28" t="s">
        <v>60</v>
      </c>
      <c r="D5311" s="28" t="n">
        <v>13</v>
      </c>
      <c r="E5311" s="29" t="n">
        <v>7625200</v>
      </c>
      <c r="F5311" s="30" t="n">
        <v>132</v>
      </c>
      <c r="G5311" s="31" t="n">
        <f aca="false">IFERROR(F5311/D5311,0)</f>
        <v>10.1538461538462</v>
      </c>
    </row>
    <row r="5312" customFormat="false" ht="15" hidden="false" customHeight="false" outlineLevel="0" collapsed="false">
      <c r="A5312" s="28" t="n">
        <v>2025</v>
      </c>
      <c r="B5312" s="28" t="s">
        <v>77</v>
      </c>
      <c r="C5312" s="28" t="s">
        <v>49</v>
      </c>
      <c r="D5312" s="28" t="n">
        <v>164</v>
      </c>
      <c r="E5312" s="29" t="n">
        <v>147255800</v>
      </c>
      <c r="F5312" s="30" t="n">
        <v>1640.18</v>
      </c>
      <c r="G5312" s="31" t="n">
        <f aca="false">IFERROR(F5312/D5312,0)</f>
        <v>10.0010975609756</v>
      </c>
    </row>
    <row r="5313" customFormat="false" ht="15" hidden="false" customHeight="false" outlineLevel="0" collapsed="false">
      <c r="A5313" s="28" t="n">
        <v>2025</v>
      </c>
      <c r="B5313" s="28" t="s">
        <v>105</v>
      </c>
      <c r="C5313" s="28" t="s">
        <v>42</v>
      </c>
      <c r="D5313" s="28" t="n">
        <v>101</v>
      </c>
      <c r="E5313" s="29" t="n">
        <v>52682800</v>
      </c>
      <c r="F5313" s="30" t="n">
        <v>1009.42</v>
      </c>
      <c r="G5313" s="31" t="n">
        <f aca="false">IFERROR(F5313/D5313,0)</f>
        <v>9.99425742574258</v>
      </c>
    </row>
    <row r="5314" customFormat="false" ht="15" hidden="false" customHeight="false" outlineLevel="0" collapsed="false">
      <c r="A5314" s="28" t="n">
        <v>2025</v>
      </c>
      <c r="B5314" s="28" t="s">
        <v>105</v>
      </c>
      <c r="C5314" s="28" t="s">
        <v>50</v>
      </c>
      <c r="D5314" s="28" t="n">
        <v>72</v>
      </c>
      <c r="E5314" s="29" t="n">
        <v>24177800</v>
      </c>
      <c r="F5314" s="30" t="n">
        <v>728.48</v>
      </c>
      <c r="G5314" s="31" t="n">
        <f aca="false">IFERROR(F5314/D5314,0)</f>
        <v>10.1177777777778</v>
      </c>
    </row>
    <row r="5315" customFormat="false" ht="15" hidden="false" customHeight="false" outlineLevel="0" collapsed="false">
      <c r="A5315" s="28" t="n">
        <v>2025</v>
      </c>
      <c r="B5315" s="28" t="s">
        <v>105</v>
      </c>
      <c r="C5315" s="28" t="s">
        <v>55</v>
      </c>
      <c r="D5315" s="28" t="n">
        <v>1</v>
      </c>
      <c r="E5315" s="29" t="n">
        <v>10000</v>
      </c>
      <c r="F5315" s="30" t="n">
        <v>14</v>
      </c>
      <c r="G5315" s="31" t="n">
        <f aca="false">IFERROR(F5315/D5315,0)</f>
        <v>14</v>
      </c>
    </row>
    <row r="5316" customFormat="false" ht="15" hidden="false" customHeight="false" outlineLevel="0" collapsed="false">
      <c r="A5316" s="28" t="n">
        <v>2025</v>
      </c>
      <c r="B5316" s="28" t="s">
        <v>105</v>
      </c>
      <c r="C5316" s="28" t="s">
        <v>51</v>
      </c>
      <c r="D5316" s="28" t="n">
        <v>49</v>
      </c>
      <c r="E5316" s="29" t="n">
        <v>17960600</v>
      </c>
      <c r="F5316" s="30" t="n">
        <v>501.28</v>
      </c>
      <c r="G5316" s="31" t="n">
        <f aca="false">IFERROR(F5316/D5316,0)</f>
        <v>10.2302040816327</v>
      </c>
    </row>
    <row r="5317" customFormat="false" ht="15" hidden="false" customHeight="false" outlineLevel="0" collapsed="false">
      <c r="A5317" s="28" t="n">
        <v>2025</v>
      </c>
      <c r="B5317" s="28" t="s">
        <v>105</v>
      </c>
      <c r="C5317" s="28" t="s">
        <v>45</v>
      </c>
      <c r="D5317" s="28" t="n">
        <v>177</v>
      </c>
      <c r="E5317" s="29" t="n">
        <v>89663300</v>
      </c>
      <c r="F5317" s="30" t="n">
        <v>1871.39</v>
      </c>
      <c r="G5317" s="31" t="n">
        <f aca="false">IFERROR(F5317/D5317,0)</f>
        <v>10.5728248587571</v>
      </c>
    </row>
    <row r="5318" customFormat="false" ht="15" hidden="false" customHeight="false" outlineLevel="0" collapsed="false">
      <c r="A5318" s="28" t="n">
        <v>2025</v>
      </c>
      <c r="B5318" s="28" t="s">
        <v>105</v>
      </c>
      <c r="C5318" s="28" t="s">
        <v>56</v>
      </c>
      <c r="D5318" s="28" t="n">
        <v>30</v>
      </c>
      <c r="E5318" s="29" t="n">
        <v>8236700</v>
      </c>
      <c r="F5318" s="30" t="n">
        <v>301.84</v>
      </c>
      <c r="G5318" s="31" t="n">
        <f aca="false">IFERROR(F5318/D5318,0)</f>
        <v>10.0613333333333</v>
      </c>
    </row>
    <row r="5319" customFormat="false" ht="15" hidden="false" customHeight="false" outlineLevel="0" collapsed="false">
      <c r="A5319" s="28" t="n">
        <v>2025</v>
      </c>
      <c r="B5319" s="28" t="s">
        <v>105</v>
      </c>
      <c r="C5319" s="28" t="s">
        <v>54</v>
      </c>
      <c r="D5319" s="28" t="n">
        <v>28</v>
      </c>
      <c r="E5319" s="29" t="n">
        <v>6396600</v>
      </c>
      <c r="F5319" s="30" t="n">
        <v>289.965</v>
      </c>
      <c r="G5319" s="31" t="n">
        <f aca="false">IFERROR(F5319/D5319,0)</f>
        <v>10.3558928571429</v>
      </c>
    </row>
    <row r="5320" customFormat="false" ht="15" hidden="false" customHeight="false" outlineLevel="0" collapsed="false">
      <c r="A5320" s="28" t="n">
        <v>2025</v>
      </c>
      <c r="B5320" s="28" t="s">
        <v>105</v>
      </c>
      <c r="C5320" s="28" t="s">
        <v>44</v>
      </c>
      <c r="D5320" s="28" t="n">
        <v>118</v>
      </c>
      <c r="E5320" s="29" t="n">
        <v>57324000</v>
      </c>
      <c r="F5320" s="30" t="n">
        <v>1197.505</v>
      </c>
      <c r="G5320" s="31" t="n">
        <f aca="false">IFERROR(F5320/D5320,0)</f>
        <v>10.1483474576271</v>
      </c>
    </row>
    <row r="5321" customFormat="false" ht="15" hidden="false" customHeight="false" outlineLevel="0" collapsed="false">
      <c r="A5321" s="28" t="n">
        <v>2025</v>
      </c>
      <c r="B5321" s="28" t="s">
        <v>105</v>
      </c>
      <c r="C5321" s="28" t="s">
        <v>57</v>
      </c>
      <c r="D5321" s="28" t="n">
        <v>4</v>
      </c>
      <c r="E5321" s="29" t="n">
        <v>5626000</v>
      </c>
      <c r="F5321" s="30" t="n">
        <v>39.74</v>
      </c>
      <c r="G5321" s="31" t="n">
        <f aca="false">IFERROR(F5321/D5321,0)</f>
        <v>9.935</v>
      </c>
    </row>
    <row r="5322" customFormat="false" ht="15" hidden="false" customHeight="false" outlineLevel="0" collapsed="false">
      <c r="A5322" s="28" t="n">
        <v>2025</v>
      </c>
      <c r="B5322" s="28" t="s">
        <v>105</v>
      </c>
      <c r="C5322" s="28" t="s">
        <v>59</v>
      </c>
      <c r="D5322" s="28" t="n">
        <v>2</v>
      </c>
      <c r="E5322" s="29" t="n">
        <v>350000</v>
      </c>
      <c r="F5322" s="30" t="n">
        <v>23.25</v>
      </c>
      <c r="G5322" s="31" t="n">
        <f aca="false">IFERROR(F5322/D5322,0)</f>
        <v>11.625</v>
      </c>
    </row>
    <row r="5323" customFormat="false" ht="15" hidden="false" customHeight="false" outlineLevel="0" collapsed="false">
      <c r="A5323" s="28" t="n">
        <v>2025</v>
      </c>
      <c r="B5323" s="28" t="s">
        <v>105</v>
      </c>
      <c r="C5323" s="28" t="s">
        <v>47</v>
      </c>
      <c r="D5323" s="28" t="n">
        <v>91</v>
      </c>
      <c r="E5323" s="29" t="n">
        <v>57461900</v>
      </c>
      <c r="F5323" s="30" t="n">
        <v>918.44</v>
      </c>
      <c r="G5323" s="31" t="n">
        <f aca="false">IFERROR(F5323/D5323,0)</f>
        <v>10.0927472527473</v>
      </c>
    </row>
    <row r="5324" customFormat="false" ht="15" hidden="false" customHeight="false" outlineLevel="0" collapsed="false">
      <c r="A5324" s="28" t="n">
        <v>2025</v>
      </c>
      <c r="B5324" s="28" t="s">
        <v>105</v>
      </c>
      <c r="C5324" s="28" t="s">
        <v>58</v>
      </c>
      <c r="D5324" s="28" t="n">
        <v>2</v>
      </c>
      <c r="E5324" s="29" t="n">
        <v>5062000</v>
      </c>
      <c r="F5324" s="30" t="n">
        <v>19.99</v>
      </c>
      <c r="G5324" s="31" t="n">
        <f aca="false">IFERROR(F5324/D5324,0)</f>
        <v>9.995</v>
      </c>
    </row>
    <row r="5325" customFormat="false" ht="15" hidden="false" customHeight="false" outlineLevel="0" collapsed="false">
      <c r="A5325" s="28" t="n">
        <v>2025</v>
      </c>
      <c r="B5325" s="28" t="s">
        <v>105</v>
      </c>
      <c r="C5325" s="28" t="s">
        <v>46</v>
      </c>
      <c r="D5325" s="28" t="n">
        <v>122</v>
      </c>
      <c r="E5325" s="29" t="n">
        <v>47433300</v>
      </c>
      <c r="F5325" s="30" t="n">
        <v>1214.24</v>
      </c>
      <c r="G5325" s="31" t="n">
        <f aca="false">IFERROR(F5325/D5325,0)</f>
        <v>9.9527868852459</v>
      </c>
    </row>
    <row r="5326" customFormat="false" ht="15" hidden="false" customHeight="false" outlineLevel="0" collapsed="false">
      <c r="A5326" s="28" t="n">
        <v>2025</v>
      </c>
      <c r="B5326" s="28" t="s">
        <v>105</v>
      </c>
      <c r="C5326" s="28" t="s">
        <v>48</v>
      </c>
      <c r="D5326" s="28" t="n">
        <v>92</v>
      </c>
      <c r="E5326" s="29" t="n">
        <v>40352700</v>
      </c>
      <c r="F5326" s="30" t="n">
        <v>949.67</v>
      </c>
      <c r="G5326" s="31" t="n">
        <f aca="false">IFERROR(F5326/D5326,0)</f>
        <v>10.3225</v>
      </c>
    </row>
    <row r="5327" customFormat="false" ht="15" hidden="false" customHeight="false" outlineLevel="0" collapsed="false">
      <c r="A5327" s="28" t="n">
        <v>2025</v>
      </c>
      <c r="B5327" s="28" t="s">
        <v>105</v>
      </c>
      <c r="C5327" s="28" t="s">
        <v>53</v>
      </c>
      <c r="D5327" s="28" t="n">
        <v>26</v>
      </c>
      <c r="E5327" s="29" t="n">
        <v>4364100</v>
      </c>
      <c r="F5327" s="30" t="n">
        <v>280.94</v>
      </c>
      <c r="G5327" s="31" t="n">
        <f aca="false">IFERROR(F5327/D5327,0)</f>
        <v>10.8053846153846</v>
      </c>
    </row>
    <row r="5328" customFormat="false" ht="15" hidden="false" customHeight="false" outlineLevel="0" collapsed="false">
      <c r="A5328" s="28" t="n">
        <v>2025</v>
      </c>
      <c r="B5328" s="28" t="s">
        <v>105</v>
      </c>
      <c r="C5328" s="28" t="s">
        <v>43</v>
      </c>
      <c r="D5328" s="28" t="n">
        <v>141</v>
      </c>
      <c r="E5328" s="29" t="n">
        <v>59388100</v>
      </c>
      <c r="F5328" s="30" t="n">
        <v>1448.54</v>
      </c>
      <c r="G5328" s="31" t="n">
        <f aca="false">IFERROR(F5328/D5328,0)</f>
        <v>10.2733333333333</v>
      </c>
    </row>
    <row r="5329" customFormat="false" ht="15" hidden="false" customHeight="false" outlineLevel="0" collapsed="false">
      <c r="A5329" s="28" t="n">
        <v>2025</v>
      </c>
      <c r="B5329" s="28" t="s">
        <v>105</v>
      </c>
      <c r="C5329" s="28" t="s">
        <v>52</v>
      </c>
      <c r="D5329" s="28" t="n">
        <v>30</v>
      </c>
      <c r="E5329" s="29" t="n">
        <v>16763300</v>
      </c>
      <c r="F5329" s="30" t="n">
        <v>312.75</v>
      </c>
      <c r="G5329" s="31" t="n">
        <f aca="false">IFERROR(F5329/D5329,0)</f>
        <v>10.425</v>
      </c>
    </row>
    <row r="5330" customFormat="false" ht="15" hidden="false" customHeight="false" outlineLevel="0" collapsed="false">
      <c r="A5330" s="28" t="n">
        <v>2025</v>
      </c>
      <c r="B5330" s="28" t="s">
        <v>105</v>
      </c>
      <c r="C5330" s="28" t="s">
        <v>60</v>
      </c>
      <c r="D5330" s="28" t="n">
        <v>1</v>
      </c>
      <c r="E5330" s="29" t="n">
        <v>300000</v>
      </c>
      <c r="F5330" s="30" t="n">
        <v>12</v>
      </c>
      <c r="G5330" s="31" t="n">
        <f aca="false">IFERROR(F5330/D5330,0)</f>
        <v>12</v>
      </c>
    </row>
    <row r="5331" customFormat="false" ht="15" hidden="false" customHeight="false" outlineLevel="0" collapsed="false">
      <c r="A5331" s="28" t="n">
        <v>2025</v>
      </c>
      <c r="B5331" s="28" t="s">
        <v>105</v>
      </c>
      <c r="C5331" s="28" t="s">
        <v>49</v>
      </c>
      <c r="D5331" s="28" t="n">
        <v>74</v>
      </c>
      <c r="E5331" s="29" t="n">
        <v>37107900</v>
      </c>
      <c r="F5331" s="30" t="n">
        <v>761.72</v>
      </c>
      <c r="G5331" s="31" t="n">
        <f aca="false">IFERROR(F5331/D5331,0)</f>
        <v>10.2935135135135</v>
      </c>
    </row>
    <row r="5332" customFormat="false" ht="15" hidden="false" customHeight="false" outlineLevel="0" collapsed="false">
      <c r="A5332" s="28" t="n">
        <v>2025</v>
      </c>
      <c r="B5332" s="28" t="s">
        <v>65</v>
      </c>
      <c r="C5332" s="28" t="s">
        <v>42</v>
      </c>
      <c r="D5332" s="28" t="n">
        <v>152</v>
      </c>
      <c r="E5332" s="29" t="n">
        <v>153302700</v>
      </c>
      <c r="F5332" s="30" t="n">
        <v>1503.82</v>
      </c>
      <c r="G5332" s="31" t="n">
        <f aca="false">IFERROR(F5332/D5332,0)</f>
        <v>9.89355263157895</v>
      </c>
    </row>
    <row r="5333" customFormat="false" ht="15" hidden="false" customHeight="false" outlineLevel="0" collapsed="false">
      <c r="A5333" s="28" t="n">
        <v>2025</v>
      </c>
      <c r="B5333" s="28" t="s">
        <v>65</v>
      </c>
      <c r="C5333" s="28" t="s">
        <v>50</v>
      </c>
      <c r="D5333" s="28" t="n">
        <v>81</v>
      </c>
      <c r="E5333" s="29" t="n">
        <v>19998300</v>
      </c>
      <c r="F5333" s="30" t="n">
        <v>848.96</v>
      </c>
      <c r="G5333" s="31" t="n">
        <f aca="false">IFERROR(F5333/D5333,0)</f>
        <v>10.480987654321</v>
      </c>
    </row>
    <row r="5334" customFormat="false" ht="15" hidden="false" customHeight="false" outlineLevel="0" collapsed="false">
      <c r="A5334" s="28" t="n">
        <v>2025</v>
      </c>
      <c r="B5334" s="28" t="s">
        <v>65</v>
      </c>
      <c r="C5334" s="28" t="s">
        <v>55</v>
      </c>
      <c r="D5334" s="28" t="n">
        <v>6</v>
      </c>
      <c r="E5334" s="29" t="n">
        <v>1958300</v>
      </c>
      <c r="F5334" s="30" t="n">
        <v>63</v>
      </c>
      <c r="G5334" s="31" t="n">
        <f aca="false">IFERROR(F5334/D5334,0)</f>
        <v>10.5</v>
      </c>
    </row>
    <row r="5335" customFormat="false" ht="15" hidden="false" customHeight="false" outlineLevel="0" collapsed="false">
      <c r="A5335" s="28" t="n">
        <v>2025</v>
      </c>
      <c r="B5335" s="28" t="s">
        <v>65</v>
      </c>
      <c r="C5335" s="28" t="s">
        <v>51</v>
      </c>
      <c r="D5335" s="28" t="n">
        <v>53</v>
      </c>
      <c r="E5335" s="29" t="n">
        <v>34314300</v>
      </c>
      <c r="F5335" s="30" t="n">
        <v>536.3</v>
      </c>
      <c r="G5335" s="31" t="n">
        <f aca="false">IFERROR(F5335/D5335,0)</f>
        <v>10.1188679245283</v>
      </c>
    </row>
    <row r="5336" customFormat="false" ht="15" hidden="false" customHeight="false" outlineLevel="0" collapsed="false">
      <c r="A5336" s="28" t="n">
        <v>2025</v>
      </c>
      <c r="B5336" s="28" t="s">
        <v>65</v>
      </c>
      <c r="C5336" s="28" t="s">
        <v>45</v>
      </c>
      <c r="D5336" s="28" t="n">
        <v>138</v>
      </c>
      <c r="E5336" s="29" t="n">
        <v>60572400</v>
      </c>
      <c r="F5336" s="30" t="n">
        <v>1453.55</v>
      </c>
      <c r="G5336" s="31" t="n">
        <f aca="false">IFERROR(F5336/D5336,0)</f>
        <v>10.5329710144928</v>
      </c>
    </row>
    <row r="5337" customFormat="false" ht="15" hidden="false" customHeight="false" outlineLevel="0" collapsed="false">
      <c r="A5337" s="28" t="n">
        <v>2025</v>
      </c>
      <c r="B5337" s="28" t="s">
        <v>65</v>
      </c>
      <c r="C5337" s="28" t="s">
        <v>56</v>
      </c>
      <c r="D5337" s="28" t="n">
        <v>33</v>
      </c>
      <c r="E5337" s="29" t="n">
        <v>9599900</v>
      </c>
      <c r="F5337" s="30" t="n">
        <v>352.75</v>
      </c>
      <c r="G5337" s="31" t="n">
        <f aca="false">IFERROR(F5337/D5337,0)</f>
        <v>10.6893939393939</v>
      </c>
    </row>
    <row r="5338" customFormat="false" ht="15" hidden="false" customHeight="false" outlineLevel="0" collapsed="false">
      <c r="A5338" s="28" t="n">
        <v>2025</v>
      </c>
      <c r="B5338" s="28" t="s">
        <v>65</v>
      </c>
      <c r="C5338" s="28" t="s">
        <v>54</v>
      </c>
      <c r="D5338" s="28" t="n">
        <v>11</v>
      </c>
      <c r="E5338" s="29" t="n">
        <v>4608400</v>
      </c>
      <c r="F5338" s="30" t="n">
        <v>120.24</v>
      </c>
      <c r="G5338" s="31" t="n">
        <f aca="false">IFERROR(F5338/D5338,0)</f>
        <v>10.9309090909091</v>
      </c>
    </row>
    <row r="5339" customFormat="false" ht="15" hidden="false" customHeight="false" outlineLevel="0" collapsed="false">
      <c r="A5339" s="28" t="n">
        <v>2025</v>
      </c>
      <c r="B5339" s="28" t="s">
        <v>65</v>
      </c>
      <c r="C5339" s="28" t="s">
        <v>44</v>
      </c>
      <c r="D5339" s="28" t="n">
        <v>172</v>
      </c>
      <c r="E5339" s="29" t="n">
        <v>102432000</v>
      </c>
      <c r="F5339" s="30" t="n">
        <v>1767.68</v>
      </c>
      <c r="G5339" s="31" t="n">
        <f aca="false">IFERROR(F5339/D5339,0)</f>
        <v>10.2772093023256</v>
      </c>
    </row>
    <row r="5340" customFormat="false" ht="15" hidden="false" customHeight="false" outlineLevel="0" collapsed="false">
      <c r="A5340" s="28" t="n">
        <v>2025</v>
      </c>
      <c r="B5340" s="28" t="s">
        <v>65</v>
      </c>
      <c r="C5340" s="28" t="s">
        <v>57</v>
      </c>
      <c r="D5340" s="28" t="n">
        <v>11</v>
      </c>
      <c r="E5340" s="29" t="n">
        <v>2368500</v>
      </c>
      <c r="F5340" s="30" t="n">
        <v>115.16</v>
      </c>
      <c r="G5340" s="31" t="n">
        <f aca="false">IFERROR(F5340/D5340,0)</f>
        <v>10.4690909090909</v>
      </c>
    </row>
    <row r="5341" customFormat="false" ht="15" hidden="false" customHeight="false" outlineLevel="0" collapsed="false">
      <c r="A5341" s="28" t="n">
        <v>2025</v>
      </c>
      <c r="B5341" s="28" t="s">
        <v>65</v>
      </c>
      <c r="C5341" s="28" t="s">
        <v>47</v>
      </c>
      <c r="D5341" s="28" t="n">
        <v>53</v>
      </c>
      <c r="E5341" s="29" t="n">
        <v>28837700</v>
      </c>
      <c r="F5341" s="30" t="n">
        <v>522.255</v>
      </c>
      <c r="G5341" s="31" t="n">
        <f aca="false">IFERROR(F5341/D5341,0)</f>
        <v>9.8538679245283</v>
      </c>
    </row>
    <row r="5342" customFormat="false" ht="15" hidden="false" customHeight="false" outlineLevel="0" collapsed="false">
      <c r="A5342" s="28" t="n">
        <v>2025</v>
      </c>
      <c r="B5342" s="28" t="s">
        <v>65</v>
      </c>
      <c r="C5342" s="28" t="s">
        <v>46</v>
      </c>
      <c r="D5342" s="28" t="n">
        <v>131</v>
      </c>
      <c r="E5342" s="29" t="n">
        <v>64268400</v>
      </c>
      <c r="F5342" s="30" t="n">
        <v>1337.27</v>
      </c>
      <c r="G5342" s="31" t="n">
        <f aca="false">IFERROR(F5342/D5342,0)</f>
        <v>10.2081679389313</v>
      </c>
    </row>
    <row r="5343" customFormat="false" ht="15" hidden="false" customHeight="false" outlineLevel="0" collapsed="false">
      <c r="A5343" s="28" t="n">
        <v>2025</v>
      </c>
      <c r="B5343" s="28" t="s">
        <v>65</v>
      </c>
      <c r="C5343" s="28" t="s">
        <v>48</v>
      </c>
      <c r="D5343" s="28" t="n">
        <v>161</v>
      </c>
      <c r="E5343" s="29" t="n">
        <v>90633700</v>
      </c>
      <c r="F5343" s="30" t="n">
        <v>1710.79</v>
      </c>
      <c r="G5343" s="31" t="n">
        <f aca="false">IFERROR(F5343/D5343,0)</f>
        <v>10.6260248447205</v>
      </c>
    </row>
    <row r="5344" customFormat="false" ht="15" hidden="false" customHeight="false" outlineLevel="0" collapsed="false">
      <c r="A5344" s="28" t="n">
        <v>2025</v>
      </c>
      <c r="B5344" s="28" t="s">
        <v>65</v>
      </c>
      <c r="C5344" s="28" t="s">
        <v>61</v>
      </c>
      <c r="D5344" s="28" t="n">
        <v>1</v>
      </c>
      <c r="E5344" s="29" t="n">
        <v>290000</v>
      </c>
      <c r="F5344" s="30" t="n">
        <v>10.25</v>
      </c>
      <c r="G5344" s="31" t="n">
        <f aca="false">IFERROR(F5344/D5344,0)</f>
        <v>10.25</v>
      </c>
    </row>
    <row r="5345" customFormat="false" ht="15" hidden="false" customHeight="false" outlineLevel="0" collapsed="false">
      <c r="A5345" s="28" t="n">
        <v>2025</v>
      </c>
      <c r="B5345" s="28" t="s">
        <v>65</v>
      </c>
      <c r="C5345" s="28" t="s">
        <v>53</v>
      </c>
      <c r="D5345" s="28" t="n">
        <v>24</v>
      </c>
      <c r="E5345" s="29" t="n">
        <v>11425500</v>
      </c>
      <c r="F5345" s="30" t="n">
        <v>254.54</v>
      </c>
      <c r="G5345" s="31" t="n">
        <f aca="false">IFERROR(F5345/D5345,0)</f>
        <v>10.6058333333333</v>
      </c>
    </row>
    <row r="5346" customFormat="false" ht="15" hidden="false" customHeight="false" outlineLevel="0" collapsed="false">
      <c r="A5346" s="28" t="n">
        <v>2025</v>
      </c>
      <c r="B5346" s="28" t="s">
        <v>65</v>
      </c>
      <c r="C5346" s="28" t="s">
        <v>43</v>
      </c>
      <c r="D5346" s="28" t="n">
        <v>105</v>
      </c>
      <c r="E5346" s="29" t="n">
        <v>34391900</v>
      </c>
      <c r="F5346" s="30" t="n">
        <v>1100.279</v>
      </c>
      <c r="G5346" s="31" t="n">
        <f aca="false">IFERROR(F5346/D5346,0)</f>
        <v>10.4788476190476</v>
      </c>
    </row>
    <row r="5347" customFormat="false" ht="15" hidden="false" customHeight="false" outlineLevel="0" collapsed="false">
      <c r="A5347" s="28" t="n">
        <v>2025</v>
      </c>
      <c r="B5347" s="28" t="s">
        <v>65</v>
      </c>
      <c r="C5347" s="28" t="s">
        <v>52</v>
      </c>
      <c r="D5347" s="28" t="n">
        <v>36</v>
      </c>
      <c r="E5347" s="29" t="n">
        <v>18056800</v>
      </c>
      <c r="F5347" s="30" t="n">
        <v>356.19</v>
      </c>
      <c r="G5347" s="31" t="n">
        <f aca="false">IFERROR(F5347/D5347,0)</f>
        <v>9.89416666666667</v>
      </c>
    </row>
    <row r="5348" customFormat="false" ht="15" hidden="false" customHeight="false" outlineLevel="0" collapsed="false">
      <c r="A5348" s="28" t="n">
        <v>2025</v>
      </c>
      <c r="B5348" s="28" t="s">
        <v>65</v>
      </c>
      <c r="C5348" s="28" t="s">
        <v>49</v>
      </c>
      <c r="D5348" s="28" t="n">
        <v>24</v>
      </c>
      <c r="E5348" s="29" t="n">
        <v>18255400</v>
      </c>
      <c r="F5348" s="30" t="n">
        <v>246</v>
      </c>
      <c r="G5348" s="31" t="n">
        <f aca="false">IFERROR(F5348/D5348,0)</f>
        <v>10.25</v>
      </c>
    </row>
    <row r="5349" customFormat="false" ht="15" hidden="false" customHeight="false" outlineLevel="0" collapsed="false">
      <c r="A5349" s="28" t="n">
        <v>2025</v>
      </c>
      <c r="B5349" s="28" t="s">
        <v>124</v>
      </c>
      <c r="C5349" s="28" t="s">
        <v>42</v>
      </c>
      <c r="D5349" s="28" t="n">
        <v>3</v>
      </c>
      <c r="E5349" s="29" t="n">
        <v>1483000</v>
      </c>
      <c r="F5349" s="30" t="n">
        <v>30.75</v>
      </c>
      <c r="G5349" s="31" t="n">
        <f aca="false">IFERROR(F5349/D5349,0)</f>
        <v>10.25</v>
      </c>
    </row>
    <row r="5350" customFormat="false" ht="15" hidden="false" customHeight="false" outlineLevel="0" collapsed="false">
      <c r="A5350" s="28" t="n">
        <v>2025</v>
      </c>
      <c r="B5350" s="28" t="s">
        <v>124</v>
      </c>
      <c r="C5350" s="28" t="s">
        <v>50</v>
      </c>
      <c r="D5350" s="28" t="n">
        <v>1</v>
      </c>
      <c r="E5350" s="29" t="n">
        <v>200000</v>
      </c>
      <c r="F5350" s="30" t="n">
        <v>10.5</v>
      </c>
      <c r="G5350" s="31" t="n">
        <f aca="false">IFERROR(F5350/D5350,0)</f>
        <v>10.5</v>
      </c>
    </row>
    <row r="5351" customFormat="false" ht="15" hidden="false" customHeight="false" outlineLevel="0" collapsed="false">
      <c r="A5351" s="28" t="n">
        <v>2025</v>
      </c>
      <c r="B5351" s="28" t="s">
        <v>124</v>
      </c>
      <c r="C5351" s="28" t="s">
        <v>44</v>
      </c>
      <c r="D5351" s="28" t="n">
        <v>1</v>
      </c>
      <c r="E5351" s="29" t="n">
        <v>342000</v>
      </c>
      <c r="F5351" s="30" t="n">
        <v>9.5</v>
      </c>
      <c r="G5351" s="31" t="n">
        <f aca="false">IFERROR(F5351/D5351,0)</f>
        <v>9.5</v>
      </c>
    </row>
    <row r="5352" customFormat="false" ht="15" hidden="false" customHeight="false" outlineLevel="0" collapsed="false">
      <c r="A5352" s="28" t="n">
        <v>2025</v>
      </c>
      <c r="B5352" s="28" t="s">
        <v>124</v>
      </c>
      <c r="C5352" s="28" t="s">
        <v>47</v>
      </c>
      <c r="D5352" s="28" t="n">
        <v>1</v>
      </c>
      <c r="E5352" s="29" t="n">
        <v>5000000</v>
      </c>
      <c r="F5352" s="30" t="n">
        <v>8.5</v>
      </c>
      <c r="G5352" s="31" t="n">
        <f aca="false">IFERROR(F5352/D5352,0)</f>
        <v>8.5</v>
      </c>
    </row>
    <row r="5353" customFormat="false" ht="15" hidden="false" customHeight="false" outlineLevel="0" collapsed="false">
      <c r="A5353" s="28" t="n">
        <v>2025</v>
      </c>
      <c r="B5353" s="28" t="s">
        <v>124</v>
      </c>
      <c r="C5353" s="28" t="s">
        <v>46</v>
      </c>
      <c r="D5353" s="28" t="n">
        <v>3</v>
      </c>
      <c r="E5353" s="29" t="n">
        <v>1872000</v>
      </c>
      <c r="F5353" s="30" t="n">
        <v>31.5</v>
      </c>
      <c r="G5353" s="31" t="n">
        <f aca="false">IFERROR(F5353/D5353,0)</f>
        <v>10.5</v>
      </c>
    </row>
    <row r="5354" customFormat="false" ht="15" hidden="false" customHeight="false" outlineLevel="0" collapsed="false">
      <c r="A5354" s="28" t="n">
        <v>2025</v>
      </c>
      <c r="B5354" s="28" t="s">
        <v>124</v>
      </c>
      <c r="C5354" s="28" t="s">
        <v>48</v>
      </c>
      <c r="D5354" s="28" t="n">
        <v>1</v>
      </c>
      <c r="E5354" s="29" t="n">
        <v>1000000</v>
      </c>
      <c r="F5354" s="30" t="n">
        <v>7</v>
      </c>
      <c r="G5354" s="31" t="n">
        <f aca="false">IFERROR(F5354/D5354,0)</f>
        <v>7</v>
      </c>
    </row>
    <row r="5355" customFormat="false" ht="15" hidden="false" customHeight="false" outlineLevel="0" collapsed="false">
      <c r="A5355" s="28" t="n">
        <v>2025</v>
      </c>
      <c r="B5355" s="28" t="s">
        <v>124</v>
      </c>
      <c r="C5355" s="28" t="s">
        <v>43</v>
      </c>
      <c r="D5355" s="28" t="n">
        <v>5</v>
      </c>
      <c r="E5355" s="29" t="n">
        <v>10150000</v>
      </c>
      <c r="F5355" s="30" t="n">
        <v>47.25</v>
      </c>
      <c r="G5355" s="31" t="n">
        <f aca="false">IFERROR(F5355/D5355,0)</f>
        <v>9.45</v>
      </c>
    </row>
    <row r="5356" customFormat="false" ht="15" hidden="false" customHeight="false" outlineLevel="0" collapsed="false">
      <c r="A5356" s="28" t="n">
        <v>2025</v>
      </c>
      <c r="B5356" s="28" t="s">
        <v>124</v>
      </c>
      <c r="C5356" s="28" t="s">
        <v>52</v>
      </c>
      <c r="D5356" s="28" t="n">
        <v>2</v>
      </c>
      <c r="E5356" s="29" t="n">
        <v>166400</v>
      </c>
      <c r="F5356" s="30" t="n">
        <v>21.25</v>
      </c>
      <c r="G5356" s="31" t="n">
        <f aca="false">IFERROR(F5356/D5356,0)</f>
        <v>10.625</v>
      </c>
    </row>
    <row r="5357" customFormat="false" ht="15" hidden="false" customHeight="false" outlineLevel="0" collapsed="false">
      <c r="A5357" s="28" t="n">
        <v>2025</v>
      </c>
      <c r="B5357" s="28" t="s">
        <v>126</v>
      </c>
      <c r="C5357" s="28" t="s">
        <v>42</v>
      </c>
      <c r="D5357" s="28" t="n">
        <v>22</v>
      </c>
      <c r="E5357" s="29" t="n">
        <v>3489800</v>
      </c>
      <c r="F5357" s="30" t="n">
        <v>213.12</v>
      </c>
      <c r="G5357" s="31" t="n">
        <f aca="false">IFERROR(F5357/D5357,0)</f>
        <v>9.68727272727273</v>
      </c>
    </row>
    <row r="5358" customFormat="false" ht="15" hidden="false" customHeight="false" outlineLevel="0" collapsed="false">
      <c r="A5358" s="28" t="n">
        <v>2025</v>
      </c>
      <c r="B5358" s="28" t="s">
        <v>126</v>
      </c>
      <c r="C5358" s="28" t="s">
        <v>50</v>
      </c>
      <c r="D5358" s="28" t="n">
        <v>11</v>
      </c>
      <c r="E5358" s="29" t="n">
        <v>4654700</v>
      </c>
      <c r="F5358" s="30" t="n">
        <v>113.5</v>
      </c>
      <c r="G5358" s="31" t="n">
        <f aca="false">IFERROR(F5358/D5358,0)</f>
        <v>10.3181818181818</v>
      </c>
    </row>
    <row r="5359" customFormat="false" ht="15" hidden="false" customHeight="false" outlineLevel="0" collapsed="false">
      <c r="A5359" s="28" t="n">
        <v>2025</v>
      </c>
      <c r="B5359" s="28" t="s">
        <v>126</v>
      </c>
      <c r="C5359" s="28" t="s">
        <v>55</v>
      </c>
      <c r="D5359" s="28" t="n">
        <v>3</v>
      </c>
      <c r="E5359" s="29" t="n">
        <v>57700</v>
      </c>
      <c r="F5359" s="30" t="n">
        <v>28.75</v>
      </c>
      <c r="G5359" s="31" t="n">
        <f aca="false">IFERROR(F5359/D5359,0)</f>
        <v>9.58333333333333</v>
      </c>
    </row>
    <row r="5360" customFormat="false" ht="15" hidden="false" customHeight="false" outlineLevel="0" collapsed="false">
      <c r="A5360" s="28" t="n">
        <v>2025</v>
      </c>
      <c r="B5360" s="28" t="s">
        <v>126</v>
      </c>
      <c r="C5360" s="28" t="s">
        <v>51</v>
      </c>
      <c r="D5360" s="28" t="n">
        <v>3</v>
      </c>
      <c r="E5360" s="29" t="n">
        <v>127000</v>
      </c>
      <c r="F5360" s="30" t="n">
        <v>32.83</v>
      </c>
      <c r="G5360" s="31" t="n">
        <f aca="false">IFERROR(F5360/D5360,0)</f>
        <v>10.9433333333333</v>
      </c>
    </row>
    <row r="5361" customFormat="false" ht="15" hidden="false" customHeight="false" outlineLevel="0" collapsed="false">
      <c r="A5361" s="28" t="n">
        <v>2025</v>
      </c>
      <c r="B5361" s="28" t="s">
        <v>126</v>
      </c>
      <c r="C5361" s="28" t="s">
        <v>45</v>
      </c>
      <c r="D5361" s="28" t="n">
        <v>35</v>
      </c>
      <c r="E5361" s="29" t="n">
        <v>7505300</v>
      </c>
      <c r="F5361" s="30" t="n">
        <v>391.45</v>
      </c>
      <c r="G5361" s="31" t="n">
        <f aca="false">IFERROR(F5361/D5361,0)</f>
        <v>11.1842857142857</v>
      </c>
    </row>
    <row r="5362" customFormat="false" ht="15" hidden="false" customHeight="false" outlineLevel="0" collapsed="false">
      <c r="A5362" s="28" t="n">
        <v>2025</v>
      </c>
      <c r="B5362" s="28" t="s">
        <v>126</v>
      </c>
      <c r="C5362" s="28" t="s">
        <v>56</v>
      </c>
      <c r="D5362" s="28" t="n">
        <v>3</v>
      </c>
      <c r="E5362" s="29" t="n">
        <v>3598000</v>
      </c>
      <c r="F5362" s="30" t="n">
        <v>24.21</v>
      </c>
      <c r="G5362" s="31" t="n">
        <f aca="false">IFERROR(F5362/D5362,0)</f>
        <v>8.07</v>
      </c>
    </row>
    <row r="5363" customFormat="false" ht="15" hidden="false" customHeight="false" outlineLevel="0" collapsed="false">
      <c r="A5363" s="28" t="n">
        <v>2025</v>
      </c>
      <c r="B5363" s="28" t="s">
        <v>126</v>
      </c>
      <c r="C5363" s="28" t="s">
        <v>54</v>
      </c>
      <c r="D5363" s="28" t="n">
        <v>1</v>
      </c>
      <c r="E5363" s="29" t="n">
        <v>40000</v>
      </c>
      <c r="F5363" s="30" t="n">
        <v>10.5</v>
      </c>
      <c r="G5363" s="31" t="n">
        <f aca="false">IFERROR(F5363/D5363,0)</f>
        <v>10.5</v>
      </c>
    </row>
    <row r="5364" customFormat="false" ht="15" hidden="false" customHeight="false" outlineLevel="0" collapsed="false">
      <c r="A5364" s="28" t="n">
        <v>2025</v>
      </c>
      <c r="B5364" s="28" t="s">
        <v>126</v>
      </c>
      <c r="C5364" s="28" t="s">
        <v>44</v>
      </c>
      <c r="D5364" s="28" t="n">
        <v>12</v>
      </c>
      <c r="E5364" s="29" t="n">
        <v>2271000</v>
      </c>
      <c r="F5364" s="30" t="n">
        <v>121</v>
      </c>
      <c r="G5364" s="31" t="n">
        <f aca="false">IFERROR(F5364/D5364,0)</f>
        <v>10.0833333333333</v>
      </c>
    </row>
    <row r="5365" customFormat="false" ht="15" hidden="false" customHeight="false" outlineLevel="0" collapsed="false">
      <c r="A5365" s="28" t="n">
        <v>2025</v>
      </c>
      <c r="B5365" s="28" t="s">
        <v>126</v>
      </c>
      <c r="C5365" s="28" t="s">
        <v>57</v>
      </c>
      <c r="D5365" s="28" t="n">
        <v>2</v>
      </c>
      <c r="E5365" s="29" t="n">
        <v>120000</v>
      </c>
      <c r="F5365" s="30" t="n">
        <v>20.2</v>
      </c>
      <c r="G5365" s="31" t="n">
        <f aca="false">IFERROR(F5365/D5365,0)</f>
        <v>10.1</v>
      </c>
    </row>
    <row r="5366" customFormat="false" ht="15" hidden="false" customHeight="false" outlineLevel="0" collapsed="false">
      <c r="A5366" s="28" t="n">
        <v>2025</v>
      </c>
      <c r="B5366" s="28" t="s">
        <v>126</v>
      </c>
      <c r="C5366" s="28" t="s">
        <v>59</v>
      </c>
      <c r="D5366" s="28" t="n">
        <v>1</v>
      </c>
      <c r="E5366" s="29" t="n">
        <v>2200000</v>
      </c>
      <c r="F5366" s="30" t="n">
        <v>7.09</v>
      </c>
      <c r="G5366" s="31" t="n">
        <f aca="false">IFERROR(F5366/D5366,0)</f>
        <v>7.09</v>
      </c>
    </row>
    <row r="5367" customFormat="false" ht="15" hidden="false" customHeight="false" outlineLevel="0" collapsed="false">
      <c r="A5367" s="28" t="n">
        <v>2025</v>
      </c>
      <c r="B5367" s="28" t="s">
        <v>126</v>
      </c>
      <c r="C5367" s="28" t="s">
        <v>47</v>
      </c>
      <c r="D5367" s="28" t="n">
        <v>20</v>
      </c>
      <c r="E5367" s="29" t="n">
        <v>4713500</v>
      </c>
      <c r="F5367" s="30" t="n">
        <v>184.255</v>
      </c>
      <c r="G5367" s="31" t="n">
        <f aca="false">IFERROR(F5367/D5367,0)</f>
        <v>9.21275</v>
      </c>
    </row>
    <row r="5368" customFormat="false" ht="15" hidden="false" customHeight="false" outlineLevel="0" collapsed="false">
      <c r="A5368" s="28" t="n">
        <v>2025</v>
      </c>
      <c r="B5368" s="28" t="s">
        <v>126</v>
      </c>
      <c r="C5368" s="28" t="s">
        <v>46</v>
      </c>
      <c r="D5368" s="28" t="n">
        <v>10</v>
      </c>
      <c r="E5368" s="29" t="n">
        <v>2619900</v>
      </c>
      <c r="F5368" s="30" t="n">
        <v>114.55</v>
      </c>
      <c r="G5368" s="31" t="n">
        <f aca="false">IFERROR(F5368/D5368,0)</f>
        <v>11.455</v>
      </c>
    </row>
    <row r="5369" customFormat="false" ht="15" hidden="false" customHeight="false" outlineLevel="0" collapsed="false">
      <c r="A5369" s="28" t="n">
        <v>2025</v>
      </c>
      <c r="B5369" s="28" t="s">
        <v>126</v>
      </c>
      <c r="C5369" s="28" t="s">
        <v>48</v>
      </c>
      <c r="D5369" s="28" t="n">
        <v>16</v>
      </c>
      <c r="E5369" s="29" t="n">
        <v>6100000</v>
      </c>
      <c r="F5369" s="30" t="n">
        <v>145.57</v>
      </c>
      <c r="G5369" s="31" t="n">
        <f aca="false">IFERROR(F5369/D5369,0)</f>
        <v>9.098125</v>
      </c>
    </row>
    <row r="5370" customFormat="false" ht="15" hidden="false" customHeight="false" outlineLevel="0" collapsed="false">
      <c r="A5370" s="28" t="n">
        <v>2025</v>
      </c>
      <c r="B5370" s="28" t="s">
        <v>126</v>
      </c>
      <c r="C5370" s="28" t="s">
        <v>61</v>
      </c>
      <c r="D5370" s="28" t="n">
        <v>1</v>
      </c>
      <c r="E5370" s="29" t="n">
        <v>165000</v>
      </c>
      <c r="F5370" s="30" t="n">
        <v>7.86</v>
      </c>
      <c r="G5370" s="31" t="n">
        <f aca="false">IFERROR(F5370/D5370,0)</f>
        <v>7.86</v>
      </c>
    </row>
    <row r="5371" customFormat="false" ht="15" hidden="false" customHeight="false" outlineLevel="0" collapsed="false">
      <c r="A5371" s="28" t="n">
        <v>2025</v>
      </c>
      <c r="B5371" s="28" t="s">
        <v>126</v>
      </c>
      <c r="C5371" s="28" t="s">
        <v>53</v>
      </c>
      <c r="D5371" s="28" t="n">
        <v>4</v>
      </c>
      <c r="E5371" s="29" t="n">
        <v>620000</v>
      </c>
      <c r="F5371" s="30" t="n">
        <v>38.25</v>
      </c>
      <c r="G5371" s="31" t="n">
        <f aca="false">IFERROR(F5371/D5371,0)</f>
        <v>9.5625</v>
      </c>
    </row>
    <row r="5372" customFormat="false" ht="15" hidden="false" customHeight="false" outlineLevel="0" collapsed="false">
      <c r="A5372" s="28" t="n">
        <v>2025</v>
      </c>
      <c r="B5372" s="28" t="s">
        <v>126</v>
      </c>
      <c r="C5372" s="28" t="s">
        <v>43</v>
      </c>
      <c r="D5372" s="28" t="n">
        <v>22</v>
      </c>
      <c r="E5372" s="29" t="n">
        <v>6617300</v>
      </c>
      <c r="F5372" s="30" t="n">
        <v>221.03</v>
      </c>
      <c r="G5372" s="31" t="n">
        <f aca="false">IFERROR(F5372/D5372,0)</f>
        <v>10.0468181818182</v>
      </c>
    </row>
    <row r="5373" customFormat="false" ht="15" hidden="false" customHeight="false" outlineLevel="0" collapsed="false">
      <c r="A5373" s="28" t="n">
        <v>2025</v>
      </c>
      <c r="B5373" s="28" t="s">
        <v>126</v>
      </c>
      <c r="C5373" s="28" t="s">
        <v>52</v>
      </c>
      <c r="D5373" s="28" t="n">
        <v>5</v>
      </c>
      <c r="E5373" s="29" t="n">
        <v>287000</v>
      </c>
      <c r="F5373" s="30" t="n">
        <v>50.69</v>
      </c>
      <c r="G5373" s="31" t="n">
        <f aca="false">IFERROR(F5373/D5373,0)</f>
        <v>10.138</v>
      </c>
    </row>
    <row r="5374" customFormat="false" ht="15" hidden="false" customHeight="false" outlineLevel="0" collapsed="false">
      <c r="A5374" s="28" t="n">
        <v>2025</v>
      </c>
      <c r="B5374" s="28" t="s">
        <v>126</v>
      </c>
      <c r="C5374" s="28" t="s">
        <v>60</v>
      </c>
      <c r="D5374" s="28" t="n">
        <v>2</v>
      </c>
      <c r="E5374" s="29" t="n">
        <v>5585000</v>
      </c>
      <c r="F5374" s="30" t="n">
        <v>20.5</v>
      </c>
      <c r="G5374" s="31" t="n">
        <f aca="false">IFERROR(F5374/D5374,0)</f>
        <v>10.25</v>
      </c>
    </row>
    <row r="5375" customFormat="false" ht="15" hidden="false" customHeight="false" outlineLevel="0" collapsed="false">
      <c r="A5375" s="28" t="n">
        <v>2025</v>
      </c>
      <c r="B5375" s="28" t="s">
        <v>126</v>
      </c>
      <c r="C5375" s="28" t="s">
        <v>49</v>
      </c>
      <c r="D5375" s="28" t="n">
        <v>3</v>
      </c>
      <c r="E5375" s="29" t="n">
        <v>5505000</v>
      </c>
      <c r="F5375" s="30" t="n">
        <v>28.74</v>
      </c>
      <c r="G5375" s="31" t="n">
        <f aca="false">IFERROR(F5375/D5375,0)</f>
        <v>9.58</v>
      </c>
    </row>
    <row r="5376" customFormat="false" ht="15" hidden="false" customHeight="false" outlineLevel="0" collapsed="false">
      <c r="A5376" s="28" t="n">
        <v>2025</v>
      </c>
      <c r="B5376" s="28" t="s">
        <v>89</v>
      </c>
      <c r="C5376" s="28" t="s">
        <v>42</v>
      </c>
      <c r="D5376" s="28" t="n">
        <v>276</v>
      </c>
      <c r="E5376" s="29" t="n">
        <v>172485300</v>
      </c>
      <c r="F5376" s="30" t="n">
        <v>2775.045</v>
      </c>
      <c r="G5376" s="31" t="n">
        <f aca="false">IFERROR(F5376/D5376,0)</f>
        <v>10.0545108695652</v>
      </c>
    </row>
    <row r="5377" customFormat="false" ht="15" hidden="false" customHeight="false" outlineLevel="0" collapsed="false">
      <c r="A5377" s="28" t="n">
        <v>2025</v>
      </c>
      <c r="B5377" s="28" t="s">
        <v>89</v>
      </c>
      <c r="C5377" s="28" t="s">
        <v>50</v>
      </c>
      <c r="D5377" s="28" t="n">
        <v>104</v>
      </c>
      <c r="E5377" s="29" t="n">
        <v>30505200</v>
      </c>
      <c r="F5377" s="30" t="n">
        <v>1084.38</v>
      </c>
      <c r="G5377" s="31" t="n">
        <f aca="false">IFERROR(F5377/D5377,0)</f>
        <v>10.4267307692308</v>
      </c>
    </row>
    <row r="5378" customFormat="false" ht="15" hidden="false" customHeight="false" outlineLevel="0" collapsed="false">
      <c r="A5378" s="28" t="n">
        <v>2025</v>
      </c>
      <c r="B5378" s="28" t="s">
        <v>89</v>
      </c>
      <c r="C5378" s="28" t="s">
        <v>55</v>
      </c>
      <c r="D5378" s="28" t="n">
        <v>27</v>
      </c>
      <c r="E5378" s="29" t="n">
        <v>8883100</v>
      </c>
      <c r="F5378" s="30" t="n">
        <v>294.43</v>
      </c>
      <c r="G5378" s="31" t="n">
        <f aca="false">IFERROR(F5378/D5378,0)</f>
        <v>10.9048148148148</v>
      </c>
    </row>
    <row r="5379" customFormat="false" ht="15" hidden="false" customHeight="false" outlineLevel="0" collapsed="false">
      <c r="A5379" s="28" t="n">
        <v>2025</v>
      </c>
      <c r="B5379" s="28" t="s">
        <v>89</v>
      </c>
      <c r="C5379" s="28" t="s">
        <v>51</v>
      </c>
      <c r="D5379" s="28" t="n">
        <v>72</v>
      </c>
      <c r="E5379" s="29" t="n">
        <v>38206100</v>
      </c>
      <c r="F5379" s="30" t="n">
        <v>743.38</v>
      </c>
      <c r="G5379" s="31" t="n">
        <f aca="false">IFERROR(F5379/D5379,0)</f>
        <v>10.3247222222222</v>
      </c>
    </row>
    <row r="5380" customFormat="false" ht="15" hidden="false" customHeight="false" outlineLevel="0" collapsed="false">
      <c r="A5380" s="28" t="n">
        <v>2025</v>
      </c>
      <c r="B5380" s="28" t="s">
        <v>89</v>
      </c>
      <c r="C5380" s="28" t="s">
        <v>45</v>
      </c>
      <c r="D5380" s="28" t="n">
        <v>302</v>
      </c>
      <c r="E5380" s="29" t="n">
        <v>79446700</v>
      </c>
      <c r="F5380" s="30" t="n">
        <v>3241.755</v>
      </c>
      <c r="G5380" s="31" t="n">
        <f aca="false">IFERROR(F5380/D5380,0)</f>
        <v>10.7342880794702</v>
      </c>
    </row>
    <row r="5381" customFormat="false" ht="15" hidden="false" customHeight="false" outlineLevel="0" collapsed="false">
      <c r="A5381" s="28" t="n">
        <v>2025</v>
      </c>
      <c r="B5381" s="28" t="s">
        <v>89</v>
      </c>
      <c r="C5381" s="28" t="s">
        <v>56</v>
      </c>
      <c r="D5381" s="28" t="n">
        <v>28</v>
      </c>
      <c r="E5381" s="29" t="n">
        <v>17116700</v>
      </c>
      <c r="F5381" s="30" t="n">
        <v>283.96</v>
      </c>
      <c r="G5381" s="31" t="n">
        <f aca="false">IFERROR(F5381/D5381,0)</f>
        <v>10.1414285714286</v>
      </c>
    </row>
    <row r="5382" customFormat="false" ht="15" hidden="false" customHeight="false" outlineLevel="0" collapsed="false">
      <c r="A5382" s="28" t="n">
        <v>2025</v>
      </c>
      <c r="B5382" s="28" t="s">
        <v>89</v>
      </c>
      <c r="C5382" s="28" t="s">
        <v>54</v>
      </c>
      <c r="D5382" s="28" t="n">
        <v>17</v>
      </c>
      <c r="E5382" s="29" t="n">
        <v>4152000</v>
      </c>
      <c r="F5382" s="30" t="n">
        <v>186.67</v>
      </c>
      <c r="G5382" s="31" t="n">
        <f aca="false">IFERROR(F5382/D5382,0)</f>
        <v>10.9805882352941</v>
      </c>
    </row>
    <row r="5383" customFormat="false" ht="15" hidden="false" customHeight="false" outlineLevel="0" collapsed="false">
      <c r="A5383" s="28" t="n">
        <v>2025</v>
      </c>
      <c r="B5383" s="28" t="s">
        <v>89</v>
      </c>
      <c r="C5383" s="28" t="s">
        <v>44</v>
      </c>
      <c r="D5383" s="28" t="n">
        <v>184</v>
      </c>
      <c r="E5383" s="29" t="n">
        <v>116195600</v>
      </c>
      <c r="F5383" s="30" t="n">
        <v>1874.375</v>
      </c>
      <c r="G5383" s="31" t="n">
        <f aca="false">IFERROR(F5383/D5383,0)</f>
        <v>10.1868206521739</v>
      </c>
    </row>
    <row r="5384" customFormat="false" ht="15" hidden="false" customHeight="false" outlineLevel="0" collapsed="false">
      <c r="A5384" s="28" t="n">
        <v>2025</v>
      </c>
      <c r="B5384" s="28" t="s">
        <v>89</v>
      </c>
      <c r="C5384" s="28" t="s">
        <v>57</v>
      </c>
      <c r="D5384" s="28" t="n">
        <v>11</v>
      </c>
      <c r="E5384" s="29" t="n">
        <v>7327100</v>
      </c>
      <c r="F5384" s="30" t="n">
        <v>117.48</v>
      </c>
      <c r="G5384" s="31" t="n">
        <f aca="false">IFERROR(F5384/D5384,0)</f>
        <v>10.68</v>
      </c>
    </row>
    <row r="5385" customFormat="false" ht="15" hidden="false" customHeight="false" outlineLevel="0" collapsed="false">
      <c r="A5385" s="28" t="n">
        <v>2025</v>
      </c>
      <c r="B5385" s="28" t="s">
        <v>89</v>
      </c>
      <c r="C5385" s="28" t="s">
        <v>59</v>
      </c>
      <c r="D5385" s="28" t="n">
        <v>1</v>
      </c>
      <c r="E5385" s="29" t="n">
        <v>3502000</v>
      </c>
      <c r="F5385" s="30" t="n">
        <v>6.75</v>
      </c>
      <c r="G5385" s="31" t="n">
        <f aca="false">IFERROR(F5385/D5385,0)</f>
        <v>6.75</v>
      </c>
    </row>
    <row r="5386" customFormat="false" ht="15" hidden="false" customHeight="false" outlineLevel="0" collapsed="false">
      <c r="A5386" s="28" t="n">
        <v>2025</v>
      </c>
      <c r="B5386" s="28" t="s">
        <v>89</v>
      </c>
      <c r="C5386" s="28" t="s">
        <v>47</v>
      </c>
      <c r="D5386" s="28" t="n">
        <v>101</v>
      </c>
      <c r="E5386" s="29" t="n">
        <v>47757900</v>
      </c>
      <c r="F5386" s="30" t="n">
        <v>1035.63</v>
      </c>
      <c r="G5386" s="31" t="n">
        <f aca="false">IFERROR(F5386/D5386,0)</f>
        <v>10.2537623762376</v>
      </c>
    </row>
    <row r="5387" customFormat="false" ht="15" hidden="false" customHeight="false" outlineLevel="0" collapsed="false">
      <c r="A5387" s="28" t="n">
        <v>2025</v>
      </c>
      <c r="B5387" s="28" t="s">
        <v>89</v>
      </c>
      <c r="C5387" s="28" t="s">
        <v>46</v>
      </c>
      <c r="D5387" s="28" t="n">
        <v>157</v>
      </c>
      <c r="E5387" s="29" t="n">
        <v>59369200</v>
      </c>
      <c r="F5387" s="30" t="n">
        <v>1641.729</v>
      </c>
      <c r="G5387" s="31" t="n">
        <f aca="false">IFERROR(F5387/D5387,0)</f>
        <v>10.456872611465</v>
      </c>
    </row>
    <row r="5388" customFormat="false" ht="15" hidden="false" customHeight="false" outlineLevel="0" collapsed="false">
      <c r="A5388" s="28" t="n">
        <v>2025</v>
      </c>
      <c r="B5388" s="28" t="s">
        <v>89</v>
      </c>
      <c r="C5388" s="28" t="s">
        <v>48</v>
      </c>
      <c r="D5388" s="28" t="n">
        <v>175</v>
      </c>
      <c r="E5388" s="29" t="n">
        <v>81022100</v>
      </c>
      <c r="F5388" s="30" t="n">
        <v>1842.24</v>
      </c>
      <c r="G5388" s="31" t="n">
        <f aca="false">IFERROR(F5388/D5388,0)</f>
        <v>10.5270857142857</v>
      </c>
    </row>
    <row r="5389" customFormat="false" ht="15" hidden="false" customHeight="false" outlineLevel="0" collapsed="false">
      <c r="A5389" s="28" t="n">
        <v>2025</v>
      </c>
      <c r="B5389" s="28" t="s">
        <v>89</v>
      </c>
      <c r="C5389" s="28" t="s">
        <v>61</v>
      </c>
      <c r="D5389" s="28" t="n">
        <v>1</v>
      </c>
      <c r="E5389" s="29" t="n">
        <v>500000</v>
      </c>
      <c r="F5389" s="30" t="n">
        <v>9</v>
      </c>
      <c r="G5389" s="31" t="n">
        <f aca="false">IFERROR(F5389/D5389,0)</f>
        <v>9</v>
      </c>
    </row>
    <row r="5390" customFormat="false" ht="15" hidden="false" customHeight="false" outlineLevel="0" collapsed="false">
      <c r="A5390" s="28" t="n">
        <v>2025</v>
      </c>
      <c r="B5390" s="28" t="s">
        <v>89</v>
      </c>
      <c r="C5390" s="28" t="s">
        <v>53</v>
      </c>
      <c r="D5390" s="28" t="n">
        <v>28</v>
      </c>
      <c r="E5390" s="29" t="n">
        <v>11201800</v>
      </c>
      <c r="F5390" s="30" t="n">
        <v>293.66</v>
      </c>
      <c r="G5390" s="31" t="n">
        <f aca="false">IFERROR(F5390/D5390,0)</f>
        <v>10.4878571428571</v>
      </c>
    </row>
    <row r="5391" customFormat="false" ht="15" hidden="false" customHeight="false" outlineLevel="0" collapsed="false">
      <c r="A5391" s="28" t="n">
        <v>2025</v>
      </c>
      <c r="B5391" s="28" t="s">
        <v>89</v>
      </c>
      <c r="C5391" s="28" t="s">
        <v>43</v>
      </c>
      <c r="D5391" s="28" t="n">
        <v>264</v>
      </c>
      <c r="E5391" s="29" t="n">
        <v>242328300</v>
      </c>
      <c r="F5391" s="30" t="n">
        <v>2664.838</v>
      </c>
      <c r="G5391" s="31" t="n">
        <f aca="false">IFERROR(F5391/D5391,0)</f>
        <v>10.0940833333333</v>
      </c>
    </row>
    <row r="5392" customFormat="false" ht="15" hidden="false" customHeight="false" outlineLevel="0" collapsed="false">
      <c r="A5392" s="28" t="n">
        <v>2025</v>
      </c>
      <c r="B5392" s="28" t="s">
        <v>89</v>
      </c>
      <c r="C5392" s="28" t="s">
        <v>52</v>
      </c>
      <c r="D5392" s="28" t="n">
        <v>97</v>
      </c>
      <c r="E5392" s="29" t="n">
        <v>26058500</v>
      </c>
      <c r="F5392" s="30" t="n">
        <v>1038.875</v>
      </c>
      <c r="G5392" s="31" t="n">
        <f aca="false">IFERROR(F5392/D5392,0)</f>
        <v>10.7100515463918</v>
      </c>
    </row>
    <row r="5393" customFormat="false" ht="15" hidden="false" customHeight="false" outlineLevel="0" collapsed="false">
      <c r="A5393" s="28" t="n">
        <v>2025</v>
      </c>
      <c r="B5393" s="28" t="s">
        <v>89</v>
      </c>
      <c r="C5393" s="28" t="s">
        <v>60</v>
      </c>
      <c r="D5393" s="28" t="n">
        <v>6</v>
      </c>
      <c r="E5393" s="29" t="n">
        <v>5370000</v>
      </c>
      <c r="F5393" s="30" t="n">
        <v>59.75</v>
      </c>
      <c r="G5393" s="31" t="n">
        <f aca="false">IFERROR(F5393/D5393,0)</f>
        <v>9.95833333333333</v>
      </c>
    </row>
    <row r="5394" customFormat="false" ht="15" hidden="false" customHeight="false" outlineLevel="0" collapsed="false">
      <c r="A5394" s="28" t="n">
        <v>2025</v>
      </c>
      <c r="B5394" s="28" t="s">
        <v>89</v>
      </c>
      <c r="C5394" s="28" t="s">
        <v>49</v>
      </c>
      <c r="D5394" s="28" t="n">
        <v>47</v>
      </c>
      <c r="E5394" s="29" t="n">
        <v>24732900</v>
      </c>
      <c r="F5394" s="30" t="n">
        <v>488.67</v>
      </c>
      <c r="G5394" s="31" t="n">
        <f aca="false">IFERROR(F5394/D5394,0)</f>
        <v>10.3972340425532</v>
      </c>
    </row>
    <row r="5395" customFormat="false" ht="15" hidden="false" customHeight="false" outlineLevel="0" collapsed="false">
      <c r="A5395" s="28" t="n">
        <v>2025</v>
      </c>
      <c r="B5395" s="28" t="s">
        <v>99</v>
      </c>
      <c r="C5395" s="28" t="s">
        <v>42</v>
      </c>
      <c r="D5395" s="28" t="n">
        <v>148</v>
      </c>
      <c r="E5395" s="29" t="n">
        <v>104818200</v>
      </c>
      <c r="F5395" s="30" t="n">
        <v>1412.18</v>
      </c>
      <c r="G5395" s="31" t="n">
        <f aca="false">IFERROR(F5395/D5395,0)</f>
        <v>9.54175675675676</v>
      </c>
    </row>
    <row r="5396" customFormat="false" ht="15" hidden="false" customHeight="false" outlineLevel="0" collapsed="false">
      <c r="A5396" s="28" t="n">
        <v>2025</v>
      </c>
      <c r="B5396" s="28" t="s">
        <v>99</v>
      </c>
      <c r="C5396" s="28" t="s">
        <v>50</v>
      </c>
      <c r="D5396" s="28" t="n">
        <v>61</v>
      </c>
      <c r="E5396" s="29" t="n">
        <v>22354800</v>
      </c>
      <c r="F5396" s="30" t="n">
        <v>605.44</v>
      </c>
      <c r="G5396" s="31" t="n">
        <f aca="false">IFERROR(F5396/D5396,0)</f>
        <v>9.92524590163935</v>
      </c>
    </row>
    <row r="5397" customFormat="false" ht="15" hidden="false" customHeight="false" outlineLevel="0" collapsed="false">
      <c r="A5397" s="28" t="n">
        <v>2025</v>
      </c>
      <c r="B5397" s="28" t="s">
        <v>99</v>
      </c>
      <c r="C5397" s="28" t="s">
        <v>55</v>
      </c>
      <c r="D5397" s="28" t="n">
        <v>9</v>
      </c>
      <c r="E5397" s="29" t="n">
        <v>1858500</v>
      </c>
      <c r="F5397" s="30" t="n">
        <v>86.99</v>
      </c>
      <c r="G5397" s="31" t="n">
        <f aca="false">IFERROR(F5397/D5397,0)</f>
        <v>9.66555555555556</v>
      </c>
    </row>
    <row r="5398" customFormat="false" ht="15" hidden="false" customHeight="false" outlineLevel="0" collapsed="false">
      <c r="A5398" s="28" t="n">
        <v>2025</v>
      </c>
      <c r="B5398" s="28" t="s">
        <v>99</v>
      </c>
      <c r="C5398" s="28" t="s">
        <v>51</v>
      </c>
      <c r="D5398" s="28" t="n">
        <v>50</v>
      </c>
      <c r="E5398" s="29" t="n">
        <v>29077200</v>
      </c>
      <c r="F5398" s="30" t="n">
        <v>485.87</v>
      </c>
      <c r="G5398" s="31" t="n">
        <f aca="false">IFERROR(F5398/D5398,0)</f>
        <v>9.7174</v>
      </c>
    </row>
    <row r="5399" customFormat="false" ht="15" hidden="false" customHeight="false" outlineLevel="0" collapsed="false">
      <c r="A5399" s="28" t="n">
        <v>2025</v>
      </c>
      <c r="B5399" s="28" t="s">
        <v>99</v>
      </c>
      <c r="C5399" s="28" t="s">
        <v>45</v>
      </c>
      <c r="D5399" s="28" t="n">
        <v>112</v>
      </c>
      <c r="E5399" s="29" t="n">
        <v>38763600</v>
      </c>
      <c r="F5399" s="30" t="n">
        <v>1085.33</v>
      </c>
      <c r="G5399" s="31" t="n">
        <f aca="false">IFERROR(F5399/D5399,0)</f>
        <v>9.69044642857143</v>
      </c>
    </row>
    <row r="5400" customFormat="false" ht="15" hidden="false" customHeight="false" outlineLevel="0" collapsed="false">
      <c r="A5400" s="28" t="n">
        <v>2025</v>
      </c>
      <c r="B5400" s="28" t="s">
        <v>99</v>
      </c>
      <c r="C5400" s="28" t="s">
        <v>56</v>
      </c>
      <c r="D5400" s="28" t="n">
        <v>12</v>
      </c>
      <c r="E5400" s="29" t="n">
        <v>4684800</v>
      </c>
      <c r="F5400" s="30" t="n">
        <v>120.17</v>
      </c>
      <c r="G5400" s="31" t="n">
        <f aca="false">IFERROR(F5400/D5400,0)</f>
        <v>10.0141666666667</v>
      </c>
    </row>
    <row r="5401" customFormat="false" ht="15" hidden="false" customHeight="false" outlineLevel="0" collapsed="false">
      <c r="A5401" s="28" t="n">
        <v>2025</v>
      </c>
      <c r="B5401" s="28" t="s">
        <v>99</v>
      </c>
      <c r="C5401" s="28" t="s">
        <v>54</v>
      </c>
      <c r="D5401" s="28" t="n">
        <v>3</v>
      </c>
      <c r="E5401" s="29" t="n">
        <v>534000</v>
      </c>
      <c r="F5401" s="30" t="n">
        <v>32</v>
      </c>
      <c r="G5401" s="31" t="n">
        <f aca="false">IFERROR(F5401/D5401,0)</f>
        <v>10.6666666666667</v>
      </c>
    </row>
    <row r="5402" customFormat="false" ht="15" hidden="false" customHeight="false" outlineLevel="0" collapsed="false">
      <c r="A5402" s="28" t="n">
        <v>2025</v>
      </c>
      <c r="B5402" s="28" t="s">
        <v>99</v>
      </c>
      <c r="C5402" s="28" t="s">
        <v>44</v>
      </c>
      <c r="D5402" s="28" t="n">
        <v>91</v>
      </c>
      <c r="E5402" s="29" t="n">
        <v>41882200</v>
      </c>
      <c r="F5402" s="30" t="n">
        <v>901.04</v>
      </c>
      <c r="G5402" s="31" t="n">
        <f aca="false">IFERROR(F5402/D5402,0)</f>
        <v>9.90153846153846</v>
      </c>
    </row>
    <row r="5403" customFormat="false" ht="15" hidden="false" customHeight="false" outlineLevel="0" collapsed="false">
      <c r="A5403" s="28" t="n">
        <v>2025</v>
      </c>
      <c r="B5403" s="28" t="s">
        <v>99</v>
      </c>
      <c r="C5403" s="28" t="s">
        <v>57</v>
      </c>
      <c r="D5403" s="28" t="n">
        <v>2</v>
      </c>
      <c r="E5403" s="29" t="n">
        <v>310000</v>
      </c>
      <c r="F5403" s="30" t="n">
        <v>24</v>
      </c>
      <c r="G5403" s="31" t="n">
        <f aca="false">IFERROR(F5403/D5403,0)</f>
        <v>12</v>
      </c>
    </row>
    <row r="5404" customFormat="false" ht="15" hidden="false" customHeight="false" outlineLevel="0" collapsed="false">
      <c r="A5404" s="28" t="n">
        <v>2025</v>
      </c>
      <c r="B5404" s="28" t="s">
        <v>99</v>
      </c>
      <c r="C5404" s="28" t="s">
        <v>47</v>
      </c>
      <c r="D5404" s="28" t="n">
        <v>71</v>
      </c>
      <c r="E5404" s="29" t="n">
        <v>59299600</v>
      </c>
      <c r="F5404" s="30" t="n">
        <v>641.79</v>
      </c>
      <c r="G5404" s="31" t="n">
        <f aca="false">IFERROR(F5404/D5404,0)</f>
        <v>9.03929577464789</v>
      </c>
    </row>
    <row r="5405" customFormat="false" ht="15" hidden="false" customHeight="false" outlineLevel="0" collapsed="false">
      <c r="A5405" s="28" t="n">
        <v>2025</v>
      </c>
      <c r="B5405" s="28" t="s">
        <v>99</v>
      </c>
      <c r="C5405" s="28" t="s">
        <v>58</v>
      </c>
      <c r="D5405" s="28" t="n">
        <v>1</v>
      </c>
      <c r="E5405" s="29" t="n">
        <v>454000</v>
      </c>
      <c r="F5405" s="30" t="n">
        <v>9.5</v>
      </c>
      <c r="G5405" s="31" t="n">
        <f aca="false">IFERROR(F5405/D5405,0)</f>
        <v>9.5</v>
      </c>
    </row>
    <row r="5406" customFormat="false" ht="15" hidden="false" customHeight="false" outlineLevel="0" collapsed="false">
      <c r="A5406" s="28" t="n">
        <v>2025</v>
      </c>
      <c r="B5406" s="28" t="s">
        <v>99</v>
      </c>
      <c r="C5406" s="28" t="s">
        <v>46</v>
      </c>
      <c r="D5406" s="28" t="n">
        <v>90</v>
      </c>
      <c r="E5406" s="29" t="n">
        <v>33744400</v>
      </c>
      <c r="F5406" s="30" t="n">
        <v>872.67</v>
      </c>
      <c r="G5406" s="31" t="n">
        <f aca="false">IFERROR(F5406/D5406,0)</f>
        <v>9.69633333333333</v>
      </c>
    </row>
    <row r="5407" customFormat="false" ht="15" hidden="false" customHeight="false" outlineLevel="0" collapsed="false">
      <c r="A5407" s="28" t="n">
        <v>2025</v>
      </c>
      <c r="B5407" s="28" t="s">
        <v>99</v>
      </c>
      <c r="C5407" s="28" t="s">
        <v>48</v>
      </c>
      <c r="D5407" s="28" t="n">
        <v>89</v>
      </c>
      <c r="E5407" s="29" t="n">
        <v>39430300</v>
      </c>
      <c r="F5407" s="30" t="n">
        <v>882.55</v>
      </c>
      <c r="G5407" s="31" t="n">
        <f aca="false">IFERROR(F5407/D5407,0)</f>
        <v>9.91629213483146</v>
      </c>
    </row>
    <row r="5408" customFormat="false" ht="15" hidden="false" customHeight="false" outlineLevel="0" collapsed="false">
      <c r="A5408" s="28" t="n">
        <v>2025</v>
      </c>
      <c r="B5408" s="28" t="s">
        <v>99</v>
      </c>
      <c r="C5408" s="28" t="s">
        <v>61</v>
      </c>
      <c r="D5408" s="28" t="n">
        <v>2</v>
      </c>
      <c r="E5408" s="29" t="n">
        <v>200200</v>
      </c>
      <c r="F5408" s="30" t="n">
        <v>21.25</v>
      </c>
      <c r="G5408" s="31" t="n">
        <f aca="false">IFERROR(F5408/D5408,0)</f>
        <v>10.625</v>
      </c>
    </row>
    <row r="5409" customFormat="false" ht="15" hidden="false" customHeight="false" outlineLevel="0" collapsed="false">
      <c r="A5409" s="28" t="n">
        <v>2025</v>
      </c>
      <c r="B5409" s="28" t="s">
        <v>99</v>
      </c>
      <c r="C5409" s="28" t="s">
        <v>53</v>
      </c>
      <c r="D5409" s="28" t="n">
        <v>14</v>
      </c>
      <c r="E5409" s="29" t="n">
        <v>9436400</v>
      </c>
      <c r="F5409" s="30" t="n">
        <v>134.37</v>
      </c>
      <c r="G5409" s="31" t="n">
        <f aca="false">IFERROR(F5409/D5409,0)</f>
        <v>9.59785714285714</v>
      </c>
    </row>
    <row r="5410" customFormat="false" ht="15" hidden="false" customHeight="false" outlineLevel="0" collapsed="false">
      <c r="A5410" s="28" t="n">
        <v>2025</v>
      </c>
      <c r="B5410" s="28" t="s">
        <v>99</v>
      </c>
      <c r="C5410" s="28" t="s">
        <v>43</v>
      </c>
      <c r="D5410" s="28" t="n">
        <v>116</v>
      </c>
      <c r="E5410" s="29" t="n">
        <v>72382600</v>
      </c>
      <c r="F5410" s="30" t="n">
        <v>1142.73</v>
      </c>
      <c r="G5410" s="31" t="n">
        <f aca="false">IFERROR(F5410/D5410,0)</f>
        <v>9.85112068965517</v>
      </c>
    </row>
    <row r="5411" customFormat="false" ht="15" hidden="false" customHeight="false" outlineLevel="0" collapsed="false">
      <c r="A5411" s="28" t="n">
        <v>2025</v>
      </c>
      <c r="B5411" s="28" t="s">
        <v>99</v>
      </c>
      <c r="C5411" s="28" t="s">
        <v>52</v>
      </c>
      <c r="D5411" s="28" t="n">
        <v>52</v>
      </c>
      <c r="E5411" s="29" t="n">
        <v>22340000</v>
      </c>
      <c r="F5411" s="30" t="n">
        <v>500.75</v>
      </c>
      <c r="G5411" s="31" t="n">
        <f aca="false">IFERROR(F5411/D5411,0)</f>
        <v>9.62980769230769</v>
      </c>
    </row>
    <row r="5412" customFormat="false" ht="15" hidden="false" customHeight="false" outlineLevel="0" collapsed="false">
      <c r="A5412" s="28" t="n">
        <v>2025</v>
      </c>
      <c r="B5412" s="28" t="s">
        <v>99</v>
      </c>
      <c r="C5412" s="28" t="s">
        <v>60</v>
      </c>
      <c r="D5412" s="28" t="n">
        <v>1</v>
      </c>
      <c r="E5412" s="29" t="n">
        <v>350000</v>
      </c>
      <c r="F5412" s="30" t="n">
        <v>9</v>
      </c>
      <c r="G5412" s="31" t="n">
        <f aca="false">IFERROR(F5412/D5412,0)</f>
        <v>9</v>
      </c>
    </row>
    <row r="5413" customFormat="false" ht="15" hidden="false" customHeight="false" outlineLevel="0" collapsed="false">
      <c r="A5413" s="28" t="n">
        <v>2025</v>
      </c>
      <c r="B5413" s="28" t="s">
        <v>99</v>
      </c>
      <c r="C5413" s="28" t="s">
        <v>49</v>
      </c>
      <c r="D5413" s="28" t="n">
        <v>32</v>
      </c>
      <c r="E5413" s="29" t="n">
        <v>17931800</v>
      </c>
      <c r="F5413" s="30" t="n">
        <v>301.36</v>
      </c>
      <c r="G5413" s="31" t="n">
        <f aca="false">IFERROR(F5413/D5413,0)</f>
        <v>9.4175</v>
      </c>
    </row>
    <row r="5414" customFormat="false" ht="15" hidden="false" customHeight="false" outlineLevel="0" collapsed="false">
      <c r="A5414" s="28" t="n">
        <v>2025</v>
      </c>
      <c r="B5414" s="28" t="s">
        <v>123</v>
      </c>
      <c r="C5414" s="28" t="s">
        <v>42</v>
      </c>
      <c r="D5414" s="28" t="n">
        <v>22</v>
      </c>
      <c r="E5414" s="29" t="n">
        <v>21445700</v>
      </c>
      <c r="F5414" s="30" t="n">
        <v>206.83</v>
      </c>
      <c r="G5414" s="31" t="n">
        <f aca="false">IFERROR(F5414/D5414,0)</f>
        <v>9.40136363636364</v>
      </c>
    </row>
    <row r="5415" customFormat="false" ht="15" hidden="false" customHeight="false" outlineLevel="0" collapsed="false">
      <c r="A5415" s="28" t="n">
        <v>2025</v>
      </c>
      <c r="B5415" s="28" t="s">
        <v>123</v>
      </c>
      <c r="C5415" s="28" t="s">
        <v>50</v>
      </c>
      <c r="D5415" s="28" t="n">
        <v>8</v>
      </c>
      <c r="E5415" s="29" t="n">
        <v>2240000</v>
      </c>
      <c r="F5415" s="30" t="n">
        <v>77.34</v>
      </c>
      <c r="G5415" s="31" t="n">
        <f aca="false">IFERROR(F5415/D5415,0)</f>
        <v>9.6675</v>
      </c>
    </row>
    <row r="5416" customFormat="false" ht="15" hidden="false" customHeight="false" outlineLevel="0" collapsed="false">
      <c r="A5416" s="28" t="n">
        <v>2025</v>
      </c>
      <c r="B5416" s="28" t="s">
        <v>123</v>
      </c>
      <c r="C5416" s="28" t="s">
        <v>55</v>
      </c>
      <c r="D5416" s="28" t="n">
        <v>2</v>
      </c>
      <c r="E5416" s="29" t="n">
        <v>362500</v>
      </c>
      <c r="F5416" s="30" t="n">
        <v>20.25</v>
      </c>
      <c r="G5416" s="31" t="n">
        <f aca="false">IFERROR(F5416/D5416,0)</f>
        <v>10.125</v>
      </c>
    </row>
    <row r="5417" customFormat="false" ht="15" hidden="false" customHeight="false" outlineLevel="0" collapsed="false">
      <c r="A5417" s="28" t="n">
        <v>2025</v>
      </c>
      <c r="B5417" s="28" t="s">
        <v>123</v>
      </c>
      <c r="C5417" s="28" t="s">
        <v>51</v>
      </c>
      <c r="D5417" s="28" t="n">
        <v>8</v>
      </c>
      <c r="E5417" s="29" t="n">
        <v>2338400</v>
      </c>
      <c r="F5417" s="30" t="n">
        <v>73.09</v>
      </c>
      <c r="G5417" s="31" t="n">
        <f aca="false">IFERROR(F5417/D5417,0)</f>
        <v>9.13625</v>
      </c>
    </row>
    <row r="5418" customFormat="false" ht="15" hidden="false" customHeight="false" outlineLevel="0" collapsed="false">
      <c r="A5418" s="28" t="n">
        <v>2025</v>
      </c>
      <c r="B5418" s="28" t="s">
        <v>123</v>
      </c>
      <c r="C5418" s="28" t="s">
        <v>45</v>
      </c>
      <c r="D5418" s="28" t="n">
        <v>18</v>
      </c>
      <c r="E5418" s="29" t="n">
        <v>3476400</v>
      </c>
      <c r="F5418" s="30" t="n">
        <v>163.13</v>
      </c>
      <c r="G5418" s="31" t="n">
        <f aca="false">IFERROR(F5418/D5418,0)</f>
        <v>9.06277777777778</v>
      </c>
    </row>
    <row r="5419" customFormat="false" ht="15" hidden="false" customHeight="false" outlineLevel="0" collapsed="false">
      <c r="A5419" s="28" t="n">
        <v>2025</v>
      </c>
      <c r="B5419" s="28" t="s">
        <v>123</v>
      </c>
      <c r="C5419" s="28" t="s">
        <v>56</v>
      </c>
      <c r="D5419" s="28" t="n">
        <v>4</v>
      </c>
      <c r="E5419" s="29" t="n">
        <v>247400</v>
      </c>
      <c r="F5419" s="30" t="n">
        <v>37.5</v>
      </c>
      <c r="G5419" s="31" t="n">
        <f aca="false">IFERROR(F5419/D5419,0)</f>
        <v>9.375</v>
      </c>
    </row>
    <row r="5420" customFormat="false" ht="15" hidden="false" customHeight="false" outlineLevel="0" collapsed="false">
      <c r="A5420" s="28" t="n">
        <v>2025</v>
      </c>
      <c r="B5420" s="28" t="s">
        <v>123</v>
      </c>
      <c r="C5420" s="28" t="s">
        <v>54</v>
      </c>
      <c r="D5420" s="28" t="n">
        <v>1</v>
      </c>
      <c r="E5420" s="29" t="n">
        <v>37500</v>
      </c>
      <c r="F5420" s="30" t="n">
        <v>9.95</v>
      </c>
      <c r="G5420" s="31" t="n">
        <f aca="false">IFERROR(F5420/D5420,0)</f>
        <v>9.95</v>
      </c>
    </row>
    <row r="5421" customFormat="false" ht="15" hidden="false" customHeight="false" outlineLevel="0" collapsed="false">
      <c r="A5421" s="28" t="n">
        <v>2025</v>
      </c>
      <c r="B5421" s="28" t="s">
        <v>123</v>
      </c>
      <c r="C5421" s="28" t="s">
        <v>44</v>
      </c>
      <c r="D5421" s="28" t="n">
        <v>31</v>
      </c>
      <c r="E5421" s="29" t="n">
        <v>8634800</v>
      </c>
      <c r="F5421" s="30" t="n">
        <v>290.03</v>
      </c>
      <c r="G5421" s="31" t="n">
        <f aca="false">IFERROR(F5421/D5421,0)</f>
        <v>9.3558064516129</v>
      </c>
    </row>
    <row r="5422" customFormat="false" ht="15" hidden="false" customHeight="false" outlineLevel="0" collapsed="false">
      <c r="A5422" s="28" t="n">
        <v>2025</v>
      </c>
      <c r="B5422" s="28" t="s">
        <v>123</v>
      </c>
      <c r="C5422" s="28" t="s">
        <v>57</v>
      </c>
      <c r="D5422" s="28" t="n">
        <v>1</v>
      </c>
      <c r="E5422" s="29" t="n">
        <v>150000</v>
      </c>
      <c r="F5422" s="30" t="n">
        <v>12.25</v>
      </c>
      <c r="G5422" s="31" t="n">
        <f aca="false">IFERROR(F5422/D5422,0)</f>
        <v>12.25</v>
      </c>
    </row>
    <row r="5423" customFormat="false" ht="15" hidden="false" customHeight="false" outlineLevel="0" collapsed="false">
      <c r="A5423" s="28" t="n">
        <v>2025</v>
      </c>
      <c r="B5423" s="28" t="s">
        <v>123</v>
      </c>
      <c r="C5423" s="28" t="s">
        <v>47</v>
      </c>
      <c r="D5423" s="28" t="n">
        <v>8</v>
      </c>
      <c r="E5423" s="29" t="n">
        <v>13707600</v>
      </c>
      <c r="F5423" s="30" t="n">
        <v>78.5</v>
      </c>
      <c r="G5423" s="31" t="n">
        <f aca="false">IFERROR(F5423/D5423,0)</f>
        <v>9.8125</v>
      </c>
    </row>
    <row r="5424" customFormat="false" ht="15" hidden="false" customHeight="false" outlineLevel="0" collapsed="false">
      <c r="A5424" s="28" t="n">
        <v>2025</v>
      </c>
      <c r="B5424" s="28" t="s">
        <v>123</v>
      </c>
      <c r="C5424" s="28" t="s">
        <v>46</v>
      </c>
      <c r="D5424" s="28" t="n">
        <v>21</v>
      </c>
      <c r="E5424" s="29" t="n">
        <v>4303700</v>
      </c>
      <c r="F5424" s="30" t="n">
        <v>210.14</v>
      </c>
      <c r="G5424" s="31" t="n">
        <f aca="false">IFERROR(F5424/D5424,0)</f>
        <v>10.0066666666667</v>
      </c>
    </row>
    <row r="5425" customFormat="false" ht="15" hidden="false" customHeight="false" outlineLevel="0" collapsed="false">
      <c r="A5425" s="28" t="n">
        <v>2025</v>
      </c>
      <c r="B5425" s="28" t="s">
        <v>123</v>
      </c>
      <c r="C5425" s="28" t="s">
        <v>48</v>
      </c>
      <c r="D5425" s="28" t="n">
        <v>5</v>
      </c>
      <c r="E5425" s="29" t="n">
        <v>733700</v>
      </c>
      <c r="F5425" s="30" t="n">
        <v>56.65</v>
      </c>
      <c r="G5425" s="31" t="n">
        <f aca="false">IFERROR(F5425/D5425,0)</f>
        <v>11.33</v>
      </c>
    </row>
    <row r="5426" customFormat="false" ht="15" hidden="false" customHeight="false" outlineLevel="0" collapsed="false">
      <c r="A5426" s="28" t="n">
        <v>2025</v>
      </c>
      <c r="B5426" s="28" t="s">
        <v>123</v>
      </c>
      <c r="C5426" s="28" t="s">
        <v>53</v>
      </c>
      <c r="D5426" s="28" t="n">
        <v>4</v>
      </c>
      <c r="E5426" s="29" t="n">
        <v>1094000</v>
      </c>
      <c r="F5426" s="30" t="n">
        <v>35.54</v>
      </c>
      <c r="G5426" s="31" t="n">
        <f aca="false">IFERROR(F5426/D5426,0)</f>
        <v>8.885</v>
      </c>
    </row>
    <row r="5427" customFormat="false" ht="15" hidden="false" customHeight="false" outlineLevel="0" collapsed="false">
      <c r="A5427" s="28" t="n">
        <v>2025</v>
      </c>
      <c r="B5427" s="28" t="s">
        <v>123</v>
      </c>
      <c r="C5427" s="28" t="s">
        <v>43</v>
      </c>
      <c r="D5427" s="28" t="n">
        <v>23</v>
      </c>
      <c r="E5427" s="29" t="n">
        <v>2610100</v>
      </c>
      <c r="F5427" s="30" t="n">
        <v>216.29</v>
      </c>
      <c r="G5427" s="31" t="n">
        <f aca="false">IFERROR(F5427/D5427,0)</f>
        <v>9.40391304347826</v>
      </c>
    </row>
    <row r="5428" customFormat="false" ht="15" hidden="false" customHeight="false" outlineLevel="0" collapsed="false">
      <c r="A5428" s="28" t="n">
        <v>2025</v>
      </c>
      <c r="B5428" s="28" t="s">
        <v>123</v>
      </c>
      <c r="C5428" s="28" t="s">
        <v>52</v>
      </c>
      <c r="D5428" s="28" t="n">
        <v>11</v>
      </c>
      <c r="E5428" s="29" t="n">
        <v>1317100</v>
      </c>
      <c r="F5428" s="30" t="n">
        <v>97.74</v>
      </c>
      <c r="G5428" s="31" t="n">
        <f aca="false">IFERROR(F5428/D5428,0)</f>
        <v>8.88545454545455</v>
      </c>
    </row>
    <row r="5429" customFormat="false" ht="15" hidden="false" customHeight="false" outlineLevel="0" collapsed="false">
      <c r="A5429" s="28" t="n">
        <v>2025</v>
      </c>
      <c r="B5429" s="28" t="s">
        <v>123</v>
      </c>
      <c r="C5429" s="28" t="s">
        <v>49</v>
      </c>
      <c r="D5429" s="28" t="n">
        <v>6</v>
      </c>
      <c r="E5429" s="29" t="n">
        <v>805000</v>
      </c>
      <c r="F5429" s="30" t="n">
        <v>63.25</v>
      </c>
      <c r="G5429" s="31" t="n">
        <f aca="false">IFERROR(F5429/D5429,0)</f>
        <v>10.5416666666667</v>
      </c>
    </row>
    <row r="5430" customFormat="false" ht="15" hidden="false" customHeight="false" outlineLevel="0" collapsed="false">
      <c r="A5430" s="28" t="n">
        <v>2025</v>
      </c>
      <c r="B5430" s="28" t="s">
        <v>125</v>
      </c>
      <c r="C5430" s="28" t="s">
        <v>42</v>
      </c>
      <c r="D5430" s="28" t="n">
        <v>14</v>
      </c>
      <c r="E5430" s="29" t="n">
        <v>8060700</v>
      </c>
      <c r="F5430" s="30" t="n">
        <v>132.49</v>
      </c>
      <c r="G5430" s="31" t="n">
        <f aca="false">IFERROR(F5430/D5430,0)</f>
        <v>9.46357142857143</v>
      </c>
    </row>
    <row r="5431" customFormat="false" ht="15" hidden="false" customHeight="false" outlineLevel="0" collapsed="false">
      <c r="A5431" s="28" t="n">
        <v>2025</v>
      </c>
      <c r="B5431" s="28" t="s">
        <v>125</v>
      </c>
      <c r="C5431" s="28" t="s">
        <v>50</v>
      </c>
      <c r="D5431" s="28" t="n">
        <v>5</v>
      </c>
      <c r="E5431" s="29" t="n">
        <v>1082000</v>
      </c>
      <c r="F5431" s="30" t="n">
        <v>46.43</v>
      </c>
      <c r="G5431" s="31" t="n">
        <f aca="false">IFERROR(F5431/D5431,0)</f>
        <v>9.286</v>
      </c>
    </row>
    <row r="5432" customFormat="false" ht="15" hidden="false" customHeight="false" outlineLevel="0" collapsed="false">
      <c r="A5432" s="28" t="n">
        <v>2025</v>
      </c>
      <c r="B5432" s="28" t="s">
        <v>125</v>
      </c>
      <c r="C5432" s="28" t="s">
        <v>55</v>
      </c>
      <c r="D5432" s="28" t="n">
        <v>3</v>
      </c>
      <c r="E5432" s="29" t="n">
        <v>262200</v>
      </c>
      <c r="F5432" s="30" t="n">
        <v>31.75</v>
      </c>
      <c r="G5432" s="31" t="n">
        <f aca="false">IFERROR(F5432/D5432,0)</f>
        <v>10.5833333333333</v>
      </c>
    </row>
    <row r="5433" customFormat="false" ht="15" hidden="false" customHeight="false" outlineLevel="0" collapsed="false">
      <c r="A5433" s="28" t="n">
        <v>2025</v>
      </c>
      <c r="B5433" s="28" t="s">
        <v>125</v>
      </c>
      <c r="C5433" s="28" t="s">
        <v>51</v>
      </c>
      <c r="D5433" s="28" t="n">
        <v>2</v>
      </c>
      <c r="E5433" s="29" t="n">
        <v>269000</v>
      </c>
      <c r="F5433" s="30" t="n">
        <v>21.75</v>
      </c>
      <c r="G5433" s="31" t="n">
        <f aca="false">IFERROR(F5433/D5433,0)</f>
        <v>10.875</v>
      </c>
    </row>
    <row r="5434" customFormat="false" ht="15" hidden="false" customHeight="false" outlineLevel="0" collapsed="false">
      <c r="A5434" s="28" t="n">
        <v>2025</v>
      </c>
      <c r="B5434" s="28" t="s">
        <v>125</v>
      </c>
      <c r="C5434" s="28" t="s">
        <v>45</v>
      </c>
      <c r="D5434" s="28" t="n">
        <v>11</v>
      </c>
      <c r="E5434" s="29" t="n">
        <v>2509500</v>
      </c>
      <c r="F5434" s="30" t="n">
        <v>113.72</v>
      </c>
      <c r="G5434" s="31" t="n">
        <f aca="false">IFERROR(F5434/D5434,0)</f>
        <v>10.3381818181818</v>
      </c>
    </row>
    <row r="5435" customFormat="false" ht="15" hidden="false" customHeight="false" outlineLevel="0" collapsed="false">
      <c r="A5435" s="28" t="n">
        <v>2025</v>
      </c>
      <c r="B5435" s="28" t="s">
        <v>125</v>
      </c>
      <c r="C5435" s="28" t="s">
        <v>56</v>
      </c>
      <c r="D5435" s="28" t="n">
        <v>2</v>
      </c>
      <c r="E5435" s="29" t="n">
        <v>175000</v>
      </c>
      <c r="F5435" s="30" t="n">
        <v>22.25</v>
      </c>
      <c r="G5435" s="31" t="n">
        <f aca="false">IFERROR(F5435/D5435,0)</f>
        <v>11.125</v>
      </c>
    </row>
    <row r="5436" customFormat="false" ht="15" hidden="false" customHeight="false" outlineLevel="0" collapsed="false">
      <c r="A5436" s="28" t="n">
        <v>2025</v>
      </c>
      <c r="B5436" s="28" t="s">
        <v>125</v>
      </c>
      <c r="C5436" s="28" t="s">
        <v>54</v>
      </c>
      <c r="D5436" s="28" t="n">
        <v>3</v>
      </c>
      <c r="E5436" s="29" t="n">
        <v>1841300</v>
      </c>
      <c r="F5436" s="30" t="n">
        <v>28.75</v>
      </c>
      <c r="G5436" s="31" t="n">
        <f aca="false">IFERROR(F5436/D5436,0)</f>
        <v>9.58333333333333</v>
      </c>
    </row>
    <row r="5437" customFormat="false" ht="15" hidden="false" customHeight="false" outlineLevel="0" collapsed="false">
      <c r="A5437" s="28" t="n">
        <v>2025</v>
      </c>
      <c r="B5437" s="28" t="s">
        <v>125</v>
      </c>
      <c r="C5437" s="28" t="s">
        <v>44</v>
      </c>
      <c r="D5437" s="28" t="n">
        <v>7</v>
      </c>
      <c r="E5437" s="29" t="n">
        <v>1735000</v>
      </c>
      <c r="F5437" s="30" t="n">
        <v>74.25</v>
      </c>
      <c r="G5437" s="31" t="n">
        <f aca="false">IFERROR(F5437/D5437,0)</f>
        <v>10.6071428571429</v>
      </c>
    </row>
    <row r="5438" customFormat="false" ht="15" hidden="false" customHeight="false" outlineLevel="0" collapsed="false">
      <c r="A5438" s="28" t="n">
        <v>2025</v>
      </c>
      <c r="B5438" s="28" t="s">
        <v>125</v>
      </c>
      <c r="C5438" s="28" t="s">
        <v>57</v>
      </c>
      <c r="D5438" s="28" t="n">
        <v>3</v>
      </c>
      <c r="E5438" s="29" t="n">
        <v>1441100</v>
      </c>
      <c r="F5438" s="30" t="n">
        <v>30.25</v>
      </c>
      <c r="G5438" s="31" t="n">
        <f aca="false">IFERROR(F5438/D5438,0)</f>
        <v>10.0833333333333</v>
      </c>
    </row>
    <row r="5439" customFormat="false" ht="15" hidden="false" customHeight="false" outlineLevel="0" collapsed="false">
      <c r="A5439" s="28" t="n">
        <v>2025</v>
      </c>
      <c r="B5439" s="28" t="s">
        <v>125</v>
      </c>
      <c r="C5439" s="28" t="s">
        <v>47</v>
      </c>
      <c r="D5439" s="28" t="n">
        <v>2</v>
      </c>
      <c r="E5439" s="29" t="n">
        <v>5050000</v>
      </c>
      <c r="F5439" s="30" t="n">
        <v>22.5</v>
      </c>
      <c r="G5439" s="31" t="n">
        <f aca="false">IFERROR(F5439/D5439,0)</f>
        <v>11.25</v>
      </c>
    </row>
    <row r="5440" customFormat="false" ht="15" hidden="false" customHeight="false" outlineLevel="0" collapsed="false">
      <c r="A5440" s="28" t="n">
        <v>2025</v>
      </c>
      <c r="B5440" s="28" t="s">
        <v>125</v>
      </c>
      <c r="C5440" s="28" t="s">
        <v>58</v>
      </c>
      <c r="D5440" s="28" t="n">
        <v>2</v>
      </c>
      <c r="E5440" s="29" t="n">
        <v>1290000</v>
      </c>
      <c r="F5440" s="30" t="n">
        <v>16</v>
      </c>
      <c r="G5440" s="31" t="n">
        <f aca="false">IFERROR(F5440/D5440,0)</f>
        <v>8</v>
      </c>
    </row>
    <row r="5441" customFormat="false" ht="15" hidden="false" customHeight="false" outlineLevel="0" collapsed="false">
      <c r="A5441" s="28" t="n">
        <v>2025</v>
      </c>
      <c r="B5441" s="28" t="s">
        <v>125</v>
      </c>
      <c r="C5441" s="28" t="s">
        <v>46</v>
      </c>
      <c r="D5441" s="28" t="n">
        <v>8</v>
      </c>
      <c r="E5441" s="29" t="n">
        <v>2593700</v>
      </c>
      <c r="F5441" s="30" t="n">
        <v>78.7</v>
      </c>
      <c r="G5441" s="31" t="n">
        <f aca="false">IFERROR(F5441/D5441,0)</f>
        <v>9.8375</v>
      </c>
    </row>
    <row r="5442" customFormat="false" ht="15" hidden="false" customHeight="false" outlineLevel="0" collapsed="false">
      <c r="A5442" s="28" t="n">
        <v>2025</v>
      </c>
      <c r="B5442" s="28" t="s">
        <v>125</v>
      </c>
      <c r="C5442" s="28" t="s">
        <v>48</v>
      </c>
      <c r="D5442" s="28" t="n">
        <v>15</v>
      </c>
      <c r="E5442" s="29" t="n">
        <v>7551600</v>
      </c>
      <c r="F5442" s="30" t="n">
        <v>163.24</v>
      </c>
      <c r="G5442" s="31" t="n">
        <f aca="false">IFERROR(F5442/D5442,0)</f>
        <v>10.8826666666667</v>
      </c>
    </row>
    <row r="5443" customFormat="false" ht="15" hidden="false" customHeight="false" outlineLevel="0" collapsed="false">
      <c r="A5443" s="28" t="n">
        <v>2025</v>
      </c>
      <c r="B5443" s="28" t="s">
        <v>125</v>
      </c>
      <c r="C5443" s="28" t="s">
        <v>53</v>
      </c>
      <c r="D5443" s="28" t="n">
        <v>3</v>
      </c>
      <c r="E5443" s="29" t="n">
        <v>546300</v>
      </c>
      <c r="F5443" s="30" t="n">
        <v>34</v>
      </c>
      <c r="G5443" s="31" t="n">
        <f aca="false">IFERROR(F5443/D5443,0)</f>
        <v>11.3333333333333</v>
      </c>
    </row>
    <row r="5444" customFormat="false" ht="15" hidden="false" customHeight="false" outlineLevel="0" collapsed="false">
      <c r="A5444" s="28" t="n">
        <v>2025</v>
      </c>
      <c r="B5444" s="28" t="s">
        <v>125</v>
      </c>
      <c r="C5444" s="28" t="s">
        <v>43</v>
      </c>
      <c r="D5444" s="28" t="n">
        <v>18</v>
      </c>
      <c r="E5444" s="29" t="n">
        <v>16377900</v>
      </c>
      <c r="F5444" s="30" t="n">
        <v>186.5</v>
      </c>
      <c r="G5444" s="31" t="n">
        <f aca="false">IFERROR(F5444/D5444,0)</f>
        <v>10.3611111111111</v>
      </c>
    </row>
    <row r="5445" customFormat="false" ht="15" hidden="false" customHeight="false" outlineLevel="0" collapsed="false">
      <c r="A5445" s="28" t="n">
        <v>2025</v>
      </c>
      <c r="B5445" s="28" t="s">
        <v>125</v>
      </c>
      <c r="C5445" s="28" t="s">
        <v>52</v>
      </c>
      <c r="D5445" s="28" t="n">
        <v>6</v>
      </c>
      <c r="E5445" s="29" t="n">
        <v>6301000</v>
      </c>
      <c r="F5445" s="30" t="n">
        <v>63.3</v>
      </c>
      <c r="G5445" s="31" t="n">
        <f aca="false">IFERROR(F5445/D5445,0)</f>
        <v>10.55</v>
      </c>
    </row>
    <row r="5446" customFormat="false" ht="15" hidden="false" customHeight="false" outlineLevel="0" collapsed="false">
      <c r="A5446" s="28" t="n">
        <v>2025</v>
      </c>
      <c r="B5446" s="28" t="s">
        <v>125</v>
      </c>
      <c r="C5446" s="28" t="s">
        <v>49</v>
      </c>
      <c r="D5446" s="28" t="n">
        <v>4</v>
      </c>
      <c r="E5446" s="29" t="n">
        <v>120200</v>
      </c>
      <c r="F5446" s="30" t="n">
        <v>42.99</v>
      </c>
      <c r="G5446" s="31" t="n">
        <f aca="false">IFERROR(F5446/D5446,0)</f>
        <v>10.7475</v>
      </c>
    </row>
    <row r="5447" customFormat="false" ht="15" hidden="false" customHeight="false" outlineLevel="0" collapsed="false">
      <c r="A5447" s="28" t="n">
        <v>2026</v>
      </c>
      <c r="B5447" s="28" t="s">
        <v>74</v>
      </c>
      <c r="C5447" s="28" t="s">
        <v>42</v>
      </c>
      <c r="D5447" s="28" t="n">
        <v>8</v>
      </c>
      <c r="E5447" s="29" t="n">
        <v>2232000</v>
      </c>
      <c r="F5447" s="30" t="n">
        <v>78.5</v>
      </c>
      <c r="G5447" s="31" t="n">
        <f aca="false">IFERROR(F5447/D5447,0)</f>
        <v>9.8125</v>
      </c>
    </row>
    <row r="5448" customFormat="false" ht="15" hidden="false" customHeight="false" outlineLevel="0" collapsed="false">
      <c r="A5448" s="28" t="n">
        <v>2026</v>
      </c>
      <c r="B5448" s="28" t="s">
        <v>74</v>
      </c>
      <c r="C5448" s="28" t="s">
        <v>50</v>
      </c>
      <c r="D5448" s="28" t="n">
        <v>1</v>
      </c>
      <c r="E5448" s="29" t="n">
        <v>1385400</v>
      </c>
      <c r="F5448" s="30" t="n">
        <v>7.33</v>
      </c>
      <c r="G5448" s="31" t="n">
        <f aca="false">IFERROR(F5448/D5448,0)</f>
        <v>7.33</v>
      </c>
    </row>
    <row r="5449" customFormat="false" ht="15" hidden="false" customHeight="false" outlineLevel="0" collapsed="false">
      <c r="A5449" s="28" t="n">
        <v>2026</v>
      </c>
      <c r="B5449" s="28" t="s">
        <v>74</v>
      </c>
      <c r="C5449" s="28" t="s">
        <v>55</v>
      </c>
      <c r="D5449" s="28" t="n">
        <v>2</v>
      </c>
      <c r="E5449" s="29" t="n">
        <v>550000</v>
      </c>
      <c r="F5449" s="30" t="n">
        <v>22.5</v>
      </c>
      <c r="G5449" s="31" t="n">
        <f aca="false">IFERROR(F5449/D5449,0)</f>
        <v>11.25</v>
      </c>
    </row>
    <row r="5450" customFormat="false" ht="15" hidden="false" customHeight="false" outlineLevel="0" collapsed="false">
      <c r="A5450" s="28" t="n">
        <v>2026</v>
      </c>
      <c r="B5450" s="28" t="s">
        <v>74</v>
      </c>
      <c r="C5450" s="28" t="s">
        <v>51</v>
      </c>
      <c r="D5450" s="28" t="n">
        <v>4</v>
      </c>
      <c r="E5450" s="29" t="n">
        <v>645000</v>
      </c>
      <c r="F5450" s="30" t="n">
        <v>45.75</v>
      </c>
      <c r="G5450" s="31" t="n">
        <f aca="false">IFERROR(F5450/D5450,0)</f>
        <v>11.4375</v>
      </c>
    </row>
    <row r="5451" customFormat="false" ht="15" hidden="false" customHeight="false" outlineLevel="0" collapsed="false">
      <c r="A5451" s="28" t="n">
        <v>2026</v>
      </c>
      <c r="B5451" s="28" t="s">
        <v>74</v>
      </c>
      <c r="C5451" s="28" t="s">
        <v>45</v>
      </c>
      <c r="D5451" s="28" t="n">
        <v>7</v>
      </c>
      <c r="E5451" s="29" t="n">
        <v>10021600</v>
      </c>
      <c r="F5451" s="30" t="n">
        <v>63.39</v>
      </c>
      <c r="G5451" s="31" t="n">
        <f aca="false">IFERROR(F5451/D5451,0)</f>
        <v>9.05571428571429</v>
      </c>
    </row>
    <row r="5452" customFormat="false" ht="15" hidden="false" customHeight="false" outlineLevel="0" collapsed="false">
      <c r="A5452" s="28" t="n">
        <v>2026</v>
      </c>
      <c r="B5452" s="28" t="s">
        <v>74</v>
      </c>
      <c r="C5452" s="28" t="s">
        <v>44</v>
      </c>
      <c r="D5452" s="28" t="n">
        <v>4</v>
      </c>
      <c r="E5452" s="29" t="n">
        <v>885000</v>
      </c>
      <c r="F5452" s="30" t="n">
        <v>40.03</v>
      </c>
      <c r="G5452" s="31" t="n">
        <f aca="false">IFERROR(F5452/D5452,0)</f>
        <v>10.0075</v>
      </c>
    </row>
    <row r="5453" customFormat="false" ht="15" hidden="false" customHeight="false" outlineLevel="0" collapsed="false">
      <c r="A5453" s="28" t="n">
        <v>2026</v>
      </c>
      <c r="B5453" s="28" t="s">
        <v>74</v>
      </c>
      <c r="C5453" s="28" t="s">
        <v>57</v>
      </c>
      <c r="D5453" s="28" t="n">
        <v>3</v>
      </c>
      <c r="E5453" s="29" t="n">
        <v>302200</v>
      </c>
      <c r="F5453" s="30" t="n">
        <v>26.75</v>
      </c>
      <c r="G5453" s="31" t="n">
        <f aca="false">IFERROR(F5453/D5453,0)</f>
        <v>8.91666666666667</v>
      </c>
    </row>
    <row r="5454" customFormat="false" ht="15" hidden="false" customHeight="false" outlineLevel="0" collapsed="false">
      <c r="A5454" s="28" t="n">
        <v>2026</v>
      </c>
      <c r="B5454" s="28" t="s">
        <v>74</v>
      </c>
      <c r="C5454" s="28" t="s">
        <v>47</v>
      </c>
      <c r="D5454" s="28" t="n">
        <v>4</v>
      </c>
      <c r="E5454" s="29" t="n">
        <v>6495200</v>
      </c>
      <c r="F5454" s="30" t="n">
        <v>33.84</v>
      </c>
      <c r="G5454" s="31" t="n">
        <f aca="false">IFERROR(F5454/D5454,0)</f>
        <v>8.46</v>
      </c>
    </row>
    <row r="5455" customFormat="false" ht="15" hidden="false" customHeight="false" outlineLevel="0" collapsed="false">
      <c r="A5455" s="28" t="n">
        <v>2026</v>
      </c>
      <c r="B5455" s="28" t="s">
        <v>74</v>
      </c>
      <c r="C5455" s="28" t="s">
        <v>46</v>
      </c>
      <c r="D5455" s="28" t="n">
        <v>5</v>
      </c>
      <c r="E5455" s="29" t="n">
        <v>7445000</v>
      </c>
      <c r="F5455" s="30" t="n">
        <v>51.75</v>
      </c>
      <c r="G5455" s="31" t="n">
        <f aca="false">IFERROR(F5455/D5455,0)</f>
        <v>10.35</v>
      </c>
    </row>
    <row r="5456" customFormat="false" ht="15" hidden="false" customHeight="false" outlineLevel="0" collapsed="false">
      <c r="A5456" s="28" t="n">
        <v>2026</v>
      </c>
      <c r="B5456" s="28" t="s">
        <v>74</v>
      </c>
      <c r="C5456" s="28" t="s">
        <v>48</v>
      </c>
      <c r="D5456" s="28" t="n">
        <v>9</v>
      </c>
      <c r="E5456" s="29" t="n">
        <v>6605000</v>
      </c>
      <c r="F5456" s="30" t="n">
        <v>83.3</v>
      </c>
      <c r="G5456" s="31" t="n">
        <f aca="false">IFERROR(F5456/D5456,0)</f>
        <v>9.25555555555556</v>
      </c>
    </row>
    <row r="5457" customFormat="false" ht="15" hidden="false" customHeight="false" outlineLevel="0" collapsed="false">
      <c r="A5457" s="28" t="n">
        <v>2026</v>
      </c>
      <c r="B5457" s="28" t="s">
        <v>74</v>
      </c>
      <c r="C5457" s="28" t="s">
        <v>43</v>
      </c>
      <c r="D5457" s="28" t="n">
        <v>5</v>
      </c>
      <c r="E5457" s="29" t="n">
        <v>3177600</v>
      </c>
      <c r="F5457" s="30" t="n">
        <v>45.26</v>
      </c>
      <c r="G5457" s="31" t="n">
        <f aca="false">IFERROR(F5457/D5457,0)</f>
        <v>9.052</v>
      </c>
    </row>
    <row r="5458" customFormat="false" ht="15" hidden="false" customHeight="false" outlineLevel="0" collapsed="false">
      <c r="A5458" s="28" t="n">
        <v>2026</v>
      </c>
      <c r="B5458" s="28" t="s">
        <v>74</v>
      </c>
      <c r="C5458" s="28" t="s">
        <v>49</v>
      </c>
      <c r="D5458" s="28" t="n">
        <v>4</v>
      </c>
      <c r="E5458" s="29" t="n">
        <v>1450000</v>
      </c>
      <c r="F5458" s="30" t="n">
        <v>37.5</v>
      </c>
      <c r="G5458" s="31" t="n">
        <f aca="false">IFERROR(F5458/D5458,0)</f>
        <v>9.375</v>
      </c>
    </row>
    <row r="5459" customFormat="false" ht="15" hidden="false" customHeight="false" outlineLevel="0" collapsed="false">
      <c r="A5459" s="28" t="n">
        <v>2026</v>
      </c>
      <c r="B5459" s="28" t="s">
        <v>76</v>
      </c>
      <c r="C5459" s="28" t="s">
        <v>42</v>
      </c>
      <c r="D5459" s="28" t="n">
        <v>31</v>
      </c>
      <c r="E5459" s="29" t="n">
        <v>30559100</v>
      </c>
      <c r="F5459" s="30" t="n">
        <v>276.18</v>
      </c>
      <c r="G5459" s="31" t="n">
        <f aca="false">IFERROR(F5459/D5459,0)</f>
        <v>8.90903225806452</v>
      </c>
    </row>
    <row r="5460" customFormat="false" ht="15" hidden="false" customHeight="false" outlineLevel="0" collapsed="false">
      <c r="A5460" s="28" t="n">
        <v>2026</v>
      </c>
      <c r="B5460" s="28" t="s">
        <v>76</v>
      </c>
      <c r="C5460" s="28" t="s">
        <v>50</v>
      </c>
      <c r="D5460" s="28" t="n">
        <v>11</v>
      </c>
      <c r="E5460" s="29" t="n">
        <v>2725300</v>
      </c>
      <c r="F5460" s="30" t="n">
        <v>110.49</v>
      </c>
      <c r="G5460" s="31" t="n">
        <f aca="false">IFERROR(F5460/D5460,0)</f>
        <v>10.0445454545455</v>
      </c>
    </row>
    <row r="5461" customFormat="false" ht="15" hidden="false" customHeight="false" outlineLevel="0" collapsed="false">
      <c r="A5461" s="28" t="n">
        <v>2026</v>
      </c>
      <c r="B5461" s="28" t="s">
        <v>76</v>
      </c>
      <c r="C5461" s="28" t="s">
        <v>55</v>
      </c>
      <c r="D5461" s="28" t="n">
        <v>11</v>
      </c>
      <c r="E5461" s="29" t="n">
        <v>13034000</v>
      </c>
      <c r="F5461" s="30" t="n">
        <v>90.6</v>
      </c>
      <c r="G5461" s="31" t="n">
        <f aca="false">IFERROR(F5461/D5461,0)</f>
        <v>8.23636363636364</v>
      </c>
    </row>
    <row r="5462" customFormat="false" ht="15" hidden="false" customHeight="false" outlineLevel="0" collapsed="false">
      <c r="A5462" s="28" t="n">
        <v>2026</v>
      </c>
      <c r="B5462" s="28" t="s">
        <v>76</v>
      </c>
      <c r="C5462" s="28" t="s">
        <v>51</v>
      </c>
      <c r="D5462" s="28" t="n">
        <v>15</v>
      </c>
      <c r="E5462" s="29" t="n">
        <v>9487600</v>
      </c>
      <c r="F5462" s="30" t="n">
        <v>141.49</v>
      </c>
      <c r="G5462" s="31" t="n">
        <f aca="false">IFERROR(F5462/D5462,0)</f>
        <v>9.43266666666667</v>
      </c>
    </row>
    <row r="5463" customFormat="false" ht="15" hidden="false" customHeight="false" outlineLevel="0" collapsed="false">
      <c r="A5463" s="28" t="n">
        <v>2026</v>
      </c>
      <c r="B5463" s="28" t="s">
        <v>76</v>
      </c>
      <c r="C5463" s="28" t="s">
        <v>45</v>
      </c>
      <c r="D5463" s="28" t="n">
        <v>24</v>
      </c>
      <c r="E5463" s="29" t="n">
        <v>5761000</v>
      </c>
      <c r="F5463" s="30" t="n">
        <v>247.24</v>
      </c>
      <c r="G5463" s="31" t="n">
        <f aca="false">IFERROR(F5463/D5463,0)</f>
        <v>10.3016666666667</v>
      </c>
    </row>
    <row r="5464" customFormat="false" ht="15" hidden="false" customHeight="false" outlineLevel="0" collapsed="false">
      <c r="A5464" s="28" t="n">
        <v>2026</v>
      </c>
      <c r="B5464" s="28" t="s">
        <v>76</v>
      </c>
      <c r="C5464" s="28" t="s">
        <v>56</v>
      </c>
      <c r="D5464" s="28" t="n">
        <v>3</v>
      </c>
      <c r="E5464" s="29" t="n">
        <v>492200</v>
      </c>
      <c r="F5464" s="30" t="n">
        <v>32.25</v>
      </c>
      <c r="G5464" s="31" t="n">
        <f aca="false">IFERROR(F5464/D5464,0)</f>
        <v>10.75</v>
      </c>
    </row>
    <row r="5465" customFormat="false" ht="15" hidden="false" customHeight="false" outlineLevel="0" collapsed="false">
      <c r="A5465" s="28" t="n">
        <v>2026</v>
      </c>
      <c r="B5465" s="28" t="s">
        <v>76</v>
      </c>
      <c r="C5465" s="28" t="s">
        <v>54</v>
      </c>
      <c r="D5465" s="28" t="n">
        <v>8</v>
      </c>
      <c r="E5465" s="29" t="n">
        <v>1730200</v>
      </c>
      <c r="F5465" s="30" t="n">
        <v>86.25</v>
      </c>
      <c r="G5465" s="31" t="n">
        <f aca="false">IFERROR(F5465/D5465,0)</f>
        <v>10.78125</v>
      </c>
    </row>
    <row r="5466" customFormat="false" ht="15" hidden="false" customHeight="false" outlineLevel="0" collapsed="false">
      <c r="A5466" s="28" t="n">
        <v>2026</v>
      </c>
      <c r="B5466" s="28" t="s">
        <v>76</v>
      </c>
      <c r="C5466" s="28" t="s">
        <v>44</v>
      </c>
      <c r="D5466" s="28" t="n">
        <v>26</v>
      </c>
      <c r="E5466" s="29" t="n">
        <v>14850900</v>
      </c>
      <c r="F5466" s="30" t="n">
        <v>251.94</v>
      </c>
      <c r="G5466" s="31" t="n">
        <f aca="false">IFERROR(F5466/D5466,0)</f>
        <v>9.69</v>
      </c>
    </row>
    <row r="5467" customFormat="false" ht="15" hidden="false" customHeight="false" outlineLevel="0" collapsed="false">
      <c r="A5467" s="28" t="n">
        <v>2026</v>
      </c>
      <c r="B5467" s="28" t="s">
        <v>76</v>
      </c>
      <c r="C5467" s="28" t="s">
        <v>57</v>
      </c>
      <c r="D5467" s="28" t="n">
        <v>2</v>
      </c>
      <c r="E5467" s="29" t="n">
        <v>481000</v>
      </c>
      <c r="F5467" s="30" t="n">
        <v>17.25</v>
      </c>
      <c r="G5467" s="31" t="n">
        <f aca="false">IFERROR(F5467/D5467,0)</f>
        <v>8.625</v>
      </c>
    </row>
    <row r="5468" customFormat="false" ht="15" hidden="false" customHeight="false" outlineLevel="0" collapsed="false">
      <c r="A5468" s="28" t="n">
        <v>2026</v>
      </c>
      <c r="B5468" s="28" t="s">
        <v>76</v>
      </c>
      <c r="C5468" s="28" t="s">
        <v>47</v>
      </c>
      <c r="D5468" s="28" t="n">
        <v>19</v>
      </c>
      <c r="E5468" s="29" t="n">
        <v>25622100</v>
      </c>
      <c r="F5468" s="30" t="n">
        <v>170.04</v>
      </c>
      <c r="G5468" s="31" t="n">
        <f aca="false">IFERROR(F5468/D5468,0)</f>
        <v>8.94947368421053</v>
      </c>
    </row>
    <row r="5469" customFormat="false" ht="15" hidden="false" customHeight="false" outlineLevel="0" collapsed="false">
      <c r="A5469" s="28" t="n">
        <v>2026</v>
      </c>
      <c r="B5469" s="28" t="s">
        <v>76</v>
      </c>
      <c r="C5469" s="28" t="s">
        <v>58</v>
      </c>
      <c r="D5469" s="28" t="n">
        <v>1</v>
      </c>
      <c r="E5469" s="29" t="n">
        <v>350000</v>
      </c>
      <c r="F5469" s="30" t="n">
        <v>9.75</v>
      </c>
      <c r="G5469" s="31" t="n">
        <f aca="false">IFERROR(F5469/D5469,0)</f>
        <v>9.75</v>
      </c>
    </row>
    <row r="5470" customFormat="false" ht="15" hidden="false" customHeight="false" outlineLevel="0" collapsed="false">
      <c r="A5470" s="28" t="n">
        <v>2026</v>
      </c>
      <c r="B5470" s="28" t="s">
        <v>76</v>
      </c>
      <c r="C5470" s="28" t="s">
        <v>46</v>
      </c>
      <c r="D5470" s="28" t="n">
        <v>24</v>
      </c>
      <c r="E5470" s="29" t="n">
        <v>12211300</v>
      </c>
      <c r="F5470" s="30" t="n">
        <v>231</v>
      </c>
      <c r="G5470" s="31" t="n">
        <f aca="false">IFERROR(F5470/D5470,0)</f>
        <v>9.625</v>
      </c>
    </row>
    <row r="5471" customFormat="false" ht="15" hidden="false" customHeight="false" outlineLevel="0" collapsed="false">
      <c r="A5471" s="28" t="n">
        <v>2026</v>
      </c>
      <c r="B5471" s="28" t="s">
        <v>76</v>
      </c>
      <c r="C5471" s="28" t="s">
        <v>48</v>
      </c>
      <c r="D5471" s="28" t="n">
        <v>33</v>
      </c>
      <c r="E5471" s="29" t="n">
        <v>30559200</v>
      </c>
      <c r="F5471" s="30" t="n">
        <v>301.38</v>
      </c>
      <c r="G5471" s="31" t="n">
        <f aca="false">IFERROR(F5471/D5471,0)</f>
        <v>9.13272727272727</v>
      </c>
    </row>
    <row r="5472" customFormat="false" ht="15" hidden="false" customHeight="false" outlineLevel="0" collapsed="false">
      <c r="A5472" s="28" t="n">
        <v>2026</v>
      </c>
      <c r="B5472" s="28" t="s">
        <v>76</v>
      </c>
      <c r="C5472" s="28" t="s">
        <v>53</v>
      </c>
      <c r="D5472" s="28" t="n">
        <v>6</v>
      </c>
      <c r="E5472" s="29" t="n">
        <v>8834000</v>
      </c>
      <c r="F5472" s="30" t="n">
        <v>53.5</v>
      </c>
      <c r="G5472" s="31" t="n">
        <f aca="false">IFERROR(F5472/D5472,0)</f>
        <v>8.91666666666667</v>
      </c>
    </row>
    <row r="5473" customFormat="false" ht="15" hidden="false" customHeight="false" outlineLevel="0" collapsed="false">
      <c r="A5473" s="28" t="n">
        <v>2026</v>
      </c>
      <c r="B5473" s="28" t="s">
        <v>76</v>
      </c>
      <c r="C5473" s="28" t="s">
        <v>43</v>
      </c>
      <c r="D5473" s="28" t="n">
        <v>18</v>
      </c>
      <c r="E5473" s="29" t="n">
        <v>8154700</v>
      </c>
      <c r="F5473" s="30" t="n">
        <v>172.14</v>
      </c>
      <c r="G5473" s="31" t="n">
        <f aca="false">IFERROR(F5473/D5473,0)</f>
        <v>9.56333333333333</v>
      </c>
    </row>
    <row r="5474" customFormat="false" ht="15" hidden="false" customHeight="false" outlineLevel="0" collapsed="false">
      <c r="A5474" s="28" t="n">
        <v>2026</v>
      </c>
      <c r="B5474" s="28" t="s">
        <v>76</v>
      </c>
      <c r="C5474" s="28" t="s">
        <v>52</v>
      </c>
      <c r="D5474" s="28" t="n">
        <v>8</v>
      </c>
      <c r="E5474" s="29" t="n">
        <v>9594700</v>
      </c>
      <c r="F5474" s="30" t="n">
        <v>69.99</v>
      </c>
      <c r="G5474" s="31" t="n">
        <f aca="false">IFERROR(F5474/D5474,0)</f>
        <v>8.74875</v>
      </c>
    </row>
    <row r="5475" customFormat="false" ht="15" hidden="false" customHeight="false" outlineLevel="0" collapsed="false">
      <c r="A5475" s="28" t="n">
        <v>2026</v>
      </c>
      <c r="B5475" s="28" t="s">
        <v>76</v>
      </c>
      <c r="C5475" s="28" t="s">
        <v>49</v>
      </c>
      <c r="D5475" s="28" t="n">
        <v>8</v>
      </c>
      <c r="E5475" s="29" t="n">
        <v>11979700</v>
      </c>
      <c r="F5475" s="30" t="n">
        <v>75.5</v>
      </c>
      <c r="G5475" s="31" t="n">
        <f aca="false">IFERROR(F5475/D5475,0)</f>
        <v>9.4375</v>
      </c>
    </row>
    <row r="5476" customFormat="false" ht="15" hidden="false" customHeight="false" outlineLevel="0" collapsed="false">
      <c r="A5476" s="28" t="n">
        <v>2026</v>
      </c>
      <c r="B5476" s="28" t="s">
        <v>78</v>
      </c>
      <c r="C5476" s="28" t="s">
        <v>42</v>
      </c>
      <c r="D5476" s="28" t="n">
        <v>27</v>
      </c>
      <c r="E5476" s="29" t="n">
        <v>20936100</v>
      </c>
      <c r="F5476" s="30" t="n">
        <v>234.24</v>
      </c>
      <c r="G5476" s="31" t="n">
        <f aca="false">IFERROR(F5476/D5476,0)</f>
        <v>8.67555555555556</v>
      </c>
    </row>
    <row r="5477" customFormat="false" ht="15" hidden="false" customHeight="false" outlineLevel="0" collapsed="false">
      <c r="A5477" s="28" t="n">
        <v>2026</v>
      </c>
      <c r="B5477" s="28" t="s">
        <v>78</v>
      </c>
      <c r="C5477" s="28" t="s">
        <v>50</v>
      </c>
      <c r="D5477" s="28" t="n">
        <v>8</v>
      </c>
      <c r="E5477" s="29" t="n">
        <v>5888500</v>
      </c>
      <c r="F5477" s="30" t="n">
        <v>70.81</v>
      </c>
      <c r="G5477" s="31" t="n">
        <f aca="false">IFERROR(F5477/D5477,0)</f>
        <v>8.85125</v>
      </c>
    </row>
    <row r="5478" customFormat="false" ht="15" hidden="false" customHeight="false" outlineLevel="0" collapsed="false">
      <c r="A5478" s="28" t="n">
        <v>2026</v>
      </c>
      <c r="B5478" s="28" t="s">
        <v>78</v>
      </c>
      <c r="C5478" s="28" t="s">
        <v>55</v>
      </c>
      <c r="D5478" s="28" t="n">
        <v>27</v>
      </c>
      <c r="E5478" s="29" t="n">
        <v>48747700</v>
      </c>
      <c r="F5478" s="30" t="n">
        <v>209.36</v>
      </c>
      <c r="G5478" s="31" t="n">
        <f aca="false">IFERROR(F5478/D5478,0)</f>
        <v>7.75407407407408</v>
      </c>
    </row>
    <row r="5479" customFormat="false" ht="15" hidden="false" customHeight="false" outlineLevel="0" collapsed="false">
      <c r="A5479" s="28" t="n">
        <v>2026</v>
      </c>
      <c r="B5479" s="28" t="s">
        <v>78</v>
      </c>
      <c r="C5479" s="28" t="s">
        <v>51</v>
      </c>
      <c r="D5479" s="28" t="n">
        <v>5</v>
      </c>
      <c r="E5479" s="29" t="n">
        <v>3855100</v>
      </c>
      <c r="F5479" s="30" t="n">
        <v>46.74</v>
      </c>
      <c r="G5479" s="31" t="n">
        <f aca="false">IFERROR(F5479/D5479,0)</f>
        <v>9.348</v>
      </c>
    </row>
    <row r="5480" customFormat="false" ht="15" hidden="false" customHeight="false" outlineLevel="0" collapsed="false">
      <c r="A5480" s="28" t="n">
        <v>2026</v>
      </c>
      <c r="B5480" s="28" t="s">
        <v>78</v>
      </c>
      <c r="C5480" s="28" t="s">
        <v>45</v>
      </c>
      <c r="D5480" s="28" t="n">
        <v>27</v>
      </c>
      <c r="E5480" s="29" t="n">
        <v>9660200</v>
      </c>
      <c r="F5480" s="30" t="n">
        <v>254.53</v>
      </c>
      <c r="G5480" s="31" t="n">
        <f aca="false">IFERROR(F5480/D5480,0)</f>
        <v>9.42703703703704</v>
      </c>
    </row>
    <row r="5481" customFormat="false" ht="15" hidden="false" customHeight="false" outlineLevel="0" collapsed="false">
      <c r="A5481" s="28" t="n">
        <v>2026</v>
      </c>
      <c r="B5481" s="28" t="s">
        <v>78</v>
      </c>
      <c r="C5481" s="28" t="s">
        <v>56</v>
      </c>
      <c r="D5481" s="28" t="n">
        <v>2</v>
      </c>
      <c r="E5481" s="29" t="n">
        <v>1414900</v>
      </c>
      <c r="F5481" s="30" t="n">
        <v>17.67</v>
      </c>
      <c r="G5481" s="31" t="n">
        <f aca="false">IFERROR(F5481/D5481,0)</f>
        <v>8.835</v>
      </c>
    </row>
    <row r="5482" customFormat="false" ht="15" hidden="false" customHeight="false" outlineLevel="0" collapsed="false">
      <c r="A5482" s="28" t="n">
        <v>2026</v>
      </c>
      <c r="B5482" s="28" t="s">
        <v>78</v>
      </c>
      <c r="C5482" s="28" t="s">
        <v>54</v>
      </c>
      <c r="D5482" s="28" t="n">
        <v>4</v>
      </c>
      <c r="E5482" s="29" t="n">
        <v>653500</v>
      </c>
      <c r="F5482" s="30" t="n">
        <v>39.5</v>
      </c>
      <c r="G5482" s="31" t="n">
        <f aca="false">IFERROR(F5482/D5482,0)</f>
        <v>9.875</v>
      </c>
    </row>
    <row r="5483" customFormat="false" ht="15" hidden="false" customHeight="false" outlineLevel="0" collapsed="false">
      <c r="A5483" s="28" t="n">
        <v>2026</v>
      </c>
      <c r="B5483" s="28" t="s">
        <v>78</v>
      </c>
      <c r="C5483" s="28" t="s">
        <v>44</v>
      </c>
      <c r="D5483" s="28" t="n">
        <v>20</v>
      </c>
      <c r="E5483" s="29" t="n">
        <v>12456000</v>
      </c>
      <c r="F5483" s="30" t="n">
        <v>182.2</v>
      </c>
      <c r="G5483" s="31" t="n">
        <f aca="false">IFERROR(F5483/D5483,0)</f>
        <v>9.11</v>
      </c>
    </row>
    <row r="5484" customFormat="false" ht="15" hidden="false" customHeight="false" outlineLevel="0" collapsed="false">
      <c r="A5484" s="28" t="n">
        <v>2026</v>
      </c>
      <c r="B5484" s="28" t="s">
        <v>78</v>
      </c>
      <c r="C5484" s="28" t="s">
        <v>57</v>
      </c>
      <c r="D5484" s="28" t="n">
        <v>1</v>
      </c>
      <c r="E5484" s="29" t="n">
        <v>138000</v>
      </c>
      <c r="F5484" s="30" t="n">
        <v>7</v>
      </c>
      <c r="G5484" s="31" t="n">
        <f aca="false">IFERROR(F5484/D5484,0)</f>
        <v>7</v>
      </c>
    </row>
    <row r="5485" customFormat="false" ht="15" hidden="false" customHeight="false" outlineLevel="0" collapsed="false">
      <c r="A5485" s="28" t="n">
        <v>2026</v>
      </c>
      <c r="B5485" s="28" t="s">
        <v>78</v>
      </c>
      <c r="C5485" s="28" t="s">
        <v>47</v>
      </c>
      <c r="D5485" s="28" t="n">
        <v>6</v>
      </c>
      <c r="E5485" s="29" t="n">
        <v>8833800</v>
      </c>
      <c r="F5485" s="30" t="n">
        <v>55.241</v>
      </c>
      <c r="G5485" s="31" t="n">
        <f aca="false">IFERROR(F5485/D5485,0)</f>
        <v>9.20683333333333</v>
      </c>
    </row>
    <row r="5486" customFormat="false" ht="15" hidden="false" customHeight="false" outlineLevel="0" collapsed="false">
      <c r="A5486" s="28" t="n">
        <v>2026</v>
      </c>
      <c r="B5486" s="28" t="s">
        <v>78</v>
      </c>
      <c r="C5486" s="28" t="s">
        <v>46</v>
      </c>
      <c r="D5486" s="28" t="n">
        <v>15</v>
      </c>
      <c r="E5486" s="29" t="n">
        <v>7408700</v>
      </c>
      <c r="F5486" s="30" t="n">
        <v>141.65</v>
      </c>
      <c r="G5486" s="31" t="n">
        <f aca="false">IFERROR(F5486/D5486,0)</f>
        <v>9.44333333333333</v>
      </c>
    </row>
    <row r="5487" customFormat="false" ht="15" hidden="false" customHeight="false" outlineLevel="0" collapsed="false">
      <c r="A5487" s="28" t="n">
        <v>2026</v>
      </c>
      <c r="B5487" s="28" t="s">
        <v>78</v>
      </c>
      <c r="C5487" s="28" t="s">
        <v>48</v>
      </c>
      <c r="D5487" s="28" t="n">
        <v>16</v>
      </c>
      <c r="E5487" s="29" t="n">
        <v>5967900</v>
      </c>
      <c r="F5487" s="30" t="n">
        <v>152.47</v>
      </c>
      <c r="G5487" s="31" t="n">
        <f aca="false">IFERROR(F5487/D5487,0)</f>
        <v>9.529375</v>
      </c>
    </row>
    <row r="5488" customFormat="false" ht="15" hidden="false" customHeight="false" outlineLevel="0" collapsed="false">
      <c r="A5488" s="28" t="n">
        <v>2026</v>
      </c>
      <c r="B5488" s="28" t="s">
        <v>78</v>
      </c>
      <c r="C5488" s="28" t="s">
        <v>53</v>
      </c>
      <c r="D5488" s="28" t="n">
        <v>2</v>
      </c>
      <c r="E5488" s="29" t="n">
        <v>449200</v>
      </c>
      <c r="F5488" s="30" t="n">
        <v>16.7</v>
      </c>
      <c r="G5488" s="31" t="n">
        <f aca="false">IFERROR(F5488/D5488,0)</f>
        <v>8.35</v>
      </c>
    </row>
    <row r="5489" customFormat="false" ht="15" hidden="false" customHeight="false" outlineLevel="0" collapsed="false">
      <c r="A5489" s="28" t="n">
        <v>2026</v>
      </c>
      <c r="B5489" s="28" t="s">
        <v>78</v>
      </c>
      <c r="C5489" s="28" t="s">
        <v>43</v>
      </c>
      <c r="D5489" s="28" t="n">
        <v>23</v>
      </c>
      <c r="E5489" s="29" t="n">
        <v>17191400</v>
      </c>
      <c r="F5489" s="30" t="n">
        <v>207.962</v>
      </c>
      <c r="G5489" s="31" t="n">
        <f aca="false">IFERROR(F5489/D5489,0)</f>
        <v>9.04182608695652</v>
      </c>
    </row>
    <row r="5490" customFormat="false" ht="15" hidden="false" customHeight="false" outlineLevel="0" collapsed="false">
      <c r="A5490" s="28" t="n">
        <v>2026</v>
      </c>
      <c r="B5490" s="28" t="s">
        <v>78</v>
      </c>
      <c r="C5490" s="28" t="s">
        <v>52</v>
      </c>
      <c r="D5490" s="28" t="n">
        <v>5</v>
      </c>
      <c r="E5490" s="29" t="n">
        <v>6808700</v>
      </c>
      <c r="F5490" s="30" t="n">
        <v>39.44</v>
      </c>
      <c r="G5490" s="31" t="n">
        <f aca="false">IFERROR(F5490/D5490,0)</f>
        <v>7.888</v>
      </c>
    </row>
    <row r="5491" customFormat="false" ht="15" hidden="false" customHeight="false" outlineLevel="0" collapsed="false">
      <c r="A5491" s="28" t="n">
        <v>2026</v>
      </c>
      <c r="B5491" s="28" t="s">
        <v>78</v>
      </c>
      <c r="C5491" s="28" t="s">
        <v>49</v>
      </c>
      <c r="D5491" s="28" t="n">
        <v>3</v>
      </c>
      <c r="E5491" s="29" t="n">
        <v>1710500</v>
      </c>
      <c r="F5491" s="30" t="n">
        <v>25.99</v>
      </c>
      <c r="G5491" s="31" t="n">
        <f aca="false">IFERROR(F5491/D5491,0)</f>
        <v>8.66333333333333</v>
      </c>
    </row>
    <row r="5492" customFormat="false" ht="15" hidden="false" customHeight="false" outlineLevel="0" collapsed="false">
      <c r="A5492" s="28" t="n">
        <v>2026</v>
      </c>
      <c r="B5492" s="28" t="s">
        <v>80</v>
      </c>
      <c r="C5492" s="28" t="s">
        <v>42</v>
      </c>
      <c r="D5492" s="28" t="n">
        <v>95</v>
      </c>
      <c r="E5492" s="29" t="n">
        <v>72277500</v>
      </c>
      <c r="F5492" s="30" t="n">
        <v>871.74</v>
      </c>
      <c r="G5492" s="31" t="n">
        <f aca="false">IFERROR(F5492/D5492,0)</f>
        <v>9.17621052631579</v>
      </c>
    </row>
    <row r="5493" customFormat="false" ht="15" hidden="false" customHeight="false" outlineLevel="0" collapsed="false">
      <c r="A5493" s="28" t="n">
        <v>2026</v>
      </c>
      <c r="B5493" s="28" t="s">
        <v>80</v>
      </c>
      <c r="C5493" s="28" t="s">
        <v>50</v>
      </c>
      <c r="D5493" s="28" t="n">
        <v>57</v>
      </c>
      <c r="E5493" s="29" t="n">
        <v>39924800</v>
      </c>
      <c r="F5493" s="30" t="n">
        <v>537.38</v>
      </c>
      <c r="G5493" s="31" t="n">
        <f aca="false">IFERROR(F5493/D5493,0)</f>
        <v>9.42771929824562</v>
      </c>
    </row>
    <row r="5494" customFormat="false" ht="15" hidden="false" customHeight="false" outlineLevel="0" collapsed="false">
      <c r="A5494" s="28" t="n">
        <v>2026</v>
      </c>
      <c r="B5494" s="28" t="s">
        <v>80</v>
      </c>
      <c r="C5494" s="28" t="s">
        <v>55</v>
      </c>
      <c r="D5494" s="28" t="n">
        <v>4</v>
      </c>
      <c r="E5494" s="29" t="n">
        <v>5278100</v>
      </c>
      <c r="F5494" s="30" t="n">
        <v>32</v>
      </c>
      <c r="G5494" s="31" t="n">
        <f aca="false">IFERROR(F5494/D5494,0)</f>
        <v>8</v>
      </c>
    </row>
    <row r="5495" customFormat="false" ht="15" hidden="false" customHeight="false" outlineLevel="0" collapsed="false">
      <c r="A5495" s="28" t="n">
        <v>2026</v>
      </c>
      <c r="B5495" s="28" t="s">
        <v>80</v>
      </c>
      <c r="C5495" s="28" t="s">
        <v>51</v>
      </c>
      <c r="D5495" s="28" t="n">
        <v>28</v>
      </c>
      <c r="E5495" s="29" t="n">
        <v>18929700</v>
      </c>
      <c r="F5495" s="30" t="n">
        <v>267.3</v>
      </c>
      <c r="G5495" s="31" t="n">
        <f aca="false">IFERROR(F5495/D5495,0)</f>
        <v>9.54642857142857</v>
      </c>
    </row>
    <row r="5496" customFormat="false" ht="15" hidden="false" customHeight="false" outlineLevel="0" collapsed="false">
      <c r="A5496" s="28" t="n">
        <v>2026</v>
      </c>
      <c r="B5496" s="28" t="s">
        <v>80</v>
      </c>
      <c r="C5496" s="28" t="s">
        <v>45</v>
      </c>
      <c r="D5496" s="28" t="n">
        <v>106</v>
      </c>
      <c r="E5496" s="29" t="n">
        <v>59943600</v>
      </c>
      <c r="F5496" s="30" t="n">
        <v>991.61</v>
      </c>
      <c r="G5496" s="31" t="n">
        <f aca="false">IFERROR(F5496/D5496,0)</f>
        <v>9.35481132075472</v>
      </c>
    </row>
    <row r="5497" customFormat="false" ht="15" hidden="false" customHeight="false" outlineLevel="0" collapsed="false">
      <c r="A5497" s="28" t="n">
        <v>2026</v>
      </c>
      <c r="B5497" s="28" t="s">
        <v>80</v>
      </c>
      <c r="C5497" s="28" t="s">
        <v>56</v>
      </c>
      <c r="D5497" s="28" t="n">
        <v>12</v>
      </c>
      <c r="E5497" s="29" t="n">
        <v>11663400</v>
      </c>
      <c r="F5497" s="30" t="n">
        <v>114.75</v>
      </c>
      <c r="G5497" s="31" t="n">
        <f aca="false">IFERROR(F5497/D5497,0)</f>
        <v>9.5625</v>
      </c>
    </row>
    <row r="5498" customFormat="false" ht="15" hidden="false" customHeight="false" outlineLevel="0" collapsed="false">
      <c r="A5498" s="28" t="n">
        <v>2026</v>
      </c>
      <c r="B5498" s="28" t="s">
        <v>80</v>
      </c>
      <c r="C5498" s="28" t="s">
        <v>54</v>
      </c>
      <c r="D5498" s="28" t="n">
        <v>18</v>
      </c>
      <c r="E5498" s="29" t="n">
        <v>8702100</v>
      </c>
      <c r="F5498" s="30" t="n">
        <v>164.78</v>
      </c>
      <c r="G5498" s="31" t="n">
        <f aca="false">IFERROR(F5498/D5498,0)</f>
        <v>9.15444444444444</v>
      </c>
    </row>
    <row r="5499" customFormat="false" ht="15" hidden="false" customHeight="false" outlineLevel="0" collapsed="false">
      <c r="A5499" s="28" t="n">
        <v>2026</v>
      </c>
      <c r="B5499" s="28" t="s">
        <v>80</v>
      </c>
      <c r="C5499" s="28" t="s">
        <v>44</v>
      </c>
      <c r="D5499" s="28" t="n">
        <v>97</v>
      </c>
      <c r="E5499" s="29" t="n">
        <v>88231700</v>
      </c>
      <c r="F5499" s="30" t="n">
        <v>866.16</v>
      </c>
      <c r="G5499" s="31" t="n">
        <f aca="false">IFERROR(F5499/D5499,0)</f>
        <v>8.92948453608247</v>
      </c>
    </row>
    <row r="5500" customFormat="false" ht="15" hidden="false" customHeight="false" outlineLevel="0" collapsed="false">
      <c r="A5500" s="28" t="n">
        <v>2026</v>
      </c>
      <c r="B5500" s="28" t="s">
        <v>80</v>
      </c>
      <c r="C5500" s="28" t="s">
        <v>57</v>
      </c>
      <c r="D5500" s="28" t="n">
        <v>2</v>
      </c>
      <c r="E5500" s="29" t="n">
        <v>85000</v>
      </c>
      <c r="F5500" s="30" t="n">
        <v>19.74</v>
      </c>
      <c r="G5500" s="31" t="n">
        <f aca="false">IFERROR(F5500/D5500,0)</f>
        <v>9.87</v>
      </c>
    </row>
    <row r="5501" customFormat="false" ht="15" hidden="false" customHeight="false" outlineLevel="0" collapsed="false">
      <c r="A5501" s="28" t="n">
        <v>2026</v>
      </c>
      <c r="B5501" s="28" t="s">
        <v>80</v>
      </c>
      <c r="C5501" s="28" t="s">
        <v>47</v>
      </c>
      <c r="D5501" s="28" t="n">
        <v>49</v>
      </c>
      <c r="E5501" s="29" t="n">
        <v>46032300</v>
      </c>
      <c r="F5501" s="30" t="n">
        <v>439.035</v>
      </c>
      <c r="G5501" s="31" t="n">
        <f aca="false">IFERROR(F5501/D5501,0)</f>
        <v>8.95989795918367</v>
      </c>
    </row>
    <row r="5502" customFormat="false" ht="15" hidden="false" customHeight="false" outlineLevel="0" collapsed="false">
      <c r="A5502" s="28" t="n">
        <v>2026</v>
      </c>
      <c r="B5502" s="28" t="s">
        <v>80</v>
      </c>
      <c r="C5502" s="28" t="s">
        <v>58</v>
      </c>
      <c r="D5502" s="28" t="n">
        <v>1</v>
      </c>
      <c r="E5502" s="29" t="n">
        <v>50000</v>
      </c>
      <c r="F5502" s="30" t="n">
        <v>10.49</v>
      </c>
      <c r="G5502" s="31" t="n">
        <f aca="false">IFERROR(F5502/D5502,0)</f>
        <v>10.49</v>
      </c>
    </row>
    <row r="5503" customFormat="false" ht="15" hidden="false" customHeight="false" outlineLevel="0" collapsed="false">
      <c r="A5503" s="28" t="n">
        <v>2026</v>
      </c>
      <c r="B5503" s="28" t="s">
        <v>80</v>
      </c>
      <c r="C5503" s="28" t="s">
        <v>46</v>
      </c>
      <c r="D5503" s="28" t="n">
        <v>93</v>
      </c>
      <c r="E5503" s="29" t="n">
        <v>51306000</v>
      </c>
      <c r="F5503" s="30" t="n">
        <v>874.28</v>
      </c>
      <c r="G5503" s="31" t="n">
        <f aca="false">IFERROR(F5503/D5503,0)</f>
        <v>9.40086021505376</v>
      </c>
    </row>
    <row r="5504" customFormat="false" ht="15" hidden="false" customHeight="false" outlineLevel="0" collapsed="false">
      <c r="A5504" s="28" t="n">
        <v>2026</v>
      </c>
      <c r="B5504" s="28" t="s">
        <v>80</v>
      </c>
      <c r="C5504" s="28" t="s">
        <v>48</v>
      </c>
      <c r="D5504" s="28" t="n">
        <v>76</v>
      </c>
      <c r="E5504" s="29" t="n">
        <v>52477500</v>
      </c>
      <c r="F5504" s="30" t="n">
        <v>751</v>
      </c>
      <c r="G5504" s="31" t="n">
        <f aca="false">IFERROR(F5504/D5504,0)</f>
        <v>9.88157894736842</v>
      </c>
    </row>
    <row r="5505" customFormat="false" ht="15" hidden="false" customHeight="false" outlineLevel="0" collapsed="false">
      <c r="A5505" s="28" t="n">
        <v>2026</v>
      </c>
      <c r="B5505" s="28" t="s">
        <v>80</v>
      </c>
      <c r="C5505" s="28" t="s">
        <v>53</v>
      </c>
      <c r="D5505" s="28" t="n">
        <v>17</v>
      </c>
      <c r="E5505" s="29" t="n">
        <v>6401800</v>
      </c>
      <c r="F5505" s="30" t="n">
        <v>159.98</v>
      </c>
      <c r="G5505" s="31" t="n">
        <f aca="false">IFERROR(F5505/D5505,0)</f>
        <v>9.41058823529412</v>
      </c>
    </row>
    <row r="5506" customFormat="false" ht="15" hidden="false" customHeight="false" outlineLevel="0" collapsed="false">
      <c r="A5506" s="28" t="n">
        <v>2026</v>
      </c>
      <c r="B5506" s="28" t="s">
        <v>80</v>
      </c>
      <c r="C5506" s="28" t="s">
        <v>43</v>
      </c>
      <c r="D5506" s="28" t="n">
        <v>57</v>
      </c>
      <c r="E5506" s="29" t="n">
        <v>41530700</v>
      </c>
      <c r="F5506" s="30" t="n">
        <v>510.14</v>
      </c>
      <c r="G5506" s="31" t="n">
        <f aca="false">IFERROR(F5506/D5506,0)</f>
        <v>8.94982456140351</v>
      </c>
    </row>
    <row r="5507" customFormat="false" ht="15" hidden="false" customHeight="false" outlineLevel="0" collapsed="false">
      <c r="A5507" s="28" t="n">
        <v>2026</v>
      </c>
      <c r="B5507" s="28" t="s">
        <v>80</v>
      </c>
      <c r="C5507" s="28" t="s">
        <v>52</v>
      </c>
      <c r="D5507" s="28" t="n">
        <v>15</v>
      </c>
      <c r="E5507" s="29" t="n">
        <v>6202200</v>
      </c>
      <c r="F5507" s="30" t="n">
        <v>139.52</v>
      </c>
      <c r="G5507" s="31" t="n">
        <f aca="false">IFERROR(F5507/D5507,0)</f>
        <v>9.30133333333333</v>
      </c>
    </row>
    <row r="5508" customFormat="false" ht="15" hidden="false" customHeight="false" outlineLevel="0" collapsed="false">
      <c r="A5508" s="28" t="n">
        <v>2026</v>
      </c>
      <c r="B5508" s="28" t="s">
        <v>80</v>
      </c>
      <c r="C5508" s="28" t="s">
        <v>49</v>
      </c>
      <c r="D5508" s="28" t="n">
        <v>30</v>
      </c>
      <c r="E5508" s="29" t="n">
        <v>18383700</v>
      </c>
      <c r="F5508" s="30" t="n">
        <v>296.45</v>
      </c>
      <c r="G5508" s="31" t="n">
        <f aca="false">IFERROR(F5508/D5508,0)</f>
        <v>9.88166666666667</v>
      </c>
    </row>
    <row r="5509" customFormat="false" ht="15" hidden="false" customHeight="false" outlineLevel="0" collapsed="false">
      <c r="A5509" s="28" t="n">
        <v>2026</v>
      </c>
      <c r="B5509" s="28" t="s">
        <v>75</v>
      </c>
      <c r="C5509" s="28" t="s">
        <v>42</v>
      </c>
      <c r="D5509" s="28" t="n">
        <v>550</v>
      </c>
      <c r="E5509" s="29" t="n">
        <v>368298000</v>
      </c>
      <c r="F5509" s="30" t="n">
        <v>5140.875</v>
      </c>
      <c r="G5509" s="31" t="n">
        <f aca="false">IFERROR(F5509/D5509,0)</f>
        <v>9.34704545454546</v>
      </c>
    </row>
    <row r="5510" customFormat="false" ht="15" hidden="false" customHeight="false" outlineLevel="0" collapsed="false">
      <c r="A5510" s="28" t="n">
        <v>2026</v>
      </c>
      <c r="B5510" s="28" t="s">
        <v>75</v>
      </c>
      <c r="C5510" s="28" t="s">
        <v>50</v>
      </c>
      <c r="D5510" s="28" t="n">
        <v>222</v>
      </c>
      <c r="E5510" s="29" t="n">
        <v>103958300</v>
      </c>
      <c r="F5510" s="30" t="n">
        <v>2158.74</v>
      </c>
      <c r="G5510" s="31" t="n">
        <f aca="false">IFERROR(F5510/D5510,0)</f>
        <v>9.72405405405405</v>
      </c>
    </row>
    <row r="5511" customFormat="false" ht="15" hidden="false" customHeight="false" outlineLevel="0" collapsed="false">
      <c r="A5511" s="28" t="n">
        <v>2026</v>
      </c>
      <c r="B5511" s="28" t="s">
        <v>75</v>
      </c>
      <c r="C5511" s="28" t="s">
        <v>55</v>
      </c>
      <c r="D5511" s="28" t="n">
        <v>21</v>
      </c>
      <c r="E5511" s="29" t="n">
        <v>10403000</v>
      </c>
      <c r="F5511" s="30" t="n">
        <v>213.43</v>
      </c>
      <c r="G5511" s="31" t="n">
        <f aca="false">IFERROR(F5511/D5511,0)</f>
        <v>10.1633333333333</v>
      </c>
    </row>
    <row r="5512" customFormat="false" ht="15" hidden="false" customHeight="false" outlineLevel="0" collapsed="false">
      <c r="A5512" s="28" t="n">
        <v>2026</v>
      </c>
      <c r="B5512" s="28" t="s">
        <v>75</v>
      </c>
      <c r="C5512" s="28" t="s">
        <v>51</v>
      </c>
      <c r="D5512" s="28" t="n">
        <v>184</v>
      </c>
      <c r="E5512" s="29" t="n">
        <v>97397900</v>
      </c>
      <c r="F5512" s="30" t="n">
        <v>1809.6</v>
      </c>
      <c r="G5512" s="31" t="n">
        <f aca="false">IFERROR(F5512/D5512,0)</f>
        <v>9.83478260869565</v>
      </c>
    </row>
    <row r="5513" customFormat="false" ht="15" hidden="false" customHeight="false" outlineLevel="0" collapsed="false">
      <c r="A5513" s="28" t="n">
        <v>2026</v>
      </c>
      <c r="B5513" s="28" t="s">
        <v>75</v>
      </c>
      <c r="C5513" s="28" t="s">
        <v>45</v>
      </c>
      <c r="D5513" s="28" t="n">
        <v>497</v>
      </c>
      <c r="E5513" s="29" t="n">
        <v>185925600</v>
      </c>
      <c r="F5513" s="30" t="n">
        <v>4789.278</v>
      </c>
      <c r="G5513" s="31" t="n">
        <f aca="false">IFERROR(F5513/D5513,0)</f>
        <v>9.63637424547284</v>
      </c>
    </row>
    <row r="5514" customFormat="false" ht="15" hidden="false" customHeight="false" outlineLevel="0" collapsed="false">
      <c r="A5514" s="28" t="n">
        <v>2026</v>
      </c>
      <c r="B5514" s="28" t="s">
        <v>75</v>
      </c>
      <c r="C5514" s="28" t="s">
        <v>56</v>
      </c>
      <c r="D5514" s="28" t="n">
        <v>95</v>
      </c>
      <c r="E5514" s="29" t="n">
        <v>41394300</v>
      </c>
      <c r="F5514" s="30" t="n">
        <v>930.57</v>
      </c>
      <c r="G5514" s="31" t="n">
        <f aca="false">IFERROR(F5514/D5514,0)</f>
        <v>9.79547368421053</v>
      </c>
    </row>
    <row r="5515" customFormat="false" ht="15" hidden="false" customHeight="false" outlineLevel="0" collapsed="false">
      <c r="A5515" s="28" t="n">
        <v>2026</v>
      </c>
      <c r="B5515" s="28" t="s">
        <v>75</v>
      </c>
      <c r="C5515" s="28" t="s">
        <v>54</v>
      </c>
      <c r="D5515" s="28" t="n">
        <v>58</v>
      </c>
      <c r="E5515" s="29" t="n">
        <v>30468900</v>
      </c>
      <c r="F5515" s="30" t="n">
        <v>568.975</v>
      </c>
      <c r="G5515" s="31" t="n">
        <f aca="false">IFERROR(F5515/D5515,0)</f>
        <v>9.80991379310345</v>
      </c>
    </row>
    <row r="5516" customFormat="false" ht="15" hidden="false" customHeight="false" outlineLevel="0" collapsed="false">
      <c r="A5516" s="28" t="n">
        <v>2026</v>
      </c>
      <c r="B5516" s="28" t="s">
        <v>75</v>
      </c>
      <c r="C5516" s="28" t="s">
        <v>44</v>
      </c>
      <c r="D5516" s="28" t="n">
        <v>442</v>
      </c>
      <c r="E5516" s="29" t="n">
        <v>324599000</v>
      </c>
      <c r="F5516" s="30" t="n">
        <v>4130.02</v>
      </c>
      <c r="G5516" s="31" t="n">
        <f aca="false">IFERROR(F5516/D5516,0)</f>
        <v>9.34393665158371</v>
      </c>
    </row>
    <row r="5517" customFormat="false" ht="15" hidden="false" customHeight="false" outlineLevel="0" collapsed="false">
      <c r="A5517" s="28" t="n">
        <v>2026</v>
      </c>
      <c r="B5517" s="28" t="s">
        <v>75</v>
      </c>
      <c r="C5517" s="28" t="s">
        <v>57</v>
      </c>
      <c r="D5517" s="28" t="n">
        <v>55</v>
      </c>
      <c r="E5517" s="29" t="n">
        <v>23359700</v>
      </c>
      <c r="F5517" s="30" t="n">
        <v>532.58</v>
      </c>
      <c r="G5517" s="31" t="n">
        <f aca="false">IFERROR(F5517/D5517,0)</f>
        <v>9.68327272727273</v>
      </c>
    </row>
    <row r="5518" customFormat="false" ht="15" hidden="false" customHeight="false" outlineLevel="0" collapsed="false">
      <c r="A5518" s="28" t="n">
        <v>2026</v>
      </c>
      <c r="B5518" s="28" t="s">
        <v>75</v>
      </c>
      <c r="C5518" s="28" t="s">
        <v>47</v>
      </c>
      <c r="D5518" s="28" t="n">
        <v>255</v>
      </c>
      <c r="E5518" s="29" t="n">
        <v>193570900</v>
      </c>
      <c r="F5518" s="30" t="n">
        <v>2380.65</v>
      </c>
      <c r="G5518" s="31" t="n">
        <f aca="false">IFERROR(F5518/D5518,0)</f>
        <v>9.33588235294118</v>
      </c>
    </row>
    <row r="5519" customFormat="false" ht="15" hidden="false" customHeight="false" outlineLevel="0" collapsed="false">
      <c r="A5519" s="28" t="n">
        <v>2026</v>
      </c>
      <c r="B5519" s="28" t="s">
        <v>75</v>
      </c>
      <c r="C5519" s="28" t="s">
        <v>58</v>
      </c>
      <c r="D5519" s="28" t="n">
        <v>2</v>
      </c>
      <c r="E5519" s="29" t="n">
        <v>5451000</v>
      </c>
      <c r="F5519" s="30" t="n">
        <v>19.25</v>
      </c>
      <c r="G5519" s="31" t="n">
        <f aca="false">IFERROR(F5519/D5519,0)</f>
        <v>9.625</v>
      </c>
    </row>
    <row r="5520" customFormat="false" ht="15" hidden="false" customHeight="false" outlineLevel="0" collapsed="false">
      <c r="A5520" s="28" t="n">
        <v>2026</v>
      </c>
      <c r="B5520" s="28" t="s">
        <v>75</v>
      </c>
      <c r="C5520" s="28" t="s">
        <v>46</v>
      </c>
      <c r="D5520" s="28" t="n">
        <v>434</v>
      </c>
      <c r="E5520" s="29" t="n">
        <v>193553000</v>
      </c>
      <c r="F5520" s="30" t="n">
        <v>4155.59</v>
      </c>
      <c r="G5520" s="31" t="n">
        <f aca="false">IFERROR(F5520/D5520,0)</f>
        <v>9.57509216589862</v>
      </c>
    </row>
    <row r="5521" customFormat="false" ht="15" hidden="false" customHeight="false" outlineLevel="0" collapsed="false">
      <c r="A5521" s="28" t="n">
        <v>2026</v>
      </c>
      <c r="B5521" s="28" t="s">
        <v>75</v>
      </c>
      <c r="C5521" s="28" t="s">
        <v>48</v>
      </c>
      <c r="D5521" s="28" t="n">
        <v>519</v>
      </c>
      <c r="E5521" s="29" t="n">
        <v>240261100</v>
      </c>
      <c r="F5521" s="30" t="n">
        <v>5036.545</v>
      </c>
      <c r="G5521" s="31" t="n">
        <f aca="false">IFERROR(F5521/D5521,0)</f>
        <v>9.70432562620424</v>
      </c>
    </row>
    <row r="5522" customFormat="false" ht="15" hidden="false" customHeight="false" outlineLevel="0" collapsed="false">
      <c r="A5522" s="28" t="n">
        <v>2026</v>
      </c>
      <c r="B5522" s="28" t="s">
        <v>75</v>
      </c>
      <c r="C5522" s="28" t="s">
        <v>61</v>
      </c>
      <c r="D5522" s="28" t="n">
        <v>2</v>
      </c>
      <c r="E5522" s="29" t="n">
        <v>1041400</v>
      </c>
      <c r="F5522" s="30" t="n">
        <v>19.24</v>
      </c>
      <c r="G5522" s="31" t="n">
        <f aca="false">IFERROR(F5522/D5522,0)</f>
        <v>9.62</v>
      </c>
    </row>
    <row r="5523" customFormat="false" ht="15" hidden="false" customHeight="false" outlineLevel="0" collapsed="false">
      <c r="A5523" s="28" t="n">
        <v>2026</v>
      </c>
      <c r="B5523" s="28" t="s">
        <v>75</v>
      </c>
      <c r="C5523" s="28" t="s">
        <v>53</v>
      </c>
      <c r="D5523" s="28" t="n">
        <v>120</v>
      </c>
      <c r="E5523" s="29" t="n">
        <v>64100000</v>
      </c>
      <c r="F5523" s="30" t="n">
        <v>1158.41</v>
      </c>
      <c r="G5523" s="31" t="n">
        <f aca="false">IFERROR(F5523/D5523,0)</f>
        <v>9.65341666666667</v>
      </c>
    </row>
    <row r="5524" customFormat="false" ht="15" hidden="false" customHeight="false" outlineLevel="0" collapsed="false">
      <c r="A5524" s="28" t="n">
        <v>2026</v>
      </c>
      <c r="B5524" s="28" t="s">
        <v>75</v>
      </c>
      <c r="C5524" s="28" t="s">
        <v>43</v>
      </c>
      <c r="D5524" s="28" t="n">
        <v>584</v>
      </c>
      <c r="E5524" s="29" t="n">
        <v>459743100</v>
      </c>
      <c r="F5524" s="30" t="n">
        <v>5514.31</v>
      </c>
      <c r="G5524" s="31" t="n">
        <f aca="false">IFERROR(F5524/D5524,0)</f>
        <v>9.44231164383562</v>
      </c>
    </row>
    <row r="5525" customFormat="false" ht="15" hidden="false" customHeight="false" outlineLevel="0" collapsed="false">
      <c r="A5525" s="28" t="n">
        <v>2026</v>
      </c>
      <c r="B5525" s="28" t="s">
        <v>75</v>
      </c>
      <c r="C5525" s="28" t="s">
        <v>52</v>
      </c>
      <c r="D5525" s="28" t="n">
        <v>134</v>
      </c>
      <c r="E5525" s="29" t="n">
        <v>82052300</v>
      </c>
      <c r="F5525" s="30" t="n">
        <v>1305.93</v>
      </c>
      <c r="G5525" s="31" t="n">
        <f aca="false">IFERROR(F5525/D5525,0)</f>
        <v>9.74574626865672</v>
      </c>
    </row>
    <row r="5526" customFormat="false" ht="15" hidden="false" customHeight="false" outlineLevel="0" collapsed="false">
      <c r="A5526" s="28" t="n">
        <v>2026</v>
      </c>
      <c r="B5526" s="28" t="s">
        <v>75</v>
      </c>
      <c r="C5526" s="28" t="s">
        <v>60</v>
      </c>
      <c r="D5526" s="28" t="n">
        <v>7</v>
      </c>
      <c r="E5526" s="29" t="n">
        <v>3877000</v>
      </c>
      <c r="F5526" s="30" t="n">
        <v>70.25</v>
      </c>
      <c r="G5526" s="31" t="n">
        <f aca="false">IFERROR(F5526/D5526,0)</f>
        <v>10.0357142857143</v>
      </c>
    </row>
    <row r="5527" customFormat="false" ht="15" hidden="false" customHeight="false" outlineLevel="0" collapsed="false">
      <c r="A5527" s="28" t="n">
        <v>2026</v>
      </c>
      <c r="B5527" s="28" t="s">
        <v>75</v>
      </c>
      <c r="C5527" s="28" t="s">
        <v>49</v>
      </c>
      <c r="D5527" s="28" t="n">
        <v>216</v>
      </c>
      <c r="E5527" s="29" t="n">
        <v>151589100</v>
      </c>
      <c r="F5527" s="30" t="n">
        <v>2012.33</v>
      </c>
      <c r="G5527" s="31" t="n">
        <f aca="false">IFERROR(F5527/D5527,0)</f>
        <v>9.31634259259259</v>
      </c>
    </row>
    <row r="5528" customFormat="false" ht="15" hidden="false" customHeight="false" outlineLevel="0" collapsed="false">
      <c r="A5528" s="28" t="n">
        <v>2026</v>
      </c>
      <c r="B5528" s="28" t="s">
        <v>83</v>
      </c>
      <c r="C5528" s="28" t="s">
        <v>42</v>
      </c>
      <c r="D5528" s="28" t="n">
        <v>103</v>
      </c>
      <c r="E5528" s="29" t="n">
        <v>88526100</v>
      </c>
      <c r="F5528" s="30" t="n">
        <v>940.123</v>
      </c>
      <c r="G5528" s="31" t="n">
        <f aca="false">IFERROR(F5528/D5528,0)</f>
        <v>9.12740776699029</v>
      </c>
    </row>
    <row r="5529" customFormat="false" ht="15" hidden="false" customHeight="false" outlineLevel="0" collapsed="false">
      <c r="A5529" s="28" t="n">
        <v>2026</v>
      </c>
      <c r="B5529" s="28" t="s">
        <v>83</v>
      </c>
      <c r="C5529" s="28" t="s">
        <v>50</v>
      </c>
      <c r="D5529" s="28" t="n">
        <v>48</v>
      </c>
      <c r="E5529" s="29" t="n">
        <v>21419500</v>
      </c>
      <c r="F5529" s="30" t="n">
        <v>452.87</v>
      </c>
      <c r="G5529" s="31" t="n">
        <f aca="false">IFERROR(F5529/D5529,0)</f>
        <v>9.43479166666667</v>
      </c>
    </row>
    <row r="5530" customFormat="false" ht="15" hidden="false" customHeight="false" outlineLevel="0" collapsed="false">
      <c r="A5530" s="28" t="n">
        <v>2026</v>
      </c>
      <c r="B5530" s="28" t="s">
        <v>83</v>
      </c>
      <c r="C5530" s="28" t="s">
        <v>55</v>
      </c>
      <c r="D5530" s="28" t="n">
        <v>6</v>
      </c>
      <c r="E5530" s="29" t="n">
        <v>1649600</v>
      </c>
      <c r="F5530" s="30" t="n">
        <v>52.75</v>
      </c>
      <c r="G5530" s="31" t="n">
        <f aca="false">IFERROR(F5530/D5530,0)</f>
        <v>8.79166666666667</v>
      </c>
    </row>
    <row r="5531" customFormat="false" ht="15" hidden="false" customHeight="false" outlineLevel="0" collapsed="false">
      <c r="A5531" s="28" t="n">
        <v>2026</v>
      </c>
      <c r="B5531" s="28" t="s">
        <v>83</v>
      </c>
      <c r="C5531" s="28" t="s">
        <v>51</v>
      </c>
      <c r="D5531" s="28" t="n">
        <v>43</v>
      </c>
      <c r="E5531" s="29" t="n">
        <v>31184600</v>
      </c>
      <c r="F5531" s="30" t="n">
        <v>384.67</v>
      </c>
      <c r="G5531" s="31" t="n">
        <f aca="false">IFERROR(F5531/D5531,0)</f>
        <v>8.94581395348837</v>
      </c>
    </row>
    <row r="5532" customFormat="false" ht="15" hidden="false" customHeight="false" outlineLevel="0" collapsed="false">
      <c r="A5532" s="28" t="n">
        <v>2026</v>
      </c>
      <c r="B5532" s="28" t="s">
        <v>83</v>
      </c>
      <c r="C5532" s="28" t="s">
        <v>45</v>
      </c>
      <c r="D5532" s="28" t="n">
        <v>154</v>
      </c>
      <c r="E5532" s="29" t="n">
        <v>87659500</v>
      </c>
      <c r="F5532" s="30" t="n">
        <v>1458.17</v>
      </c>
      <c r="G5532" s="31" t="n">
        <f aca="false">IFERROR(F5532/D5532,0)</f>
        <v>9.46863636363636</v>
      </c>
    </row>
    <row r="5533" customFormat="false" ht="15" hidden="false" customHeight="false" outlineLevel="0" collapsed="false">
      <c r="A5533" s="28" t="n">
        <v>2026</v>
      </c>
      <c r="B5533" s="28" t="s">
        <v>83</v>
      </c>
      <c r="C5533" s="28" t="s">
        <v>56</v>
      </c>
      <c r="D5533" s="28" t="n">
        <v>21</v>
      </c>
      <c r="E5533" s="29" t="n">
        <v>4852900</v>
      </c>
      <c r="F5533" s="30" t="n">
        <v>207.93</v>
      </c>
      <c r="G5533" s="31" t="n">
        <f aca="false">IFERROR(F5533/D5533,0)</f>
        <v>9.90142857142857</v>
      </c>
    </row>
    <row r="5534" customFormat="false" ht="15" hidden="false" customHeight="false" outlineLevel="0" collapsed="false">
      <c r="A5534" s="28" t="n">
        <v>2026</v>
      </c>
      <c r="B5534" s="28" t="s">
        <v>83</v>
      </c>
      <c r="C5534" s="28" t="s">
        <v>54</v>
      </c>
      <c r="D5534" s="28" t="n">
        <v>22</v>
      </c>
      <c r="E5534" s="29" t="n">
        <v>12059500</v>
      </c>
      <c r="F5534" s="30" t="n">
        <v>210.43</v>
      </c>
      <c r="G5534" s="31" t="n">
        <f aca="false">IFERROR(F5534/D5534,0)</f>
        <v>9.565</v>
      </c>
    </row>
    <row r="5535" customFormat="false" ht="15" hidden="false" customHeight="false" outlineLevel="0" collapsed="false">
      <c r="A5535" s="28" t="n">
        <v>2026</v>
      </c>
      <c r="B5535" s="28" t="s">
        <v>83</v>
      </c>
      <c r="C5535" s="28" t="s">
        <v>44</v>
      </c>
      <c r="D5535" s="28" t="n">
        <v>78</v>
      </c>
      <c r="E5535" s="29" t="n">
        <v>72197300</v>
      </c>
      <c r="F5535" s="30" t="n">
        <v>694.06</v>
      </c>
      <c r="G5535" s="31" t="n">
        <f aca="false">IFERROR(F5535/D5535,0)</f>
        <v>8.89820512820513</v>
      </c>
    </row>
    <row r="5536" customFormat="false" ht="15" hidden="false" customHeight="false" outlineLevel="0" collapsed="false">
      <c r="A5536" s="28" t="n">
        <v>2026</v>
      </c>
      <c r="B5536" s="28" t="s">
        <v>83</v>
      </c>
      <c r="C5536" s="28" t="s">
        <v>57</v>
      </c>
      <c r="D5536" s="28" t="n">
        <v>6</v>
      </c>
      <c r="E5536" s="29" t="n">
        <v>990000</v>
      </c>
      <c r="F5536" s="30" t="n">
        <v>60.79</v>
      </c>
      <c r="G5536" s="31" t="n">
        <f aca="false">IFERROR(F5536/D5536,0)</f>
        <v>10.1316666666667</v>
      </c>
    </row>
    <row r="5537" customFormat="false" ht="15" hidden="false" customHeight="false" outlineLevel="0" collapsed="false">
      <c r="A5537" s="28" t="n">
        <v>2026</v>
      </c>
      <c r="B5537" s="28" t="s">
        <v>83</v>
      </c>
      <c r="C5537" s="28" t="s">
        <v>59</v>
      </c>
      <c r="D5537" s="28" t="n">
        <v>1</v>
      </c>
      <c r="E5537" s="29" t="n">
        <v>624000</v>
      </c>
      <c r="F5537" s="30" t="n">
        <v>9</v>
      </c>
      <c r="G5537" s="31" t="n">
        <f aca="false">IFERROR(F5537/D5537,0)</f>
        <v>9</v>
      </c>
    </row>
    <row r="5538" customFormat="false" ht="15" hidden="false" customHeight="false" outlineLevel="0" collapsed="false">
      <c r="A5538" s="28" t="n">
        <v>2026</v>
      </c>
      <c r="B5538" s="28" t="s">
        <v>83</v>
      </c>
      <c r="C5538" s="28" t="s">
        <v>47</v>
      </c>
      <c r="D5538" s="28" t="n">
        <v>43</v>
      </c>
      <c r="E5538" s="29" t="n">
        <v>23888800</v>
      </c>
      <c r="F5538" s="30" t="n">
        <v>402.44</v>
      </c>
      <c r="G5538" s="31" t="n">
        <f aca="false">IFERROR(F5538/D5538,0)</f>
        <v>9.35906976744186</v>
      </c>
    </row>
    <row r="5539" customFormat="false" ht="15" hidden="false" customHeight="false" outlineLevel="0" collapsed="false">
      <c r="A5539" s="28" t="n">
        <v>2026</v>
      </c>
      <c r="B5539" s="28" t="s">
        <v>83</v>
      </c>
      <c r="C5539" s="28" t="s">
        <v>58</v>
      </c>
      <c r="D5539" s="28" t="n">
        <v>2</v>
      </c>
      <c r="E5539" s="29" t="n">
        <v>2388200</v>
      </c>
      <c r="F5539" s="30" t="n">
        <v>16.245</v>
      </c>
      <c r="G5539" s="31" t="n">
        <f aca="false">IFERROR(F5539/D5539,0)</f>
        <v>8.1225</v>
      </c>
    </row>
    <row r="5540" customFormat="false" ht="15" hidden="false" customHeight="false" outlineLevel="0" collapsed="false">
      <c r="A5540" s="28" t="n">
        <v>2026</v>
      </c>
      <c r="B5540" s="28" t="s">
        <v>83</v>
      </c>
      <c r="C5540" s="28" t="s">
        <v>46</v>
      </c>
      <c r="D5540" s="28" t="n">
        <v>112</v>
      </c>
      <c r="E5540" s="29" t="n">
        <v>50227800</v>
      </c>
      <c r="F5540" s="30" t="n">
        <v>1039.06</v>
      </c>
      <c r="G5540" s="31" t="n">
        <f aca="false">IFERROR(F5540/D5540,0)</f>
        <v>9.27732142857143</v>
      </c>
    </row>
    <row r="5541" customFormat="false" ht="15" hidden="false" customHeight="false" outlineLevel="0" collapsed="false">
      <c r="A5541" s="28" t="n">
        <v>2026</v>
      </c>
      <c r="B5541" s="28" t="s">
        <v>83</v>
      </c>
      <c r="C5541" s="28" t="s">
        <v>48</v>
      </c>
      <c r="D5541" s="28" t="n">
        <v>104</v>
      </c>
      <c r="E5541" s="29" t="n">
        <v>42594100</v>
      </c>
      <c r="F5541" s="30" t="n">
        <v>1007.08</v>
      </c>
      <c r="G5541" s="31" t="n">
        <f aca="false">IFERROR(F5541/D5541,0)</f>
        <v>9.68346153846154</v>
      </c>
    </row>
    <row r="5542" customFormat="false" ht="15" hidden="false" customHeight="false" outlineLevel="0" collapsed="false">
      <c r="A5542" s="28" t="n">
        <v>2026</v>
      </c>
      <c r="B5542" s="28" t="s">
        <v>83</v>
      </c>
      <c r="C5542" s="28" t="s">
        <v>53</v>
      </c>
      <c r="D5542" s="28" t="n">
        <v>37</v>
      </c>
      <c r="E5542" s="29" t="n">
        <v>16863600</v>
      </c>
      <c r="F5542" s="30" t="n">
        <v>342.98</v>
      </c>
      <c r="G5542" s="31" t="n">
        <f aca="false">IFERROR(F5542/D5542,0)</f>
        <v>9.26972972972973</v>
      </c>
    </row>
    <row r="5543" customFormat="false" ht="15" hidden="false" customHeight="false" outlineLevel="0" collapsed="false">
      <c r="A5543" s="28" t="n">
        <v>2026</v>
      </c>
      <c r="B5543" s="28" t="s">
        <v>83</v>
      </c>
      <c r="C5543" s="28" t="s">
        <v>43</v>
      </c>
      <c r="D5543" s="28" t="n">
        <v>111</v>
      </c>
      <c r="E5543" s="29" t="n">
        <v>83917700</v>
      </c>
      <c r="F5543" s="30" t="n">
        <v>1014.68</v>
      </c>
      <c r="G5543" s="31" t="n">
        <f aca="false">IFERROR(F5543/D5543,0)</f>
        <v>9.14126126126126</v>
      </c>
    </row>
    <row r="5544" customFormat="false" ht="15" hidden="false" customHeight="false" outlineLevel="0" collapsed="false">
      <c r="A5544" s="28" t="n">
        <v>2026</v>
      </c>
      <c r="B5544" s="28" t="s">
        <v>83</v>
      </c>
      <c r="C5544" s="28" t="s">
        <v>52</v>
      </c>
      <c r="D5544" s="28" t="n">
        <v>12</v>
      </c>
      <c r="E5544" s="29" t="n">
        <v>3518700</v>
      </c>
      <c r="F5544" s="30" t="n">
        <v>116.96</v>
      </c>
      <c r="G5544" s="31" t="n">
        <f aca="false">IFERROR(F5544/D5544,0)</f>
        <v>9.74666666666667</v>
      </c>
    </row>
    <row r="5545" customFormat="false" ht="15" hidden="false" customHeight="false" outlineLevel="0" collapsed="false">
      <c r="A5545" s="28" t="n">
        <v>2026</v>
      </c>
      <c r="B5545" s="28" t="s">
        <v>83</v>
      </c>
      <c r="C5545" s="28" t="s">
        <v>49</v>
      </c>
      <c r="D5545" s="28" t="n">
        <v>26</v>
      </c>
      <c r="E5545" s="29" t="n">
        <v>8544700</v>
      </c>
      <c r="F5545" s="30" t="n">
        <v>247.675</v>
      </c>
      <c r="G5545" s="31" t="n">
        <f aca="false">IFERROR(F5545/D5545,0)</f>
        <v>9.52596153846154</v>
      </c>
    </row>
    <row r="5546" customFormat="false" ht="15" hidden="false" customHeight="false" outlineLevel="0" collapsed="false">
      <c r="A5546" s="28" t="n">
        <v>2026</v>
      </c>
      <c r="B5546" s="28" t="s">
        <v>85</v>
      </c>
      <c r="C5546" s="28" t="s">
        <v>42</v>
      </c>
      <c r="D5546" s="28" t="n">
        <v>75</v>
      </c>
      <c r="E5546" s="29" t="n">
        <v>27015700</v>
      </c>
      <c r="F5546" s="30" t="n">
        <v>752.42</v>
      </c>
      <c r="G5546" s="31" t="n">
        <f aca="false">IFERROR(F5546/D5546,0)</f>
        <v>10.0322666666667</v>
      </c>
    </row>
    <row r="5547" customFormat="false" ht="15" hidden="false" customHeight="false" outlineLevel="0" collapsed="false">
      <c r="A5547" s="28" t="n">
        <v>2026</v>
      </c>
      <c r="B5547" s="28" t="s">
        <v>85</v>
      </c>
      <c r="C5547" s="28" t="s">
        <v>50</v>
      </c>
      <c r="D5547" s="28" t="n">
        <v>48</v>
      </c>
      <c r="E5547" s="29" t="n">
        <v>14281900</v>
      </c>
      <c r="F5547" s="30" t="n">
        <v>481.05</v>
      </c>
      <c r="G5547" s="31" t="n">
        <f aca="false">IFERROR(F5547/D5547,0)</f>
        <v>10.021875</v>
      </c>
    </row>
    <row r="5548" customFormat="false" ht="15" hidden="false" customHeight="false" outlineLevel="0" collapsed="false">
      <c r="A5548" s="28" t="n">
        <v>2026</v>
      </c>
      <c r="B5548" s="28" t="s">
        <v>85</v>
      </c>
      <c r="C5548" s="28" t="s">
        <v>55</v>
      </c>
      <c r="D5548" s="28" t="n">
        <v>5</v>
      </c>
      <c r="E5548" s="29" t="n">
        <v>868100</v>
      </c>
      <c r="F5548" s="30" t="n">
        <v>51.82</v>
      </c>
      <c r="G5548" s="31" t="n">
        <f aca="false">IFERROR(F5548/D5548,0)</f>
        <v>10.364</v>
      </c>
    </row>
    <row r="5549" customFormat="false" ht="15" hidden="false" customHeight="false" outlineLevel="0" collapsed="false">
      <c r="A5549" s="28" t="n">
        <v>2026</v>
      </c>
      <c r="B5549" s="28" t="s">
        <v>85</v>
      </c>
      <c r="C5549" s="28" t="s">
        <v>51</v>
      </c>
      <c r="D5549" s="28" t="n">
        <v>30</v>
      </c>
      <c r="E5549" s="29" t="n">
        <v>11092600</v>
      </c>
      <c r="F5549" s="30" t="n">
        <v>298.68</v>
      </c>
      <c r="G5549" s="31" t="n">
        <f aca="false">IFERROR(F5549/D5549,0)</f>
        <v>9.956</v>
      </c>
    </row>
    <row r="5550" customFormat="false" ht="15" hidden="false" customHeight="false" outlineLevel="0" collapsed="false">
      <c r="A5550" s="28" t="n">
        <v>2026</v>
      </c>
      <c r="B5550" s="28" t="s">
        <v>85</v>
      </c>
      <c r="C5550" s="28" t="s">
        <v>45</v>
      </c>
      <c r="D5550" s="28" t="n">
        <v>114</v>
      </c>
      <c r="E5550" s="29" t="n">
        <v>28478700</v>
      </c>
      <c r="F5550" s="30" t="n">
        <v>1153.059</v>
      </c>
      <c r="G5550" s="31" t="n">
        <f aca="false">IFERROR(F5550/D5550,0)</f>
        <v>10.1145526315789</v>
      </c>
    </row>
    <row r="5551" customFormat="false" ht="15" hidden="false" customHeight="false" outlineLevel="0" collapsed="false">
      <c r="A5551" s="28" t="n">
        <v>2026</v>
      </c>
      <c r="B5551" s="28" t="s">
        <v>85</v>
      </c>
      <c r="C5551" s="28" t="s">
        <v>56</v>
      </c>
      <c r="D5551" s="28" t="n">
        <v>11</v>
      </c>
      <c r="E5551" s="29" t="n">
        <v>1792600</v>
      </c>
      <c r="F5551" s="30" t="n">
        <v>115.73</v>
      </c>
      <c r="G5551" s="31" t="n">
        <f aca="false">IFERROR(F5551/D5551,0)</f>
        <v>10.5209090909091</v>
      </c>
    </row>
    <row r="5552" customFormat="false" ht="15" hidden="false" customHeight="false" outlineLevel="0" collapsed="false">
      <c r="A5552" s="28" t="n">
        <v>2026</v>
      </c>
      <c r="B5552" s="28" t="s">
        <v>85</v>
      </c>
      <c r="C5552" s="28" t="s">
        <v>54</v>
      </c>
      <c r="D5552" s="28" t="n">
        <v>7</v>
      </c>
      <c r="E5552" s="29" t="n">
        <v>545000</v>
      </c>
      <c r="F5552" s="30" t="n">
        <v>74.51</v>
      </c>
      <c r="G5552" s="31" t="n">
        <f aca="false">IFERROR(F5552/D5552,0)</f>
        <v>10.6442857142857</v>
      </c>
    </row>
    <row r="5553" customFormat="false" ht="15" hidden="false" customHeight="false" outlineLevel="0" collapsed="false">
      <c r="A5553" s="28" t="n">
        <v>2026</v>
      </c>
      <c r="B5553" s="28" t="s">
        <v>85</v>
      </c>
      <c r="C5553" s="28" t="s">
        <v>44</v>
      </c>
      <c r="D5553" s="28" t="n">
        <v>54</v>
      </c>
      <c r="E5553" s="29" t="n">
        <v>20084400</v>
      </c>
      <c r="F5553" s="30" t="n">
        <v>542.38</v>
      </c>
      <c r="G5553" s="31" t="n">
        <f aca="false">IFERROR(F5553/D5553,0)</f>
        <v>10.0440740740741</v>
      </c>
    </row>
    <row r="5554" customFormat="false" ht="15" hidden="false" customHeight="false" outlineLevel="0" collapsed="false">
      <c r="A5554" s="28" t="n">
        <v>2026</v>
      </c>
      <c r="B5554" s="28" t="s">
        <v>85</v>
      </c>
      <c r="C5554" s="28" t="s">
        <v>57</v>
      </c>
      <c r="D5554" s="28" t="n">
        <v>5</v>
      </c>
      <c r="E5554" s="29" t="n">
        <v>673100</v>
      </c>
      <c r="F5554" s="30" t="n">
        <v>52.46</v>
      </c>
      <c r="G5554" s="31" t="n">
        <f aca="false">IFERROR(F5554/D5554,0)</f>
        <v>10.492</v>
      </c>
    </row>
    <row r="5555" customFormat="false" ht="15" hidden="false" customHeight="false" outlineLevel="0" collapsed="false">
      <c r="A5555" s="28" t="n">
        <v>2026</v>
      </c>
      <c r="B5555" s="28" t="s">
        <v>85</v>
      </c>
      <c r="C5555" s="28" t="s">
        <v>47</v>
      </c>
      <c r="D5555" s="28" t="n">
        <v>24</v>
      </c>
      <c r="E5555" s="29" t="n">
        <v>14641800</v>
      </c>
      <c r="F5555" s="30" t="n">
        <v>214.77</v>
      </c>
      <c r="G5555" s="31" t="n">
        <f aca="false">IFERROR(F5555/D5555,0)</f>
        <v>8.94875</v>
      </c>
    </row>
    <row r="5556" customFormat="false" ht="15" hidden="false" customHeight="false" outlineLevel="0" collapsed="false">
      <c r="A5556" s="28" t="n">
        <v>2026</v>
      </c>
      <c r="B5556" s="28" t="s">
        <v>85</v>
      </c>
      <c r="C5556" s="28" t="s">
        <v>58</v>
      </c>
      <c r="D5556" s="28" t="n">
        <v>1</v>
      </c>
      <c r="E5556" s="29" t="n">
        <v>200000</v>
      </c>
      <c r="F5556" s="30" t="n">
        <v>10</v>
      </c>
      <c r="G5556" s="31" t="n">
        <f aca="false">IFERROR(F5556/D5556,0)</f>
        <v>10</v>
      </c>
    </row>
    <row r="5557" customFormat="false" ht="15" hidden="false" customHeight="false" outlineLevel="0" collapsed="false">
      <c r="A5557" s="28" t="n">
        <v>2026</v>
      </c>
      <c r="B5557" s="28" t="s">
        <v>85</v>
      </c>
      <c r="C5557" s="28" t="s">
        <v>46</v>
      </c>
      <c r="D5557" s="28" t="n">
        <v>52</v>
      </c>
      <c r="E5557" s="29" t="n">
        <v>15831900</v>
      </c>
      <c r="F5557" s="30" t="n">
        <v>523.7</v>
      </c>
      <c r="G5557" s="31" t="n">
        <f aca="false">IFERROR(F5557/D5557,0)</f>
        <v>10.0711538461538</v>
      </c>
    </row>
    <row r="5558" customFormat="false" ht="15" hidden="false" customHeight="false" outlineLevel="0" collapsed="false">
      <c r="A5558" s="28" t="n">
        <v>2026</v>
      </c>
      <c r="B5558" s="28" t="s">
        <v>85</v>
      </c>
      <c r="C5558" s="28" t="s">
        <v>48</v>
      </c>
      <c r="D5558" s="28" t="n">
        <v>48</v>
      </c>
      <c r="E5558" s="29" t="n">
        <v>14149100</v>
      </c>
      <c r="F5558" s="30" t="n">
        <v>493.68</v>
      </c>
      <c r="G5558" s="31" t="n">
        <f aca="false">IFERROR(F5558/D5558,0)</f>
        <v>10.285</v>
      </c>
    </row>
    <row r="5559" customFormat="false" ht="15" hidden="false" customHeight="false" outlineLevel="0" collapsed="false">
      <c r="A5559" s="28" t="n">
        <v>2026</v>
      </c>
      <c r="B5559" s="28" t="s">
        <v>85</v>
      </c>
      <c r="C5559" s="28" t="s">
        <v>53</v>
      </c>
      <c r="D5559" s="28" t="n">
        <v>11</v>
      </c>
      <c r="E5559" s="29" t="n">
        <v>2338300</v>
      </c>
      <c r="F5559" s="30" t="n">
        <v>102.25</v>
      </c>
      <c r="G5559" s="31" t="n">
        <f aca="false">IFERROR(F5559/D5559,0)</f>
        <v>9.29545454545455</v>
      </c>
    </row>
    <row r="5560" customFormat="false" ht="15" hidden="false" customHeight="false" outlineLevel="0" collapsed="false">
      <c r="A5560" s="28" t="n">
        <v>2026</v>
      </c>
      <c r="B5560" s="28" t="s">
        <v>85</v>
      </c>
      <c r="C5560" s="28" t="s">
        <v>43</v>
      </c>
      <c r="D5560" s="28" t="n">
        <v>54</v>
      </c>
      <c r="E5560" s="29" t="n">
        <v>16699300</v>
      </c>
      <c r="F5560" s="30" t="n">
        <v>538.87</v>
      </c>
      <c r="G5560" s="31" t="n">
        <f aca="false">IFERROR(F5560/D5560,0)</f>
        <v>9.97907407407407</v>
      </c>
    </row>
    <row r="5561" customFormat="false" ht="15" hidden="false" customHeight="false" outlineLevel="0" collapsed="false">
      <c r="A5561" s="28" t="n">
        <v>2026</v>
      </c>
      <c r="B5561" s="28" t="s">
        <v>85</v>
      </c>
      <c r="C5561" s="28" t="s">
        <v>52</v>
      </c>
      <c r="D5561" s="28" t="n">
        <v>16</v>
      </c>
      <c r="E5561" s="29" t="n">
        <v>3671900</v>
      </c>
      <c r="F5561" s="30" t="n">
        <v>167.36</v>
      </c>
      <c r="G5561" s="31" t="n">
        <f aca="false">IFERROR(F5561/D5561,0)</f>
        <v>10.46</v>
      </c>
    </row>
    <row r="5562" customFormat="false" ht="15" hidden="false" customHeight="false" outlineLevel="0" collapsed="false">
      <c r="A5562" s="28" t="n">
        <v>2026</v>
      </c>
      <c r="B5562" s="28" t="s">
        <v>85</v>
      </c>
      <c r="C5562" s="28" t="s">
        <v>49</v>
      </c>
      <c r="D5562" s="28" t="n">
        <v>26</v>
      </c>
      <c r="E5562" s="29" t="n">
        <v>8309000</v>
      </c>
      <c r="F5562" s="30" t="n">
        <v>249.35</v>
      </c>
      <c r="G5562" s="31" t="n">
        <f aca="false">IFERROR(F5562/D5562,0)</f>
        <v>9.59038461538462</v>
      </c>
    </row>
    <row r="5563" customFormat="false" ht="15" hidden="false" customHeight="false" outlineLevel="0" collapsed="false">
      <c r="A5563" s="28" t="n">
        <v>2026</v>
      </c>
      <c r="B5563" s="28" t="s">
        <v>87</v>
      </c>
      <c r="C5563" s="28" t="s">
        <v>42</v>
      </c>
      <c r="D5563" s="28" t="n">
        <v>13</v>
      </c>
      <c r="E5563" s="29" t="n">
        <v>5366500</v>
      </c>
      <c r="F5563" s="30" t="n">
        <v>130.49</v>
      </c>
      <c r="G5563" s="31" t="n">
        <f aca="false">IFERROR(F5563/D5563,0)</f>
        <v>10.0376923076923</v>
      </c>
    </row>
    <row r="5564" customFormat="false" ht="15" hidden="false" customHeight="false" outlineLevel="0" collapsed="false">
      <c r="A5564" s="28" t="n">
        <v>2026</v>
      </c>
      <c r="B5564" s="28" t="s">
        <v>87</v>
      </c>
      <c r="C5564" s="28" t="s">
        <v>50</v>
      </c>
      <c r="D5564" s="28" t="n">
        <v>3</v>
      </c>
      <c r="E5564" s="29" t="n">
        <v>295000</v>
      </c>
      <c r="F5564" s="30" t="n">
        <v>36.25</v>
      </c>
      <c r="G5564" s="31" t="n">
        <f aca="false">IFERROR(F5564/D5564,0)</f>
        <v>12.0833333333333</v>
      </c>
    </row>
    <row r="5565" customFormat="false" ht="15" hidden="false" customHeight="false" outlineLevel="0" collapsed="false">
      <c r="A5565" s="28" t="n">
        <v>2026</v>
      </c>
      <c r="B5565" s="28" t="s">
        <v>87</v>
      </c>
      <c r="C5565" s="28" t="s">
        <v>51</v>
      </c>
      <c r="D5565" s="28" t="n">
        <v>1</v>
      </c>
      <c r="E5565" s="29" t="n">
        <v>4962000</v>
      </c>
      <c r="F5565" s="30" t="n">
        <v>9</v>
      </c>
      <c r="G5565" s="31" t="n">
        <f aca="false">IFERROR(F5565/D5565,0)</f>
        <v>9</v>
      </c>
    </row>
    <row r="5566" customFormat="false" ht="15" hidden="false" customHeight="false" outlineLevel="0" collapsed="false">
      <c r="A5566" s="28" t="n">
        <v>2026</v>
      </c>
      <c r="B5566" s="28" t="s">
        <v>87</v>
      </c>
      <c r="C5566" s="28" t="s">
        <v>45</v>
      </c>
      <c r="D5566" s="28" t="n">
        <v>5</v>
      </c>
      <c r="E5566" s="29" t="n">
        <v>1060000</v>
      </c>
      <c r="F5566" s="30" t="n">
        <v>50.55</v>
      </c>
      <c r="G5566" s="31" t="n">
        <f aca="false">IFERROR(F5566/D5566,0)</f>
        <v>10.11</v>
      </c>
    </row>
    <row r="5567" customFormat="false" ht="15" hidden="false" customHeight="false" outlineLevel="0" collapsed="false">
      <c r="A5567" s="28" t="n">
        <v>2026</v>
      </c>
      <c r="B5567" s="28" t="s">
        <v>87</v>
      </c>
      <c r="C5567" s="28" t="s">
        <v>56</v>
      </c>
      <c r="D5567" s="28" t="n">
        <v>1</v>
      </c>
      <c r="E5567" s="29" t="n">
        <v>980000</v>
      </c>
      <c r="F5567" s="30" t="n">
        <v>9</v>
      </c>
      <c r="G5567" s="31" t="n">
        <f aca="false">IFERROR(F5567/D5567,0)</f>
        <v>9</v>
      </c>
    </row>
    <row r="5568" customFormat="false" ht="15" hidden="false" customHeight="false" outlineLevel="0" collapsed="false">
      <c r="A5568" s="28" t="n">
        <v>2026</v>
      </c>
      <c r="B5568" s="28" t="s">
        <v>87</v>
      </c>
      <c r="C5568" s="28" t="s">
        <v>54</v>
      </c>
      <c r="D5568" s="28" t="n">
        <v>4</v>
      </c>
      <c r="E5568" s="29" t="n">
        <v>280000</v>
      </c>
      <c r="F5568" s="30" t="n">
        <v>46.73</v>
      </c>
      <c r="G5568" s="31" t="n">
        <f aca="false">IFERROR(F5568/D5568,0)</f>
        <v>11.6825</v>
      </c>
    </row>
    <row r="5569" customFormat="false" ht="15" hidden="false" customHeight="false" outlineLevel="0" collapsed="false">
      <c r="A5569" s="28" t="n">
        <v>2026</v>
      </c>
      <c r="B5569" s="28" t="s">
        <v>87</v>
      </c>
      <c r="C5569" s="28" t="s">
        <v>44</v>
      </c>
      <c r="D5569" s="28" t="n">
        <v>10</v>
      </c>
      <c r="E5569" s="29" t="n">
        <v>2890800</v>
      </c>
      <c r="F5569" s="30" t="n">
        <v>102.25</v>
      </c>
      <c r="G5569" s="31" t="n">
        <f aca="false">IFERROR(F5569/D5569,0)</f>
        <v>10.225</v>
      </c>
    </row>
    <row r="5570" customFormat="false" ht="15" hidden="false" customHeight="false" outlineLevel="0" collapsed="false">
      <c r="A5570" s="28" t="n">
        <v>2026</v>
      </c>
      <c r="B5570" s="28" t="s">
        <v>87</v>
      </c>
      <c r="C5570" s="28" t="s">
        <v>47</v>
      </c>
      <c r="D5570" s="28" t="n">
        <v>2</v>
      </c>
      <c r="E5570" s="29" t="n">
        <v>175000</v>
      </c>
      <c r="F5570" s="30" t="n">
        <v>23</v>
      </c>
      <c r="G5570" s="31" t="n">
        <f aca="false">IFERROR(F5570/D5570,0)</f>
        <v>11.5</v>
      </c>
    </row>
    <row r="5571" customFormat="false" ht="15" hidden="false" customHeight="false" outlineLevel="0" collapsed="false">
      <c r="A5571" s="28" t="n">
        <v>2026</v>
      </c>
      <c r="B5571" s="28" t="s">
        <v>87</v>
      </c>
      <c r="C5571" s="28" t="s">
        <v>46</v>
      </c>
      <c r="D5571" s="28" t="n">
        <v>7</v>
      </c>
      <c r="E5571" s="29" t="n">
        <v>2850000</v>
      </c>
      <c r="F5571" s="30" t="n">
        <v>65.2</v>
      </c>
      <c r="G5571" s="31" t="n">
        <f aca="false">IFERROR(F5571/D5571,0)</f>
        <v>9.31428571428572</v>
      </c>
    </row>
    <row r="5572" customFormat="false" ht="15" hidden="false" customHeight="false" outlineLevel="0" collapsed="false">
      <c r="A5572" s="28" t="n">
        <v>2026</v>
      </c>
      <c r="B5572" s="28" t="s">
        <v>87</v>
      </c>
      <c r="C5572" s="28" t="s">
        <v>48</v>
      </c>
      <c r="D5572" s="28" t="n">
        <v>19</v>
      </c>
      <c r="E5572" s="29" t="n">
        <v>3262500</v>
      </c>
      <c r="F5572" s="30" t="n">
        <v>188.48</v>
      </c>
      <c r="G5572" s="31" t="n">
        <f aca="false">IFERROR(F5572/D5572,0)</f>
        <v>9.92</v>
      </c>
    </row>
    <row r="5573" customFormat="false" ht="15" hidden="false" customHeight="false" outlineLevel="0" collapsed="false">
      <c r="A5573" s="28" t="n">
        <v>2026</v>
      </c>
      <c r="B5573" s="28" t="s">
        <v>87</v>
      </c>
      <c r="C5573" s="28" t="s">
        <v>53</v>
      </c>
      <c r="D5573" s="28" t="n">
        <v>1</v>
      </c>
      <c r="E5573" s="29" t="n">
        <v>150000</v>
      </c>
      <c r="F5573" s="30" t="n">
        <v>9.75</v>
      </c>
      <c r="G5573" s="31" t="n">
        <f aca="false">IFERROR(F5573/D5573,0)</f>
        <v>9.75</v>
      </c>
    </row>
    <row r="5574" customFormat="false" ht="15" hidden="false" customHeight="false" outlineLevel="0" collapsed="false">
      <c r="A5574" s="28" t="n">
        <v>2026</v>
      </c>
      <c r="B5574" s="28" t="s">
        <v>87</v>
      </c>
      <c r="C5574" s="28" t="s">
        <v>43</v>
      </c>
      <c r="D5574" s="28" t="n">
        <v>15</v>
      </c>
      <c r="E5574" s="29" t="n">
        <v>10365200</v>
      </c>
      <c r="F5574" s="30" t="n">
        <v>145.47</v>
      </c>
      <c r="G5574" s="31" t="n">
        <f aca="false">IFERROR(F5574/D5574,0)</f>
        <v>9.698</v>
      </c>
    </row>
    <row r="5575" customFormat="false" ht="15" hidden="false" customHeight="false" outlineLevel="0" collapsed="false">
      <c r="A5575" s="28" t="n">
        <v>2026</v>
      </c>
      <c r="B5575" s="28" t="s">
        <v>87</v>
      </c>
      <c r="C5575" s="28" t="s">
        <v>52</v>
      </c>
      <c r="D5575" s="28" t="n">
        <v>1</v>
      </c>
      <c r="E5575" s="29" t="n">
        <v>3590200</v>
      </c>
      <c r="F5575" s="30" t="n">
        <v>9</v>
      </c>
      <c r="G5575" s="31" t="n">
        <f aca="false">IFERROR(F5575/D5575,0)</f>
        <v>9</v>
      </c>
    </row>
    <row r="5576" customFormat="false" ht="15" hidden="false" customHeight="false" outlineLevel="0" collapsed="false">
      <c r="A5576" s="28" t="n">
        <v>2026</v>
      </c>
      <c r="B5576" s="28" t="s">
        <v>87</v>
      </c>
      <c r="C5576" s="28" t="s">
        <v>49</v>
      </c>
      <c r="D5576" s="28" t="n">
        <v>2</v>
      </c>
      <c r="E5576" s="29" t="n">
        <v>135000</v>
      </c>
      <c r="F5576" s="30" t="n">
        <v>17.5</v>
      </c>
      <c r="G5576" s="31" t="n">
        <f aca="false">IFERROR(F5576/D5576,0)</f>
        <v>8.75</v>
      </c>
    </row>
    <row r="5577" customFormat="false" ht="15" hidden="false" customHeight="false" outlineLevel="0" collapsed="false">
      <c r="A5577" s="28" t="n">
        <v>2026</v>
      </c>
      <c r="B5577" s="28" t="s">
        <v>88</v>
      </c>
      <c r="C5577" s="28" t="s">
        <v>42</v>
      </c>
      <c r="D5577" s="28" t="n">
        <v>20</v>
      </c>
      <c r="E5577" s="29" t="n">
        <v>7340600</v>
      </c>
      <c r="F5577" s="30" t="n">
        <v>192.24</v>
      </c>
      <c r="G5577" s="31" t="n">
        <f aca="false">IFERROR(F5577/D5577,0)</f>
        <v>9.612</v>
      </c>
    </row>
    <row r="5578" customFormat="false" ht="15" hidden="false" customHeight="false" outlineLevel="0" collapsed="false">
      <c r="A5578" s="28" t="n">
        <v>2026</v>
      </c>
      <c r="B5578" s="28" t="s">
        <v>88</v>
      </c>
      <c r="C5578" s="28" t="s">
        <v>50</v>
      </c>
      <c r="D5578" s="28" t="n">
        <v>8</v>
      </c>
      <c r="E5578" s="29" t="n">
        <v>3215000</v>
      </c>
      <c r="F5578" s="30" t="n">
        <v>80.24</v>
      </c>
      <c r="G5578" s="31" t="n">
        <f aca="false">IFERROR(F5578/D5578,0)</f>
        <v>10.03</v>
      </c>
    </row>
    <row r="5579" customFormat="false" ht="15" hidden="false" customHeight="false" outlineLevel="0" collapsed="false">
      <c r="A5579" s="28" t="n">
        <v>2026</v>
      </c>
      <c r="B5579" s="28" t="s">
        <v>88</v>
      </c>
      <c r="C5579" s="28" t="s">
        <v>51</v>
      </c>
      <c r="D5579" s="28" t="n">
        <v>10</v>
      </c>
      <c r="E5579" s="29" t="n">
        <v>8458000</v>
      </c>
      <c r="F5579" s="30" t="n">
        <v>96.5</v>
      </c>
      <c r="G5579" s="31" t="n">
        <f aca="false">IFERROR(F5579/D5579,0)</f>
        <v>9.65</v>
      </c>
    </row>
    <row r="5580" customFormat="false" ht="15" hidden="false" customHeight="false" outlineLevel="0" collapsed="false">
      <c r="A5580" s="28" t="n">
        <v>2026</v>
      </c>
      <c r="B5580" s="28" t="s">
        <v>88</v>
      </c>
      <c r="C5580" s="28" t="s">
        <v>45</v>
      </c>
      <c r="D5580" s="28" t="n">
        <v>22</v>
      </c>
      <c r="E5580" s="29" t="n">
        <v>2709000</v>
      </c>
      <c r="F5580" s="30" t="n">
        <v>223.93</v>
      </c>
      <c r="G5580" s="31" t="n">
        <f aca="false">IFERROR(F5580/D5580,0)</f>
        <v>10.1786363636364</v>
      </c>
    </row>
    <row r="5581" customFormat="false" ht="15" hidden="false" customHeight="false" outlineLevel="0" collapsed="false">
      <c r="A5581" s="28" t="n">
        <v>2026</v>
      </c>
      <c r="B5581" s="28" t="s">
        <v>88</v>
      </c>
      <c r="C5581" s="28" t="s">
        <v>54</v>
      </c>
      <c r="D5581" s="28" t="n">
        <v>2</v>
      </c>
      <c r="E5581" s="29" t="n">
        <v>629000</v>
      </c>
      <c r="F5581" s="30" t="n">
        <v>20</v>
      </c>
      <c r="G5581" s="31" t="n">
        <f aca="false">IFERROR(F5581/D5581,0)</f>
        <v>10</v>
      </c>
    </row>
    <row r="5582" customFormat="false" ht="15" hidden="false" customHeight="false" outlineLevel="0" collapsed="false">
      <c r="A5582" s="28" t="n">
        <v>2026</v>
      </c>
      <c r="B5582" s="28" t="s">
        <v>88</v>
      </c>
      <c r="C5582" s="28" t="s">
        <v>44</v>
      </c>
      <c r="D5582" s="28" t="n">
        <v>10</v>
      </c>
      <c r="E5582" s="29" t="n">
        <v>4163000</v>
      </c>
      <c r="F5582" s="30" t="n">
        <v>104.72</v>
      </c>
      <c r="G5582" s="31" t="n">
        <f aca="false">IFERROR(F5582/D5582,0)</f>
        <v>10.472</v>
      </c>
    </row>
    <row r="5583" customFormat="false" ht="15" hidden="false" customHeight="false" outlineLevel="0" collapsed="false">
      <c r="A5583" s="28" t="n">
        <v>2026</v>
      </c>
      <c r="B5583" s="28" t="s">
        <v>88</v>
      </c>
      <c r="C5583" s="28" t="s">
        <v>57</v>
      </c>
      <c r="D5583" s="28" t="n">
        <v>2</v>
      </c>
      <c r="E5583" s="29" t="n">
        <v>4961000</v>
      </c>
      <c r="F5583" s="30" t="n">
        <v>19</v>
      </c>
      <c r="G5583" s="31" t="n">
        <f aca="false">IFERROR(F5583/D5583,0)</f>
        <v>9.5</v>
      </c>
    </row>
    <row r="5584" customFormat="false" ht="15" hidden="false" customHeight="false" outlineLevel="0" collapsed="false">
      <c r="A5584" s="28" t="n">
        <v>2026</v>
      </c>
      <c r="B5584" s="28" t="s">
        <v>88</v>
      </c>
      <c r="C5584" s="28" t="s">
        <v>47</v>
      </c>
      <c r="D5584" s="28" t="n">
        <v>6</v>
      </c>
      <c r="E5584" s="29" t="n">
        <v>5824000</v>
      </c>
      <c r="F5584" s="30" t="n">
        <v>54.25</v>
      </c>
      <c r="G5584" s="31" t="n">
        <f aca="false">IFERROR(F5584/D5584,0)</f>
        <v>9.04166666666667</v>
      </c>
    </row>
    <row r="5585" customFormat="false" ht="15" hidden="false" customHeight="false" outlineLevel="0" collapsed="false">
      <c r="A5585" s="28" t="n">
        <v>2026</v>
      </c>
      <c r="B5585" s="28" t="s">
        <v>88</v>
      </c>
      <c r="C5585" s="28" t="s">
        <v>46</v>
      </c>
      <c r="D5585" s="28" t="n">
        <v>18</v>
      </c>
      <c r="E5585" s="29" t="n">
        <v>5457800</v>
      </c>
      <c r="F5585" s="30" t="n">
        <v>174.27</v>
      </c>
      <c r="G5585" s="31" t="n">
        <f aca="false">IFERROR(F5585/D5585,0)</f>
        <v>9.68166666666667</v>
      </c>
    </row>
    <row r="5586" customFormat="false" ht="15" hidden="false" customHeight="false" outlineLevel="0" collapsed="false">
      <c r="A5586" s="28" t="n">
        <v>2026</v>
      </c>
      <c r="B5586" s="28" t="s">
        <v>88</v>
      </c>
      <c r="C5586" s="28" t="s">
        <v>48</v>
      </c>
      <c r="D5586" s="28" t="n">
        <v>14</v>
      </c>
      <c r="E5586" s="29" t="n">
        <v>8626100</v>
      </c>
      <c r="F5586" s="30" t="n">
        <v>155.25</v>
      </c>
      <c r="G5586" s="31" t="n">
        <f aca="false">IFERROR(F5586/D5586,0)</f>
        <v>11.0892857142857</v>
      </c>
    </row>
    <row r="5587" customFormat="false" ht="15" hidden="false" customHeight="false" outlineLevel="0" collapsed="false">
      <c r="A5587" s="28" t="n">
        <v>2026</v>
      </c>
      <c r="B5587" s="28" t="s">
        <v>88</v>
      </c>
      <c r="C5587" s="28" t="s">
        <v>53</v>
      </c>
      <c r="D5587" s="28" t="n">
        <v>1</v>
      </c>
      <c r="E5587" s="29" t="n">
        <v>350000</v>
      </c>
      <c r="F5587" s="30" t="n">
        <v>8</v>
      </c>
      <c r="G5587" s="31" t="n">
        <f aca="false">IFERROR(F5587/D5587,0)</f>
        <v>8</v>
      </c>
    </row>
    <row r="5588" customFormat="false" ht="15" hidden="false" customHeight="false" outlineLevel="0" collapsed="false">
      <c r="A5588" s="28" t="n">
        <v>2026</v>
      </c>
      <c r="B5588" s="28" t="s">
        <v>88</v>
      </c>
      <c r="C5588" s="28" t="s">
        <v>43</v>
      </c>
      <c r="D5588" s="28" t="n">
        <v>17</v>
      </c>
      <c r="E5588" s="29" t="n">
        <v>4746000</v>
      </c>
      <c r="F5588" s="30" t="n">
        <v>170.5</v>
      </c>
      <c r="G5588" s="31" t="n">
        <f aca="false">IFERROR(F5588/D5588,0)</f>
        <v>10.0294117647059</v>
      </c>
    </row>
    <row r="5589" customFormat="false" ht="15" hidden="false" customHeight="false" outlineLevel="0" collapsed="false">
      <c r="A5589" s="28" t="n">
        <v>2026</v>
      </c>
      <c r="B5589" s="28" t="s">
        <v>88</v>
      </c>
      <c r="C5589" s="28" t="s">
        <v>52</v>
      </c>
      <c r="D5589" s="28" t="n">
        <v>2</v>
      </c>
      <c r="E5589" s="29" t="n">
        <v>211000</v>
      </c>
      <c r="F5589" s="30" t="n">
        <v>18.5</v>
      </c>
      <c r="G5589" s="31" t="n">
        <f aca="false">IFERROR(F5589/D5589,0)</f>
        <v>9.25</v>
      </c>
    </row>
    <row r="5590" customFormat="false" ht="15" hidden="false" customHeight="false" outlineLevel="0" collapsed="false">
      <c r="A5590" s="28" t="n">
        <v>2026</v>
      </c>
      <c r="B5590" s="28" t="s">
        <v>88</v>
      </c>
      <c r="C5590" s="28" t="s">
        <v>49</v>
      </c>
      <c r="D5590" s="28" t="n">
        <v>5</v>
      </c>
      <c r="E5590" s="29" t="n">
        <v>743000</v>
      </c>
      <c r="F5590" s="30" t="n">
        <v>54.24</v>
      </c>
      <c r="G5590" s="31" t="n">
        <f aca="false">IFERROR(F5590/D5590,0)</f>
        <v>10.848</v>
      </c>
    </row>
    <row r="5591" customFormat="false" ht="15" hidden="false" customHeight="false" outlineLevel="0" collapsed="false">
      <c r="A5591" s="28" t="n">
        <v>2026</v>
      </c>
      <c r="B5591" s="28" t="s">
        <v>79</v>
      </c>
      <c r="C5591" s="28" t="s">
        <v>42</v>
      </c>
      <c r="D5591" s="28" t="n">
        <v>304</v>
      </c>
      <c r="E5591" s="29" t="n">
        <v>258042100</v>
      </c>
      <c r="F5591" s="30" t="n">
        <v>2815.345</v>
      </c>
      <c r="G5591" s="31" t="n">
        <f aca="false">IFERROR(F5591/D5591,0)</f>
        <v>9.26100328947368</v>
      </c>
    </row>
    <row r="5592" customFormat="false" ht="15" hidden="false" customHeight="false" outlineLevel="0" collapsed="false">
      <c r="A5592" s="28" t="n">
        <v>2026</v>
      </c>
      <c r="B5592" s="28" t="s">
        <v>79</v>
      </c>
      <c r="C5592" s="28" t="s">
        <v>50</v>
      </c>
      <c r="D5592" s="28" t="n">
        <v>227</v>
      </c>
      <c r="E5592" s="29" t="n">
        <v>89988200</v>
      </c>
      <c r="F5592" s="30" t="n">
        <v>2248.05</v>
      </c>
      <c r="G5592" s="31" t="n">
        <f aca="false">IFERROR(F5592/D5592,0)</f>
        <v>9.90330396475771</v>
      </c>
    </row>
    <row r="5593" customFormat="false" ht="15" hidden="false" customHeight="false" outlineLevel="0" collapsed="false">
      <c r="A5593" s="28" t="n">
        <v>2026</v>
      </c>
      <c r="B5593" s="28" t="s">
        <v>79</v>
      </c>
      <c r="C5593" s="28" t="s">
        <v>55</v>
      </c>
      <c r="D5593" s="28" t="n">
        <v>9</v>
      </c>
      <c r="E5593" s="29" t="n">
        <v>10693100</v>
      </c>
      <c r="F5593" s="30" t="n">
        <v>82.675</v>
      </c>
      <c r="G5593" s="31" t="n">
        <f aca="false">IFERROR(F5593/D5593,0)</f>
        <v>9.18611111111111</v>
      </c>
    </row>
    <row r="5594" customFormat="false" ht="15" hidden="false" customHeight="false" outlineLevel="0" collapsed="false">
      <c r="A5594" s="28" t="n">
        <v>2026</v>
      </c>
      <c r="B5594" s="28" t="s">
        <v>79</v>
      </c>
      <c r="C5594" s="28" t="s">
        <v>51</v>
      </c>
      <c r="D5594" s="28" t="n">
        <v>123</v>
      </c>
      <c r="E5594" s="29" t="n">
        <v>89845200</v>
      </c>
      <c r="F5594" s="30" t="n">
        <v>1178.44</v>
      </c>
      <c r="G5594" s="31" t="n">
        <f aca="false">IFERROR(F5594/D5594,0)</f>
        <v>9.58081300813008</v>
      </c>
    </row>
    <row r="5595" customFormat="false" ht="15" hidden="false" customHeight="false" outlineLevel="0" collapsed="false">
      <c r="A5595" s="28" t="n">
        <v>2026</v>
      </c>
      <c r="B5595" s="28" t="s">
        <v>79</v>
      </c>
      <c r="C5595" s="28" t="s">
        <v>45</v>
      </c>
      <c r="D5595" s="28" t="n">
        <v>348</v>
      </c>
      <c r="E5595" s="29" t="n">
        <v>212391500</v>
      </c>
      <c r="F5595" s="30" t="n">
        <v>3395.05</v>
      </c>
      <c r="G5595" s="31" t="n">
        <f aca="false">IFERROR(F5595/D5595,0)</f>
        <v>9.7558908045977</v>
      </c>
    </row>
    <row r="5596" customFormat="false" ht="15" hidden="false" customHeight="false" outlineLevel="0" collapsed="false">
      <c r="A5596" s="28" t="n">
        <v>2026</v>
      </c>
      <c r="B5596" s="28" t="s">
        <v>79</v>
      </c>
      <c r="C5596" s="28" t="s">
        <v>56</v>
      </c>
      <c r="D5596" s="28" t="n">
        <v>45</v>
      </c>
      <c r="E5596" s="29" t="n">
        <v>29030500</v>
      </c>
      <c r="F5596" s="30" t="n">
        <v>430.26</v>
      </c>
      <c r="G5596" s="31" t="n">
        <f aca="false">IFERROR(F5596/D5596,0)</f>
        <v>9.56133333333333</v>
      </c>
    </row>
    <row r="5597" customFormat="false" ht="15" hidden="false" customHeight="false" outlineLevel="0" collapsed="false">
      <c r="A5597" s="28" t="n">
        <v>2026</v>
      </c>
      <c r="B5597" s="28" t="s">
        <v>79</v>
      </c>
      <c r="C5597" s="28" t="s">
        <v>54</v>
      </c>
      <c r="D5597" s="28" t="n">
        <v>81</v>
      </c>
      <c r="E5597" s="29" t="n">
        <v>42153500</v>
      </c>
      <c r="F5597" s="30" t="n">
        <v>822.39</v>
      </c>
      <c r="G5597" s="31" t="n">
        <f aca="false">IFERROR(F5597/D5597,0)</f>
        <v>10.152962962963</v>
      </c>
    </row>
    <row r="5598" customFormat="false" ht="15" hidden="false" customHeight="false" outlineLevel="0" collapsed="false">
      <c r="A5598" s="28" t="n">
        <v>2026</v>
      </c>
      <c r="B5598" s="28" t="s">
        <v>79</v>
      </c>
      <c r="C5598" s="28" t="s">
        <v>44</v>
      </c>
      <c r="D5598" s="28" t="n">
        <v>315</v>
      </c>
      <c r="E5598" s="29" t="n">
        <v>214852000</v>
      </c>
      <c r="F5598" s="30" t="n">
        <v>2988.04</v>
      </c>
      <c r="G5598" s="31" t="n">
        <f aca="false">IFERROR(F5598/D5598,0)</f>
        <v>9.48584126984127</v>
      </c>
    </row>
    <row r="5599" customFormat="false" ht="15" hidden="false" customHeight="false" outlineLevel="0" collapsed="false">
      <c r="A5599" s="28" t="n">
        <v>2026</v>
      </c>
      <c r="B5599" s="28" t="s">
        <v>79</v>
      </c>
      <c r="C5599" s="28" t="s">
        <v>57</v>
      </c>
      <c r="D5599" s="28" t="n">
        <v>34</v>
      </c>
      <c r="E5599" s="29" t="n">
        <v>13932200</v>
      </c>
      <c r="F5599" s="30" t="n">
        <v>353.54</v>
      </c>
      <c r="G5599" s="31" t="n">
        <f aca="false">IFERROR(F5599/D5599,0)</f>
        <v>10.3982352941176</v>
      </c>
    </row>
    <row r="5600" customFormat="false" ht="15" hidden="false" customHeight="false" outlineLevel="0" collapsed="false">
      <c r="A5600" s="28" t="n">
        <v>2026</v>
      </c>
      <c r="B5600" s="28" t="s">
        <v>79</v>
      </c>
      <c r="C5600" s="28" t="s">
        <v>59</v>
      </c>
      <c r="D5600" s="28" t="n">
        <v>3</v>
      </c>
      <c r="E5600" s="29" t="n">
        <v>3798800</v>
      </c>
      <c r="F5600" s="30" t="n">
        <v>27.25</v>
      </c>
      <c r="G5600" s="31" t="n">
        <f aca="false">IFERROR(F5600/D5600,0)</f>
        <v>9.08333333333333</v>
      </c>
    </row>
    <row r="5601" customFormat="false" ht="15" hidden="false" customHeight="false" outlineLevel="0" collapsed="false">
      <c r="A5601" s="28" t="n">
        <v>2026</v>
      </c>
      <c r="B5601" s="28" t="s">
        <v>79</v>
      </c>
      <c r="C5601" s="28" t="s">
        <v>47</v>
      </c>
      <c r="D5601" s="28" t="n">
        <v>146</v>
      </c>
      <c r="E5601" s="29" t="n">
        <v>109620800</v>
      </c>
      <c r="F5601" s="30" t="n">
        <v>1409.01</v>
      </c>
      <c r="G5601" s="31" t="n">
        <f aca="false">IFERROR(F5601/D5601,0)</f>
        <v>9.65075342465753</v>
      </c>
    </row>
    <row r="5602" customFormat="false" ht="15" hidden="false" customHeight="false" outlineLevel="0" collapsed="false">
      <c r="A5602" s="28" t="n">
        <v>2026</v>
      </c>
      <c r="B5602" s="28" t="s">
        <v>79</v>
      </c>
      <c r="C5602" s="28" t="s">
        <v>58</v>
      </c>
      <c r="D5602" s="28" t="n">
        <v>2</v>
      </c>
      <c r="E5602" s="29" t="n">
        <v>1834000</v>
      </c>
      <c r="F5602" s="30" t="n">
        <v>22</v>
      </c>
      <c r="G5602" s="31" t="n">
        <f aca="false">IFERROR(F5602/D5602,0)</f>
        <v>11</v>
      </c>
    </row>
    <row r="5603" customFormat="false" ht="15" hidden="false" customHeight="false" outlineLevel="0" collapsed="false">
      <c r="A5603" s="28" t="n">
        <v>2026</v>
      </c>
      <c r="B5603" s="28" t="s">
        <v>79</v>
      </c>
      <c r="C5603" s="28" t="s">
        <v>46</v>
      </c>
      <c r="D5603" s="28" t="n">
        <v>260</v>
      </c>
      <c r="E5603" s="29" t="n">
        <v>125586800</v>
      </c>
      <c r="F5603" s="30" t="n">
        <v>2609.04</v>
      </c>
      <c r="G5603" s="31" t="n">
        <f aca="false">IFERROR(F5603/D5603,0)</f>
        <v>10.0347692307692</v>
      </c>
    </row>
    <row r="5604" customFormat="false" ht="15" hidden="false" customHeight="false" outlineLevel="0" collapsed="false">
      <c r="A5604" s="28" t="n">
        <v>2026</v>
      </c>
      <c r="B5604" s="28" t="s">
        <v>79</v>
      </c>
      <c r="C5604" s="28" t="s">
        <v>48</v>
      </c>
      <c r="D5604" s="28" t="n">
        <v>337</v>
      </c>
      <c r="E5604" s="29" t="n">
        <v>134609100</v>
      </c>
      <c r="F5604" s="30" t="n">
        <v>3372.48</v>
      </c>
      <c r="G5604" s="31" t="n">
        <f aca="false">IFERROR(F5604/D5604,0)</f>
        <v>10.0073590504451</v>
      </c>
    </row>
    <row r="5605" customFormat="false" ht="15" hidden="false" customHeight="false" outlineLevel="0" collapsed="false">
      <c r="A5605" s="28" t="n">
        <v>2026</v>
      </c>
      <c r="B5605" s="28" t="s">
        <v>79</v>
      </c>
      <c r="C5605" s="28" t="s">
        <v>53</v>
      </c>
      <c r="D5605" s="28" t="n">
        <v>59</v>
      </c>
      <c r="E5605" s="29" t="n">
        <v>39830000</v>
      </c>
      <c r="F5605" s="30" t="n">
        <v>574.02</v>
      </c>
      <c r="G5605" s="31" t="n">
        <f aca="false">IFERROR(F5605/D5605,0)</f>
        <v>9.72915254237288</v>
      </c>
    </row>
    <row r="5606" customFormat="false" ht="15" hidden="false" customHeight="false" outlineLevel="0" collapsed="false">
      <c r="A5606" s="28" t="n">
        <v>2026</v>
      </c>
      <c r="B5606" s="28" t="s">
        <v>79</v>
      </c>
      <c r="C5606" s="28" t="s">
        <v>43</v>
      </c>
      <c r="D5606" s="28" t="n">
        <v>230</v>
      </c>
      <c r="E5606" s="29" t="n">
        <v>164596600</v>
      </c>
      <c r="F5606" s="30" t="n">
        <v>2226.51</v>
      </c>
      <c r="G5606" s="31" t="n">
        <f aca="false">IFERROR(F5606/D5606,0)</f>
        <v>9.68047826086957</v>
      </c>
    </row>
    <row r="5607" customFormat="false" ht="15" hidden="false" customHeight="false" outlineLevel="0" collapsed="false">
      <c r="A5607" s="28" t="n">
        <v>2026</v>
      </c>
      <c r="B5607" s="28" t="s">
        <v>79</v>
      </c>
      <c r="C5607" s="28" t="s">
        <v>52</v>
      </c>
      <c r="D5607" s="28" t="n">
        <v>82</v>
      </c>
      <c r="E5607" s="29" t="n">
        <v>44058700</v>
      </c>
      <c r="F5607" s="30" t="n">
        <v>826.34</v>
      </c>
      <c r="G5607" s="31" t="n">
        <f aca="false">IFERROR(F5607/D5607,0)</f>
        <v>10.0773170731707</v>
      </c>
    </row>
    <row r="5608" customFormat="false" ht="15" hidden="false" customHeight="false" outlineLevel="0" collapsed="false">
      <c r="A5608" s="28" t="n">
        <v>2026</v>
      </c>
      <c r="B5608" s="28" t="s">
        <v>79</v>
      </c>
      <c r="C5608" s="28" t="s">
        <v>60</v>
      </c>
      <c r="D5608" s="28" t="n">
        <v>3</v>
      </c>
      <c r="E5608" s="29" t="n">
        <v>1842400</v>
      </c>
      <c r="F5608" s="30" t="n">
        <v>28</v>
      </c>
      <c r="G5608" s="31" t="n">
        <f aca="false">IFERROR(F5608/D5608,0)</f>
        <v>9.33333333333333</v>
      </c>
    </row>
    <row r="5609" customFormat="false" ht="15" hidden="false" customHeight="false" outlineLevel="0" collapsed="false">
      <c r="A5609" s="28" t="n">
        <v>2026</v>
      </c>
      <c r="B5609" s="28" t="s">
        <v>79</v>
      </c>
      <c r="C5609" s="28" t="s">
        <v>49</v>
      </c>
      <c r="D5609" s="28" t="n">
        <v>144</v>
      </c>
      <c r="E5609" s="29" t="n">
        <v>101856500</v>
      </c>
      <c r="F5609" s="30" t="n">
        <v>1414.75</v>
      </c>
      <c r="G5609" s="31" t="n">
        <f aca="false">IFERROR(F5609/D5609,0)</f>
        <v>9.82465277777778</v>
      </c>
    </row>
    <row r="5610" customFormat="false" ht="15" hidden="false" customHeight="false" outlineLevel="0" collapsed="false">
      <c r="A5610" s="28" t="n">
        <v>2026</v>
      </c>
      <c r="B5610" s="28" t="s">
        <v>81</v>
      </c>
      <c r="C5610" s="28" t="s">
        <v>42</v>
      </c>
      <c r="D5610" s="28" t="n">
        <v>180</v>
      </c>
      <c r="E5610" s="29" t="n">
        <v>167824800</v>
      </c>
      <c r="F5610" s="30" t="n">
        <v>1623.44</v>
      </c>
      <c r="G5610" s="31" t="n">
        <f aca="false">IFERROR(F5610/D5610,0)</f>
        <v>9.01911111111111</v>
      </c>
    </row>
    <row r="5611" customFormat="false" ht="15" hidden="false" customHeight="false" outlineLevel="0" collapsed="false">
      <c r="A5611" s="28" t="n">
        <v>2026</v>
      </c>
      <c r="B5611" s="28" t="s">
        <v>81</v>
      </c>
      <c r="C5611" s="28" t="s">
        <v>50</v>
      </c>
      <c r="D5611" s="28" t="n">
        <v>62</v>
      </c>
      <c r="E5611" s="29" t="n">
        <v>28079200</v>
      </c>
      <c r="F5611" s="30" t="n">
        <v>594.36</v>
      </c>
      <c r="G5611" s="31" t="n">
        <f aca="false">IFERROR(F5611/D5611,0)</f>
        <v>9.58645161290323</v>
      </c>
    </row>
    <row r="5612" customFormat="false" ht="15" hidden="false" customHeight="false" outlineLevel="0" collapsed="false">
      <c r="A5612" s="28" t="n">
        <v>2026</v>
      </c>
      <c r="B5612" s="28" t="s">
        <v>81</v>
      </c>
      <c r="C5612" s="28" t="s">
        <v>55</v>
      </c>
      <c r="D5612" s="28" t="n">
        <v>5</v>
      </c>
      <c r="E5612" s="29" t="n">
        <v>3925000</v>
      </c>
      <c r="F5612" s="30" t="n">
        <v>44.65</v>
      </c>
      <c r="G5612" s="31" t="n">
        <f aca="false">IFERROR(F5612/D5612,0)</f>
        <v>8.93</v>
      </c>
    </row>
    <row r="5613" customFormat="false" ht="15" hidden="false" customHeight="false" outlineLevel="0" collapsed="false">
      <c r="A5613" s="28" t="n">
        <v>2026</v>
      </c>
      <c r="B5613" s="28" t="s">
        <v>81</v>
      </c>
      <c r="C5613" s="28" t="s">
        <v>51</v>
      </c>
      <c r="D5613" s="28" t="n">
        <v>46</v>
      </c>
      <c r="E5613" s="29" t="n">
        <v>34319100</v>
      </c>
      <c r="F5613" s="30" t="n">
        <v>442.37</v>
      </c>
      <c r="G5613" s="31" t="n">
        <f aca="false">IFERROR(F5613/D5613,0)</f>
        <v>9.61673913043478</v>
      </c>
    </row>
    <row r="5614" customFormat="false" ht="15" hidden="false" customHeight="false" outlineLevel="0" collapsed="false">
      <c r="A5614" s="28" t="n">
        <v>2026</v>
      </c>
      <c r="B5614" s="28" t="s">
        <v>81</v>
      </c>
      <c r="C5614" s="28" t="s">
        <v>45</v>
      </c>
      <c r="D5614" s="28" t="n">
        <v>87</v>
      </c>
      <c r="E5614" s="29" t="n">
        <v>50070800</v>
      </c>
      <c r="F5614" s="30" t="n">
        <v>862.45</v>
      </c>
      <c r="G5614" s="31" t="n">
        <f aca="false">IFERROR(F5614/D5614,0)</f>
        <v>9.9132183908046</v>
      </c>
    </row>
    <row r="5615" customFormat="false" ht="15" hidden="false" customHeight="false" outlineLevel="0" collapsed="false">
      <c r="A5615" s="28" t="n">
        <v>2026</v>
      </c>
      <c r="B5615" s="28" t="s">
        <v>81</v>
      </c>
      <c r="C5615" s="28" t="s">
        <v>56</v>
      </c>
      <c r="D5615" s="28" t="n">
        <v>22</v>
      </c>
      <c r="E5615" s="29" t="n">
        <v>4184800</v>
      </c>
      <c r="F5615" s="30" t="n">
        <v>223.25</v>
      </c>
      <c r="G5615" s="31" t="n">
        <f aca="false">IFERROR(F5615/D5615,0)</f>
        <v>10.1477272727273</v>
      </c>
    </row>
    <row r="5616" customFormat="false" ht="15" hidden="false" customHeight="false" outlineLevel="0" collapsed="false">
      <c r="A5616" s="28" t="n">
        <v>2026</v>
      </c>
      <c r="B5616" s="28" t="s">
        <v>81</v>
      </c>
      <c r="C5616" s="28" t="s">
        <v>54</v>
      </c>
      <c r="D5616" s="28" t="n">
        <v>12</v>
      </c>
      <c r="E5616" s="29" t="n">
        <v>7994900</v>
      </c>
      <c r="F5616" s="30" t="n">
        <v>115.47</v>
      </c>
      <c r="G5616" s="31" t="n">
        <f aca="false">IFERROR(F5616/D5616,0)</f>
        <v>9.6225</v>
      </c>
    </row>
    <row r="5617" customFormat="false" ht="15" hidden="false" customHeight="false" outlineLevel="0" collapsed="false">
      <c r="A5617" s="28" t="n">
        <v>2026</v>
      </c>
      <c r="B5617" s="28" t="s">
        <v>81</v>
      </c>
      <c r="C5617" s="28" t="s">
        <v>44</v>
      </c>
      <c r="D5617" s="28" t="n">
        <v>117</v>
      </c>
      <c r="E5617" s="29" t="n">
        <v>100339500</v>
      </c>
      <c r="F5617" s="30" t="n">
        <v>1090.17</v>
      </c>
      <c r="G5617" s="31" t="n">
        <f aca="false">IFERROR(F5617/D5617,0)</f>
        <v>9.31769230769231</v>
      </c>
    </row>
    <row r="5618" customFormat="false" ht="15" hidden="false" customHeight="false" outlineLevel="0" collapsed="false">
      <c r="A5618" s="28" t="n">
        <v>2026</v>
      </c>
      <c r="B5618" s="28" t="s">
        <v>81</v>
      </c>
      <c r="C5618" s="28" t="s">
        <v>57</v>
      </c>
      <c r="D5618" s="28" t="n">
        <v>12</v>
      </c>
      <c r="E5618" s="29" t="n">
        <v>3206200</v>
      </c>
      <c r="F5618" s="30" t="n">
        <v>120.16</v>
      </c>
      <c r="G5618" s="31" t="n">
        <f aca="false">IFERROR(F5618/D5618,0)</f>
        <v>10.0133333333333</v>
      </c>
    </row>
    <row r="5619" customFormat="false" ht="15" hidden="false" customHeight="false" outlineLevel="0" collapsed="false">
      <c r="A5619" s="28" t="n">
        <v>2026</v>
      </c>
      <c r="B5619" s="28" t="s">
        <v>81</v>
      </c>
      <c r="C5619" s="28" t="s">
        <v>59</v>
      </c>
      <c r="D5619" s="28" t="n">
        <v>1</v>
      </c>
      <c r="E5619" s="29" t="n">
        <v>265000</v>
      </c>
      <c r="F5619" s="30" t="n">
        <v>9.49</v>
      </c>
      <c r="G5619" s="31" t="n">
        <f aca="false">IFERROR(F5619/D5619,0)</f>
        <v>9.49</v>
      </c>
    </row>
    <row r="5620" customFormat="false" ht="15" hidden="false" customHeight="false" outlineLevel="0" collapsed="false">
      <c r="A5620" s="28" t="n">
        <v>2026</v>
      </c>
      <c r="B5620" s="28" t="s">
        <v>81</v>
      </c>
      <c r="C5620" s="28" t="s">
        <v>47</v>
      </c>
      <c r="D5620" s="28" t="n">
        <v>44</v>
      </c>
      <c r="E5620" s="29" t="n">
        <v>36688400</v>
      </c>
      <c r="F5620" s="30" t="n">
        <v>423.4</v>
      </c>
      <c r="G5620" s="31" t="n">
        <f aca="false">IFERROR(F5620/D5620,0)</f>
        <v>9.62272727272727</v>
      </c>
    </row>
    <row r="5621" customFormat="false" ht="15" hidden="false" customHeight="false" outlineLevel="0" collapsed="false">
      <c r="A5621" s="28" t="n">
        <v>2026</v>
      </c>
      <c r="B5621" s="28" t="s">
        <v>81</v>
      </c>
      <c r="C5621" s="28" t="s">
        <v>58</v>
      </c>
      <c r="D5621" s="28" t="n">
        <v>2</v>
      </c>
      <c r="E5621" s="29" t="n">
        <v>3500000</v>
      </c>
      <c r="F5621" s="30" t="n">
        <v>17.5</v>
      </c>
      <c r="G5621" s="31" t="n">
        <f aca="false">IFERROR(F5621/D5621,0)</f>
        <v>8.75</v>
      </c>
    </row>
    <row r="5622" customFormat="false" ht="15" hidden="false" customHeight="false" outlineLevel="0" collapsed="false">
      <c r="A5622" s="28" t="n">
        <v>2026</v>
      </c>
      <c r="B5622" s="28" t="s">
        <v>81</v>
      </c>
      <c r="C5622" s="28" t="s">
        <v>46</v>
      </c>
      <c r="D5622" s="28" t="n">
        <v>95</v>
      </c>
      <c r="E5622" s="29" t="n">
        <v>47046800</v>
      </c>
      <c r="F5622" s="30" t="n">
        <v>955.055</v>
      </c>
      <c r="G5622" s="31" t="n">
        <f aca="false">IFERROR(F5622/D5622,0)</f>
        <v>10.0532105263158</v>
      </c>
    </row>
    <row r="5623" customFormat="false" ht="15" hidden="false" customHeight="false" outlineLevel="0" collapsed="false">
      <c r="A5623" s="28" t="n">
        <v>2026</v>
      </c>
      <c r="B5623" s="28" t="s">
        <v>81</v>
      </c>
      <c r="C5623" s="28" t="s">
        <v>48</v>
      </c>
      <c r="D5623" s="28" t="n">
        <v>98</v>
      </c>
      <c r="E5623" s="29" t="n">
        <v>52077900</v>
      </c>
      <c r="F5623" s="30" t="n">
        <v>960.69</v>
      </c>
      <c r="G5623" s="31" t="n">
        <f aca="false">IFERROR(F5623/D5623,0)</f>
        <v>9.80295918367347</v>
      </c>
    </row>
    <row r="5624" customFormat="false" ht="15" hidden="false" customHeight="false" outlineLevel="0" collapsed="false">
      <c r="A5624" s="28" t="n">
        <v>2026</v>
      </c>
      <c r="B5624" s="28" t="s">
        <v>81</v>
      </c>
      <c r="C5624" s="28" t="s">
        <v>61</v>
      </c>
      <c r="D5624" s="28" t="n">
        <v>1</v>
      </c>
      <c r="E5624" s="29" t="n">
        <v>75000</v>
      </c>
      <c r="F5624" s="30" t="n">
        <v>9.5</v>
      </c>
      <c r="G5624" s="31" t="n">
        <f aca="false">IFERROR(F5624/D5624,0)</f>
        <v>9.5</v>
      </c>
    </row>
    <row r="5625" customFormat="false" ht="15" hidden="false" customHeight="false" outlineLevel="0" collapsed="false">
      <c r="A5625" s="28" t="n">
        <v>2026</v>
      </c>
      <c r="B5625" s="28" t="s">
        <v>81</v>
      </c>
      <c r="C5625" s="28" t="s">
        <v>53</v>
      </c>
      <c r="D5625" s="28" t="n">
        <v>25</v>
      </c>
      <c r="E5625" s="29" t="n">
        <v>16738800</v>
      </c>
      <c r="F5625" s="30" t="n">
        <v>243.95</v>
      </c>
      <c r="G5625" s="31" t="n">
        <f aca="false">IFERROR(F5625/D5625,0)</f>
        <v>9.758</v>
      </c>
    </row>
    <row r="5626" customFormat="false" ht="15" hidden="false" customHeight="false" outlineLevel="0" collapsed="false">
      <c r="A5626" s="28" t="n">
        <v>2026</v>
      </c>
      <c r="B5626" s="28" t="s">
        <v>81</v>
      </c>
      <c r="C5626" s="28" t="s">
        <v>43</v>
      </c>
      <c r="D5626" s="28" t="n">
        <v>118</v>
      </c>
      <c r="E5626" s="29" t="n">
        <v>128163900</v>
      </c>
      <c r="F5626" s="30" t="n">
        <v>1077.86</v>
      </c>
      <c r="G5626" s="31" t="n">
        <f aca="false">IFERROR(F5626/D5626,0)</f>
        <v>9.13440677966102</v>
      </c>
    </row>
    <row r="5627" customFormat="false" ht="15" hidden="false" customHeight="false" outlineLevel="0" collapsed="false">
      <c r="A5627" s="28" t="n">
        <v>2026</v>
      </c>
      <c r="B5627" s="28" t="s">
        <v>81</v>
      </c>
      <c r="C5627" s="28" t="s">
        <v>52</v>
      </c>
      <c r="D5627" s="28" t="n">
        <v>29</v>
      </c>
      <c r="E5627" s="29" t="n">
        <v>15650700</v>
      </c>
      <c r="F5627" s="30" t="n">
        <v>289.24</v>
      </c>
      <c r="G5627" s="31" t="n">
        <f aca="false">IFERROR(F5627/D5627,0)</f>
        <v>9.97379310344828</v>
      </c>
    </row>
    <row r="5628" customFormat="false" ht="15" hidden="false" customHeight="false" outlineLevel="0" collapsed="false">
      <c r="A5628" s="28" t="n">
        <v>2026</v>
      </c>
      <c r="B5628" s="28" t="s">
        <v>81</v>
      </c>
      <c r="C5628" s="28" t="s">
        <v>49</v>
      </c>
      <c r="D5628" s="28" t="n">
        <v>23</v>
      </c>
      <c r="E5628" s="29" t="n">
        <v>17689300</v>
      </c>
      <c r="F5628" s="30" t="n">
        <v>214.27</v>
      </c>
      <c r="G5628" s="31" t="n">
        <f aca="false">IFERROR(F5628/D5628,0)</f>
        <v>9.31608695652174</v>
      </c>
    </row>
    <row r="5629" customFormat="false" ht="15" hidden="false" customHeight="false" outlineLevel="0" collapsed="false">
      <c r="A5629" s="28" t="n">
        <v>2026</v>
      </c>
      <c r="B5629" s="28" t="s">
        <v>92</v>
      </c>
      <c r="C5629" s="28" t="s">
        <v>42</v>
      </c>
      <c r="D5629" s="28" t="n">
        <v>1</v>
      </c>
      <c r="E5629" s="29" t="n">
        <v>150000</v>
      </c>
      <c r="F5629" s="30" t="n">
        <v>8.75</v>
      </c>
      <c r="G5629" s="31" t="n">
        <f aca="false">IFERROR(F5629/D5629,0)</f>
        <v>8.75</v>
      </c>
    </row>
    <row r="5630" customFormat="false" ht="15" hidden="false" customHeight="false" outlineLevel="0" collapsed="false">
      <c r="A5630" s="28" t="n">
        <v>2026</v>
      </c>
      <c r="B5630" s="28" t="s">
        <v>92</v>
      </c>
      <c r="C5630" s="28" t="s">
        <v>44</v>
      </c>
      <c r="D5630" s="28" t="n">
        <v>1</v>
      </c>
      <c r="E5630" s="29" t="n">
        <v>120000</v>
      </c>
      <c r="F5630" s="30" t="n">
        <v>8.75</v>
      </c>
      <c r="G5630" s="31" t="n">
        <f aca="false">IFERROR(F5630/D5630,0)</f>
        <v>8.75</v>
      </c>
    </row>
    <row r="5631" customFormat="false" ht="15" hidden="false" customHeight="false" outlineLevel="0" collapsed="false">
      <c r="A5631" s="28" t="n">
        <v>2026</v>
      </c>
      <c r="B5631" s="28" t="s">
        <v>92</v>
      </c>
      <c r="C5631" s="28" t="s">
        <v>53</v>
      </c>
      <c r="D5631" s="28" t="n">
        <v>1</v>
      </c>
      <c r="E5631" s="29" t="n">
        <v>100000</v>
      </c>
      <c r="F5631" s="30" t="n">
        <v>8.75</v>
      </c>
      <c r="G5631" s="31" t="n">
        <f aca="false">IFERROR(F5631/D5631,0)</f>
        <v>8.75</v>
      </c>
    </row>
    <row r="5632" customFormat="false" ht="15" hidden="false" customHeight="false" outlineLevel="0" collapsed="false">
      <c r="A5632" s="28" t="n">
        <v>2026</v>
      </c>
      <c r="B5632" s="28" t="s">
        <v>92</v>
      </c>
      <c r="C5632" s="28" t="s">
        <v>43</v>
      </c>
      <c r="D5632" s="28" t="n">
        <v>1</v>
      </c>
      <c r="E5632" s="29" t="n">
        <v>80000</v>
      </c>
      <c r="F5632" s="30" t="n">
        <v>8.75</v>
      </c>
      <c r="G5632" s="31" t="n">
        <f aca="false">IFERROR(F5632/D5632,0)</f>
        <v>8.75</v>
      </c>
    </row>
    <row r="5633" customFormat="false" ht="15" hidden="false" customHeight="false" outlineLevel="0" collapsed="false">
      <c r="A5633" s="28" t="n">
        <v>2026</v>
      </c>
      <c r="B5633" s="28" t="s">
        <v>94</v>
      </c>
      <c r="C5633" s="28" t="s">
        <v>42</v>
      </c>
      <c r="D5633" s="28" t="n">
        <v>10</v>
      </c>
      <c r="E5633" s="29" t="n">
        <v>2257500</v>
      </c>
      <c r="F5633" s="30" t="n">
        <v>100.5</v>
      </c>
      <c r="G5633" s="31" t="n">
        <f aca="false">IFERROR(F5633/D5633,0)</f>
        <v>10.05</v>
      </c>
    </row>
    <row r="5634" customFormat="false" ht="15" hidden="false" customHeight="false" outlineLevel="0" collapsed="false">
      <c r="A5634" s="28" t="n">
        <v>2026</v>
      </c>
      <c r="B5634" s="28" t="s">
        <v>94</v>
      </c>
      <c r="C5634" s="28" t="s">
        <v>50</v>
      </c>
      <c r="D5634" s="28" t="n">
        <v>7</v>
      </c>
      <c r="E5634" s="29" t="n">
        <v>1012000</v>
      </c>
      <c r="F5634" s="30" t="n">
        <v>72.25</v>
      </c>
      <c r="G5634" s="31" t="n">
        <f aca="false">IFERROR(F5634/D5634,0)</f>
        <v>10.3214285714286</v>
      </c>
    </row>
    <row r="5635" customFormat="false" ht="15" hidden="false" customHeight="false" outlineLevel="0" collapsed="false">
      <c r="A5635" s="28" t="n">
        <v>2026</v>
      </c>
      <c r="B5635" s="28" t="s">
        <v>94</v>
      </c>
      <c r="C5635" s="28" t="s">
        <v>55</v>
      </c>
      <c r="D5635" s="28" t="n">
        <v>1</v>
      </c>
      <c r="E5635" s="29" t="n">
        <v>200000</v>
      </c>
      <c r="F5635" s="30" t="n">
        <v>9.25</v>
      </c>
      <c r="G5635" s="31" t="n">
        <f aca="false">IFERROR(F5635/D5635,0)</f>
        <v>9.25</v>
      </c>
    </row>
    <row r="5636" customFormat="false" ht="15" hidden="false" customHeight="false" outlineLevel="0" collapsed="false">
      <c r="A5636" s="28" t="n">
        <v>2026</v>
      </c>
      <c r="B5636" s="28" t="s">
        <v>94</v>
      </c>
      <c r="C5636" s="28" t="s">
        <v>51</v>
      </c>
      <c r="D5636" s="28" t="n">
        <v>5</v>
      </c>
      <c r="E5636" s="29" t="n">
        <v>1085000</v>
      </c>
      <c r="F5636" s="30" t="n">
        <v>57.75</v>
      </c>
      <c r="G5636" s="31" t="n">
        <f aca="false">IFERROR(F5636/D5636,0)</f>
        <v>11.55</v>
      </c>
    </row>
    <row r="5637" customFormat="false" ht="15" hidden="false" customHeight="false" outlineLevel="0" collapsed="false">
      <c r="A5637" s="28" t="n">
        <v>2026</v>
      </c>
      <c r="B5637" s="28" t="s">
        <v>94</v>
      </c>
      <c r="C5637" s="28" t="s">
        <v>45</v>
      </c>
      <c r="D5637" s="28" t="n">
        <v>5</v>
      </c>
      <c r="E5637" s="29" t="n">
        <v>585000</v>
      </c>
      <c r="F5637" s="30" t="n">
        <v>54.25</v>
      </c>
      <c r="G5637" s="31" t="n">
        <f aca="false">IFERROR(F5637/D5637,0)</f>
        <v>10.85</v>
      </c>
    </row>
    <row r="5638" customFormat="false" ht="15" hidden="false" customHeight="false" outlineLevel="0" collapsed="false">
      <c r="A5638" s="28" t="n">
        <v>2026</v>
      </c>
      <c r="B5638" s="28" t="s">
        <v>94</v>
      </c>
      <c r="C5638" s="28" t="s">
        <v>56</v>
      </c>
      <c r="D5638" s="28" t="n">
        <v>2</v>
      </c>
      <c r="E5638" s="29" t="n">
        <v>660000</v>
      </c>
      <c r="F5638" s="30" t="n">
        <v>19</v>
      </c>
      <c r="G5638" s="31" t="n">
        <f aca="false">IFERROR(F5638/D5638,0)</f>
        <v>9.5</v>
      </c>
    </row>
    <row r="5639" customFormat="false" ht="15" hidden="false" customHeight="false" outlineLevel="0" collapsed="false">
      <c r="A5639" s="28" t="n">
        <v>2026</v>
      </c>
      <c r="B5639" s="28" t="s">
        <v>94</v>
      </c>
      <c r="C5639" s="28" t="s">
        <v>44</v>
      </c>
      <c r="D5639" s="28" t="n">
        <v>9</v>
      </c>
      <c r="E5639" s="29" t="n">
        <v>2521800</v>
      </c>
      <c r="F5639" s="30" t="n">
        <v>86.73</v>
      </c>
      <c r="G5639" s="31" t="n">
        <f aca="false">IFERROR(F5639/D5639,0)</f>
        <v>9.63666666666667</v>
      </c>
    </row>
    <row r="5640" customFormat="false" ht="15" hidden="false" customHeight="false" outlineLevel="0" collapsed="false">
      <c r="A5640" s="28" t="n">
        <v>2026</v>
      </c>
      <c r="B5640" s="28" t="s">
        <v>94</v>
      </c>
      <c r="C5640" s="28" t="s">
        <v>57</v>
      </c>
      <c r="D5640" s="28" t="n">
        <v>2</v>
      </c>
      <c r="E5640" s="29" t="n">
        <v>45000</v>
      </c>
      <c r="F5640" s="30" t="n">
        <v>20.75</v>
      </c>
      <c r="G5640" s="31" t="n">
        <f aca="false">IFERROR(F5640/D5640,0)</f>
        <v>10.375</v>
      </c>
    </row>
    <row r="5641" customFormat="false" ht="15" hidden="false" customHeight="false" outlineLevel="0" collapsed="false">
      <c r="A5641" s="28" t="n">
        <v>2026</v>
      </c>
      <c r="B5641" s="28" t="s">
        <v>94</v>
      </c>
      <c r="C5641" s="28" t="s">
        <v>47</v>
      </c>
      <c r="D5641" s="28" t="n">
        <v>1</v>
      </c>
      <c r="E5641" s="29" t="n">
        <v>50000</v>
      </c>
      <c r="F5641" s="30" t="n">
        <v>10.25</v>
      </c>
      <c r="G5641" s="31" t="n">
        <f aca="false">IFERROR(F5641/D5641,0)</f>
        <v>10.25</v>
      </c>
    </row>
    <row r="5642" customFormat="false" ht="15" hidden="false" customHeight="false" outlineLevel="0" collapsed="false">
      <c r="A5642" s="28" t="n">
        <v>2026</v>
      </c>
      <c r="B5642" s="28" t="s">
        <v>94</v>
      </c>
      <c r="C5642" s="28" t="s">
        <v>46</v>
      </c>
      <c r="D5642" s="28" t="n">
        <v>3</v>
      </c>
      <c r="E5642" s="29" t="n">
        <v>435000</v>
      </c>
      <c r="F5642" s="30" t="n">
        <v>31.49</v>
      </c>
      <c r="G5642" s="31" t="n">
        <f aca="false">IFERROR(F5642/D5642,0)</f>
        <v>10.4966666666667</v>
      </c>
    </row>
    <row r="5643" customFormat="false" ht="15" hidden="false" customHeight="false" outlineLevel="0" collapsed="false">
      <c r="A5643" s="28" t="n">
        <v>2026</v>
      </c>
      <c r="B5643" s="28" t="s">
        <v>94</v>
      </c>
      <c r="C5643" s="28" t="s">
        <v>48</v>
      </c>
      <c r="D5643" s="28" t="n">
        <v>4</v>
      </c>
      <c r="E5643" s="29" t="n">
        <v>820000</v>
      </c>
      <c r="F5643" s="30" t="n">
        <v>40.75</v>
      </c>
      <c r="G5643" s="31" t="n">
        <f aca="false">IFERROR(F5643/D5643,0)</f>
        <v>10.1875</v>
      </c>
    </row>
    <row r="5644" customFormat="false" ht="15" hidden="false" customHeight="false" outlineLevel="0" collapsed="false">
      <c r="A5644" s="28" t="n">
        <v>2026</v>
      </c>
      <c r="B5644" s="28" t="s">
        <v>94</v>
      </c>
      <c r="C5644" s="28" t="s">
        <v>53</v>
      </c>
      <c r="D5644" s="28" t="n">
        <v>1</v>
      </c>
      <c r="E5644" s="29" t="n">
        <v>150000</v>
      </c>
      <c r="F5644" s="30" t="n">
        <v>9.5</v>
      </c>
      <c r="G5644" s="31" t="n">
        <f aca="false">IFERROR(F5644/D5644,0)</f>
        <v>9.5</v>
      </c>
    </row>
    <row r="5645" customFormat="false" ht="15" hidden="false" customHeight="false" outlineLevel="0" collapsed="false">
      <c r="A5645" s="28" t="n">
        <v>2026</v>
      </c>
      <c r="B5645" s="28" t="s">
        <v>94</v>
      </c>
      <c r="C5645" s="28" t="s">
        <v>43</v>
      </c>
      <c r="D5645" s="28" t="n">
        <v>9</v>
      </c>
      <c r="E5645" s="29" t="n">
        <v>2077000</v>
      </c>
      <c r="F5645" s="30" t="n">
        <v>84.04</v>
      </c>
      <c r="G5645" s="31" t="n">
        <f aca="false">IFERROR(F5645/D5645,0)</f>
        <v>9.33777777777778</v>
      </c>
    </row>
    <row r="5646" customFormat="false" ht="15" hidden="false" customHeight="false" outlineLevel="0" collapsed="false">
      <c r="A5646" s="28" t="n">
        <v>2026</v>
      </c>
      <c r="B5646" s="28" t="s">
        <v>94</v>
      </c>
      <c r="C5646" s="28" t="s">
        <v>52</v>
      </c>
      <c r="D5646" s="28" t="n">
        <v>2</v>
      </c>
      <c r="E5646" s="29" t="n">
        <v>25000</v>
      </c>
      <c r="F5646" s="30" t="n">
        <v>21.75</v>
      </c>
      <c r="G5646" s="31" t="n">
        <f aca="false">IFERROR(F5646/D5646,0)</f>
        <v>10.875</v>
      </c>
    </row>
    <row r="5647" customFormat="false" ht="15" hidden="false" customHeight="false" outlineLevel="0" collapsed="false">
      <c r="A5647" s="28" t="n">
        <v>2026</v>
      </c>
      <c r="B5647" s="28" t="s">
        <v>94</v>
      </c>
      <c r="C5647" s="28" t="s">
        <v>49</v>
      </c>
      <c r="D5647" s="28" t="n">
        <v>2</v>
      </c>
      <c r="E5647" s="29" t="n">
        <v>1255500</v>
      </c>
      <c r="F5647" s="30" t="n">
        <v>19.5</v>
      </c>
      <c r="G5647" s="31" t="n">
        <f aca="false">IFERROR(F5647/D5647,0)</f>
        <v>9.75</v>
      </c>
    </row>
    <row r="5648" customFormat="false" ht="15" hidden="false" customHeight="false" outlineLevel="0" collapsed="false">
      <c r="A5648" s="28" t="n">
        <v>2026</v>
      </c>
      <c r="B5648" s="28" t="s">
        <v>96</v>
      </c>
      <c r="C5648" s="28" t="s">
        <v>42</v>
      </c>
      <c r="D5648" s="28" t="n">
        <v>26</v>
      </c>
      <c r="E5648" s="29" t="n">
        <v>17883000</v>
      </c>
      <c r="F5648" s="30" t="n">
        <v>220.5</v>
      </c>
      <c r="G5648" s="31" t="n">
        <f aca="false">IFERROR(F5648/D5648,0)</f>
        <v>8.48076923076923</v>
      </c>
    </row>
    <row r="5649" customFormat="false" ht="15" hidden="false" customHeight="false" outlineLevel="0" collapsed="false">
      <c r="A5649" s="28" t="n">
        <v>2026</v>
      </c>
      <c r="B5649" s="28" t="s">
        <v>96</v>
      </c>
      <c r="C5649" s="28" t="s">
        <v>50</v>
      </c>
      <c r="D5649" s="28" t="n">
        <v>17</v>
      </c>
      <c r="E5649" s="29" t="n">
        <v>6382700</v>
      </c>
      <c r="F5649" s="30" t="n">
        <v>152.5</v>
      </c>
      <c r="G5649" s="31" t="n">
        <f aca="false">IFERROR(F5649/D5649,0)</f>
        <v>8.97058823529412</v>
      </c>
    </row>
    <row r="5650" customFormat="false" ht="15" hidden="false" customHeight="false" outlineLevel="0" collapsed="false">
      <c r="A5650" s="28" t="n">
        <v>2026</v>
      </c>
      <c r="B5650" s="28" t="s">
        <v>96</v>
      </c>
      <c r="C5650" s="28" t="s">
        <v>55</v>
      </c>
      <c r="D5650" s="28" t="n">
        <v>1</v>
      </c>
      <c r="E5650" s="29" t="n">
        <v>515000</v>
      </c>
      <c r="F5650" s="30" t="n">
        <v>7.75</v>
      </c>
      <c r="G5650" s="31" t="n">
        <f aca="false">IFERROR(F5650/D5650,0)</f>
        <v>7.75</v>
      </c>
    </row>
    <row r="5651" customFormat="false" ht="15" hidden="false" customHeight="false" outlineLevel="0" collapsed="false">
      <c r="A5651" s="28" t="n">
        <v>2026</v>
      </c>
      <c r="B5651" s="28" t="s">
        <v>96</v>
      </c>
      <c r="C5651" s="28" t="s">
        <v>51</v>
      </c>
      <c r="D5651" s="28" t="n">
        <v>23</v>
      </c>
      <c r="E5651" s="29" t="n">
        <v>11944400</v>
      </c>
      <c r="F5651" s="30" t="n">
        <v>220.39</v>
      </c>
      <c r="G5651" s="31" t="n">
        <f aca="false">IFERROR(F5651/D5651,0)</f>
        <v>9.58217391304348</v>
      </c>
    </row>
    <row r="5652" customFormat="false" ht="15" hidden="false" customHeight="false" outlineLevel="0" collapsed="false">
      <c r="A5652" s="28" t="n">
        <v>2026</v>
      </c>
      <c r="B5652" s="28" t="s">
        <v>96</v>
      </c>
      <c r="C5652" s="28" t="s">
        <v>45</v>
      </c>
      <c r="D5652" s="28" t="n">
        <v>25</v>
      </c>
      <c r="E5652" s="29" t="n">
        <v>7730000</v>
      </c>
      <c r="F5652" s="30" t="n">
        <v>241.12</v>
      </c>
      <c r="G5652" s="31" t="n">
        <f aca="false">IFERROR(F5652/D5652,0)</f>
        <v>9.6448</v>
      </c>
    </row>
    <row r="5653" customFormat="false" ht="15" hidden="false" customHeight="false" outlineLevel="0" collapsed="false">
      <c r="A5653" s="28" t="n">
        <v>2026</v>
      </c>
      <c r="B5653" s="28" t="s">
        <v>96</v>
      </c>
      <c r="C5653" s="28" t="s">
        <v>56</v>
      </c>
      <c r="D5653" s="28" t="n">
        <v>3</v>
      </c>
      <c r="E5653" s="29" t="n">
        <v>1872500</v>
      </c>
      <c r="F5653" s="30" t="n">
        <v>25.65</v>
      </c>
      <c r="G5653" s="31" t="n">
        <f aca="false">IFERROR(F5653/D5653,0)</f>
        <v>8.55</v>
      </c>
    </row>
    <row r="5654" customFormat="false" ht="15" hidden="false" customHeight="false" outlineLevel="0" collapsed="false">
      <c r="A5654" s="28" t="n">
        <v>2026</v>
      </c>
      <c r="B5654" s="28" t="s">
        <v>96</v>
      </c>
      <c r="C5654" s="28" t="s">
        <v>54</v>
      </c>
      <c r="D5654" s="28" t="n">
        <v>3</v>
      </c>
      <c r="E5654" s="29" t="n">
        <v>252300</v>
      </c>
      <c r="F5654" s="30" t="n">
        <v>23.88</v>
      </c>
      <c r="G5654" s="31" t="n">
        <f aca="false">IFERROR(F5654/D5654,0)</f>
        <v>7.96</v>
      </c>
    </row>
    <row r="5655" customFormat="false" ht="15" hidden="false" customHeight="false" outlineLevel="0" collapsed="false">
      <c r="A5655" s="28" t="n">
        <v>2026</v>
      </c>
      <c r="B5655" s="28" t="s">
        <v>96</v>
      </c>
      <c r="C5655" s="28" t="s">
        <v>44</v>
      </c>
      <c r="D5655" s="28" t="n">
        <v>23</v>
      </c>
      <c r="E5655" s="29" t="n">
        <v>14371500</v>
      </c>
      <c r="F5655" s="30" t="n">
        <v>218.7</v>
      </c>
      <c r="G5655" s="31" t="n">
        <f aca="false">IFERROR(F5655/D5655,0)</f>
        <v>9.50869565217391</v>
      </c>
    </row>
    <row r="5656" customFormat="false" ht="15" hidden="false" customHeight="false" outlineLevel="0" collapsed="false">
      <c r="A5656" s="28" t="n">
        <v>2026</v>
      </c>
      <c r="B5656" s="28" t="s">
        <v>96</v>
      </c>
      <c r="C5656" s="28" t="s">
        <v>57</v>
      </c>
      <c r="D5656" s="28" t="n">
        <v>6</v>
      </c>
      <c r="E5656" s="29" t="n">
        <v>2035400</v>
      </c>
      <c r="F5656" s="30" t="n">
        <v>55.09</v>
      </c>
      <c r="G5656" s="31" t="n">
        <f aca="false">IFERROR(F5656/D5656,0)</f>
        <v>9.18166666666667</v>
      </c>
    </row>
    <row r="5657" customFormat="false" ht="15" hidden="false" customHeight="false" outlineLevel="0" collapsed="false">
      <c r="A5657" s="28" t="n">
        <v>2026</v>
      </c>
      <c r="B5657" s="28" t="s">
        <v>96</v>
      </c>
      <c r="C5657" s="28" t="s">
        <v>47</v>
      </c>
      <c r="D5657" s="28" t="n">
        <v>15</v>
      </c>
      <c r="E5657" s="29" t="n">
        <v>9035400</v>
      </c>
      <c r="F5657" s="30" t="n">
        <v>122.155</v>
      </c>
      <c r="G5657" s="31" t="n">
        <f aca="false">IFERROR(F5657/D5657,0)</f>
        <v>8.14366666666667</v>
      </c>
    </row>
    <row r="5658" customFormat="false" ht="15" hidden="false" customHeight="false" outlineLevel="0" collapsed="false">
      <c r="A5658" s="28" t="n">
        <v>2026</v>
      </c>
      <c r="B5658" s="28" t="s">
        <v>96</v>
      </c>
      <c r="C5658" s="28" t="s">
        <v>46</v>
      </c>
      <c r="D5658" s="28" t="n">
        <v>21</v>
      </c>
      <c r="E5658" s="29" t="n">
        <v>10969800</v>
      </c>
      <c r="F5658" s="30" t="n">
        <v>189.77</v>
      </c>
      <c r="G5658" s="31" t="n">
        <f aca="false">IFERROR(F5658/D5658,0)</f>
        <v>9.03666666666667</v>
      </c>
    </row>
    <row r="5659" customFormat="false" ht="15" hidden="false" customHeight="false" outlineLevel="0" collapsed="false">
      <c r="A5659" s="28" t="n">
        <v>2026</v>
      </c>
      <c r="B5659" s="28" t="s">
        <v>96</v>
      </c>
      <c r="C5659" s="28" t="s">
        <v>48</v>
      </c>
      <c r="D5659" s="28" t="n">
        <v>12</v>
      </c>
      <c r="E5659" s="29" t="n">
        <v>8207500</v>
      </c>
      <c r="F5659" s="30" t="n">
        <v>108.794</v>
      </c>
      <c r="G5659" s="31" t="n">
        <f aca="false">IFERROR(F5659/D5659,0)</f>
        <v>9.06616666666667</v>
      </c>
    </row>
    <row r="5660" customFormat="false" ht="15" hidden="false" customHeight="false" outlineLevel="0" collapsed="false">
      <c r="A5660" s="28" t="n">
        <v>2026</v>
      </c>
      <c r="B5660" s="28" t="s">
        <v>96</v>
      </c>
      <c r="C5660" s="28" t="s">
        <v>61</v>
      </c>
      <c r="D5660" s="28" t="n">
        <v>1</v>
      </c>
      <c r="E5660" s="29" t="n">
        <v>45000</v>
      </c>
      <c r="F5660" s="30" t="n">
        <v>13.25</v>
      </c>
      <c r="G5660" s="31" t="n">
        <f aca="false">IFERROR(F5660/D5660,0)</f>
        <v>13.25</v>
      </c>
    </row>
    <row r="5661" customFormat="false" ht="15" hidden="false" customHeight="false" outlineLevel="0" collapsed="false">
      <c r="A5661" s="28" t="n">
        <v>2026</v>
      </c>
      <c r="B5661" s="28" t="s">
        <v>96</v>
      </c>
      <c r="C5661" s="28" t="s">
        <v>53</v>
      </c>
      <c r="D5661" s="28" t="n">
        <v>1</v>
      </c>
      <c r="E5661" s="29" t="n">
        <v>250000</v>
      </c>
      <c r="F5661" s="30" t="n">
        <v>7</v>
      </c>
      <c r="G5661" s="31" t="n">
        <f aca="false">IFERROR(F5661/D5661,0)</f>
        <v>7</v>
      </c>
    </row>
    <row r="5662" customFormat="false" ht="15" hidden="false" customHeight="false" outlineLevel="0" collapsed="false">
      <c r="A5662" s="28" t="n">
        <v>2026</v>
      </c>
      <c r="B5662" s="28" t="s">
        <v>96</v>
      </c>
      <c r="C5662" s="28" t="s">
        <v>43</v>
      </c>
      <c r="D5662" s="28" t="n">
        <v>12</v>
      </c>
      <c r="E5662" s="29" t="n">
        <v>9283300</v>
      </c>
      <c r="F5662" s="30" t="n">
        <v>112.99</v>
      </c>
      <c r="G5662" s="31" t="n">
        <f aca="false">IFERROR(F5662/D5662,0)</f>
        <v>9.41583333333333</v>
      </c>
    </row>
    <row r="5663" customFormat="false" ht="15" hidden="false" customHeight="false" outlineLevel="0" collapsed="false">
      <c r="A5663" s="28" t="n">
        <v>2026</v>
      </c>
      <c r="B5663" s="28" t="s">
        <v>96</v>
      </c>
      <c r="C5663" s="28" t="s">
        <v>52</v>
      </c>
      <c r="D5663" s="28" t="n">
        <v>7</v>
      </c>
      <c r="E5663" s="29" t="n">
        <v>7949300</v>
      </c>
      <c r="F5663" s="30" t="n">
        <v>63.75</v>
      </c>
      <c r="G5663" s="31" t="n">
        <f aca="false">IFERROR(F5663/D5663,0)</f>
        <v>9.10714285714286</v>
      </c>
    </row>
    <row r="5664" customFormat="false" ht="15" hidden="false" customHeight="false" outlineLevel="0" collapsed="false">
      <c r="A5664" s="28" t="n">
        <v>2026</v>
      </c>
      <c r="B5664" s="28" t="s">
        <v>96</v>
      </c>
      <c r="C5664" s="28" t="s">
        <v>49</v>
      </c>
      <c r="D5664" s="28" t="n">
        <v>8</v>
      </c>
      <c r="E5664" s="29" t="n">
        <v>2907100</v>
      </c>
      <c r="F5664" s="30" t="n">
        <v>76.72</v>
      </c>
      <c r="G5664" s="31" t="n">
        <f aca="false">IFERROR(F5664/D5664,0)</f>
        <v>9.59</v>
      </c>
    </row>
    <row r="5665" customFormat="false" ht="15" hidden="false" customHeight="false" outlineLevel="0" collapsed="false">
      <c r="A5665" s="28" t="n">
        <v>2026</v>
      </c>
      <c r="B5665" s="28" t="s">
        <v>97</v>
      </c>
      <c r="C5665" s="28" t="s">
        <v>42</v>
      </c>
      <c r="D5665" s="28" t="n">
        <v>34</v>
      </c>
      <c r="E5665" s="29" t="n">
        <v>11771600</v>
      </c>
      <c r="F5665" s="30" t="n">
        <v>335.77</v>
      </c>
      <c r="G5665" s="31" t="n">
        <f aca="false">IFERROR(F5665/D5665,0)</f>
        <v>9.87558823529412</v>
      </c>
    </row>
    <row r="5666" customFormat="false" ht="15" hidden="false" customHeight="false" outlineLevel="0" collapsed="false">
      <c r="A5666" s="28" t="n">
        <v>2026</v>
      </c>
      <c r="B5666" s="28" t="s">
        <v>97</v>
      </c>
      <c r="C5666" s="28" t="s">
        <v>50</v>
      </c>
      <c r="D5666" s="28" t="n">
        <v>35</v>
      </c>
      <c r="E5666" s="29" t="n">
        <v>7608800</v>
      </c>
      <c r="F5666" s="30" t="n">
        <v>353.705</v>
      </c>
      <c r="G5666" s="31" t="n">
        <f aca="false">IFERROR(F5666/D5666,0)</f>
        <v>10.1058571428571</v>
      </c>
    </row>
    <row r="5667" customFormat="false" ht="15" hidden="false" customHeight="false" outlineLevel="0" collapsed="false">
      <c r="A5667" s="28" t="n">
        <v>2026</v>
      </c>
      <c r="B5667" s="28" t="s">
        <v>97</v>
      </c>
      <c r="C5667" s="28" t="s">
        <v>55</v>
      </c>
      <c r="D5667" s="28" t="n">
        <v>9</v>
      </c>
      <c r="E5667" s="29" t="n">
        <v>5571200</v>
      </c>
      <c r="F5667" s="30" t="n">
        <v>92.29</v>
      </c>
      <c r="G5667" s="31" t="n">
        <f aca="false">IFERROR(F5667/D5667,0)</f>
        <v>10.2544444444444</v>
      </c>
    </row>
    <row r="5668" customFormat="false" ht="15" hidden="false" customHeight="false" outlineLevel="0" collapsed="false">
      <c r="A5668" s="28" t="n">
        <v>2026</v>
      </c>
      <c r="B5668" s="28" t="s">
        <v>97</v>
      </c>
      <c r="C5668" s="28" t="s">
        <v>51</v>
      </c>
      <c r="D5668" s="28" t="n">
        <v>26</v>
      </c>
      <c r="E5668" s="29" t="n">
        <v>13689500</v>
      </c>
      <c r="F5668" s="30" t="n">
        <v>239.95</v>
      </c>
      <c r="G5668" s="31" t="n">
        <f aca="false">IFERROR(F5668/D5668,0)</f>
        <v>9.22884615384615</v>
      </c>
    </row>
    <row r="5669" customFormat="false" ht="15" hidden="false" customHeight="false" outlineLevel="0" collapsed="false">
      <c r="A5669" s="28" t="n">
        <v>2026</v>
      </c>
      <c r="B5669" s="28" t="s">
        <v>97</v>
      </c>
      <c r="C5669" s="28" t="s">
        <v>45</v>
      </c>
      <c r="D5669" s="28" t="n">
        <v>99</v>
      </c>
      <c r="E5669" s="29" t="n">
        <v>33796200</v>
      </c>
      <c r="F5669" s="30" t="n">
        <v>964.83</v>
      </c>
      <c r="G5669" s="31" t="n">
        <f aca="false">IFERROR(F5669/D5669,0)</f>
        <v>9.74575757575758</v>
      </c>
    </row>
    <row r="5670" customFormat="false" ht="15" hidden="false" customHeight="false" outlineLevel="0" collapsed="false">
      <c r="A5670" s="28" t="n">
        <v>2026</v>
      </c>
      <c r="B5670" s="28" t="s">
        <v>97</v>
      </c>
      <c r="C5670" s="28" t="s">
        <v>56</v>
      </c>
      <c r="D5670" s="28" t="n">
        <v>7</v>
      </c>
      <c r="E5670" s="29" t="n">
        <v>1246000</v>
      </c>
      <c r="F5670" s="30" t="n">
        <v>72.25</v>
      </c>
      <c r="G5670" s="31" t="n">
        <f aca="false">IFERROR(F5670/D5670,0)</f>
        <v>10.3214285714286</v>
      </c>
    </row>
    <row r="5671" customFormat="false" ht="15" hidden="false" customHeight="false" outlineLevel="0" collapsed="false">
      <c r="A5671" s="28" t="n">
        <v>2026</v>
      </c>
      <c r="B5671" s="28" t="s">
        <v>97</v>
      </c>
      <c r="C5671" s="28" t="s">
        <v>54</v>
      </c>
      <c r="D5671" s="28" t="n">
        <v>8</v>
      </c>
      <c r="E5671" s="29" t="n">
        <v>1419500</v>
      </c>
      <c r="F5671" s="30" t="n">
        <v>76.42</v>
      </c>
      <c r="G5671" s="31" t="n">
        <f aca="false">IFERROR(F5671/D5671,0)</f>
        <v>9.5525</v>
      </c>
    </row>
    <row r="5672" customFormat="false" ht="15" hidden="false" customHeight="false" outlineLevel="0" collapsed="false">
      <c r="A5672" s="28" t="n">
        <v>2026</v>
      </c>
      <c r="B5672" s="28" t="s">
        <v>97</v>
      </c>
      <c r="C5672" s="28" t="s">
        <v>44</v>
      </c>
      <c r="D5672" s="28" t="n">
        <v>52</v>
      </c>
      <c r="E5672" s="29" t="n">
        <v>23417200</v>
      </c>
      <c r="F5672" s="30" t="n">
        <v>473.09</v>
      </c>
      <c r="G5672" s="31" t="n">
        <f aca="false">IFERROR(F5672/D5672,0)</f>
        <v>9.09788461538462</v>
      </c>
    </row>
    <row r="5673" customFormat="false" ht="15" hidden="false" customHeight="false" outlineLevel="0" collapsed="false">
      <c r="A5673" s="28" t="n">
        <v>2026</v>
      </c>
      <c r="B5673" s="28" t="s">
        <v>97</v>
      </c>
      <c r="C5673" s="28" t="s">
        <v>57</v>
      </c>
      <c r="D5673" s="28" t="n">
        <v>3</v>
      </c>
      <c r="E5673" s="29" t="n">
        <v>5741000</v>
      </c>
      <c r="F5673" s="30" t="n">
        <v>27.75</v>
      </c>
      <c r="G5673" s="31" t="n">
        <f aca="false">IFERROR(F5673/D5673,0)</f>
        <v>9.25</v>
      </c>
    </row>
    <row r="5674" customFormat="false" ht="15" hidden="false" customHeight="false" outlineLevel="0" collapsed="false">
      <c r="A5674" s="28" t="n">
        <v>2026</v>
      </c>
      <c r="B5674" s="28" t="s">
        <v>97</v>
      </c>
      <c r="C5674" s="28" t="s">
        <v>59</v>
      </c>
      <c r="D5674" s="28" t="n">
        <v>1</v>
      </c>
      <c r="E5674" s="29" t="n">
        <v>4000000</v>
      </c>
      <c r="F5674" s="30" t="n">
        <v>9</v>
      </c>
      <c r="G5674" s="31" t="n">
        <f aca="false">IFERROR(F5674/D5674,0)</f>
        <v>9</v>
      </c>
    </row>
    <row r="5675" customFormat="false" ht="15" hidden="false" customHeight="false" outlineLevel="0" collapsed="false">
      <c r="A5675" s="28" t="n">
        <v>2026</v>
      </c>
      <c r="B5675" s="28" t="s">
        <v>97</v>
      </c>
      <c r="C5675" s="28" t="s">
        <v>47</v>
      </c>
      <c r="D5675" s="28" t="n">
        <v>22</v>
      </c>
      <c r="E5675" s="29" t="n">
        <v>7589600</v>
      </c>
      <c r="F5675" s="30" t="n">
        <v>195.93</v>
      </c>
      <c r="G5675" s="31" t="n">
        <f aca="false">IFERROR(F5675/D5675,0)</f>
        <v>8.90590909090909</v>
      </c>
    </row>
    <row r="5676" customFormat="false" ht="15" hidden="false" customHeight="false" outlineLevel="0" collapsed="false">
      <c r="A5676" s="28" t="n">
        <v>2026</v>
      </c>
      <c r="B5676" s="28" t="s">
        <v>97</v>
      </c>
      <c r="C5676" s="28" t="s">
        <v>58</v>
      </c>
      <c r="D5676" s="28" t="n">
        <v>2</v>
      </c>
      <c r="E5676" s="29" t="n">
        <v>95000</v>
      </c>
      <c r="F5676" s="30" t="n">
        <v>24.74</v>
      </c>
      <c r="G5676" s="31" t="n">
        <f aca="false">IFERROR(F5676/D5676,0)</f>
        <v>12.37</v>
      </c>
    </row>
    <row r="5677" customFormat="false" ht="15" hidden="false" customHeight="false" outlineLevel="0" collapsed="false">
      <c r="A5677" s="28" t="n">
        <v>2026</v>
      </c>
      <c r="B5677" s="28" t="s">
        <v>97</v>
      </c>
      <c r="C5677" s="28" t="s">
        <v>46</v>
      </c>
      <c r="D5677" s="28" t="n">
        <v>37</v>
      </c>
      <c r="E5677" s="29" t="n">
        <v>7983800</v>
      </c>
      <c r="F5677" s="30" t="n">
        <v>377.495</v>
      </c>
      <c r="G5677" s="31" t="n">
        <f aca="false">IFERROR(F5677/D5677,0)</f>
        <v>10.2025675675676</v>
      </c>
    </row>
    <row r="5678" customFormat="false" ht="15" hidden="false" customHeight="false" outlineLevel="0" collapsed="false">
      <c r="A5678" s="28" t="n">
        <v>2026</v>
      </c>
      <c r="B5678" s="28" t="s">
        <v>97</v>
      </c>
      <c r="C5678" s="28" t="s">
        <v>48</v>
      </c>
      <c r="D5678" s="28" t="n">
        <v>30</v>
      </c>
      <c r="E5678" s="29" t="n">
        <v>11198100</v>
      </c>
      <c r="F5678" s="30" t="n">
        <v>279.87</v>
      </c>
      <c r="G5678" s="31" t="n">
        <f aca="false">IFERROR(F5678/D5678,0)</f>
        <v>9.329</v>
      </c>
    </row>
    <row r="5679" customFormat="false" ht="15" hidden="false" customHeight="false" outlineLevel="0" collapsed="false">
      <c r="A5679" s="28" t="n">
        <v>2026</v>
      </c>
      <c r="B5679" s="28" t="s">
        <v>97</v>
      </c>
      <c r="C5679" s="28" t="s">
        <v>53</v>
      </c>
      <c r="D5679" s="28" t="n">
        <v>5</v>
      </c>
      <c r="E5679" s="29" t="n">
        <v>5278500</v>
      </c>
      <c r="F5679" s="30" t="n">
        <v>48.49</v>
      </c>
      <c r="G5679" s="31" t="n">
        <f aca="false">IFERROR(F5679/D5679,0)</f>
        <v>9.698</v>
      </c>
    </row>
    <row r="5680" customFormat="false" ht="15" hidden="false" customHeight="false" outlineLevel="0" collapsed="false">
      <c r="A5680" s="28" t="n">
        <v>2026</v>
      </c>
      <c r="B5680" s="28" t="s">
        <v>97</v>
      </c>
      <c r="C5680" s="28" t="s">
        <v>43</v>
      </c>
      <c r="D5680" s="28" t="n">
        <v>37</v>
      </c>
      <c r="E5680" s="29" t="n">
        <v>21902500</v>
      </c>
      <c r="F5680" s="30" t="n">
        <v>358.105</v>
      </c>
      <c r="G5680" s="31" t="n">
        <f aca="false">IFERROR(F5680/D5680,0)</f>
        <v>9.67851351351351</v>
      </c>
    </row>
    <row r="5681" customFormat="false" ht="15" hidden="false" customHeight="false" outlineLevel="0" collapsed="false">
      <c r="A5681" s="28" t="n">
        <v>2026</v>
      </c>
      <c r="B5681" s="28" t="s">
        <v>97</v>
      </c>
      <c r="C5681" s="28" t="s">
        <v>52</v>
      </c>
      <c r="D5681" s="28" t="n">
        <v>12</v>
      </c>
      <c r="E5681" s="29" t="n">
        <v>1911300</v>
      </c>
      <c r="F5681" s="30" t="n">
        <v>118.6</v>
      </c>
      <c r="G5681" s="31" t="n">
        <f aca="false">IFERROR(F5681/D5681,0)</f>
        <v>9.88333333333333</v>
      </c>
    </row>
    <row r="5682" customFormat="false" ht="15" hidden="false" customHeight="false" outlineLevel="0" collapsed="false">
      <c r="A5682" s="28" t="n">
        <v>2026</v>
      </c>
      <c r="B5682" s="28" t="s">
        <v>97</v>
      </c>
      <c r="C5682" s="28" t="s">
        <v>49</v>
      </c>
      <c r="D5682" s="28" t="n">
        <v>8</v>
      </c>
      <c r="E5682" s="29" t="n">
        <v>2577500</v>
      </c>
      <c r="F5682" s="30" t="n">
        <v>76.95</v>
      </c>
      <c r="G5682" s="31" t="n">
        <f aca="false">IFERROR(F5682/D5682,0)</f>
        <v>9.61875</v>
      </c>
    </row>
    <row r="5683" customFormat="false" ht="15" hidden="false" customHeight="false" outlineLevel="0" collapsed="false">
      <c r="A5683" s="28" t="n">
        <v>2026</v>
      </c>
      <c r="B5683" s="28" t="s">
        <v>86</v>
      </c>
      <c r="C5683" s="28" t="s">
        <v>42</v>
      </c>
      <c r="D5683" s="28" t="n">
        <v>153</v>
      </c>
      <c r="E5683" s="29" t="n">
        <v>129963300</v>
      </c>
      <c r="F5683" s="30" t="n">
        <v>1388.97</v>
      </c>
      <c r="G5683" s="31" t="n">
        <f aca="false">IFERROR(F5683/D5683,0)</f>
        <v>9.07823529411765</v>
      </c>
    </row>
    <row r="5684" customFormat="false" ht="15" hidden="false" customHeight="false" outlineLevel="0" collapsed="false">
      <c r="A5684" s="28" t="n">
        <v>2026</v>
      </c>
      <c r="B5684" s="28" t="s">
        <v>86</v>
      </c>
      <c r="C5684" s="28" t="s">
        <v>50</v>
      </c>
      <c r="D5684" s="28" t="n">
        <v>71</v>
      </c>
      <c r="E5684" s="29" t="n">
        <v>31262800</v>
      </c>
      <c r="F5684" s="30" t="n">
        <v>661.97</v>
      </c>
      <c r="G5684" s="31" t="n">
        <f aca="false">IFERROR(F5684/D5684,0)</f>
        <v>9.32352112676056</v>
      </c>
    </row>
    <row r="5685" customFormat="false" ht="15" hidden="false" customHeight="false" outlineLevel="0" collapsed="false">
      <c r="A5685" s="28" t="n">
        <v>2026</v>
      </c>
      <c r="B5685" s="28" t="s">
        <v>86</v>
      </c>
      <c r="C5685" s="28" t="s">
        <v>55</v>
      </c>
      <c r="D5685" s="28" t="n">
        <v>2</v>
      </c>
      <c r="E5685" s="29" t="n">
        <v>113000</v>
      </c>
      <c r="F5685" s="30" t="n">
        <v>23.25</v>
      </c>
      <c r="G5685" s="31" t="n">
        <f aca="false">IFERROR(F5685/D5685,0)</f>
        <v>11.625</v>
      </c>
    </row>
    <row r="5686" customFormat="false" ht="15" hidden="false" customHeight="false" outlineLevel="0" collapsed="false">
      <c r="A5686" s="28" t="n">
        <v>2026</v>
      </c>
      <c r="B5686" s="28" t="s">
        <v>86</v>
      </c>
      <c r="C5686" s="28" t="s">
        <v>51</v>
      </c>
      <c r="D5686" s="28" t="n">
        <v>50</v>
      </c>
      <c r="E5686" s="29" t="n">
        <v>38074100</v>
      </c>
      <c r="F5686" s="30" t="n">
        <v>450.2</v>
      </c>
      <c r="G5686" s="31" t="n">
        <f aca="false">IFERROR(F5686/D5686,0)</f>
        <v>9.004</v>
      </c>
    </row>
    <row r="5687" customFormat="false" ht="15" hidden="false" customHeight="false" outlineLevel="0" collapsed="false">
      <c r="A5687" s="28" t="n">
        <v>2026</v>
      </c>
      <c r="B5687" s="28" t="s">
        <v>86</v>
      </c>
      <c r="C5687" s="28" t="s">
        <v>45</v>
      </c>
      <c r="D5687" s="28" t="n">
        <v>130</v>
      </c>
      <c r="E5687" s="29" t="n">
        <v>38039900</v>
      </c>
      <c r="F5687" s="30" t="n">
        <v>1231.29</v>
      </c>
      <c r="G5687" s="31" t="n">
        <f aca="false">IFERROR(F5687/D5687,0)</f>
        <v>9.47146153846154</v>
      </c>
    </row>
    <row r="5688" customFormat="false" ht="15" hidden="false" customHeight="false" outlineLevel="0" collapsed="false">
      <c r="A5688" s="28" t="n">
        <v>2026</v>
      </c>
      <c r="B5688" s="28" t="s">
        <v>86</v>
      </c>
      <c r="C5688" s="28" t="s">
        <v>56</v>
      </c>
      <c r="D5688" s="28" t="n">
        <v>15</v>
      </c>
      <c r="E5688" s="29" t="n">
        <v>12113400</v>
      </c>
      <c r="F5688" s="30" t="n">
        <v>130.26</v>
      </c>
      <c r="G5688" s="31" t="n">
        <f aca="false">IFERROR(F5688/D5688,0)</f>
        <v>8.684</v>
      </c>
    </row>
    <row r="5689" customFormat="false" ht="15" hidden="false" customHeight="false" outlineLevel="0" collapsed="false">
      <c r="A5689" s="28" t="n">
        <v>2026</v>
      </c>
      <c r="B5689" s="28" t="s">
        <v>86</v>
      </c>
      <c r="C5689" s="28" t="s">
        <v>54</v>
      </c>
      <c r="D5689" s="28" t="n">
        <v>21</v>
      </c>
      <c r="E5689" s="29" t="n">
        <v>14669000</v>
      </c>
      <c r="F5689" s="30" t="n">
        <v>197.9</v>
      </c>
      <c r="G5689" s="31" t="n">
        <f aca="false">IFERROR(F5689/D5689,0)</f>
        <v>9.42380952380952</v>
      </c>
    </row>
    <row r="5690" customFormat="false" ht="15" hidden="false" customHeight="false" outlineLevel="0" collapsed="false">
      <c r="A5690" s="28" t="n">
        <v>2026</v>
      </c>
      <c r="B5690" s="28" t="s">
        <v>86</v>
      </c>
      <c r="C5690" s="28" t="s">
        <v>44</v>
      </c>
      <c r="D5690" s="28" t="n">
        <v>117</v>
      </c>
      <c r="E5690" s="29" t="n">
        <v>63014100</v>
      </c>
      <c r="F5690" s="30" t="n">
        <v>1104</v>
      </c>
      <c r="G5690" s="31" t="n">
        <f aca="false">IFERROR(F5690/D5690,0)</f>
        <v>9.43589743589744</v>
      </c>
    </row>
    <row r="5691" customFormat="false" ht="15" hidden="false" customHeight="false" outlineLevel="0" collapsed="false">
      <c r="A5691" s="28" t="n">
        <v>2026</v>
      </c>
      <c r="B5691" s="28" t="s">
        <v>86</v>
      </c>
      <c r="C5691" s="28" t="s">
        <v>57</v>
      </c>
      <c r="D5691" s="28" t="n">
        <v>9</v>
      </c>
      <c r="E5691" s="29" t="n">
        <v>1029700</v>
      </c>
      <c r="F5691" s="30" t="n">
        <v>88.95</v>
      </c>
      <c r="G5691" s="31" t="n">
        <f aca="false">IFERROR(F5691/D5691,0)</f>
        <v>9.88333333333333</v>
      </c>
    </row>
    <row r="5692" customFormat="false" ht="15" hidden="false" customHeight="false" outlineLevel="0" collapsed="false">
      <c r="A5692" s="28" t="n">
        <v>2026</v>
      </c>
      <c r="B5692" s="28" t="s">
        <v>86</v>
      </c>
      <c r="C5692" s="28" t="s">
        <v>59</v>
      </c>
      <c r="D5692" s="28" t="n">
        <v>1</v>
      </c>
      <c r="E5692" s="29" t="n">
        <v>718000</v>
      </c>
      <c r="F5692" s="30" t="n">
        <v>9.75</v>
      </c>
      <c r="G5692" s="31" t="n">
        <f aca="false">IFERROR(F5692/D5692,0)</f>
        <v>9.75</v>
      </c>
    </row>
    <row r="5693" customFormat="false" ht="15" hidden="false" customHeight="false" outlineLevel="0" collapsed="false">
      <c r="A5693" s="28" t="n">
        <v>2026</v>
      </c>
      <c r="B5693" s="28" t="s">
        <v>86</v>
      </c>
      <c r="C5693" s="28" t="s">
        <v>47</v>
      </c>
      <c r="D5693" s="28" t="n">
        <v>70</v>
      </c>
      <c r="E5693" s="29" t="n">
        <v>59637300</v>
      </c>
      <c r="F5693" s="30" t="n">
        <v>612.564</v>
      </c>
      <c r="G5693" s="31" t="n">
        <f aca="false">IFERROR(F5693/D5693,0)</f>
        <v>8.75091428571429</v>
      </c>
    </row>
    <row r="5694" customFormat="false" ht="15" hidden="false" customHeight="false" outlineLevel="0" collapsed="false">
      <c r="A5694" s="28" t="n">
        <v>2026</v>
      </c>
      <c r="B5694" s="28" t="s">
        <v>86</v>
      </c>
      <c r="C5694" s="28" t="s">
        <v>46</v>
      </c>
      <c r="D5694" s="28" t="n">
        <v>149</v>
      </c>
      <c r="E5694" s="29" t="n">
        <v>74465100</v>
      </c>
      <c r="F5694" s="30" t="n">
        <v>1372.67</v>
      </c>
      <c r="G5694" s="31" t="n">
        <f aca="false">IFERROR(F5694/D5694,0)</f>
        <v>9.21255033557047</v>
      </c>
    </row>
    <row r="5695" customFormat="false" ht="15" hidden="false" customHeight="false" outlineLevel="0" collapsed="false">
      <c r="A5695" s="28" t="n">
        <v>2026</v>
      </c>
      <c r="B5695" s="28" t="s">
        <v>86</v>
      </c>
      <c r="C5695" s="28" t="s">
        <v>48</v>
      </c>
      <c r="D5695" s="28" t="n">
        <v>102</v>
      </c>
      <c r="E5695" s="29" t="n">
        <v>59366600</v>
      </c>
      <c r="F5695" s="30" t="n">
        <v>982.16</v>
      </c>
      <c r="G5695" s="31" t="n">
        <f aca="false">IFERROR(F5695/D5695,0)</f>
        <v>9.62901960784314</v>
      </c>
    </row>
    <row r="5696" customFormat="false" ht="15" hidden="false" customHeight="false" outlineLevel="0" collapsed="false">
      <c r="A5696" s="28" t="n">
        <v>2026</v>
      </c>
      <c r="B5696" s="28" t="s">
        <v>86</v>
      </c>
      <c r="C5696" s="28" t="s">
        <v>53</v>
      </c>
      <c r="D5696" s="28" t="n">
        <v>14</v>
      </c>
      <c r="E5696" s="29" t="n">
        <v>5855400</v>
      </c>
      <c r="F5696" s="30" t="n">
        <v>131.9</v>
      </c>
      <c r="G5696" s="31" t="n">
        <f aca="false">IFERROR(F5696/D5696,0)</f>
        <v>9.42142857142857</v>
      </c>
    </row>
    <row r="5697" customFormat="false" ht="15" hidden="false" customHeight="false" outlineLevel="0" collapsed="false">
      <c r="A5697" s="28" t="n">
        <v>2026</v>
      </c>
      <c r="B5697" s="28" t="s">
        <v>86</v>
      </c>
      <c r="C5697" s="28" t="s">
        <v>43</v>
      </c>
      <c r="D5697" s="28" t="n">
        <v>108</v>
      </c>
      <c r="E5697" s="29" t="n">
        <v>58992100</v>
      </c>
      <c r="F5697" s="30" t="n">
        <v>981.015</v>
      </c>
      <c r="G5697" s="31" t="n">
        <f aca="false">IFERROR(F5697/D5697,0)</f>
        <v>9.08347222222222</v>
      </c>
    </row>
    <row r="5698" customFormat="false" ht="15" hidden="false" customHeight="false" outlineLevel="0" collapsed="false">
      <c r="A5698" s="28" t="n">
        <v>2026</v>
      </c>
      <c r="B5698" s="28" t="s">
        <v>86</v>
      </c>
      <c r="C5698" s="28" t="s">
        <v>52</v>
      </c>
      <c r="D5698" s="28" t="n">
        <v>68</v>
      </c>
      <c r="E5698" s="29" t="n">
        <v>28750000</v>
      </c>
      <c r="F5698" s="30" t="n">
        <v>671.795</v>
      </c>
      <c r="G5698" s="31" t="n">
        <f aca="false">IFERROR(F5698/D5698,0)</f>
        <v>9.87933823529412</v>
      </c>
    </row>
    <row r="5699" customFormat="false" ht="15" hidden="false" customHeight="false" outlineLevel="0" collapsed="false">
      <c r="A5699" s="28" t="n">
        <v>2026</v>
      </c>
      <c r="B5699" s="28" t="s">
        <v>86</v>
      </c>
      <c r="C5699" s="28" t="s">
        <v>60</v>
      </c>
      <c r="D5699" s="28" t="n">
        <v>1</v>
      </c>
      <c r="E5699" s="29" t="n">
        <v>350000</v>
      </c>
      <c r="F5699" s="30" t="n">
        <v>9.5</v>
      </c>
      <c r="G5699" s="31" t="n">
        <f aca="false">IFERROR(F5699/D5699,0)</f>
        <v>9.5</v>
      </c>
    </row>
    <row r="5700" customFormat="false" ht="15" hidden="false" customHeight="false" outlineLevel="0" collapsed="false">
      <c r="A5700" s="28" t="n">
        <v>2026</v>
      </c>
      <c r="B5700" s="28" t="s">
        <v>86</v>
      </c>
      <c r="C5700" s="28" t="s">
        <v>49</v>
      </c>
      <c r="D5700" s="28" t="n">
        <v>39</v>
      </c>
      <c r="E5700" s="29" t="n">
        <v>37306900</v>
      </c>
      <c r="F5700" s="30" t="n">
        <v>355.82</v>
      </c>
      <c r="G5700" s="31" t="n">
        <f aca="false">IFERROR(F5700/D5700,0)</f>
        <v>9.12358974358974</v>
      </c>
    </row>
    <row r="5701" customFormat="false" ht="15" hidden="false" customHeight="false" outlineLevel="0" collapsed="false">
      <c r="A5701" s="28" t="n">
        <v>2026</v>
      </c>
      <c r="B5701" s="28" t="s">
        <v>100</v>
      </c>
      <c r="C5701" s="28" t="s">
        <v>42</v>
      </c>
      <c r="D5701" s="28" t="n">
        <v>80</v>
      </c>
      <c r="E5701" s="29" t="n">
        <v>75270300</v>
      </c>
      <c r="F5701" s="30" t="n">
        <v>715.36</v>
      </c>
      <c r="G5701" s="31" t="n">
        <f aca="false">IFERROR(F5701/D5701,0)</f>
        <v>8.942</v>
      </c>
    </row>
    <row r="5702" customFormat="false" ht="15" hidden="false" customHeight="false" outlineLevel="0" collapsed="false">
      <c r="A5702" s="28" t="n">
        <v>2026</v>
      </c>
      <c r="B5702" s="28" t="s">
        <v>100</v>
      </c>
      <c r="C5702" s="28" t="s">
        <v>50</v>
      </c>
      <c r="D5702" s="28" t="n">
        <v>49</v>
      </c>
      <c r="E5702" s="29" t="n">
        <v>19897100</v>
      </c>
      <c r="F5702" s="30" t="n">
        <v>444.72</v>
      </c>
      <c r="G5702" s="31" t="n">
        <f aca="false">IFERROR(F5702/D5702,0)</f>
        <v>9.07591836734694</v>
      </c>
    </row>
    <row r="5703" customFormat="false" ht="15" hidden="false" customHeight="false" outlineLevel="0" collapsed="false">
      <c r="A5703" s="28" t="n">
        <v>2026</v>
      </c>
      <c r="B5703" s="28" t="s">
        <v>100</v>
      </c>
      <c r="C5703" s="28" t="s">
        <v>55</v>
      </c>
      <c r="D5703" s="28" t="n">
        <v>2</v>
      </c>
      <c r="E5703" s="29" t="n">
        <v>328200</v>
      </c>
      <c r="F5703" s="30" t="n">
        <v>15.12</v>
      </c>
      <c r="G5703" s="31" t="n">
        <f aca="false">IFERROR(F5703/D5703,0)</f>
        <v>7.56</v>
      </c>
    </row>
    <row r="5704" customFormat="false" ht="15" hidden="false" customHeight="false" outlineLevel="0" collapsed="false">
      <c r="A5704" s="28" t="n">
        <v>2026</v>
      </c>
      <c r="B5704" s="28" t="s">
        <v>100</v>
      </c>
      <c r="C5704" s="28" t="s">
        <v>51</v>
      </c>
      <c r="D5704" s="28" t="n">
        <v>20</v>
      </c>
      <c r="E5704" s="29" t="n">
        <v>12953300</v>
      </c>
      <c r="F5704" s="30" t="n">
        <v>187.25</v>
      </c>
      <c r="G5704" s="31" t="n">
        <f aca="false">IFERROR(F5704/D5704,0)</f>
        <v>9.3625</v>
      </c>
    </row>
    <row r="5705" customFormat="false" ht="15" hidden="false" customHeight="false" outlineLevel="0" collapsed="false">
      <c r="A5705" s="28" t="n">
        <v>2026</v>
      </c>
      <c r="B5705" s="28" t="s">
        <v>100</v>
      </c>
      <c r="C5705" s="28" t="s">
        <v>45</v>
      </c>
      <c r="D5705" s="28" t="n">
        <v>97</v>
      </c>
      <c r="E5705" s="29" t="n">
        <v>39412100</v>
      </c>
      <c r="F5705" s="30" t="n">
        <v>919.03</v>
      </c>
      <c r="G5705" s="31" t="n">
        <f aca="false">IFERROR(F5705/D5705,0)</f>
        <v>9.47453608247423</v>
      </c>
    </row>
    <row r="5706" customFormat="false" ht="15" hidden="false" customHeight="false" outlineLevel="0" collapsed="false">
      <c r="A5706" s="28" t="n">
        <v>2026</v>
      </c>
      <c r="B5706" s="28" t="s">
        <v>100</v>
      </c>
      <c r="C5706" s="28" t="s">
        <v>56</v>
      </c>
      <c r="D5706" s="28" t="n">
        <v>4</v>
      </c>
      <c r="E5706" s="29" t="n">
        <v>1986500</v>
      </c>
      <c r="F5706" s="30" t="n">
        <v>40.4</v>
      </c>
      <c r="G5706" s="31" t="n">
        <f aca="false">IFERROR(F5706/D5706,0)</f>
        <v>10.1</v>
      </c>
    </row>
    <row r="5707" customFormat="false" ht="15" hidden="false" customHeight="false" outlineLevel="0" collapsed="false">
      <c r="A5707" s="28" t="n">
        <v>2026</v>
      </c>
      <c r="B5707" s="28" t="s">
        <v>100</v>
      </c>
      <c r="C5707" s="28" t="s">
        <v>54</v>
      </c>
      <c r="D5707" s="28" t="n">
        <v>11</v>
      </c>
      <c r="E5707" s="29" t="n">
        <v>3280000</v>
      </c>
      <c r="F5707" s="30" t="n">
        <v>106.35</v>
      </c>
      <c r="G5707" s="31" t="n">
        <f aca="false">IFERROR(F5707/D5707,0)</f>
        <v>9.66818181818182</v>
      </c>
    </row>
    <row r="5708" customFormat="false" ht="15" hidden="false" customHeight="false" outlineLevel="0" collapsed="false">
      <c r="A5708" s="28" t="n">
        <v>2026</v>
      </c>
      <c r="B5708" s="28" t="s">
        <v>100</v>
      </c>
      <c r="C5708" s="28" t="s">
        <v>44</v>
      </c>
      <c r="D5708" s="28" t="n">
        <v>55</v>
      </c>
      <c r="E5708" s="29" t="n">
        <v>35184800</v>
      </c>
      <c r="F5708" s="30" t="n">
        <v>510.1</v>
      </c>
      <c r="G5708" s="31" t="n">
        <f aca="false">IFERROR(F5708/D5708,0)</f>
        <v>9.27454545454546</v>
      </c>
    </row>
    <row r="5709" customFormat="false" ht="15" hidden="false" customHeight="false" outlineLevel="0" collapsed="false">
      <c r="A5709" s="28" t="n">
        <v>2026</v>
      </c>
      <c r="B5709" s="28" t="s">
        <v>100</v>
      </c>
      <c r="C5709" s="28" t="s">
        <v>57</v>
      </c>
      <c r="D5709" s="28" t="n">
        <v>6</v>
      </c>
      <c r="E5709" s="29" t="n">
        <v>3868300</v>
      </c>
      <c r="F5709" s="30" t="n">
        <v>52.1</v>
      </c>
      <c r="G5709" s="31" t="n">
        <f aca="false">IFERROR(F5709/D5709,0)</f>
        <v>8.68333333333333</v>
      </c>
    </row>
    <row r="5710" customFormat="false" ht="15" hidden="false" customHeight="false" outlineLevel="0" collapsed="false">
      <c r="A5710" s="28" t="n">
        <v>2026</v>
      </c>
      <c r="B5710" s="28" t="s">
        <v>100</v>
      </c>
      <c r="C5710" s="28" t="s">
        <v>47</v>
      </c>
      <c r="D5710" s="28" t="n">
        <v>30</v>
      </c>
      <c r="E5710" s="29" t="n">
        <v>34598500</v>
      </c>
      <c r="F5710" s="30" t="n">
        <v>256.318</v>
      </c>
      <c r="G5710" s="31" t="n">
        <f aca="false">IFERROR(F5710/D5710,0)</f>
        <v>8.54393333333333</v>
      </c>
    </row>
    <row r="5711" customFormat="false" ht="15" hidden="false" customHeight="false" outlineLevel="0" collapsed="false">
      <c r="A5711" s="28" t="n">
        <v>2026</v>
      </c>
      <c r="B5711" s="28" t="s">
        <v>100</v>
      </c>
      <c r="C5711" s="28" t="s">
        <v>46</v>
      </c>
      <c r="D5711" s="28" t="n">
        <v>86</v>
      </c>
      <c r="E5711" s="29" t="n">
        <v>34926400</v>
      </c>
      <c r="F5711" s="30" t="n">
        <v>807.65</v>
      </c>
      <c r="G5711" s="31" t="n">
        <f aca="false">IFERROR(F5711/D5711,0)</f>
        <v>9.39127906976744</v>
      </c>
    </row>
    <row r="5712" customFormat="false" ht="15" hidden="false" customHeight="false" outlineLevel="0" collapsed="false">
      <c r="A5712" s="28" t="n">
        <v>2026</v>
      </c>
      <c r="B5712" s="28" t="s">
        <v>100</v>
      </c>
      <c r="C5712" s="28" t="s">
        <v>48</v>
      </c>
      <c r="D5712" s="28" t="n">
        <v>46</v>
      </c>
      <c r="E5712" s="29" t="n">
        <v>15527500</v>
      </c>
      <c r="F5712" s="30" t="n">
        <v>429.06</v>
      </c>
      <c r="G5712" s="31" t="n">
        <f aca="false">IFERROR(F5712/D5712,0)</f>
        <v>9.32739130434783</v>
      </c>
    </row>
    <row r="5713" customFormat="false" ht="15" hidden="false" customHeight="false" outlineLevel="0" collapsed="false">
      <c r="A5713" s="28" t="n">
        <v>2026</v>
      </c>
      <c r="B5713" s="28" t="s">
        <v>100</v>
      </c>
      <c r="C5713" s="28" t="s">
        <v>53</v>
      </c>
      <c r="D5713" s="28" t="n">
        <v>11</v>
      </c>
      <c r="E5713" s="29" t="n">
        <v>7462300</v>
      </c>
      <c r="F5713" s="30" t="n">
        <v>90.98</v>
      </c>
      <c r="G5713" s="31" t="n">
        <f aca="false">IFERROR(F5713/D5713,0)</f>
        <v>8.27090909090909</v>
      </c>
    </row>
    <row r="5714" customFormat="false" ht="15" hidden="false" customHeight="false" outlineLevel="0" collapsed="false">
      <c r="A5714" s="28" t="n">
        <v>2026</v>
      </c>
      <c r="B5714" s="28" t="s">
        <v>100</v>
      </c>
      <c r="C5714" s="28" t="s">
        <v>43</v>
      </c>
      <c r="D5714" s="28" t="n">
        <v>56</v>
      </c>
      <c r="E5714" s="29" t="n">
        <v>38479800</v>
      </c>
      <c r="F5714" s="30" t="n">
        <v>512.22</v>
      </c>
      <c r="G5714" s="31" t="n">
        <f aca="false">IFERROR(F5714/D5714,0)</f>
        <v>9.14678571428572</v>
      </c>
    </row>
    <row r="5715" customFormat="false" ht="15" hidden="false" customHeight="false" outlineLevel="0" collapsed="false">
      <c r="A5715" s="28" t="n">
        <v>2026</v>
      </c>
      <c r="B5715" s="28" t="s">
        <v>100</v>
      </c>
      <c r="C5715" s="28" t="s">
        <v>52</v>
      </c>
      <c r="D5715" s="28" t="n">
        <v>35</v>
      </c>
      <c r="E5715" s="29" t="n">
        <v>12316600</v>
      </c>
      <c r="F5715" s="30" t="n">
        <v>341.42</v>
      </c>
      <c r="G5715" s="31" t="n">
        <f aca="false">IFERROR(F5715/D5715,0)</f>
        <v>9.75485714285714</v>
      </c>
    </row>
    <row r="5716" customFormat="false" ht="15" hidden="false" customHeight="false" outlineLevel="0" collapsed="false">
      <c r="A5716" s="28" t="n">
        <v>2026</v>
      </c>
      <c r="B5716" s="28" t="s">
        <v>100</v>
      </c>
      <c r="C5716" s="28" t="s">
        <v>49</v>
      </c>
      <c r="D5716" s="28" t="n">
        <v>17</v>
      </c>
      <c r="E5716" s="29" t="n">
        <v>14713400</v>
      </c>
      <c r="F5716" s="30" t="n">
        <v>162.75</v>
      </c>
      <c r="G5716" s="31" t="n">
        <f aca="false">IFERROR(F5716/D5716,0)</f>
        <v>9.57352941176471</v>
      </c>
    </row>
    <row r="5717" customFormat="false" ht="15" hidden="false" customHeight="false" outlineLevel="0" collapsed="false">
      <c r="A5717" s="28" t="n">
        <v>2026</v>
      </c>
      <c r="B5717" s="28" t="s">
        <v>101</v>
      </c>
      <c r="C5717" s="28" t="s">
        <v>42</v>
      </c>
      <c r="D5717" s="28" t="n">
        <v>31</v>
      </c>
      <c r="E5717" s="29" t="n">
        <v>25246600</v>
      </c>
      <c r="F5717" s="30" t="n">
        <v>272.98</v>
      </c>
      <c r="G5717" s="31" t="n">
        <f aca="false">IFERROR(F5717/D5717,0)</f>
        <v>8.8058064516129</v>
      </c>
    </row>
    <row r="5718" customFormat="false" ht="15" hidden="false" customHeight="false" outlineLevel="0" collapsed="false">
      <c r="A5718" s="28" t="n">
        <v>2026</v>
      </c>
      <c r="B5718" s="28" t="s">
        <v>101</v>
      </c>
      <c r="C5718" s="28" t="s">
        <v>50</v>
      </c>
      <c r="D5718" s="28" t="n">
        <v>22</v>
      </c>
      <c r="E5718" s="29" t="n">
        <v>9732700</v>
      </c>
      <c r="F5718" s="30" t="n">
        <v>200.04</v>
      </c>
      <c r="G5718" s="31" t="n">
        <f aca="false">IFERROR(F5718/D5718,0)</f>
        <v>9.09272727272727</v>
      </c>
    </row>
    <row r="5719" customFormat="false" ht="15" hidden="false" customHeight="false" outlineLevel="0" collapsed="false">
      <c r="A5719" s="28" t="n">
        <v>2026</v>
      </c>
      <c r="B5719" s="28" t="s">
        <v>101</v>
      </c>
      <c r="C5719" s="28" t="s">
        <v>51</v>
      </c>
      <c r="D5719" s="28" t="n">
        <v>6</v>
      </c>
      <c r="E5719" s="29" t="n">
        <v>4329600</v>
      </c>
      <c r="F5719" s="30" t="n">
        <v>50</v>
      </c>
      <c r="G5719" s="31" t="n">
        <f aca="false">IFERROR(F5719/D5719,0)</f>
        <v>8.33333333333333</v>
      </c>
    </row>
    <row r="5720" customFormat="false" ht="15" hidden="false" customHeight="false" outlineLevel="0" collapsed="false">
      <c r="A5720" s="28" t="n">
        <v>2026</v>
      </c>
      <c r="B5720" s="28" t="s">
        <v>101</v>
      </c>
      <c r="C5720" s="28" t="s">
        <v>45</v>
      </c>
      <c r="D5720" s="28" t="n">
        <v>27</v>
      </c>
      <c r="E5720" s="29" t="n">
        <v>9003100</v>
      </c>
      <c r="F5720" s="30" t="n">
        <v>256.76</v>
      </c>
      <c r="G5720" s="31" t="n">
        <f aca="false">IFERROR(F5720/D5720,0)</f>
        <v>9.50962962962963</v>
      </c>
    </row>
    <row r="5721" customFormat="false" ht="15" hidden="false" customHeight="false" outlineLevel="0" collapsed="false">
      <c r="A5721" s="28" t="n">
        <v>2026</v>
      </c>
      <c r="B5721" s="28" t="s">
        <v>101</v>
      </c>
      <c r="C5721" s="28" t="s">
        <v>56</v>
      </c>
      <c r="D5721" s="28" t="n">
        <v>4</v>
      </c>
      <c r="E5721" s="29" t="n">
        <v>2281000</v>
      </c>
      <c r="F5721" s="30" t="n">
        <v>38.75</v>
      </c>
      <c r="G5721" s="31" t="n">
        <f aca="false">IFERROR(F5721/D5721,0)</f>
        <v>9.6875</v>
      </c>
    </row>
    <row r="5722" customFormat="false" ht="15" hidden="false" customHeight="false" outlineLevel="0" collapsed="false">
      <c r="A5722" s="28" t="n">
        <v>2026</v>
      </c>
      <c r="B5722" s="28" t="s">
        <v>101</v>
      </c>
      <c r="C5722" s="28" t="s">
        <v>54</v>
      </c>
      <c r="D5722" s="28" t="n">
        <v>4</v>
      </c>
      <c r="E5722" s="29" t="n">
        <v>1781500</v>
      </c>
      <c r="F5722" s="30" t="n">
        <v>31.3</v>
      </c>
      <c r="G5722" s="31" t="n">
        <f aca="false">IFERROR(F5722/D5722,0)</f>
        <v>7.825</v>
      </c>
    </row>
    <row r="5723" customFormat="false" ht="15" hidden="false" customHeight="false" outlineLevel="0" collapsed="false">
      <c r="A5723" s="28" t="n">
        <v>2026</v>
      </c>
      <c r="B5723" s="28" t="s">
        <v>101</v>
      </c>
      <c r="C5723" s="28" t="s">
        <v>44</v>
      </c>
      <c r="D5723" s="28" t="n">
        <v>36</v>
      </c>
      <c r="E5723" s="29" t="n">
        <v>34029500</v>
      </c>
      <c r="F5723" s="30" t="n">
        <v>300.3</v>
      </c>
      <c r="G5723" s="31" t="n">
        <f aca="false">IFERROR(F5723/D5723,0)</f>
        <v>8.34166666666667</v>
      </c>
    </row>
    <row r="5724" customFormat="false" ht="15" hidden="false" customHeight="false" outlineLevel="0" collapsed="false">
      <c r="A5724" s="28" t="n">
        <v>2026</v>
      </c>
      <c r="B5724" s="28" t="s">
        <v>101</v>
      </c>
      <c r="C5724" s="28" t="s">
        <v>57</v>
      </c>
      <c r="D5724" s="28" t="n">
        <v>3</v>
      </c>
      <c r="E5724" s="29" t="n">
        <v>1945000</v>
      </c>
      <c r="F5724" s="30" t="n">
        <v>25.27</v>
      </c>
      <c r="G5724" s="31" t="n">
        <f aca="false">IFERROR(F5724/D5724,0)</f>
        <v>8.42333333333333</v>
      </c>
    </row>
    <row r="5725" customFormat="false" ht="15" hidden="false" customHeight="false" outlineLevel="0" collapsed="false">
      <c r="A5725" s="28" t="n">
        <v>2026</v>
      </c>
      <c r="B5725" s="28" t="s">
        <v>101</v>
      </c>
      <c r="C5725" s="28" t="s">
        <v>47</v>
      </c>
      <c r="D5725" s="28" t="n">
        <v>8</v>
      </c>
      <c r="E5725" s="29" t="n">
        <v>7214500</v>
      </c>
      <c r="F5725" s="30" t="n">
        <v>64.79</v>
      </c>
      <c r="G5725" s="31" t="n">
        <f aca="false">IFERROR(F5725/D5725,0)</f>
        <v>8.09875</v>
      </c>
    </row>
    <row r="5726" customFormat="false" ht="15" hidden="false" customHeight="false" outlineLevel="0" collapsed="false">
      <c r="A5726" s="28" t="n">
        <v>2026</v>
      </c>
      <c r="B5726" s="28" t="s">
        <v>101</v>
      </c>
      <c r="C5726" s="28" t="s">
        <v>58</v>
      </c>
      <c r="D5726" s="28" t="n">
        <v>1</v>
      </c>
      <c r="E5726" s="29" t="n">
        <v>55000</v>
      </c>
      <c r="F5726" s="30" t="n">
        <v>9.75</v>
      </c>
      <c r="G5726" s="31" t="n">
        <f aca="false">IFERROR(F5726/D5726,0)</f>
        <v>9.75</v>
      </c>
    </row>
    <row r="5727" customFormat="false" ht="15" hidden="false" customHeight="false" outlineLevel="0" collapsed="false">
      <c r="A5727" s="28" t="n">
        <v>2026</v>
      </c>
      <c r="B5727" s="28" t="s">
        <v>101</v>
      </c>
      <c r="C5727" s="28" t="s">
        <v>46</v>
      </c>
      <c r="D5727" s="28" t="n">
        <v>26</v>
      </c>
      <c r="E5727" s="29" t="n">
        <v>11088000</v>
      </c>
      <c r="F5727" s="30" t="n">
        <v>219.07</v>
      </c>
      <c r="G5727" s="31" t="n">
        <f aca="false">IFERROR(F5727/D5727,0)</f>
        <v>8.42576923076923</v>
      </c>
    </row>
    <row r="5728" customFormat="false" ht="15" hidden="false" customHeight="false" outlineLevel="0" collapsed="false">
      <c r="A5728" s="28" t="n">
        <v>2026</v>
      </c>
      <c r="B5728" s="28" t="s">
        <v>101</v>
      </c>
      <c r="C5728" s="28" t="s">
        <v>48</v>
      </c>
      <c r="D5728" s="28" t="n">
        <v>24</v>
      </c>
      <c r="E5728" s="29" t="n">
        <v>8734900</v>
      </c>
      <c r="F5728" s="30" t="n">
        <v>218.01</v>
      </c>
      <c r="G5728" s="31" t="n">
        <f aca="false">IFERROR(F5728/D5728,0)</f>
        <v>9.08375</v>
      </c>
    </row>
    <row r="5729" customFormat="false" ht="15" hidden="false" customHeight="false" outlineLevel="0" collapsed="false">
      <c r="A5729" s="28" t="n">
        <v>2026</v>
      </c>
      <c r="B5729" s="28" t="s">
        <v>101</v>
      </c>
      <c r="C5729" s="28" t="s">
        <v>53</v>
      </c>
      <c r="D5729" s="28" t="n">
        <v>4</v>
      </c>
      <c r="E5729" s="29" t="n">
        <v>475500</v>
      </c>
      <c r="F5729" s="30" t="n">
        <v>37.24</v>
      </c>
      <c r="G5729" s="31" t="n">
        <f aca="false">IFERROR(F5729/D5729,0)</f>
        <v>9.31</v>
      </c>
    </row>
    <row r="5730" customFormat="false" ht="15" hidden="false" customHeight="false" outlineLevel="0" collapsed="false">
      <c r="A5730" s="28" t="n">
        <v>2026</v>
      </c>
      <c r="B5730" s="28" t="s">
        <v>101</v>
      </c>
      <c r="C5730" s="28" t="s">
        <v>43</v>
      </c>
      <c r="D5730" s="28" t="n">
        <v>30</v>
      </c>
      <c r="E5730" s="29" t="n">
        <v>24169400</v>
      </c>
      <c r="F5730" s="30" t="n">
        <v>258.28</v>
      </c>
      <c r="G5730" s="31" t="n">
        <f aca="false">IFERROR(F5730/D5730,0)</f>
        <v>8.60933333333333</v>
      </c>
    </row>
    <row r="5731" customFormat="false" ht="15" hidden="false" customHeight="false" outlineLevel="0" collapsed="false">
      <c r="A5731" s="28" t="n">
        <v>2026</v>
      </c>
      <c r="B5731" s="28" t="s">
        <v>101</v>
      </c>
      <c r="C5731" s="28" t="s">
        <v>52</v>
      </c>
      <c r="D5731" s="28" t="n">
        <v>7</v>
      </c>
      <c r="E5731" s="29" t="n">
        <v>3781700</v>
      </c>
      <c r="F5731" s="30" t="n">
        <v>55.82</v>
      </c>
      <c r="G5731" s="31" t="n">
        <f aca="false">IFERROR(F5731/D5731,0)</f>
        <v>7.97428571428571</v>
      </c>
    </row>
    <row r="5732" customFormat="false" ht="15" hidden="false" customHeight="false" outlineLevel="0" collapsed="false">
      <c r="A5732" s="28" t="n">
        <v>2026</v>
      </c>
      <c r="B5732" s="28" t="s">
        <v>101</v>
      </c>
      <c r="C5732" s="28" t="s">
        <v>49</v>
      </c>
      <c r="D5732" s="28" t="n">
        <v>8</v>
      </c>
      <c r="E5732" s="29" t="n">
        <v>6438500</v>
      </c>
      <c r="F5732" s="30" t="n">
        <v>65.75</v>
      </c>
      <c r="G5732" s="31" t="n">
        <f aca="false">IFERROR(F5732/D5732,0)</f>
        <v>8.21875</v>
      </c>
    </row>
    <row r="5733" customFormat="false" ht="15" hidden="false" customHeight="false" outlineLevel="0" collapsed="false">
      <c r="A5733" s="28" t="n">
        <v>2026</v>
      </c>
      <c r="B5733" s="28" t="s">
        <v>102</v>
      </c>
      <c r="C5733" s="28" t="s">
        <v>42</v>
      </c>
      <c r="D5733" s="28" t="n">
        <v>47</v>
      </c>
      <c r="E5733" s="29" t="n">
        <v>39210100</v>
      </c>
      <c r="F5733" s="30" t="n">
        <v>413.85</v>
      </c>
      <c r="G5733" s="31" t="n">
        <f aca="false">IFERROR(F5733/D5733,0)</f>
        <v>8.80531914893617</v>
      </c>
    </row>
    <row r="5734" customFormat="false" ht="15" hidden="false" customHeight="false" outlineLevel="0" collapsed="false">
      <c r="A5734" s="28" t="n">
        <v>2026</v>
      </c>
      <c r="B5734" s="28" t="s">
        <v>102</v>
      </c>
      <c r="C5734" s="28" t="s">
        <v>50</v>
      </c>
      <c r="D5734" s="28" t="n">
        <v>20</v>
      </c>
      <c r="E5734" s="29" t="n">
        <v>6741800</v>
      </c>
      <c r="F5734" s="30" t="n">
        <v>183.09</v>
      </c>
      <c r="G5734" s="31" t="n">
        <f aca="false">IFERROR(F5734/D5734,0)</f>
        <v>9.1545</v>
      </c>
    </row>
    <row r="5735" customFormat="false" ht="15" hidden="false" customHeight="false" outlineLevel="0" collapsed="false">
      <c r="A5735" s="28" t="n">
        <v>2026</v>
      </c>
      <c r="B5735" s="28" t="s">
        <v>102</v>
      </c>
      <c r="C5735" s="28" t="s">
        <v>55</v>
      </c>
      <c r="D5735" s="28" t="n">
        <v>5</v>
      </c>
      <c r="E5735" s="29" t="n">
        <v>711500</v>
      </c>
      <c r="F5735" s="30" t="n">
        <v>46.5</v>
      </c>
      <c r="G5735" s="31" t="n">
        <f aca="false">IFERROR(F5735/D5735,0)</f>
        <v>9.3</v>
      </c>
    </row>
    <row r="5736" customFormat="false" ht="15" hidden="false" customHeight="false" outlineLevel="0" collapsed="false">
      <c r="A5736" s="28" t="n">
        <v>2026</v>
      </c>
      <c r="B5736" s="28" t="s">
        <v>102</v>
      </c>
      <c r="C5736" s="28" t="s">
        <v>51</v>
      </c>
      <c r="D5736" s="28" t="n">
        <v>19</v>
      </c>
      <c r="E5736" s="29" t="n">
        <v>13007100</v>
      </c>
      <c r="F5736" s="30" t="n">
        <v>167.25</v>
      </c>
      <c r="G5736" s="31" t="n">
        <f aca="false">IFERROR(F5736/D5736,0)</f>
        <v>8.80263157894737</v>
      </c>
    </row>
    <row r="5737" customFormat="false" ht="15" hidden="false" customHeight="false" outlineLevel="0" collapsed="false">
      <c r="A5737" s="28" t="n">
        <v>2026</v>
      </c>
      <c r="B5737" s="28" t="s">
        <v>102</v>
      </c>
      <c r="C5737" s="28" t="s">
        <v>45</v>
      </c>
      <c r="D5737" s="28" t="n">
        <v>39</v>
      </c>
      <c r="E5737" s="29" t="n">
        <v>17473400</v>
      </c>
      <c r="F5737" s="30" t="n">
        <v>367.15</v>
      </c>
      <c r="G5737" s="31" t="n">
        <f aca="false">IFERROR(F5737/D5737,0)</f>
        <v>9.41410256410256</v>
      </c>
    </row>
    <row r="5738" customFormat="false" ht="15" hidden="false" customHeight="false" outlineLevel="0" collapsed="false">
      <c r="A5738" s="28" t="n">
        <v>2026</v>
      </c>
      <c r="B5738" s="28" t="s">
        <v>102</v>
      </c>
      <c r="C5738" s="28" t="s">
        <v>56</v>
      </c>
      <c r="D5738" s="28" t="n">
        <v>3</v>
      </c>
      <c r="E5738" s="29" t="n">
        <v>350000</v>
      </c>
      <c r="F5738" s="30" t="n">
        <v>26.29</v>
      </c>
      <c r="G5738" s="31" t="n">
        <f aca="false">IFERROR(F5738/D5738,0)</f>
        <v>8.76333333333333</v>
      </c>
    </row>
    <row r="5739" customFormat="false" ht="15" hidden="false" customHeight="false" outlineLevel="0" collapsed="false">
      <c r="A5739" s="28" t="n">
        <v>2026</v>
      </c>
      <c r="B5739" s="28" t="s">
        <v>102</v>
      </c>
      <c r="C5739" s="28" t="s">
        <v>54</v>
      </c>
      <c r="D5739" s="28" t="n">
        <v>8</v>
      </c>
      <c r="E5739" s="29" t="n">
        <v>3500200</v>
      </c>
      <c r="F5739" s="30" t="n">
        <v>72.75</v>
      </c>
      <c r="G5739" s="31" t="n">
        <f aca="false">IFERROR(F5739/D5739,0)</f>
        <v>9.09375</v>
      </c>
    </row>
    <row r="5740" customFormat="false" ht="15" hidden="false" customHeight="false" outlineLevel="0" collapsed="false">
      <c r="A5740" s="28" t="n">
        <v>2026</v>
      </c>
      <c r="B5740" s="28" t="s">
        <v>102</v>
      </c>
      <c r="C5740" s="28" t="s">
        <v>44</v>
      </c>
      <c r="D5740" s="28" t="n">
        <v>34</v>
      </c>
      <c r="E5740" s="29" t="n">
        <v>19216100</v>
      </c>
      <c r="F5740" s="30" t="n">
        <v>323.45</v>
      </c>
      <c r="G5740" s="31" t="n">
        <f aca="false">IFERROR(F5740/D5740,0)</f>
        <v>9.51323529411765</v>
      </c>
    </row>
    <row r="5741" customFormat="false" ht="15" hidden="false" customHeight="false" outlineLevel="0" collapsed="false">
      <c r="A5741" s="28" t="n">
        <v>2026</v>
      </c>
      <c r="B5741" s="28" t="s">
        <v>102</v>
      </c>
      <c r="C5741" s="28" t="s">
        <v>47</v>
      </c>
      <c r="D5741" s="28" t="n">
        <v>24</v>
      </c>
      <c r="E5741" s="29" t="n">
        <v>13305700</v>
      </c>
      <c r="F5741" s="30" t="n">
        <v>207.95</v>
      </c>
      <c r="G5741" s="31" t="n">
        <f aca="false">IFERROR(F5741/D5741,0)</f>
        <v>8.66458333333333</v>
      </c>
    </row>
    <row r="5742" customFormat="false" ht="15" hidden="false" customHeight="false" outlineLevel="0" collapsed="false">
      <c r="A5742" s="28" t="n">
        <v>2026</v>
      </c>
      <c r="B5742" s="28" t="s">
        <v>102</v>
      </c>
      <c r="C5742" s="28" t="s">
        <v>46</v>
      </c>
      <c r="D5742" s="28" t="n">
        <v>33</v>
      </c>
      <c r="E5742" s="29" t="n">
        <v>14201700</v>
      </c>
      <c r="F5742" s="30" t="n">
        <v>297.67</v>
      </c>
      <c r="G5742" s="31" t="n">
        <f aca="false">IFERROR(F5742/D5742,0)</f>
        <v>9.02030303030303</v>
      </c>
    </row>
    <row r="5743" customFormat="false" ht="15" hidden="false" customHeight="false" outlineLevel="0" collapsed="false">
      <c r="A5743" s="28" t="n">
        <v>2026</v>
      </c>
      <c r="B5743" s="28" t="s">
        <v>102</v>
      </c>
      <c r="C5743" s="28" t="s">
        <v>48</v>
      </c>
      <c r="D5743" s="28" t="n">
        <v>28</v>
      </c>
      <c r="E5743" s="29" t="n">
        <v>10363200</v>
      </c>
      <c r="F5743" s="30" t="n">
        <v>275.46</v>
      </c>
      <c r="G5743" s="31" t="n">
        <f aca="false">IFERROR(F5743/D5743,0)</f>
        <v>9.83785714285714</v>
      </c>
    </row>
    <row r="5744" customFormat="false" ht="15" hidden="false" customHeight="false" outlineLevel="0" collapsed="false">
      <c r="A5744" s="28" t="n">
        <v>2026</v>
      </c>
      <c r="B5744" s="28" t="s">
        <v>102</v>
      </c>
      <c r="C5744" s="28" t="s">
        <v>53</v>
      </c>
      <c r="D5744" s="28" t="n">
        <v>3</v>
      </c>
      <c r="E5744" s="29" t="n">
        <v>2663400</v>
      </c>
      <c r="F5744" s="30" t="n">
        <v>26.49</v>
      </c>
      <c r="G5744" s="31" t="n">
        <f aca="false">IFERROR(F5744/D5744,0)</f>
        <v>8.83</v>
      </c>
    </row>
    <row r="5745" customFormat="false" ht="15" hidden="false" customHeight="false" outlineLevel="0" collapsed="false">
      <c r="A5745" s="28" t="n">
        <v>2026</v>
      </c>
      <c r="B5745" s="28" t="s">
        <v>102</v>
      </c>
      <c r="C5745" s="28" t="s">
        <v>43</v>
      </c>
      <c r="D5745" s="28" t="n">
        <v>20</v>
      </c>
      <c r="E5745" s="29" t="n">
        <v>13351000</v>
      </c>
      <c r="F5745" s="30" t="n">
        <v>177.38</v>
      </c>
      <c r="G5745" s="31" t="n">
        <f aca="false">IFERROR(F5745/D5745,0)</f>
        <v>8.869</v>
      </c>
    </row>
    <row r="5746" customFormat="false" ht="15" hidden="false" customHeight="false" outlineLevel="0" collapsed="false">
      <c r="A5746" s="28" t="n">
        <v>2026</v>
      </c>
      <c r="B5746" s="28" t="s">
        <v>102</v>
      </c>
      <c r="C5746" s="28" t="s">
        <v>52</v>
      </c>
      <c r="D5746" s="28" t="n">
        <v>10</v>
      </c>
      <c r="E5746" s="29" t="n">
        <v>6224700</v>
      </c>
      <c r="F5746" s="30" t="n">
        <v>93.99</v>
      </c>
      <c r="G5746" s="31" t="n">
        <f aca="false">IFERROR(F5746/D5746,0)</f>
        <v>9.399</v>
      </c>
    </row>
    <row r="5747" customFormat="false" ht="15" hidden="false" customHeight="false" outlineLevel="0" collapsed="false">
      <c r="A5747" s="28" t="n">
        <v>2026</v>
      </c>
      <c r="B5747" s="28" t="s">
        <v>102</v>
      </c>
      <c r="C5747" s="28" t="s">
        <v>49</v>
      </c>
      <c r="D5747" s="28" t="n">
        <v>5</v>
      </c>
      <c r="E5747" s="29" t="n">
        <v>2862000</v>
      </c>
      <c r="F5747" s="30" t="n">
        <v>51</v>
      </c>
      <c r="G5747" s="31" t="n">
        <f aca="false">IFERROR(F5747/D5747,0)</f>
        <v>10.2</v>
      </c>
    </row>
    <row r="5748" customFormat="false" ht="15" hidden="false" customHeight="false" outlineLevel="0" collapsed="false">
      <c r="A5748" s="28" t="n">
        <v>2026</v>
      </c>
      <c r="B5748" s="28" t="s">
        <v>104</v>
      </c>
      <c r="C5748" s="28" t="s">
        <v>42</v>
      </c>
      <c r="D5748" s="28" t="n">
        <v>34</v>
      </c>
      <c r="E5748" s="29" t="n">
        <v>30583000</v>
      </c>
      <c r="F5748" s="30" t="n">
        <v>308.59</v>
      </c>
      <c r="G5748" s="31" t="n">
        <f aca="false">IFERROR(F5748/D5748,0)</f>
        <v>9.07617647058824</v>
      </c>
    </row>
    <row r="5749" customFormat="false" ht="15" hidden="false" customHeight="false" outlineLevel="0" collapsed="false">
      <c r="A5749" s="28" t="n">
        <v>2026</v>
      </c>
      <c r="B5749" s="28" t="s">
        <v>104</v>
      </c>
      <c r="C5749" s="28" t="s">
        <v>50</v>
      </c>
      <c r="D5749" s="28" t="n">
        <v>15</v>
      </c>
      <c r="E5749" s="29" t="n">
        <v>3725300</v>
      </c>
      <c r="F5749" s="30" t="n">
        <v>148.71</v>
      </c>
      <c r="G5749" s="31" t="n">
        <f aca="false">IFERROR(F5749/D5749,0)</f>
        <v>9.914</v>
      </c>
    </row>
    <row r="5750" customFormat="false" ht="15" hidden="false" customHeight="false" outlineLevel="0" collapsed="false">
      <c r="A5750" s="28" t="n">
        <v>2026</v>
      </c>
      <c r="B5750" s="28" t="s">
        <v>104</v>
      </c>
      <c r="C5750" s="28" t="s">
        <v>55</v>
      </c>
      <c r="D5750" s="28" t="n">
        <v>1</v>
      </c>
      <c r="E5750" s="29" t="n">
        <v>350000</v>
      </c>
      <c r="F5750" s="30" t="n">
        <v>9.75</v>
      </c>
      <c r="G5750" s="31" t="n">
        <f aca="false">IFERROR(F5750/D5750,0)</f>
        <v>9.75</v>
      </c>
    </row>
    <row r="5751" customFormat="false" ht="15" hidden="false" customHeight="false" outlineLevel="0" collapsed="false">
      <c r="A5751" s="28" t="n">
        <v>2026</v>
      </c>
      <c r="B5751" s="28" t="s">
        <v>104</v>
      </c>
      <c r="C5751" s="28" t="s">
        <v>51</v>
      </c>
      <c r="D5751" s="28" t="n">
        <v>8</v>
      </c>
      <c r="E5751" s="29" t="n">
        <v>6865900</v>
      </c>
      <c r="F5751" s="30" t="n">
        <v>79.75</v>
      </c>
      <c r="G5751" s="31" t="n">
        <f aca="false">IFERROR(F5751/D5751,0)</f>
        <v>9.96875</v>
      </c>
    </row>
    <row r="5752" customFormat="false" ht="15" hidden="false" customHeight="false" outlineLevel="0" collapsed="false">
      <c r="A5752" s="28" t="n">
        <v>2026</v>
      </c>
      <c r="B5752" s="28" t="s">
        <v>104</v>
      </c>
      <c r="C5752" s="28" t="s">
        <v>45</v>
      </c>
      <c r="D5752" s="28" t="n">
        <v>34</v>
      </c>
      <c r="E5752" s="29" t="n">
        <v>16149000</v>
      </c>
      <c r="F5752" s="30" t="n">
        <v>326.13</v>
      </c>
      <c r="G5752" s="31" t="n">
        <f aca="false">IFERROR(F5752/D5752,0)</f>
        <v>9.59205882352941</v>
      </c>
    </row>
    <row r="5753" customFormat="false" ht="15" hidden="false" customHeight="false" outlineLevel="0" collapsed="false">
      <c r="A5753" s="28" t="n">
        <v>2026</v>
      </c>
      <c r="B5753" s="28" t="s">
        <v>104</v>
      </c>
      <c r="C5753" s="28" t="s">
        <v>56</v>
      </c>
      <c r="D5753" s="28" t="n">
        <v>3</v>
      </c>
      <c r="E5753" s="29" t="n">
        <v>738100</v>
      </c>
      <c r="F5753" s="30" t="n">
        <v>28.25</v>
      </c>
      <c r="G5753" s="31" t="n">
        <f aca="false">IFERROR(F5753/D5753,0)</f>
        <v>9.41666666666667</v>
      </c>
    </row>
    <row r="5754" customFormat="false" ht="15" hidden="false" customHeight="false" outlineLevel="0" collapsed="false">
      <c r="A5754" s="28" t="n">
        <v>2026</v>
      </c>
      <c r="B5754" s="28" t="s">
        <v>104</v>
      </c>
      <c r="C5754" s="28" t="s">
        <v>54</v>
      </c>
      <c r="D5754" s="28" t="n">
        <v>8</v>
      </c>
      <c r="E5754" s="29" t="n">
        <v>1800000</v>
      </c>
      <c r="F5754" s="30" t="n">
        <v>84.25</v>
      </c>
      <c r="G5754" s="31" t="n">
        <f aca="false">IFERROR(F5754/D5754,0)</f>
        <v>10.53125</v>
      </c>
    </row>
    <row r="5755" customFormat="false" ht="15" hidden="false" customHeight="false" outlineLevel="0" collapsed="false">
      <c r="A5755" s="28" t="n">
        <v>2026</v>
      </c>
      <c r="B5755" s="28" t="s">
        <v>104</v>
      </c>
      <c r="C5755" s="28" t="s">
        <v>44</v>
      </c>
      <c r="D5755" s="28" t="n">
        <v>28</v>
      </c>
      <c r="E5755" s="29" t="n">
        <v>18553500</v>
      </c>
      <c r="F5755" s="30" t="n">
        <v>277.64</v>
      </c>
      <c r="G5755" s="31" t="n">
        <f aca="false">IFERROR(F5755/D5755,0)</f>
        <v>9.91571428571429</v>
      </c>
    </row>
    <row r="5756" customFormat="false" ht="15" hidden="false" customHeight="false" outlineLevel="0" collapsed="false">
      <c r="A5756" s="28" t="n">
        <v>2026</v>
      </c>
      <c r="B5756" s="28" t="s">
        <v>104</v>
      </c>
      <c r="C5756" s="28" t="s">
        <v>57</v>
      </c>
      <c r="D5756" s="28" t="n">
        <v>4</v>
      </c>
      <c r="E5756" s="29" t="n">
        <v>2930000</v>
      </c>
      <c r="F5756" s="30" t="n">
        <v>41.6</v>
      </c>
      <c r="G5756" s="31" t="n">
        <f aca="false">IFERROR(F5756/D5756,0)</f>
        <v>10.4</v>
      </c>
    </row>
    <row r="5757" customFormat="false" ht="15" hidden="false" customHeight="false" outlineLevel="0" collapsed="false">
      <c r="A5757" s="28" t="n">
        <v>2026</v>
      </c>
      <c r="B5757" s="28" t="s">
        <v>104</v>
      </c>
      <c r="C5757" s="28" t="s">
        <v>47</v>
      </c>
      <c r="D5757" s="28" t="n">
        <v>6</v>
      </c>
      <c r="E5757" s="29" t="n">
        <v>4391000</v>
      </c>
      <c r="F5757" s="30" t="n">
        <v>58.25</v>
      </c>
      <c r="G5757" s="31" t="n">
        <f aca="false">IFERROR(F5757/D5757,0)</f>
        <v>9.70833333333333</v>
      </c>
    </row>
    <row r="5758" customFormat="false" ht="15" hidden="false" customHeight="false" outlineLevel="0" collapsed="false">
      <c r="A5758" s="28" t="n">
        <v>2026</v>
      </c>
      <c r="B5758" s="28" t="s">
        <v>104</v>
      </c>
      <c r="C5758" s="28" t="s">
        <v>46</v>
      </c>
      <c r="D5758" s="28" t="n">
        <v>26</v>
      </c>
      <c r="E5758" s="29" t="n">
        <v>11963800</v>
      </c>
      <c r="F5758" s="30" t="n">
        <v>262</v>
      </c>
      <c r="G5758" s="31" t="n">
        <f aca="false">IFERROR(F5758/D5758,0)</f>
        <v>10.0769230769231</v>
      </c>
    </row>
    <row r="5759" customFormat="false" ht="15" hidden="false" customHeight="false" outlineLevel="0" collapsed="false">
      <c r="A5759" s="28" t="n">
        <v>2026</v>
      </c>
      <c r="B5759" s="28" t="s">
        <v>104</v>
      </c>
      <c r="C5759" s="28" t="s">
        <v>48</v>
      </c>
      <c r="D5759" s="28" t="n">
        <v>32</v>
      </c>
      <c r="E5759" s="29" t="n">
        <v>20116500</v>
      </c>
      <c r="F5759" s="30" t="n">
        <v>314.84</v>
      </c>
      <c r="G5759" s="31" t="n">
        <f aca="false">IFERROR(F5759/D5759,0)</f>
        <v>9.83875</v>
      </c>
    </row>
    <row r="5760" customFormat="false" ht="15" hidden="false" customHeight="false" outlineLevel="0" collapsed="false">
      <c r="A5760" s="28" t="n">
        <v>2026</v>
      </c>
      <c r="B5760" s="28" t="s">
        <v>104</v>
      </c>
      <c r="C5760" s="28" t="s">
        <v>53</v>
      </c>
      <c r="D5760" s="28" t="n">
        <v>6</v>
      </c>
      <c r="E5760" s="29" t="n">
        <v>1846000</v>
      </c>
      <c r="F5760" s="30" t="n">
        <v>64</v>
      </c>
      <c r="G5760" s="31" t="n">
        <f aca="false">IFERROR(F5760/D5760,0)</f>
        <v>10.6666666666667</v>
      </c>
    </row>
    <row r="5761" customFormat="false" ht="15" hidden="false" customHeight="false" outlineLevel="0" collapsed="false">
      <c r="A5761" s="28" t="n">
        <v>2026</v>
      </c>
      <c r="B5761" s="28" t="s">
        <v>104</v>
      </c>
      <c r="C5761" s="28" t="s">
        <v>43</v>
      </c>
      <c r="D5761" s="28" t="n">
        <v>26</v>
      </c>
      <c r="E5761" s="29" t="n">
        <v>11227000</v>
      </c>
      <c r="F5761" s="30" t="n">
        <v>257.64</v>
      </c>
      <c r="G5761" s="31" t="n">
        <f aca="false">IFERROR(F5761/D5761,0)</f>
        <v>9.90923076923077</v>
      </c>
    </row>
    <row r="5762" customFormat="false" ht="15" hidden="false" customHeight="false" outlineLevel="0" collapsed="false">
      <c r="A5762" s="28" t="n">
        <v>2026</v>
      </c>
      <c r="B5762" s="28" t="s">
        <v>104</v>
      </c>
      <c r="C5762" s="28" t="s">
        <v>52</v>
      </c>
      <c r="D5762" s="28" t="n">
        <v>5</v>
      </c>
      <c r="E5762" s="29" t="n">
        <v>4106100</v>
      </c>
      <c r="F5762" s="30" t="n">
        <v>47.25</v>
      </c>
      <c r="G5762" s="31" t="n">
        <f aca="false">IFERROR(F5762/D5762,0)</f>
        <v>9.45</v>
      </c>
    </row>
    <row r="5763" customFormat="false" ht="15" hidden="false" customHeight="false" outlineLevel="0" collapsed="false">
      <c r="A5763" s="28" t="n">
        <v>2026</v>
      </c>
      <c r="B5763" s="28" t="s">
        <v>104</v>
      </c>
      <c r="C5763" s="28" t="s">
        <v>60</v>
      </c>
      <c r="D5763" s="28" t="n">
        <v>2</v>
      </c>
      <c r="E5763" s="29" t="n">
        <v>175000</v>
      </c>
      <c r="F5763" s="30" t="n">
        <v>23</v>
      </c>
      <c r="G5763" s="31" t="n">
        <f aca="false">IFERROR(F5763/D5763,0)</f>
        <v>11.5</v>
      </c>
    </row>
    <row r="5764" customFormat="false" ht="15" hidden="false" customHeight="false" outlineLevel="0" collapsed="false">
      <c r="A5764" s="28" t="n">
        <v>2026</v>
      </c>
      <c r="B5764" s="28" t="s">
        <v>104</v>
      </c>
      <c r="C5764" s="28" t="s">
        <v>49</v>
      </c>
      <c r="D5764" s="28" t="n">
        <v>7</v>
      </c>
      <c r="E5764" s="29" t="n">
        <v>6350000</v>
      </c>
      <c r="F5764" s="30" t="n">
        <v>67</v>
      </c>
      <c r="G5764" s="31" t="n">
        <f aca="false">IFERROR(F5764/D5764,0)</f>
        <v>9.57142857142857</v>
      </c>
    </row>
    <row r="5765" customFormat="false" ht="15" hidden="false" customHeight="false" outlineLevel="0" collapsed="false">
      <c r="A5765" s="28" t="n">
        <v>2026</v>
      </c>
      <c r="B5765" s="28" t="s">
        <v>106</v>
      </c>
      <c r="C5765" s="28" t="s">
        <v>42</v>
      </c>
      <c r="D5765" s="28" t="n">
        <v>110</v>
      </c>
      <c r="E5765" s="29" t="n">
        <v>42695800</v>
      </c>
      <c r="F5765" s="30" t="n">
        <v>1042.73</v>
      </c>
      <c r="G5765" s="31" t="n">
        <f aca="false">IFERROR(F5765/D5765,0)</f>
        <v>9.47936363636364</v>
      </c>
    </row>
    <row r="5766" customFormat="false" ht="15" hidden="false" customHeight="false" outlineLevel="0" collapsed="false">
      <c r="A5766" s="28" t="n">
        <v>2026</v>
      </c>
      <c r="B5766" s="28" t="s">
        <v>106</v>
      </c>
      <c r="C5766" s="28" t="s">
        <v>50</v>
      </c>
      <c r="D5766" s="28" t="n">
        <v>77</v>
      </c>
      <c r="E5766" s="29" t="n">
        <v>28757900</v>
      </c>
      <c r="F5766" s="30" t="n">
        <v>700.61</v>
      </c>
      <c r="G5766" s="31" t="n">
        <f aca="false">IFERROR(F5766/D5766,0)</f>
        <v>9.09883116883117</v>
      </c>
    </row>
    <row r="5767" customFormat="false" ht="15" hidden="false" customHeight="false" outlineLevel="0" collapsed="false">
      <c r="A5767" s="28" t="n">
        <v>2026</v>
      </c>
      <c r="B5767" s="28" t="s">
        <v>106</v>
      </c>
      <c r="C5767" s="28" t="s">
        <v>55</v>
      </c>
      <c r="D5767" s="28" t="n">
        <v>5</v>
      </c>
      <c r="E5767" s="29" t="n">
        <v>340000</v>
      </c>
      <c r="F5767" s="30" t="n">
        <v>46.25</v>
      </c>
      <c r="G5767" s="31" t="n">
        <f aca="false">IFERROR(F5767/D5767,0)</f>
        <v>9.25</v>
      </c>
    </row>
    <row r="5768" customFormat="false" ht="15" hidden="false" customHeight="false" outlineLevel="0" collapsed="false">
      <c r="A5768" s="28" t="n">
        <v>2026</v>
      </c>
      <c r="B5768" s="28" t="s">
        <v>106</v>
      </c>
      <c r="C5768" s="28" t="s">
        <v>51</v>
      </c>
      <c r="D5768" s="28" t="n">
        <v>44</v>
      </c>
      <c r="E5768" s="29" t="n">
        <v>15847500</v>
      </c>
      <c r="F5768" s="30" t="n">
        <v>386.4</v>
      </c>
      <c r="G5768" s="31" t="n">
        <f aca="false">IFERROR(F5768/D5768,0)</f>
        <v>8.78181818181818</v>
      </c>
    </row>
    <row r="5769" customFormat="false" ht="15" hidden="false" customHeight="false" outlineLevel="0" collapsed="false">
      <c r="A5769" s="28" t="n">
        <v>2026</v>
      </c>
      <c r="B5769" s="28" t="s">
        <v>106</v>
      </c>
      <c r="C5769" s="28" t="s">
        <v>45</v>
      </c>
      <c r="D5769" s="28" t="n">
        <v>157</v>
      </c>
      <c r="E5769" s="29" t="n">
        <v>33895700</v>
      </c>
      <c r="F5769" s="30" t="n">
        <v>1490.37</v>
      </c>
      <c r="G5769" s="31" t="n">
        <f aca="false">IFERROR(F5769/D5769,0)</f>
        <v>9.4928025477707</v>
      </c>
    </row>
    <row r="5770" customFormat="false" ht="15" hidden="false" customHeight="false" outlineLevel="0" collapsed="false">
      <c r="A5770" s="28" t="n">
        <v>2026</v>
      </c>
      <c r="B5770" s="28" t="s">
        <v>106</v>
      </c>
      <c r="C5770" s="28" t="s">
        <v>56</v>
      </c>
      <c r="D5770" s="28" t="n">
        <v>23</v>
      </c>
      <c r="E5770" s="29" t="n">
        <v>10670400</v>
      </c>
      <c r="F5770" s="30" t="n">
        <v>195.82</v>
      </c>
      <c r="G5770" s="31" t="n">
        <f aca="false">IFERROR(F5770/D5770,0)</f>
        <v>8.51391304347826</v>
      </c>
    </row>
    <row r="5771" customFormat="false" ht="15" hidden="false" customHeight="false" outlineLevel="0" collapsed="false">
      <c r="A5771" s="28" t="n">
        <v>2026</v>
      </c>
      <c r="B5771" s="28" t="s">
        <v>106</v>
      </c>
      <c r="C5771" s="28" t="s">
        <v>54</v>
      </c>
      <c r="D5771" s="28" t="n">
        <v>17</v>
      </c>
      <c r="E5771" s="29" t="n">
        <v>7057100</v>
      </c>
      <c r="F5771" s="30" t="n">
        <v>143.93</v>
      </c>
      <c r="G5771" s="31" t="n">
        <f aca="false">IFERROR(F5771/D5771,0)</f>
        <v>8.46647058823529</v>
      </c>
    </row>
    <row r="5772" customFormat="false" ht="15" hidden="false" customHeight="false" outlineLevel="0" collapsed="false">
      <c r="A5772" s="28" t="n">
        <v>2026</v>
      </c>
      <c r="B5772" s="28" t="s">
        <v>106</v>
      </c>
      <c r="C5772" s="28" t="s">
        <v>44</v>
      </c>
      <c r="D5772" s="28" t="n">
        <v>104</v>
      </c>
      <c r="E5772" s="29" t="n">
        <v>48833500</v>
      </c>
      <c r="F5772" s="30" t="n">
        <v>920.525</v>
      </c>
      <c r="G5772" s="31" t="n">
        <f aca="false">IFERROR(F5772/D5772,0)</f>
        <v>8.85120192307692</v>
      </c>
    </row>
    <row r="5773" customFormat="false" ht="15" hidden="false" customHeight="false" outlineLevel="0" collapsed="false">
      <c r="A5773" s="28" t="n">
        <v>2026</v>
      </c>
      <c r="B5773" s="28" t="s">
        <v>106</v>
      </c>
      <c r="C5773" s="28" t="s">
        <v>57</v>
      </c>
      <c r="D5773" s="28" t="n">
        <v>6</v>
      </c>
      <c r="E5773" s="29" t="n">
        <v>472500</v>
      </c>
      <c r="F5773" s="30" t="n">
        <v>54.97</v>
      </c>
      <c r="G5773" s="31" t="n">
        <f aca="false">IFERROR(F5773/D5773,0)</f>
        <v>9.16166666666667</v>
      </c>
    </row>
    <row r="5774" customFormat="false" ht="15" hidden="false" customHeight="false" outlineLevel="0" collapsed="false">
      <c r="A5774" s="28" t="n">
        <v>2026</v>
      </c>
      <c r="B5774" s="28" t="s">
        <v>106</v>
      </c>
      <c r="C5774" s="28" t="s">
        <v>47</v>
      </c>
      <c r="D5774" s="28" t="n">
        <v>40</v>
      </c>
      <c r="E5774" s="29" t="n">
        <v>15999900</v>
      </c>
      <c r="F5774" s="30" t="n">
        <v>345.3</v>
      </c>
      <c r="G5774" s="31" t="n">
        <f aca="false">IFERROR(F5774/D5774,0)</f>
        <v>8.6325</v>
      </c>
    </row>
    <row r="5775" customFormat="false" ht="15" hidden="false" customHeight="false" outlineLevel="0" collapsed="false">
      <c r="A5775" s="28" t="n">
        <v>2026</v>
      </c>
      <c r="B5775" s="28" t="s">
        <v>106</v>
      </c>
      <c r="C5775" s="28" t="s">
        <v>46</v>
      </c>
      <c r="D5775" s="28" t="n">
        <v>115</v>
      </c>
      <c r="E5775" s="29" t="n">
        <v>34343900</v>
      </c>
      <c r="F5775" s="30" t="n">
        <v>1082.435</v>
      </c>
      <c r="G5775" s="31" t="n">
        <f aca="false">IFERROR(F5775/D5775,0)</f>
        <v>9.41247826086956</v>
      </c>
    </row>
    <row r="5776" customFormat="false" ht="15" hidden="false" customHeight="false" outlineLevel="0" collapsed="false">
      <c r="A5776" s="28" t="n">
        <v>2026</v>
      </c>
      <c r="B5776" s="28" t="s">
        <v>106</v>
      </c>
      <c r="C5776" s="28" t="s">
        <v>48</v>
      </c>
      <c r="D5776" s="28" t="n">
        <v>98</v>
      </c>
      <c r="E5776" s="29" t="n">
        <v>25699300</v>
      </c>
      <c r="F5776" s="30" t="n">
        <v>892.08</v>
      </c>
      <c r="G5776" s="31" t="n">
        <f aca="false">IFERROR(F5776/D5776,0)</f>
        <v>9.10285714285714</v>
      </c>
    </row>
    <row r="5777" customFormat="false" ht="15" hidden="false" customHeight="false" outlineLevel="0" collapsed="false">
      <c r="A5777" s="28" t="n">
        <v>2026</v>
      </c>
      <c r="B5777" s="28" t="s">
        <v>106</v>
      </c>
      <c r="C5777" s="28" t="s">
        <v>53</v>
      </c>
      <c r="D5777" s="28" t="n">
        <v>7</v>
      </c>
      <c r="E5777" s="29" t="n">
        <v>793000</v>
      </c>
      <c r="F5777" s="30" t="n">
        <v>55.74</v>
      </c>
      <c r="G5777" s="31" t="n">
        <f aca="false">IFERROR(F5777/D5777,0)</f>
        <v>7.96285714285714</v>
      </c>
    </row>
    <row r="5778" customFormat="false" ht="15" hidden="false" customHeight="false" outlineLevel="0" collapsed="false">
      <c r="A5778" s="28" t="n">
        <v>2026</v>
      </c>
      <c r="B5778" s="28" t="s">
        <v>106</v>
      </c>
      <c r="C5778" s="28" t="s">
        <v>43</v>
      </c>
      <c r="D5778" s="28" t="n">
        <v>84</v>
      </c>
      <c r="E5778" s="29" t="n">
        <v>33265000</v>
      </c>
      <c r="F5778" s="30" t="n">
        <v>751.46</v>
      </c>
      <c r="G5778" s="31" t="n">
        <f aca="false">IFERROR(F5778/D5778,0)</f>
        <v>8.94595238095238</v>
      </c>
    </row>
    <row r="5779" customFormat="false" ht="15" hidden="false" customHeight="false" outlineLevel="0" collapsed="false">
      <c r="A5779" s="28" t="n">
        <v>2026</v>
      </c>
      <c r="B5779" s="28" t="s">
        <v>106</v>
      </c>
      <c r="C5779" s="28" t="s">
        <v>52</v>
      </c>
      <c r="D5779" s="28" t="n">
        <v>45</v>
      </c>
      <c r="E5779" s="29" t="n">
        <v>11597000</v>
      </c>
      <c r="F5779" s="30" t="n">
        <v>406.85</v>
      </c>
      <c r="G5779" s="31" t="n">
        <f aca="false">IFERROR(F5779/D5779,0)</f>
        <v>9.04111111111111</v>
      </c>
    </row>
    <row r="5780" customFormat="false" ht="15" hidden="false" customHeight="false" outlineLevel="0" collapsed="false">
      <c r="A5780" s="28" t="n">
        <v>2026</v>
      </c>
      <c r="B5780" s="28" t="s">
        <v>106</v>
      </c>
      <c r="C5780" s="28" t="s">
        <v>60</v>
      </c>
      <c r="D5780" s="28" t="n">
        <v>1</v>
      </c>
      <c r="E5780" s="29" t="n">
        <v>500000</v>
      </c>
      <c r="F5780" s="30" t="n">
        <v>8.75</v>
      </c>
      <c r="G5780" s="31" t="n">
        <f aca="false">IFERROR(F5780/D5780,0)</f>
        <v>8.75</v>
      </c>
    </row>
    <row r="5781" customFormat="false" ht="15" hidden="false" customHeight="false" outlineLevel="0" collapsed="false">
      <c r="A5781" s="28" t="n">
        <v>2026</v>
      </c>
      <c r="B5781" s="28" t="s">
        <v>106</v>
      </c>
      <c r="C5781" s="28" t="s">
        <v>49</v>
      </c>
      <c r="D5781" s="28" t="n">
        <v>23</v>
      </c>
      <c r="E5781" s="29" t="n">
        <v>14452800</v>
      </c>
      <c r="F5781" s="30" t="n">
        <v>212.06</v>
      </c>
      <c r="G5781" s="31" t="n">
        <f aca="false">IFERROR(F5781/D5781,0)</f>
        <v>9.22</v>
      </c>
    </row>
    <row r="5782" customFormat="false" ht="15" hidden="false" customHeight="false" outlineLevel="0" collapsed="false">
      <c r="A5782" s="28" t="n">
        <v>2026</v>
      </c>
      <c r="B5782" s="28" t="s">
        <v>107</v>
      </c>
      <c r="C5782" s="28" t="s">
        <v>42</v>
      </c>
      <c r="D5782" s="28" t="n">
        <v>105</v>
      </c>
      <c r="E5782" s="29" t="n">
        <v>53124700</v>
      </c>
      <c r="F5782" s="30" t="n">
        <v>1028.45</v>
      </c>
      <c r="G5782" s="31" t="n">
        <f aca="false">IFERROR(F5782/D5782,0)</f>
        <v>9.79476190476191</v>
      </c>
    </row>
    <row r="5783" customFormat="false" ht="15" hidden="false" customHeight="false" outlineLevel="0" collapsed="false">
      <c r="A5783" s="28" t="n">
        <v>2026</v>
      </c>
      <c r="B5783" s="28" t="s">
        <v>107</v>
      </c>
      <c r="C5783" s="28" t="s">
        <v>50</v>
      </c>
      <c r="D5783" s="28" t="n">
        <v>52</v>
      </c>
      <c r="E5783" s="29" t="n">
        <v>21035500</v>
      </c>
      <c r="F5783" s="30" t="n">
        <v>533.59</v>
      </c>
      <c r="G5783" s="31" t="n">
        <f aca="false">IFERROR(F5783/D5783,0)</f>
        <v>10.2613461538462</v>
      </c>
    </row>
    <row r="5784" customFormat="false" ht="15" hidden="false" customHeight="false" outlineLevel="0" collapsed="false">
      <c r="A5784" s="28" t="n">
        <v>2026</v>
      </c>
      <c r="B5784" s="28" t="s">
        <v>107</v>
      </c>
      <c r="C5784" s="28" t="s">
        <v>55</v>
      </c>
      <c r="D5784" s="28" t="n">
        <v>2</v>
      </c>
      <c r="E5784" s="29" t="n">
        <v>45000</v>
      </c>
      <c r="F5784" s="30" t="n">
        <v>26.75</v>
      </c>
      <c r="G5784" s="31" t="n">
        <f aca="false">IFERROR(F5784/D5784,0)</f>
        <v>13.375</v>
      </c>
    </row>
    <row r="5785" customFormat="false" ht="15" hidden="false" customHeight="false" outlineLevel="0" collapsed="false">
      <c r="A5785" s="28" t="n">
        <v>2026</v>
      </c>
      <c r="B5785" s="28" t="s">
        <v>107</v>
      </c>
      <c r="C5785" s="28" t="s">
        <v>51</v>
      </c>
      <c r="D5785" s="28" t="n">
        <v>32</v>
      </c>
      <c r="E5785" s="29" t="n">
        <v>17442400</v>
      </c>
      <c r="F5785" s="30" t="n">
        <v>321.73</v>
      </c>
      <c r="G5785" s="31" t="n">
        <f aca="false">IFERROR(F5785/D5785,0)</f>
        <v>10.0540625</v>
      </c>
    </row>
    <row r="5786" customFormat="false" ht="15" hidden="false" customHeight="false" outlineLevel="0" collapsed="false">
      <c r="A5786" s="28" t="n">
        <v>2026</v>
      </c>
      <c r="B5786" s="28" t="s">
        <v>107</v>
      </c>
      <c r="C5786" s="28" t="s">
        <v>45</v>
      </c>
      <c r="D5786" s="28" t="n">
        <v>96</v>
      </c>
      <c r="E5786" s="29" t="n">
        <v>30683500</v>
      </c>
      <c r="F5786" s="30" t="n">
        <v>980.71</v>
      </c>
      <c r="G5786" s="31" t="n">
        <f aca="false">IFERROR(F5786/D5786,0)</f>
        <v>10.2157291666667</v>
      </c>
    </row>
    <row r="5787" customFormat="false" ht="15" hidden="false" customHeight="false" outlineLevel="0" collapsed="false">
      <c r="A5787" s="28" t="n">
        <v>2026</v>
      </c>
      <c r="B5787" s="28" t="s">
        <v>107</v>
      </c>
      <c r="C5787" s="28" t="s">
        <v>56</v>
      </c>
      <c r="D5787" s="28" t="n">
        <v>18</v>
      </c>
      <c r="E5787" s="29" t="n">
        <v>3578500</v>
      </c>
      <c r="F5787" s="30" t="n">
        <v>206.99</v>
      </c>
      <c r="G5787" s="31" t="n">
        <f aca="false">IFERROR(F5787/D5787,0)</f>
        <v>11.4994444444444</v>
      </c>
    </row>
    <row r="5788" customFormat="false" ht="15" hidden="false" customHeight="false" outlineLevel="0" collapsed="false">
      <c r="A5788" s="28" t="n">
        <v>2026</v>
      </c>
      <c r="B5788" s="28" t="s">
        <v>107</v>
      </c>
      <c r="C5788" s="28" t="s">
        <v>54</v>
      </c>
      <c r="D5788" s="28" t="n">
        <v>7</v>
      </c>
      <c r="E5788" s="29" t="n">
        <v>663400</v>
      </c>
      <c r="F5788" s="30" t="n">
        <v>79.73</v>
      </c>
      <c r="G5788" s="31" t="n">
        <f aca="false">IFERROR(F5788/D5788,0)</f>
        <v>11.39</v>
      </c>
    </row>
    <row r="5789" customFormat="false" ht="15" hidden="false" customHeight="false" outlineLevel="0" collapsed="false">
      <c r="A5789" s="28" t="n">
        <v>2026</v>
      </c>
      <c r="B5789" s="28" t="s">
        <v>107</v>
      </c>
      <c r="C5789" s="28" t="s">
        <v>44</v>
      </c>
      <c r="D5789" s="28" t="n">
        <v>117</v>
      </c>
      <c r="E5789" s="29" t="n">
        <v>67124800</v>
      </c>
      <c r="F5789" s="30" t="n">
        <v>1150.92</v>
      </c>
      <c r="G5789" s="31" t="n">
        <f aca="false">IFERROR(F5789/D5789,0)</f>
        <v>9.83692307692308</v>
      </c>
    </row>
    <row r="5790" customFormat="false" ht="15" hidden="false" customHeight="false" outlineLevel="0" collapsed="false">
      <c r="A5790" s="28" t="n">
        <v>2026</v>
      </c>
      <c r="B5790" s="28" t="s">
        <v>107</v>
      </c>
      <c r="C5790" s="28" t="s">
        <v>57</v>
      </c>
      <c r="D5790" s="28" t="n">
        <v>5</v>
      </c>
      <c r="E5790" s="29" t="n">
        <v>5184000</v>
      </c>
      <c r="F5790" s="30" t="n">
        <v>52</v>
      </c>
      <c r="G5790" s="31" t="n">
        <f aca="false">IFERROR(F5790/D5790,0)</f>
        <v>10.4</v>
      </c>
    </row>
    <row r="5791" customFormat="false" ht="15" hidden="false" customHeight="false" outlineLevel="0" collapsed="false">
      <c r="A5791" s="28" t="n">
        <v>2026</v>
      </c>
      <c r="B5791" s="28" t="s">
        <v>107</v>
      </c>
      <c r="C5791" s="28" t="s">
        <v>47</v>
      </c>
      <c r="D5791" s="28" t="n">
        <v>22</v>
      </c>
      <c r="E5791" s="29" t="n">
        <v>11240000</v>
      </c>
      <c r="F5791" s="30" t="n">
        <v>215.48</v>
      </c>
      <c r="G5791" s="31" t="n">
        <f aca="false">IFERROR(F5791/D5791,0)</f>
        <v>9.79454545454546</v>
      </c>
    </row>
    <row r="5792" customFormat="false" ht="15" hidden="false" customHeight="false" outlineLevel="0" collapsed="false">
      <c r="A5792" s="28" t="n">
        <v>2026</v>
      </c>
      <c r="B5792" s="28" t="s">
        <v>107</v>
      </c>
      <c r="C5792" s="28" t="s">
        <v>58</v>
      </c>
      <c r="D5792" s="28" t="n">
        <v>1</v>
      </c>
      <c r="E5792" s="29" t="n">
        <v>40000</v>
      </c>
      <c r="F5792" s="30" t="n">
        <v>9.75</v>
      </c>
      <c r="G5792" s="31" t="n">
        <f aca="false">IFERROR(F5792/D5792,0)</f>
        <v>9.75</v>
      </c>
    </row>
    <row r="5793" customFormat="false" ht="15" hidden="false" customHeight="false" outlineLevel="0" collapsed="false">
      <c r="A5793" s="28" t="n">
        <v>2026</v>
      </c>
      <c r="B5793" s="28" t="s">
        <v>107</v>
      </c>
      <c r="C5793" s="28" t="s">
        <v>46</v>
      </c>
      <c r="D5793" s="28" t="n">
        <v>95</v>
      </c>
      <c r="E5793" s="29" t="n">
        <v>31539100</v>
      </c>
      <c r="F5793" s="30" t="n">
        <v>989.14</v>
      </c>
      <c r="G5793" s="31" t="n">
        <f aca="false">IFERROR(F5793/D5793,0)</f>
        <v>10.412</v>
      </c>
    </row>
    <row r="5794" customFormat="false" ht="15" hidden="false" customHeight="false" outlineLevel="0" collapsed="false">
      <c r="A5794" s="28" t="n">
        <v>2026</v>
      </c>
      <c r="B5794" s="28" t="s">
        <v>107</v>
      </c>
      <c r="C5794" s="28" t="s">
        <v>48</v>
      </c>
      <c r="D5794" s="28" t="n">
        <v>98</v>
      </c>
      <c r="E5794" s="29" t="n">
        <v>32668400</v>
      </c>
      <c r="F5794" s="30" t="n">
        <v>1038.17</v>
      </c>
      <c r="G5794" s="31" t="n">
        <f aca="false">IFERROR(F5794/D5794,0)</f>
        <v>10.5935714285714</v>
      </c>
    </row>
    <row r="5795" customFormat="false" ht="15" hidden="false" customHeight="false" outlineLevel="0" collapsed="false">
      <c r="A5795" s="28" t="n">
        <v>2026</v>
      </c>
      <c r="B5795" s="28" t="s">
        <v>107</v>
      </c>
      <c r="C5795" s="28" t="s">
        <v>61</v>
      </c>
      <c r="D5795" s="28" t="n">
        <v>1</v>
      </c>
      <c r="E5795" s="29" t="n">
        <v>81000</v>
      </c>
      <c r="F5795" s="30" t="n">
        <v>11.75</v>
      </c>
      <c r="G5795" s="31" t="n">
        <f aca="false">IFERROR(F5795/D5795,0)</f>
        <v>11.75</v>
      </c>
    </row>
    <row r="5796" customFormat="false" ht="15" hidden="false" customHeight="false" outlineLevel="0" collapsed="false">
      <c r="A5796" s="28" t="n">
        <v>2026</v>
      </c>
      <c r="B5796" s="28" t="s">
        <v>107</v>
      </c>
      <c r="C5796" s="28" t="s">
        <v>53</v>
      </c>
      <c r="D5796" s="28" t="n">
        <v>13</v>
      </c>
      <c r="E5796" s="29" t="n">
        <v>8690400</v>
      </c>
      <c r="F5796" s="30" t="n">
        <v>128.99</v>
      </c>
      <c r="G5796" s="31" t="n">
        <f aca="false">IFERROR(F5796/D5796,0)</f>
        <v>9.92230769230769</v>
      </c>
    </row>
    <row r="5797" customFormat="false" ht="15" hidden="false" customHeight="false" outlineLevel="0" collapsed="false">
      <c r="A5797" s="28" t="n">
        <v>2026</v>
      </c>
      <c r="B5797" s="28" t="s">
        <v>107</v>
      </c>
      <c r="C5797" s="28" t="s">
        <v>43</v>
      </c>
      <c r="D5797" s="28" t="n">
        <v>63</v>
      </c>
      <c r="E5797" s="29" t="n">
        <v>29321800</v>
      </c>
      <c r="F5797" s="30" t="n">
        <v>611.96</v>
      </c>
      <c r="G5797" s="31" t="n">
        <f aca="false">IFERROR(F5797/D5797,0)</f>
        <v>9.71365079365079</v>
      </c>
    </row>
    <row r="5798" customFormat="false" ht="15" hidden="false" customHeight="false" outlineLevel="0" collapsed="false">
      <c r="A5798" s="28" t="n">
        <v>2026</v>
      </c>
      <c r="B5798" s="28" t="s">
        <v>107</v>
      </c>
      <c r="C5798" s="28" t="s">
        <v>52</v>
      </c>
      <c r="D5798" s="28" t="n">
        <v>33</v>
      </c>
      <c r="E5798" s="29" t="n">
        <v>11519400</v>
      </c>
      <c r="F5798" s="30" t="n">
        <v>364.28</v>
      </c>
      <c r="G5798" s="31" t="n">
        <f aca="false">IFERROR(F5798/D5798,0)</f>
        <v>11.0387878787879</v>
      </c>
    </row>
    <row r="5799" customFormat="false" ht="15" hidden="false" customHeight="false" outlineLevel="0" collapsed="false">
      <c r="A5799" s="28" t="n">
        <v>2026</v>
      </c>
      <c r="B5799" s="28" t="s">
        <v>107</v>
      </c>
      <c r="C5799" s="28" t="s">
        <v>49</v>
      </c>
      <c r="D5799" s="28" t="n">
        <v>20</v>
      </c>
      <c r="E5799" s="29" t="n">
        <v>10771100</v>
      </c>
      <c r="F5799" s="30" t="n">
        <v>196.23</v>
      </c>
      <c r="G5799" s="31" t="n">
        <f aca="false">IFERROR(F5799/D5799,0)</f>
        <v>9.8115</v>
      </c>
    </row>
    <row r="5800" customFormat="false" ht="15" hidden="false" customHeight="false" outlineLevel="0" collapsed="false">
      <c r="A5800" s="28" t="n">
        <v>2026</v>
      </c>
      <c r="B5800" s="28" t="s">
        <v>109</v>
      </c>
      <c r="C5800" s="28" t="s">
        <v>42</v>
      </c>
      <c r="D5800" s="28" t="n">
        <v>22</v>
      </c>
      <c r="E5800" s="29" t="n">
        <v>12562700</v>
      </c>
      <c r="F5800" s="30" t="n">
        <v>187.095</v>
      </c>
      <c r="G5800" s="31" t="n">
        <f aca="false">IFERROR(F5800/D5800,0)</f>
        <v>8.50431818181818</v>
      </c>
    </row>
    <row r="5801" customFormat="false" ht="15" hidden="false" customHeight="false" outlineLevel="0" collapsed="false">
      <c r="A5801" s="28" t="n">
        <v>2026</v>
      </c>
      <c r="B5801" s="28" t="s">
        <v>109</v>
      </c>
      <c r="C5801" s="28" t="s">
        <v>50</v>
      </c>
      <c r="D5801" s="28" t="n">
        <v>12</v>
      </c>
      <c r="E5801" s="29" t="n">
        <v>1854100</v>
      </c>
      <c r="F5801" s="30" t="n">
        <v>115.5</v>
      </c>
      <c r="G5801" s="31" t="n">
        <f aca="false">IFERROR(F5801/D5801,0)</f>
        <v>9.625</v>
      </c>
    </row>
    <row r="5802" customFormat="false" ht="15" hidden="false" customHeight="false" outlineLevel="0" collapsed="false">
      <c r="A5802" s="28" t="n">
        <v>2026</v>
      </c>
      <c r="B5802" s="28" t="s">
        <v>109</v>
      </c>
      <c r="C5802" s="28" t="s">
        <v>55</v>
      </c>
      <c r="D5802" s="28" t="n">
        <v>9</v>
      </c>
      <c r="E5802" s="29" t="n">
        <v>781300</v>
      </c>
      <c r="F5802" s="30" t="n">
        <v>68.59</v>
      </c>
      <c r="G5802" s="31" t="n">
        <f aca="false">IFERROR(F5802/D5802,0)</f>
        <v>7.62111111111111</v>
      </c>
    </row>
    <row r="5803" customFormat="false" ht="15" hidden="false" customHeight="false" outlineLevel="0" collapsed="false">
      <c r="A5803" s="28" t="n">
        <v>2026</v>
      </c>
      <c r="B5803" s="28" t="s">
        <v>109</v>
      </c>
      <c r="C5803" s="28" t="s">
        <v>51</v>
      </c>
      <c r="D5803" s="28" t="n">
        <v>8</v>
      </c>
      <c r="E5803" s="29" t="n">
        <v>550200</v>
      </c>
      <c r="F5803" s="30" t="n">
        <v>58.54</v>
      </c>
      <c r="G5803" s="31" t="n">
        <f aca="false">IFERROR(F5803/D5803,0)</f>
        <v>7.3175</v>
      </c>
    </row>
    <row r="5804" customFormat="false" ht="15" hidden="false" customHeight="false" outlineLevel="0" collapsed="false">
      <c r="A5804" s="28" t="n">
        <v>2026</v>
      </c>
      <c r="B5804" s="28" t="s">
        <v>109</v>
      </c>
      <c r="C5804" s="28" t="s">
        <v>45</v>
      </c>
      <c r="D5804" s="28" t="n">
        <v>29</v>
      </c>
      <c r="E5804" s="29" t="n">
        <v>9061400</v>
      </c>
      <c r="F5804" s="30" t="n">
        <v>277.75</v>
      </c>
      <c r="G5804" s="31" t="n">
        <f aca="false">IFERROR(F5804/D5804,0)</f>
        <v>9.57758620689655</v>
      </c>
    </row>
    <row r="5805" customFormat="false" ht="15" hidden="false" customHeight="false" outlineLevel="0" collapsed="false">
      <c r="A5805" s="28" t="n">
        <v>2026</v>
      </c>
      <c r="B5805" s="28" t="s">
        <v>109</v>
      </c>
      <c r="C5805" s="28" t="s">
        <v>54</v>
      </c>
      <c r="D5805" s="28" t="n">
        <v>1</v>
      </c>
      <c r="E5805" s="29" t="n">
        <v>52000</v>
      </c>
      <c r="F5805" s="30" t="n">
        <v>9.75</v>
      </c>
      <c r="G5805" s="31" t="n">
        <f aca="false">IFERROR(F5805/D5805,0)</f>
        <v>9.75</v>
      </c>
    </row>
    <row r="5806" customFormat="false" ht="15" hidden="false" customHeight="false" outlineLevel="0" collapsed="false">
      <c r="A5806" s="28" t="n">
        <v>2026</v>
      </c>
      <c r="B5806" s="28" t="s">
        <v>109</v>
      </c>
      <c r="C5806" s="28" t="s">
        <v>44</v>
      </c>
      <c r="D5806" s="28" t="n">
        <v>17</v>
      </c>
      <c r="E5806" s="29" t="n">
        <v>3558000</v>
      </c>
      <c r="F5806" s="30" t="n">
        <v>151.25</v>
      </c>
      <c r="G5806" s="31" t="n">
        <f aca="false">IFERROR(F5806/D5806,0)</f>
        <v>8.89705882352941</v>
      </c>
    </row>
    <row r="5807" customFormat="false" ht="15" hidden="false" customHeight="false" outlineLevel="0" collapsed="false">
      <c r="A5807" s="28" t="n">
        <v>2026</v>
      </c>
      <c r="B5807" s="28" t="s">
        <v>109</v>
      </c>
      <c r="C5807" s="28" t="s">
        <v>47</v>
      </c>
      <c r="D5807" s="28" t="n">
        <v>14</v>
      </c>
      <c r="E5807" s="29" t="n">
        <v>10026500</v>
      </c>
      <c r="F5807" s="30" t="n">
        <v>117.56</v>
      </c>
      <c r="G5807" s="31" t="n">
        <f aca="false">IFERROR(F5807/D5807,0)</f>
        <v>8.39714285714286</v>
      </c>
    </row>
    <row r="5808" customFormat="false" ht="15" hidden="false" customHeight="false" outlineLevel="0" collapsed="false">
      <c r="A5808" s="28" t="n">
        <v>2026</v>
      </c>
      <c r="B5808" s="28" t="s">
        <v>109</v>
      </c>
      <c r="C5808" s="28" t="s">
        <v>46</v>
      </c>
      <c r="D5808" s="28" t="n">
        <v>19</v>
      </c>
      <c r="E5808" s="29" t="n">
        <v>3233300</v>
      </c>
      <c r="F5808" s="30" t="n">
        <v>178.63</v>
      </c>
      <c r="G5808" s="31" t="n">
        <f aca="false">IFERROR(F5808/D5808,0)</f>
        <v>9.40157894736842</v>
      </c>
    </row>
    <row r="5809" customFormat="false" ht="15" hidden="false" customHeight="false" outlineLevel="0" collapsed="false">
      <c r="A5809" s="28" t="n">
        <v>2026</v>
      </c>
      <c r="B5809" s="28" t="s">
        <v>109</v>
      </c>
      <c r="C5809" s="28" t="s">
        <v>48</v>
      </c>
      <c r="D5809" s="28" t="n">
        <v>14</v>
      </c>
      <c r="E5809" s="29" t="n">
        <v>4651000</v>
      </c>
      <c r="F5809" s="30" t="n">
        <v>133</v>
      </c>
      <c r="G5809" s="31" t="n">
        <f aca="false">IFERROR(F5809/D5809,0)</f>
        <v>9.5</v>
      </c>
    </row>
    <row r="5810" customFormat="false" ht="15" hidden="false" customHeight="false" outlineLevel="0" collapsed="false">
      <c r="A5810" s="28" t="n">
        <v>2026</v>
      </c>
      <c r="B5810" s="28" t="s">
        <v>109</v>
      </c>
      <c r="C5810" s="28" t="s">
        <v>53</v>
      </c>
      <c r="D5810" s="28" t="n">
        <v>10</v>
      </c>
      <c r="E5810" s="29" t="n">
        <v>6539300</v>
      </c>
      <c r="F5810" s="30" t="n">
        <v>84.1</v>
      </c>
      <c r="G5810" s="31" t="n">
        <f aca="false">IFERROR(F5810/D5810,0)</f>
        <v>8.41</v>
      </c>
    </row>
    <row r="5811" customFormat="false" ht="15" hidden="false" customHeight="false" outlineLevel="0" collapsed="false">
      <c r="A5811" s="28" t="n">
        <v>2026</v>
      </c>
      <c r="B5811" s="28" t="s">
        <v>109</v>
      </c>
      <c r="C5811" s="28" t="s">
        <v>43</v>
      </c>
      <c r="D5811" s="28" t="n">
        <v>17</v>
      </c>
      <c r="E5811" s="29" t="n">
        <v>3847100</v>
      </c>
      <c r="F5811" s="30" t="n">
        <v>145.91</v>
      </c>
      <c r="G5811" s="31" t="n">
        <f aca="false">IFERROR(F5811/D5811,0)</f>
        <v>8.58294117647059</v>
      </c>
    </row>
    <row r="5812" customFormat="false" ht="15" hidden="false" customHeight="false" outlineLevel="0" collapsed="false">
      <c r="A5812" s="28" t="n">
        <v>2026</v>
      </c>
      <c r="B5812" s="28" t="s">
        <v>109</v>
      </c>
      <c r="C5812" s="28" t="s">
        <v>52</v>
      </c>
      <c r="D5812" s="28" t="n">
        <v>5</v>
      </c>
      <c r="E5812" s="29" t="n">
        <v>4454500</v>
      </c>
      <c r="F5812" s="30" t="n">
        <v>41.75</v>
      </c>
      <c r="G5812" s="31" t="n">
        <f aca="false">IFERROR(F5812/D5812,0)</f>
        <v>8.35</v>
      </c>
    </row>
    <row r="5813" customFormat="false" ht="15" hidden="false" customHeight="false" outlineLevel="0" collapsed="false">
      <c r="A5813" s="28" t="n">
        <v>2026</v>
      </c>
      <c r="B5813" s="28" t="s">
        <v>109</v>
      </c>
      <c r="C5813" s="28" t="s">
        <v>49</v>
      </c>
      <c r="D5813" s="28" t="n">
        <v>3</v>
      </c>
      <c r="E5813" s="29" t="n">
        <v>4125000</v>
      </c>
      <c r="F5813" s="30" t="n">
        <v>26</v>
      </c>
      <c r="G5813" s="31" t="n">
        <f aca="false">IFERROR(F5813/D5813,0)</f>
        <v>8.66666666666667</v>
      </c>
    </row>
    <row r="5814" customFormat="false" ht="15" hidden="false" customHeight="false" outlineLevel="0" collapsed="false">
      <c r="A5814" s="28" t="n">
        <v>2026</v>
      </c>
      <c r="B5814" s="28" t="s">
        <v>95</v>
      </c>
      <c r="C5814" s="28" t="s">
        <v>42</v>
      </c>
      <c r="D5814" s="28" t="n">
        <v>123</v>
      </c>
      <c r="E5814" s="29" t="n">
        <v>88534600</v>
      </c>
      <c r="F5814" s="30" t="n">
        <v>1112.042</v>
      </c>
      <c r="G5814" s="31" t="n">
        <f aca="false">IFERROR(F5814/D5814,0)</f>
        <v>9.0409918699187</v>
      </c>
    </row>
    <row r="5815" customFormat="false" ht="15" hidden="false" customHeight="false" outlineLevel="0" collapsed="false">
      <c r="A5815" s="28" t="n">
        <v>2026</v>
      </c>
      <c r="B5815" s="28" t="s">
        <v>95</v>
      </c>
      <c r="C5815" s="28" t="s">
        <v>50</v>
      </c>
      <c r="D5815" s="28" t="n">
        <v>56</v>
      </c>
      <c r="E5815" s="29" t="n">
        <v>25468600</v>
      </c>
      <c r="F5815" s="30" t="n">
        <v>521.44</v>
      </c>
      <c r="G5815" s="31" t="n">
        <f aca="false">IFERROR(F5815/D5815,0)</f>
        <v>9.31142857142857</v>
      </c>
    </row>
    <row r="5816" customFormat="false" ht="15" hidden="false" customHeight="false" outlineLevel="0" collapsed="false">
      <c r="A5816" s="28" t="n">
        <v>2026</v>
      </c>
      <c r="B5816" s="28" t="s">
        <v>95</v>
      </c>
      <c r="C5816" s="28" t="s">
        <v>55</v>
      </c>
      <c r="D5816" s="28" t="n">
        <v>6</v>
      </c>
      <c r="E5816" s="29" t="n">
        <v>1391000</v>
      </c>
      <c r="F5816" s="30" t="n">
        <v>57.55</v>
      </c>
      <c r="G5816" s="31" t="n">
        <f aca="false">IFERROR(F5816/D5816,0)</f>
        <v>9.59166666666667</v>
      </c>
    </row>
    <row r="5817" customFormat="false" ht="15" hidden="false" customHeight="false" outlineLevel="0" collapsed="false">
      <c r="A5817" s="28" t="n">
        <v>2026</v>
      </c>
      <c r="B5817" s="28" t="s">
        <v>95</v>
      </c>
      <c r="C5817" s="28" t="s">
        <v>51</v>
      </c>
      <c r="D5817" s="28" t="n">
        <v>54</v>
      </c>
      <c r="E5817" s="29" t="n">
        <v>37720800</v>
      </c>
      <c r="F5817" s="30" t="n">
        <v>497.72</v>
      </c>
      <c r="G5817" s="31" t="n">
        <f aca="false">IFERROR(F5817/D5817,0)</f>
        <v>9.21703703703704</v>
      </c>
    </row>
    <row r="5818" customFormat="false" ht="15" hidden="false" customHeight="false" outlineLevel="0" collapsed="false">
      <c r="A5818" s="28" t="n">
        <v>2026</v>
      </c>
      <c r="B5818" s="28" t="s">
        <v>95</v>
      </c>
      <c r="C5818" s="28" t="s">
        <v>45</v>
      </c>
      <c r="D5818" s="28" t="n">
        <v>149</v>
      </c>
      <c r="E5818" s="29" t="n">
        <v>55130900</v>
      </c>
      <c r="F5818" s="30" t="n">
        <v>1417.27</v>
      </c>
      <c r="G5818" s="31" t="n">
        <f aca="false">IFERROR(F5818/D5818,0)</f>
        <v>9.51187919463087</v>
      </c>
    </row>
    <row r="5819" customFormat="false" ht="15" hidden="false" customHeight="false" outlineLevel="0" collapsed="false">
      <c r="A5819" s="28" t="n">
        <v>2026</v>
      </c>
      <c r="B5819" s="28" t="s">
        <v>95</v>
      </c>
      <c r="C5819" s="28" t="s">
        <v>56</v>
      </c>
      <c r="D5819" s="28" t="n">
        <v>19</v>
      </c>
      <c r="E5819" s="29" t="n">
        <v>6323700</v>
      </c>
      <c r="F5819" s="30" t="n">
        <v>175.27</v>
      </c>
      <c r="G5819" s="31" t="n">
        <f aca="false">IFERROR(F5819/D5819,0)</f>
        <v>9.22473684210526</v>
      </c>
    </row>
    <row r="5820" customFormat="false" ht="15" hidden="false" customHeight="false" outlineLevel="0" collapsed="false">
      <c r="A5820" s="28" t="n">
        <v>2026</v>
      </c>
      <c r="B5820" s="28" t="s">
        <v>95</v>
      </c>
      <c r="C5820" s="28" t="s">
        <v>54</v>
      </c>
      <c r="D5820" s="28" t="n">
        <v>17</v>
      </c>
      <c r="E5820" s="29" t="n">
        <v>9493200</v>
      </c>
      <c r="F5820" s="30" t="n">
        <v>156.79</v>
      </c>
      <c r="G5820" s="31" t="n">
        <f aca="false">IFERROR(F5820/D5820,0)</f>
        <v>9.22294117647059</v>
      </c>
    </row>
    <row r="5821" customFormat="false" ht="15" hidden="false" customHeight="false" outlineLevel="0" collapsed="false">
      <c r="A5821" s="28" t="n">
        <v>2026</v>
      </c>
      <c r="B5821" s="28" t="s">
        <v>95</v>
      </c>
      <c r="C5821" s="28" t="s">
        <v>44</v>
      </c>
      <c r="D5821" s="28" t="n">
        <v>100</v>
      </c>
      <c r="E5821" s="29" t="n">
        <v>64331800</v>
      </c>
      <c r="F5821" s="30" t="n">
        <v>901.99</v>
      </c>
      <c r="G5821" s="31" t="n">
        <f aca="false">IFERROR(F5821/D5821,0)</f>
        <v>9.0199</v>
      </c>
    </row>
    <row r="5822" customFormat="false" ht="15" hidden="false" customHeight="false" outlineLevel="0" collapsed="false">
      <c r="A5822" s="28" t="n">
        <v>2026</v>
      </c>
      <c r="B5822" s="28" t="s">
        <v>95</v>
      </c>
      <c r="C5822" s="28" t="s">
        <v>57</v>
      </c>
      <c r="D5822" s="28" t="n">
        <v>6</v>
      </c>
      <c r="E5822" s="29" t="n">
        <v>2442200</v>
      </c>
      <c r="F5822" s="30" t="n">
        <v>52.4</v>
      </c>
      <c r="G5822" s="31" t="n">
        <f aca="false">IFERROR(F5822/D5822,0)</f>
        <v>8.73333333333333</v>
      </c>
    </row>
    <row r="5823" customFormat="false" ht="15" hidden="false" customHeight="false" outlineLevel="0" collapsed="false">
      <c r="A5823" s="28" t="n">
        <v>2026</v>
      </c>
      <c r="B5823" s="28" t="s">
        <v>95</v>
      </c>
      <c r="C5823" s="28" t="s">
        <v>59</v>
      </c>
      <c r="D5823" s="28" t="n">
        <v>3</v>
      </c>
      <c r="E5823" s="29" t="n">
        <v>330000</v>
      </c>
      <c r="F5823" s="30" t="n">
        <v>27.75</v>
      </c>
      <c r="G5823" s="31" t="n">
        <f aca="false">IFERROR(F5823/D5823,0)</f>
        <v>9.25</v>
      </c>
    </row>
    <row r="5824" customFormat="false" ht="15" hidden="false" customHeight="false" outlineLevel="0" collapsed="false">
      <c r="A5824" s="28" t="n">
        <v>2026</v>
      </c>
      <c r="B5824" s="28" t="s">
        <v>95</v>
      </c>
      <c r="C5824" s="28" t="s">
        <v>47</v>
      </c>
      <c r="D5824" s="28" t="n">
        <v>67</v>
      </c>
      <c r="E5824" s="29" t="n">
        <v>48980800</v>
      </c>
      <c r="F5824" s="30" t="n">
        <v>585.61</v>
      </c>
      <c r="G5824" s="31" t="n">
        <f aca="false">IFERROR(F5824/D5824,0)</f>
        <v>8.74044776119403</v>
      </c>
    </row>
    <row r="5825" customFormat="false" ht="15" hidden="false" customHeight="false" outlineLevel="0" collapsed="false">
      <c r="A5825" s="28" t="n">
        <v>2026</v>
      </c>
      <c r="B5825" s="28" t="s">
        <v>95</v>
      </c>
      <c r="C5825" s="28" t="s">
        <v>46</v>
      </c>
      <c r="D5825" s="28" t="n">
        <v>109</v>
      </c>
      <c r="E5825" s="29" t="n">
        <v>48475900</v>
      </c>
      <c r="F5825" s="30" t="n">
        <v>1013.38</v>
      </c>
      <c r="G5825" s="31" t="n">
        <f aca="false">IFERROR(F5825/D5825,0)</f>
        <v>9.29706422018349</v>
      </c>
    </row>
    <row r="5826" customFormat="false" ht="15" hidden="false" customHeight="false" outlineLevel="0" collapsed="false">
      <c r="A5826" s="28" t="n">
        <v>2026</v>
      </c>
      <c r="B5826" s="28" t="s">
        <v>95</v>
      </c>
      <c r="C5826" s="28" t="s">
        <v>48</v>
      </c>
      <c r="D5826" s="28" t="n">
        <v>69</v>
      </c>
      <c r="E5826" s="29" t="n">
        <v>23770300</v>
      </c>
      <c r="F5826" s="30" t="n">
        <v>651.63</v>
      </c>
      <c r="G5826" s="31" t="n">
        <f aca="false">IFERROR(F5826/D5826,0)</f>
        <v>9.44391304347826</v>
      </c>
    </row>
    <row r="5827" customFormat="false" ht="15" hidden="false" customHeight="false" outlineLevel="0" collapsed="false">
      <c r="A5827" s="28" t="n">
        <v>2026</v>
      </c>
      <c r="B5827" s="28" t="s">
        <v>95</v>
      </c>
      <c r="C5827" s="28" t="s">
        <v>53</v>
      </c>
      <c r="D5827" s="28" t="n">
        <v>23</v>
      </c>
      <c r="E5827" s="29" t="n">
        <v>9407300</v>
      </c>
      <c r="F5827" s="30" t="n">
        <v>234.05</v>
      </c>
      <c r="G5827" s="31" t="n">
        <f aca="false">IFERROR(F5827/D5827,0)</f>
        <v>10.1760869565217</v>
      </c>
    </row>
    <row r="5828" customFormat="false" ht="15" hidden="false" customHeight="false" outlineLevel="0" collapsed="false">
      <c r="A5828" s="28" t="n">
        <v>2026</v>
      </c>
      <c r="B5828" s="28" t="s">
        <v>95</v>
      </c>
      <c r="C5828" s="28" t="s">
        <v>43</v>
      </c>
      <c r="D5828" s="28" t="n">
        <v>132</v>
      </c>
      <c r="E5828" s="29" t="n">
        <v>87494800</v>
      </c>
      <c r="F5828" s="30" t="n">
        <v>1204.91</v>
      </c>
      <c r="G5828" s="31" t="n">
        <f aca="false">IFERROR(F5828/D5828,0)</f>
        <v>9.12810606060606</v>
      </c>
    </row>
    <row r="5829" customFormat="false" ht="15" hidden="false" customHeight="false" outlineLevel="0" collapsed="false">
      <c r="A5829" s="28" t="n">
        <v>2026</v>
      </c>
      <c r="B5829" s="28" t="s">
        <v>95</v>
      </c>
      <c r="C5829" s="28" t="s">
        <v>52</v>
      </c>
      <c r="D5829" s="28" t="n">
        <v>44</v>
      </c>
      <c r="E5829" s="29" t="n">
        <v>9016500</v>
      </c>
      <c r="F5829" s="30" t="n">
        <v>434.44</v>
      </c>
      <c r="G5829" s="31" t="n">
        <f aca="false">IFERROR(F5829/D5829,0)</f>
        <v>9.87363636363636</v>
      </c>
    </row>
    <row r="5830" customFormat="false" ht="15" hidden="false" customHeight="false" outlineLevel="0" collapsed="false">
      <c r="A5830" s="28" t="n">
        <v>2026</v>
      </c>
      <c r="B5830" s="28" t="s">
        <v>95</v>
      </c>
      <c r="C5830" s="28" t="s">
        <v>49</v>
      </c>
      <c r="D5830" s="28" t="n">
        <v>29</v>
      </c>
      <c r="E5830" s="29" t="n">
        <v>16752400</v>
      </c>
      <c r="F5830" s="30" t="n">
        <v>254.07</v>
      </c>
      <c r="G5830" s="31" t="n">
        <f aca="false">IFERROR(F5830/D5830,0)</f>
        <v>8.76103448275862</v>
      </c>
    </row>
    <row r="5831" customFormat="false" ht="15" hidden="false" customHeight="false" outlineLevel="0" collapsed="false">
      <c r="A5831" s="28" t="n">
        <v>2026</v>
      </c>
      <c r="B5831" s="28" t="s">
        <v>98</v>
      </c>
      <c r="C5831" s="28" t="s">
        <v>42</v>
      </c>
      <c r="D5831" s="28" t="n">
        <v>79</v>
      </c>
      <c r="E5831" s="29" t="n">
        <v>58897200</v>
      </c>
      <c r="F5831" s="30" t="n">
        <v>689.79</v>
      </c>
      <c r="G5831" s="31" t="n">
        <f aca="false">IFERROR(F5831/D5831,0)</f>
        <v>8.73151898734177</v>
      </c>
    </row>
    <row r="5832" customFormat="false" ht="15" hidden="false" customHeight="false" outlineLevel="0" collapsed="false">
      <c r="A5832" s="28" t="n">
        <v>2026</v>
      </c>
      <c r="B5832" s="28" t="s">
        <v>98</v>
      </c>
      <c r="C5832" s="28" t="s">
        <v>50</v>
      </c>
      <c r="D5832" s="28" t="n">
        <v>61</v>
      </c>
      <c r="E5832" s="29" t="n">
        <v>19753700</v>
      </c>
      <c r="F5832" s="30" t="n">
        <v>550.46</v>
      </c>
      <c r="G5832" s="31" t="n">
        <f aca="false">IFERROR(F5832/D5832,0)</f>
        <v>9.02393442622951</v>
      </c>
    </row>
    <row r="5833" customFormat="false" ht="15" hidden="false" customHeight="false" outlineLevel="0" collapsed="false">
      <c r="A5833" s="28" t="n">
        <v>2026</v>
      </c>
      <c r="B5833" s="28" t="s">
        <v>98</v>
      </c>
      <c r="C5833" s="28" t="s">
        <v>55</v>
      </c>
      <c r="D5833" s="28" t="n">
        <v>2</v>
      </c>
      <c r="E5833" s="29" t="n">
        <v>545000</v>
      </c>
      <c r="F5833" s="30" t="n">
        <v>17</v>
      </c>
      <c r="G5833" s="31" t="n">
        <f aca="false">IFERROR(F5833/D5833,0)</f>
        <v>8.5</v>
      </c>
    </row>
    <row r="5834" customFormat="false" ht="15" hidden="false" customHeight="false" outlineLevel="0" collapsed="false">
      <c r="A5834" s="28" t="n">
        <v>2026</v>
      </c>
      <c r="B5834" s="28" t="s">
        <v>98</v>
      </c>
      <c r="C5834" s="28" t="s">
        <v>51</v>
      </c>
      <c r="D5834" s="28" t="n">
        <v>32</v>
      </c>
      <c r="E5834" s="29" t="n">
        <v>8519300</v>
      </c>
      <c r="F5834" s="30" t="n">
        <v>292.33</v>
      </c>
      <c r="G5834" s="31" t="n">
        <f aca="false">IFERROR(F5834/D5834,0)</f>
        <v>9.1353125</v>
      </c>
    </row>
    <row r="5835" customFormat="false" ht="15" hidden="false" customHeight="false" outlineLevel="0" collapsed="false">
      <c r="A5835" s="28" t="n">
        <v>2026</v>
      </c>
      <c r="B5835" s="28" t="s">
        <v>98</v>
      </c>
      <c r="C5835" s="28" t="s">
        <v>45</v>
      </c>
      <c r="D5835" s="28" t="n">
        <v>106</v>
      </c>
      <c r="E5835" s="29" t="n">
        <v>48123200</v>
      </c>
      <c r="F5835" s="30" t="n">
        <v>949.04</v>
      </c>
      <c r="G5835" s="31" t="n">
        <f aca="false">IFERROR(F5835/D5835,0)</f>
        <v>8.95320754716981</v>
      </c>
    </row>
    <row r="5836" customFormat="false" ht="15" hidden="false" customHeight="false" outlineLevel="0" collapsed="false">
      <c r="A5836" s="28" t="n">
        <v>2026</v>
      </c>
      <c r="B5836" s="28" t="s">
        <v>98</v>
      </c>
      <c r="C5836" s="28" t="s">
        <v>56</v>
      </c>
      <c r="D5836" s="28" t="n">
        <v>13</v>
      </c>
      <c r="E5836" s="29" t="n">
        <v>7517200</v>
      </c>
      <c r="F5836" s="30" t="n">
        <v>116.07</v>
      </c>
      <c r="G5836" s="31" t="n">
        <f aca="false">IFERROR(F5836/D5836,0)</f>
        <v>8.92846153846154</v>
      </c>
    </row>
    <row r="5837" customFormat="false" ht="15" hidden="false" customHeight="false" outlineLevel="0" collapsed="false">
      <c r="A5837" s="28" t="n">
        <v>2026</v>
      </c>
      <c r="B5837" s="28" t="s">
        <v>98</v>
      </c>
      <c r="C5837" s="28" t="s">
        <v>54</v>
      </c>
      <c r="D5837" s="28" t="n">
        <v>10</v>
      </c>
      <c r="E5837" s="29" t="n">
        <v>6204200</v>
      </c>
      <c r="F5837" s="30" t="n">
        <v>92.58</v>
      </c>
      <c r="G5837" s="31" t="n">
        <f aca="false">IFERROR(F5837/D5837,0)</f>
        <v>9.258</v>
      </c>
    </row>
    <row r="5838" customFormat="false" ht="15" hidden="false" customHeight="false" outlineLevel="0" collapsed="false">
      <c r="A5838" s="28" t="n">
        <v>2026</v>
      </c>
      <c r="B5838" s="28" t="s">
        <v>98</v>
      </c>
      <c r="C5838" s="28" t="s">
        <v>44</v>
      </c>
      <c r="D5838" s="28" t="n">
        <v>64</v>
      </c>
      <c r="E5838" s="29" t="n">
        <v>40092900</v>
      </c>
      <c r="F5838" s="30" t="n">
        <v>566.525</v>
      </c>
      <c r="G5838" s="31" t="n">
        <f aca="false">IFERROR(F5838/D5838,0)</f>
        <v>8.851953125</v>
      </c>
    </row>
    <row r="5839" customFormat="false" ht="15" hidden="false" customHeight="false" outlineLevel="0" collapsed="false">
      <c r="A5839" s="28" t="n">
        <v>2026</v>
      </c>
      <c r="B5839" s="28" t="s">
        <v>98</v>
      </c>
      <c r="C5839" s="28" t="s">
        <v>57</v>
      </c>
      <c r="D5839" s="28" t="n">
        <v>7</v>
      </c>
      <c r="E5839" s="29" t="n">
        <v>4785900</v>
      </c>
      <c r="F5839" s="30" t="n">
        <v>63.71</v>
      </c>
      <c r="G5839" s="31" t="n">
        <f aca="false">IFERROR(F5839/D5839,0)</f>
        <v>9.10142857142857</v>
      </c>
    </row>
    <row r="5840" customFormat="false" ht="15" hidden="false" customHeight="false" outlineLevel="0" collapsed="false">
      <c r="A5840" s="28" t="n">
        <v>2026</v>
      </c>
      <c r="B5840" s="28" t="s">
        <v>98</v>
      </c>
      <c r="C5840" s="28" t="s">
        <v>47</v>
      </c>
      <c r="D5840" s="28" t="n">
        <v>46</v>
      </c>
      <c r="E5840" s="29" t="n">
        <v>22245200</v>
      </c>
      <c r="F5840" s="30" t="n">
        <v>393.05</v>
      </c>
      <c r="G5840" s="31" t="n">
        <f aca="false">IFERROR(F5840/D5840,0)</f>
        <v>8.54456521739131</v>
      </c>
    </row>
    <row r="5841" customFormat="false" ht="15" hidden="false" customHeight="false" outlineLevel="0" collapsed="false">
      <c r="A5841" s="28" t="n">
        <v>2026</v>
      </c>
      <c r="B5841" s="28" t="s">
        <v>98</v>
      </c>
      <c r="C5841" s="28" t="s">
        <v>58</v>
      </c>
      <c r="D5841" s="28" t="n">
        <v>5</v>
      </c>
      <c r="E5841" s="29" t="n">
        <v>3794000</v>
      </c>
      <c r="F5841" s="30" t="n">
        <v>46.5</v>
      </c>
      <c r="G5841" s="31" t="n">
        <f aca="false">IFERROR(F5841/D5841,0)</f>
        <v>9.3</v>
      </c>
    </row>
    <row r="5842" customFormat="false" ht="15" hidden="false" customHeight="false" outlineLevel="0" collapsed="false">
      <c r="A5842" s="28" t="n">
        <v>2026</v>
      </c>
      <c r="B5842" s="28" t="s">
        <v>98</v>
      </c>
      <c r="C5842" s="28" t="s">
        <v>46</v>
      </c>
      <c r="D5842" s="28" t="n">
        <v>88</v>
      </c>
      <c r="E5842" s="29" t="n">
        <v>42793500</v>
      </c>
      <c r="F5842" s="30" t="n">
        <v>769.1</v>
      </c>
      <c r="G5842" s="31" t="n">
        <f aca="false">IFERROR(F5842/D5842,0)</f>
        <v>8.73977272727273</v>
      </c>
    </row>
    <row r="5843" customFormat="false" ht="15" hidden="false" customHeight="false" outlineLevel="0" collapsed="false">
      <c r="A5843" s="28" t="n">
        <v>2026</v>
      </c>
      <c r="B5843" s="28" t="s">
        <v>98</v>
      </c>
      <c r="C5843" s="28" t="s">
        <v>48</v>
      </c>
      <c r="D5843" s="28" t="n">
        <v>47</v>
      </c>
      <c r="E5843" s="29" t="n">
        <v>18539600</v>
      </c>
      <c r="F5843" s="30" t="n">
        <v>412.38</v>
      </c>
      <c r="G5843" s="31" t="n">
        <f aca="false">IFERROR(F5843/D5843,0)</f>
        <v>8.77404255319149</v>
      </c>
    </row>
    <row r="5844" customFormat="false" ht="15" hidden="false" customHeight="false" outlineLevel="0" collapsed="false">
      <c r="A5844" s="28" t="n">
        <v>2026</v>
      </c>
      <c r="B5844" s="28" t="s">
        <v>98</v>
      </c>
      <c r="C5844" s="28" t="s">
        <v>53</v>
      </c>
      <c r="D5844" s="28" t="n">
        <v>14</v>
      </c>
      <c r="E5844" s="29" t="n">
        <v>11691600</v>
      </c>
      <c r="F5844" s="30" t="n">
        <v>117.08</v>
      </c>
      <c r="G5844" s="31" t="n">
        <f aca="false">IFERROR(F5844/D5844,0)</f>
        <v>8.36285714285714</v>
      </c>
    </row>
    <row r="5845" customFormat="false" ht="15" hidden="false" customHeight="false" outlineLevel="0" collapsed="false">
      <c r="A5845" s="28" t="n">
        <v>2026</v>
      </c>
      <c r="B5845" s="28" t="s">
        <v>98</v>
      </c>
      <c r="C5845" s="28" t="s">
        <v>43</v>
      </c>
      <c r="D5845" s="28" t="n">
        <v>68</v>
      </c>
      <c r="E5845" s="29" t="n">
        <v>34534400</v>
      </c>
      <c r="F5845" s="30" t="n">
        <v>619.34</v>
      </c>
      <c r="G5845" s="31" t="n">
        <f aca="false">IFERROR(F5845/D5845,0)</f>
        <v>9.10794117647059</v>
      </c>
    </row>
    <row r="5846" customFormat="false" ht="15" hidden="false" customHeight="false" outlineLevel="0" collapsed="false">
      <c r="A5846" s="28" t="n">
        <v>2026</v>
      </c>
      <c r="B5846" s="28" t="s">
        <v>98</v>
      </c>
      <c r="C5846" s="28" t="s">
        <v>52</v>
      </c>
      <c r="D5846" s="28" t="n">
        <v>22</v>
      </c>
      <c r="E5846" s="29" t="n">
        <v>6689800</v>
      </c>
      <c r="F5846" s="30" t="n">
        <v>185.94</v>
      </c>
      <c r="G5846" s="31" t="n">
        <f aca="false">IFERROR(F5846/D5846,0)</f>
        <v>8.45181818181818</v>
      </c>
    </row>
    <row r="5847" customFormat="false" ht="15" hidden="false" customHeight="false" outlineLevel="0" collapsed="false">
      <c r="A5847" s="28" t="n">
        <v>2026</v>
      </c>
      <c r="B5847" s="28" t="s">
        <v>98</v>
      </c>
      <c r="C5847" s="28" t="s">
        <v>60</v>
      </c>
      <c r="D5847" s="28" t="n">
        <v>1</v>
      </c>
      <c r="E5847" s="29" t="n">
        <v>50000</v>
      </c>
      <c r="F5847" s="30" t="n">
        <v>8.75</v>
      </c>
      <c r="G5847" s="31" t="n">
        <f aca="false">IFERROR(F5847/D5847,0)</f>
        <v>8.75</v>
      </c>
    </row>
    <row r="5848" customFormat="false" ht="15" hidden="false" customHeight="false" outlineLevel="0" collapsed="false">
      <c r="A5848" s="28" t="n">
        <v>2026</v>
      </c>
      <c r="B5848" s="28" t="s">
        <v>98</v>
      </c>
      <c r="C5848" s="28" t="s">
        <v>49</v>
      </c>
      <c r="D5848" s="28" t="n">
        <v>35</v>
      </c>
      <c r="E5848" s="29" t="n">
        <v>17371100</v>
      </c>
      <c r="F5848" s="30" t="n">
        <v>313.55</v>
      </c>
      <c r="G5848" s="31" t="n">
        <f aca="false">IFERROR(F5848/D5848,0)</f>
        <v>8.95857142857143</v>
      </c>
    </row>
    <row r="5849" customFormat="false" ht="15" hidden="false" customHeight="false" outlineLevel="0" collapsed="false">
      <c r="A5849" s="28" t="n">
        <v>2026</v>
      </c>
      <c r="B5849" s="28" t="s">
        <v>103</v>
      </c>
      <c r="C5849" s="28" t="s">
        <v>42</v>
      </c>
      <c r="D5849" s="28" t="n">
        <v>71</v>
      </c>
      <c r="E5849" s="29" t="n">
        <v>52598000</v>
      </c>
      <c r="F5849" s="30" t="n">
        <v>638.21</v>
      </c>
      <c r="G5849" s="31" t="n">
        <f aca="false">IFERROR(F5849/D5849,0)</f>
        <v>8.98887323943662</v>
      </c>
    </row>
    <row r="5850" customFormat="false" ht="15" hidden="false" customHeight="false" outlineLevel="0" collapsed="false">
      <c r="A5850" s="28" t="n">
        <v>2026</v>
      </c>
      <c r="B5850" s="28" t="s">
        <v>103</v>
      </c>
      <c r="C5850" s="28" t="s">
        <v>50</v>
      </c>
      <c r="D5850" s="28" t="n">
        <v>32</v>
      </c>
      <c r="E5850" s="29" t="n">
        <v>9909300</v>
      </c>
      <c r="F5850" s="30" t="n">
        <v>302.08</v>
      </c>
      <c r="G5850" s="31" t="n">
        <f aca="false">IFERROR(F5850/D5850,0)</f>
        <v>9.44</v>
      </c>
    </row>
    <row r="5851" customFormat="false" ht="15" hidden="false" customHeight="false" outlineLevel="0" collapsed="false">
      <c r="A5851" s="28" t="n">
        <v>2026</v>
      </c>
      <c r="B5851" s="28" t="s">
        <v>103</v>
      </c>
      <c r="C5851" s="28" t="s">
        <v>55</v>
      </c>
      <c r="D5851" s="28" t="n">
        <v>22</v>
      </c>
      <c r="E5851" s="29" t="n">
        <v>31331400</v>
      </c>
      <c r="F5851" s="30" t="n">
        <v>187.13</v>
      </c>
      <c r="G5851" s="31" t="n">
        <f aca="false">IFERROR(F5851/D5851,0)</f>
        <v>8.50590909090909</v>
      </c>
    </row>
    <row r="5852" customFormat="false" ht="15" hidden="false" customHeight="false" outlineLevel="0" collapsed="false">
      <c r="A5852" s="28" t="n">
        <v>2026</v>
      </c>
      <c r="B5852" s="28" t="s">
        <v>103</v>
      </c>
      <c r="C5852" s="28" t="s">
        <v>51</v>
      </c>
      <c r="D5852" s="28" t="n">
        <v>30</v>
      </c>
      <c r="E5852" s="29" t="n">
        <v>17337200</v>
      </c>
      <c r="F5852" s="30" t="n">
        <v>280.35</v>
      </c>
      <c r="G5852" s="31" t="n">
        <f aca="false">IFERROR(F5852/D5852,0)</f>
        <v>9.345</v>
      </c>
    </row>
    <row r="5853" customFormat="false" ht="15" hidden="false" customHeight="false" outlineLevel="0" collapsed="false">
      <c r="A5853" s="28" t="n">
        <v>2026</v>
      </c>
      <c r="B5853" s="28" t="s">
        <v>103</v>
      </c>
      <c r="C5853" s="28" t="s">
        <v>45</v>
      </c>
      <c r="D5853" s="28" t="n">
        <v>85</v>
      </c>
      <c r="E5853" s="29" t="n">
        <v>30130800</v>
      </c>
      <c r="F5853" s="30" t="n">
        <v>817.36</v>
      </c>
      <c r="G5853" s="31" t="n">
        <f aca="false">IFERROR(F5853/D5853,0)</f>
        <v>9.616</v>
      </c>
    </row>
    <row r="5854" customFormat="false" ht="15" hidden="false" customHeight="false" outlineLevel="0" collapsed="false">
      <c r="A5854" s="28" t="n">
        <v>2026</v>
      </c>
      <c r="B5854" s="28" t="s">
        <v>103</v>
      </c>
      <c r="C5854" s="28" t="s">
        <v>56</v>
      </c>
      <c r="D5854" s="28" t="n">
        <v>10</v>
      </c>
      <c r="E5854" s="29" t="n">
        <v>4399000</v>
      </c>
      <c r="F5854" s="30" t="n">
        <v>101.96</v>
      </c>
      <c r="G5854" s="31" t="n">
        <f aca="false">IFERROR(F5854/D5854,0)</f>
        <v>10.196</v>
      </c>
    </row>
    <row r="5855" customFormat="false" ht="15" hidden="false" customHeight="false" outlineLevel="0" collapsed="false">
      <c r="A5855" s="28" t="n">
        <v>2026</v>
      </c>
      <c r="B5855" s="28" t="s">
        <v>103</v>
      </c>
      <c r="C5855" s="28" t="s">
        <v>54</v>
      </c>
      <c r="D5855" s="28" t="n">
        <v>7</v>
      </c>
      <c r="E5855" s="29" t="n">
        <v>3574100</v>
      </c>
      <c r="F5855" s="30" t="n">
        <v>70.125</v>
      </c>
      <c r="G5855" s="31" t="n">
        <f aca="false">IFERROR(F5855/D5855,0)</f>
        <v>10.0178571428571</v>
      </c>
    </row>
    <row r="5856" customFormat="false" ht="15" hidden="false" customHeight="false" outlineLevel="0" collapsed="false">
      <c r="A5856" s="28" t="n">
        <v>2026</v>
      </c>
      <c r="B5856" s="28" t="s">
        <v>103</v>
      </c>
      <c r="C5856" s="28" t="s">
        <v>44</v>
      </c>
      <c r="D5856" s="28" t="n">
        <v>55</v>
      </c>
      <c r="E5856" s="29" t="n">
        <v>34228300</v>
      </c>
      <c r="F5856" s="30" t="n">
        <v>505.683</v>
      </c>
      <c r="G5856" s="31" t="n">
        <f aca="false">IFERROR(F5856/D5856,0)</f>
        <v>9.19423636363636</v>
      </c>
    </row>
    <row r="5857" customFormat="false" ht="15" hidden="false" customHeight="false" outlineLevel="0" collapsed="false">
      <c r="A5857" s="28" t="n">
        <v>2026</v>
      </c>
      <c r="B5857" s="28" t="s">
        <v>103</v>
      </c>
      <c r="C5857" s="28" t="s">
        <v>57</v>
      </c>
      <c r="D5857" s="28" t="n">
        <v>7</v>
      </c>
      <c r="E5857" s="29" t="n">
        <v>5004300</v>
      </c>
      <c r="F5857" s="30" t="n">
        <v>61.9</v>
      </c>
      <c r="G5857" s="31" t="n">
        <f aca="false">IFERROR(F5857/D5857,0)</f>
        <v>8.84285714285714</v>
      </c>
    </row>
    <row r="5858" customFormat="false" ht="15" hidden="false" customHeight="false" outlineLevel="0" collapsed="false">
      <c r="A5858" s="28" t="n">
        <v>2026</v>
      </c>
      <c r="B5858" s="28" t="s">
        <v>103</v>
      </c>
      <c r="C5858" s="28" t="s">
        <v>47</v>
      </c>
      <c r="D5858" s="28" t="n">
        <v>33</v>
      </c>
      <c r="E5858" s="29" t="n">
        <v>35627700</v>
      </c>
      <c r="F5858" s="30" t="n">
        <v>296.6</v>
      </c>
      <c r="G5858" s="31" t="n">
        <f aca="false">IFERROR(F5858/D5858,0)</f>
        <v>8.98787878787879</v>
      </c>
    </row>
    <row r="5859" customFormat="false" ht="15" hidden="false" customHeight="false" outlineLevel="0" collapsed="false">
      <c r="A5859" s="28" t="n">
        <v>2026</v>
      </c>
      <c r="B5859" s="28" t="s">
        <v>103</v>
      </c>
      <c r="C5859" s="28" t="s">
        <v>58</v>
      </c>
      <c r="D5859" s="28" t="n">
        <v>1</v>
      </c>
      <c r="E5859" s="29" t="n">
        <v>350000</v>
      </c>
      <c r="F5859" s="30" t="n">
        <v>9.75</v>
      </c>
      <c r="G5859" s="31" t="n">
        <f aca="false">IFERROR(F5859/D5859,0)</f>
        <v>9.75</v>
      </c>
    </row>
    <row r="5860" customFormat="false" ht="15" hidden="false" customHeight="false" outlineLevel="0" collapsed="false">
      <c r="A5860" s="28" t="n">
        <v>2026</v>
      </c>
      <c r="B5860" s="28" t="s">
        <v>103</v>
      </c>
      <c r="C5860" s="28" t="s">
        <v>46</v>
      </c>
      <c r="D5860" s="28" t="n">
        <v>67</v>
      </c>
      <c r="E5860" s="29" t="n">
        <v>28898000</v>
      </c>
      <c r="F5860" s="30" t="n">
        <v>613.65</v>
      </c>
      <c r="G5860" s="31" t="n">
        <f aca="false">IFERROR(F5860/D5860,0)</f>
        <v>9.1589552238806</v>
      </c>
    </row>
    <row r="5861" customFormat="false" ht="15" hidden="false" customHeight="false" outlineLevel="0" collapsed="false">
      <c r="A5861" s="28" t="n">
        <v>2026</v>
      </c>
      <c r="B5861" s="28" t="s">
        <v>103</v>
      </c>
      <c r="C5861" s="28" t="s">
        <v>48</v>
      </c>
      <c r="D5861" s="28" t="n">
        <v>40</v>
      </c>
      <c r="E5861" s="29" t="n">
        <v>21545900</v>
      </c>
      <c r="F5861" s="30" t="n">
        <v>397.08</v>
      </c>
      <c r="G5861" s="31" t="n">
        <f aca="false">IFERROR(F5861/D5861,0)</f>
        <v>9.927</v>
      </c>
    </row>
    <row r="5862" customFormat="false" ht="15" hidden="false" customHeight="false" outlineLevel="0" collapsed="false">
      <c r="A5862" s="28" t="n">
        <v>2026</v>
      </c>
      <c r="B5862" s="28" t="s">
        <v>103</v>
      </c>
      <c r="C5862" s="28" t="s">
        <v>53</v>
      </c>
      <c r="D5862" s="28" t="n">
        <v>12</v>
      </c>
      <c r="E5862" s="29" t="n">
        <v>10849300</v>
      </c>
      <c r="F5862" s="30" t="n">
        <v>109.38</v>
      </c>
      <c r="G5862" s="31" t="n">
        <f aca="false">IFERROR(F5862/D5862,0)</f>
        <v>9.115</v>
      </c>
    </row>
    <row r="5863" customFormat="false" ht="15" hidden="false" customHeight="false" outlineLevel="0" collapsed="false">
      <c r="A5863" s="28" t="n">
        <v>2026</v>
      </c>
      <c r="B5863" s="28" t="s">
        <v>103</v>
      </c>
      <c r="C5863" s="28" t="s">
        <v>43</v>
      </c>
      <c r="D5863" s="28" t="n">
        <v>53</v>
      </c>
      <c r="E5863" s="29" t="n">
        <v>37807000</v>
      </c>
      <c r="F5863" s="30" t="n">
        <v>501.82</v>
      </c>
      <c r="G5863" s="31" t="n">
        <f aca="false">IFERROR(F5863/D5863,0)</f>
        <v>9.46830188679245</v>
      </c>
    </row>
    <row r="5864" customFormat="false" ht="15" hidden="false" customHeight="false" outlineLevel="0" collapsed="false">
      <c r="A5864" s="28" t="n">
        <v>2026</v>
      </c>
      <c r="B5864" s="28" t="s">
        <v>103</v>
      </c>
      <c r="C5864" s="28" t="s">
        <v>52</v>
      </c>
      <c r="D5864" s="28" t="n">
        <v>23</v>
      </c>
      <c r="E5864" s="29" t="n">
        <v>21084700</v>
      </c>
      <c r="F5864" s="30" t="n">
        <v>210.18</v>
      </c>
      <c r="G5864" s="31" t="n">
        <f aca="false">IFERROR(F5864/D5864,0)</f>
        <v>9.13826086956522</v>
      </c>
    </row>
    <row r="5865" customFormat="false" ht="15" hidden="false" customHeight="false" outlineLevel="0" collapsed="false">
      <c r="A5865" s="28" t="n">
        <v>2026</v>
      </c>
      <c r="B5865" s="28" t="s">
        <v>103</v>
      </c>
      <c r="C5865" s="28" t="s">
        <v>49</v>
      </c>
      <c r="D5865" s="28" t="n">
        <v>23</v>
      </c>
      <c r="E5865" s="29" t="n">
        <v>18537400</v>
      </c>
      <c r="F5865" s="30" t="n">
        <v>215.405</v>
      </c>
      <c r="G5865" s="31" t="n">
        <f aca="false">IFERROR(F5865/D5865,0)</f>
        <v>9.3654347826087</v>
      </c>
    </row>
    <row r="5866" customFormat="false" ht="15" hidden="false" customHeight="false" outlineLevel="0" collapsed="false">
      <c r="A5866" s="28" t="n">
        <v>2026</v>
      </c>
      <c r="B5866" s="28" t="s">
        <v>113</v>
      </c>
      <c r="C5866" s="28" t="s">
        <v>42</v>
      </c>
      <c r="D5866" s="28" t="n">
        <v>34</v>
      </c>
      <c r="E5866" s="29" t="n">
        <v>46008500</v>
      </c>
      <c r="F5866" s="30" t="n">
        <v>286.88</v>
      </c>
      <c r="G5866" s="31" t="n">
        <f aca="false">IFERROR(F5866/D5866,0)</f>
        <v>8.43764705882353</v>
      </c>
    </row>
    <row r="5867" customFormat="false" ht="15" hidden="false" customHeight="false" outlineLevel="0" collapsed="false">
      <c r="A5867" s="28" t="n">
        <v>2026</v>
      </c>
      <c r="B5867" s="28" t="s">
        <v>113</v>
      </c>
      <c r="C5867" s="28" t="s">
        <v>50</v>
      </c>
      <c r="D5867" s="28" t="n">
        <v>14</v>
      </c>
      <c r="E5867" s="29" t="n">
        <v>3650000</v>
      </c>
      <c r="F5867" s="30" t="n">
        <v>131.24</v>
      </c>
      <c r="G5867" s="31" t="n">
        <f aca="false">IFERROR(F5867/D5867,0)</f>
        <v>9.37428571428572</v>
      </c>
    </row>
    <row r="5868" customFormat="false" ht="15" hidden="false" customHeight="false" outlineLevel="0" collapsed="false">
      <c r="A5868" s="28" t="n">
        <v>2026</v>
      </c>
      <c r="B5868" s="28" t="s">
        <v>113</v>
      </c>
      <c r="C5868" s="28" t="s">
        <v>55</v>
      </c>
      <c r="D5868" s="28" t="n">
        <v>42</v>
      </c>
      <c r="E5868" s="29" t="n">
        <v>63649000</v>
      </c>
      <c r="F5868" s="30" t="n">
        <v>323.05</v>
      </c>
      <c r="G5868" s="31" t="n">
        <f aca="false">IFERROR(F5868/D5868,0)</f>
        <v>7.69166666666667</v>
      </c>
    </row>
    <row r="5869" customFormat="false" ht="15" hidden="false" customHeight="false" outlineLevel="0" collapsed="false">
      <c r="A5869" s="28" t="n">
        <v>2026</v>
      </c>
      <c r="B5869" s="28" t="s">
        <v>113</v>
      </c>
      <c r="C5869" s="28" t="s">
        <v>51</v>
      </c>
      <c r="D5869" s="28" t="n">
        <v>2</v>
      </c>
      <c r="E5869" s="29" t="n">
        <v>423500</v>
      </c>
      <c r="F5869" s="30" t="n">
        <v>20</v>
      </c>
      <c r="G5869" s="31" t="n">
        <f aca="false">IFERROR(F5869/D5869,0)</f>
        <v>10</v>
      </c>
    </row>
    <row r="5870" customFormat="false" ht="15" hidden="false" customHeight="false" outlineLevel="0" collapsed="false">
      <c r="A5870" s="28" t="n">
        <v>2026</v>
      </c>
      <c r="B5870" s="28" t="s">
        <v>113</v>
      </c>
      <c r="C5870" s="28" t="s">
        <v>45</v>
      </c>
      <c r="D5870" s="28" t="n">
        <v>12</v>
      </c>
      <c r="E5870" s="29" t="n">
        <v>3706100</v>
      </c>
      <c r="F5870" s="30" t="n">
        <v>117.24</v>
      </c>
      <c r="G5870" s="31" t="n">
        <f aca="false">IFERROR(F5870/D5870,0)</f>
        <v>9.77</v>
      </c>
    </row>
    <row r="5871" customFormat="false" ht="15" hidden="false" customHeight="false" outlineLevel="0" collapsed="false">
      <c r="A5871" s="28" t="n">
        <v>2026</v>
      </c>
      <c r="B5871" s="28" t="s">
        <v>113</v>
      </c>
      <c r="C5871" s="28" t="s">
        <v>56</v>
      </c>
      <c r="D5871" s="28" t="n">
        <v>2</v>
      </c>
      <c r="E5871" s="29" t="n">
        <v>556000</v>
      </c>
      <c r="F5871" s="30" t="n">
        <v>16.45</v>
      </c>
      <c r="G5871" s="31" t="n">
        <f aca="false">IFERROR(F5871/D5871,0)</f>
        <v>8.225</v>
      </c>
    </row>
    <row r="5872" customFormat="false" ht="15" hidden="false" customHeight="false" outlineLevel="0" collapsed="false">
      <c r="A5872" s="28" t="n">
        <v>2026</v>
      </c>
      <c r="B5872" s="28" t="s">
        <v>113</v>
      </c>
      <c r="C5872" s="28" t="s">
        <v>54</v>
      </c>
      <c r="D5872" s="28" t="n">
        <v>6</v>
      </c>
      <c r="E5872" s="29" t="n">
        <v>920300</v>
      </c>
      <c r="F5872" s="30" t="n">
        <v>61.5</v>
      </c>
      <c r="G5872" s="31" t="n">
        <f aca="false">IFERROR(F5872/D5872,0)</f>
        <v>10.25</v>
      </c>
    </row>
    <row r="5873" customFormat="false" ht="15" hidden="false" customHeight="false" outlineLevel="0" collapsed="false">
      <c r="A5873" s="28" t="n">
        <v>2026</v>
      </c>
      <c r="B5873" s="28" t="s">
        <v>113</v>
      </c>
      <c r="C5873" s="28" t="s">
        <v>44</v>
      </c>
      <c r="D5873" s="28" t="n">
        <v>19</v>
      </c>
      <c r="E5873" s="29" t="n">
        <v>10354900</v>
      </c>
      <c r="F5873" s="30" t="n">
        <v>167.45</v>
      </c>
      <c r="G5873" s="31" t="n">
        <f aca="false">IFERROR(F5873/D5873,0)</f>
        <v>8.81315789473684</v>
      </c>
    </row>
    <row r="5874" customFormat="false" ht="15" hidden="false" customHeight="false" outlineLevel="0" collapsed="false">
      <c r="A5874" s="28" t="n">
        <v>2026</v>
      </c>
      <c r="B5874" s="28" t="s">
        <v>113</v>
      </c>
      <c r="C5874" s="28" t="s">
        <v>47</v>
      </c>
      <c r="D5874" s="28" t="n">
        <v>7</v>
      </c>
      <c r="E5874" s="29" t="n">
        <v>7972900</v>
      </c>
      <c r="F5874" s="30" t="n">
        <v>62.3</v>
      </c>
      <c r="G5874" s="31" t="n">
        <f aca="false">IFERROR(F5874/D5874,0)</f>
        <v>8.9</v>
      </c>
    </row>
    <row r="5875" customFormat="false" ht="15" hidden="false" customHeight="false" outlineLevel="0" collapsed="false">
      <c r="A5875" s="28" t="n">
        <v>2026</v>
      </c>
      <c r="B5875" s="28" t="s">
        <v>113</v>
      </c>
      <c r="C5875" s="28" t="s">
        <v>58</v>
      </c>
      <c r="D5875" s="28" t="n">
        <v>1</v>
      </c>
      <c r="E5875" s="29" t="n">
        <v>530000</v>
      </c>
      <c r="F5875" s="30" t="n">
        <v>8.25</v>
      </c>
      <c r="G5875" s="31" t="n">
        <f aca="false">IFERROR(F5875/D5875,0)</f>
        <v>8.25</v>
      </c>
    </row>
    <row r="5876" customFormat="false" ht="15" hidden="false" customHeight="false" outlineLevel="0" collapsed="false">
      <c r="A5876" s="28" t="n">
        <v>2026</v>
      </c>
      <c r="B5876" s="28" t="s">
        <v>113</v>
      </c>
      <c r="C5876" s="28" t="s">
        <v>46</v>
      </c>
      <c r="D5876" s="28" t="n">
        <v>19</v>
      </c>
      <c r="E5876" s="29" t="n">
        <v>10090500</v>
      </c>
      <c r="F5876" s="30" t="n">
        <v>165.9</v>
      </c>
      <c r="G5876" s="31" t="n">
        <f aca="false">IFERROR(F5876/D5876,0)</f>
        <v>8.73157894736842</v>
      </c>
    </row>
    <row r="5877" customFormat="false" ht="15" hidden="false" customHeight="false" outlineLevel="0" collapsed="false">
      <c r="A5877" s="28" t="n">
        <v>2026</v>
      </c>
      <c r="B5877" s="28" t="s">
        <v>113</v>
      </c>
      <c r="C5877" s="28" t="s">
        <v>48</v>
      </c>
      <c r="D5877" s="28" t="n">
        <v>6</v>
      </c>
      <c r="E5877" s="29" t="n">
        <v>866500</v>
      </c>
      <c r="F5877" s="30" t="n">
        <v>65.75</v>
      </c>
      <c r="G5877" s="31" t="n">
        <f aca="false">IFERROR(F5877/D5877,0)</f>
        <v>10.9583333333333</v>
      </c>
    </row>
    <row r="5878" customFormat="false" ht="15" hidden="false" customHeight="false" outlineLevel="0" collapsed="false">
      <c r="A5878" s="28" t="n">
        <v>2026</v>
      </c>
      <c r="B5878" s="28" t="s">
        <v>113</v>
      </c>
      <c r="C5878" s="28" t="s">
        <v>53</v>
      </c>
      <c r="D5878" s="28" t="n">
        <v>1</v>
      </c>
      <c r="E5878" s="29" t="n">
        <v>645000</v>
      </c>
      <c r="F5878" s="30" t="n">
        <v>7.75</v>
      </c>
      <c r="G5878" s="31" t="n">
        <f aca="false">IFERROR(F5878/D5878,0)</f>
        <v>7.75</v>
      </c>
    </row>
    <row r="5879" customFormat="false" ht="15" hidden="false" customHeight="false" outlineLevel="0" collapsed="false">
      <c r="A5879" s="28" t="n">
        <v>2026</v>
      </c>
      <c r="B5879" s="28" t="s">
        <v>113</v>
      </c>
      <c r="C5879" s="28" t="s">
        <v>43</v>
      </c>
      <c r="D5879" s="28" t="n">
        <v>21</v>
      </c>
      <c r="E5879" s="29" t="n">
        <v>12474900</v>
      </c>
      <c r="F5879" s="30" t="n">
        <v>189.95</v>
      </c>
      <c r="G5879" s="31" t="n">
        <f aca="false">IFERROR(F5879/D5879,0)</f>
        <v>9.04523809523809</v>
      </c>
    </row>
    <row r="5880" customFormat="false" ht="15" hidden="false" customHeight="false" outlineLevel="0" collapsed="false">
      <c r="A5880" s="28" t="n">
        <v>2026</v>
      </c>
      <c r="B5880" s="28" t="s">
        <v>113</v>
      </c>
      <c r="C5880" s="28" t="s">
        <v>52</v>
      </c>
      <c r="D5880" s="28" t="n">
        <v>5</v>
      </c>
      <c r="E5880" s="29" t="n">
        <v>783100</v>
      </c>
      <c r="F5880" s="30" t="n">
        <v>48.25</v>
      </c>
      <c r="G5880" s="31" t="n">
        <f aca="false">IFERROR(F5880/D5880,0)</f>
        <v>9.65</v>
      </c>
    </row>
    <row r="5881" customFormat="false" ht="15" hidden="false" customHeight="false" outlineLevel="0" collapsed="false">
      <c r="A5881" s="28" t="n">
        <v>2026</v>
      </c>
      <c r="B5881" s="28" t="s">
        <v>113</v>
      </c>
      <c r="C5881" s="28" t="s">
        <v>60</v>
      </c>
      <c r="D5881" s="28" t="n">
        <v>1</v>
      </c>
      <c r="E5881" s="29" t="n">
        <v>2456900</v>
      </c>
      <c r="F5881" s="30" t="n">
        <v>7.75</v>
      </c>
      <c r="G5881" s="31" t="n">
        <f aca="false">IFERROR(F5881/D5881,0)</f>
        <v>7.75</v>
      </c>
    </row>
    <row r="5882" customFormat="false" ht="15" hidden="false" customHeight="false" outlineLevel="0" collapsed="false">
      <c r="A5882" s="28" t="n">
        <v>2026</v>
      </c>
      <c r="B5882" s="28" t="s">
        <v>115</v>
      </c>
      <c r="C5882" s="28" t="s">
        <v>42</v>
      </c>
      <c r="D5882" s="28" t="n">
        <v>19</v>
      </c>
      <c r="E5882" s="29" t="n">
        <v>22353700</v>
      </c>
      <c r="F5882" s="30" t="n">
        <v>162.94</v>
      </c>
      <c r="G5882" s="31" t="n">
        <f aca="false">IFERROR(F5882/D5882,0)</f>
        <v>8.57578947368421</v>
      </c>
    </row>
    <row r="5883" customFormat="false" ht="15" hidden="false" customHeight="false" outlineLevel="0" collapsed="false">
      <c r="A5883" s="28" t="n">
        <v>2026</v>
      </c>
      <c r="B5883" s="28" t="s">
        <v>115</v>
      </c>
      <c r="C5883" s="28" t="s">
        <v>50</v>
      </c>
      <c r="D5883" s="28" t="n">
        <v>8</v>
      </c>
      <c r="E5883" s="29" t="n">
        <v>5111000</v>
      </c>
      <c r="F5883" s="30" t="n">
        <v>72.98</v>
      </c>
      <c r="G5883" s="31" t="n">
        <f aca="false">IFERROR(F5883/D5883,0)</f>
        <v>9.1225</v>
      </c>
    </row>
    <row r="5884" customFormat="false" ht="15" hidden="false" customHeight="false" outlineLevel="0" collapsed="false">
      <c r="A5884" s="28" t="n">
        <v>2026</v>
      </c>
      <c r="B5884" s="28" t="s">
        <v>115</v>
      </c>
      <c r="C5884" s="28" t="s">
        <v>55</v>
      </c>
      <c r="D5884" s="28" t="n">
        <v>1</v>
      </c>
      <c r="E5884" s="29" t="n">
        <v>100000</v>
      </c>
      <c r="F5884" s="30" t="n">
        <v>9.75</v>
      </c>
      <c r="G5884" s="31" t="n">
        <f aca="false">IFERROR(F5884/D5884,0)</f>
        <v>9.75</v>
      </c>
    </row>
    <row r="5885" customFormat="false" ht="15" hidden="false" customHeight="false" outlineLevel="0" collapsed="false">
      <c r="A5885" s="28" t="n">
        <v>2026</v>
      </c>
      <c r="B5885" s="28" t="s">
        <v>115</v>
      </c>
      <c r="C5885" s="28" t="s">
        <v>51</v>
      </c>
      <c r="D5885" s="28" t="n">
        <v>4</v>
      </c>
      <c r="E5885" s="29" t="n">
        <v>1067000</v>
      </c>
      <c r="F5885" s="30" t="n">
        <v>39.75</v>
      </c>
      <c r="G5885" s="31" t="n">
        <f aca="false">IFERROR(F5885/D5885,0)</f>
        <v>9.9375</v>
      </c>
    </row>
    <row r="5886" customFormat="false" ht="15" hidden="false" customHeight="false" outlineLevel="0" collapsed="false">
      <c r="A5886" s="28" t="n">
        <v>2026</v>
      </c>
      <c r="B5886" s="28" t="s">
        <v>115</v>
      </c>
      <c r="C5886" s="28" t="s">
        <v>45</v>
      </c>
      <c r="D5886" s="28" t="n">
        <v>19</v>
      </c>
      <c r="E5886" s="29" t="n">
        <v>9542500</v>
      </c>
      <c r="F5886" s="30" t="n">
        <v>181.87</v>
      </c>
      <c r="G5886" s="31" t="n">
        <f aca="false">IFERROR(F5886/D5886,0)</f>
        <v>9.57210526315789</v>
      </c>
    </row>
    <row r="5887" customFormat="false" ht="15" hidden="false" customHeight="false" outlineLevel="0" collapsed="false">
      <c r="A5887" s="28" t="n">
        <v>2026</v>
      </c>
      <c r="B5887" s="28" t="s">
        <v>115</v>
      </c>
      <c r="C5887" s="28" t="s">
        <v>56</v>
      </c>
      <c r="D5887" s="28" t="n">
        <v>3</v>
      </c>
      <c r="E5887" s="29" t="n">
        <v>6550000</v>
      </c>
      <c r="F5887" s="30" t="n">
        <v>23.6</v>
      </c>
      <c r="G5887" s="31" t="n">
        <f aca="false">IFERROR(F5887/D5887,0)</f>
        <v>7.86666666666667</v>
      </c>
    </row>
    <row r="5888" customFormat="false" ht="15" hidden="false" customHeight="false" outlineLevel="0" collapsed="false">
      <c r="A5888" s="28" t="n">
        <v>2026</v>
      </c>
      <c r="B5888" s="28" t="s">
        <v>115</v>
      </c>
      <c r="C5888" s="28" t="s">
        <v>54</v>
      </c>
      <c r="D5888" s="28" t="n">
        <v>1</v>
      </c>
      <c r="E5888" s="29" t="n">
        <v>250000</v>
      </c>
      <c r="F5888" s="30" t="n">
        <v>10</v>
      </c>
      <c r="G5888" s="31" t="n">
        <f aca="false">IFERROR(F5888/D5888,0)</f>
        <v>10</v>
      </c>
    </row>
    <row r="5889" customFormat="false" ht="15" hidden="false" customHeight="false" outlineLevel="0" collapsed="false">
      <c r="A5889" s="28" t="n">
        <v>2026</v>
      </c>
      <c r="B5889" s="28" t="s">
        <v>115</v>
      </c>
      <c r="C5889" s="28" t="s">
        <v>44</v>
      </c>
      <c r="D5889" s="28" t="n">
        <v>10</v>
      </c>
      <c r="E5889" s="29" t="n">
        <v>2761600</v>
      </c>
      <c r="F5889" s="30" t="n">
        <v>86.89</v>
      </c>
      <c r="G5889" s="31" t="n">
        <f aca="false">IFERROR(F5889/D5889,0)</f>
        <v>8.689</v>
      </c>
    </row>
    <row r="5890" customFormat="false" ht="15" hidden="false" customHeight="false" outlineLevel="0" collapsed="false">
      <c r="A5890" s="28" t="n">
        <v>2026</v>
      </c>
      <c r="B5890" s="28" t="s">
        <v>115</v>
      </c>
      <c r="C5890" s="28" t="s">
        <v>47</v>
      </c>
      <c r="D5890" s="28" t="n">
        <v>6</v>
      </c>
      <c r="E5890" s="29" t="n">
        <v>3983600</v>
      </c>
      <c r="F5890" s="30" t="n">
        <v>50.25</v>
      </c>
      <c r="G5890" s="31" t="n">
        <f aca="false">IFERROR(F5890/D5890,0)</f>
        <v>8.375</v>
      </c>
    </row>
    <row r="5891" customFormat="false" ht="15" hidden="false" customHeight="false" outlineLevel="0" collapsed="false">
      <c r="A5891" s="28" t="n">
        <v>2026</v>
      </c>
      <c r="B5891" s="28" t="s">
        <v>115</v>
      </c>
      <c r="C5891" s="28" t="s">
        <v>58</v>
      </c>
      <c r="D5891" s="28" t="n">
        <v>1</v>
      </c>
      <c r="E5891" s="29" t="n">
        <v>350000</v>
      </c>
      <c r="F5891" s="30" t="n">
        <v>9.75</v>
      </c>
      <c r="G5891" s="31" t="n">
        <f aca="false">IFERROR(F5891/D5891,0)</f>
        <v>9.75</v>
      </c>
    </row>
    <row r="5892" customFormat="false" ht="15" hidden="false" customHeight="false" outlineLevel="0" collapsed="false">
      <c r="A5892" s="28" t="n">
        <v>2026</v>
      </c>
      <c r="B5892" s="28" t="s">
        <v>115</v>
      </c>
      <c r="C5892" s="28" t="s">
        <v>46</v>
      </c>
      <c r="D5892" s="28" t="n">
        <v>11</v>
      </c>
      <c r="E5892" s="29" t="n">
        <v>3737700</v>
      </c>
      <c r="F5892" s="30" t="n">
        <v>101.39</v>
      </c>
      <c r="G5892" s="31" t="n">
        <f aca="false">IFERROR(F5892/D5892,0)</f>
        <v>9.21727272727273</v>
      </c>
    </row>
    <row r="5893" customFormat="false" ht="15" hidden="false" customHeight="false" outlineLevel="0" collapsed="false">
      <c r="A5893" s="28" t="n">
        <v>2026</v>
      </c>
      <c r="B5893" s="28" t="s">
        <v>115</v>
      </c>
      <c r="C5893" s="28" t="s">
        <v>48</v>
      </c>
      <c r="D5893" s="28" t="n">
        <v>5</v>
      </c>
      <c r="E5893" s="29" t="n">
        <v>1741000</v>
      </c>
      <c r="F5893" s="30" t="n">
        <v>50.5</v>
      </c>
      <c r="G5893" s="31" t="n">
        <f aca="false">IFERROR(F5893/D5893,0)</f>
        <v>10.1</v>
      </c>
    </row>
    <row r="5894" customFormat="false" ht="15" hidden="false" customHeight="false" outlineLevel="0" collapsed="false">
      <c r="A5894" s="28" t="n">
        <v>2026</v>
      </c>
      <c r="B5894" s="28" t="s">
        <v>115</v>
      </c>
      <c r="C5894" s="28" t="s">
        <v>53</v>
      </c>
      <c r="D5894" s="28" t="n">
        <v>3</v>
      </c>
      <c r="E5894" s="29" t="n">
        <v>786900</v>
      </c>
      <c r="F5894" s="30" t="n">
        <v>23.75</v>
      </c>
      <c r="G5894" s="31" t="n">
        <f aca="false">IFERROR(F5894/D5894,0)</f>
        <v>7.91666666666667</v>
      </c>
    </row>
    <row r="5895" customFormat="false" ht="15" hidden="false" customHeight="false" outlineLevel="0" collapsed="false">
      <c r="A5895" s="28" t="n">
        <v>2026</v>
      </c>
      <c r="B5895" s="28" t="s">
        <v>115</v>
      </c>
      <c r="C5895" s="28" t="s">
        <v>43</v>
      </c>
      <c r="D5895" s="28" t="n">
        <v>17</v>
      </c>
      <c r="E5895" s="29" t="n">
        <v>18322600</v>
      </c>
      <c r="F5895" s="30" t="n">
        <v>165.2</v>
      </c>
      <c r="G5895" s="31" t="n">
        <f aca="false">IFERROR(F5895/D5895,0)</f>
        <v>9.71764705882353</v>
      </c>
    </row>
    <row r="5896" customFormat="false" ht="15" hidden="false" customHeight="false" outlineLevel="0" collapsed="false">
      <c r="A5896" s="28" t="n">
        <v>2026</v>
      </c>
      <c r="B5896" s="28" t="s">
        <v>115</v>
      </c>
      <c r="C5896" s="28" t="s">
        <v>52</v>
      </c>
      <c r="D5896" s="28" t="n">
        <v>2</v>
      </c>
      <c r="E5896" s="29" t="n">
        <v>1590500</v>
      </c>
      <c r="F5896" s="30" t="n">
        <v>17.25</v>
      </c>
      <c r="G5896" s="31" t="n">
        <f aca="false">IFERROR(F5896/D5896,0)</f>
        <v>8.625</v>
      </c>
    </row>
    <row r="5897" customFormat="false" ht="15" hidden="false" customHeight="false" outlineLevel="0" collapsed="false">
      <c r="A5897" s="28" t="n">
        <v>2026</v>
      </c>
      <c r="B5897" s="28" t="s">
        <v>115</v>
      </c>
      <c r="C5897" s="28" t="s">
        <v>49</v>
      </c>
      <c r="D5897" s="28" t="n">
        <v>3</v>
      </c>
      <c r="E5897" s="29" t="n">
        <v>5365000</v>
      </c>
      <c r="F5897" s="30" t="n">
        <v>26.99</v>
      </c>
      <c r="G5897" s="31" t="n">
        <f aca="false">IFERROR(F5897/D5897,0)</f>
        <v>8.99666666666667</v>
      </c>
    </row>
    <row r="5898" customFormat="false" ht="15" hidden="false" customHeight="false" outlineLevel="0" collapsed="false">
      <c r="A5898" s="28" t="n">
        <v>2026</v>
      </c>
      <c r="B5898" s="28" t="s">
        <v>90</v>
      </c>
      <c r="C5898" s="28" t="s">
        <v>42</v>
      </c>
      <c r="D5898" s="28" t="n">
        <v>132</v>
      </c>
      <c r="E5898" s="29" t="n">
        <v>135729500</v>
      </c>
      <c r="F5898" s="30" t="n">
        <v>1195.59</v>
      </c>
      <c r="G5898" s="31" t="n">
        <f aca="false">IFERROR(F5898/D5898,0)</f>
        <v>9.0575</v>
      </c>
    </row>
    <row r="5899" customFormat="false" ht="15" hidden="false" customHeight="false" outlineLevel="0" collapsed="false">
      <c r="A5899" s="28" t="n">
        <v>2026</v>
      </c>
      <c r="B5899" s="28" t="s">
        <v>90</v>
      </c>
      <c r="C5899" s="28" t="s">
        <v>50</v>
      </c>
      <c r="D5899" s="28" t="n">
        <v>67</v>
      </c>
      <c r="E5899" s="29" t="n">
        <v>21650100</v>
      </c>
      <c r="F5899" s="30" t="n">
        <v>644.31</v>
      </c>
      <c r="G5899" s="31" t="n">
        <f aca="false">IFERROR(F5899/D5899,0)</f>
        <v>9.6165671641791</v>
      </c>
    </row>
    <row r="5900" customFormat="false" ht="15" hidden="false" customHeight="false" outlineLevel="0" collapsed="false">
      <c r="A5900" s="28" t="n">
        <v>2026</v>
      </c>
      <c r="B5900" s="28" t="s">
        <v>90</v>
      </c>
      <c r="C5900" s="28" t="s">
        <v>55</v>
      </c>
      <c r="D5900" s="28" t="n">
        <v>8</v>
      </c>
      <c r="E5900" s="29" t="n">
        <v>16978000</v>
      </c>
      <c r="F5900" s="30" t="n">
        <v>69.19</v>
      </c>
      <c r="G5900" s="31" t="n">
        <f aca="false">IFERROR(F5900/D5900,0)</f>
        <v>8.64875</v>
      </c>
    </row>
    <row r="5901" customFormat="false" ht="15" hidden="false" customHeight="false" outlineLevel="0" collapsed="false">
      <c r="A5901" s="28" t="n">
        <v>2026</v>
      </c>
      <c r="B5901" s="28" t="s">
        <v>90</v>
      </c>
      <c r="C5901" s="28" t="s">
        <v>51</v>
      </c>
      <c r="D5901" s="28" t="n">
        <v>45</v>
      </c>
      <c r="E5901" s="29" t="n">
        <v>27331400</v>
      </c>
      <c r="F5901" s="30" t="n">
        <v>421.48</v>
      </c>
      <c r="G5901" s="31" t="n">
        <f aca="false">IFERROR(F5901/D5901,0)</f>
        <v>9.36622222222222</v>
      </c>
    </row>
    <row r="5902" customFormat="false" ht="15" hidden="false" customHeight="false" outlineLevel="0" collapsed="false">
      <c r="A5902" s="28" t="n">
        <v>2026</v>
      </c>
      <c r="B5902" s="28" t="s">
        <v>90</v>
      </c>
      <c r="C5902" s="28" t="s">
        <v>45</v>
      </c>
      <c r="D5902" s="28" t="n">
        <v>117</v>
      </c>
      <c r="E5902" s="29" t="n">
        <v>63046800</v>
      </c>
      <c r="F5902" s="30" t="n">
        <v>1100.13</v>
      </c>
      <c r="G5902" s="31" t="n">
        <f aca="false">IFERROR(F5902/D5902,0)</f>
        <v>9.40282051282051</v>
      </c>
    </row>
    <row r="5903" customFormat="false" ht="15" hidden="false" customHeight="false" outlineLevel="0" collapsed="false">
      <c r="A5903" s="28" t="n">
        <v>2026</v>
      </c>
      <c r="B5903" s="28" t="s">
        <v>90</v>
      </c>
      <c r="C5903" s="28" t="s">
        <v>56</v>
      </c>
      <c r="D5903" s="28" t="n">
        <v>17</v>
      </c>
      <c r="E5903" s="29" t="n">
        <v>9493400</v>
      </c>
      <c r="F5903" s="30" t="n">
        <v>156.99</v>
      </c>
      <c r="G5903" s="31" t="n">
        <f aca="false">IFERROR(F5903/D5903,0)</f>
        <v>9.23470588235294</v>
      </c>
    </row>
    <row r="5904" customFormat="false" ht="15" hidden="false" customHeight="false" outlineLevel="0" collapsed="false">
      <c r="A5904" s="28" t="n">
        <v>2026</v>
      </c>
      <c r="B5904" s="28" t="s">
        <v>90</v>
      </c>
      <c r="C5904" s="28" t="s">
        <v>54</v>
      </c>
      <c r="D5904" s="28" t="n">
        <v>13</v>
      </c>
      <c r="E5904" s="29" t="n">
        <v>3122700</v>
      </c>
      <c r="F5904" s="30" t="n">
        <v>128.66</v>
      </c>
      <c r="G5904" s="31" t="n">
        <f aca="false">IFERROR(F5904/D5904,0)</f>
        <v>9.89692307692308</v>
      </c>
    </row>
    <row r="5905" customFormat="false" ht="15" hidden="false" customHeight="false" outlineLevel="0" collapsed="false">
      <c r="A5905" s="28" t="n">
        <v>2026</v>
      </c>
      <c r="B5905" s="28" t="s">
        <v>90</v>
      </c>
      <c r="C5905" s="28" t="s">
        <v>44</v>
      </c>
      <c r="D5905" s="28" t="n">
        <v>98</v>
      </c>
      <c r="E5905" s="29" t="n">
        <v>83334600</v>
      </c>
      <c r="F5905" s="30" t="n">
        <v>916.61</v>
      </c>
      <c r="G5905" s="31" t="n">
        <f aca="false">IFERROR(F5905/D5905,0)</f>
        <v>9.35316326530612</v>
      </c>
    </row>
    <row r="5906" customFormat="false" ht="15" hidden="false" customHeight="false" outlineLevel="0" collapsed="false">
      <c r="A5906" s="28" t="n">
        <v>2026</v>
      </c>
      <c r="B5906" s="28" t="s">
        <v>90</v>
      </c>
      <c r="C5906" s="28" t="s">
        <v>57</v>
      </c>
      <c r="D5906" s="28" t="n">
        <v>6</v>
      </c>
      <c r="E5906" s="29" t="n">
        <v>2630000</v>
      </c>
      <c r="F5906" s="30" t="n">
        <v>67.45</v>
      </c>
      <c r="G5906" s="31" t="n">
        <f aca="false">IFERROR(F5906/D5906,0)</f>
        <v>11.2416666666667</v>
      </c>
    </row>
    <row r="5907" customFormat="false" ht="15" hidden="false" customHeight="false" outlineLevel="0" collapsed="false">
      <c r="A5907" s="28" t="n">
        <v>2026</v>
      </c>
      <c r="B5907" s="28" t="s">
        <v>90</v>
      </c>
      <c r="C5907" s="28" t="s">
        <v>59</v>
      </c>
      <c r="D5907" s="28" t="n">
        <v>3</v>
      </c>
      <c r="E5907" s="29" t="n">
        <v>2328000</v>
      </c>
      <c r="F5907" s="30" t="n">
        <v>22.24</v>
      </c>
      <c r="G5907" s="31" t="n">
        <f aca="false">IFERROR(F5907/D5907,0)</f>
        <v>7.41333333333333</v>
      </c>
    </row>
    <row r="5908" customFormat="false" ht="15" hidden="false" customHeight="false" outlineLevel="0" collapsed="false">
      <c r="A5908" s="28" t="n">
        <v>2026</v>
      </c>
      <c r="B5908" s="28" t="s">
        <v>90</v>
      </c>
      <c r="C5908" s="28" t="s">
        <v>47</v>
      </c>
      <c r="D5908" s="28" t="n">
        <v>53</v>
      </c>
      <c r="E5908" s="29" t="n">
        <v>48065000</v>
      </c>
      <c r="F5908" s="30" t="n">
        <v>488.48</v>
      </c>
      <c r="G5908" s="31" t="n">
        <f aca="false">IFERROR(F5908/D5908,0)</f>
        <v>9.21660377358491</v>
      </c>
    </row>
    <row r="5909" customFormat="false" ht="15" hidden="false" customHeight="false" outlineLevel="0" collapsed="false">
      <c r="A5909" s="28" t="n">
        <v>2026</v>
      </c>
      <c r="B5909" s="28" t="s">
        <v>90</v>
      </c>
      <c r="C5909" s="28" t="s">
        <v>46</v>
      </c>
      <c r="D5909" s="28" t="n">
        <v>93</v>
      </c>
      <c r="E5909" s="29" t="n">
        <v>48681800</v>
      </c>
      <c r="F5909" s="30" t="n">
        <v>898.97</v>
      </c>
      <c r="G5909" s="31" t="n">
        <f aca="false">IFERROR(F5909/D5909,0)</f>
        <v>9.66634408602151</v>
      </c>
    </row>
    <row r="5910" customFormat="false" ht="15" hidden="false" customHeight="false" outlineLevel="0" collapsed="false">
      <c r="A5910" s="28" t="n">
        <v>2026</v>
      </c>
      <c r="B5910" s="28" t="s">
        <v>90</v>
      </c>
      <c r="C5910" s="28" t="s">
        <v>48</v>
      </c>
      <c r="D5910" s="28" t="n">
        <v>70</v>
      </c>
      <c r="E5910" s="29" t="n">
        <v>41305600</v>
      </c>
      <c r="F5910" s="30" t="n">
        <v>693.31</v>
      </c>
      <c r="G5910" s="31" t="n">
        <f aca="false">IFERROR(F5910/D5910,0)</f>
        <v>9.90442857142857</v>
      </c>
    </row>
    <row r="5911" customFormat="false" ht="15" hidden="false" customHeight="false" outlineLevel="0" collapsed="false">
      <c r="A5911" s="28" t="n">
        <v>2026</v>
      </c>
      <c r="B5911" s="28" t="s">
        <v>90</v>
      </c>
      <c r="C5911" s="28" t="s">
        <v>53</v>
      </c>
      <c r="D5911" s="28" t="n">
        <v>16</v>
      </c>
      <c r="E5911" s="29" t="n">
        <v>10854200</v>
      </c>
      <c r="F5911" s="30" t="n">
        <v>149.91</v>
      </c>
      <c r="G5911" s="31" t="n">
        <f aca="false">IFERROR(F5911/D5911,0)</f>
        <v>9.369375</v>
      </c>
    </row>
    <row r="5912" customFormat="false" ht="15" hidden="false" customHeight="false" outlineLevel="0" collapsed="false">
      <c r="A5912" s="28" t="n">
        <v>2026</v>
      </c>
      <c r="B5912" s="28" t="s">
        <v>90</v>
      </c>
      <c r="C5912" s="28" t="s">
        <v>43</v>
      </c>
      <c r="D5912" s="28" t="n">
        <v>100</v>
      </c>
      <c r="E5912" s="29" t="n">
        <v>64633200</v>
      </c>
      <c r="F5912" s="30" t="n">
        <v>932.4</v>
      </c>
      <c r="G5912" s="31" t="n">
        <f aca="false">IFERROR(F5912/D5912,0)</f>
        <v>9.324</v>
      </c>
    </row>
    <row r="5913" customFormat="false" ht="15" hidden="false" customHeight="false" outlineLevel="0" collapsed="false">
      <c r="A5913" s="28" t="n">
        <v>2026</v>
      </c>
      <c r="B5913" s="28" t="s">
        <v>90</v>
      </c>
      <c r="C5913" s="28" t="s">
        <v>52</v>
      </c>
      <c r="D5913" s="28" t="n">
        <v>27</v>
      </c>
      <c r="E5913" s="29" t="n">
        <v>6055700</v>
      </c>
      <c r="F5913" s="30" t="n">
        <v>262.515</v>
      </c>
      <c r="G5913" s="31" t="n">
        <f aca="false">IFERROR(F5913/D5913,0)</f>
        <v>9.72277777777778</v>
      </c>
    </row>
    <row r="5914" customFormat="false" ht="15" hidden="false" customHeight="false" outlineLevel="0" collapsed="false">
      <c r="A5914" s="28" t="n">
        <v>2026</v>
      </c>
      <c r="B5914" s="28" t="s">
        <v>90</v>
      </c>
      <c r="C5914" s="28" t="s">
        <v>49</v>
      </c>
      <c r="D5914" s="28" t="n">
        <v>26</v>
      </c>
      <c r="E5914" s="29" t="n">
        <v>15399900</v>
      </c>
      <c r="F5914" s="30" t="n">
        <v>253.88</v>
      </c>
      <c r="G5914" s="31" t="n">
        <f aca="false">IFERROR(F5914/D5914,0)</f>
        <v>9.76461538461538</v>
      </c>
    </row>
    <row r="5915" customFormat="false" ht="15" hidden="false" customHeight="false" outlineLevel="0" collapsed="false">
      <c r="A5915" s="28" t="n">
        <v>2026</v>
      </c>
      <c r="B5915" s="28" t="s">
        <v>116</v>
      </c>
      <c r="C5915" s="28" t="s">
        <v>42</v>
      </c>
      <c r="D5915" s="28" t="n">
        <v>13</v>
      </c>
      <c r="E5915" s="29" t="n">
        <v>21718800</v>
      </c>
      <c r="F5915" s="30" t="n">
        <v>104</v>
      </c>
      <c r="G5915" s="31" t="n">
        <f aca="false">IFERROR(F5915/D5915,0)</f>
        <v>8</v>
      </c>
    </row>
    <row r="5916" customFormat="false" ht="15" hidden="false" customHeight="false" outlineLevel="0" collapsed="false">
      <c r="A5916" s="28" t="n">
        <v>2026</v>
      </c>
      <c r="B5916" s="28" t="s">
        <v>116</v>
      </c>
      <c r="C5916" s="28" t="s">
        <v>50</v>
      </c>
      <c r="D5916" s="28" t="n">
        <v>4</v>
      </c>
      <c r="E5916" s="29" t="n">
        <v>3318000</v>
      </c>
      <c r="F5916" s="30" t="n">
        <v>39.5</v>
      </c>
      <c r="G5916" s="31" t="n">
        <f aca="false">IFERROR(F5916/D5916,0)</f>
        <v>9.875</v>
      </c>
    </row>
    <row r="5917" customFormat="false" ht="15" hidden="false" customHeight="false" outlineLevel="0" collapsed="false">
      <c r="A5917" s="28" t="n">
        <v>2026</v>
      </c>
      <c r="B5917" s="28" t="s">
        <v>116</v>
      </c>
      <c r="C5917" s="28" t="s">
        <v>51</v>
      </c>
      <c r="D5917" s="28" t="n">
        <v>3</v>
      </c>
      <c r="E5917" s="29" t="n">
        <v>581000</v>
      </c>
      <c r="F5917" s="30" t="n">
        <v>26.5</v>
      </c>
      <c r="G5917" s="31" t="n">
        <f aca="false">IFERROR(F5917/D5917,0)</f>
        <v>8.83333333333333</v>
      </c>
    </row>
    <row r="5918" customFormat="false" ht="15" hidden="false" customHeight="false" outlineLevel="0" collapsed="false">
      <c r="A5918" s="28" t="n">
        <v>2026</v>
      </c>
      <c r="B5918" s="28" t="s">
        <v>116</v>
      </c>
      <c r="C5918" s="28" t="s">
        <v>45</v>
      </c>
      <c r="D5918" s="28" t="n">
        <v>5</v>
      </c>
      <c r="E5918" s="29" t="n">
        <v>1329400</v>
      </c>
      <c r="F5918" s="30" t="n">
        <v>42.48</v>
      </c>
      <c r="G5918" s="31" t="n">
        <f aca="false">IFERROR(F5918/D5918,0)</f>
        <v>8.496</v>
      </c>
    </row>
    <row r="5919" customFormat="false" ht="15" hidden="false" customHeight="false" outlineLevel="0" collapsed="false">
      <c r="A5919" s="28" t="n">
        <v>2026</v>
      </c>
      <c r="B5919" s="28" t="s">
        <v>116</v>
      </c>
      <c r="C5919" s="28" t="s">
        <v>54</v>
      </c>
      <c r="D5919" s="28" t="n">
        <v>1</v>
      </c>
      <c r="E5919" s="29" t="n">
        <v>350000</v>
      </c>
      <c r="F5919" s="30" t="n">
        <v>10</v>
      </c>
      <c r="G5919" s="31" t="n">
        <f aca="false">IFERROR(F5919/D5919,0)</f>
        <v>10</v>
      </c>
    </row>
    <row r="5920" customFormat="false" ht="15" hidden="false" customHeight="false" outlineLevel="0" collapsed="false">
      <c r="A5920" s="28" t="n">
        <v>2026</v>
      </c>
      <c r="B5920" s="28" t="s">
        <v>116</v>
      </c>
      <c r="C5920" s="28" t="s">
        <v>44</v>
      </c>
      <c r="D5920" s="28" t="n">
        <v>10</v>
      </c>
      <c r="E5920" s="29" t="n">
        <v>2347700</v>
      </c>
      <c r="F5920" s="30" t="n">
        <v>83.06</v>
      </c>
      <c r="G5920" s="31" t="n">
        <f aca="false">IFERROR(F5920/D5920,0)</f>
        <v>8.306</v>
      </c>
    </row>
    <row r="5921" customFormat="false" ht="15" hidden="false" customHeight="false" outlineLevel="0" collapsed="false">
      <c r="A5921" s="28" t="n">
        <v>2026</v>
      </c>
      <c r="B5921" s="28" t="s">
        <v>116</v>
      </c>
      <c r="C5921" s="28" t="s">
        <v>47</v>
      </c>
      <c r="D5921" s="28" t="n">
        <v>1</v>
      </c>
      <c r="E5921" s="29" t="n">
        <v>13100</v>
      </c>
      <c r="F5921" s="30" t="n">
        <v>10.99</v>
      </c>
      <c r="G5921" s="31" t="n">
        <f aca="false">IFERROR(F5921/D5921,0)</f>
        <v>10.99</v>
      </c>
    </row>
    <row r="5922" customFormat="false" ht="15" hidden="false" customHeight="false" outlineLevel="0" collapsed="false">
      <c r="A5922" s="28" t="n">
        <v>2026</v>
      </c>
      <c r="B5922" s="28" t="s">
        <v>116</v>
      </c>
      <c r="C5922" s="28" t="s">
        <v>58</v>
      </c>
      <c r="D5922" s="28" t="n">
        <v>4</v>
      </c>
      <c r="E5922" s="29" t="n">
        <v>1750600</v>
      </c>
      <c r="F5922" s="30" t="n">
        <v>33.48</v>
      </c>
      <c r="G5922" s="31" t="n">
        <f aca="false">IFERROR(F5922/D5922,0)</f>
        <v>8.37</v>
      </c>
    </row>
    <row r="5923" customFormat="false" ht="15" hidden="false" customHeight="false" outlineLevel="0" collapsed="false">
      <c r="A5923" s="28" t="n">
        <v>2026</v>
      </c>
      <c r="B5923" s="28" t="s">
        <v>116</v>
      </c>
      <c r="C5923" s="28" t="s">
        <v>46</v>
      </c>
      <c r="D5923" s="28" t="n">
        <v>8</v>
      </c>
      <c r="E5923" s="29" t="n">
        <v>4922800</v>
      </c>
      <c r="F5923" s="30" t="n">
        <v>66.74</v>
      </c>
      <c r="G5923" s="31" t="n">
        <f aca="false">IFERROR(F5923/D5923,0)</f>
        <v>8.3425</v>
      </c>
    </row>
    <row r="5924" customFormat="false" ht="15" hidden="false" customHeight="false" outlineLevel="0" collapsed="false">
      <c r="A5924" s="28" t="n">
        <v>2026</v>
      </c>
      <c r="B5924" s="28" t="s">
        <v>116</v>
      </c>
      <c r="C5924" s="28" t="s">
        <v>48</v>
      </c>
      <c r="D5924" s="28" t="n">
        <v>2</v>
      </c>
      <c r="E5924" s="29" t="n">
        <v>850000</v>
      </c>
      <c r="F5924" s="30" t="n">
        <v>18.5</v>
      </c>
      <c r="G5924" s="31" t="n">
        <f aca="false">IFERROR(F5924/D5924,0)</f>
        <v>9.25</v>
      </c>
    </row>
    <row r="5925" customFormat="false" ht="15" hidden="false" customHeight="false" outlineLevel="0" collapsed="false">
      <c r="A5925" s="28" t="n">
        <v>2026</v>
      </c>
      <c r="B5925" s="28" t="s">
        <v>116</v>
      </c>
      <c r="C5925" s="28" t="s">
        <v>53</v>
      </c>
      <c r="D5925" s="28" t="n">
        <v>1</v>
      </c>
      <c r="E5925" s="29" t="n">
        <v>198000</v>
      </c>
      <c r="F5925" s="30" t="n">
        <v>7.25</v>
      </c>
      <c r="G5925" s="31" t="n">
        <f aca="false">IFERROR(F5925/D5925,0)</f>
        <v>7.25</v>
      </c>
    </row>
    <row r="5926" customFormat="false" ht="15" hidden="false" customHeight="false" outlineLevel="0" collapsed="false">
      <c r="A5926" s="28" t="n">
        <v>2026</v>
      </c>
      <c r="B5926" s="28" t="s">
        <v>116</v>
      </c>
      <c r="C5926" s="28" t="s">
        <v>43</v>
      </c>
      <c r="D5926" s="28" t="n">
        <v>6</v>
      </c>
      <c r="E5926" s="29" t="n">
        <v>750900</v>
      </c>
      <c r="F5926" s="30" t="n">
        <v>46.54</v>
      </c>
      <c r="G5926" s="31" t="n">
        <f aca="false">IFERROR(F5926/D5926,0)</f>
        <v>7.75666666666667</v>
      </c>
    </row>
    <row r="5927" customFormat="false" ht="15" hidden="false" customHeight="false" outlineLevel="0" collapsed="false">
      <c r="A5927" s="28" t="n">
        <v>2026</v>
      </c>
      <c r="B5927" s="28" t="s">
        <v>116</v>
      </c>
      <c r="C5927" s="28" t="s">
        <v>52</v>
      </c>
      <c r="D5927" s="28" t="n">
        <v>4</v>
      </c>
      <c r="E5927" s="29" t="n">
        <v>906000</v>
      </c>
      <c r="F5927" s="30" t="n">
        <v>32.73</v>
      </c>
      <c r="G5927" s="31" t="n">
        <f aca="false">IFERROR(F5927/D5927,0)</f>
        <v>8.1825</v>
      </c>
    </row>
    <row r="5928" customFormat="false" ht="15" hidden="false" customHeight="false" outlineLevel="0" collapsed="false">
      <c r="A5928" s="28" t="n">
        <v>2026</v>
      </c>
      <c r="B5928" s="28" t="s">
        <v>116</v>
      </c>
      <c r="C5928" s="28" t="s">
        <v>49</v>
      </c>
      <c r="D5928" s="28" t="n">
        <v>1</v>
      </c>
      <c r="E5928" s="29" t="n">
        <v>85200</v>
      </c>
      <c r="F5928" s="30" t="n">
        <v>6.95</v>
      </c>
      <c r="G5928" s="31" t="n">
        <f aca="false">IFERROR(F5928/D5928,0)</f>
        <v>6.95</v>
      </c>
    </row>
    <row r="5929" customFormat="false" ht="15" hidden="false" customHeight="false" outlineLevel="0" collapsed="false">
      <c r="A5929" s="28" t="n">
        <v>2026</v>
      </c>
      <c r="B5929" s="28" t="s">
        <v>117</v>
      </c>
      <c r="C5929" s="28" t="s">
        <v>42</v>
      </c>
      <c r="D5929" s="28" t="n">
        <v>22</v>
      </c>
      <c r="E5929" s="29" t="n">
        <v>21747100</v>
      </c>
      <c r="F5929" s="30" t="n">
        <v>185.12</v>
      </c>
      <c r="G5929" s="31" t="n">
        <f aca="false">IFERROR(F5929/D5929,0)</f>
        <v>8.41454545454545</v>
      </c>
    </row>
    <row r="5930" customFormat="false" ht="15" hidden="false" customHeight="false" outlineLevel="0" collapsed="false">
      <c r="A5930" s="28" t="n">
        <v>2026</v>
      </c>
      <c r="B5930" s="28" t="s">
        <v>117</v>
      </c>
      <c r="C5930" s="28" t="s">
        <v>50</v>
      </c>
      <c r="D5930" s="28" t="n">
        <v>15</v>
      </c>
      <c r="E5930" s="29" t="n">
        <v>4835500</v>
      </c>
      <c r="F5930" s="30" t="n">
        <v>126.39</v>
      </c>
      <c r="G5930" s="31" t="n">
        <f aca="false">IFERROR(F5930/D5930,0)</f>
        <v>8.426</v>
      </c>
    </row>
    <row r="5931" customFormat="false" ht="15" hidden="false" customHeight="false" outlineLevel="0" collapsed="false">
      <c r="A5931" s="28" t="n">
        <v>2026</v>
      </c>
      <c r="B5931" s="28" t="s">
        <v>117</v>
      </c>
      <c r="C5931" s="28" t="s">
        <v>55</v>
      </c>
      <c r="D5931" s="28" t="n">
        <v>1</v>
      </c>
      <c r="E5931" s="29" t="n">
        <v>366000</v>
      </c>
      <c r="F5931" s="30" t="n">
        <v>8.99</v>
      </c>
      <c r="G5931" s="31" t="n">
        <f aca="false">IFERROR(F5931/D5931,0)</f>
        <v>8.99</v>
      </c>
    </row>
    <row r="5932" customFormat="false" ht="15" hidden="false" customHeight="false" outlineLevel="0" collapsed="false">
      <c r="A5932" s="28" t="n">
        <v>2026</v>
      </c>
      <c r="B5932" s="28" t="s">
        <v>117</v>
      </c>
      <c r="C5932" s="28" t="s">
        <v>51</v>
      </c>
      <c r="D5932" s="28" t="n">
        <v>8</v>
      </c>
      <c r="E5932" s="29" t="n">
        <v>4069600</v>
      </c>
      <c r="F5932" s="30" t="n">
        <v>74.4</v>
      </c>
      <c r="G5932" s="31" t="n">
        <f aca="false">IFERROR(F5932/D5932,0)</f>
        <v>9.3</v>
      </c>
    </row>
    <row r="5933" customFormat="false" ht="15" hidden="false" customHeight="false" outlineLevel="0" collapsed="false">
      <c r="A5933" s="28" t="n">
        <v>2026</v>
      </c>
      <c r="B5933" s="28" t="s">
        <v>117</v>
      </c>
      <c r="C5933" s="28" t="s">
        <v>45</v>
      </c>
      <c r="D5933" s="28" t="n">
        <v>35</v>
      </c>
      <c r="E5933" s="29" t="n">
        <v>12714400</v>
      </c>
      <c r="F5933" s="30" t="n">
        <v>297.96</v>
      </c>
      <c r="G5933" s="31" t="n">
        <f aca="false">IFERROR(F5933/D5933,0)</f>
        <v>8.51314285714286</v>
      </c>
    </row>
    <row r="5934" customFormat="false" ht="15" hidden="false" customHeight="false" outlineLevel="0" collapsed="false">
      <c r="A5934" s="28" t="n">
        <v>2026</v>
      </c>
      <c r="B5934" s="28" t="s">
        <v>117</v>
      </c>
      <c r="C5934" s="28" t="s">
        <v>56</v>
      </c>
      <c r="D5934" s="28" t="n">
        <v>1</v>
      </c>
      <c r="E5934" s="29" t="n">
        <v>1932600</v>
      </c>
      <c r="F5934" s="30" t="n">
        <v>7.5</v>
      </c>
      <c r="G5934" s="31" t="n">
        <f aca="false">IFERROR(F5934/D5934,0)</f>
        <v>7.5</v>
      </c>
    </row>
    <row r="5935" customFormat="false" ht="15" hidden="false" customHeight="false" outlineLevel="0" collapsed="false">
      <c r="A5935" s="28" t="n">
        <v>2026</v>
      </c>
      <c r="B5935" s="28" t="s">
        <v>117</v>
      </c>
      <c r="C5935" s="28" t="s">
        <v>54</v>
      </c>
      <c r="D5935" s="28" t="n">
        <v>3</v>
      </c>
      <c r="E5935" s="29" t="n">
        <v>556000</v>
      </c>
      <c r="F5935" s="30" t="n">
        <v>32.3</v>
      </c>
      <c r="G5935" s="31" t="n">
        <f aca="false">IFERROR(F5935/D5935,0)</f>
        <v>10.7666666666667</v>
      </c>
    </row>
    <row r="5936" customFormat="false" ht="15" hidden="false" customHeight="false" outlineLevel="0" collapsed="false">
      <c r="A5936" s="28" t="n">
        <v>2026</v>
      </c>
      <c r="B5936" s="28" t="s">
        <v>117</v>
      </c>
      <c r="C5936" s="28" t="s">
        <v>44</v>
      </c>
      <c r="D5936" s="28" t="n">
        <v>22</v>
      </c>
      <c r="E5936" s="29" t="n">
        <v>9589000</v>
      </c>
      <c r="F5936" s="30" t="n">
        <v>194.99</v>
      </c>
      <c r="G5936" s="31" t="n">
        <f aca="false">IFERROR(F5936/D5936,0)</f>
        <v>8.86318181818182</v>
      </c>
    </row>
    <row r="5937" customFormat="false" ht="15" hidden="false" customHeight="false" outlineLevel="0" collapsed="false">
      <c r="A5937" s="28" t="n">
        <v>2026</v>
      </c>
      <c r="B5937" s="28" t="s">
        <v>117</v>
      </c>
      <c r="C5937" s="28" t="s">
        <v>57</v>
      </c>
      <c r="D5937" s="28" t="n">
        <v>1</v>
      </c>
      <c r="E5937" s="29" t="n">
        <v>50000</v>
      </c>
      <c r="F5937" s="30" t="n">
        <v>7.75</v>
      </c>
      <c r="G5937" s="31" t="n">
        <f aca="false">IFERROR(F5937/D5937,0)</f>
        <v>7.75</v>
      </c>
    </row>
    <row r="5938" customFormat="false" ht="15" hidden="false" customHeight="false" outlineLevel="0" collapsed="false">
      <c r="A5938" s="28" t="n">
        <v>2026</v>
      </c>
      <c r="B5938" s="28" t="s">
        <v>117</v>
      </c>
      <c r="C5938" s="28" t="s">
        <v>47</v>
      </c>
      <c r="D5938" s="28" t="n">
        <v>7</v>
      </c>
      <c r="E5938" s="29" t="n">
        <v>10822700</v>
      </c>
      <c r="F5938" s="30" t="n">
        <v>60.54</v>
      </c>
      <c r="G5938" s="31" t="n">
        <f aca="false">IFERROR(F5938/D5938,0)</f>
        <v>8.64857142857143</v>
      </c>
    </row>
    <row r="5939" customFormat="false" ht="15" hidden="false" customHeight="false" outlineLevel="0" collapsed="false">
      <c r="A5939" s="28" t="n">
        <v>2026</v>
      </c>
      <c r="B5939" s="28" t="s">
        <v>117</v>
      </c>
      <c r="C5939" s="28" t="s">
        <v>46</v>
      </c>
      <c r="D5939" s="28" t="n">
        <v>18</v>
      </c>
      <c r="E5939" s="29" t="n">
        <v>6706300</v>
      </c>
      <c r="F5939" s="30" t="n">
        <v>150.18</v>
      </c>
      <c r="G5939" s="31" t="n">
        <f aca="false">IFERROR(F5939/D5939,0)</f>
        <v>8.34333333333333</v>
      </c>
    </row>
    <row r="5940" customFormat="false" ht="15" hidden="false" customHeight="false" outlineLevel="0" collapsed="false">
      <c r="A5940" s="28" t="n">
        <v>2026</v>
      </c>
      <c r="B5940" s="28" t="s">
        <v>117</v>
      </c>
      <c r="C5940" s="28" t="s">
        <v>48</v>
      </c>
      <c r="D5940" s="28" t="n">
        <v>15</v>
      </c>
      <c r="E5940" s="29" t="n">
        <v>4309000</v>
      </c>
      <c r="F5940" s="30" t="n">
        <v>123.98</v>
      </c>
      <c r="G5940" s="31" t="n">
        <f aca="false">IFERROR(F5940/D5940,0)</f>
        <v>8.26533333333333</v>
      </c>
    </row>
    <row r="5941" customFormat="false" ht="15" hidden="false" customHeight="false" outlineLevel="0" collapsed="false">
      <c r="A5941" s="28" t="n">
        <v>2026</v>
      </c>
      <c r="B5941" s="28" t="s">
        <v>117</v>
      </c>
      <c r="C5941" s="28" t="s">
        <v>53</v>
      </c>
      <c r="D5941" s="28" t="n">
        <v>2</v>
      </c>
      <c r="E5941" s="29" t="n">
        <v>298000</v>
      </c>
      <c r="F5941" s="30" t="n">
        <v>17.98</v>
      </c>
      <c r="G5941" s="31" t="n">
        <f aca="false">IFERROR(F5941/D5941,0)</f>
        <v>8.99</v>
      </c>
    </row>
    <row r="5942" customFormat="false" ht="15" hidden="false" customHeight="false" outlineLevel="0" collapsed="false">
      <c r="A5942" s="28" t="n">
        <v>2026</v>
      </c>
      <c r="B5942" s="28" t="s">
        <v>117</v>
      </c>
      <c r="C5942" s="28" t="s">
        <v>43</v>
      </c>
      <c r="D5942" s="28" t="n">
        <v>11</v>
      </c>
      <c r="E5942" s="29" t="n">
        <v>3201200</v>
      </c>
      <c r="F5942" s="30" t="n">
        <v>93.46</v>
      </c>
      <c r="G5942" s="31" t="n">
        <f aca="false">IFERROR(F5942/D5942,0)</f>
        <v>8.49636363636364</v>
      </c>
    </row>
    <row r="5943" customFormat="false" ht="15" hidden="false" customHeight="false" outlineLevel="0" collapsed="false">
      <c r="A5943" s="28" t="n">
        <v>2026</v>
      </c>
      <c r="B5943" s="28" t="s">
        <v>117</v>
      </c>
      <c r="C5943" s="28" t="s">
        <v>52</v>
      </c>
      <c r="D5943" s="28" t="n">
        <v>9</v>
      </c>
      <c r="E5943" s="29" t="n">
        <v>5549600</v>
      </c>
      <c r="F5943" s="30" t="n">
        <v>80.23</v>
      </c>
      <c r="G5943" s="31" t="n">
        <f aca="false">IFERROR(F5943/D5943,0)</f>
        <v>8.91444444444445</v>
      </c>
    </row>
    <row r="5944" customFormat="false" ht="15" hidden="false" customHeight="false" outlineLevel="0" collapsed="false">
      <c r="A5944" s="28" t="n">
        <v>2026</v>
      </c>
      <c r="B5944" s="28" t="s">
        <v>117</v>
      </c>
      <c r="C5944" s="28" t="s">
        <v>60</v>
      </c>
      <c r="D5944" s="28" t="n">
        <v>1</v>
      </c>
      <c r="E5944" s="29" t="n">
        <v>161000</v>
      </c>
      <c r="F5944" s="30" t="n">
        <v>9.5</v>
      </c>
      <c r="G5944" s="31" t="n">
        <f aca="false">IFERROR(F5944/D5944,0)</f>
        <v>9.5</v>
      </c>
    </row>
    <row r="5945" customFormat="false" ht="15" hidden="false" customHeight="false" outlineLevel="0" collapsed="false">
      <c r="A5945" s="28" t="n">
        <v>2026</v>
      </c>
      <c r="B5945" s="28" t="s">
        <v>117</v>
      </c>
      <c r="C5945" s="28" t="s">
        <v>49</v>
      </c>
      <c r="D5945" s="28" t="n">
        <v>7</v>
      </c>
      <c r="E5945" s="29" t="n">
        <v>3367400</v>
      </c>
      <c r="F5945" s="30" t="n">
        <v>66.05</v>
      </c>
      <c r="G5945" s="31" t="n">
        <f aca="false">IFERROR(F5945/D5945,0)</f>
        <v>9.43571428571429</v>
      </c>
    </row>
    <row r="5946" customFormat="false" ht="15" hidden="false" customHeight="false" outlineLevel="0" collapsed="false">
      <c r="A5946" s="28" t="n">
        <v>2026</v>
      </c>
      <c r="B5946" s="28" t="s">
        <v>118</v>
      </c>
      <c r="C5946" s="28" t="s">
        <v>42</v>
      </c>
      <c r="D5946" s="28" t="n">
        <v>40</v>
      </c>
      <c r="E5946" s="29" t="n">
        <v>7067900</v>
      </c>
      <c r="F5946" s="30" t="n">
        <v>367.29</v>
      </c>
      <c r="G5946" s="31" t="n">
        <f aca="false">IFERROR(F5946/D5946,0)</f>
        <v>9.18225</v>
      </c>
    </row>
    <row r="5947" customFormat="false" ht="15" hidden="false" customHeight="false" outlineLevel="0" collapsed="false">
      <c r="A5947" s="28" t="n">
        <v>2026</v>
      </c>
      <c r="B5947" s="28" t="s">
        <v>118</v>
      </c>
      <c r="C5947" s="28" t="s">
        <v>50</v>
      </c>
      <c r="D5947" s="28" t="n">
        <v>32</v>
      </c>
      <c r="E5947" s="29" t="n">
        <v>18024400</v>
      </c>
      <c r="F5947" s="30" t="n">
        <v>290.74</v>
      </c>
      <c r="G5947" s="31" t="n">
        <f aca="false">IFERROR(F5947/D5947,0)</f>
        <v>9.085625</v>
      </c>
    </row>
    <row r="5948" customFormat="false" ht="15" hidden="false" customHeight="false" outlineLevel="0" collapsed="false">
      <c r="A5948" s="28" t="n">
        <v>2026</v>
      </c>
      <c r="B5948" s="28" t="s">
        <v>118</v>
      </c>
      <c r="C5948" s="28" t="s">
        <v>55</v>
      </c>
      <c r="D5948" s="28" t="n">
        <v>4</v>
      </c>
      <c r="E5948" s="29" t="n">
        <v>650000</v>
      </c>
      <c r="F5948" s="30" t="n">
        <v>32.64</v>
      </c>
      <c r="G5948" s="31" t="n">
        <f aca="false">IFERROR(F5948/D5948,0)</f>
        <v>8.16</v>
      </c>
    </row>
    <row r="5949" customFormat="false" ht="15" hidden="false" customHeight="false" outlineLevel="0" collapsed="false">
      <c r="A5949" s="28" t="n">
        <v>2026</v>
      </c>
      <c r="B5949" s="28" t="s">
        <v>118</v>
      </c>
      <c r="C5949" s="28" t="s">
        <v>51</v>
      </c>
      <c r="D5949" s="28" t="n">
        <v>4</v>
      </c>
      <c r="E5949" s="29" t="n">
        <v>5328800</v>
      </c>
      <c r="F5949" s="30" t="n">
        <v>38.5</v>
      </c>
      <c r="G5949" s="31" t="n">
        <f aca="false">IFERROR(F5949/D5949,0)</f>
        <v>9.625</v>
      </c>
    </row>
    <row r="5950" customFormat="false" ht="15" hidden="false" customHeight="false" outlineLevel="0" collapsed="false">
      <c r="A5950" s="28" t="n">
        <v>2026</v>
      </c>
      <c r="B5950" s="28" t="s">
        <v>118</v>
      </c>
      <c r="C5950" s="28" t="s">
        <v>45</v>
      </c>
      <c r="D5950" s="28" t="n">
        <v>71</v>
      </c>
      <c r="E5950" s="29" t="n">
        <v>15788600</v>
      </c>
      <c r="F5950" s="30" t="n">
        <v>674.98</v>
      </c>
      <c r="G5950" s="31" t="n">
        <f aca="false">IFERROR(F5950/D5950,0)</f>
        <v>9.50676056338028</v>
      </c>
    </row>
    <row r="5951" customFormat="false" ht="15" hidden="false" customHeight="false" outlineLevel="0" collapsed="false">
      <c r="A5951" s="28" t="n">
        <v>2026</v>
      </c>
      <c r="B5951" s="28" t="s">
        <v>118</v>
      </c>
      <c r="C5951" s="28" t="s">
        <v>56</v>
      </c>
      <c r="D5951" s="28" t="n">
        <v>2</v>
      </c>
      <c r="E5951" s="29" t="n">
        <v>53000</v>
      </c>
      <c r="F5951" s="30" t="n">
        <v>18.74</v>
      </c>
      <c r="G5951" s="31" t="n">
        <f aca="false">IFERROR(F5951/D5951,0)</f>
        <v>9.37</v>
      </c>
    </row>
    <row r="5952" customFormat="false" ht="15" hidden="false" customHeight="false" outlineLevel="0" collapsed="false">
      <c r="A5952" s="28" t="n">
        <v>2026</v>
      </c>
      <c r="B5952" s="28" t="s">
        <v>118</v>
      </c>
      <c r="C5952" s="28" t="s">
        <v>54</v>
      </c>
      <c r="D5952" s="28" t="n">
        <v>6</v>
      </c>
      <c r="E5952" s="29" t="n">
        <v>1015000</v>
      </c>
      <c r="F5952" s="30" t="n">
        <v>58.73</v>
      </c>
      <c r="G5952" s="31" t="n">
        <f aca="false">IFERROR(F5952/D5952,0)</f>
        <v>9.78833333333333</v>
      </c>
    </row>
    <row r="5953" customFormat="false" ht="15" hidden="false" customHeight="false" outlineLevel="0" collapsed="false">
      <c r="A5953" s="28" t="n">
        <v>2026</v>
      </c>
      <c r="B5953" s="28" t="s">
        <v>118</v>
      </c>
      <c r="C5953" s="28" t="s">
        <v>44</v>
      </c>
      <c r="D5953" s="28" t="n">
        <v>29</v>
      </c>
      <c r="E5953" s="29" t="n">
        <v>13922600</v>
      </c>
      <c r="F5953" s="30" t="n">
        <v>270.27</v>
      </c>
      <c r="G5953" s="31" t="n">
        <f aca="false">IFERROR(F5953/D5953,0)</f>
        <v>9.31965517241379</v>
      </c>
    </row>
    <row r="5954" customFormat="false" ht="15" hidden="false" customHeight="false" outlineLevel="0" collapsed="false">
      <c r="A5954" s="28" t="n">
        <v>2026</v>
      </c>
      <c r="B5954" s="28" t="s">
        <v>118</v>
      </c>
      <c r="C5954" s="28" t="s">
        <v>57</v>
      </c>
      <c r="D5954" s="28" t="n">
        <v>2</v>
      </c>
      <c r="E5954" s="29" t="n">
        <v>45000</v>
      </c>
      <c r="F5954" s="30" t="n">
        <v>19.75</v>
      </c>
      <c r="G5954" s="31" t="n">
        <f aca="false">IFERROR(F5954/D5954,0)</f>
        <v>9.875</v>
      </c>
    </row>
    <row r="5955" customFormat="false" ht="15" hidden="false" customHeight="false" outlineLevel="0" collapsed="false">
      <c r="A5955" s="28" t="n">
        <v>2026</v>
      </c>
      <c r="B5955" s="28" t="s">
        <v>118</v>
      </c>
      <c r="C5955" s="28" t="s">
        <v>47</v>
      </c>
      <c r="D5955" s="28" t="n">
        <v>21</v>
      </c>
      <c r="E5955" s="29" t="n">
        <v>8319000</v>
      </c>
      <c r="F5955" s="30" t="n">
        <v>187.7</v>
      </c>
      <c r="G5955" s="31" t="n">
        <f aca="false">IFERROR(F5955/D5955,0)</f>
        <v>8.93809523809524</v>
      </c>
    </row>
    <row r="5956" customFormat="false" ht="15" hidden="false" customHeight="false" outlineLevel="0" collapsed="false">
      <c r="A5956" s="28" t="n">
        <v>2026</v>
      </c>
      <c r="B5956" s="28" t="s">
        <v>118</v>
      </c>
      <c r="C5956" s="28" t="s">
        <v>58</v>
      </c>
      <c r="D5956" s="28" t="n">
        <v>1</v>
      </c>
      <c r="E5956" s="29" t="n">
        <v>200000</v>
      </c>
      <c r="F5956" s="30" t="n">
        <v>8.99</v>
      </c>
      <c r="G5956" s="31" t="n">
        <f aca="false">IFERROR(F5956/D5956,0)</f>
        <v>8.99</v>
      </c>
    </row>
    <row r="5957" customFormat="false" ht="15" hidden="false" customHeight="false" outlineLevel="0" collapsed="false">
      <c r="A5957" s="28" t="n">
        <v>2026</v>
      </c>
      <c r="B5957" s="28" t="s">
        <v>118</v>
      </c>
      <c r="C5957" s="28" t="s">
        <v>46</v>
      </c>
      <c r="D5957" s="28" t="n">
        <v>32</v>
      </c>
      <c r="E5957" s="29" t="n">
        <v>9031200</v>
      </c>
      <c r="F5957" s="30" t="n">
        <v>289.66</v>
      </c>
      <c r="G5957" s="31" t="n">
        <f aca="false">IFERROR(F5957/D5957,0)</f>
        <v>9.051875</v>
      </c>
    </row>
    <row r="5958" customFormat="false" ht="15" hidden="false" customHeight="false" outlineLevel="0" collapsed="false">
      <c r="A5958" s="28" t="n">
        <v>2026</v>
      </c>
      <c r="B5958" s="28" t="s">
        <v>118</v>
      </c>
      <c r="C5958" s="28" t="s">
        <v>48</v>
      </c>
      <c r="D5958" s="28" t="n">
        <v>30</v>
      </c>
      <c r="E5958" s="29" t="n">
        <v>12356200</v>
      </c>
      <c r="F5958" s="30" t="n">
        <v>277.91</v>
      </c>
      <c r="G5958" s="31" t="n">
        <f aca="false">IFERROR(F5958/D5958,0)</f>
        <v>9.26366666666667</v>
      </c>
    </row>
    <row r="5959" customFormat="false" ht="15" hidden="false" customHeight="false" outlineLevel="0" collapsed="false">
      <c r="A5959" s="28" t="n">
        <v>2026</v>
      </c>
      <c r="B5959" s="28" t="s">
        <v>118</v>
      </c>
      <c r="C5959" s="28" t="s">
        <v>53</v>
      </c>
      <c r="D5959" s="28" t="n">
        <v>6</v>
      </c>
      <c r="E5959" s="29" t="n">
        <v>2491100</v>
      </c>
      <c r="F5959" s="30" t="n">
        <v>59</v>
      </c>
      <c r="G5959" s="31" t="n">
        <f aca="false">IFERROR(F5959/D5959,0)</f>
        <v>9.83333333333333</v>
      </c>
    </row>
    <row r="5960" customFormat="false" ht="15" hidden="false" customHeight="false" outlineLevel="0" collapsed="false">
      <c r="A5960" s="28" t="n">
        <v>2026</v>
      </c>
      <c r="B5960" s="28" t="s">
        <v>118</v>
      </c>
      <c r="C5960" s="28" t="s">
        <v>43</v>
      </c>
      <c r="D5960" s="28" t="n">
        <v>28</v>
      </c>
      <c r="E5960" s="29" t="n">
        <v>11183000</v>
      </c>
      <c r="F5960" s="30" t="n">
        <v>236.44</v>
      </c>
      <c r="G5960" s="31" t="n">
        <f aca="false">IFERROR(F5960/D5960,0)</f>
        <v>8.44428571428571</v>
      </c>
    </row>
    <row r="5961" customFormat="false" ht="15" hidden="false" customHeight="false" outlineLevel="0" collapsed="false">
      <c r="A5961" s="28" t="n">
        <v>2026</v>
      </c>
      <c r="B5961" s="28" t="s">
        <v>118</v>
      </c>
      <c r="C5961" s="28" t="s">
        <v>52</v>
      </c>
      <c r="D5961" s="28" t="n">
        <v>12</v>
      </c>
      <c r="E5961" s="29" t="n">
        <v>3679400</v>
      </c>
      <c r="F5961" s="30" t="n">
        <v>103.78</v>
      </c>
      <c r="G5961" s="31" t="n">
        <f aca="false">IFERROR(F5961/D5961,0)</f>
        <v>8.64833333333333</v>
      </c>
    </row>
    <row r="5962" customFormat="false" ht="15" hidden="false" customHeight="false" outlineLevel="0" collapsed="false">
      <c r="A5962" s="28" t="n">
        <v>2026</v>
      </c>
      <c r="B5962" s="28" t="s">
        <v>118</v>
      </c>
      <c r="C5962" s="28" t="s">
        <v>49</v>
      </c>
      <c r="D5962" s="28" t="n">
        <v>6</v>
      </c>
      <c r="E5962" s="29" t="n">
        <v>3391000</v>
      </c>
      <c r="F5962" s="30" t="n">
        <v>50.38</v>
      </c>
      <c r="G5962" s="31" t="n">
        <f aca="false">IFERROR(F5962/D5962,0)</f>
        <v>8.39666666666667</v>
      </c>
    </row>
    <row r="5963" customFormat="false" ht="15" hidden="false" customHeight="false" outlineLevel="0" collapsed="false">
      <c r="A5963" s="28" t="n">
        <v>2026</v>
      </c>
      <c r="B5963" s="28" t="s">
        <v>91</v>
      </c>
      <c r="C5963" s="28" t="s">
        <v>42</v>
      </c>
      <c r="D5963" s="28" t="n">
        <v>157</v>
      </c>
      <c r="E5963" s="29" t="n">
        <v>88968900</v>
      </c>
      <c r="F5963" s="30" t="n">
        <v>1524.67</v>
      </c>
      <c r="G5963" s="31" t="n">
        <f aca="false">IFERROR(F5963/D5963,0)</f>
        <v>9.71127388535032</v>
      </c>
    </row>
    <row r="5964" customFormat="false" ht="15" hidden="false" customHeight="false" outlineLevel="0" collapsed="false">
      <c r="A5964" s="28" t="n">
        <v>2026</v>
      </c>
      <c r="B5964" s="28" t="s">
        <v>91</v>
      </c>
      <c r="C5964" s="28" t="s">
        <v>50</v>
      </c>
      <c r="D5964" s="28" t="n">
        <v>90</v>
      </c>
      <c r="E5964" s="29" t="n">
        <v>32850100</v>
      </c>
      <c r="F5964" s="30" t="n">
        <v>905.37</v>
      </c>
      <c r="G5964" s="31" t="n">
        <f aca="false">IFERROR(F5964/D5964,0)</f>
        <v>10.0596666666667</v>
      </c>
    </row>
    <row r="5965" customFormat="false" ht="15" hidden="false" customHeight="false" outlineLevel="0" collapsed="false">
      <c r="A5965" s="28" t="n">
        <v>2026</v>
      </c>
      <c r="B5965" s="28" t="s">
        <v>91</v>
      </c>
      <c r="C5965" s="28" t="s">
        <v>55</v>
      </c>
      <c r="D5965" s="28" t="n">
        <v>2</v>
      </c>
      <c r="E5965" s="29" t="n">
        <v>175000</v>
      </c>
      <c r="F5965" s="30" t="n">
        <v>23</v>
      </c>
      <c r="G5965" s="31" t="n">
        <f aca="false">IFERROR(F5965/D5965,0)</f>
        <v>11.5</v>
      </c>
    </row>
    <row r="5966" customFormat="false" ht="15" hidden="false" customHeight="false" outlineLevel="0" collapsed="false">
      <c r="A5966" s="28" t="n">
        <v>2026</v>
      </c>
      <c r="B5966" s="28" t="s">
        <v>91</v>
      </c>
      <c r="C5966" s="28" t="s">
        <v>51</v>
      </c>
      <c r="D5966" s="28" t="n">
        <v>72</v>
      </c>
      <c r="E5966" s="29" t="n">
        <v>47136600</v>
      </c>
      <c r="F5966" s="30" t="n">
        <v>697.27</v>
      </c>
      <c r="G5966" s="31" t="n">
        <f aca="false">IFERROR(F5966/D5966,0)</f>
        <v>9.68430555555556</v>
      </c>
    </row>
    <row r="5967" customFormat="false" ht="15" hidden="false" customHeight="false" outlineLevel="0" collapsed="false">
      <c r="A5967" s="28" t="n">
        <v>2026</v>
      </c>
      <c r="B5967" s="28" t="s">
        <v>91</v>
      </c>
      <c r="C5967" s="28" t="s">
        <v>45</v>
      </c>
      <c r="D5967" s="28" t="n">
        <v>143</v>
      </c>
      <c r="E5967" s="29" t="n">
        <v>51520100</v>
      </c>
      <c r="F5967" s="30" t="n">
        <v>1409.29</v>
      </c>
      <c r="G5967" s="31" t="n">
        <f aca="false">IFERROR(F5967/D5967,0)</f>
        <v>9.85517482517482</v>
      </c>
    </row>
    <row r="5968" customFormat="false" ht="15" hidden="false" customHeight="false" outlineLevel="0" collapsed="false">
      <c r="A5968" s="28" t="n">
        <v>2026</v>
      </c>
      <c r="B5968" s="28" t="s">
        <v>91</v>
      </c>
      <c r="C5968" s="28" t="s">
        <v>56</v>
      </c>
      <c r="D5968" s="28" t="n">
        <v>35</v>
      </c>
      <c r="E5968" s="29" t="n">
        <v>17475100</v>
      </c>
      <c r="F5968" s="30" t="n">
        <v>343.3</v>
      </c>
      <c r="G5968" s="31" t="n">
        <f aca="false">IFERROR(F5968/D5968,0)</f>
        <v>9.80857142857143</v>
      </c>
    </row>
    <row r="5969" customFormat="false" ht="15" hidden="false" customHeight="false" outlineLevel="0" collapsed="false">
      <c r="A5969" s="28" t="n">
        <v>2026</v>
      </c>
      <c r="B5969" s="28" t="s">
        <v>91</v>
      </c>
      <c r="C5969" s="28" t="s">
        <v>54</v>
      </c>
      <c r="D5969" s="28" t="n">
        <v>14</v>
      </c>
      <c r="E5969" s="29" t="n">
        <v>4858300</v>
      </c>
      <c r="F5969" s="30" t="n">
        <v>139.22</v>
      </c>
      <c r="G5969" s="31" t="n">
        <f aca="false">IFERROR(F5969/D5969,0)</f>
        <v>9.94428571428571</v>
      </c>
    </row>
    <row r="5970" customFormat="false" ht="15" hidden="false" customHeight="false" outlineLevel="0" collapsed="false">
      <c r="A5970" s="28" t="n">
        <v>2026</v>
      </c>
      <c r="B5970" s="28" t="s">
        <v>91</v>
      </c>
      <c r="C5970" s="28" t="s">
        <v>44</v>
      </c>
      <c r="D5970" s="28" t="n">
        <v>131</v>
      </c>
      <c r="E5970" s="29" t="n">
        <v>78932600</v>
      </c>
      <c r="F5970" s="30" t="n">
        <v>1240.44</v>
      </c>
      <c r="G5970" s="31" t="n">
        <f aca="false">IFERROR(F5970/D5970,0)</f>
        <v>9.46900763358779</v>
      </c>
    </row>
    <row r="5971" customFormat="false" ht="15" hidden="false" customHeight="false" outlineLevel="0" collapsed="false">
      <c r="A5971" s="28" t="n">
        <v>2026</v>
      </c>
      <c r="B5971" s="28" t="s">
        <v>91</v>
      </c>
      <c r="C5971" s="28" t="s">
        <v>57</v>
      </c>
      <c r="D5971" s="28" t="n">
        <v>6</v>
      </c>
      <c r="E5971" s="29" t="n">
        <v>6056800</v>
      </c>
      <c r="F5971" s="30" t="n">
        <v>59.49</v>
      </c>
      <c r="G5971" s="31" t="n">
        <f aca="false">IFERROR(F5971/D5971,0)</f>
        <v>9.915</v>
      </c>
    </row>
    <row r="5972" customFormat="false" ht="15" hidden="false" customHeight="false" outlineLevel="0" collapsed="false">
      <c r="A5972" s="28" t="n">
        <v>2026</v>
      </c>
      <c r="B5972" s="28" t="s">
        <v>91</v>
      </c>
      <c r="C5972" s="28" t="s">
        <v>59</v>
      </c>
      <c r="D5972" s="28" t="n">
        <v>1</v>
      </c>
      <c r="E5972" s="29" t="n">
        <v>1719500</v>
      </c>
      <c r="F5972" s="30" t="n">
        <v>9.25</v>
      </c>
      <c r="G5972" s="31" t="n">
        <f aca="false">IFERROR(F5972/D5972,0)</f>
        <v>9.25</v>
      </c>
    </row>
    <row r="5973" customFormat="false" ht="15" hidden="false" customHeight="false" outlineLevel="0" collapsed="false">
      <c r="A5973" s="28" t="n">
        <v>2026</v>
      </c>
      <c r="B5973" s="28" t="s">
        <v>91</v>
      </c>
      <c r="C5973" s="28" t="s">
        <v>47</v>
      </c>
      <c r="D5973" s="28" t="n">
        <v>67</v>
      </c>
      <c r="E5973" s="29" t="n">
        <v>51470800</v>
      </c>
      <c r="F5973" s="30" t="n">
        <v>614.27</v>
      </c>
      <c r="G5973" s="31" t="n">
        <f aca="false">IFERROR(F5973/D5973,0)</f>
        <v>9.16820895522388</v>
      </c>
    </row>
    <row r="5974" customFormat="false" ht="15" hidden="false" customHeight="false" outlineLevel="0" collapsed="false">
      <c r="A5974" s="28" t="n">
        <v>2026</v>
      </c>
      <c r="B5974" s="28" t="s">
        <v>91</v>
      </c>
      <c r="C5974" s="28" t="s">
        <v>46</v>
      </c>
      <c r="D5974" s="28" t="n">
        <v>114</v>
      </c>
      <c r="E5974" s="29" t="n">
        <v>57108200</v>
      </c>
      <c r="F5974" s="30" t="n">
        <v>1141.47</v>
      </c>
      <c r="G5974" s="31" t="n">
        <f aca="false">IFERROR(F5974/D5974,0)</f>
        <v>10.0128947368421</v>
      </c>
    </row>
    <row r="5975" customFormat="false" ht="15" hidden="false" customHeight="false" outlineLevel="0" collapsed="false">
      <c r="A5975" s="28" t="n">
        <v>2026</v>
      </c>
      <c r="B5975" s="28" t="s">
        <v>91</v>
      </c>
      <c r="C5975" s="28" t="s">
        <v>48</v>
      </c>
      <c r="D5975" s="28" t="n">
        <v>145</v>
      </c>
      <c r="E5975" s="29" t="n">
        <v>48042700</v>
      </c>
      <c r="F5975" s="30" t="n">
        <v>1442.56</v>
      </c>
      <c r="G5975" s="31" t="n">
        <f aca="false">IFERROR(F5975/D5975,0)</f>
        <v>9.94868965517241</v>
      </c>
    </row>
    <row r="5976" customFormat="false" ht="15" hidden="false" customHeight="false" outlineLevel="0" collapsed="false">
      <c r="A5976" s="28" t="n">
        <v>2026</v>
      </c>
      <c r="B5976" s="28" t="s">
        <v>91</v>
      </c>
      <c r="C5976" s="28" t="s">
        <v>53</v>
      </c>
      <c r="D5976" s="28" t="n">
        <v>16</v>
      </c>
      <c r="E5976" s="29" t="n">
        <v>2509000</v>
      </c>
      <c r="F5976" s="30" t="n">
        <v>173.35</v>
      </c>
      <c r="G5976" s="31" t="n">
        <f aca="false">IFERROR(F5976/D5976,0)</f>
        <v>10.834375</v>
      </c>
    </row>
    <row r="5977" customFormat="false" ht="15" hidden="false" customHeight="false" outlineLevel="0" collapsed="false">
      <c r="A5977" s="28" t="n">
        <v>2026</v>
      </c>
      <c r="B5977" s="28" t="s">
        <v>91</v>
      </c>
      <c r="C5977" s="28" t="s">
        <v>43</v>
      </c>
      <c r="D5977" s="28" t="n">
        <v>141</v>
      </c>
      <c r="E5977" s="29" t="n">
        <v>81829500</v>
      </c>
      <c r="F5977" s="30" t="n">
        <v>1355.55</v>
      </c>
      <c r="G5977" s="31" t="n">
        <f aca="false">IFERROR(F5977/D5977,0)</f>
        <v>9.61382978723404</v>
      </c>
    </row>
    <row r="5978" customFormat="false" ht="15" hidden="false" customHeight="false" outlineLevel="0" collapsed="false">
      <c r="A5978" s="28" t="n">
        <v>2026</v>
      </c>
      <c r="B5978" s="28" t="s">
        <v>91</v>
      </c>
      <c r="C5978" s="28" t="s">
        <v>52</v>
      </c>
      <c r="D5978" s="28" t="n">
        <v>50</v>
      </c>
      <c r="E5978" s="29" t="n">
        <v>16973100</v>
      </c>
      <c r="F5978" s="30" t="n">
        <v>522.16</v>
      </c>
      <c r="G5978" s="31" t="n">
        <f aca="false">IFERROR(F5978/D5978,0)</f>
        <v>10.4432</v>
      </c>
    </row>
    <row r="5979" customFormat="false" ht="15" hidden="false" customHeight="false" outlineLevel="0" collapsed="false">
      <c r="A5979" s="28" t="n">
        <v>2026</v>
      </c>
      <c r="B5979" s="28" t="s">
        <v>91</v>
      </c>
      <c r="C5979" s="28" t="s">
        <v>60</v>
      </c>
      <c r="D5979" s="28" t="n">
        <v>2</v>
      </c>
      <c r="E5979" s="29" t="n">
        <v>245000</v>
      </c>
      <c r="F5979" s="30" t="n">
        <v>20.25</v>
      </c>
      <c r="G5979" s="31" t="n">
        <f aca="false">IFERROR(F5979/D5979,0)</f>
        <v>10.125</v>
      </c>
    </row>
    <row r="5980" customFormat="false" ht="15" hidden="false" customHeight="false" outlineLevel="0" collapsed="false">
      <c r="A5980" s="28" t="n">
        <v>2026</v>
      </c>
      <c r="B5980" s="28" t="s">
        <v>91</v>
      </c>
      <c r="C5980" s="28" t="s">
        <v>49</v>
      </c>
      <c r="D5980" s="28" t="n">
        <v>65</v>
      </c>
      <c r="E5980" s="29" t="n">
        <v>26202700</v>
      </c>
      <c r="F5980" s="30" t="n">
        <v>642.91</v>
      </c>
      <c r="G5980" s="31" t="n">
        <f aca="false">IFERROR(F5980/D5980,0)</f>
        <v>9.89092307692308</v>
      </c>
    </row>
    <row r="5981" customFormat="false" ht="15" hidden="false" customHeight="false" outlineLevel="0" collapsed="false">
      <c r="A5981" s="28" t="n">
        <v>2026</v>
      </c>
      <c r="B5981" s="28" t="s">
        <v>119</v>
      </c>
      <c r="C5981" s="28" t="s">
        <v>42</v>
      </c>
      <c r="D5981" s="28" t="n">
        <v>22</v>
      </c>
      <c r="E5981" s="29" t="n">
        <v>24998300</v>
      </c>
      <c r="F5981" s="30" t="n">
        <v>195.35</v>
      </c>
      <c r="G5981" s="31" t="n">
        <f aca="false">IFERROR(F5981/D5981,0)</f>
        <v>8.87954545454545</v>
      </c>
    </row>
    <row r="5982" customFormat="false" ht="15" hidden="false" customHeight="false" outlineLevel="0" collapsed="false">
      <c r="A5982" s="28" t="n">
        <v>2026</v>
      </c>
      <c r="B5982" s="28" t="s">
        <v>119</v>
      </c>
      <c r="C5982" s="28" t="s">
        <v>50</v>
      </c>
      <c r="D5982" s="28" t="n">
        <v>9</v>
      </c>
      <c r="E5982" s="29" t="n">
        <v>924800</v>
      </c>
      <c r="F5982" s="30" t="n">
        <v>87.22</v>
      </c>
      <c r="G5982" s="31" t="n">
        <f aca="false">IFERROR(F5982/D5982,0)</f>
        <v>9.69111111111111</v>
      </c>
    </row>
    <row r="5983" customFormat="false" ht="15" hidden="false" customHeight="false" outlineLevel="0" collapsed="false">
      <c r="A5983" s="28" t="n">
        <v>2026</v>
      </c>
      <c r="B5983" s="28" t="s">
        <v>119</v>
      </c>
      <c r="C5983" s="28" t="s">
        <v>51</v>
      </c>
      <c r="D5983" s="28" t="n">
        <v>5</v>
      </c>
      <c r="E5983" s="29" t="n">
        <v>4792700</v>
      </c>
      <c r="F5983" s="30" t="n">
        <v>46</v>
      </c>
      <c r="G5983" s="31" t="n">
        <f aca="false">IFERROR(F5983/D5983,0)</f>
        <v>9.2</v>
      </c>
    </row>
    <row r="5984" customFormat="false" ht="15" hidden="false" customHeight="false" outlineLevel="0" collapsed="false">
      <c r="A5984" s="28" t="n">
        <v>2026</v>
      </c>
      <c r="B5984" s="28" t="s">
        <v>119</v>
      </c>
      <c r="C5984" s="28" t="s">
        <v>45</v>
      </c>
      <c r="D5984" s="28" t="n">
        <v>23</v>
      </c>
      <c r="E5984" s="29" t="n">
        <v>2863800</v>
      </c>
      <c r="F5984" s="30" t="n">
        <v>230.575</v>
      </c>
      <c r="G5984" s="31" t="n">
        <f aca="false">IFERROR(F5984/D5984,0)</f>
        <v>10.025</v>
      </c>
    </row>
    <row r="5985" customFormat="false" ht="15" hidden="false" customHeight="false" outlineLevel="0" collapsed="false">
      <c r="A5985" s="28" t="n">
        <v>2026</v>
      </c>
      <c r="B5985" s="28" t="s">
        <v>119</v>
      </c>
      <c r="C5985" s="28" t="s">
        <v>56</v>
      </c>
      <c r="D5985" s="28" t="n">
        <v>2</v>
      </c>
      <c r="E5985" s="29" t="n">
        <v>1222000</v>
      </c>
      <c r="F5985" s="30" t="n">
        <v>17.75</v>
      </c>
      <c r="G5985" s="31" t="n">
        <f aca="false">IFERROR(F5985/D5985,0)</f>
        <v>8.875</v>
      </c>
    </row>
    <row r="5986" customFormat="false" ht="15" hidden="false" customHeight="false" outlineLevel="0" collapsed="false">
      <c r="A5986" s="28" t="n">
        <v>2026</v>
      </c>
      <c r="B5986" s="28" t="s">
        <v>119</v>
      </c>
      <c r="C5986" s="28" t="s">
        <v>54</v>
      </c>
      <c r="D5986" s="28" t="n">
        <v>5</v>
      </c>
      <c r="E5986" s="29" t="n">
        <v>1974000</v>
      </c>
      <c r="F5986" s="30" t="n">
        <v>48.74</v>
      </c>
      <c r="G5986" s="31" t="n">
        <f aca="false">IFERROR(F5986/D5986,0)</f>
        <v>9.748</v>
      </c>
    </row>
    <row r="5987" customFormat="false" ht="15" hidden="false" customHeight="false" outlineLevel="0" collapsed="false">
      <c r="A5987" s="28" t="n">
        <v>2026</v>
      </c>
      <c r="B5987" s="28" t="s">
        <v>119</v>
      </c>
      <c r="C5987" s="28" t="s">
        <v>44</v>
      </c>
      <c r="D5987" s="28" t="n">
        <v>16</v>
      </c>
      <c r="E5987" s="29" t="n">
        <v>5071400</v>
      </c>
      <c r="F5987" s="30" t="n">
        <v>146.22</v>
      </c>
      <c r="G5987" s="31" t="n">
        <f aca="false">IFERROR(F5987/D5987,0)</f>
        <v>9.13875</v>
      </c>
    </row>
    <row r="5988" customFormat="false" ht="15" hidden="false" customHeight="false" outlineLevel="0" collapsed="false">
      <c r="A5988" s="28" t="n">
        <v>2026</v>
      </c>
      <c r="B5988" s="28" t="s">
        <v>119</v>
      </c>
      <c r="C5988" s="28" t="s">
        <v>57</v>
      </c>
      <c r="D5988" s="28" t="n">
        <v>1</v>
      </c>
      <c r="E5988" s="29" t="n">
        <v>150000</v>
      </c>
      <c r="F5988" s="30" t="n">
        <v>9.75</v>
      </c>
      <c r="G5988" s="31" t="n">
        <f aca="false">IFERROR(F5988/D5988,0)</f>
        <v>9.75</v>
      </c>
    </row>
    <row r="5989" customFormat="false" ht="15" hidden="false" customHeight="false" outlineLevel="0" collapsed="false">
      <c r="A5989" s="28" t="n">
        <v>2026</v>
      </c>
      <c r="B5989" s="28" t="s">
        <v>119</v>
      </c>
      <c r="C5989" s="28" t="s">
        <v>47</v>
      </c>
      <c r="D5989" s="28" t="n">
        <v>8</v>
      </c>
      <c r="E5989" s="29" t="n">
        <v>2038100</v>
      </c>
      <c r="F5989" s="30" t="n">
        <v>74.98</v>
      </c>
      <c r="G5989" s="31" t="n">
        <f aca="false">IFERROR(F5989/D5989,0)</f>
        <v>9.3725</v>
      </c>
    </row>
    <row r="5990" customFormat="false" ht="15" hidden="false" customHeight="false" outlineLevel="0" collapsed="false">
      <c r="A5990" s="28" t="n">
        <v>2026</v>
      </c>
      <c r="B5990" s="28" t="s">
        <v>119</v>
      </c>
      <c r="C5990" s="28" t="s">
        <v>58</v>
      </c>
      <c r="D5990" s="28" t="n">
        <v>4</v>
      </c>
      <c r="E5990" s="29" t="n">
        <v>5870000</v>
      </c>
      <c r="F5990" s="30" t="n">
        <v>35.25</v>
      </c>
      <c r="G5990" s="31" t="n">
        <f aca="false">IFERROR(F5990/D5990,0)</f>
        <v>8.8125</v>
      </c>
    </row>
    <row r="5991" customFormat="false" ht="15" hidden="false" customHeight="false" outlineLevel="0" collapsed="false">
      <c r="A5991" s="28" t="n">
        <v>2026</v>
      </c>
      <c r="B5991" s="28" t="s">
        <v>119</v>
      </c>
      <c r="C5991" s="28" t="s">
        <v>46</v>
      </c>
      <c r="D5991" s="28" t="n">
        <v>17</v>
      </c>
      <c r="E5991" s="29" t="n">
        <v>2346500</v>
      </c>
      <c r="F5991" s="30" t="n">
        <v>176.72</v>
      </c>
      <c r="G5991" s="31" t="n">
        <f aca="false">IFERROR(F5991/D5991,0)</f>
        <v>10.3952941176471</v>
      </c>
    </row>
    <row r="5992" customFormat="false" ht="15" hidden="false" customHeight="false" outlineLevel="0" collapsed="false">
      <c r="A5992" s="28" t="n">
        <v>2026</v>
      </c>
      <c r="B5992" s="28" t="s">
        <v>119</v>
      </c>
      <c r="C5992" s="28" t="s">
        <v>48</v>
      </c>
      <c r="D5992" s="28" t="n">
        <v>9</v>
      </c>
      <c r="E5992" s="29" t="n">
        <v>1968000</v>
      </c>
      <c r="F5992" s="30" t="n">
        <v>92.47</v>
      </c>
      <c r="G5992" s="31" t="n">
        <f aca="false">IFERROR(F5992/D5992,0)</f>
        <v>10.2744444444444</v>
      </c>
    </row>
    <row r="5993" customFormat="false" ht="15" hidden="false" customHeight="false" outlineLevel="0" collapsed="false">
      <c r="A5993" s="28" t="n">
        <v>2026</v>
      </c>
      <c r="B5993" s="28" t="s">
        <v>119</v>
      </c>
      <c r="C5993" s="28" t="s">
        <v>53</v>
      </c>
      <c r="D5993" s="28" t="n">
        <v>2</v>
      </c>
      <c r="E5993" s="29" t="n">
        <v>468000</v>
      </c>
      <c r="F5993" s="30" t="n">
        <v>14.75</v>
      </c>
      <c r="G5993" s="31" t="n">
        <f aca="false">IFERROR(F5993/D5993,0)</f>
        <v>7.375</v>
      </c>
    </row>
    <row r="5994" customFormat="false" ht="15" hidden="false" customHeight="false" outlineLevel="0" collapsed="false">
      <c r="A5994" s="28" t="n">
        <v>2026</v>
      </c>
      <c r="B5994" s="28" t="s">
        <v>119</v>
      </c>
      <c r="C5994" s="28" t="s">
        <v>43</v>
      </c>
      <c r="D5994" s="28" t="n">
        <v>15</v>
      </c>
      <c r="E5994" s="29" t="n">
        <v>4704000</v>
      </c>
      <c r="F5994" s="30" t="n">
        <v>143.085</v>
      </c>
      <c r="G5994" s="31" t="n">
        <f aca="false">IFERROR(F5994/D5994,0)</f>
        <v>9.539</v>
      </c>
    </row>
    <row r="5995" customFormat="false" ht="15" hidden="false" customHeight="false" outlineLevel="0" collapsed="false">
      <c r="A5995" s="28" t="n">
        <v>2026</v>
      </c>
      <c r="B5995" s="28" t="s">
        <v>119</v>
      </c>
      <c r="C5995" s="28" t="s">
        <v>52</v>
      </c>
      <c r="D5995" s="28" t="n">
        <v>4</v>
      </c>
      <c r="E5995" s="29" t="n">
        <v>1516000</v>
      </c>
      <c r="F5995" s="30" t="n">
        <v>42.5</v>
      </c>
      <c r="G5995" s="31" t="n">
        <f aca="false">IFERROR(F5995/D5995,0)</f>
        <v>10.625</v>
      </c>
    </row>
    <row r="5996" customFormat="false" ht="15" hidden="false" customHeight="false" outlineLevel="0" collapsed="false">
      <c r="A5996" s="28" t="n">
        <v>2026</v>
      </c>
      <c r="B5996" s="28" t="s">
        <v>119</v>
      </c>
      <c r="C5996" s="28" t="s">
        <v>49</v>
      </c>
      <c r="D5996" s="28" t="n">
        <v>3</v>
      </c>
      <c r="E5996" s="29" t="n">
        <v>515000</v>
      </c>
      <c r="F5996" s="30" t="n">
        <v>34.75</v>
      </c>
      <c r="G5996" s="31" t="n">
        <f aca="false">IFERROR(F5996/D5996,0)</f>
        <v>11.5833333333333</v>
      </c>
    </row>
    <row r="5997" customFormat="false" ht="15" hidden="false" customHeight="false" outlineLevel="0" collapsed="false">
      <c r="A5997" s="28" t="n">
        <v>2026</v>
      </c>
      <c r="B5997" s="28" t="s">
        <v>112</v>
      </c>
      <c r="C5997" s="28" t="s">
        <v>42</v>
      </c>
      <c r="D5997" s="28" t="n">
        <v>54</v>
      </c>
      <c r="E5997" s="29" t="n">
        <v>35477800</v>
      </c>
      <c r="F5997" s="30" t="n">
        <v>479.005</v>
      </c>
      <c r="G5997" s="31" t="n">
        <f aca="false">IFERROR(F5997/D5997,0)</f>
        <v>8.87046296296296</v>
      </c>
    </row>
    <row r="5998" customFormat="false" ht="15" hidden="false" customHeight="false" outlineLevel="0" collapsed="false">
      <c r="A5998" s="28" t="n">
        <v>2026</v>
      </c>
      <c r="B5998" s="28" t="s">
        <v>112</v>
      </c>
      <c r="C5998" s="28" t="s">
        <v>50</v>
      </c>
      <c r="D5998" s="28" t="n">
        <v>19</v>
      </c>
      <c r="E5998" s="29" t="n">
        <v>4604800</v>
      </c>
      <c r="F5998" s="30" t="n">
        <v>182.75</v>
      </c>
      <c r="G5998" s="31" t="n">
        <f aca="false">IFERROR(F5998/D5998,0)</f>
        <v>9.61842105263158</v>
      </c>
    </row>
    <row r="5999" customFormat="false" ht="15" hidden="false" customHeight="false" outlineLevel="0" collapsed="false">
      <c r="A5999" s="28" t="n">
        <v>2026</v>
      </c>
      <c r="B5999" s="28" t="s">
        <v>112</v>
      </c>
      <c r="C5999" s="28" t="s">
        <v>51</v>
      </c>
      <c r="D5999" s="28" t="n">
        <v>16</v>
      </c>
      <c r="E5999" s="29" t="n">
        <v>14311500</v>
      </c>
      <c r="F5999" s="30" t="n">
        <v>153.23</v>
      </c>
      <c r="G5999" s="31" t="n">
        <f aca="false">IFERROR(F5999/D5999,0)</f>
        <v>9.576875</v>
      </c>
    </row>
    <row r="6000" customFormat="false" ht="15" hidden="false" customHeight="false" outlineLevel="0" collapsed="false">
      <c r="A6000" s="28" t="n">
        <v>2026</v>
      </c>
      <c r="B6000" s="28" t="s">
        <v>112</v>
      </c>
      <c r="C6000" s="28" t="s">
        <v>45</v>
      </c>
      <c r="D6000" s="28" t="n">
        <v>43</v>
      </c>
      <c r="E6000" s="29" t="n">
        <v>27964800</v>
      </c>
      <c r="F6000" s="30" t="n">
        <v>409.98</v>
      </c>
      <c r="G6000" s="31" t="n">
        <f aca="false">IFERROR(F6000/D6000,0)</f>
        <v>9.53441860465116</v>
      </c>
    </row>
    <row r="6001" customFormat="false" ht="15" hidden="false" customHeight="false" outlineLevel="0" collapsed="false">
      <c r="A6001" s="28" t="n">
        <v>2026</v>
      </c>
      <c r="B6001" s="28" t="s">
        <v>112</v>
      </c>
      <c r="C6001" s="28" t="s">
        <v>56</v>
      </c>
      <c r="D6001" s="28" t="n">
        <v>9</v>
      </c>
      <c r="E6001" s="29" t="n">
        <v>4490800</v>
      </c>
      <c r="F6001" s="30" t="n">
        <v>86.42</v>
      </c>
      <c r="G6001" s="31" t="n">
        <f aca="false">IFERROR(F6001/D6001,0)</f>
        <v>9.60222222222222</v>
      </c>
    </row>
    <row r="6002" customFormat="false" ht="15" hidden="false" customHeight="false" outlineLevel="0" collapsed="false">
      <c r="A6002" s="28" t="n">
        <v>2026</v>
      </c>
      <c r="B6002" s="28" t="s">
        <v>112</v>
      </c>
      <c r="C6002" s="28" t="s">
        <v>54</v>
      </c>
      <c r="D6002" s="28" t="n">
        <v>6</v>
      </c>
      <c r="E6002" s="29" t="n">
        <v>3340000</v>
      </c>
      <c r="F6002" s="30" t="n">
        <v>57.9</v>
      </c>
      <c r="G6002" s="31" t="n">
        <f aca="false">IFERROR(F6002/D6002,0)</f>
        <v>9.65</v>
      </c>
    </row>
    <row r="6003" customFormat="false" ht="15" hidden="false" customHeight="false" outlineLevel="0" collapsed="false">
      <c r="A6003" s="28" t="n">
        <v>2026</v>
      </c>
      <c r="B6003" s="28" t="s">
        <v>112</v>
      </c>
      <c r="C6003" s="28" t="s">
        <v>44</v>
      </c>
      <c r="D6003" s="28" t="n">
        <v>55</v>
      </c>
      <c r="E6003" s="29" t="n">
        <v>29947200</v>
      </c>
      <c r="F6003" s="30" t="n">
        <v>525.01</v>
      </c>
      <c r="G6003" s="31" t="n">
        <f aca="false">IFERROR(F6003/D6003,0)</f>
        <v>9.54563636363636</v>
      </c>
    </row>
    <row r="6004" customFormat="false" ht="15" hidden="false" customHeight="false" outlineLevel="0" collapsed="false">
      <c r="A6004" s="28" t="n">
        <v>2026</v>
      </c>
      <c r="B6004" s="28" t="s">
        <v>112</v>
      </c>
      <c r="C6004" s="28" t="s">
        <v>57</v>
      </c>
      <c r="D6004" s="28" t="n">
        <v>3</v>
      </c>
      <c r="E6004" s="29" t="n">
        <v>1136900</v>
      </c>
      <c r="F6004" s="30" t="n">
        <v>24.49</v>
      </c>
      <c r="G6004" s="31" t="n">
        <f aca="false">IFERROR(F6004/D6004,0)</f>
        <v>8.16333333333333</v>
      </c>
    </row>
    <row r="6005" customFormat="false" ht="15" hidden="false" customHeight="false" outlineLevel="0" collapsed="false">
      <c r="A6005" s="28" t="n">
        <v>2026</v>
      </c>
      <c r="B6005" s="28" t="s">
        <v>112</v>
      </c>
      <c r="C6005" s="28" t="s">
        <v>47</v>
      </c>
      <c r="D6005" s="28" t="n">
        <v>17</v>
      </c>
      <c r="E6005" s="29" t="n">
        <v>16205000</v>
      </c>
      <c r="F6005" s="30" t="n">
        <v>152.9</v>
      </c>
      <c r="G6005" s="31" t="n">
        <f aca="false">IFERROR(F6005/D6005,0)</f>
        <v>8.99411764705882</v>
      </c>
    </row>
    <row r="6006" customFormat="false" ht="15" hidden="false" customHeight="false" outlineLevel="0" collapsed="false">
      <c r="A6006" s="28" t="n">
        <v>2026</v>
      </c>
      <c r="B6006" s="28" t="s">
        <v>112</v>
      </c>
      <c r="C6006" s="28" t="s">
        <v>46</v>
      </c>
      <c r="D6006" s="28" t="n">
        <v>44</v>
      </c>
      <c r="E6006" s="29" t="n">
        <v>23286700</v>
      </c>
      <c r="F6006" s="30" t="n">
        <v>425.05</v>
      </c>
      <c r="G6006" s="31" t="n">
        <f aca="false">IFERROR(F6006/D6006,0)</f>
        <v>9.66022727272727</v>
      </c>
    </row>
    <row r="6007" customFormat="false" ht="15" hidden="false" customHeight="false" outlineLevel="0" collapsed="false">
      <c r="A6007" s="28" t="n">
        <v>2026</v>
      </c>
      <c r="B6007" s="28" t="s">
        <v>112</v>
      </c>
      <c r="C6007" s="28" t="s">
        <v>48</v>
      </c>
      <c r="D6007" s="28" t="n">
        <v>56</v>
      </c>
      <c r="E6007" s="29" t="n">
        <v>19501300</v>
      </c>
      <c r="F6007" s="30" t="n">
        <v>555.97</v>
      </c>
      <c r="G6007" s="31" t="n">
        <f aca="false">IFERROR(F6007/D6007,0)</f>
        <v>9.92803571428572</v>
      </c>
    </row>
    <row r="6008" customFormat="false" ht="15" hidden="false" customHeight="false" outlineLevel="0" collapsed="false">
      <c r="A6008" s="28" t="n">
        <v>2026</v>
      </c>
      <c r="B6008" s="28" t="s">
        <v>112</v>
      </c>
      <c r="C6008" s="28" t="s">
        <v>53</v>
      </c>
      <c r="D6008" s="28" t="n">
        <v>12</v>
      </c>
      <c r="E6008" s="29" t="n">
        <v>8838100</v>
      </c>
      <c r="F6008" s="30" t="n">
        <v>108.25</v>
      </c>
      <c r="G6008" s="31" t="n">
        <f aca="false">IFERROR(F6008/D6008,0)</f>
        <v>9.02083333333333</v>
      </c>
    </row>
    <row r="6009" customFormat="false" ht="15" hidden="false" customHeight="false" outlineLevel="0" collapsed="false">
      <c r="A6009" s="28" t="n">
        <v>2026</v>
      </c>
      <c r="B6009" s="28" t="s">
        <v>112</v>
      </c>
      <c r="C6009" s="28" t="s">
        <v>43</v>
      </c>
      <c r="D6009" s="28" t="n">
        <v>33</v>
      </c>
      <c r="E6009" s="29" t="n">
        <v>21583700</v>
      </c>
      <c r="F6009" s="30" t="n">
        <v>311.61</v>
      </c>
      <c r="G6009" s="31" t="n">
        <f aca="false">IFERROR(F6009/D6009,0)</f>
        <v>9.44272727272727</v>
      </c>
    </row>
    <row r="6010" customFormat="false" ht="15" hidden="false" customHeight="false" outlineLevel="0" collapsed="false">
      <c r="A6010" s="28" t="n">
        <v>2026</v>
      </c>
      <c r="B6010" s="28" t="s">
        <v>112</v>
      </c>
      <c r="C6010" s="28" t="s">
        <v>52</v>
      </c>
      <c r="D6010" s="28" t="n">
        <v>11</v>
      </c>
      <c r="E6010" s="29" t="n">
        <v>2343000</v>
      </c>
      <c r="F6010" s="30" t="n">
        <v>116.83</v>
      </c>
      <c r="G6010" s="31" t="n">
        <f aca="false">IFERROR(F6010/D6010,0)</f>
        <v>10.6209090909091</v>
      </c>
    </row>
    <row r="6011" customFormat="false" ht="15" hidden="false" customHeight="false" outlineLevel="0" collapsed="false">
      <c r="A6011" s="28" t="n">
        <v>2026</v>
      </c>
      <c r="B6011" s="28" t="s">
        <v>112</v>
      </c>
      <c r="C6011" s="28" t="s">
        <v>49</v>
      </c>
      <c r="D6011" s="28" t="n">
        <v>12</v>
      </c>
      <c r="E6011" s="29" t="n">
        <v>7170000</v>
      </c>
      <c r="F6011" s="30" t="n">
        <v>107.12</v>
      </c>
      <c r="G6011" s="31" t="n">
        <f aca="false">IFERROR(F6011/D6011,0)</f>
        <v>8.92666666666667</v>
      </c>
    </row>
    <row r="6012" customFormat="false" ht="15" hidden="false" customHeight="false" outlineLevel="0" collapsed="false">
      <c r="A6012" s="28" t="n">
        <v>2026</v>
      </c>
      <c r="B6012" s="28" t="s">
        <v>82</v>
      </c>
      <c r="C6012" s="28" t="s">
        <v>42</v>
      </c>
      <c r="D6012" s="28" t="n">
        <v>295</v>
      </c>
      <c r="E6012" s="29" t="n">
        <v>150472200</v>
      </c>
      <c r="F6012" s="30" t="n">
        <v>2865.02</v>
      </c>
      <c r="G6012" s="31" t="n">
        <f aca="false">IFERROR(F6012/D6012,0)</f>
        <v>9.71193220338983</v>
      </c>
    </row>
    <row r="6013" customFormat="false" ht="15" hidden="false" customHeight="false" outlineLevel="0" collapsed="false">
      <c r="A6013" s="28" t="n">
        <v>2026</v>
      </c>
      <c r="B6013" s="28" t="s">
        <v>82</v>
      </c>
      <c r="C6013" s="28" t="s">
        <v>50</v>
      </c>
      <c r="D6013" s="28" t="n">
        <v>119</v>
      </c>
      <c r="E6013" s="29" t="n">
        <v>33272600</v>
      </c>
      <c r="F6013" s="30" t="n">
        <v>1213.63</v>
      </c>
      <c r="G6013" s="31" t="n">
        <f aca="false">IFERROR(F6013/D6013,0)</f>
        <v>10.1985714285714</v>
      </c>
    </row>
    <row r="6014" customFormat="false" ht="15" hidden="false" customHeight="false" outlineLevel="0" collapsed="false">
      <c r="A6014" s="28" t="n">
        <v>2026</v>
      </c>
      <c r="B6014" s="28" t="s">
        <v>82</v>
      </c>
      <c r="C6014" s="28" t="s">
        <v>55</v>
      </c>
      <c r="D6014" s="28" t="n">
        <v>7</v>
      </c>
      <c r="E6014" s="29" t="n">
        <v>454000</v>
      </c>
      <c r="F6014" s="30" t="n">
        <v>70.49</v>
      </c>
      <c r="G6014" s="31" t="n">
        <f aca="false">IFERROR(F6014/D6014,0)</f>
        <v>10.07</v>
      </c>
    </row>
    <row r="6015" customFormat="false" ht="15" hidden="false" customHeight="false" outlineLevel="0" collapsed="false">
      <c r="A6015" s="28" t="n">
        <v>2026</v>
      </c>
      <c r="B6015" s="28" t="s">
        <v>82</v>
      </c>
      <c r="C6015" s="28" t="s">
        <v>51</v>
      </c>
      <c r="D6015" s="28" t="n">
        <v>101</v>
      </c>
      <c r="E6015" s="29" t="n">
        <v>42310700</v>
      </c>
      <c r="F6015" s="30" t="n">
        <v>987.08</v>
      </c>
      <c r="G6015" s="31" t="n">
        <f aca="false">IFERROR(F6015/D6015,0)</f>
        <v>9.77306930693069</v>
      </c>
    </row>
    <row r="6016" customFormat="false" ht="15" hidden="false" customHeight="false" outlineLevel="0" collapsed="false">
      <c r="A6016" s="28" t="n">
        <v>2026</v>
      </c>
      <c r="B6016" s="28" t="s">
        <v>82</v>
      </c>
      <c r="C6016" s="28" t="s">
        <v>45</v>
      </c>
      <c r="D6016" s="28" t="n">
        <v>316</v>
      </c>
      <c r="E6016" s="29" t="n">
        <v>94537300</v>
      </c>
      <c r="F6016" s="30" t="n">
        <v>3185.4</v>
      </c>
      <c r="G6016" s="31" t="n">
        <f aca="false">IFERROR(F6016/D6016,0)</f>
        <v>10.0803797468354</v>
      </c>
    </row>
    <row r="6017" customFormat="false" ht="15" hidden="false" customHeight="false" outlineLevel="0" collapsed="false">
      <c r="A6017" s="28" t="n">
        <v>2026</v>
      </c>
      <c r="B6017" s="28" t="s">
        <v>82</v>
      </c>
      <c r="C6017" s="28" t="s">
        <v>56</v>
      </c>
      <c r="D6017" s="28" t="n">
        <v>46</v>
      </c>
      <c r="E6017" s="29" t="n">
        <v>15626700</v>
      </c>
      <c r="F6017" s="30" t="n">
        <v>476.85</v>
      </c>
      <c r="G6017" s="31" t="n">
        <f aca="false">IFERROR(F6017/D6017,0)</f>
        <v>10.3663043478261</v>
      </c>
    </row>
    <row r="6018" customFormat="false" ht="15" hidden="false" customHeight="false" outlineLevel="0" collapsed="false">
      <c r="A6018" s="28" t="n">
        <v>2026</v>
      </c>
      <c r="B6018" s="28" t="s">
        <v>82</v>
      </c>
      <c r="C6018" s="28" t="s">
        <v>54</v>
      </c>
      <c r="D6018" s="28" t="n">
        <v>48</v>
      </c>
      <c r="E6018" s="29" t="n">
        <v>17851100</v>
      </c>
      <c r="F6018" s="30" t="n">
        <v>489.15</v>
      </c>
      <c r="G6018" s="31" t="n">
        <f aca="false">IFERROR(F6018/D6018,0)</f>
        <v>10.190625</v>
      </c>
    </row>
    <row r="6019" customFormat="false" ht="15" hidden="false" customHeight="false" outlineLevel="0" collapsed="false">
      <c r="A6019" s="28" t="n">
        <v>2026</v>
      </c>
      <c r="B6019" s="28" t="s">
        <v>82</v>
      </c>
      <c r="C6019" s="28" t="s">
        <v>44</v>
      </c>
      <c r="D6019" s="28" t="n">
        <v>170</v>
      </c>
      <c r="E6019" s="29" t="n">
        <v>64374200</v>
      </c>
      <c r="F6019" s="30" t="n">
        <v>1683.92</v>
      </c>
      <c r="G6019" s="31" t="n">
        <f aca="false">IFERROR(F6019/D6019,0)</f>
        <v>9.90541176470588</v>
      </c>
    </row>
    <row r="6020" customFormat="false" ht="15" hidden="false" customHeight="false" outlineLevel="0" collapsed="false">
      <c r="A6020" s="28" t="n">
        <v>2026</v>
      </c>
      <c r="B6020" s="28" t="s">
        <v>82</v>
      </c>
      <c r="C6020" s="28" t="s">
        <v>57</v>
      </c>
      <c r="D6020" s="28" t="n">
        <v>19</v>
      </c>
      <c r="E6020" s="29" t="n">
        <v>10346000</v>
      </c>
      <c r="F6020" s="30" t="n">
        <v>186.63</v>
      </c>
      <c r="G6020" s="31" t="n">
        <f aca="false">IFERROR(F6020/D6020,0)</f>
        <v>9.82263157894737</v>
      </c>
    </row>
    <row r="6021" customFormat="false" ht="15" hidden="false" customHeight="false" outlineLevel="0" collapsed="false">
      <c r="A6021" s="28" t="n">
        <v>2026</v>
      </c>
      <c r="B6021" s="28" t="s">
        <v>82</v>
      </c>
      <c r="C6021" s="28" t="s">
        <v>59</v>
      </c>
      <c r="D6021" s="28" t="n">
        <v>1</v>
      </c>
      <c r="E6021" s="29" t="n">
        <v>750000</v>
      </c>
      <c r="F6021" s="30" t="n">
        <v>9.5</v>
      </c>
      <c r="G6021" s="31" t="n">
        <f aca="false">IFERROR(F6021/D6021,0)</f>
        <v>9.5</v>
      </c>
    </row>
    <row r="6022" customFormat="false" ht="15" hidden="false" customHeight="false" outlineLevel="0" collapsed="false">
      <c r="A6022" s="28" t="n">
        <v>2026</v>
      </c>
      <c r="B6022" s="28" t="s">
        <v>82</v>
      </c>
      <c r="C6022" s="28" t="s">
        <v>47</v>
      </c>
      <c r="D6022" s="28" t="n">
        <v>103</v>
      </c>
      <c r="E6022" s="29" t="n">
        <v>50154800</v>
      </c>
      <c r="F6022" s="30" t="n">
        <v>1048.8</v>
      </c>
      <c r="G6022" s="31" t="n">
        <f aca="false">IFERROR(F6022/D6022,0)</f>
        <v>10.1825242718447</v>
      </c>
    </row>
    <row r="6023" customFormat="false" ht="15" hidden="false" customHeight="false" outlineLevel="0" collapsed="false">
      <c r="A6023" s="28" t="n">
        <v>2026</v>
      </c>
      <c r="B6023" s="28" t="s">
        <v>82</v>
      </c>
      <c r="C6023" s="28" t="s">
        <v>58</v>
      </c>
      <c r="D6023" s="28" t="n">
        <v>1</v>
      </c>
      <c r="E6023" s="29" t="n">
        <v>20000</v>
      </c>
      <c r="F6023" s="30" t="n">
        <v>13.25</v>
      </c>
      <c r="G6023" s="31" t="n">
        <f aca="false">IFERROR(F6023/D6023,0)</f>
        <v>13.25</v>
      </c>
    </row>
    <row r="6024" customFormat="false" ht="15" hidden="false" customHeight="false" outlineLevel="0" collapsed="false">
      <c r="A6024" s="28" t="n">
        <v>2026</v>
      </c>
      <c r="B6024" s="28" t="s">
        <v>82</v>
      </c>
      <c r="C6024" s="28" t="s">
        <v>46</v>
      </c>
      <c r="D6024" s="28" t="n">
        <v>219</v>
      </c>
      <c r="E6024" s="29" t="n">
        <v>91017000</v>
      </c>
      <c r="F6024" s="30" t="n">
        <v>2158.32</v>
      </c>
      <c r="G6024" s="31" t="n">
        <f aca="false">IFERROR(F6024/D6024,0)</f>
        <v>9.85534246575343</v>
      </c>
    </row>
    <row r="6025" customFormat="false" ht="15" hidden="false" customHeight="false" outlineLevel="0" collapsed="false">
      <c r="A6025" s="28" t="n">
        <v>2026</v>
      </c>
      <c r="B6025" s="28" t="s">
        <v>82</v>
      </c>
      <c r="C6025" s="28" t="s">
        <v>48</v>
      </c>
      <c r="D6025" s="28" t="n">
        <v>270</v>
      </c>
      <c r="E6025" s="29" t="n">
        <v>76724300</v>
      </c>
      <c r="F6025" s="30" t="n">
        <v>2767.45</v>
      </c>
      <c r="G6025" s="31" t="n">
        <f aca="false">IFERROR(F6025/D6025,0)</f>
        <v>10.2498148148148</v>
      </c>
    </row>
    <row r="6026" customFormat="false" ht="15" hidden="false" customHeight="false" outlineLevel="0" collapsed="false">
      <c r="A6026" s="28" t="n">
        <v>2026</v>
      </c>
      <c r="B6026" s="28" t="s">
        <v>82</v>
      </c>
      <c r="C6026" s="28" t="s">
        <v>61</v>
      </c>
      <c r="D6026" s="28" t="n">
        <v>1</v>
      </c>
      <c r="E6026" s="29" t="n">
        <v>12000</v>
      </c>
      <c r="F6026" s="30" t="n">
        <v>9.75</v>
      </c>
      <c r="G6026" s="31" t="n">
        <f aca="false">IFERROR(F6026/D6026,0)</f>
        <v>9.75</v>
      </c>
    </row>
    <row r="6027" customFormat="false" ht="15" hidden="false" customHeight="false" outlineLevel="0" collapsed="false">
      <c r="A6027" s="28" t="n">
        <v>2026</v>
      </c>
      <c r="B6027" s="28" t="s">
        <v>82</v>
      </c>
      <c r="C6027" s="28" t="s">
        <v>53</v>
      </c>
      <c r="D6027" s="28" t="n">
        <v>30</v>
      </c>
      <c r="E6027" s="29" t="n">
        <v>14199200</v>
      </c>
      <c r="F6027" s="30" t="n">
        <v>287.21</v>
      </c>
      <c r="G6027" s="31" t="n">
        <f aca="false">IFERROR(F6027/D6027,0)</f>
        <v>9.57366666666667</v>
      </c>
    </row>
    <row r="6028" customFormat="false" ht="15" hidden="false" customHeight="false" outlineLevel="0" collapsed="false">
      <c r="A6028" s="28" t="n">
        <v>2026</v>
      </c>
      <c r="B6028" s="28" t="s">
        <v>82</v>
      </c>
      <c r="C6028" s="28" t="s">
        <v>43</v>
      </c>
      <c r="D6028" s="28" t="n">
        <v>318</v>
      </c>
      <c r="E6028" s="29" t="n">
        <v>139601300</v>
      </c>
      <c r="F6028" s="30" t="n">
        <v>3185.51</v>
      </c>
      <c r="G6028" s="31" t="n">
        <f aca="false">IFERROR(F6028/D6028,0)</f>
        <v>10.0173270440252</v>
      </c>
    </row>
    <row r="6029" customFormat="false" ht="15" hidden="false" customHeight="false" outlineLevel="0" collapsed="false">
      <c r="A6029" s="28" t="n">
        <v>2026</v>
      </c>
      <c r="B6029" s="28" t="s">
        <v>82</v>
      </c>
      <c r="C6029" s="28" t="s">
        <v>52</v>
      </c>
      <c r="D6029" s="28" t="n">
        <v>71</v>
      </c>
      <c r="E6029" s="29" t="n">
        <v>17710100</v>
      </c>
      <c r="F6029" s="30" t="n">
        <v>718.34</v>
      </c>
      <c r="G6029" s="31" t="n">
        <f aca="false">IFERROR(F6029/D6029,0)</f>
        <v>10.1174647887324</v>
      </c>
    </row>
    <row r="6030" customFormat="false" ht="15" hidden="false" customHeight="false" outlineLevel="0" collapsed="false">
      <c r="A6030" s="28" t="n">
        <v>2026</v>
      </c>
      <c r="B6030" s="28" t="s">
        <v>82</v>
      </c>
      <c r="C6030" s="28" t="s">
        <v>60</v>
      </c>
      <c r="D6030" s="28" t="n">
        <v>2</v>
      </c>
      <c r="E6030" s="29" t="n">
        <v>375000</v>
      </c>
      <c r="F6030" s="30" t="n">
        <v>19.5</v>
      </c>
      <c r="G6030" s="31" t="n">
        <f aca="false">IFERROR(F6030/D6030,0)</f>
        <v>9.75</v>
      </c>
    </row>
    <row r="6031" customFormat="false" ht="15" hidden="false" customHeight="false" outlineLevel="0" collapsed="false">
      <c r="A6031" s="28" t="n">
        <v>2026</v>
      </c>
      <c r="B6031" s="28" t="s">
        <v>82</v>
      </c>
      <c r="C6031" s="28" t="s">
        <v>49</v>
      </c>
      <c r="D6031" s="28" t="n">
        <v>130</v>
      </c>
      <c r="E6031" s="29" t="n">
        <v>57719900</v>
      </c>
      <c r="F6031" s="30" t="n">
        <v>1306.69</v>
      </c>
      <c r="G6031" s="31" t="n">
        <f aca="false">IFERROR(F6031/D6031,0)</f>
        <v>10.0514615384615</v>
      </c>
    </row>
    <row r="6032" customFormat="false" ht="15" hidden="false" customHeight="false" outlineLevel="0" collapsed="false">
      <c r="A6032" s="28" t="n">
        <v>2026</v>
      </c>
      <c r="B6032" s="28" t="s">
        <v>84</v>
      </c>
      <c r="C6032" s="28" t="s">
        <v>42</v>
      </c>
      <c r="D6032" s="28" t="n">
        <v>178</v>
      </c>
      <c r="E6032" s="29" t="n">
        <v>152302900</v>
      </c>
      <c r="F6032" s="30" t="n">
        <v>1589.25</v>
      </c>
      <c r="G6032" s="31" t="n">
        <f aca="false">IFERROR(F6032/D6032,0)</f>
        <v>8.92837078651685</v>
      </c>
    </row>
    <row r="6033" customFormat="false" ht="15" hidden="false" customHeight="false" outlineLevel="0" collapsed="false">
      <c r="A6033" s="28" t="n">
        <v>2026</v>
      </c>
      <c r="B6033" s="28" t="s">
        <v>84</v>
      </c>
      <c r="C6033" s="28" t="s">
        <v>50</v>
      </c>
      <c r="D6033" s="28" t="n">
        <v>79</v>
      </c>
      <c r="E6033" s="29" t="n">
        <v>35699200</v>
      </c>
      <c r="F6033" s="30" t="n">
        <v>739.03</v>
      </c>
      <c r="G6033" s="31" t="n">
        <f aca="false">IFERROR(F6033/D6033,0)</f>
        <v>9.35481012658228</v>
      </c>
    </row>
    <row r="6034" customFormat="false" ht="15" hidden="false" customHeight="false" outlineLevel="0" collapsed="false">
      <c r="A6034" s="28" t="n">
        <v>2026</v>
      </c>
      <c r="B6034" s="28" t="s">
        <v>84</v>
      </c>
      <c r="C6034" s="28" t="s">
        <v>55</v>
      </c>
      <c r="D6034" s="28" t="n">
        <v>6</v>
      </c>
      <c r="E6034" s="29" t="n">
        <v>2012500</v>
      </c>
      <c r="F6034" s="30" t="n">
        <v>55.52</v>
      </c>
      <c r="G6034" s="31" t="n">
        <f aca="false">IFERROR(F6034/D6034,0)</f>
        <v>9.25333333333333</v>
      </c>
    </row>
    <row r="6035" customFormat="false" ht="15" hidden="false" customHeight="false" outlineLevel="0" collapsed="false">
      <c r="A6035" s="28" t="n">
        <v>2026</v>
      </c>
      <c r="B6035" s="28" t="s">
        <v>84</v>
      </c>
      <c r="C6035" s="28" t="s">
        <v>51</v>
      </c>
      <c r="D6035" s="28" t="n">
        <v>59</v>
      </c>
      <c r="E6035" s="29" t="n">
        <v>27898200</v>
      </c>
      <c r="F6035" s="30" t="n">
        <v>552.9</v>
      </c>
      <c r="G6035" s="31" t="n">
        <f aca="false">IFERROR(F6035/D6035,0)</f>
        <v>9.37118644067797</v>
      </c>
    </row>
    <row r="6036" customFormat="false" ht="15" hidden="false" customHeight="false" outlineLevel="0" collapsed="false">
      <c r="A6036" s="28" t="n">
        <v>2026</v>
      </c>
      <c r="B6036" s="28" t="s">
        <v>84</v>
      </c>
      <c r="C6036" s="28" t="s">
        <v>45</v>
      </c>
      <c r="D6036" s="28" t="n">
        <v>201</v>
      </c>
      <c r="E6036" s="29" t="n">
        <v>71227300</v>
      </c>
      <c r="F6036" s="30" t="n">
        <v>1949.89</v>
      </c>
      <c r="G6036" s="31" t="n">
        <f aca="false">IFERROR(F6036/D6036,0)</f>
        <v>9.70094527363184</v>
      </c>
    </row>
    <row r="6037" customFormat="false" ht="15" hidden="false" customHeight="false" outlineLevel="0" collapsed="false">
      <c r="A6037" s="28" t="n">
        <v>2026</v>
      </c>
      <c r="B6037" s="28" t="s">
        <v>84</v>
      </c>
      <c r="C6037" s="28" t="s">
        <v>56</v>
      </c>
      <c r="D6037" s="28" t="n">
        <v>21</v>
      </c>
      <c r="E6037" s="29" t="n">
        <v>8072200</v>
      </c>
      <c r="F6037" s="30" t="n">
        <v>191.82</v>
      </c>
      <c r="G6037" s="31" t="n">
        <f aca="false">IFERROR(F6037/D6037,0)</f>
        <v>9.13428571428571</v>
      </c>
    </row>
    <row r="6038" customFormat="false" ht="15" hidden="false" customHeight="false" outlineLevel="0" collapsed="false">
      <c r="A6038" s="28" t="n">
        <v>2026</v>
      </c>
      <c r="B6038" s="28" t="s">
        <v>84</v>
      </c>
      <c r="C6038" s="28" t="s">
        <v>54</v>
      </c>
      <c r="D6038" s="28" t="n">
        <v>23</v>
      </c>
      <c r="E6038" s="29" t="n">
        <v>12640700</v>
      </c>
      <c r="F6038" s="30" t="n">
        <v>225.07</v>
      </c>
      <c r="G6038" s="31" t="n">
        <f aca="false">IFERROR(F6038/D6038,0)</f>
        <v>9.78565217391304</v>
      </c>
    </row>
    <row r="6039" customFormat="false" ht="15" hidden="false" customHeight="false" outlineLevel="0" collapsed="false">
      <c r="A6039" s="28" t="n">
        <v>2026</v>
      </c>
      <c r="B6039" s="28" t="s">
        <v>84</v>
      </c>
      <c r="C6039" s="28" t="s">
        <v>44</v>
      </c>
      <c r="D6039" s="28" t="n">
        <v>118</v>
      </c>
      <c r="E6039" s="29" t="n">
        <v>76448900</v>
      </c>
      <c r="F6039" s="30" t="n">
        <v>1118.59</v>
      </c>
      <c r="G6039" s="31" t="n">
        <f aca="false">IFERROR(F6039/D6039,0)</f>
        <v>9.47957627118644</v>
      </c>
    </row>
    <row r="6040" customFormat="false" ht="15" hidden="false" customHeight="false" outlineLevel="0" collapsed="false">
      <c r="A6040" s="28" t="n">
        <v>2026</v>
      </c>
      <c r="B6040" s="28" t="s">
        <v>84</v>
      </c>
      <c r="C6040" s="28" t="s">
        <v>57</v>
      </c>
      <c r="D6040" s="28" t="n">
        <v>8</v>
      </c>
      <c r="E6040" s="29" t="n">
        <v>3147700</v>
      </c>
      <c r="F6040" s="30" t="n">
        <v>74.49</v>
      </c>
      <c r="G6040" s="31" t="n">
        <f aca="false">IFERROR(F6040/D6040,0)</f>
        <v>9.31125</v>
      </c>
    </row>
    <row r="6041" customFormat="false" ht="15" hidden="false" customHeight="false" outlineLevel="0" collapsed="false">
      <c r="A6041" s="28" t="n">
        <v>2026</v>
      </c>
      <c r="B6041" s="28" t="s">
        <v>84</v>
      </c>
      <c r="C6041" s="28" t="s">
        <v>47</v>
      </c>
      <c r="D6041" s="28" t="n">
        <v>114</v>
      </c>
      <c r="E6041" s="29" t="n">
        <v>78981800</v>
      </c>
      <c r="F6041" s="30" t="n">
        <v>1034.665</v>
      </c>
      <c r="G6041" s="31" t="n">
        <f aca="false">IFERROR(F6041/D6041,0)</f>
        <v>9.07600877192983</v>
      </c>
    </row>
    <row r="6042" customFormat="false" ht="15" hidden="false" customHeight="false" outlineLevel="0" collapsed="false">
      <c r="A6042" s="28" t="n">
        <v>2026</v>
      </c>
      <c r="B6042" s="28" t="s">
        <v>84</v>
      </c>
      <c r="C6042" s="28" t="s">
        <v>58</v>
      </c>
      <c r="D6042" s="28" t="n">
        <v>4</v>
      </c>
      <c r="E6042" s="29" t="n">
        <v>4826300</v>
      </c>
      <c r="F6042" s="30" t="n">
        <v>36</v>
      </c>
      <c r="G6042" s="31" t="n">
        <f aca="false">IFERROR(F6042/D6042,0)</f>
        <v>9</v>
      </c>
    </row>
    <row r="6043" customFormat="false" ht="15" hidden="false" customHeight="false" outlineLevel="0" collapsed="false">
      <c r="A6043" s="28" t="n">
        <v>2026</v>
      </c>
      <c r="B6043" s="28" t="s">
        <v>84</v>
      </c>
      <c r="C6043" s="28" t="s">
        <v>46</v>
      </c>
      <c r="D6043" s="28" t="n">
        <v>136</v>
      </c>
      <c r="E6043" s="29" t="n">
        <v>50638100</v>
      </c>
      <c r="F6043" s="30" t="n">
        <v>1281.73</v>
      </c>
      <c r="G6043" s="31" t="n">
        <f aca="false">IFERROR(F6043/D6043,0)</f>
        <v>9.42448529411765</v>
      </c>
    </row>
    <row r="6044" customFormat="false" ht="15" hidden="false" customHeight="false" outlineLevel="0" collapsed="false">
      <c r="A6044" s="28" t="n">
        <v>2026</v>
      </c>
      <c r="B6044" s="28" t="s">
        <v>84</v>
      </c>
      <c r="C6044" s="28" t="s">
        <v>48</v>
      </c>
      <c r="D6044" s="28" t="n">
        <v>81</v>
      </c>
      <c r="E6044" s="29" t="n">
        <v>33048400</v>
      </c>
      <c r="F6044" s="30" t="n">
        <v>775.96</v>
      </c>
      <c r="G6044" s="31" t="n">
        <f aca="false">IFERROR(F6044/D6044,0)</f>
        <v>9.57975308641975</v>
      </c>
    </row>
    <row r="6045" customFormat="false" ht="15" hidden="false" customHeight="false" outlineLevel="0" collapsed="false">
      <c r="A6045" s="28" t="n">
        <v>2026</v>
      </c>
      <c r="B6045" s="28" t="s">
        <v>84</v>
      </c>
      <c r="C6045" s="28" t="s">
        <v>53</v>
      </c>
      <c r="D6045" s="28" t="n">
        <v>20</v>
      </c>
      <c r="E6045" s="29" t="n">
        <v>11130800</v>
      </c>
      <c r="F6045" s="30" t="n">
        <v>181.24</v>
      </c>
      <c r="G6045" s="31" t="n">
        <f aca="false">IFERROR(F6045/D6045,0)</f>
        <v>9.062</v>
      </c>
    </row>
    <row r="6046" customFormat="false" ht="15" hidden="false" customHeight="false" outlineLevel="0" collapsed="false">
      <c r="A6046" s="28" t="n">
        <v>2026</v>
      </c>
      <c r="B6046" s="28" t="s">
        <v>84</v>
      </c>
      <c r="C6046" s="28" t="s">
        <v>43</v>
      </c>
      <c r="D6046" s="28" t="n">
        <v>155</v>
      </c>
      <c r="E6046" s="29" t="n">
        <v>81685900</v>
      </c>
      <c r="F6046" s="30" t="n">
        <v>1453</v>
      </c>
      <c r="G6046" s="31" t="n">
        <f aca="false">IFERROR(F6046/D6046,0)</f>
        <v>9.3741935483871</v>
      </c>
    </row>
    <row r="6047" customFormat="false" ht="15" hidden="false" customHeight="false" outlineLevel="0" collapsed="false">
      <c r="A6047" s="28" t="n">
        <v>2026</v>
      </c>
      <c r="B6047" s="28" t="s">
        <v>84</v>
      </c>
      <c r="C6047" s="28" t="s">
        <v>52</v>
      </c>
      <c r="D6047" s="28" t="n">
        <v>92</v>
      </c>
      <c r="E6047" s="29" t="n">
        <v>26100700</v>
      </c>
      <c r="F6047" s="30" t="n">
        <v>867.275</v>
      </c>
      <c r="G6047" s="31" t="n">
        <f aca="false">IFERROR(F6047/D6047,0)</f>
        <v>9.42690217391304</v>
      </c>
    </row>
    <row r="6048" customFormat="false" ht="15" hidden="false" customHeight="false" outlineLevel="0" collapsed="false">
      <c r="A6048" s="28" t="n">
        <v>2026</v>
      </c>
      <c r="B6048" s="28" t="s">
        <v>84</v>
      </c>
      <c r="C6048" s="28" t="s">
        <v>60</v>
      </c>
      <c r="D6048" s="28" t="n">
        <v>2</v>
      </c>
      <c r="E6048" s="29" t="n">
        <v>250000</v>
      </c>
      <c r="F6048" s="30" t="n">
        <v>19</v>
      </c>
      <c r="G6048" s="31" t="n">
        <f aca="false">IFERROR(F6048/D6048,0)</f>
        <v>9.5</v>
      </c>
    </row>
    <row r="6049" customFormat="false" ht="15" hidden="false" customHeight="false" outlineLevel="0" collapsed="false">
      <c r="A6049" s="28" t="n">
        <v>2026</v>
      </c>
      <c r="B6049" s="28" t="s">
        <v>84</v>
      </c>
      <c r="C6049" s="28" t="s">
        <v>49</v>
      </c>
      <c r="D6049" s="28" t="n">
        <v>31</v>
      </c>
      <c r="E6049" s="29" t="n">
        <v>24594100</v>
      </c>
      <c r="F6049" s="30" t="n">
        <v>288.94</v>
      </c>
      <c r="G6049" s="31" t="n">
        <f aca="false">IFERROR(F6049/D6049,0)</f>
        <v>9.32064516129032</v>
      </c>
    </row>
    <row r="6050" customFormat="false" ht="15" hidden="false" customHeight="false" outlineLevel="0" collapsed="false">
      <c r="A6050" s="28" t="n">
        <v>2026</v>
      </c>
      <c r="B6050" s="28" t="s">
        <v>114</v>
      </c>
      <c r="C6050" s="28" t="s">
        <v>42</v>
      </c>
      <c r="D6050" s="28" t="n">
        <v>32</v>
      </c>
      <c r="E6050" s="29" t="n">
        <v>40932400</v>
      </c>
      <c r="F6050" s="30" t="n">
        <v>272</v>
      </c>
      <c r="G6050" s="31" t="n">
        <f aca="false">IFERROR(F6050/D6050,0)</f>
        <v>8.5</v>
      </c>
    </row>
    <row r="6051" customFormat="false" ht="15" hidden="false" customHeight="false" outlineLevel="0" collapsed="false">
      <c r="A6051" s="28" t="n">
        <v>2026</v>
      </c>
      <c r="B6051" s="28" t="s">
        <v>114</v>
      </c>
      <c r="C6051" s="28" t="s">
        <v>50</v>
      </c>
      <c r="D6051" s="28" t="n">
        <v>15</v>
      </c>
      <c r="E6051" s="29" t="n">
        <v>7555600</v>
      </c>
      <c r="F6051" s="30" t="n">
        <v>141.55</v>
      </c>
      <c r="G6051" s="31" t="n">
        <f aca="false">IFERROR(F6051/D6051,0)</f>
        <v>9.43666666666667</v>
      </c>
    </row>
    <row r="6052" customFormat="false" ht="15" hidden="false" customHeight="false" outlineLevel="0" collapsed="false">
      <c r="A6052" s="28" t="n">
        <v>2026</v>
      </c>
      <c r="B6052" s="28" t="s">
        <v>114</v>
      </c>
      <c r="C6052" s="28" t="s">
        <v>55</v>
      </c>
      <c r="D6052" s="28" t="n">
        <v>5</v>
      </c>
      <c r="E6052" s="29" t="n">
        <v>5507300</v>
      </c>
      <c r="F6052" s="30" t="n">
        <v>45.75</v>
      </c>
      <c r="G6052" s="31" t="n">
        <f aca="false">IFERROR(F6052/D6052,0)</f>
        <v>9.15</v>
      </c>
    </row>
    <row r="6053" customFormat="false" ht="15" hidden="false" customHeight="false" outlineLevel="0" collapsed="false">
      <c r="A6053" s="28" t="n">
        <v>2026</v>
      </c>
      <c r="B6053" s="28" t="s">
        <v>114</v>
      </c>
      <c r="C6053" s="28" t="s">
        <v>51</v>
      </c>
      <c r="D6053" s="28" t="n">
        <v>12</v>
      </c>
      <c r="E6053" s="29" t="n">
        <v>3037200</v>
      </c>
      <c r="F6053" s="30" t="n">
        <v>106.75</v>
      </c>
      <c r="G6053" s="31" t="n">
        <f aca="false">IFERROR(F6053/D6053,0)</f>
        <v>8.89583333333333</v>
      </c>
    </row>
    <row r="6054" customFormat="false" ht="15" hidden="false" customHeight="false" outlineLevel="0" collapsed="false">
      <c r="A6054" s="28" t="n">
        <v>2026</v>
      </c>
      <c r="B6054" s="28" t="s">
        <v>114</v>
      </c>
      <c r="C6054" s="28" t="s">
        <v>45</v>
      </c>
      <c r="D6054" s="28" t="n">
        <v>45</v>
      </c>
      <c r="E6054" s="29" t="n">
        <v>25005300</v>
      </c>
      <c r="F6054" s="30" t="n">
        <v>399.52</v>
      </c>
      <c r="G6054" s="31" t="n">
        <f aca="false">IFERROR(F6054/D6054,0)</f>
        <v>8.87822222222222</v>
      </c>
    </row>
    <row r="6055" customFormat="false" ht="15" hidden="false" customHeight="false" outlineLevel="0" collapsed="false">
      <c r="A6055" s="28" t="n">
        <v>2026</v>
      </c>
      <c r="B6055" s="28" t="s">
        <v>114</v>
      </c>
      <c r="C6055" s="28" t="s">
        <v>56</v>
      </c>
      <c r="D6055" s="28" t="n">
        <v>3</v>
      </c>
      <c r="E6055" s="29" t="n">
        <v>977200</v>
      </c>
      <c r="F6055" s="30" t="n">
        <v>24.75</v>
      </c>
      <c r="G6055" s="31" t="n">
        <f aca="false">IFERROR(F6055/D6055,0)</f>
        <v>8.25</v>
      </c>
    </row>
    <row r="6056" customFormat="false" ht="15" hidden="false" customHeight="false" outlineLevel="0" collapsed="false">
      <c r="A6056" s="28" t="n">
        <v>2026</v>
      </c>
      <c r="B6056" s="28" t="s">
        <v>114</v>
      </c>
      <c r="C6056" s="28" t="s">
        <v>54</v>
      </c>
      <c r="D6056" s="28" t="n">
        <v>11</v>
      </c>
      <c r="E6056" s="29" t="n">
        <v>10065300</v>
      </c>
      <c r="F6056" s="30" t="n">
        <v>96.9</v>
      </c>
      <c r="G6056" s="31" t="n">
        <f aca="false">IFERROR(F6056/D6056,0)</f>
        <v>8.80909090909091</v>
      </c>
    </row>
    <row r="6057" customFormat="false" ht="15" hidden="false" customHeight="false" outlineLevel="0" collapsed="false">
      <c r="A6057" s="28" t="n">
        <v>2026</v>
      </c>
      <c r="B6057" s="28" t="s">
        <v>114</v>
      </c>
      <c r="C6057" s="28" t="s">
        <v>44</v>
      </c>
      <c r="D6057" s="28" t="n">
        <v>24</v>
      </c>
      <c r="E6057" s="29" t="n">
        <v>8541400</v>
      </c>
      <c r="F6057" s="30" t="n">
        <v>215.84</v>
      </c>
      <c r="G6057" s="31" t="n">
        <f aca="false">IFERROR(F6057/D6057,0)</f>
        <v>8.99333333333333</v>
      </c>
    </row>
    <row r="6058" customFormat="false" ht="15" hidden="false" customHeight="false" outlineLevel="0" collapsed="false">
      <c r="A6058" s="28" t="n">
        <v>2026</v>
      </c>
      <c r="B6058" s="28" t="s">
        <v>114</v>
      </c>
      <c r="C6058" s="28" t="s">
        <v>57</v>
      </c>
      <c r="D6058" s="28" t="n">
        <v>2</v>
      </c>
      <c r="E6058" s="29" t="n">
        <v>394000</v>
      </c>
      <c r="F6058" s="30" t="n">
        <v>18</v>
      </c>
      <c r="G6058" s="31" t="n">
        <f aca="false">IFERROR(F6058/D6058,0)</f>
        <v>9</v>
      </c>
    </row>
    <row r="6059" customFormat="false" ht="15" hidden="false" customHeight="false" outlineLevel="0" collapsed="false">
      <c r="A6059" s="28" t="n">
        <v>2026</v>
      </c>
      <c r="B6059" s="28" t="s">
        <v>114</v>
      </c>
      <c r="C6059" s="28" t="s">
        <v>59</v>
      </c>
      <c r="D6059" s="28" t="n">
        <v>1</v>
      </c>
      <c r="E6059" s="29" t="n">
        <v>1811500</v>
      </c>
      <c r="F6059" s="30" t="n">
        <v>7.5</v>
      </c>
      <c r="G6059" s="31" t="n">
        <f aca="false">IFERROR(F6059/D6059,0)</f>
        <v>7.5</v>
      </c>
    </row>
    <row r="6060" customFormat="false" ht="15" hidden="false" customHeight="false" outlineLevel="0" collapsed="false">
      <c r="A6060" s="28" t="n">
        <v>2026</v>
      </c>
      <c r="B6060" s="28" t="s">
        <v>114</v>
      </c>
      <c r="C6060" s="28" t="s">
        <v>47</v>
      </c>
      <c r="D6060" s="28" t="n">
        <v>16</v>
      </c>
      <c r="E6060" s="29" t="n">
        <v>11967900</v>
      </c>
      <c r="F6060" s="30" t="n">
        <v>135.35</v>
      </c>
      <c r="G6060" s="31" t="n">
        <f aca="false">IFERROR(F6060/D6060,0)</f>
        <v>8.459375</v>
      </c>
    </row>
    <row r="6061" customFormat="false" ht="15" hidden="false" customHeight="false" outlineLevel="0" collapsed="false">
      <c r="A6061" s="28" t="n">
        <v>2026</v>
      </c>
      <c r="B6061" s="28" t="s">
        <v>114</v>
      </c>
      <c r="C6061" s="28" t="s">
        <v>58</v>
      </c>
      <c r="D6061" s="28" t="n">
        <v>3</v>
      </c>
      <c r="E6061" s="29" t="n">
        <v>4750000</v>
      </c>
      <c r="F6061" s="30" t="n">
        <v>26</v>
      </c>
      <c r="G6061" s="31" t="n">
        <f aca="false">IFERROR(F6061/D6061,0)</f>
        <v>8.66666666666667</v>
      </c>
    </row>
    <row r="6062" customFormat="false" ht="15" hidden="false" customHeight="false" outlineLevel="0" collapsed="false">
      <c r="A6062" s="28" t="n">
        <v>2026</v>
      </c>
      <c r="B6062" s="28" t="s">
        <v>114</v>
      </c>
      <c r="C6062" s="28" t="s">
        <v>46</v>
      </c>
      <c r="D6062" s="28" t="n">
        <v>29</v>
      </c>
      <c r="E6062" s="29" t="n">
        <v>13835300</v>
      </c>
      <c r="F6062" s="30" t="n">
        <v>259.248</v>
      </c>
      <c r="G6062" s="31" t="n">
        <f aca="false">IFERROR(F6062/D6062,0)</f>
        <v>8.93958620689655</v>
      </c>
    </row>
    <row r="6063" customFormat="false" ht="15" hidden="false" customHeight="false" outlineLevel="0" collapsed="false">
      <c r="A6063" s="28" t="n">
        <v>2026</v>
      </c>
      <c r="B6063" s="28" t="s">
        <v>114</v>
      </c>
      <c r="C6063" s="28" t="s">
        <v>48</v>
      </c>
      <c r="D6063" s="28" t="n">
        <v>21</v>
      </c>
      <c r="E6063" s="29" t="n">
        <v>11360500</v>
      </c>
      <c r="F6063" s="30" t="n">
        <v>185.18</v>
      </c>
      <c r="G6063" s="31" t="n">
        <f aca="false">IFERROR(F6063/D6063,0)</f>
        <v>8.81809523809524</v>
      </c>
    </row>
    <row r="6064" customFormat="false" ht="15" hidden="false" customHeight="false" outlineLevel="0" collapsed="false">
      <c r="A6064" s="28" t="n">
        <v>2026</v>
      </c>
      <c r="B6064" s="28" t="s">
        <v>114</v>
      </c>
      <c r="C6064" s="28" t="s">
        <v>53</v>
      </c>
      <c r="D6064" s="28" t="n">
        <v>11</v>
      </c>
      <c r="E6064" s="29" t="n">
        <v>7555300</v>
      </c>
      <c r="F6064" s="30" t="n">
        <v>86.25</v>
      </c>
      <c r="G6064" s="31" t="n">
        <f aca="false">IFERROR(F6064/D6064,0)</f>
        <v>7.84090909090909</v>
      </c>
    </row>
    <row r="6065" customFormat="false" ht="15" hidden="false" customHeight="false" outlineLevel="0" collapsed="false">
      <c r="A6065" s="28" t="n">
        <v>2026</v>
      </c>
      <c r="B6065" s="28" t="s">
        <v>114</v>
      </c>
      <c r="C6065" s="28" t="s">
        <v>43</v>
      </c>
      <c r="D6065" s="28" t="n">
        <v>35</v>
      </c>
      <c r="E6065" s="29" t="n">
        <v>28251500</v>
      </c>
      <c r="F6065" s="30" t="n">
        <v>299.989</v>
      </c>
      <c r="G6065" s="31" t="n">
        <f aca="false">IFERROR(F6065/D6065,0)</f>
        <v>8.57111428571429</v>
      </c>
    </row>
    <row r="6066" customFormat="false" ht="15" hidden="false" customHeight="false" outlineLevel="0" collapsed="false">
      <c r="A6066" s="28" t="n">
        <v>2026</v>
      </c>
      <c r="B6066" s="28" t="s">
        <v>114</v>
      </c>
      <c r="C6066" s="28" t="s">
        <v>52</v>
      </c>
      <c r="D6066" s="28" t="n">
        <v>6</v>
      </c>
      <c r="E6066" s="29" t="n">
        <v>2013700</v>
      </c>
      <c r="F6066" s="30" t="n">
        <v>48.375</v>
      </c>
      <c r="G6066" s="31" t="n">
        <f aca="false">IFERROR(F6066/D6066,0)</f>
        <v>8.0625</v>
      </c>
    </row>
    <row r="6067" customFormat="false" ht="15" hidden="false" customHeight="false" outlineLevel="0" collapsed="false">
      <c r="A6067" s="28" t="n">
        <v>2026</v>
      </c>
      <c r="B6067" s="28" t="s">
        <v>114</v>
      </c>
      <c r="C6067" s="28" t="s">
        <v>49</v>
      </c>
      <c r="D6067" s="28" t="n">
        <v>8</v>
      </c>
      <c r="E6067" s="29" t="n">
        <v>8026300</v>
      </c>
      <c r="F6067" s="30" t="n">
        <v>65.239</v>
      </c>
      <c r="G6067" s="31" t="n">
        <f aca="false">IFERROR(F6067/D6067,0)</f>
        <v>8.154875</v>
      </c>
    </row>
    <row r="6068" customFormat="false" ht="15" hidden="false" customHeight="false" outlineLevel="0" collapsed="false">
      <c r="A6068" s="28" t="n">
        <v>2026</v>
      </c>
      <c r="B6068" s="28" t="s">
        <v>108</v>
      </c>
      <c r="C6068" s="28" t="s">
        <v>42</v>
      </c>
      <c r="D6068" s="28" t="n">
        <v>87</v>
      </c>
      <c r="E6068" s="29" t="n">
        <v>35914100</v>
      </c>
      <c r="F6068" s="30" t="n">
        <v>878.16</v>
      </c>
      <c r="G6068" s="31" t="n">
        <f aca="false">IFERROR(F6068/D6068,0)</f>
        <v>10.0937931034483</v>
      </c>
    </row>
    <row r="6069" customFormat="false" ht="15" hidden="false" customHeight="false" outlineLevel="0" collapsed="false">
      <c r="A6069" s="28" t="n">
        <v>2026</v>
      </c>
      <c r="B6069" s="28" t="s">
        <v>108</v>
      </c>
      <c r="C6069" s="28" t="s">
        <v>50</v>
      </c>
      <c r="D6069" s="28" t="n">
        <v>34</v>
      </c>
      <c r="E6069" s="29" t="n">
        <v>10663100</v>
      </c>
      <c r="F6069" s="30" t="n">
        <v>329.52</v>
      </c>
      <c r="G6069" s="31" t="n">
        <f aca="false">IFERROR(F6069/D6069,0)</f>
        <v>9.69176470588235</v>
      </c>
    </row>
    <row r="6070" customFormat="false" ht="15" hidden="false" customHeight="false" outlineLevel="0" collapsed="false">
      <c r="A6070" s="28" t="n">
        <v>2026</v>
      </c>
      <c r="B6070" s="28" t="s">
        <v>108</v>
      </c>
      <c r="C6070" s="28" t="s">
        <v>55</v>
      </c>
      <c r="D6070" s="28" t="n">
        <v>12</v>
      </c>
      <c r="E6070" s="29" t="n">
        <v>538800</v>
      </c>
      <c r="F6070" s="30" t="n">
        <v>130.5</v>
      </c>
      <c r="G6070" s="31" t="n">
        <f aca="false">IFERROR(F6070/D6070,0)</f>
        <v>10.875</v>
      </c>
    </row>
    <row r="6071" customFormat="false" ht="15" hidden="false" customHeight="false" outlineLevel="0" collapsed="false">
      <c r="A6071" s="28" t="n">
        <v>2026</v>
      </c>
      <c r="B6071" s="28" t="s">
        <v>108</v>
      </c>
      <c r="C6071" s="28" t="s">
        <v>51</v>
      </c>
      <c r="D6071" s="28" t="n">
        <v>18</v>
      </c>
      <c r="E6071" s="29" t="n">
        <v>4914900</v>
      </c>
      <c r="F6071" s="30" t="n">
        <v>179.145</v>
      </c>
      <c r="G6071" s="31" t="n">
        <f aca="false">IFERROR(F6071/D6071,0)</f>
        <v>9.9525</v>
      </c>
    </row>
    <row r="6072" customFormat="false" ht="15" hidden="false" customHeight="false" outlineLevel="0" collapsed="false">
      <c r="A6072" s="28" t="n">
        <v>2026</v>
      </c>
      <c r="B6072" s="28" t="s">
        <v>108</v>
      </c>
      <c r="C6072" s="28" t="s">
        <v>45</v>
      </c>
      <c r="D6072" s="28" t="n">
        <v>130</v>
      </c>
      <c r="E6072" s="29" t="n">
        <v>36069500</v>
      </c>
      <c r="F6072" s="30" t="n">
        <v>1347.825</v>
      </c>
      <c r="G6072" s="31" t="n">
        <f aca="false">IFERROR(F6072/D6072,0)</f>
        <v>10.3678846153846</v>
      </c>
    </row>
    <row r="6073" customFormat="false" ht="15" hidden="false" customHeight="false" outlineLevel="0" collapsed="false">
      <c r="A6073" s="28" t="n">
        <v>2026</v>
      </c>
      <c r="B6073" s="28" t="s">
        <v>108</v>
      </c>
      <c r="C6073" s="28" t="s">
        <v>56</v>
      </c>
      <c r="D6073" s="28" t="n">
        <v>9</v>
      </c>
      <c r="E6073" s="29" t="n">
        <v>1488900</v>
      </c>
      <c r="F6073" s="30" t="n">
        <v>97.24</v>
      </c>
      <c r="G6073" s="31" t="n">
        <f aca="false">IFERROR(F6073/D6073,0)</f>
        <v>10.8044444444444</v>
      </c>
    </row>
    <row r="6074" customFormat="false" ht="15" hidden="false" customHeight="false" outlineLevel="0" collapsed="false">
      <c r="A6074" s="28" t="n">
        <v>2026</v>
      </c>
      <c r="B6074" s="28" t="s">
        <v>108</v>
      </c>
      <c r="C6074" s="28" t="s">
        <v>54</v>
      </c>
      <c r="D6074" s="28" t="n">
        <v>14</v>
      </c>
      <c r="E6074" s="29" t="n">
        <v>4638300</v>
      </c>
      <c r="F6074" s="30" t="n">
        <v>137.24</v>
      </c>
      <c r="G6074" s="31" t="n">
        <f aca="false">IFERROR(F6074/D6074,0)</f>
        <v>9.80285714285714</v>
      </c>
    </row>
    <row r="6075" customFormat="false" ht="15" hidden="false" customHeight="false" outlineLevel="0" collapsed="false">
      <c r="A6075" s="28" t="n">
        <v>2026</v>
      </c>
      <c r="B6075" s="28" t="s">
        <v>108</v>
      </c>
      <c r="C6075" s="28" t="s">
        <v>44</v>
      </c>
      <c r="D6075" s="28" t="n">
        <v>55</v>
      </c>
      <c r="E6075" s="29" t="n">
        <v>37303000</v>
      </c>
      <c r="F6075" s="30" t="n">
        <v>509.47</v>
      </c>
      <c r="G6075" s="31" t="n">
        <f aca="false">IFERROR(F6075/D6075,0)</f>
        <v>9.26309090909091</v>
      </c>
    </row>
    <row r="6076" customFormat="false" ht="15" hidden="false" customHeight="false" outlineLevel="0" collapsed="false">
      <c r="A6076" s="28" t="n">
        <v>2026</v>
      </c>
      <c r="B6076" s="28" t="s">
        <v>108</v>
      </c>
      <c r="C6076" s="28" t="s">
        <v>57</v>
      </c>
      <c r="D6076" s="28" t="n">
        <v>6</v>
      </c>
      <c r="E6076" s="29" t="n">
        <v>1870000</v>
      </c>
      <c r="F6076" s="30" t="n">
        <v>57.49</v>
      </c>
      <c r="G6076" s="31" t="n">
        <f aca="false">IFERROR(F6076/D6076,0)</f>
        <v>9.58166666666667</v>
      </c>
    </row>
    <row r="6077" customFormat="false" ht="15" hidden="false" customHeight="false" outlineLevel="0" collapsed="false">
      <c r="A6077" s="28" t="n">
        <v>2026</v>
      </c>
      <c r="B6077" s="28" t="s">
        <v>108</v>
      </c>
      <c r="C6077" s="28" t="s">
        <v>47</v>
      </c>
      <c r="D6077" s="28" t="n">
        <v>37</v>
      </c>
      <c r="E6077" s="29" t="n">
        <v>24728900</v>
      </c>
      <c r="F6077" s="30" t="n">
        <v>357.67</v>
      </c>
      <c r="G6077" s="31" t="n">
        <f aca="false">IFERROR(F6077/D6077,0)</f>
        <v>9.66675675675676</v>
      </c>
    </row>
    <row r="6078" customFormat="false" ht="15" hidden="false" customHeight="false" outlineLevel="0" collapsed="false">
      <c r="A6078" s="28" t="n">
        <v>2026</v>
      </c>
      <c r="B6078" s="28" t="s">
        <v>108</v>
      </c>
      <c r="C6078" s="28" t="s">
        <v>46</v>
      </c>
      <c r="D6078" s="28" t="n">
        <v>58</v>
      </c>
      <c r="E6078" s="29" t="n">
        <v>17112500</v>
      </c>
      <c r="F6078" s="30" t="n">
        <v>578.97</v>
      </c>
      <c r="G6078" s="31" t="n">
        <f aca="false">IFERROR(F6078/D6078,0)</f>
        <v>9.98224137931035</v>
      </c>
    </row>
    <row r="6079" customFormat="false" ht="15" hidden="false" customHeight="false" outlineLevel="0" collapsed="false">
      <c r="A6079" s="28" t="n">
        <v>2026</v>
      </c>
      <c r="B6079" s="28" t="s">
        <v>108</v>
      </c>
      <c r="C6079" s="28" t="s">
        <v>48</v>
      </c>
      <c r="D6079" s="28" t="n">
        <v>53</v>
      </c>
      <c r="E6079" s="29" t="n">
        <v>22707800</v>
      </c>
      <c r="F6079" s="30" t="n">
        <v>511.18</v>
      </c>
      <c r="G6079" s="31" t="n">
        <f aca="false">IFERROR(F6079/D6079,0)</f>
        <v>9.64490566037736</v>
      </c>
    </row>
    <row r="6080" customFormat="false" ht="15" hidden="false" customHeight="false" outlineLevel="0" collapsed="false">
      <c r="A6080" s="28" t="n">
        <v>2026</v>
      </c>
      <c r="B6080" s="28" t="s">
        <v>108</v>
      </c>
      <c r="C6080" s="28" t="s">
        <v>53</v>
      </c>
      <c r="D6080" s="28" t="n">
        <v>14</v>
      </c>
      <c r="E6080" s="29" t="n">
        <v>7205500</v>
      </c>
      <c r="F6080" s="30" t="n">
        <v>137.27</v>
      </c>
      <c r="G6080" s="31" t="n">
        <f aca="false">IFERROR(F6080/D6080,0)</f>
        <v>9.805</v>
      </c>
    </row>
    <row r="6081" customFormat="false" ht="15" hidden="false" customHeight="false" outlineLevel="0" collapsed="false">
      <c r="A6081" s="28" t="n">
        <v>2026</v>
      </c>
      <c r="B6081" s="28" t="s">
        <v>108</v>
      </c>
      <c r="C6081" s="28" t="s">
        <v>43</v>
      </c>
      <c r="D6081" s="28" t="n">
        <v>100</v>
      </c>
      <c r="E6081" s="29" t="n">
        <v>66384500</v>
      </c>
      <c r="F6081" s="30" t="n">
        <v>988.96</v>
      </c>
      <c r="G6081" s="31" t="n">
        <f aca="false">IFERROR(F6081/D6081,0)</f>
        <v>9.8896</v>
      </c>
    </row>
    <row r="6082" customFormat="false" ht="15" hidden="false" customHeight="false" outlineLevel="0" collapsed="false">
      <c r="A6082" s="28" t="n">
        <v>2026</v>
      </c>
      <c r="B6082" s="28" t="s">
        <v>108</v>
      </c>
      <c r="C6082" s="28" t="s">
        <v>52</v>
      </c>
      <c r="D6082" s="28" t="n">
        <v>21</v>
      </c>
      <c r="E6082" s="29" t="n">
        <v>16474400</v>
      </c>
      <c r="F6082" s="30" t="n">
        <v>216.97</v>
      </c>
      <c r="G6082" s="31" t="n">
        <f aca="false">IFERROR(F6082/D6082,0)</f>
        <v>10.3319047619048</v>
      </c>
    </row>
    <row r="6083" customFormat="false" ht="15" hidden="false" customHeight="false" outlineLevel="0" collapsed="false">
      <c r="A6083" s="28" t="n">
        <v>2026</v>
      </c>
      <c r="B6083" s="28" t="s">
        <v>108</v>
      </c>
      <c r="C6083" s="28" t="s">
        <v>49</v>
      </c>
      <c r="D6083" s="28" t="n">
        <v>18</v>
      </c>
      <c r="E6083" s="29" t="n">
        <v>6855000</v>
      </c>
      <c r="F6083" s="30" t="n">
        <v>173.11</v>
      </c>
      <c r="G6083" s="31" t="n">
        <f aca="false">IFERROR(F6083/D6083,0)</f>
        <v>9.61722222222222</v>
      </c>
    </row>
    <row r="6084" customFormat="false" ht="15" hidden="false" customHeight="false" outlineLevel="0" collapsed="false">
      <c r="A6084" s="28" t="n">
        <v>2026</v>
      </c>
      <c r="B6084" s="28" t="s">
        <v>93</v>
      </c>
      <c r="C6084" s="28" t="s">
        <v>42</v>
      </c>
      <c r="D6084" s="28" t="n">
        <v>184</v>
      </c>
      <c r="E6084" s="29" t="n">
        <v>126763000</v>
      </c>
      <c r="F6084" s="30" t="n">
        <v>1695.66</v>
      </c>
      <c r="G6084" s="31" t="n">
        <f aca="false">IFERROR(F6084/D6084,0)</f>
        <v>9.21554347826087</v>
      </c>
    </row>
    <row r="6085" customFormat="false" ht="15" hidden="false" customHeight="false" outlineLevel="0" collapsed="false">
      <c r="A6085" s="28" t="n">
        <v>2026</v>
      </c>
      <c r="B6085" s="28" t="s">
        <v>93</v>
      </c>
      <c r="C6085" s="28" t="s">
        <v>50</v>
      </c>
      <c r="D6085" s="28" t="n">
        <v>95</v>
      </c>
      <c r="E6085" s="29" t="n">
        <v>30283800</v>
      </c>
      <c r="F6085" s="30" t="n">
        <v>934.28</v>
      </c>
      <c r="G6085" s="31" t="n">
        <f aca="false">IFERROR(F6085/D6085,0)</f>
        <v>9.83452631578947</v>
      </c>
    </row>
    <row r="6086" customFormat="false" ht="15" hidden="false" customHeight="false" outlineLevel="0" collapsed="false">
      <c r="A6086" s="28" t="n">
        <v>2026</v>
      </c>
      <c r="B6086" s="28" t="s">
        <v>93</v>
      </c>
      <c r="C6086" s="28" t="s">
        <v>55</v>
      </c>
      <c r="D6086" s="28" t="n">
        <v>10</v>
      </c>
      <c r="E6086" s="29" t="n">
        <v>623300</v>
      </c>
      <c r="F6086" s="30" t="n">
        <v>107.99</v>
      </c>
      <c r="G6086" s="31" t="n">
        <f aca="false">IFERROR(F6086/D6086,0)</f>
        <v>10.799</v>
      </c>
    </row>
    <row r="6087" customFormat="false" ht="15" hidden="false" customHeight="false" outlineLevel="0" collapsed="false">
      <c r="A6087" s="28" t="n">
        <v>2026</v>
      </c>
      <c r="B6087" s="28" t="s">
        <v>93</v>
      </c>
      <c r="C6087" s="28" t="s">
        <v>51</v>
      </c>
      <c r="D6087" s="28" t="n">
        <v>70</v>
      </c>
      <c r="E6087" s="29" t="n">
        <v>30719100</v>
      </c>
      <c r="F6087" s="30" t="n">
        <v>657.975</v>
      </c>
      <c r="G6087" s="31" t="n">
        <f aca="false">IFERROR(F6087/D6087,0)</f>
        <v>9.39964285714286</v>
      </c>
    </row>
    <row r="6088" customFormat="false" ht="15" hidden="false" customHeight="false" outlineLevel="0" collapsed="false">
      <c r="A6088" s="28" t="n">
        <v>2026</v>
      </c>
      <c r="B6088" s="28" t="s">
        <v>93</v>
      </c>
      <c r="C6088" s="28" t="s">
        <v>45</v>
      </c>
      <c r="D6088" s="28" t="n">
        <v>144</v>
      </c>
      <c r="E6088" s="29" t="n">
        <v>53340000</v>
      </c>
      <c r="F6088" s="30" t="n">
        <v>1454.59</v>
      </c>
      <c r="G6088" s="31" t="n">
        <f aca="false">IFERROR(F6088/D6088,0)</f>
        <v>10.1013194444444</v>
      </c>
    </row>
    <row r="6089" customFormat="false" ht="15" hidden="false" customHeight="false" outlineLevel="0" collapsed="false">
      <c r="A6089" s="28" t="n">
        <v>2026</v>
      </c>
      <c r="B6089" s="28" t="s">
        <v>93</v>
      </c>
      <c r="C6089" s="28" t="s">
        <v>56</v>
      </c>
      <c r="D6089" s="28" t="n">
        <v>23</v>
      </c>
      <c r="E6089" s="29" t="n">
        <v>8128800</v>
      </c>
      <c r="F6089" s="30" t="n">
        <v>222.99</v>
      </c>
      <c r="G6089" s="31" t="n">
        <f aca="false">IFERROR(F6089/D6089,0)</f>
        <v>9.69521739130435</v>
      </c>
    </row>
    <row r="6090" customFormat="false" ht="15" hidden="false" customHeight="false" outlineLevel="0" collapsed="false">
      <c r="A6090" s="28" t="n">
        <v>2026</v>
      </c>
      <c r="B6090" s="28" t="s">
        <v>93</v>
      </c>
      <c r="C6090" s="28" t="s">
        <v>54</v>
      </c>
      <c r="D6090" s="28" t="n">
        <v>25</v>
      </c>
      <c r="E6090" s="29" t="n">
        <v>7888300</v>
      </c>
      <c r="F6090" s="30" t="n">
        <v>246.06</v>
      </c>
      <c r="G6090" s="31" t="n">
        <f aca="false">IFERROR(F6090/D6090,0)</f>
        <v>9.8424</v>
      </c>
    </row>
    <row r="6091" customFormat="false" ht="15" hidden="false" customHeight="false" outlineLevel="0" collapsed="false">
      <c r="A6091" s="28" t="n">
        <v>2026</v>
      </c>
      <c r="B6091" s="28" t="s">
        <v>93</v>
      </c>
      <c r="C6091" s="28" t="s">
        <v>44</v>
      </c>
      <c r="D6091" s="28" t="n">
        <v>102</v>
      </c>
      <c r="E6091" s="29" t="n">
        <v>61056600</v>
      </c>
      <c r="F6091" s="30" t="n">
        <v>945.18</v>
      </c>
      <c r="G6091" s="31" t="n">
        <f aca="false">IFERROR(F6091/D6091,0)</f>
        <v>9.26647058823529</v>
      </c>
    </row>
    <row r="6092" customFormat="false" ht="15" hidden="false" customHeight="false" outlineLevel="0" collapsed="false">
      <c r="A6092" s="28" t="n">
        <v>2026</v>
      </c>
      <c r="B6092" s="28" t="s">
        <v>93</v>
      </c>
      <c r="C6092" s="28" t="s">
        <v>57</v>
      </c>
      <c r="D6092" s="28" t="n">
        <v>11</v>
      </c>
      <c r="E6092" s="29" t="n">
        <v>2317500</v>
      </c>
      <c r="F6092" s="30" t="n">
        <v>118.31</v>
      </c>
      <c r="G6092" s="31" t="n">
        <f aca="false">IFERROR(F6092/D6092,0)</f>
        <v>10.7554545454545</v>
      </c>
    </row>
    <row r="6093" customFormat="false" ht="15" hidden="false" customHeight="false" outlineLevel="0" collapsed="false">
      <c r="A6093" s="28" t="n">
        <v>2026</v>
      </c>
      <c r="B6093" s="28" t="s">
        <v>93</v>
      </c>
      <c r="C6093" s="28" t="s">
        <v>59</v>
      </c>
      <c r="D6093" s="28" t="n">
        <v>1</v>
      </c>
      <c r="E6093" s="29" t="n">
        <v>2500000</v>
      </c>
      <c r="F6093" s="30" t="n">
        <v>9.5</v>
      </c>
      <c r="G6093" s="31" t="n">
        <f aca="false">IFERROR(F6093/D6093,0)</f>
        <v>9.5</v>
      </c>
    </row>
    <row r="6094" customFormat="false" ht="15" hidden="false" customHeight="false" outlineLevel="0" collapsed="false">
      <c r="A6094" s="28" t="n">
        <v>2026</v>
      </c>
      <c r="B6094" s="28" t="s">
        <v>93</v>
      </c>
      <c r="C6094" s="28" t="s">
        <v>47</v>
      </c>
      <c r="D6094" s="28" t="n">
        <v>76</v>
      </c>
      <c r="E6094" s="29" t="n">
        <v>57779400</v>
      </c>
      <c r="F6094" s="30" t="n">
        <v>702.66</v>
      </c>
      <c r="G6094" s="31" t="n">
        <f aca="false">IFERROR(F6094/D6094,0)</f>
        <v>9.24552631578947</v>
      </c>
    </row>
    <row r="6095" customFormat="false" ht="15" hidden="false" customHeight="false" outlineLevel="0" collapsed="false">
      <c r="A6095" s="28" t="n">
        <v>2026</v>
      </c>
      <c r="B6095" s="28" t="s">
        <v>93</v>
      </c>
      <c r="C6095" s="28" t="s">
        <v>46</v>
      </c>
      <c r="D6095" s="28" t="n">
        <v>133</v>
      </c>
      <c r="E6095" s="29" t="n">
        <v>57438400</v>
      </c>
      <c r="F6095" s="30" t="n">
        <v>1279.1</v>
      </c>
      <c r="G6095" s="31" t="n">
        <f aca="false">IFERROR(F6095/D6095,0)</f>
        <v>9.61729323308271</v>
      </c>
    </row>
    <row r="6096" customFormat="false" ht="15" hidden="false" customHeight="false" outlineLevel="0" collapsed="false">
      <c r="A6096" s="28" t="n">
        <v>2026</v>
      </c>
      <c r="B6096" s="28" t="s">
        <v>93</v>
      </c>
      <c r="C6096" s="28" t="s">
        <v>48</v>
      </c>
      <c r="D6096" s="28" t="n">
        <v>97</v>
      </c>
      <c r="E6096" s="29" t="n">
        <v>44590400</v>
      </c>
      <c r="F6096" s="30" t="n">
        <v>956.4</v>
      </c>
      <c r="G6096" s="31" t="n">
        <f aca="false">IFERROR(F6096/D6096,0)</f>
        <v>9.85979381443299</v>
      </c>
    </row>
    <row r="6097" customFormat="false" ht="15" hidden="false" customHeight="false" outlineLevel="0" collapsed="false">
      <c r="A6097" s="28" t="n">
        <v>2026</v>
      </c>
      <c r="B6097" s="28" t="s">
        <v>93</v>
      </c>
      <c r="C6097" s="28" t="s">
        <v>53</v>
      </c>
      <c r="D6097" s="28" t="n">
        <v>13</v>
      </c>
      <c r="E6097" s="29" t="n">
        <v>6921000</v>
      </c>
      <c r="F6097" s="30" t="n">
        <v>130.49</v>
      </c>
      <c r="G6097" s="31" t="n">
        <f aca="false">IFERROR(F6097/D6097,0)</f>
        <v>10.0376923076923</v>
      </c>
    </row>
    <row r="6098" customFormat="false" ht="15" hidden="false" customHeight="false" outlineLevel="0" collapsed="false">
      <c r="A6098" s="28" t="n">
        <v>2026</v>
      </c>
      <c r="B6098" s="28" t="s">
        <v>93</v>
      </c>
      <c r="C6098" s="28" t="s">
        <v>43</v>
      </c>
      <c r="D6098" s="28" t="n">
        <v>131</v>
      </c>
      <c r="E6098" s="29" t="n">
        <v>63772600</v>
      </c>
      <c r="F6098" s="30" t="n">
        <v>1252.22</v>
      </c>
      <c r="G6098" s="31" t="n">
        <f aca="false">IFERROR(F6098/D6098,0)</f>
        <v>9.55893129770992</v>
      </c>
    </row>
    <row r="6099" customFormat="false" ht="15" hidden="false" customHeight="false" outlineLevel="0" collapsed="false">
      <c r="A6099" s="28" t="n">
        <v>2026</v>
      </c>
      <c r="B6099" s="28" t="s">
        <v>93</v>
      </c>
      <c r="C6099" s="28" t="s">
        <v>52</v>
      </c>
      <c r="D6099" s="28" t="n">
        <v>48</v>
      </c>
      <c r="E6099" s="29" t="n">
        <v>16685600</v>
      </c>
      <c r="F6099" s="30" t="n">
        <v>485.71</v>
      </c>
      <c r="G6099" s="31" t="n">
        <f aca="false">IFERROR(F6099/D6099,0)</f>
        <v>10.1189583333333</v>
      </c>
    </row>
    <row r="6100" customFormat="false" ht="15" hidden="false" customHeight="false" outlineLevel="0" collapsed="false">
      <c r="A6100" s="28" t="n">
        <v>2026</v>
      </c>
      <c r="B6100" s="28" t="s">
        <v>93</v>
      </c>
      <c r="C6100" s="28" t="s">
        <v>49</v>
      </c>
      <c r="D6100" s="28" t="n">
        <v>29</v>
      </c>
      <c r="E6100" s="29" t="n">
        <v>17893200</v>
      </c>
      <c r="F6100" s="30" t="n">
        <v>278.62</v>
      </c>
      <c r="G6100" s="31" t="n">
        <f aca="false">IFERROR(F6100/D6100,0)</f>
        <v>9.60758620689655</v>
      </c>
    </row>
    <row r="6101" customFormat="false" ht="15" hidden="false" customHeight="false" outlineLevel="0" collapsed="false">
      <c r="A6101" s="28" t="n">
        <v>2026</v>
      </c>
      <c r="B6101" s="28" t="s">
        <v>120</v>
      </c>
      <c r="C6101" s="28" t="s">
        <v>42</v>
      </c>
      <c r="D6101" s="28" t="n">
        <v>40</v>
      </c>
      <c r="E6101" s="29" t="n">
        <v>4984800</v>
      </c>
      <c r="F6101" s="30" t="n">
        <v>409.25</v>
      </c>
      <c r="G6101" s="31" t="n">
        <f aca="false">IFERROR(F6101/D6101,0)</f>
        <v>10.23125</v>
      </c>
    </row>
    <row r="6102" customFormat="false" ht="15" hidden="false" customHeight="false" outlineLevel="0" collapsed="false">
      <c r="A6102" s="28" t="n">
        <v>2026</v>
      </c>
      <c r="B6102" s="28" t="s">
        <v>120</v>
      </c>
      <c r="C6102" s="28" t="s">
        <v>50</v>
      </c>
      <c r="D6102" s="28" t="n">
        <v>18</v>
      </c>
      <c r="E6102" s="29" t="n">
        <v>5330100</v>
      </c>
      <c r="F6102" s="30" t="n">
        <v>186.5</v>
      </c>
      <c r="G6102" s="31" t="n">
        <f aca="false">IFERROR(F6102/D6102,0)</f>
        <v>10.3611111111111</v>
      </c>
    </row>
    <row r="6103" customFormat="false" ht="15" hidden="false" customHeight="false" outlineLevel="0" collapsed="false">
      <c r="A6103" s="28" t="n">
        <v>2026</v>
      </c>
      <c r="B6103" s="28" t="s">
        <v>120</v>
      </c>
      <c r="C6103" s="28" t="s">
        <v>55</v>
      </c>
      <c r="D6103" s="28" t="n">
        <v>3</v>
      </c>
      <c r="E6103" s="29" t="n">
        <v>75000</v>
      </c>
      <c r="F6103" s="30" t="n">
        <v>33.25</v>
      </c>
      <c r="G6103" s="31" t="n">
        <f aca="false">IFERROR(F6103/D6103,0)</f>
        <v>11.0833333333333</v>
      </c>
    </row>
    <row r="6104" customFormat="false" ht="15" hidden="false" customHeight="false" outlineLevel="0" collapsed="false">
      <c r="A6104" s="28" t="n">
        <v>2026</v>
      </c>
      <c r="B6104" s="28" t="s">
        <v>120</v>
      </c>
      <c r="C6104" s="28" t="s">
        <v>51</v>
      </c>
      <c r="D6104" s="28" t="n">
        <v>13</v>
      </c>
      <c r="E6104" s="29" t="n">
        <v>904300</v>
      </c>
      <c r="F6104" s="30" t="n">
        <v>142.75</v>
      </c>
      <c r="G6104" s="31" t="n">
        <f aca="false">IFERROR(F6104/D6104,0)</f>
        <v>10.9807692307692</v>
      </c>
    </row>
    <row r="6105" customFormat="false" ht="15" hidden="false" customHeight="false" outlineLevel="0" collapsed="false">
      <c r="A6105" s="28" t="n">
        <v>2026</v>
      </c>
      <c r="B6105" s="28" t="s">
        <v>120</v>
      </c>
      <c r="C6105" s="28" t="s">
        <v>45</v>
      </c>
      <c r="D6105" s="28" t="n">
        <v>25</v>
      </c>
      <c r="E6105" s="29" t="n">
        <v>2469700</v>
      </c>
      <c r="F6105" s="30" t="n">
        <v>275</v>
      </c>
      <c r="G6105" s="31" t="n">
        <f aca="false">IFERROR(F6105/D6105,0)</f>
        <v>11</v>
      </c>
    </row>
    <row r="6106" customFormat="false" ht="15" hidden="false" customHeight="false" outlineLevel="0" collapsed="false">
      <c r="A6106" s="28" t="n">
        <v>2026</v>
      </c>
      <c r="B6106" s="28" t="s">
        <v>120</v>
      </c>
      <c r="C6106" s="28" t="s">
        <v>56</v>
      </c>
      <c r="D6106" s="28" t="n">
        <v>2</v>
      </c>
      <c r="E6106" s="29" t="n">
        <v>60000</v>
      </c>
      <c r="F6106" s="30" t="n">
        <v>23.75</v>
      </c>
      <c r="G6106" s="31" t="n">
        <f aca="false">IFERROR(F6106/D6106,0)</f>
        <v>11.875</v>
      </c>
    </row>
    <row r="6107" customFormat="false" ht="15" hidden="false" customHeight="false" outlineLevel="0" collapsed="false">
      <c r="A6107" s="28" t="n">
        <v>2026</v>
      </c>
      <c r="B6107" s="28" t="s">
        <v>120</v>
      </c>
      <c r="C6107" s="28" t="s">
        <v>54</v>
      </c>
      <c r="D6107" s="28" t="n">
        <v>3</v>
      </c>
      <c r="E6107" s="29" t="n">
        <v>347500</v>
      </c>
      <c r="F6107" s="30" t="n">
        <v>34.5</v>
      </c>
      <c r="G6107" s="31" t="n">
        <f aca="false">IFERROR(F6107/D6107,0)</f>
        <v>11.5</v>
      </c>
    </row>
    <row r="6108" customFormat="false" ht="15" hidden="false" customHeight="false" outlineLevel="0" collapsed="false">
      <c r="A6108" s="28" t="n">
        <v>2026</v>
      </c>
      <c r="B6108" s="28" t="s">
        <v>120</v>
      </c>
      <c r="C6108" s="28" t="s">
        <v>44</v>
      </c>
      <c r="D6108" s="28" t="n">
        <v>82</v>
      </c>
      <c r="E6108" s="29" t="n">
        <v>13406600</v>
      </c>
      <c r="F6108" s="30" t="n">
        <v>805.1</v>
      </c>
      <c r="G6108" s="31" t="n">
        <f aca="false">IFERROR(F6108/D6108,0)</f>
        <v>9.81829268292683</v>
      </c>
    </row>
    <row r="6109" customFormat="false" ht="15" hidden="false" customHeight="false" outlineLevel="0" collapsed="false">
      <c r="A6109" s="28" t="n">
        <v>2026</v>
      </c>
      <c r="B6109" s="28" t="s">
        <v>120</v>
      </c>
      <c r="C6109" s="28" t="s">
        <v>57</v>
      </c>
      <c r="D6109" s="28" t="n">
        <v>7</v>
      </c>
      <c r="E6109" s="29" t="n">
        <v>2914000</v>
      </c>
      <c r="F6109" s="30" t="n">
        <v>69.45</v>
      </c>
      <c r="G6109" s="31" t="n">
        <f aca="false">IFERROR(F6109/D6109,0)</f>
        <v>9.92142857142857</v>
      </c>
    </row>
    <row r="6110" customFormat="false" ht="15" hidden="false" customHeight="false" outlineLevel="0" collapsed="false">
      <c r="A6110" s="28" t="n">
        <v>2026</v>
      </c>
      <c r="B6110" s="28" t="s">
        <v>120</v>
      </c>
      <c r="C6110" s="28" t="s">
        <v>47</v>
      </c>
      <c r="D6110" s="28" t="n">
        <v>33</v>
      </c>
      <c r="E6110" s="29" t="n">
        <v>7141500</v>
      </c>
      <c r="F6110" s="30" t="n">
        <v>365.75</v>
      </c>
      <c r="G6110" s="31" t="n">
        <f aca="false">IFERROR(F6110/D6110,0)</f>
        <v>11.0833333333333</v>
      </c>
    </row>
    <row r="6111" customFormat="false" ht="15" hidden="false" customHeight="false" outlineLevel="0" collapsed="false">
      <c r="A6111" s="28" t="n">
        <v>2026</v>
      </c>
      <c r="B6111" s="28" t="s">
        <v>120</v>
      </c>
      <c r="C6111" s="28" t="s">
        <v>46</v>
      </c>
      <c r="D6111" s="28" t="n">
        <v>31</v>
      </c>
      <c r="E6111" s="29" t="n">
        <v>3399000</v>
      </c>
      <c r="F6111" s="30" t="n">
        <v>307.25</v>
      </c>
      <c r="G6111" s="31" t="n">
        <f aca="false">IFERROR(F6111/D6111,0)</f>
        <v>9.91129032258065</v>
      </c>
    </row>
    <row r="6112" customFormat="false" ht="15" hidden="false" customHeight="false" outlineLevel="0" collapsed="false">
      <c r="A6112" s="28" t="n">
        <v>2026</v>
      </c>
      <c r="B6112" s="28" t="s">
        <v>120</v>
      </c>
      <c r="C6112" s="28" t="s">
        <v>48</v>
      </c>
      <c r="D6112" s="28" t="n">
        <v>45</v>
      </c>
      <c r="E6112" s="29" t="n">
        <v>5984500</v>
      </c>
      <c r="F6112" s="30" t="n">
        <v>453.9</v>
      </c>
      <c r="G6112" s="31" t="n">
        <f aca="false">IFERROR(F6112/D6112,0)</f>
        <v>10.0866666666667</v>
      </c>
    </row>
    <row r="6113" customFormat="false" ht="15" hidden="false" customHeight="false" outlineLevel="0" collapsed="false">
      <c r="A6113" s="28" t="n">
        <v>2026</v>
      </c>
      <c r="B6113" s="28" t="s">
        <v>120</v>
      </c>
      <c r="C6113" s="28" t="s">
        <v>53</v>
      </c>
      <c r="D6113" s="28" t="n">
        <v>8</v>
      </c>
      <c r="E6113" s="29" t="n">
        <v>1233200</v>
      </c>
      <c r="F6113" s="30" t="n">
        <v>80</v>
      </c>
      <c r="G6113" s="31" t="n">
        <f aca="false">IFERROR(F6113/D6113,0)</f>
        <v>10</v>
      </c>
    </row>
    <row r="6114" customFormat="false" ht="15" hidden="false" customHeight="false" outlineLevel="0" collapsed="false">
      <c r="A6114" s="28" t="n">
        <v>2026</v>
      </c>
      <c r="B6114" s="28" t="s">
        <v>120</v>
      </c>
      <c r="C6114" s="28" t="s">
        <v>43</v>
      </c>
      <c r="D6114" s="28" t="n">
        <v>59</v>
      </c>
      <c r="E6114" s="29" t="n">
        <v>11244200</v>
      </c>
      <c r="F6114" s="30" t="n">
        <v>609.5</v>
      </c>
      <c r="G6114" s="31" t="n">
        <f aca="false">IFERROR(F6114/D6114,0)</f>
        <v>10.3305084745763</v>
      </c>
    </row>
    <row r="6115" customFormat="false" ht="15" hidden="false" customHeight="false" outlineLevel="0" collapsed="false">
      <c r="A6115" s="28" t="n">
        <v>2026</v>
      </c>
      <c r="B6115" s="28" t="s">
        <v>120</v>
      </c>
      <c r="C6115" s="28" t="s">
        <v>52</v>
      </c>
      <c r="D6115" s="28" t="n">
        <v>7</v>
      </c>
      <c r="E6115" s="29" t="n">
        <v>483200</v>
      </c>
      <c r="F6115" s="30" t="n">
        <v>75.75</v>
      </c>
      <c r="G6115" s="31" t="n">
        <f aca="false">IFERROR(F6115/D6115,0)</f>
        <v>10.8214285714286</v>
      </c>
    </row>
    <row r="6116" customFormat="false" ht="15" hidden="false" customHeight="false" outlineLevel="0" collapsed="false">
      <c r="A6116" s="28" t="n">
        <v>2026</v>
      </c>
      <c r="B6116" s="28" t="s">
        <v>120</v>
      </c>
      <c r="C6116" s="28" t="s">
        <v>60</v>
      </c>
      <c r="D6116" s="28" t="n">
        <v>1</v>
      </c>
      <c r="E6116" s="29" t="n">
        <v>427500</v>
      </c>
      <c r="F6116" s="30" t="n">
        <v>9.75</v>
      </c>
      <c r="G6116" s="31" t="n">
        <f aca="false">IFERROR(F6116/D6116,0)</f>
        <v>9.75</v>
      </c>
    </row>
    <row r="6117" customFormat="false" ht="15" hidden="false" customHeight="false" outlineLevel="0" collapsed="false">
      <c r="A6117" s="28" t="n">
        <v>2026</v>
      </c>
      <c r="B6117" s="28" t="s">
        <v>120</v>
      </c>
      <c r="C6117" s="28" t="s">
        <v>49</v>
      </c>
      <c r="D6117" s="28" t="n">
        <v>21</v>
      </c>
      <c r="E6117" s="29" t="n">
        <v>2650000</v>
      </c>
      <c r="F6117" s="30" t="n">
        <v>220</v>
      </c>
      <c r="G6117" s="31" t="n">
        <f aca="false">IFERROR(F6117/D6117,0)</f>
        <v>10.4761904761905</v>
      </c>
    </row>
    <row r="6118" customFormat="false" ht="15" hidden="false" customHeight="false" outlineLevel="0" collapsed="false">
      <c r="A6118" s="28" t="n">
        <v>2026</v>
      </c>
      <c r="B6118" s="28" t="s">
        <v>121</v>
      </c>
      <c r="C6118" s="28" t="s">
        <v>42</v>
      </c>
      <c r="D6118" s="28" t="n">
        <v>15</v>
      </c>
      <c r="E6118" s="29" t="n">
        <v>4122000</v>
      </c>
      <c r="F6118" s="30" t="n">
        <v>133.86</v>
      </c>
      <c r="G6118" s="31" t="n">
        <f aca="false">IFERROR(F6118/D6118,0)</f>
        <v>8.924</v>
      </c>
    </row>
    <row r="6119" customFormat="false" ht="15" hidden="false" customHeight="false" outlineLevel="0" collapsed="false">
      <c r="A6119" s="28" t="n">
        <v>2026</v>
      </c>
      <c r="B6119" s="28" t="s">
        <v>121</v>
      </c>
      <c r="C6119" s="28" t="s">
        <v>50</v>
      </c>
      <c r="D6119" s="28" t="n">
        <v>9</v>
      </c>
      <c r="E6119" s="29" t="n">
        <v>1827000</v>
      </c>
      <c r="F6119" s="30" t="n">
        <v>91.49</v>
      </c>
      <c r="G6119" s="31" t="n">
        <f aca="false">IFERROR(F6119/D6119,0)</f>
        <v>10.1655555555556</v>
      </c>
    </row>
    <row r="6120" customFormat="false" ht="15" hidden="false" customHeight="false" outlineLevel="0" collapsed="false">
      <c r="A6120" s="28" t="n">
        <v>2026</v>
      </c>
      <c r="B6120" s="28" t="s">
        <v>121</v>
      </c>
      <c r="C6120" s="28" t="s">
        <v>51</v>
      </c>
      <c r="D6120" s="28" t="n">
        <v>7</v>
      </c>
      <c r="E6120" s="29" t="n">
        <v>1892300</v>
      </c>
      <c r="F6120" s="30" t="n">
        <v>66.25</v>
      </c>
      <c r="G6120" s="31" t="n">
        <f aca="false">IFERROR(F6120/D6120,0)</f>
        <v>9.46428571428571</v>
      </c>
    </row>
    <row r="6121" customFormat="false" ht="15" hidden="false" customHeight="false" outlineLevel="0" collapsed="false">
      <c r="A6121" s="28" t="n">
        <v>2026</v>
      </c>
      <c r="B6121" s="28" t="s">
        <v>121</v>
      </c>
      <c r="C6121" s="28" t="s">
        <v>45</v>
      </c>
      <c r="D6121" s="28" t="n">
        <v>24</v>
      </c>
      <c r="E6121" s="29" t="n">
        <v>2396900</v>
      </c>
      <c r="F6121" s="30" t="n">
        <v>209.72</v>
      </c>
      <c r="G6121" s="31" t="n">
        <f aca="false">IFERROR(F6121/D6121,0)</f>
        <v>8.73833333333333</v>
      </c>
    </row>
    <row r="6122" customFormat="false" ht="15" hidden="false" customHeight="false" outlineLevel="0" collapsed="false">
      <c r="A6122" s="28" t="n">
        <v>2026</v>
      </c>
      <c r="B6122" s="28" t="s">
        <v>121</v>
      </c>
      <c r="C6122" s="28" t="s">
        <v>56</v>
      </c>
      <c r="D6122" s="28" t="n">
        <v>1</v>
      </c>
      <c r="E6122" s="29" t="n">
        <v>437000</v>
      </c>
      <c r="F6122" s="30" t="n">
        <v>7.4</v>
      </c>
      <c r="G6122" s="31" t="n">
        <f aca="false">IFERROR(F6122/D6122,0)</f>
        <v>7.4</v>
      </c>
    </row>
    <row r="6123" customFormat="false" ht="15" hidden="false" customHeight="false" outlineLevel="0" collapsed="false">
      <c r="A6123" s="28" t="n">
        <v>2026</v>
      </c>
      <c r="B6123" s="28" t="s">
        <v>121</v>
      </c>
      <c r="C6123" s="28" t="s">
        <v>54</v>
      </c>
      <c r="D6123" s="28" t="n">
        <v>2</v>
      </c>
      <c r="E6123" s="29" t="n">
        <v>2650000</v>
      </c>
      <c r="F6123" s="30" t="n">
        <v>19.25</v>
      </c>
      <c r="G6123" s="31" t="n">
        <f aca="false">IFERROR(F6123/D6123,0)</f>
        <v>9.625</v>
      </c>
    </row>
    <row r="6124" customFormat="false" ht="15" hidden="false" customHeight="false" outlineLevel="0" collapsed="false">
      <c r="A6124" s="28" t="n">
        <v>2026</v>
      </c>
      <c r="B6124" s="28" t="s">
        <v>121</v>
      </c>
      <c r="C6124" s="28" t="s">
        <v>44</v>
      </c>
      <c r="D6124" s="28" t="n">
        <v>7</v>
      </c>
      <c r="E6124" s="29" t="n">
        <v>3303000</v>
      </c>
      <c r="F6124" s="30" t="n">
        <v>57.25</v>
      </c>
      <c r="G6124" s="31" t="n">
        <f aca="false">IFERROR(F6124/D6124,0)</f>
        <v>8.17857142857143</v>
      </c>
    </row>
    <row r="6125" customFormat="false" ht="15" hidden="false" customHeight="false" outlineLevel="0" collapsed="false">
      <c r="A6125" s="28" t="n">
        <v>2026</v>
      </c>
      <c r="B6125" s="28" t="s">
        <v>121</v>
      </c>
      <c r="C6125" s="28" t="s">
        <v>47</v>
      </c>
      <c r="D6125" s="28" t="n">
        <v>7</v>
      </c>
      <c r="E6125" s="29" t="n">
        <v>4392000</v>
      </c>
      <c r="F6125" s="30" t="n">
        <v>61.05</v>
      </c>
      <c r="G6125" s="31" t="n">
        <f aca="false">IFERROR(F6125/D6125,0)</f>
        <v>8.72142857142857</v>
      </c>
    </row>
    <row r="6126" customFormat="false" ht="15" hidden="false" customHeight="false" outlineLevel="0" collapsed="false">
      <c r="A6126" s="28" t="n">
        <v>2026</v>
      </c>
      <c r="B6126" s="28" t="s">
        <v>121</v>
      </c>
      <c r="C6126" s="28" t="s">
        <v>46</v>
      </c>
      <c r="D6126" s="28" t="n">
        <v>14</v>
      </c>
      <c r="E6126" s="29" t="n">
        <v>5334000</v>
      </c>
      <c r="F6126" s="30" t="n">
        <v>133.49</v>
      </c>
      <c r="G6126" s="31" t="n">
        <f aca="false">IFERROR(F6126/D6126,0)</f>
        <v>9.535</v>
      </c>
    </row>
    <row r="6127" customFormat="false" ht="15" hidden="false" customHeight="false" outlineLevel="0" collapsed="false">
      <c r="A6127" s="28" t="n">
        <v>2026</v>
      </c>
      <c r="B6127" s="28" t="s">
        <v>121</v>
      </c>
      <c r="C6127" s="28" t="s">
        <v>48</v>
      </c>
      <c r="D6127" s="28" t="n">
        <v>8</v>
      </c>
      <c r="E6127" s="29" t="n">
        <v>5023700</v>
      </c>
      <c r="F6127" s="30" t="n">
        <v>71.47</v>
      </c>
      <c r="G6127" s="31" t="n">
        <f aca="false">IFERROR(F6127/D6127,0)</f>
        <v>8.93375</v>
      </c>
    </row>
    <row r="6128" customFormat="false" ht="15" hidden="false" customHeight="false" outlineLevel="0" collapsed="false">
      <c r="A6128" s="28" t="n">
        <v>2026</v>
      </c>
      <c r="B6128" s="28" t="s">
        <v>121</v>
      </c>
      <c r="C6128" s="28" t="s">
        <v>53</v>
      </c>
      <c r="D6128" s="28" t="n">
        <v>4</v>
      </c>
      <c r="E6128" s="29" t="n">
        <v>1322400</v>
      </c>
      <c r="F6128" s="30" t="n">
        <v>43.56</v>
      </c>
      <c r="G6128" s="31" t="n">
        <f aca="false">IFERROR(F6128/D6128,0)</f>
        <v>10.89</v>
      </c>
    </row>
    <row r="6129" customFormat="false" ht="15" hidden="false" customHeight="false" outlineLevel="0" collapsed="false">
      <c r="A6129" s="28" t="n">
        <v>2026</v>
      </c>
      <c r="B6129" s="28" t="s">
        <v>121</v>
      </c>
      <c r="C6129" s="28" t="s">
        <v>43</v>
      </c>
      <c r="D6129" s="28" t="n">
        <v>17</v>
      </c>
      <c r="E6129" s="29" t="n">
        <v>4741100</v>
      </c>
      <c r="F6129" s="30" t="n">
        <v>159.61</v>
      </c>
      <c r="G6129" s="31" t="n">
        <f aca="false">IFERROR(F6129/D6129,0)</f>
        <v>9.38882352941177</v>
      </c>
    </row>
    <row r="6130" customFormat="false" ht="15" hidden="false" customHeight="false" outlineLevel="0" collapsed="false">
      <c r="A6130" s="28" t="n">
        <v>2026</v>
      </c>
      <c r="B6130" s="28" t="s">
        <v>121</v>
      </c>
      <c r="C6130" s="28" t="s">
        <v>52</v>
      </c>
      <c r="D6130" s="28" t="n">
        <v>4</v>
      </c>
      <c r="E6130" s="29" t="n">
        <v>166400</v>
      </c>
      <c r="F6130" s="30" t="n">
        <v>39.5</v>
      </c>
      <c r="G6130" s="31" t="n">
        <f aca="false">IFERROR(F6130/D6130,0)</f>
        <v>9.875</v>
      </c>
    </row>
    <row r="6131" customFormat="false" ht="15" hidden="false" customHeight="false" outlineLevel="0" collapsed="false">
      <c r="A6131" s="28" t="n">
        <v>2026</v>
      </c>
      <c r="B6131" s="28" t="s">
        <v>121</v>
      </c>
      <c r="C6131" s="28" t="s">
        <v>60</v>
      </c>
      <c r="D6131" s="28" t="n">
        <v>2</v>
      </c>
      <c r="E6131" s="29" t="n">
        <v>150000</v>
      </c>
      <c r="F6131" s="30" t="n">
        <v>17.75</v>
      </c>
      <c r="G6131" s="31" t="n">
        <f aca="false">IFERROR(F6131/D6131,0)</f>
        <v>8.875</v>
      </c>
    </row>
    <row r="6132" customFormat="false" ht="15" hidden="false" customHeight="false" outlineLevel="0" collapsed="false">
      <c r="A6132" s="28" t="n">
        <v>2026</v>
      </c>
      <c r="B6132" s="28" t="s">
        <v>121</v>
      </c>
      <c r="C6132" s="28" t="s">
        <v>49</v>
      </c>
      <c r="D6132" s="28" t="n">
        <v>4</v>
      </c>
      <c r="E6132" s="29" t="n">
        <v>368000</v>
      </c>
      <c r="F6132" s="30" t="n">
        <v>33.99</v>
      </c>
      <c r="G6132" s="31" t="n">
        <f aca="false">IFERROR(F6132/D6132,0)</f>
        <v>8.4975</v>
      </c>
    </row>
    <row r="6133" customFormat="false" ht="15" hidden="false" customHeight="false" outlineLevel="0" collapsed="false">
      <c r="A6133" s="28" t="n">
        <v>2026</v>
      </c>
      <c r="B6133" s="28" t="s">
        <v>111</v>
      </c>
      <c r="C6133" s="28" t="s">
        <v>42</v>
      </c>
      <c r="D6133" s="28" t="n">
        <v>63</v>
      </c>
      <c r="E6133" s="29" t="n">
        <v>70242900</v>
      </c>
      <c r="F6133" s="30" t="n">
        <v>568.86</v>
      </c>
      <c r="G6133" s="31" t="n">
        <f aca="false">IFERROR(F6133/D6133,0)</f>
        <v>9.02952380952381</v>
      </c>
    </row>
    <row r="6134" customFormat="false" ht="15" hidden="false" customHeight="false" outlineLevel="0" collapsed="false">
      <c r="A6134" s="28" t="n">
        <v>2026</v>
      </c>
      <c r="B6134" s="28" t="s">
        <v>111</v>
      </c>
      <c r="C6134" s="28" t="s">
        <v>50</v>
      </c>
      <c r="D6134" s="28" t="n">
        <v>30</v>
      </c>
      <c r="E6134" s="29" t="n">
        <v>7538600</v>
      </c>
      <c r="F6134" s="30" t="n">
        <v>285.38</v>
      </c>
      <c r="G6134" s="31" t="n">
        <f aca="false">IFERROR(F6134/D6134,0)</f>
        <v>9.51266666666667</v>
      </c>
    </row>
    <row r="6135" customFormat="false" ht="15" hidden="false" customHeight="false" outlineLevel="0" collapsed="false">
      <c r="A6135" s="28" t="n">
        <v>2026</v>
      </c>
      <c r="B6135" s="28" t="s">
        <v>111</v>
      </c>
      <c r="C6135" s="28" t="s">
        <v>55</v>
      </c>
      <c r="D6135" s="28" t="n">
        <v>2</v>
      </c>
      <c r="E6135" s="29" t="n">
        <v>485000</v>
      </c>
      <c r="F6135" s="30" t="n">
        <v>19.5</v>
      </c>
      <c r="G6135" s="31" t="n">
        <f aca="false">IFERROR(F6135/D6135,0)</f>
        <v>9.75</v>
      </c>
    </row>
    <row r="6136" customFormat="false" ht="15" hidden="false" customHeight="false" outlineLevel="0" collapsed="false">
      <c r="A6136" s="28" t="n">
        <v>2026</v>
      </c>
      <c r="B6136" s="28" t="s">
        <v>111</v>
      </c>
      <c r="C6136" s="28" t="s">
        <v>51</v>
      </c>
      <c r="D6136" s="28" t="n">
        <v>20</v>
      </c>
      <c r="E6136" s="29" t="n">
        <v>19910300</v>
      </c>
      <c r="F6136" s="30" t="n">
        <v>194.2</v>
      </c>
      <c r="G6136" s="31" t="n">
        <f aca="false">IFERROR(F6136/D6136,0)</f>
        <v>9.71</v>
      </c>
    </row>
    <row r="6137" customFormat="false" ht="15" hidden="false" customHeight="false" outlineLevel="0" collapsed="false">
      <c r="A6137" s="28" t="n">
        <v>2026</v>
      </c>
      <c r="B6137" s="28" t="s">
        <v>111</v>
      </c>
      <c r="C6137" s="28" t="s">
        <v>45</v>
      </c>
      <c r="D6137" s="28" t="n">
        <v>49</v>
      </c>
      <c r="E6137" s="29" t="n">
        <v>22628300</v>
      </c>
      <c r="F6137" s="30" t="n">
        <v>477.71</v>
      </c>
      <c r="G6137" s="31" t="n">
        <f aca="false">IFERROR(F6137/D6137,0)</f>
        <v>9.74918367346939</v>
      </c>
    </row>
    <row r="6138" customFormat="false" ht="15" hidden="false" customHeight="false" outlineLevel="0" collapsed="false">
      <c r="A6138" s="28" t="n">
        <v>2026</v>
      </c>
      <c r="B6138" s="28" t="s">
        <v>111</v>
      </c>
      <c r="C6138" s="28" t="s">
        <v>56</v>
      </c>
      <c r="D6138" s="28" t="n">
        <v>3</v>
      </c>
      <c r="E6138" s="29" t="n">
        <v>478200</v>
      </c>
      <c r="F6138" s="30" t="n">
        <v>26.99</v>
      </c>
      <c r="G6138" s="31" t="n">
        <f aca="false">IFERROR(F6138/D6138,0)</f>
        <v>8.99666666666667</v>
      </c>
    </row>
    <row r="6139" customFormat="false" ht="15" hidden="false" customHeight="false" outlineLevel="0" collapsed="false">
      <c r="A6139" s="28" t="n">
        <v>2026</v>
      </c>
      <c r="B6139" s="28" t="s">
        <v>111</v>
      </c>
      <c r="C6139" s="28" t="s">
        <v>54</v>
      </c>
      <c r="D6139" s="28" t="n">
        <v>8</v>
      </c>
      <c r="E6139" s="29" t="n">
        <v>2670800</v>
      </c>
      <c r="F6139" s="30" t="n">
        <v>77.39</v>
      </c>
      <c r="G6139" s="31" t="n">
        <f aca="false">IFERROR(F6139/D6139,0)</f>
        <v>9.67375</v>
      </c>
    </row>
    <row r="6140" customFormat="false" ht="15" hidden="false" customHeight="false" outlineLevel="0" collapsed="false">
      <c r="A6140" s="28" t="n">
        <v>2026</v>
      </c>
      <c r="B6140" s="28" t="s">
        <v>111</v>
      </c>
      <c r="C6140" s="28" t="s">
        <v>44</v>
      </c>
      <c r="D6140" s="28" t="n">
        <v>33</v>
      </c>
      <c r="E6140" s="29" t="n">
        <v>18472800</v>
      </c>
      <c r="F6140" s="30" t="n">
        <v>321.72</v>
      </c>
      <c r="G6140" s="31" t="n">
        <f aca="false">IFERROR(F6140/D6140,0)</f>
        <v>9.74909090909091</v>
      </c>
    </row>
    <row r="6141" customFormat="false" ht="15" hidden="false" customHeight="false" outlineLevel="0" collapsed="false">
      <c r="A6141" s="28" t="n">
        <v>2026</v>
      </c>
      <c r="B6141" s="28" t="s">
        <v>111</v>
      </c>
      <c r="C6141" s="28" t="s">
        <v>57</v>
      </c>
      <c r="D6141" s="28" t="n">
        <v>2</v>
      </c>
      <c r="E6141" s="29" t="n">
        <v>500000</v>
      </c>
      <c r="F6141" s="30" t="n">
        <v>18.5</v>
      </c>
      <c r="G6141" s="31" t="n">
        <f aca="false">IFERROR(F6141/D6141,0)</f>
        <v>9.25</v>
      </c>
    </row>
    <row r="6142" customFormat="false" ht="15" hidden="false" customHeight="false" outlineLevel="0" collapsed="false">
      <c r="A6142" s="28" t="n">
        <v>2026</v>
      </c>
      <c r="B6142" s="28" t="s">
        <v>111</v>
      </c>
      <c r="C6142" s="28" t="s">
        <v>59</v>
      </c>
      <c r="D6142" s="28" t="n">
        <v>1</v>
      </c>
      <c r="E6142" s="29" t="n">
        <v>3650000</v>
      </c>
      <c r="F6142" s="30" t="n">
        <v>7.25</v>
      </c>
      <c r="G6142" s="31" t="n">
        <f aca="false">IFERROR(F6142/D6142,0)</f>
        <v>7.25</v>
      </c>
    </row>
    <row r="6143" customFormat="false" ht="15" hidden="false" customHeight="false" outlineLevel="0" collapsed="false">
      <c r="A6143" s="28" t="n">
        <v>2026</v>
      </c>
      <c r="B6143" s="28" t="s">
        <v>111</v>
      </c>
      <c r="C6143" s="28" t="s">
        <v>47</v>
      </c>
      <c r="D6143" s="28" t="n">
        <v>16</v>
      </c>
      <c r="E6143" s="29" t="n">
        <v>12310000</v>
      </c>
      <c r="F6143" s="30" t="n">
        <v>147.75</v>
      </c>
      <c r="G6143" s="31" t="n">
        <f aca="false">IFERROR(F6143/D6143,0)</f>
        <v>9.234375</v>
      </c>
    </row>
    <row r="6144" customFormat="false" ht="15" hidden="false" customHeight="false" outlineLevel="0" collapsed="false">
      <c r="A6144" s="28" t="n">
        <v>2026</v>
      </c>
      <c r="B6144" s="28" t="s">
        <v>111</v>
      </c>
      <c r="C6144" s="28" t="s">
        <v>46</v>
      </c>
      <c r="D6144" s="28" t="n">
        <v>34</v>
      </c>
      <c r="E6144" s="29" t="n">
        <v>23263200</v>
      </c>
      <c r="F6144" s="30" t="n">
        <v>326.72</v>
      </c>
      <c r="G6144" s="31" t="n">
        <f aca="false">IFERROR(F6144/D6144,0)</f>
        <v>9.60941176470588</v>
      </c>
    </row>
    <row r="6145" customFormat="false" ht="15" hidden="false" customHeight="false" outlineLevel="0" collapsed="false">
      <c r="A6145" s="28" t="n">
        <v>2026</v>
      </c>
      <c r="B6145" s="28" t="s">
        <v>111</v>
      </c>
      <c r="C6145" s="28" t="s">
        <v>48</v>
      </c>
      <c r="D6145" s="28" t="n">
        <v>40</v>
      </c>
      <c r="E6145" s="29" t="n">
        <v>21004400</v>
      </c>
      <c r="F6145" s="30" t="n">
        <v>399.25</v>
      </c>
      <c r="G6145" s="31" t="n">
        <f aca="false">IFERROR(F6145/D6145,0)</f>
        <v>9.98125</v>
      </c>
    </row>
    <row r="6146" customFormat="false" ht="15" hidden="false" customHeight="false" outlineLevel="0" collapsed="false">
      <c r="A6146" s="28" t="n">
        <v>2026</v>
      </c>
      <c r="B6146" s="28" t="s">
        <v>111</v>
      </c>
      <c r="C6146" s="28" t="s">
        <v>53</v>
      </c>
      <c r="D6146" s="28" t="n">
        <v>18</v>
      </c>
      <c r="E6146" s="29" t="n">
        <v>7392300</v>
      </c>
      <c r="F6146" s="30" t="n">
        <v>179.99</v>
      </c>
      <c r="G6146" s="31" t="n">
        <f aca="false">IFERROR(F6146/D6146,0)</f>
        <v>9.99944444444444</v>
      </c>
    </row>
    <row r="6147" customFormat="false" ht="15" hidden="false" customHeight="false" outlineLevel="0" collapsed="false">
      <c r="A6147" s="28" t="n">
        <v>2026</v>
      </c>
      <c r="B6147" s="28" t="s">
        <v>111</v>
      </c>
      <c r="C6147" s="28" t="s">
        <v>43</v>
      </c>
      <c r="D6147" s="28" t="n">
        <v>53</v>
      </c>
      <c r="E6147" s="29" t="n">
        <v>28743200</v>
      </c>
      <c r="F6147" s="30" t="n">
        <v>492.54</v>
      </c>
      <c r="G6147" s="31" t="n">
        <f aca="false">IFERROR(F6147/D6147,0)</f>
        <v>9.29320754716981</v>
      </c>
    </row>
    <row r="6148" customFormat="false" ht="15" hidden="false" customHeight="false" outlineLevel="0" collapsed="false">
      <c r="A6148" s="28" t="n">
        <v>2026</v>
      </c>
      <c r="B6148" s="28" t="s">
        <v>111</v>
      </c>
      <c r="C6148" s="28" t="s">
        <v>52</v>
      </c>
      <c r="D6148" s="28" t="n">
        <v>15</v>
      </c>
      <c r="E6148" s="29" t="n">
        <v>6974000</v>
      </c>
      <c r="F6148" s="30" t="n">
        <v>144.73</v>
      </c>
      <c r="G6148" s="31" t="n">
        <f aca="false">IFERROR(F6148/D6148,0)</f>
        <v>9.64866666666667</v>
      </c>
    </row>
    <row r="6149" customFormat="false" ht="15" hidden="false" customHeight="false" outlineLevel="0" collapsed="false">
      <c r="A6149" s="28" t="n">
        <v>2026</v>
      </c>
      <c r="B6149" s="28" t="s">
        <v>111</v>
      </c>
      <c r="C6149" s="28" t="s">
        <v>60</v>
      </c>
      <c r="D6149" s="28" t="n">
        <v>1</v>
      </c>
      <c r="E6149" s="29" t="n">
        <v>3125000</v>
      </c>
      <c r="F6149" s="30" t="n">
        <v>8.5</v>
      </c>
      <c r="G6149" s="31" t="n">
        <f aca="false">IFERROR(F6149/D6149,0)</f>
        <v>8.5</v>
      </c>
    </row>
    <row r="6150" customFormat="false" ht="15" hidden="false" customHeight="false" outlineLevel="0" collapsed="false">
      <c r="A6150" s="28" t="n">
        <v>2026</v>
      </c>
      <c r="B6150" s="28" t="s">
        <v>111</v>
      </c>
      <c r="C6150" s="28" t="s">
        <v>49</v>
      </c>
      <c r="D6150" s="28" t="n">
        <v>7</v>
      </c>
      <c r="E6150" s="29" t="n">
        <v>3797400</v>
      </c>
      <c r="F6150" s="30" t="n">
        <v>60.88</v>
      </c>
      <c r="G6150" s="31" t="n">
        <f aca="false">IFERROR(F6150/D6150,0)</f>
        <v>8.69714285714286</v>
      </c>
    </row>
    <row r="6151" customFormat="false" ht="15" hidden="false" customHeight="false" outlineLevel="0" collapsed="false">
      <c r="A6151" s="28" t="n">
        <v>2026</v>
      </c>
      <c r="B6151" s="28" t="s">
        <v>122</v>
      </c>
      <c r="C6151" s="28" t="s">
        <v>42</v>
      </c>
      <c r="D6151" s="28" t="n">
        <v>18</v>
      </c>
      <c r="E6151" s="29" t="n">
        <v>9775100</v>
      </c>
      <c r="F6151" s="30" t="n">
        <v>153.25</v>
      </c>
      <c r="G6151" s="31" t="n">
        <f aca="false">IFERROR(F6151/D6151,0)</f>
        <v>8.51388888888889</v>
      </c>
    </row>
    <row r="6152" customFormat="false" ht="15" hidden="false" customHeight="false" outlineLevel="0" collapsed="false">
      <c r="A6152" s="28" t="n">
        <v>2026</v>
      </c>
      <c r="B6152" s="28" t="s">
        <v>122</v>
      </c>
      <c r="C6152" s="28" t="s">
        <v>50</v>
      </c>
      <c r="D6152" s="28" t="n">
        <v>3</v>
      </c>
      <c r="E6152" s="29" t="n">
        <v>620000</v>
      </c>
      <c r="F6152" s="30" t="n">
        <v>26.25</v>
      </c>
      <c r="G6152" s="31" t="n">
        <f aca="false">IFERROR(F6152/D6152,0)</f>
        <v>8.75</v>
      </c>
    </row>
    <row r="6153" customFormat="false" ht="15" hidden="false" customHeight="false" outlineLevel="0" collapsed="false">
      <c r="A6153" s="28" t="n">
        <v>2026</v>
      </c>
      <c r="B6153" s="28" t="s">
        <v>122</v>
      </c>
      <c r="C6153" s="28" t="s">
        <v>55</v>
      </c>
      <c r="D6153" s="28" t="n">
        <v>1</v>
      </c>
      <c r="E6153" s="29" t="n">
        <v>1783800</v>
      </c>
      <c r="F6153" s="30" t="n">
        <v>7.75</v>
      </c>
      <c r="G6153" s="31" t="n">
        <f aca="false">IFERROR(F6153/D6153,0)</f>
        <v>7.75</v>
      </c>
    </row>
    <row r="6154" customFormat="false" ht="15" hidden="false" customHeight="false" outlineLevel="0" collapsed="false">
      <c r="A6154" s="28" t="n">
        <v>2026</v>
      </c>
      <c r="B6154" s="28" t="s">
        <v>122</v>
      </c>
      <c r="C6154" s="28" t="s">
        <v>51</v>
      </c>
      <c r="D6154" s="28" t="n">
        <v>4</v>
      </c>
      <c r="E6154" s="29" t="n">
        <v>833000</v>
      </c>
      <c r="F6154" s="30" t="n">
        <v>35</v>
      </c>
      <c r="G6154" s="31" t="n">
        <f aca="false">IFERROR(F6154/D6154,0)</f>
        <v>8.75</v>
      </c>
    </row>
    <row r="6155" customFormat="false" ht="15" hidden="false" customHeight="false" outlineLevel="0" collapsed="false">
      <c r="A6155" s="28" t="n">
        <v>2026</v>
      </c>
      <c r="B6155" s="28" t="s">
        <v>122</v>
      </c>
      <c r="C6155" s="28" t="s">
        <v>45</v>
      </c>
      <c r="D6155" s="28" t="n">
        <v>7</v>
      </c>
      <c r="E6155" s="29" t="n">
        <v>1076800</v>
      </c>
      <c r="F6155" s="30" t="n">
        <v>70.98</v>
      </c>
      <c r="G6155" s="31" t="n">
        <f aca="false">IFERROR(F6155/D6155,0)</f>
        <v>10.14</v>
      </c>
    </row>
    <row r="6156" customFormat="false" ht="15" hidden="false" customHeight="false" outlineLevel="0" collapsed="false">
      <c r="A6156" s="28" t="n">
        <v>2026</v>
      </c>
      <c r="B6156" s="28" t="s">
        <v>122</v>
      </c>
      <c r="C6156" s="28" t="s">
        <v>56</v>
      </c>
      <c r="D6156" s="28" t="n">
        <v>2</v>
      </c>
      <c r="E6156" s="29" t="n">
        <v>33500</v>
      </c>
      <c r="F6156" s="30" t="n">
        <v>20.25</v>
      </c>
      <c r="G6156" s="31" t="n">
        <f aca="false">IFERROR(F6156/D6156,0)</f>
        <v>10.125</v>
      </c>
    </row>
    <row r="6157" customFormat="false" ht="15" hidden="false" customHeight="false" outlineLevel="0" collapsed="false">
      <c r="A6157" s="28" t="n">
        <v>2026</v>
      </c>
      <c r="B6157" s="28" t="s">
        <v>122</v>
      </c>
      <c r="C6157" s="28" t="s">
        <v>54</v>
      </c>
      <c r="D6157" s="28" t="n">
        <v>2</v>
      </c>
      <c r="E6157" s="29" t="n">
        <v>102000</v>
      </c>
      <c r="F6157" s="30" t="n">
        <v>18.79</v>
      </c>
      <c r="G6157" s="31" t="n">
        <f aca="false">IFERROR(F6157/D6157,0)</f>
        <v>9.395</v>
      </c>
    </row>
    <row r="6158" customFormat="false" ht="15" hidden="false" customHeight="false" outlineLevel="0" collapsed="false">
      <c r="A6158" s="28" t="n">
        <v>2026</v>
      </c>
      <c r="B6158" s="28" t="s">
        <v>122</v>
      </c>
      <c r="C6158" s="28" t="s">
        <v>44</v>
      </c>
      <c r="D6158" s="28" t="n">
        <v>6</v>
      </c>
      <c r="E6158" s="29" t="n">
        <v>1349600</v>
      </c>
      <c r="F6158" s="30" t="n">
        <v>50.74</v>
      </c>
      <c r="G6158" s="31" t="n">
        <f aca="false">IFERROR(F6158/D6158,0)</f>
        <v>8.45666666666667</v>
      </c>
    </row>
    <row r="6159" customFormat="false" ht="15" hidden="false" customHeight="false" outlineLevel="0" collapsed="false">
      <c r="A6159" s="28" t="n">
        <v>2026</v>
      </c>
      <c r="B6159" s="28" t="s">
        <v>122</v>
      </c>
      <c r="C6159" s="28" t="s">
        <v>57</v>
      </c>
      <c r="D6159" s="28" t="n">
        <v>1</v>
      </c>
      <c r="E6159" s="29" t="n">
        <v>2041200</v>
      </c>
      <c r="F6159" s="30" t="n">
        <v>8.15</v>
      </c>
      <c r="G6159" s="31" t="n">
        <f aca="false">IFERROR(F6159/D6159,0)</f>
        <v>8.15</v>
      </c>
    </row>
    <row r="6160" customFormat="false" ht="15" hidden="false" customHeight="false" outlineLevel="0" collapsed="false">
      <c r="A6160" s="28" t="n">
        <v>2026</v>
      </c>
      <c r="B6160" s="28" t="s">
        <v>122</v>
      </c>
      <c r="C6160" s="28" t="s">
        <v>47</v>
      </c>
      <c r="D6160" s="28" t="n">
        <v>5</v>
      </c>
      <c r="E6160" s="29" t="n">
        <v>2687100</v>
      </c>
      <c r="F6160" s="30" t="n">
        <v>37.5</v>
      </c>
      <c r="G6160" s="31" t="n">
        <f aca="false">IFERROR(F6160/D6160,0)</f>
        <v>7.5</v>
      </c>
    </row>
    <row r="6161" customFormat="false" ht="15" hidden="false" customHeight="false" outlineLevel="0" collapsed="false">
      <c r="A6161" s="28" t="n">
        <v>2026</v>
      </c>
      <c r="B6161" s="28" t="s">
        <v>122</v>
      </c>
      <c r="C6161" s="28" t="s">
        <v>46</v>
      </c>
      <c r="D6161" s="28" t="n">
        <v>8</v>
      </c>
      <c r="E6161" s="29" t="n">
        <v>6114500</v>
      </c>
      <c r="F6161" s="30" t="n">
        <v>66.25</v>
      </c>
      <c r="G6161" s="31" t="n">
        <f aca="false">IFERROR(F6161/D6161,0)</f>
        <v>8.28125</v>
      </c>
    </row>
    <row r="6162" customFormat="false" ht="15" hidden="false" customHeight="false" outlineLevel="0" collapsed="false">
      <c r="A6162" s="28" t="n">
        <v>2026</v>
      </c>
      <c r="B6162" s="28" t="s">
        <v>122</v>
      </c>
      <c r="C6162" s="28" t="s">
        <v>48</v>
      </c>
      <c r="D6162" s="28" t="n">
        <v>3</v>
      </c>
      <c r="E6162" s="29" t="n">
        <v>828700</v>
      </c>
      <c r="F6162" s="30" t="n">
        <v>24.98</v>
      </c>
      <c r="G6162" s="31" t="n">
        <f aca="false">IFERROR(F6162/D6162,0)</f>
        <v>8.32666666666667</v>
      </c>
    </row>
    <row r="6163" customFormat="false" ht="15" hidden="false" customHeight="false" outlineLevel="0" collapsed="false">
      <c r="A6163" s="28" t="n">
        <v>2026</v>
      </c>
      <c r="B6163" s="28" t="s">
        <v>122</v>
      </c>
      <c r="C6163" s="28" t="s">
        <v>53</v>
      </c>
      <c r="D6163" s="28" t="n">
        <v>1</v>
      </c>
      <c r="E6163" s="29" t="n">
        <v>150000</v>
      </c>
      <c r="F6163" s="30" t="n">
        <v>11.5</v>
      </c>
      <c r="G6163" s="31" t="n">
        <f aca="false">IFERROR(F6163/D6163,0)</f>
        <v>11.5</v>
      </c>
    </row>
    <row r="6164" customFormat="false" ht="15" hidden="false" customHeight="false" outlineLevel="0" collapsed="false">
      <c r="A6164" s="28" t="n">
        <v>2026</v>
      </c>
      <c r="B6164" s="28" t="s">
        <v>122</v>
      </c>
      <c r="C6164" s="28" t="s">
        <v>43</v>
      </c>
      <c r="D6164" s="28" t="n">
        <v>10</v>
      </c>
      <c r="E6164" s="29" t="n">
        <v>3511700</v>
      </c>
      <c r="F6164" s="30" t="n">
        <v>87.75</v>
      </c>
      <c r="G6164" s="31" t="n">
        <f aca="false">IFERROR(F6164/D6164,0)</f>
        <v>8.775</v>
      </c>
    </row>
    <row r="6165" customFormat="false" ht="15" hidden="false" customHeight="false" outlineLevel="0" collapsed="false">
      <c r="A6165" s="28" t="n">
        <v>2026</v>
      </c>
      <c r="B6165" s="28" t="s">
        <v>122</v>
      </c>
      <c r="C6165" s="28" t="s">
        <v>52</v>
      </c>
      <c r="D6165" s="28" t="n">
        <v>4</v>
      </c>
      <c r="E6165" s="29" t="n">
        <v>1004800</v>
      </c>
      <c r="F6165" s="30" t="n">
        <v>32.15</v>
      </c>
      <c r="G6165" s="31" t="n">
        <f aca="false">IFERROR(F6165/D6165,0)</f>
        <v>8.0375</v>
      </c>
    </row>
    <row r="6166" customFormat="false" ht="15" hidden="false" customHeight="false" outlineLevel="0" collapsed="false">
      <c r="A6166" s="28" t="n">
        <v>2026</v>
      </c>
      <c r="B6166" s="28" t="s">
        <v>122</v>
      </c>
      <c r="C6166" s="28" t="s">
        <v>49</v>
      </c>
      <c r="D6166" s="28" t="n">
        <v>3</v>
      </c>
      <c r="E6166" s="29" t="n">
        <v>1164600</v>
      </c>
      <c r="F6166" s="30" t="n">
        <v>25.75</v>
      </c>
      <c r="G6166" s="31" t="n">
        <f aca="false">IFERROR(F6166/D6166,0)</f>
        <v>8.58333333333333</v>
      </c>
    </row>
    <row r="6167" customFormat="false" ht="15" hidden="false" customHeight="false" outlineLevel="0" collapsed="false">
      <c r="A6167" s="28" t="n">
        <v>2026</v>
      </c>
      <c r="B6167" s="28" t="s">
        <v>110</v>
      </c>
      <c r="C6167" s="28" t="s">
        <v>42</v>
      </c>
      <c r="D6167" s="28" t="n">
        <v>89</v>
      </c>
      <c r="E6167" s="29" t="n">
        <v>69266000</v>
      </c>
      <c r="F6167" s="30" t="n">
        <v>830.96</v>
      </c>
      <c r="G6167" s="31" t="n">
        <f aca="false">IFERROR(F6167/D6167,0)</f>
        <v>9.33662921348315</v>
      </c>
    </row>
    <row r="6168" customFormat="false" ht="15" hidden="false" customHeight="false" outlineLevel="0" collapsed="false">
      <c r="A6168" s="28" t="n">
        <v>2026</v>
      </c>
      <c r="B6168" s="28" t="s">
        <v>110</v>
      </c>
      <c r="C6168" s="28" t="s">
        <v>50</v>
      </c>
      <c r="D6168" s="28" t="n">
        <v>42</v>
      </c>
      <c r="E6168" s="29" t="n">
        <v>22353300</v>
      </c>
      <c r="F6168" s="30" t="n">
        <v>397.43</v>
      </c>
      <c r="G6168" s="31" t="n">
        <f aca="false">IFERROR(F6168/D6168,0)</f>
        <v>9.46261904761905</v>
      </c>
    </row>
    <row r="6169" customFormat="false" ht="15" hidden="false" customHeight="false" outlineLevel="0" collapsed="false">
      <c r="A6169" s="28" t="n">
        <v>2026</v>
      </c>
      <c r="B6169" s="28" t="s">
        <v>110</v>
      </c>
      <c r="C6169" s="28" t="s">
        <v>55</v>
      </c>
      <c r="D6169" s="28" t="n">
        <v>5</v>
      </c>
      <c r="E6169" s="29" t="n">
        <v>17879500</v>
      </c>
      <c r="F6169" s="30" t="n">
        <v>40.75</v>
      </c>
      <c r="G6169" s="31" t="n">
        <f aca="false">IFERROR(F6169/D6169,0)</f>
        <v>8.15</v>
      </c>
    </row>
    <row r="6170" customFormat="false" ht="15" hidden="false" customHeight="false" outlineLevel="0" collapsed="false">
      <c r="A6170" s="28" t="n">
        <v>2026</v>
      </c>
      <c r="B6170" s="28" t="s">
        <v>110</v>
      </c>
      <c r="C6170" s="28" t="s">
        <v>51</v>
      </c>
      <c r="D6170" s="28" t="n">
        <v>29</v>
      </c>
      <c r="E6170" s="29" t="n">
        <v>25110900</v>
      </c>
      <c r="F6170" s="30" t="n">
        <v>264.99</v>
      </c>
      <c r="G6170" s="31" t="n">
        <f aca="false">IFERROR(F6170/D6170,0)</f>
        <v>9.13758620689655</v>
      </c>
    </row>
    <row r="6171" customFormat="false" ht="15" hidden="false" customHeight="false" outlineLevel="0" collapsed="false">
      <c r="A6171" s="28" t="n">
        <v>2026</v>
      </c>
      <c r="B6171" s="28" t="s">
        <v>110</v>
      </c>
      <c r="C6171" s="28" t="s">
        <v>45</v>
      </c>
      <c r="D6171" s="28" t="n">
        <v>66</v>
      </c>
      <c r="E6171" s="29" t="n">
        <v>21786900</v>
      </c>
      <c r="F6171" s="30" t="n">
        <v>642.34</v>
      </c>
      <c r="G6171" s="31" t="n">
        <f aca="false">IFERROR(F6171/D6171,0)</f>
        <v>9.73242424242424</v>
      </c>
    </row>
    <row r="6172" customFormat="false" ht="15" hidden="false" customHeight="false" outlineLevel="0" collapsed="false">
      <c r="A6172" s="28" t="n">
        <v>2026</v>
      </c>
      <c r="B6172" s="28" t="s">
        <v>110</v>
      </c>
      <c r="C6172" s="28" t="s">
        <v>56</v>
      </c>
      <c r="D6172" s="28" t="n">
        <v>9</v>
      </c>
      <c r="E6172" s="29" t="n">
        <v>1230800</v>
      </c>
      <c r="F6172" s="30" t="n">
        <v>89.22</v>
      </c>
      <c r="G6172" s="31" t="n">
        <f aca="false">IFERROR(F6172/D6172,0)</f>
        <v>9.91333333333333</v>
      </c>
    </row>
    <row r="6173" customFormat="false" ht="15" hidden="false" customHeight="false" outlineLevel="0" collapsed="false">
      <c r="A6173" s="28" t="n">
        <v>2026</v>
      </c>
      <c r="B6173" s="28" t="s">
        <v>110</v>
      </c>
      <c r="C6173" s="28" t="s">
        <v>54</v>
      </c>
      <c r="D6173" s="28" t="n">
        <v>15</v>
      </c>
      <c r="E6173" s="29" t="n">
        <v>4144100</v>
      </c>
      <c r="F6173" s="30" t="n">
        <v>148.86</v>
      </c>
      <c r="G6173" s="31" t="n">
        <f aca="false">IFERROR(F6173/D6173,0)</f>
        <v>9.924</v>
      </c>
    </row>
    <row r="6174" customFormat="false" ht="15" hidden="false" customHeight="false" outlineLevel="0" collapsed="false">
      <c r="A6174" s="28" t="n">
        <v>2026</v>
      </c>
      <c r="B6174" s="28" t="s">
        <v>110</v>
      </c>
      <c r="C6174" s="28" t="s">
        <v>44</v>
      </c>
      <c r="D6174" s="28" t="n">
        <v>45</v>
      </c>
      <c r="E6174" s="29" t="n">
        <v>29372100</v>
      </c>
      <c r="F6174" s="30" t="n">
        <v>420.63</v>
      </c>
      <c r="G6174" s="31" t="n">
        <f aca="false">IFERROR(F6174/D6174,0)</f>
        <v>9.34733333333333</v>
      </c>
    </row>
    <row r="6175" customFormat="false" ht="15" hidden="false" customHeight="false" outlineLevel="0" collapsed="false">
      <c r="A6175" s="28" t="n">
        <v>2026</v>
      </c>
      <c r="B6175" s="28" t="s">
        <v>110</v>
      </c>
      <c r="C6175" s="28" t="s">
        <v>57</v>
      </c>
      <c r="D6175" s="28" t="n">
        <v>3</v>
      </c>
      <c r="E6175" s="29" t="n">
        <v>575000</v>
      </c>
      <c r="F6175" s="30" t="n">
        <v>31</v>
      </c>
      <c r="G6175" s="31" t="n">
        <f aca="false">IFERROR(F6175/D6175,0)</f>
        <v>10.3333333333333</v>
      </c>
    </row>
    <row r="6176" customFormat="false" ht="15" hidden="false" customHeight="false" outlineLevel="0" collapsed="false">
      <c r="A6176" s="28" t="n">
        <v>2026</v>
      </c>
      <c r="B6176" s="28" t="s">
        <v>110</v>
      </c>
      <c r="C6176" s="28" t="s">
        <v>47</v>
      </c>
      <c r="D6176" s="28" t="n">
        <v>21</v>
      </c>
      <c r="E6176" s="29" t="n">
        <v>12481200</v>
      </c>
      <c r="F6176" s="30" t="n">
        <v>189.46</v>
      </c>
      <c r="G6176" s="31" t="n">
        <f aca="false">IFERROR(F6176/D6176,0)</f>
        <v>9.02190476190476</v>
      </c>
    </row>
    <row r="6177" customFormat="false" ht="15" hidden="false" customHeight="false" outlineLevel="0" collapsed="false">
      <c r="A6177" s="28" t="n">
        <v>2026</v>
      </c>
      <c r="B6177" s="28" t="s">
        <v>110</v>
      </c>
      <c r="C6177" s="28" t="s">
        <v>46</v>
      </c>
      <c r="D6177" s="28" t="n">
        <v>60</v>
      </c>
      <c r="E6177" s="29" t="n">
        <v>26882900</v>
      </c>
      <c r="F6177" s="30" t="n">
        <v>569.11</v>
      </c>
      <c r="G6177" s="31" t="n">
        <f aca="false">IFERROR(F6177/D6177,0)</f>
        <v>9.48516666666667</v>
      </c>
    </row>
    <row r="6178" customFormat="false" ht="15" hidden="false" customHeight="false" outlineLevel="0" collapsed="false">
      <c r="A6178" s="28" t="n">
        <v>2026</v>
      </c>
      <c r="B6178" s="28" t="s">
        <v>110</v>
      </c>
      <c r="C6178" s="28" t="s">
        <v>48</v>
      </c>
      <c r="D6178" s="28" t="n">
        <v>49</v>
      </c>
      <c r="E6178" s="29" t="n">
        <v>31607800</v>
      </c>
      <c r="F6178" s="30" t="n">
        <v>466.53</v>
      </c>
      <c r="G6178" s="31" t="n">
        <f aca="false">IFERROR(F6178/D6178,0)</f>
        <v>9.52102040816327</v>
      </c>
    </row>
    <row r="6179" customFormat="false" ht="15" hidden="false" customHeight="false" outlineLevel="0" collapsed="false">
      <c r="A6179" s="28" t="n">
        <v>2026</v>
      </c>
      <c r="B6179" s="28" t="s">
        <v>110</v>
      </c>
      <c r="C6179" s="28" t="s">
        <v>53</v>
      </c>
      <c r="D6179" s="28" t="n">
        <v>12</v>
      </c>
      <c r="E6179" s="29" t="n">
        <v>8169400</v>
      </c>
      <c r="F6179" s="30" t="n">
        <v>117.68</v>
      </c>
      <c r="G6179" s="31" t="n">
        <f aca="false">IFERROR(F6179/D6179,0)</f>
        <v>9.80666666666667</v>
      </c>
    </row>
    <row r="6180" customFormat="false" ht="15" hidden="false" customHeight="false" outlineLevel="0" collapsed="false">
      <c r="A6180" s="28" t="n">
        <v>2026</v>
      </c>
      <c r="B6180" s="28" t="s">
        <v>110</v>
      </c>
      <c r="C6180" s="28" t="s">
        <v>43</v>
      </c>
      <c r="D6180" s="28" t="n">
        <v>33</v>
      </c>
      <c r="E6180" s="29" t="n">
        <v>16510800</v>
      </c>
      <c r="F6180" s="30" t="n">
        <v>316.04</v>
      </c>
      <c r="G6180" s="31" t="n">
        <f aca="false">IFERROR(F6180/D6180,0)</f>
        <v>9.5769696969697</v>
      </c>
    </row>
    <row r="6181" customFormat="false" ht="15" hidden="false" customHeight="false" outlineLevel="0" collapsed="false">
      <c r="A6181" s="28" t="n">
        <v>2026</v>
      </c>
      <c r="B6181" s="28" t="s">
        <v>110</v>
      </c>
      <c r="C6181" s="28" t="s">
        <v>52</v>
      </c>
      <c r="D6181" s="28" t="n">
        <v>10</v>
      </c>
      <c r="E6181" s="29" t="n">
        <v>7189800</v>
      </c>
      <c r="F6181" s="30" t="n">
        <v>93.42</v>
      </c>
      <c r="G6181" s="31" t="n">
        <f aca="false">IFERROR(F6181/D6181,0)</f>
        <v>9.342</v>
      </c>
    </row>
    <row r="6182" customFormat="false" ht="15" hidden="false" customHeight="false" outlineLevel="0" collapsed="false">
      <c r="A6182" s="28" t="n">
        <v>2026</v>
      </c>
      <c r="B6182" s="28" t="s">
        <v>110</v>
      </c>
      <c r="C6182" s="28" t="s">
        <v>49</v>
      </c>
      <c r="D6182" s="28" t="n">
        <v>17</v>
      </c>
      <c r="E6182" s="29" t="n">
        <v>16151800</v>
      </c>
      <c r="F6182" s="30" t="n">
        <v>152.48</v>
      </c>
      <c r="G6182" s="31" t="n">
        <f aca="false">IFERROR(F6182/D6182,0)</f>
        <v>8.96941176470588</v>
      </c>
    </row>
    <row r="6183" customFormat="false" ht="15" hidden="false" customHeight="false" outlineLevel="0" collapsed="false">
      <c r="A6183" s="28" t="n">
        <v>2026</v>
      </c>
      <c r="B6183" s="28" t="s">
        <v>77</v>
      </c>
      <c r="C6183" s="28" t="s">
        <v>42</v>
      </c>
      <c r="D6183" s="28" t="n">
        <v>458</v>
      </c>
      <c r="E6183" s="29" t="n">
        <v>562414300</v>
      </c>
      <c r="F6183" s="30" t="n">
        <v>4115.05</v>
      </c>
      <c r="G6183" s="31" t="n">
        <f aca="false">IFERROR(F6183/D6183,0)</f>
        <v>8.98482532751092</v>
      </c>
    </row>
    <row r="6184" customFormat="false" ht="15" hidden="false" customHeight="false" outlineLevel="0" collapsed="false">
      <c r="A6184" s="28" t="n">
        <v>2026</v>
      </c>
      <c r="B6184" s="28" t="s">
        <v>77</v>
      </c>
      <c r="C6184" s="28" t="s">
        <v>50</v>
      </c>
      <c r="D6184" s="28" t="n">
        <v>170</v>
      </c>
      <c r="E6184" s="29" t="n">
        <v>75345500</v>
      </c>
      <c r="F6184" s="30" t="n">
        <v>1662.22</v>
      </c>
      <c r="G6184" s="31" t="n">
        <f aca="false">IFERROR(F6184/D6184,0)</f>
        <v>9.77776470588235</v>
      </c>
    </row>
    <row r="6185" customFormat="false" ht="15" hidden="false" customHeight="false" outlineLevel="0" collapsed="false">
      <c r="A6185" s="28" t="n">
        <v>2026</v>
      </c>
      <c r="B6185" s="28" t="s">
        <v>77</v>
      </c>
      <c r="C6185" s="28" t="s">
        <v>55</v>
      </c>
      <c r="D6185" s="28" t="n">
        <v>8</v>
      </c>
      <c r="E6185" s="29" t="n">
        <v>19183200</v>
      </c>
      <c r="F6185" s="30" t="n">
        <v>66.4</v>
      </c>
      <c r="G6185" s="31" t="n">
        <f aca="false">IFERROR(F6185/D6185,0)</f>
        <v>8.3</v>
      </c>
    </row>
    <row r="6186" customFormat="false" ht="15" hidden="false" customHeight="false" outlineLevel="0" collapsed="false">
      <c r="A6186" s="28" t="n">
        <v>2026</v>
      </c>
      <c r="B6186" s="28" t="s">
        <v>77</v>
      </c>
      <c r="C6186" s="28" t="s">
        <v>51</v>
      </c>
      <c r="D6186" s="28" t="n">
        <v>132</v>
      </c>
      <c r="E6186" s="29" t="n">
        <v>82849400</v>
      </c>
      <c r="F6186" s="30" t="n">
        <v>1234.445</v>
      </c>
      <c r="G6186" s="31" t="n">
        <f aca="false">IFERROR(F6186/D6186,0)</f>
        <v>9.35185606060606</v>
      </c>
    </row>
    <row r="6187" customFormat="false" ht="15" hidden="false" customHeight="false" outlineLevel="0" collapsed="false">
      <c r="A6187" s="28" t="n">
        <v>2026</v>
      </c>
      <c r="B6187" s="28" t="s">
        <v>77</v>
      </c>
      <c r="C6187" s="28" t="s">
        <v>45</v>
      </c>
      <c r="D6187" s="28" t="n">
        <v>314</v>
      </c>
      <c r="E6187" s="29" t="n">
        <v>166825900</v>
      </c>
      <c r="F6187" s="30" t="n">
        <v>3026.02</v>
      </c>
      <c r="G6187" s="31" t="n">
        <f aca="false">IFERROR(F6187/D6187,0)</f>
        <v>9.63700636942675</v>
      </c>
    </row>
    <row r="6188" customFormat="false" ht="15" hidden="false" customHeight="false" outlineLevel="0" collapsed="false">
      <c r="A6188" s="28" t="n">
        <v>2026</v>
      </c>
      <c r="B6188" s="28" t="s">
        <v>77</v>
      </c>
      <c r="C6188" s="28" t="s">
        <v>56</v>
      </c>
      <c r="D6188" s="28" t="n">
        <v>72</v>
      </c>
      <c r="E6188" s="29" t="n">
        <v>41633100</v>
      </c>
      <c r="F6188" s="30" t="n">
        <v>657.15</v>
      </c>
      <c r="G6188" s="31" t="n">
        <f aca="false">IFERROR(F6188/D6188,0)</f>
        <v>9.12708333333333</v>
      </c>
    </row>
    <row r="6189" customFormat="false" ht="15" hidden="false" customHeight="false" outlineLevel="0" collapsed="false">
      <c r="A6189" s="28" t="n">
        <v>2026</v>
      </c>
      <c r="B6189" s="28" t="s">
        <v>77</v>
      </c>
      <c r="C6189" s="28" t="s">
        <v>54</v>
      </c>
      <c r="D6189" s="28" t="n">
        <v>60</v>
      </c>
      <c r="E6189" s="29" t="n">
        <v>37099200</v>
      </c>
      <c r="F6189" s="30" t="n">
        <v>581.812</v>
      </c>
      <c r="G6189" s="31" t="n">
        <f aca="false">IFERROR(F6189/D6189,0)</f>
        <v>9.69686666666667</v>
      </c>
    </row>
    <row r="6190" customFormat="false" ht="15" hidden="false" customHeight="false" outlineLevel="0" collapsed="false">
      <c r="A6190" s="28" t="n">
        <v>2026</v>
      </c>
      <c r="B6190" s="28" t="s">
        <v>77</v>
      </c>
      <c r="C6190" s="28" t="s">
        <v>44</v>
      </c>
      <c r="D6190" s="28" t="n">
        <v>355</v>
      </c>
      <c r="E6190" s="29" t="n">
        <v>335012700</v>
      </c>
      <c r="F6190" s="30" t="n">
        <v>3216.59</v>
      </c>
      <c r="G6190" s="31" t="n">
        <f aca="false">IFERROR(F6190/D6190,0)</f>
        <v>9.06081690140845</v>
      </c>
    </row>
    <row r="6191" customFormat="false" ht="15" hidden="false" customHeight="false" outlineLevel="0" collapsed="false">
      <c r="A6191" s="28" t="n">
        <v>2026</v>
      </c>
      <c r="B6191" s="28" t="s">
        <v>77</v>
      </c>
      <c r="C6191" s="28" t="s">
        <v>57</v>
      </c>
      <c r="D6191" s="28" t="n">
        <v>42</v>
      </c>
      <c r="E6191" s="29" t="n">
        <v>19745500</v>
      </c>
      <c r="F6191" s="30" t="n">
        <v>418.92</v>
      </c>
      <c r="G6191" s="31" t="n">
        <f aca="false">IFERROR(F6191/D6191,0)</f>
        <v>9.97428571428572</v>
      </c>
    </row>
    <row r="6192" customFormat="false" ht="15" hidden="false" customHeight="false" outlineLevel="0" collapsed="false">
      <c r="A6192" s="28" t="n">
        <v>2026</v>
      </c>
      <c r="B6192" s="28" t="s">
        <v>77</v>
      </c>
      <c r="C6192" s="28" t="s">
        <v>59</v>
      </c>
      <c r="D6192" s="28" t="n">
        <v>3</v>
      </c>
      <c r="E6192" s="29" t="n">
        <v>10000000</v>
      </c>
      <c r="F6192" s="30" t="n">
        <v>26.25</v>
      </c>
      <c r="G6192" s="31" t="n">
        <f aca="false">IFERROR(F6192/D6192,0)</f>
        <v>8.75</v>
      </c>
    </row>
    <row r="6193" customFormat="false" ht="15" hidden="false" customHeight="false" outlineLevel="0" collapsed="false">
      <c r="A6193" s="28" t="n">
        <v>2026</v>
      </c>
      <c r="B6193" s="28" t="s">
        <v>77</v>
      </c>
      <c r="C6193" s="28" t="s">
        <v>47</v>
      </c>
      <c r="D6193" s="28" t="n">
        <v>113</v>
      </c>
      <c r="E6193" s="29" t="n">
        <v>82838800</v>
      </c>
      <c r="F6193" s="30" t="n">
        <v>1071.62</v>
      </c>
      <c r="G6193" s="31" t="n">
        <f aca="false">IFERROR(F6193/D6193,0)</f>
        <v>9.48336283185841</v>
      </c>
    </row>
    <row r="6194" customFormat="false" ht="15" hidden="false" customHeight="false" outlineLevel="0" collapsed="false">
      <c r="A6194" s="28" t="n">
        <v>2026</v>
      </c>
      <c r="B6194" s="28" t="s">
        <v>77</v>
      </c>
      <c r="C6194" s="28" t="s">
        <v>58</v>
      </c>
      <c r="D6194" s="28" t="n">
        <v>9</v>
      </c>
      <c r="E6194" s="29" t="n">
        <v>4745000</v>
      </c>
      <c r="F6194" s="30" t="n">
        <v>86</v>
      </c>
      <c r="G6194" s="31" t="n">
        <f aca="false">IFERROR(F6194/D6194,0)</f>
        <v>9.55555555555556</v>
      </c>
    </row>
    <row r="6195" customFormat="false" ht="15" hidden="false" customHeight="false" outlineLevel="0" collapsed="false">
      <c r="A6195" s="28" t="n">
        <v>2026</v>
      </c>
      <c r="B6195" s="28" t="s">
        <v>77</v>
      </c>
      <c r="C6195" s="28" t="s">
        <v>46</v>
      </c>
      <c r="D6195" s="28" t="n">
        <v>327</v>
      </c>
      <c r="E6195" s="29" t="n">
        <v>202994400</v>
      </c>
      <c r="F6195" s="30" t="n">
        <v>3095.026</v>
      </c>
      <c r="G6195" s="31" t="n">
        <f aca="false">IFERROR(F6195/D6195,0)</f>
        <v>9.46491131498471</v>
      </c>
    </row>
    <row r="6196" customFormat="false" ht="15" hidden="false" customHeight="false" outlineLevel="0" collapsed="false">
      <c r="A6196" s="28" t="n">
        <v>2026</v>
      </c>
      <c r="B6196" s="28" t="s">
        <v>77</v>
      </c>
      <c r="C6196" s="28" t="s">
        <v>48</v>
      </c>
      <c r="D6196" s="28" t="n">
        <v>285</v>
      </c>
      <c r="E6196" s="29" t="n">
        <v>143206900</v>
      </c>
      <c r="F6196" s="30" t="n">
        <v>2770.07</v>
      </c>
      <c r="G6196" s="31" t="n">
        <f aca="false">IFERROR(F6196/D6196,0)</f>
        <v>9.71954385964912</v>
      </c>
    </row>
    <row r="6197" customFormat="false" ht="15" hidden="false" customHeight="false" outlineLevel="0" collapsed="false">
      <c r="A6197" s="28" t="n">
        <v>2026</v>
      </c>
      <c r="B6197" s="28" t="s">
        <v>77</v>
      </c>
      <c r="C6197" s="28" t="s">
        <v>53</v>
      </c>
      <c r="D6197" s="28" t="n">
        <v>58</v>
      </c>
      <c r="E6197" s="29" t="n">
        <v>71547900</v>
      </c>
      <c r="F6197" s="30" t="n">
        <v>525.9</v>
      </c>
      <c r="G6197" s="31" t="n">
        <f aca="false">IFERROR(F6197/D6197,0)</f>
        <v>9.06724137931034</v>
      </c>
    </row>
    <row r="6198" customFormat="false" ht="15" hidden="false" customHeight="false" outlineLevel="0" collapsed="false">
      <c r="A6198" s="28" t="n">
        <v>2026</v>
      </c>
      <c r="B6198" s="28" t="s">
        <v>77</v>
      </c>
      <c r="C6198" s="28" t="s">
        <v>43</v>
      </c>
      <c r="D6198" s="28" t="n">
        <v>339</v>
      </c>
      <c r="E6198" s="29" t="n">
        <v>305504000</v>
      </c>
      <c r="F6198" s="30" t="n">
        <v>3038.565</v>
      </c>
      <c r="G6198" s="31" t="n">
        <f aca="false">IFERROR(F6198/D6198,0)</f>
        <v>8.9633185840708</v>
      </c>
    </row>
    <row r="6199" customFormat="false" ht="15" hidden="false" customHeight="false" outlineLevel="0" collapsed="false">
      <c r="A6199" s="28" t="n">
        <v>2026</v>
      </c>
      <c r="B6199" s="28" t="s">
        <v>77</v>
      </c>
      <c r="C6199" s="28" t="s">
        <v>52</v>
      </c>
      <c r="D6199" s="28" t="n">
        <v>73</v>
      </c>
      <c r="E6199" s="29" t="n">
        <v>39173600</v>
      </c>
      <c r="F6199" s="30" t="n">
        <v>732.84</v>
      </c>
      <c r="G6199" s="31" t="n">
        <f aca="false">IFERROR(F6199/D6199,0)</f>
        <v>10.038904109589</v>
      </c>
    </row>
    <row r="6200" customFormat="false" ht="15" hidden="false" customHeight="false" outlineLevel="0" collapsed="false">
      <c r="A6200" s="28" t="n">
        <v>2026</v>
      </c>
      <c r="B6200" s="28" t="s">
        <v>77</v>
      </c>
      <c r="C6200" s="28" t="s">
        <v>60</v>
      </c>
      <c r="D6200" s="28" t="n">
        <v>4</v>
      </c>
      <c r="E6200" s="29" t="n">
        <v>1595000</v>
      </c>
      <c r="F6200" s="30" t="n">
        <v>36</v>
      </c>
      <c r="G6200" s="31" t="n">
        <f aca="false">IFERROR(F6200/D6200,0)</f>
        <v>9</v>
      </c>
    </row>
    <row r="6201" customFormat="false" ht="15" hidden="false" customHeight="false" outlineLevel="0" collapsed="false">
      <c r="A6201" s="28" t="n">
        <v>2026</v>
      </c>
      <c r="B6201" s="28" t="s">
        <v>77</v>
      </c>
      <c r="C6201" s="28" t="s">
        <v>49</v>
      </c>
      <c r="D6201" s="28" t="n">
        <v>107</v>
      </c>
      <c r="E6201" s="29" t="n">
        <v>88508600</v>
      </c>
      <c r="F6201" s="30" t="n">
        <v>1028.84</v>
      </c>
      <c r="G6201" s="31" t="n">
        <f aca="false">IFERROR(F6201/D6201,0)</f>
        <v>9.61532710280374</v>
      </c>
    </row>
    <row r="6202" customFormat="false" ht="15" hidden="false" customHeight="false" outlineLevel="0" collapsed="false">
      <c r="A6202" s="28" t="n">
        <v>2026</v>
      </c>
      <c r="B6202" s="28" t="s">
        <v>105</v>
      </c>
      <c r="C6202" s="28" t="s">
        <v>42</v>
      </c>
      <c r="D6202" s="28" t="n">
        <v>83</v>
      </c>
      <c r="E6202" s="29" t="n">
        <v>31975200</v>
      </c>
      <c r="F6202" s="30" t="n">
        <v>765.985</v>
      </c>
      <c r="G6202" s="31" t="n">
        <f aca="false">IFERROR(F6202/D6202,0)</f>
        <v>9.22873493975904</v>
      </c>
    </row>
    <row r="6203" customFormat="false" ht="15" hidden="false" customHeight="false" outlineLevel="0" collapsed="false">
      <c r="A6203" s="28" t="n">
        <v>2026</v>
      </c>
      <c r="B6203" s="28" t="s">
        <v>105</v>
      </c>
      <c r="C6203" s="28" t="s">
        <v>50</v>
      </c>
      <c r="D6203" s="28" t="n">
        <v>46</v>
      </c>
      <c r="E6203" s="29" t="n">
        <v>21350900</v>
      </c>
      <c r="F6203" s="30" t="n">
        <v>416.82</v>
      </c>
      <c r="G6203" s="31" t="n">
        <f aca="false">IFERROR(F6203/D6203,0)</f>
        <v>9.06130434782609</v>
      </c>
    </row>
    <row r="6204" customFormat="false" ht="15" hidden="false" customHeight="false" outlineLevel="0" collapsed="false">
      <c r="A6204" s="28" t="n">
        <v>2026</v>
      </c>
      <c r="B6204" s="28" t="s">
        <v>105</v>
      </c>
      <c r="C6204" s="28" t="s">
        <v>55</v>
      </c>
      <c r="D6204" s="28" t="n">
        <v>5</v>
      </c>
      <c r="E6204" s="29" t="n">
        <v>524100</v>
      </c>
      <c r="F6204" s="30" t="n">
        <v>45.25</v>
      </c>
      <c r="G6204" s="31" t="n">
        <f aca="false">IFERROR(F6204/D6204,0)</f>
        <v>9.05</v>
      </c>
    </row>
    <row r="6205" customFormat="false" ht="15" hidden="false" customHeight="false" outlineLevel="0" collapsed="false">
      <c r="A6205" s="28" t="n">
        <v>2026</v>
      </c>
      <c r="B6205" s="28" t="s">
        <v>105</v>
      </c>
      <c r="C6205" s="28" t="s">
        <v>51</v>
      </c>
      <c r="D6205" s="28" t="n">
        <v>33</v>
      </c>
      <c r="E6205" s="29" t="n">
        <v>18939800</v>
      </c>
      <c r="F6205" s="30" t="n">
        <v>301.65</v>
      </c>
      <c r="G6205" s="31" t="n">
        <f aca="false">IFERROR(F6205/D6205,0)</f>
        <v>9.14090909090909</v>
      </c>
    </row>
    <row r="6206" customFormat="false" ht="15" hidden="false" customHeight="false" outlineLevel="0" collapsed="false">
      <c r="A6206" s="28" t="n">
        <v>2026</v>
      </c>
      <c r="B6206" s="28" t="s">
        <v>105</v>
      </c>
      <c r="C6206" s="28" t="s">
        <v>45</v>
      </c>
      <c r="D6206" s="28" t="n">
        <v>116</v>
      </c>
      <c r="E6206" s="29" t="n">
        <v>65997900</v>
      </c>
      <c r="F6206" s="30" t="n">
        <v>1103.75</v>
      </c>
      <c r="G6206" s="31" t="n">
        <f aca="false">IFERROR(F6206/D6206,0)</f>
        <v>9.51508620689655</v>
      </c>
    </row>
    <row r="6207" customFormat="false" ht="15" hidden="false" customHeight="false" outlineLevel="0" collapsed="false">
      <c r="A6207" s="28" t="n">
        <v>2026</v>
      </c>
      <c r="B6207" s="28" t="s">
        <v>105</v>
      </c>
      <c r="C6207" s="28" t="s">
        <v>56</v>
      </c>
      <c r="D6207" s="28" t="n">
        <v>12</v>
      </c>
      <c r="E6207" s="29" t="n">
        <v>10022300</v>
      </c>
      <c r="F6207" s="30" t="n">
        <v>101.345</v>
      </c>
      <c r="G6207" s="31" t="n">
        <f aca="false">IFERROR(F6207/D6207,0)</f>
        <v>8.44541666666667</v>
      </c>
    </row>
    <row r="6208" customFormat="false" ht="15" hidden="false" customHeight="false" outlineLevel="0" collapsed="false">
      <c r="A6208" s="28" t="n">
        <v>2026</v>
      </c>
      <c r="B6208" s="28" t="s">
        <v>105</v>
      </c>
      <c r="C6208" s="28" t="s">
        <v>54</v>
      </c>
      <c r="D6208" s="28" t="n">
        <v>12</v>
      </c>
      <c r="E6208" s="29" t="n">
        <v>3777700</v>
      </c>
      <c r="F6208" s="30" t="n">
        <v>113.14</v>
      </c>
      <c r="G6208" s="31" t="n">
        <f aca="false">IFERROR(F6208/D6208,0)</f>
        <v>9.42833333333333</v>
      </c>
    </row>
    <row r="6209" customFormat="false" ht="15" hidden="false" customHeight="false" outlineLevel="0" collapsed="false">
      <c r="A6209" s="28" t="n">
        <v>2026</v>
      </c>
      <c r="B6209" s="28" t="s">
        <v>105</v>
      </c>
      <c r="C6209" s="28" t="s">
        <v>44</v>
      </c>
      <c r="D6209" s="28" t="n">
        <v>72</v>
      </c>
      <c r="E6209" s="29" t="n">
        <v>42142000</v>
      </c>
      <c r="F6209" s="30" t="n">
        <v>633.7</v>
      </c>
      <c r="G6209" s="31" t="n">
        <f aca="false">IFERROR(F6209/D6209,0)</f>
        <v>8.80138888888889</v>
      </c>
    </row>
    <row r="6210" customFormat="false" ht="15" hidden="false" customHeight="false" outlineLevel="0" collapsed="false">
      <c r="A6210" s="28" t="n">
        <v>2026</v>
      </c>
      <c r="B6210" s="28" t="s">
        <v>105</v>
      </c>
      <c r="C6210" s="28" t="s">
        <v>57</v>
      </c>
      <c r="D6210" s="28" t="n">
        <v>8</v>
      </c>
      <c r="E6210" s="29" t="n">
        <v>2940300</v>
      </c>
      <c r="F6210" s="30" t="n">
        <v>77.02</v>
      </c>
      <c r="G6210" s="31" t="n">
        <f aca="false">IFERROR(F6210/D6210,0)</f>
        <v>9.6275</v>
      </c>
    </row>
    <row r="6211" customFormat="false" ht="15" hidden="false" customHeight="false" outlineLevel="0" collapsed="false">
      <c r="A6211" s="28" t="n">
        <v>2026</v>
      </c>
      <c r="B6211" s="28" t="s">
        <v>105</v>
      </c>
      <c r="C6211" s="28" t="s">
        <v>59</v>
      </c>
      <c r="D6211" s="28" t="n">
        <v>3</v>
      </c>
      <c r="E6211" s="29" t="n">
        <v>1997100</v>
      </c>
      <c r="F6211" s="30" t="n">
        <v>28.75</v>
      </c>
      <c r="G6211" s="31" t="n">
        <f aca="false">IFERROR(F6211/D6211,0)</f>
        <v>9.58333333333333</v>
      </c>
    </row>
    <row r="6212" customFormat="false" ht="15" hidden="false" customHeight="false" outlineLevel="0" collapsed="false">
      <c r="A6212" s="28" t="n">
        <v>2026</v>
      </c>
      <c r="B6212" s="28" t="s">
        <v>105</v>
      </c>
      <c r="C6212" s="28" t="s">
        <v>47</v>
      </c>
      <c r="D6212" s="28" t="n">
        <v>50</v>
      </c>
      <c r="E6212" s="29" t="n">
        <v>30160200</v>
      </c>
      <c r="F6212" s="30" t="n">
        <v>449.39</v>
      </c>
      <c r="G6212" s="31" t="n">
        <f aca="false">IFERROR(F6212/D6212,0)</f>
        <v>8.9878</v>
      </c>
    </row>
    <row r="6213" customFormat="false" ht="15" hidden="false" customHeight="false" outlineLevel="0" collapsed="false">
      <c r="A6213" s="28" t="n">
        <v>2026</v>
      </c>
      <c r="B6213" s="28" t="s">
        <v>105</v>
      </c>
      <c r="C6213" s="28" t="s">
        <v>58</v>
      </c>
      <c r="D6213" s="28" t="n">
        <v>1</v>
      </c>
      <c r="E6213" s="29" t="n">
        <v>400000</v>
      </c>
      <c r="F6213" s="30" t="n">
        <v>8.75</v>
      </c>
      <c r="G6213" s="31" t="n">
        <f aca="false">IFERROR(F6213/D6213,0)</f>
        <v>8.75</v>
      </c>
    </row>
    <row r="6214" customFormat="false" ht="15" hidden="false" customHeight="false" outlineLevel="0" collapsed="false">
      <c r="A6214" s="28" t="n">
        <v>2026</v>
      </c>
      <c r="B6214" s="28" t="s">
        <v>105</v>
      </c>
      <c r="C6214" s="28" t="s">
        <v>46</v>
      </c>
      <c r="D6214" s="28" t="n">
        <v>56</v>
      </c>
      <c r="E6214" s="29" t="n">
        <v>25698900</v>
      </c>
      <c r="F6214" s="30" t="n">
        <v>523.68</v>
      </c>
      <c r="G6214" s="31" t="n">
        <f aca="false">IFERROR(F6214/D6214,0)</f>
        <v>9.35142857142857</v>
      </c>
    </row>
    <row r="6215" customFormat="false" ht="15" hidden="false" customHeight="false" outlineLevel="0" collapsed="false">
      <c r="A6215" s="28" t="n">
        <v>2026</v>
      </c>
      <c r="B6215" s="28" t="s">
        <v>105</v>
      </c>
      <c r="C6215" s="28" t="s">
        <v>48</v>
      </c>
      <c r="D6215" s="28" t="n">
        <v>64</v>
      </c>
      <c r="E6215" s="29" t="n">
        <v>19928800</v>
      </c>
      <c r="F6215" s="30" t="n">
        <v>626.74</v>
      </c>
      <c r="G6215" s="31" t="n">
        <f aca="false">IFERROR(F6215/D6215,0)</f>
        <v>9.7928125</v>
      </c>
    </row>
    <row r="6216" customFormat="false" ht="15" hidden="false" customHeight="false" outlineLevel="0" collapsed="false">
      <c r="A6216" s="28" t="n">
        <v>2026</v>
      </c>
      <c r="B6216" s="28" t="s">
        <v>105</v>
      </c>
      <c r="C6216" s="28" t="s">
        <v>53</v>
      </c>
      <c r="D6216" s="28" t="n">
        <v>21</v>
      </c>
      <c r="E6216" s="29" t="n">
        <v>12204600</v>
      </c>
      <c r="F6216" s="30" t="n">
        <v>190.91</v>
      </c>
      <c r="G6216" s="31" t="n">
        <f aca="false">IFERROR(F6216/D6216,0)</f>
        <v>9.09095238095238</v>
      </c>
    </row>
    <row r="6217" customFormat="false" ht="15" hidden="false" customHeight="false" outlineLevel="0" collapsed="false">
      <c r="A6217" s="28" t="n">
        <v>2026</v>
      </c>
      <c r="B6217" s="28" t="s">
        <v>105</v>
      </c>
      <c r="C6217" s="28" t="s">
        <v>43</v>
      </c>
      <c r="D6217" s="28" t="n">
        <v>62</v>
      </c>
      <c r="E6217" s="29" t="n">
        <v>25124000</v>
      </c>
      <c r="F6217" s="30" t="n">
        <v>581.06</v>
      </c>
      <c r="G6217" s="31" t="n">
        <f aca="false">IFERROR(F6217/D6217,0)</f>
        <v>9.37193548387097</v>
      </c>
    </row>
    <row r="6218" customFormat="false" ht="15" hidden="false" customHeight="false" outlineLevel="0" collapsed="false">
      <c r="A6218" s="28" t="n">
        <v>2026</v>
      </c>
      <c r="B6218" s="28" t="s">
        <v>105</v>
      </c>
      <c r="C6218" s="28" t="s">
        <v>52</v>
      </c>
      <c r="D6218" s="28" t="n">
        <v>22</v>
      </c>
      <c r="E6218" s="29" t="n">
        <v>11451200</v>
      </c>
      <c r="F6218" s="30" t="n">
        <v>200.34</v>
      </c>
      <c r="G6218" s="31" t="n">
        <f aca="false">IFERROR(F6218/D6218,0)</f>
        <v>9.10636363636364</v>
      </c>
    </row>
    <row r="6219" customFormat="false" ht="15" hidden="false" customHeight="false" outlineLevel="0" collapsed="false">
      <c r="A6219" s="28" t="n">
        <v>2026</v>
      </c>
      <c r="B6219" s="28" t="s">
        <v>105</v>
      </c>
      <c r="C6219" s="28" t="s">
        <v>49</v>
      </c>
      <c r="D6219" s="28" t="n">
        <v>26</v>
      </c>
      <c r="E6219" s="29" t="n">
        <v>24573500</v>
      </c>
      <c r="F6219" s="30" t="n">
        <v>245.04</v>
      </c>
      <c r="G6219" s="31" t="n">
        <f aca="false">IFERROR(F6219/D6219,0)</f>
        <v>9.42461538461538</v>
      </c>
    </row>
    <row r="6220" customFormat="false" ht="15" hidden="false" customHeight="false" outlineLevel="0" collapsed="false">
      <c r="A6220" s="28" t="n">
        <v>2026</v>
      </c>
      <c r="B6220" s="28" t="s">
        <v>65</v>
      </c>
      <c r="C6220" s="28" t="s">
        <v>42</v>
      </c>
      <c r="D6220" s="28" t="n">
        <v>100</v>
      </c>
      <c r="E6220" s="29" t="n">
        <v>65403800</v>
      </c>
      <c r="F6220" s="30" t="n">
        <v>947.37</v>
      </c>
      <c r="G6220" s="31" t="n">
        <f aca="false">IFERROR(F6220/D6220,0)</f>
        <v>9.4737</v>
      </c>
    </row>
    <row r="6221" customFormat="false" ht="15" hidden="false" customHeight="false" outlineLevel="0" collapsed="false">
      <c r="A6221" s="28" t="n">
        <v>2026</v>
      </c>
      <c r="B6221" s="28" t="s">
        <v>65</v>
      </c>
      <c r="C6221" s="28" t="s">
        <v>50</v>
      </c>
      <c r="D6221" s="28" t="n">
        <v>49</v>
      </c>
      <c r="E6221" s="29" t="n">
        <v>22430500</v>
      </c>
      <c r="F6221" s="30" t="n">
        <v>450.32</v>
      </c>
      <c r="G6221" s="31" t="n">
        <f aca="false">IFERROR(F6221/D6221,0)</f>
        <v>9.19020408163265</v>
      </c>
    </row>
    <row r="6222" customFormat="false" ht="15" hidden="false" customHeight="false" outlineLevel="0" collapsed="false">
      <c r="A6222" s="28" t="n">
        <v>2026</v>
      </c>
      <c r="B6222" s="28" t="s">
        <v>65</v>
      </c>
      <c r="C6222" s="28" t="s">
        <v>55</v>
      </c>
      <c r="D6222" s="28" t="n">
        <v>5</v>
      </c>
      <c r="E6222" s="29" t="n">
        <v>1565000</v>
      </c>
      <c r="F6222" s="30" t="n">
        <v>50.23</v>
      </c>
      <c r="G6222" s="31" t="n">
        <f aca="false">IFERROR(F6222/D6222,0)</f>
        <v>10.046</v>
      </c>
    </row>
    <row r="6223" customFormat="false" ht="15" hidden="false" customHeight="false" outlineLevel="0" collapsed="false">
      <c r="A6223" s="28" t="n">
        <v>2026</v>
      </c>
      <c r="B6223" s="28" t="s">
        <v>65</v>
      </c>
      <c r="C6223" s="28" t="s">
        <v>51</v>
      </c>
      <c r="D6223" s="28" t="n">
        <v>44</v>
      </c>
      <c r="E6223" s="29" t="n">
        <v>30878700</v>
      </c>
      <c r="F6223" s="30" t="n">
        <v>409.73</v>
      </c>
      <c r="G6223" s="31" t="n">
        <f aca="false">IFERROR(F6223/D6223,0)</f>
        <v>9.31204545454546</v>
      </c>
    </row>
    <row r="6224" customFormat="false" ht="15" hidden="false" customHeight="false" outlineLevel="0" collapsed="false">
      <c r="A6224" s="28" t="n">
        <v>2026</v>
      </c>
      <c r="B6224" s="28" t="s">
        <v>65</v>
      </c>
      <c r="C6224" s="28" t="s">
        <v>45</v>
      </c>
      <c r="D6224" s="28" t="n">
        <v>81</v>
      </c>
      <c r="E6224" s="29" t="n">
        <v>39509800</v>
      </c>
      <c r="F6224" s="30" t="n">
        <v>795.77</v>
      </c>
      <c r="G6224" s="31" t="n">
        <f aca="false">IFERROR(F6224/D6224,0)</f>
        <v>9.82432098765432</v>
      </c>
    </row>
    <row r="6225" customFormat="false" ht="15" hidden="false" customHeight="false" outlineLevel="0" collapsed="false">
      <c r="A6225" s="28" t="n">
        <v>2026</v>
      </c>
      <c r="B6225" s="28" t="s">
        <v>65</v>
      </c>
      <c r="C6225" s="28" t="s">
        <v>56</v>
      </c>
      <c r="D6225" s="28" t="n">
        <v>19</v>
      </c>
      <c r="E6225" s="29" t="n">
        <v>11468100</v>
      </c>
      <c r="F6225" s="30" t="n">
        <v>184.43</v>
      </c>
      <c r="G6225" s="31" t="n">
        <f aca="false">IFERROR(F6225/D6225,0)</f>
        <v>9.70684210526316</v>
      </c>
    </row>
    <row r="6226" customFormat="false" ht="15" hidden="false" customHeight="false" outlineLevel="0" collapsed="false">
      <c r="A6226" s="28" t="n">
        <v>2026</v>
      </c>
      <c r="B6226" s="28" t="s">
        <v>65</v>
      </c>
      <c r="C6226" s="28" t="s">
        <v>54</v>
      </c>
      <c r="D6226" s="28" t="n">
        <v>4</v>
      </c>
      <c r="E6226" s="29" t="n">
        <v>4810000</v>
      </c>
      <c r="F6226" s="30" t="n">
        <v>37.75</v>
      </c>
      <c r="G6226" s="31" t="n">
        <f aca="false">IFERROR(F6226/D6226,0)</f>
        <v>9.4375</v>
      </c>
    </row>
    <row r="6227" customFormat="false" ht="15" hidden="false" customHeight="false" outlineLevel="0" collapsed="false">
      <c r="A6227" s="28" t="n">
        <v>2026</v>
      </c>
      <c r="B6227" s="28" t="s">
        <v>65</v>
      </c>
      <c r="C6227" s="28" t="s">
        <v>44</v>
      </c>
      <c r="D6227" s="28" t="n">
        <v>77</v>
      </c>
      <c r="E6227" s="29" t="n">
        <v>37064000</v>
      </c>
      <c r="F6227" s="30" t="n">
        <v>743.3</v>
      </c>
      <c r="G6227" s="31" t="n">
        <f aca="false">IFERROR(F6227/D6227,0)</f>
        <v>9.65324675324675</v>
      </c>
    </row>
    <row r="6228" customFormat="false" ht="15" hidden="false" customHeight="false" outlineLevel="0" collapsed="false">
      <c r="A6228" s="28" t="n">
        <v>2026</v>
      </c>
      <c r="B6228" s="28" t="s">
        <v>65</v>
      </c>
      <c r="C6228" s="28" t="s">
        <v>57</v>
      </c>
      <c r="D6228" s="28" t="n">
        <v>9</v>
      </c>
      <c r="E6228" s="29" t="n">
        <v>1135000</v>
      </c>
      <c r="F6228" s="30" t="n">
        <v>99.73</v>
      </c>
      <c r="G6228" s="31" t="n">
        <f aca="false">IFERROR(F6228/D6228,0)</f>
        <v>11.0811111111111</v>
      </c>
    </row>
    <row r="6229" customFormat="false" ht="15" hidden="false" customHeight="false" outlineLevel="0" collapsed="false">
      <c r="A6229" s="28" t="n">
        <v>2026</v>
      </c>
      <c r="B6229" s="28" t="s">
        <v>65</v>
      </c>
      <c r="C6229" s="28" t="s">
        <v>47</v>
      </c>
      <c r="D6229" s="28" t="n">
        <v>35</v>
      </c>
      <c r="E6229" s="29" t="n">
        <v>20419600</v>
      </c>
      <c r="F6229" s="30" t="n">
        <v>325.02</v>
      </c>
      <c r="G6229" s="31" t="n">
        <f aca="false">IFERROR(F6229/D6229,0)</f>
        <v>9.28628571428571</v>
      </c>
    </row>
    <row r="6230" customFormat="false" ht="15" hidden="false" customHeight="false" outlineLevel="0" collapsed="false">
      <c r="A6230" s="28" t="n">
        <v>2026</v>
      </c>
      <c r="B6230" s="28" t="s">
        <v>65</v>
      </c>
      <c r="C6230" s="28" t="s">
        <v>46</v>
      </c>
      <c r="D6230" s="28" t="n">
        <v>61</v>
      </c>
      <c r="E6230" s="29" t="n">
        <v>30118000</v>
      </c>
      <c r="F6230" s="30" t="n">
        <v>564.42</v>
      </c>
      <c r="G6230" s="31" t="n">
        <f aca="false">IFERROR(F6230/D6230,0)</f>
        <v>9.2527868852459</v>
      </c>
    </row>
    <row r="6231" customFormat="false" ht="15" hidden="false" customHeight="false" outlineLevel="0" collapsed="false">
      <c r="A6231" s="28" t="n">
        <v>2026</v>
      </c>
      <c r="B6231" s="28" t="s">
        <v>65</v>
      </c>
      <c r="C6231" s="28" t="s">
        <v>48</v>
      </c>
      <c r="D6231" s="28" t="n">
        <v>103</v>
      </c>
      <c r="E6231" s="29" t="n">
        <v>40604200</v>
      </c>
      <c r="F6231" s="30" t="n">
        <v>1036.09</v>
      </c>
      <c r="G6231" s="31" t="n">
        <f aca="false">IFERROR(F6231/D6231,0)</f>
        <v>10.0591262135922</v>
      </c>
    </row>
    <row r="6232" customFormat="false" ht="15" hidden="false" customHeight="false" outlineLevel="0" collapsed="false">
      <c r="A6232" s="28" t="n">
        <v>2026</v>
      </c>
      <c r="B6232" s="28" t="s">
        <v>65</v>
      </c>
      <c r="C6232" s="28" t="s">
        <v>53</v>
      </c>
      <c r="D6232" s="28" t="n">
        <v>8</v>
      </c>
      <c r="E6232" s="29" t="n">
        <v>4334200</v>
      </c>
      <c r="F6232" s="30" t="n">
        <v>85.74</v>
      </c>
      <c r="G6232" s="31" t="n">
        <f aca="false">IFERROR(F6232/D6232,0)</f>
        <v>10.7175</v>
      </c>
    </row>
    <row r="6233" customFormat="false" ht="15" hidden="false" customHeight="false" outlineLevel="0" collapsed="false">
      <c r="A6233" s="28" t="n">
        <v>2026</v>
      </c>
      <c r="B6233" s="28" t="s">
        <v>65</v>
      </c>
      <c r="C6233" s="28" t="s">
        <v>43</v>
      </c>
      <c r="D6233" s="28" t="n">
        <v>64</v>
      </c>
      <c r="E6233" s="29" t="n">
        <v>30551500</v>
      </c>
      <c r="F6233" s="30" t="n">
        <v>631.25</v>
      </c>
      <c r="G6233" s="31" t="n">
        <f aca="false">IFERROR(F6233/D6233,0)</f>
        <v>9.86328125</v>
      </c>
    </row>
    <row r="6234" customFormat="false" ht="15" hidden="false" customHeight="false" outlineLevel="0" collapsed="false">
      <c r="A6234" s="28" t="n">
        <v>2026</v>
      </c>
      <c r="B6234" s="28" t="s">
        <v>65</v>
      </c>
      <c r="C6234" s="28" t="s">
        <v>52</v>
      </c>
      <c r="D6234" s="28" t="n">
        <v>25</v>
      </c>
      <c r="E6234" s="29" t="n">
        <v>8678100</v>
      </c>
      <c r="F6234" s="30" t="n">
        <v>246.17</v>
      </c>
      <c r="G6234" s="31" t="n">
        <f aca="false">IFERROR(F6234/D6234,0)</f>
        <v>9.8468</v>
      </c>
    </row>
    <row r="6235" customFormat="false" ht="15" hidden="false" customHeight="false" outlineLevel="0" collapsed="false">
      <c r="A6235" s="28" t="n">
        <v>2026</v>
      </c>
      <c r="B6235" s="28" t="s">
        <v>65</v>
      </c>
      <c r="C6235" s="28" t="s">
        <v>49</v>
      </c>
      <c r="D6235" s="28" t="n">
        <v>11</v>
      </c>
      <c r="E6235" s="29" t="n">
        <v>3463000</v>
      </c>
      <c r="F6235" s="30" t="n">
        <v>107.25</v>
      </c>
      <c r="G6235" s="31" t="n">
        <f aca="false">IFERROR(F6235/D6235,0)</f>
        <v>9.75</v>
      </c>
    </row>
    <row r="6236" customFormat="false" ht="15" hidden="false" customHeight="false" outlineLevel="0" collapsed="false">
      <c r="A6236" s="28" t="n">
        <v>2026</v>
      </c>
      <c r="B6236" s="28" t="s">
        <v>124</v>
      </c>
      <c r="C6236" s="28" t="s">
        <v>42</v>
      </c>
      <c r="D6236" s="28" t="n">
        <v>2</v>
      </c>
      <c r="E6236" s="29" t="n">
        <v>367000</v>
      </c>
      <c r="F6236" s="30" t="n">
        <v>15.5</v>
      </c>
      <c r="G6236" s="31" t="n">
        <f aca="false">IFERROR(F6236/D6236,0)</f>
        <v>7.75</v>
      </c>
    </row>
    <row r="6237" customFormat="false" ht="15" hidden="false" customHeight="false" outlineLevel="0" collapsed="false">
      <c r="A6237" s="28" t="n">
        <v>2026</v>
      </c>
      <c r="B6237" s="28" t="s">
        <v>124</v>
      </c>
      <c r="C6237" s="28" t="s">
        <v>44</v>
      </c>
      <c r="D6237" s="28" t="n">
        <v>1</v>
      </c>
      <c r="E6237" s="29" t="n">
        <v>5000000</v>
      </c>
      <c r="F6237" s="30" t="n">
        <v>8.75</v>
      </c>
      <c r="G6237" s="31" t="n">
        <f aca="false">IFERROR(F6237/D6237,0)</f>
        <v>8.75</v>
      </c>
    </row>
    <row r="6238" customFormat="false" ht="15" hidden="false" customHeight="false" outlineLevel="0" collapsed="false">
      <c r="A6238" s="28" t="n">
        <v>2026</v>
      </c>
      <c r="B6238" s="28" t="s">
        <v>124</v>
      </c>
      <c r="C6238" s="28" t="s">
        <v>47</v>
      </c>
      <c r="D6238" s="28" t="n">
        <v>2</v>
      </c>
      <c r="E6238" s="29" t="n">
        <v>285000</v>
      </c>
      <c r="F6238" s="30" t="n">
        <v>23</v>
      </c>
      <c r="G6238" s="31" t="n">
        <f aca="false">IFERROR(F6238/D6238,0)</f>
        <v>11.5</v>
      </c>
    </row>
    <row r="6239" customFormat="false" ht="15" hidden="false" customHeight="false" outlineLevel="0" collapsed="false">
      <c r="A6239" s="28" t="n">
        <v>2026</v>
      </c>
      <c r="B6239" s="28" t="s">
        <v>124</v>
      </c>
      <c r="C6239" s="28" t="s">
        <v>52</v>
      </c>
      <c r="D6239" s="28" t="n">
        <v>2</v>
      </c>
      <c r="E6239" s="29" t="n">
        <v>150000</v>
      </c>
      <c r="F6239" s="30" t="n">
        <v>19.75</v>
      </c>
      <c r="G6239" s="31" t="n">
        <f aca="false">IFERROR(F6239/D6239,0)</f>
        <v>9.875</v>
      </c>
    </row>
    <row r="6240" customFormat="false" ht="15" hidden="false" customHeight="false" outlineLevel="0" collapsed="false">
      <c r="A6240" s="28" t="n">
        <v>2026</v>
      </c>
      <c r="B6240" s="28" t="s">
        <v>126</v>
      </c>
      <c r="C6240" s="28" t="s">
        <v>42</v>
      </c>
      <c r="D6240" s="28" t="n">
        <v>7</v>
      </c>
      <c r="E6240" s="29" t="n">
        <v>783500</v>
      </c>
      <c r="F6240" s="30" t="n">
        <v>64.5</v>
      </c>
      <c r="G6240" s="31" t="n">
        <f aca="false">IFERROR(F6240/D6240,0)</f>
        <v>9.21428571428571</v>
      </c>
    </row>
    <row r="6241" customFormat="false" ht="15" hidden="false" customHeight="false" outlineLevel="0" collapsed="false">
      <c r="A6241" s="28" t="n">
        <v>2026</v>
      </c>
      <c r="B6241" s="28" t="s">
        <v>126</v>
      </c>
      <c r="C6241" s="28" t="s">
        <v>50</v>
      </c>
      <c r="D6241" s="28" t="n">
        <v>13</v>
      </c>
      <c r="E6241" s="29" t="n">
        <v>929000</v>
      </c>
      <c r="F6241" s="30" t="n">
        <v>135.49</v>
      </c>
      <c r="G6241" s="31" t="n">
        <f aca="false">IFERROR(F6241/D6241,0)</f>
        <v>10.4223076923077</v>
      </c>
    </row>
    <row r="6242" customFormat="false" ht="15" hidden="false" customHeight="false" outlineLevel="0" collapsed="false">
      <c r="A6242" s="28" t="n">
        <v>2026</v>
      </c>
      <c r="B6242" s="28" t="s">
        <v>126</v>
      </c>
      <c r="C6242" s="28" t="s">
        <v>55</v>
      </c>
      <c r="D6242" s="28" t="n">
        <v>1</v>
      </c>
      <c r="E6242" s="29" t="n">
        <v>35000</v>
      </c>
      <c r="F6242" s="30" t="n">
        <v>11.5</v>
      </c>
      <c r="G6242" s="31" t="n">
        <f aca="false">IFERROR(F6242/D6242,0)</f>
        <v>11.5</v>
      </c>
    </row>
    <row r="6243" customFormat="false" ht="15" hidden="false" customHeight="false" outlineLevel="0" collapsed="false">
      <c r="A6243" s="28" t="n">
        <v>2026</v>
      </c>
      <c r="B6243" s="28" t="s">
        <v>126</v>
      </c>
      <c r="C6243" s="28" t="s">
        <v>51</v>
      </c>
      <c r="D6243" s="28" t="n">
        <v>5</v>
      </c>
      <c r="E6243" s="29" t="n">
        <v>361400</v>
      </c>
      <c r="F6243" s="30" t="n">
        <v>40.81</v>
      </c>
      <c r="G6243" s="31" t="n">
        <f aca="false">IFERROR(F6243/D6243,0)</f>
        <v>8.162</v>
      </c>
    </row>
    <row r="6244" customFormat="false" ht="15" hidden="false" customHeight="false" outlineLevel="0" collapsed="false">
      <c r="A6244" s="28" t="n">
        <v>2026</v>
      </c>
      <c r="B6244" s="28" t="s">
        <v>126</v>
      </c>
      <c r="C6244" s="28" t="s">
        <v>45</v>
      </c>
      <c r="D6244" s="28" t="n">
        <v>22</v>
      </c>
      <c r="E6244" s="29" t="n">
        <v>2457800</v>
      </c>
      <c r="F6244" s="30" t="n">
        <v>232.37</v>
      </c>
      <c r="G6244" s="31" t="n">
        <f aca="false">IFERROR(F6244/D6244,0)</f>
        <v>10.5622727272727</v>
      </c>
    </row>
    <row r="6245" customFormat="false" ht="15" hidden="false" customHeight="false" outlineLevel="0" collapsed="false">
      <c r="A6245" s="28" t="n">
        <v>2026</v>
      </c>
      <c r="B6245" s="28" t="s">
        <v>126</v>
      </c>
      <c r="C6245" s="28" t="s">
        <v>44</v>
      </c>
      <c r="D6245" s="28" t="n">
        <v>6</v>
      </c>
      <c r="E6245" s="29" t="n">
        <v>2577600</v>
      </c>
      <c r="F6245" s="30" t="n">
        <v>57.5</v>
      </c>
      <c r="G6245" s="31" t="n">
        <f aca="false">IFERROR(F6245/D6245,0)</f>
        <v>9.58333333333333</v>
      </c>
    </row>
    <row r="6246" customFormat="false" ht="15" hidden="false" customHeight="false" outlineLevel="0" collapsed="false">
      <c r="A6246" s="28" t="n">
        <v>2026</v>
      </c>
      <c r="B6246" s="28" t="s">
        <v>126</v>
      </c>
      <c r="C6246" s="28" t="s">
        <v>57</v>
      </c>
      <c r="D6246" s="28" t="n">
        <v>2</v>
      </c>
      <c r="E6246" s="29" t="n">
        <v>60000</v>
      </c>
      <c r="F6246" s="30" t="n">
        <v>16.5</v>
      </c>
      <c r="G6246" s="31" t="n">
        <f aca="false">IFERROR(F6246/D6246,0)</f>
        <v>8.25</v>
      </c>
    </row>
    <row r="6247" customFormat="false" ht="15" hidden="false" customHeight="false" outlineLevel="0" collapsed="false">
      <c r="A6247" s="28" t="n">
        <v>2026</v>
      </c>
      <c r="B6247" s="28" t="s">
        <v>126</v>
      </c>
      <c r="C6247" s="28" t="s">
        <v>47</v>
      </c>
      <c r="D6247" s="28" t="n">
        <v>14</v>
      </c>
      <c r="E6247" s="29" t="n">
        <v>3534800</v>
      </c>
      <c r="F6247" s="30" t="n">
        <v>110.49</v>
      </c>
      <c r="G6247" s="31" t="n">
        <f aca="false">IFERROR(F6247/D6247,0)</f>
        <v>7.89214285714286</v>
      </c>
    </row>
    <row r="6248" customFormat="false" ht="15" hidden="false" customHeight="false" outlineLevel="0" collapsed="false">
      <c r="A6248" s="28" t="n">
        <v>2026</v>
      </c>
      <c r="B6248" s="28" t="s">
        <v>126</v>
      </c>
      <c r="C6248" s="28" t="s">
        <v>46</v>
      </c>
      <c r="D6248" s="28" t="n">
        <v>5</v>
      </c>
      <c r="E6248" s="29" t="n">
        <v>4895500</v>
      </c>
      <c r="F6248" s="30" t="n">
        <v>42.51</v>
      </c>
      <c r="G6248" s="31" t="n">
        <f aca="false">IFERROR(F6248/D6248,0)</f>
        <v>8.502</v>
      </c>
    </row>
    <row r="6249" customFormat="false" ht="15" hidden="false" customHeight="false" outlineLevel="0" collapsed="false">
      <c r="A6249" s="28" t="n">
        <v>2026</v>
      </c>
      <c r="B6249" s="28" t="s">
        <v>126</v>
      </c>
      <c r="C6249" s="28" t="s">
        <v>48</v>
      </c>
      <c r="D6249" s="28" t="n">
        <v>7</v>
      </c>
      <c r="E6249" s="29" t="n">
        <v>645000</v>
      </c>
      <c r="F6249" s="30" t="n">
        <v>74.46</v>
      </c>
      <c r="G6249" s="31" t="n">
        <f aca="false">IFERROR(F6249/D6249,0)</f>
        <v>10.6371428571429</v>
      </c>
    </row>
    <row r="6250" customFormat="false" ht="15" hidden="false" customHeight="false" outlineLevel="0" collapsed="false">
      <c r="A6250" s="28" t="n">
        <v>2026</v>
      </c>
      <c r="B6250" s="28" t="s">
        <v>126</v>
      </c>
      <c r="C6250" s="28" t="s">
        <v>53</v>
      </c>
      <c r="D6250" s="28" t="n">
        <v>6</v>
      </c>
      <c r="E6250" s="29" t="n">
        <v>2366700</v>
      </c>
      <c r="F6250" s="30" t="n">
        <v>51.72</v>
      </c>
      <c r="G6250" s="31" t="n">
        <f aca="false">IFERROR(F6250/D6250,0)</f>
        <v>8.62</v>
      </c>
    </row>
    <row r="6251" customFormat="false" ht="15" hidden="false" customHeight="false" outlineLevel="0" collapsed="false">
      <c r="A6251" s="28" t="n">
        <v>2026</v>
      </c>
      <c r="B6251" s="28" t="s">
        <v>126</v>
      </c>
      <c r="C6251" s="28" t="s">
        <v>43</v>
      </c>
      <c r="D6251" s="28" t="n">
        <v>9</v>
      </c>
      <c r="E6251" s="29" t="n">
        <v>3515000</v>
      </c>
      <c r="F6251" s="30" t="n">
        <v>94.7</v>
      </c>
      <c r="G6251" s="31" t="n">
        <f aca="false">IFERROR(F6251/D6251,0)</f>
        <v>10.5222222222222</v>
      </c>
    </row>
    <row r="6252" customFormat="false" ht="15" hidden="false" customHeight="false" outlineLevel="0" collapsed="false">
      <c r="A6252" s="28" t="n">
        <v>2026</v>
      </c>
      <c r="B6252" s="28" t="s">
        <v>126</v>
      </c>
      <c r="C6252" s="28" t="s">
        <v>52</v>
      </c>
      <c r="D6252" s="28" t="n">
        <v>3</v>
      </c>
      <c r="E6252" s="29" t="n">
        <v>200000</v>
      </c>
      <c r="F6252" s="30" t="n">
        <v>30.49</v>
      </c>
      <c r="G6252" s="31" t="n">
        <f aca="false">IFERROR(F6252/D6252,0)</f>
        <v>10.1633333333333</v>
      </c>
    </row>
    <row r="6253" customFormat="false" ht="15" hidden="false" customHeight="false" outlineLevel="0" collapsed="false">
      <c r="A6253" s="28" t="n">
        <v>2026</v>
      </c>
      <c r="B6253" s="28" t="s">
        <v>126</v>
      </c>
      <c r="C6253" s="28" t="s">
        <v>49</v>
      </c>
      <c r="D6253" s="28" t="n">
        <v>4</v>
      </c>
      <c r="E6253" s="29" t="n">
        <v>4805000</v>
      </c>
      <c r="F6253" s="30" t="n">
        <v>34.75</v>
      </c>
      <c r="G6253" s="31" t="n">
        <f aca="false">IFERROR(F6253/D6253,0)</f>
        <v>8.6875</v>
      </c>
    </row>
    <row r="6254" customFormat="false" ht="15" hidden="false" customHeight="false" outlineLevel="0" collapsed="false">
      <c r="A6254" s="28" t="n">
        <v>2026</v>
      </c>
      <c r="B6254" s="28" t="s">
        <v>89</v>
      </c>
      <c r="C6254" s="28" t="s">
        <v>42</v>
      </c>
      <c r="D6254" s="28" t="n">
        <v>181</v>
      </c>
      <c r="E6254" s="29" t="n">
        <v>98208700</v>
      </c>
      <c r="F6254" s="30" t="n">
        <v>1695.2</v>
      </c>
      <c r="G6254" s="31" t="n">
        <f aca="false">IFERROR(F6254/D6254,0)</f>
        <v>9.36574585635359</v>
      </c>
    </row>
    <row r="6255" customFormat="false" ht="15" hidden="false" customHeight="false" outlineLevel="0" collapsed="false">
      <c r="A6255" s="28" t="n">
        <v>2026</v>
      </c>
      <c r="B6255" s="28" t="s">
        <v>89</v>
      </c>
      <c r="C6255" s="28" t="s">
        <v>50</v>
      </c>
      <c r="D6255" s="28" t="n">
        <v>73</v>
      </c>
      <c r="E6255" s="29" t="n">
        <v>25330500</v>
      </c>
      <c r="F6255" s="30" t="n">
        <v>706.675</v>
      </c>
      <c r="G6255" s="31" t="n">
        <f aca="false">IFERROR(F6255/D6255,0)</f>
        <v>9.68047945205479</v>
      </c>
    </row>
    <row r="6256" customFormat="false" ht="15" hidden="false" customHeight="false" outlineLevel="0" collapsed="false">
      <c r="A6256" s="28" t="n">
        <v>2026</v>
      </c>
      <c r="B6256" s="28" t="s">
        <v>89</v>
      </c>
      <c r="C6256" s="28" t="s">
        <v>55</v>
      </c>
      <c r="D6256" s="28" t="n">
        <v>13</v>
      </c>
      <c r="E6256" s="29" t="n">
        <v>2517500</v>
      </c>
      <c r="F6256" s="30" t="n">
        <v>138.115</v>
      </c>
      <c r="G6256" s="31" t="n">
        <f aca="false">IFERROR(F6256/D6256,0)</f>
        <v>10.6242307692308</v>
      </c>
    </row>
    <row r="6257" customFormat="false" ht="15" hidden="false" customHeight="false" outlineLevel="0" collapsed="false">
      <c r="A6257" s="28" t="n">
        <v>2026</v>
      </c>
      <c r="B6257" s="28" t="s">
        <v>89</v>
      </c>
      <c r="C6257" s="28" t="s">
        <v>51</v>
      </c>
      <c r="D6257" s="28" t="n">
        <v>62</v>
      </c>
      <c r="E6257" s="29" t="n">
        <v>45872300</v>
      </c>
      <c r="F6257" s="30" t="n">
        <v>588.04</v>
      </c>
      <c r="G6257" s="31" t="n">
        <f aca="false">IFERROR(F6257/D6257,0)</f>
        <v>9.48451612903226</v>
      </c>
    </row>
    <row r="6258" customFormat="false" ht="15" hidden="false" customHeight="false" outlineLevel="0" collapsed="false">
      <c r="A6258" s="28" t="n">
        <v>2026</v>
      </c>
      <c r="B6258" s="28" t="s">
        <v>89</v>
      </c>
      <c r="C6258" s="28" t="s">
        <v>45</v>
      </c>
      <c r="D6258" s="28" t="n">
        <v>182</v>
      </c>
      <c r="E6258" s="29" t="n">
        <v>73239200</v>
      </c>
      <c r="F6258" s="30" t="n">
        <v>1810.93</v>
      </c>
      <c r="G6258" s="31" t="n">
        <f aca="false">IFERROR(F6258/D6258,0)</f>
        <v>9.95016483516484</v>
      </c>
    </row>
    <row r="6259" customFormat="false" ht="15" hidden="false" customHeight="false" outlineLevel="0" collapsed="false">
      <c r="A6259" s="28" t="n">
        <v>2026</v>
      </c>
      <c r="B6259" s="28" t="s">
        <v>89</v>
      </c>
      <c r="C6259" s="28" t="s">
        <v>56</v>
      </c>
      <c r="D6259" s="28" t="n">
        <v>28</v>
      </c>
      <c r="E6259" s="29" t="n">
        <v>8234400</v>
      </c>
      <c r="F6259" s="30" t="n">
        <v>260.95</v>
      </c>
      <c r="G6259" s="31" t="n">
        <f aca="false">IFERROR(F6259/D6259,0)</f>
        <v>9.31964285714286</v>
      </c>
    </row>
    <row r="6260" customFormat="false" ht="15" hidden="false" customHeight="false" outlineLevel="0" collapsed="false">
      <c r="A6260" s="28" t="n">
        <v>2026</v>
      </c>
      <c r="B6260" s="28" t="s">
        <v>89</v>
      </c>
      <c r="C6260" s="28" t="s">
        <v>54</v>
      </c>
      <c r="D6260" s="28" t="n">
        <v>9</v>
      </c>
      <c r="E6260" s="29" t="n">
        <v>7851700</v>
      </c>
      <c r="F6260" s="30" t="n">
        <v>85.05</v>
      </c>
      <c r="G6260" s="31" t="n">
        <f aca="false">IFERROR(F6260/D6260,0)</f>
        <v>9.45</v>
      </c>
    </row>
    <row r="6261" customFormat="false" ht="15" hidden="false" customHeight="false" outlineLevel="0" collapsed="false">
      <c r="A6261" s="28" t="n">
        <v>2026</v>
      </c>
      <c r="B6261" s="28" t="s">
        <v>89</v>
      </c>
      <c r="C6261" s="28" t="s">
        <v>44</v>
      </c>
      <c r="D6261" s="28" t="n">
        <v>123</v>
      </c>
      <c r="E6261" s="29" t="n">
        <v>75769300</v>
      </c>
      <c r="F6261" s="30" t="n">
        <v>1177.03</v>
      </c>
      <c r="G6261" s="31" t="n">
        <f aca="false">IFERROR(F6261/D6261,0)</f>
        <v>9.56934959349593</v>
      </c>
    </row>
    <row r="6262" customFormat="false" ht="15" hidden="false" customHeight="false" outlineLevel="0" collapsed="false">
      <c r="A6262" s="28" t="n">
        <v>2026</v>
      </c>
      <c r="B6262" s="28" t="s">
        <v>89</v>
      </c>
      <c r="C6262" s="28" t="s">
        <v>57</v>
      </c>
      <c r="D6262" s="28" t="n">
        <v>7</v>
      </c>
      <c r="E6262" s="29" t="n">
        <v>4444700</v>
      </c>
      <c r="F6262" s="30" t="n">
        <v>64.24</v>
      </c>
      <c r="G6262" s="31" t="n">
        <f aca="false">IFERROR(F6262/D6262,0)</f>
        <v>9.17714285714286</v>
      </c>
    </row>
    <row r="6263" customFormat="false" ht="15" hidden="false" customHeight="false" outlineLevel="0" collapsed="false">
      <c r="A6263" s="28" t="n">
        <v>2026</v>
      </c>
      <c r="B6263" s="28" t="s">
        <v>89</v>
      </c>
      <c r="C6263" s="28" t="s">
        <v>47</v>
      </c>
      <c r="D6263" s="28" t="n">
        <v>57</v>
      </c>
      <c r="E6263" s="29" t="n">
        <v>29654300</v>
      </c>
      <c r="F6263" s="30" t="n">
        <v>526.572</v>
      </c>
      <c r="G6263" s="31" t="n">
        <f aca="false">IFERROR(F6263/D6263,0)</f>
        <v>9.2381052631579</v>
      </c>
    </row>
    <row r="6264" customFormat="false" ht="15" hidden="false" customHeight="false" outlineLevel="0" collapsed="false">
      <c r="A6264" s="28" t="n">
        <v>2026</v>
      </c>
      <c r="B6264" s="28" t="s">
        <v>89</v>
      </c>
      <c r="C6264" s="28" t="s">
        <v>46</v>
      </c>
      <c r="D6264" s="28" t="n">
        <v>109</v>
      </c>
      <c r="E6264" s="29" t="n">
        <v>45907000</v>
      </c>
      <c r="F6264" s="30" t="n">
        <v>1048.215</v>
      </c>
      <c r="G6264" s="31" t="n">
        <f aca="false">IFERROR(F6264/D6264,0)</f>
        <v>9.61665137614679</v>
      </c>
    </row>
    <row r="6265" customFormat="false" ht="15" hidden="false" customHeight="false" outlineLevel="0" collapsed="false">
      <c r="A6265" s="28" t="n">
        <v>2026</v>
      </c>
      <c r="B6265" s="28" t="s">
        <v>89</v>
      </c>
      <c r="C6265" s="28" t="s">
        <v>48</v>
      </c>
      <c r="D6265" s="28" t="n">
        <v>94</v>
      </c>
      <c r="E6265" s="29" t="n">
        <v>34463000</v>
      </c>
      <c r="F6265" s="30" t="n">
        <v>940.4</v>
      </c>
      <c r="G6265" s="31" t="n">
        <f aca="false">IFERROR(F6265/D6265,0)</f>
        <v>10.0042553191489</v>
      </c>
    </row>
    <row r="6266" customFormat="false" ht="15" hidden="false" customHeight="false" outlineLevel="0" collapsed="false">
      <c r="A6266" s="28" t="n">
        <v>2026</v>
      </c>
      <c r="B6266" s="28" t="s">
        <v>89</v>
      </c>
      <c r="C6266" s="28" t="s">
        <v>61</v>
      </c>
      <c r="D6266" s="28" t="n">
        <v>1</v>
      </c>
      <c r="E6266" s="29" t="n">
        <v>30000</v>
      </c>
      <c r="F6266" s="30" t="n">
        <v>11.75</v>
      </c>
      <c r="G6266" s="31" t="n">
        <f aca="false">IFERROR(F6266/D6266,0)</f>
        <v>11.75</v>
      </c>
    </row>
    <row r="6267" customFormat="false" ht="15" hidden="false" customHeight="false" outlineLevel="0" collapsed="false">
      <c r="A6267" s="28" t="n">
        <v>2026</v>
      </c>
      <c r="B6267" s="28" t="s">
        <v>89</v>
      </c>
      <c r="C6267" s="28" t="s">
        <v>53</v>
      </c>
      <c r="D6267" s="28" t="n">
        <v>22</v>
      </c>
      <c r="E6267" s="29" t="n">
        <v>6179600</v>
      </c>
      <c r="F6267" s="30" t="n">
        <v>212.18</v>
      </c>
      <c r="G6267" s="31" t="n">
        <f aca="false">IFERROR(F6267/D6267,0)</f>
        <v>9.64454545454546</v>
      </c>
    </row>
    <row r="6268" customFormat="false" ht="15" hidden="false" customHeight="false" outlineLevel="0" collapsed="false">
      <c r="A6268" s="28" t="n">
        <v>2026</v>
      </c>
      <c r="B6268" s="28" t="s">
        <v>89</v>
      </c>
      <c r="C6268" s="28" t="s">
        <v>43</v>
      </c>
      <c r="D6268" s="28" t="n">
        <v>154</v>
      </c>
      <c r="E6268" s="29" t="n">
        <v>155035800</v>
      </c>
      <c r="F6268" s="30" t="n">
        <v>1416.73</v>
      </c>
      <c r="G6268" s="31" t="n">
        <f aca="false">IFERROR(F6268/D6268,0)</f>
        <v>9.19954545454545</v>
      </c>
    </row>
    <row r="6269" customFormat="false" ht="15" hidden="false" customHeight="false" outlineLevel="0" collapsed="false">
      <c r="A6269" s="28" t="n">
        <v>2026</v>
      </c>
      <c r="B6269" s="28" t="s">
        <v>89</v>
      </c>
      <c r="C6269" s="28" t="s">
        <v>52</v>
      </c>
      <c r="D6269" s="28" t="n">
        <v>45</v>
      </c>
      <c r="E6269" s="29" t="n">
        <v>17642300</v>
      </c>
      <c r="F6269" s="30" t="n">
        <v>444.005</v>
      </c>
      <c r="G6269" s="31" t="n">
        <f aca="false">IFERROR(F6269/D6269,0)</f>
        <v>9.86677777777778</v>
      </c>
    </row>
    <row r="6270" customFormat="false" ht="15" hidden="false" customHeight="false" outlineLevel="0" collapsed="false">
      <c r="A6270" s="28" t="n">
        <v>2026</v>
      </c>
      <c r="B6270" s="28" t="s">
        <v>89</v>
      </c>
      <c r="C6270" s="28" t="s">
        <v>60</v>
      </c>
      <c r="D6270" s="28" t="n">
        <v>2</v>
      </c>
      <c r="E6270" s="29" t="n">
        <v>150000</v>
      </c>
      <c r="F6270" s="30" t="n">
        <v>19.5</v>
      </c>
      <c r="G6270" s="31" t="n">
        <f aca="false">IFERROR(F6270/D6270,0)</f>
        <v>9.75</v>
      </c>
    </row>
    <row r="6271" customFormat="false" ht="15" hidden="false" customHeight="false" outlineLevel="0" collapsed="false">
      <c r="A6271" s="28" t="n">
        <v>2026</v>
      </c>
      <c r="B6271" s="28" t="s">
        <v>89</v>
      </c>
      <c r="C6271" s="28" t="s">
        <v>49</v>
      </c>
      <c r="D6271" s="28" t="n">
        <v>45</v>
      </c>
      <c r="E6271" s="29" t="n">
        <v>26515100</v>
      </c>
      <c r="F6271" s="30" t="n">
        <v>417.08</v>
      </c>
      <c r="G6271" s="31" t="n">
        <f aca="false">IFERROR(F6271/D6271,0)</f>
        <v>9.26844444444444</v>
      </c>
    </row>
    <row r="6272" customFormat="false" ht="15" hidden="false" customHeight="false" outlineLevel="0" collapsed="false">
      <c r="A6272" s="28" t="n">
        <v>2026</v>
      </c>
      <c r="B6272" s="28" t="s">
        <v>99</v>
      </c>
      <c r="C6272" s="28" t="s">
        <v>42</v>
      </c>
      <c r="D6272" s="28" t="n">
        <v>64</v>
      </c>
      <c r="E6272" s="29" t="n">
        <v>46883000</v>
      </c>
      <c r="F6272" s="30" t="n">
        <v>535.775</v>
      </c>
      <c r="G6272" s="31" t="n">
        <f aca="false">IFERROR(F6272/D6272,0)</f>
        <v>8.371484375</v>
      </c>
    </row>
    <row r="6273" customFormat="false" ht="15" hidden="false" customHeight="false" outlineLevel="0" collapsed="false">
      <c r="A6273" s="28" t="n">
        <v>2026</v>
      </c>
      <c r="B6273" s="28" t="s">
        <v>99</v>
      </c>
      <c r="C6273" s="28" t="s">
        <v>50</v>
      </c>
      <c r="D6273" s="28" t="n">
        <v>35</v>
      </c>
      <c r="E6273" s="29" t="n">
        <v>15440700</v>
      </c>
      <c r="F6273" s="30" t="n">
        <v>321.96</v>
      </c>
      <c r="G6273" s="31" t="n">
        <f aca="false">IFERROR(F6273/D6273,0)</f>
        <v>9.19885714285714</v>
      </c>
    </row>
    <row r="6274" customFormat="false" ht="15" hidden="false" customHeight="false" outlineLevel="0" collapsed="false">
      <c r="A6274" s="28" t="n">
        <v>2026</v>
      </c>
      <c r="B6274" s="28" t="s">
        <v>99</v>
      </c>
      <c r="C6274" s="28" t="s">
        <v>55</v>
      </c>
      <c r="D6274" s="28" t="n">
        <v>4</v>
      </c>
      <c r="E6274" s="29" t="n">
        <v>5648000</v>
      </c>
      <c r="F6274" s="30" t="n">
        <v>32</v>
      </c>
      <c r="G6274" s="31" t="n">
        <f aca="false">IFERROR(F6274/D6274,0)</f>
        <v>8</v>
      </c>
    </row>
    <row r="6275" customFormat="false" ht="15" hidden="false" customHeight="false" outlineLevel="0" collapsed="false">
      <c r="A6275" s="28" t="n">
        <v>2026</v>
      </c>
      <c r="B6275" s="28" t="s">
        <v>99</v>
      </c>
      <c r="C6275" s="28" t="s">
        <v>51</v>
      </c>
      <c r="D6275" s="28" t="n">
        <v>45</v>
      </c>
      <c r="E6275" s="29" t="n">
        <v>19147300</v>
      </c>
      <c r="F6275" s="30" t="n">
        <v>388.85</v>
      </c>
      <c r="G6275" s="31" t="n">
        <f aca="false">IFERROR(F6275/D6275,0)</f>
        <v>8.64111111111111</v>
      </c>
    </row>
    <row r="6276" customFormat="false" ht="15" hidden="false" customHeight="false" outlineLevel="0" collapsed="false">
      <c r="A6276" s="28" t="n">
        <v>2026</v>
      </c>
      <c r="B6276" s="28" t="s">
        <v>99</v>
      </c>
      <c r="C6276" s="28" t="s">
        <v>45</v>
      </c>
      <c r="D6276" s="28" t="n">
        <v>89</v>
      </c>
      <c r="E6276" s="29" t="n">
        <v>38888200</v>
      </c>
      <c r="F6276" s="30" t="n">
        <v>804.455</v>
      </c>
      <c r="G6276" s="31" t="n">
        <f aca="false">IFERROR(F6276/D6276,0)</f>
        <v>9.0388202247191</v>
      </c>
    </row>
    <row r="6277" customFormat="false" ht="15" hidden="false" customHeight="false" outlineLevel="0" collapsed="false">
      <c r="A6277" s="28" t="n">
        <v>2026</v>
      </c>
      <c r="B6277" s="28" t="s">
        <v>99</v>
      </c>
      <c r="C6277" s="28" t="s">
        <v>56</v>
      </c>
      <c r="D6277" s="28" t="n">
        <v>11</v>
      </c>
      <c r="E6277" s="29" t="n">
        <v>5512700</v>
      </c>
      <c r="F6277" s="30" t="n">
        <v>100.7</v>
      </c>
      <c r="G6277" s="31" t="n">
        <f aca="false">IFERROR(F6277/D6277,0)</f>
        <v>9.15454545454545</v>
      </c>
    </row>
    <row r="6278" customFormat="false" ht="15" hidden="false" customHeight="false" outlineLevel="0" collapsed="false">
      <c r="A6278" s="28" t="n">
        <v>2026</v>
      </c>
      <c r="B6278" s="28" t="s">
        <v>99</v>
      </c>
      <c r="C6278" s="28" t="s">
        <v>54</v>
      </c>
      <c r="D6278" s="28" t="n">
        <v>9</v>
      </c>
      <c r="E6278" s="29" t="n">
        <v>2269600</v>
      </c>
      <c r="F6278" s="30" t="n">
        <v>80.75</v>
      </c>
      <c r="G6278" s="31" t="n">
        <f aca="false">IFERROR(F6278/D6278,0)</f>
        <v>8.97222222222222</v>
      </c>
    </row>
    <row r="6279" customFormat="false" ht="15" hidden="false" customHeight="false" outlineLevel="0" collapsed="false">
      <c r="A6279" s="28" t="n">
        <v>2026</v>
      </c>
      <c r="B6279" s="28" t="s">
        <v>99</v>
      </c>
      <c r="C6279" s="28" t="s">
        <v>44</v>
      </c>
      <c r="D6279" s="28" t="n">
        <v>39</v>
      </c>
      <c r="E6279" s="29" t="n">
        <v>33810700</v>
      </c>
      <c r="F6279" s="30" t="n">
        <v>346.642</v>
      </c>
      <c r="G6279" s="31" t="n">
        <f aca="false">IFERROR(F6279/D6279,0)</f>
        <v>8.88825641025641</v>
      </c>
    </row>
    <row r="6280" customFormat="false" ht="15" hidden="false" customHeight="false" outlineLevel="0" collapsed="false">
      <c r="A6280" s="28" t="n">
        <v>2026</v>
      </c>
      <c r="B6280" s="28" t="s">
        <v>99</v>
      </c>
      <c r="C6280" s="28" t="s">
        <v>57</v>
      </c>
      <c r="D6280" s="28" t="n">
        <v>1</v>
      </c>
      <c r="E6280" s="29" t="n">
        <v>300000</v>
      </c>
      <c r="F6280" s="30" t="n">
        <v>9.5</v>
      </c>
      <c r="G6280" s="31" t="n">
        <f aca="false">IFERROR(F6280/D6280,0)</f>
        <v>9.5</v>
      </c>
    </row>
    <row r="6281" customFormat="false" ht="15" hidden="false" customHeight="false" outlineLevel="0" collapsed="false">
      <c r="A6281" s="28" t="n">
        <v>2026</v>
      </c>
      <c r="B6281" s="28" t="s">
        <v>99</v>
      </c>
      <c r="C6281" s="28" t="s">
        <v>59</v>
      </c>
      <c r="D6281" s="28" t="n">
        <v>3</v>
      </c>
      <c r="E6281" s="29" t="n">
        <v>4305000</v>
      </c>
      <c r="F6281" s="30" t="n">
        <v>26.5</v>
      </c>
      <c r="G6281" s="31" t="n">
        <f aca="false">IFERROR(F6281/D6281,0)</f>
        <v>8.83333333333333</v>
      </c>
    </row>
    <row r="6282" customFormat="false" ht="15" hidden="false" customHeight="false" outlineLevel="0" collapsed="false">
      <c r="A6282" s="28" t="n">
        <v>2026</v>
      </c>
      <c r="B6282" s="28" t="s">
        <v>99</v>
      </c>
      <c r="C6282" s="28" t="s">
        <v>47</v>
      </c>
      <c r="D6282" s="28" t="n">
        <v>59</v>
      </c>
      <c r="E6282" s="29" t="n">
        <v>51844300</v>
      </c>
      <c r="F6282" s="30" t="n">
        <v>495.86</v>
      </c>
      <c r="G6282" s="31" t="n">
        <f aca="false">IFERROR(F6282/D6282,0)</f>
        <v>8.40440677966102</v>
      </c>
    </row>
    <row r="6283" customFormat="false" ht="15" hidden="false" customHeight="false" outlineLevel="0" collapsed="false">
      <c r="A6283" s="28" t="n">
        <v>2026</v>
      </c>
      <c r="B6283" s="28" t="s">
        <v>99</v>
      </c>
      <c r="C6283" s="28" t="s">
        <v>46</v>
      </c>
      <c r="D6283" s="28" t="n">
        <v>64</v>
      </c>
      <c r="E6283" s="29" t="n">
        <v>27853718</v>
      </c>
      <c r="F6283" s="30" t="n">
        <v>569.665</v>
      </c>
      <c r="G6283" s="31" t="n">
        <f aca="false">IFERROR(F6283/D6283,0)</f>
        <v>8.901015625</v>
      </c>
    </row>
    <row r="6284" customFormat="false" ht="15" hidden="false" customHeight="false" outlineLevel="0" collapsed="false">
      <c r="A6284" s="28" t="n">
        <v>2026</v>
      </c>
      <c r="B6284" s="28" t="s">
        <v>99</v>
      </c>
      <c r="C6284" s="28" t="s">
        <v>48</v>
      </c>
      <c r="D6284" s="28" t="n">
        <v>39</v>
      </c>
      <c r="E6284" s="29" t="n">
        <v>14500400</v>
      </c>
      <c r="F6284" s="30" t="n">
        <v>365.84</v>
      </c>
      <c r="G6284" s="31" t="n">
        <f aca="false">IFERROR(F6284/D6284,0)</f>
        <v>9.38051282051282</v>
      </c>
    </row>
    <row r="6285" customFormat="false" ht="15" hidden="false" customHeight="false" outlineLevel="0" collapsed="false">
      <c r="A6285" s="28" t="n">
        <v>2026</v>
      </c>
      <c r="B6285" s="28" t="s">
        <v>99</v>
      </c>
      <c r="C6285" s="28" t="s">
        <v>53</v>
      </c>
      <c r="D6285" s="28" t="n">
        <v>6</v>
      </c>
      <c r="E6285" s="29" t="n">
        <v>1399000</v>
      </c>
      <c r="F6285" s="30" t="n">
        <v>55.22</v>
      </c>
      <c r="G6285" s="31" t="n">
        <f aca="false">IFERROR(F6285/D6285,0)</f>
        <v>9.20333333333333</v>
      </c>
    </row>
    <row r="6286" customFormat="false" ht="15" hidden="false" customHeight="false" outlineLevel="0" collapsed="false">
      <c r="A6286" s="28" t="n">
        <v>2026</v>
      </c>
      <c r="B6286" s="28" t="s">
        <v>99</v>
      </c>
      <c r="C6286" s="28" t="s">
        <v>43</v>
      </c>
      <c r="D6286" s="28" t="n">
        <v>65</v>
      </c>
      <c r="E6286" s="29" t="n">
        <v>42183300</v>
      </c>
      <c r="F6286" s="30" t="n">
        <v>548.98</v>
      </c>
      <c r="G6286" s="31" t="n">
        <f aca="false">IFERROR(F6286/D6286,0)</f>
        <v>8.44584615384616</v>
      </c>
    </row>
    <row r="6287" customFormat="false" ht="15" hidden="false" customHeight="false" outlineLevel="0" collapsed="false">
      <c r="A6287" s="28" t="n">
        <v>2026</v>
      </c>
      <c r="B6287" s="28" t="s">
        <v>99</v>
      </c>
      <c r="C6287" s="28" t="s">
        <v>52</v>
      </c>
      <c r="D6287" s="28" t="n">
        <v>19</v>
      </c>
      <c r="E6287" s="29" t="n">
        <v>15893300</v>
      </c>
      <c r="F6287" s="30" t="n">
        <v>162.08</v>
      </c>
      <c r="G6287" s="31" t="n">
        <f aca="false">IFERROR(F6287/D6287,0)</f>
        <v>8.53052631578948</v>
      </c>
    </row>
    <row r="6288" customFormat="false" ht="15" hidden="false" customHeight="false" outlineLevel="0" collapsed="false">
      <c r="A6288" s="28" t="n">
        <v>2026</v>
      </c>
      <c r="B6288" s="28" t="s">
        <v>99</v>
      </c>
      <c r="C6288" s="28" t="s">
        <v>49</v>
      </c>
      <c r="D6288" s="28" t="n">
        <v>15</v>
      </c>
      <c r="E6288" s="29" t="n">
        <v>17134300</v>
      </c>
      <c r="F6288" s="30" t="n">
        <v>124.57</v>
      </c>
      <c r="G6288" s="31" t="n">
        <f aca="false">IFERROR(F6288/D6288,0)</f>
        <v>8.30466666666667</v>
      </c>
    </row>
    <row r="6289" customFormat="false" ht="15" hidden="false" customHeight="false" outlineLevel="0" collapsed="false">
      <c r="A6289" s="28" t="n">
        <v>2026</v>
      </c>
      <c r="B6289" s="28" t="s">
        <v>123</v>
      </c>
      <c r="C6289" s="28" t="s">
        <v>42</v>
      </c>
      <c r="D6289" s="28" t="n">
        <v>12</v>
      </c>
      <c r="E6289" s="29" t="n">
        <v>4271100</v>
      </c>
      <c r="F6289" s="30" t="n">
        <v>107.75</v>
      </c>
      <c r="G6289" s="31" t="n">
        <f aca="false">IFERROR(F6289/D6289,0)</f>
        <v>8.97916666666667</v>
      </c>
    </row>
    <row r="6290" customFormat="false" ht="15" hidden="false" customHeight="false" outlineLevel="0" collapsed="false">
      <c r="A6290" s="28" t="n">
        <v>2026</v>
      </c>
      <c r="B6290" s="28" t="s">
        <v>123</v>
      </c>
      <c r="C6290" s="28" t="s">
        <v>50</v>
      </c>
      <c r="D6290" s="28" t="n">
        <v>2</v>
      </c>
      <c r="E6290" s="29" t="n">
        <v>705000</v>
      </c>
      <c r="F6290" s="30" t="n">
        <v>16.75</v>
      </c>
      <c r="G6290" s="31" t="n">
        <f aca="false">IFERROR(F6290/D6290,0)</f>
        <v>8.375</v>
      </c>
    </row>
    <row r="6291" customFormat="false" ht="15" hidden="false" customHeight="false" outlineLevel="0" collapsed="false">
      <c r="A6291" s="28" t="n">
        <v>2026</v>
      </c>
      <c r="B6291" s="28" t="s">
        <v>123</v>
      </c>
      <c r="C6291" s="28" t="s">
        <v>55</v>
      </c>
      <c r="D6291" s="28" t="n">
        <v>1</v>
      </c>
      <c r="E6291" s="29" t="n">
        <v>90000</v>
      </c>
      <c r="F6291" s="30" t="n">
        <v>10.5</v>
      </c>
      <c r="G6291" s="31" t="n">
        <f aca="false">IFERROR(F6291/D6291,0)</f>
        <v>10.5</v>
      </c>
    </row>
    <row r="6292" customFormat="false" ht="15" hidden="false" customHeight="false" outlineLevel="0" collapsed="false">
      <c r="A6292" s="28" t="n">
        <v>2026</v>
      </c>
      <c r="B6292" s="28" t="s">
        <v>123</v>
      </c>
      <c r="C6292" s="28" t="s">
        <v>51</v>
      </c>
      <c r="D6292" s="28" t="n">
        <v>11</v>
      </c>
      <c r="E6292" s="29" t="n">
        <v>3007000</v>
      </c>
      <c r="F6292" s="30" t="n">
        <v>103</v>
      </c>
      <c r="G6292" s="31" t="n">
        <f aca="false">IFERROR(F6292/D6292,0)</f>
        <v>9.36363636363636</v>
      </c>
    </row>
    <row r="6293" customFormat="false" ht="15" hidden="false" customHeight="false" outlineLevel="0" collapsed="false">
      <c r="A6293" s="28" t="n">
        <v>2026</v>
      </c>
      <c r="B6293" s="28" t="s">
        <v>123</v>
      </c>
      <c r="C6293" s="28" t="s">
        <v>45</v>
      </c>
      <c r="D6293" s="28" t="n">
        <v>10</v>
      </c>
      <c r="E6293" s="29" t="n">
        <v>8308800</v>
      </c>
      <c r="F6293" s="30" t="n">
        <v>96.99</v>
      </c>
      <c r="G6293" s="31" t="n">
        <f aca="false">IFERROR(F6293/D6293,0)</f>
        <v>9.699</v>
      </c>
    </row>
    <row r="6294" customFormat="false" ht="15" hidden="false" customHeight="false" outlineLevel="0" collapsed="false">
      <c r="A6294" s="28" t="n">
        <v>2026</v>
      </c>
      <c r="B6294" s="28" t="s">
        <v>123</v>
      </c>
      <c r="C6294" s="28" t="s">
        <v>56</v>
      </c>
      <c r="D6294" s="28" t="n">
        <v>1</v>
      </c>
      <c r="E6294" s="29" t="n">
        <v>15000</v>
      </c>
      <c r="F6294" s="30" t="n">
        <v>10.5</v>
      </c>
      <c r="G6294" s="31" t="n">
        <f aca="false">IFERROR(F6294/D6294,0)</f>
        <v>10.5</v>
      </c>
    </row>
    <row r="6295" customFormat="false" ht="15" hidden="false" customHeight="false" outlineLevel="0" collapsed="false">
      <c r="A6295" s="28" t="n">
        <v>2026</v>
      </c>
      <c r="B6295" s="28" t="s">
        <v>123</v>
      </c>
      <c r="C6295" s="28" t="s">
        <v>54</v>
      </c>
      <c r="D6295" s="28" t="n">
        <v>1</v>
      </c>
      <c r="E6295" s="29" t="n">
        <v>2650000</v>
      </c>
      <c r="F6295" s="30" t="n">
        <v>7.94</v>
      </c>
      <c r="G6295" s="31" t="n">
        <f aca="false">IFERROR(F6295/D6295,0)</f>
        <v>7.94</v>
      </c>
    </row>
    <row r="6296" customFormat="false" ht="15" hidden="false" customHeight="false" outlineLevel="0" collapsed="false">
      <c r="A6296" s="28" t="n">
        <v>2026</v>
      </c>
      <c r="B6296" s="28" t="s">
        <v>123</v>
      </c>
      <c r="C6296" s="28" t="s">
        <v>44</v>
      </c>
      <c r="D6296" s="28" t="n">
        <v>11</v>
      </c>
      <c r="E6296" s="29" t="n">
        <v>2399500</v>
      </c>
      <c r="F6296" s="30" t="n">
        <v>103.49</v>
      </c>
      <c r="G6296" s="31" t="n">
        <f aca="false">IFERROR(F6296/D6296,0)</f>
        <v>9.40818181818182</v>
      </c>
    </row>
    <row r="6297" customFormat="false" ht="15" hidden="false" customHeight="false" outlineLevel="0" collapsed="false">
      <c r="A6297" s="28" t="n">
        <v>2026</v>
      </c>
      <c r="B6297" s="28" t="s">
        <v>123</v>
      </c>
      <c r="C6297" s="28" t="s">
        <v>47</v>
      </c>
      <c r="D6297" s="28" t="n">
        <v>3</v>
      </c>
      <c r="E6297" s="29" t="n">
        <v>125200</v>
      </c>
      <c r="F6297" s="30" t="n">
        <v>33.5</v>
      </c>
      <c r="G6297" s="31" t="n">
        <f aca="false">IFERROR(F6297/D6297,0)</f>
        <v>11.1666666666667</v>
      </c>
    </row>
    <row r="6298" customFormat="false" ht="15" hidden="false" customHeight="false" outlineLevel="0" collapsed="false">
      <c r="A6298" s="28" t="n">
        <v>2026</v>
      </c>
      <c r="B6298" s="28" t="s">
        <v>123</v>
      </c>
      <c r="C6298" s="28" t="s">
        <v>58</v>
      </c>
      <c r="D6298" s="28" t="n">
        <v>1</v>
      </c>
      <c r="E6298" s="29" t="n">
        <v>40000</v>
      </c>
      <c r="F6298" s="30" t="n">
        <v>7.75</v>
      </c>
      <c r="G6298" s="31" t="n">
        <f aca="false">IFERROR(F6298/D6298,0)</f>
        <v>7.75</v>
      </c>
    </row>
    <row r="6299" customFormat="false" ht="15" hidden="false" customHeight="false" outlineLevel="0" collapsed="false">
      <c r="A6299" s="28" t="n">
        <v>2026</v>
      </c>
      <c r="B6299" s="28" t="s">
        <v>123</v>
      </c>
      <c r="C6299" s="28" t="s">
        <v>46</v>
      </c>
      <c r="D6299" s="28" t="n">
        <v>8</v>
      </c>
      <c r="E6299" s="29" t="n">
        <v>2529400</v>
      </c>
      <c r="F6299" s="30" t="n">
        <v>77.24</v>
      </c>
      <c r="G6299" s="31" t="n">
        <f aca="false">IFERROR(F6299/D6299,0)</f>
        <v>9.655</v>
      </c>
    </row>
    <row r="6300" customFormat="false" ht="15" hidden="false" customHeight="false" outlineLevel="0" collapsed="false">
      <c r="A6300" s="28" t="n">
        <v>2026</v>
      </c>
      <c r="B6300" s="28" t="s">
        <v>123</v>
      </c>
      <c r="C6300" s="28" t="s">
        <v>48</v>
      </c>
      <c r="D6300" s="28" t="n">
        <v>10</v>
      </c>
      <c r="E6300" s="29" t="n">
        <v>4008900</v>
      </c>
      <c r="F6300" s="30" t="n">
        <v>95.9</v>
      </c>
      <c r="G6300" s="31" t="n">
        <f aca="false">IFERROR(F6300/D6300,0)</f>
        <v>9.59</v>
      </c>
    </row>
    <row r="6301" customFormat="false" ht="15" hidden="false" customHeight="false" outlineLevel="0" collapsed="false">
      <c r="A6301" s="28" t="n">
        <v>2026</v>
      </c>
      <c r="B6301" s="28" t="s">
        <v>123</v>
      </c>
      <c r="C6301" s="28" t="s">
        <v>53</v>
      </c>
      <c r="D6301" s="28" t="n">
        <v>6</v>
      </c>
      <c r="E6301" s="29" t="n">
        <v>5870000</v>
      </c>
      <c r="F6301" s="30" t="n">
        <v>50.67</v>
      </c>
      <c r="G6301" s="31" t="n">
        <f aca="false">IFERROR(F6301/D6301,0)</f>
        <v>8.445</v>
      </c>
    </row>
    <row r="6302" customFormat="false" ht="15" hidden="false" customHeight="false" outlineLevel="0" collapsed="false">
      <c r="A6302" s="28" t="n">
        <v>2026</v>
      </c>
      <c r="B6302" s="28" t="s">
        <v>123</v>
      </c>
      <c r="C6302" s="28" t="s">
        <v>43</v>
      </c>
      <c r="D6302" s="28" t="n">
        <v>7</v>
      </c>
      <c r="E6302" s="29" t="n">
        <v>2243000</v>
      </c>
      <c r="F6302" s="30" t="n">
        <v>60.99</v>
      </c>
      <c r="G6302" s="31" t="n">
        <f aca="false">IFERROR(F6302/D6302,0)</f>
        <v>8.71285714285714</v>
      </c>
    </row>
    <row r="6303" customFormat="false" ht="15" hidden="false" customHeight="false" outlineLevel="0" collapsed="false">
      <c r="A6303" s="28" t="n">
        <v>2026</v>
      </c>
      <c r="B6303" s="28" t="s">
        <v>123</v>
      </c>
      <c r="C6303" s="28" t="s">
        <v>52</v>
      </c>
      <c r="D6303" s="28" t="n">
        <v>7</v>
      </c>
      <c r="E6303" s="29" t="n">
        <v>697500</v>
      </c>
      <c r="F6303" s="30" t="n">
        <v>58.7</v>
      </c>
      <c r="G6303" s="31" t="n">
        <f aca="false">IFERROR(F6303/D6303,0)</f>
        <v>8.38571428571429</v>
      </c>
    </row>
    <row r="6304" customFormat="false" ht="15" hidden="false" customHeight="false" outlineLevel="0" collapsed="false">
      <c r="A6304" s="28" t="n">
        <v>2026</v>
      </c>
      <c r="B6304" s="28" t="s">
        <v>123</v>
      </c>
      <c r="C6304" s="28" t="s">
        <v>49</v>
      </c>
      <c r="D6304" s="28" t="n">
        <v>1</v>
      </c>
      <c r="E6304" s="29" t="n">
        <v>2000000</v>
      </c>
      <c r="F6304" s="30" t="n">
        <v>8</v>
      </c>
      <c r="G6304" s="31" t="n">
        <f aca="false">IFERROR(F6304/D6304,0)</f>
        <v>8</v>
      </c>
    </row>
    <row r="6305" customFormat="false" ht="15" hidden="false" customHeight="false" outlineLevel="0" collapsed="false">
      <c r="A6305" s="28" t="n">
        <v>2026</v>
      </c>
      <c r="B6305" s="28" t="s">
        <v>125</v>
      </c>
      <c r="C6305" s="28" t="s">
        <v>42</v>
      </c>
      <c r="D6305" s="28" t="n">
        <v>7</v>
      </c>
      <c r="E6305" s="29" t="n">
        <v>11934600</v>
      </c>
      <c r="F6305" s="30" t="n">
        <v>65.75</v>
      </c>
      <c r="G6305" s="31" t="n">
        <f aca="false">IFERROR(F6305/D6305,0)</f>
        <v>9.39285714285714</v>
      </c>
    </row>
    <row r="6306" customFormat="false" ht="15" hidden="false" customHeight="false" outlineLevel="0" collapsed="false">
      <c r="A6306" s="28" t="n">
        <v>2026</v>
      </c>
      <c r="B6306" s="28" t="s">
        <v>125</v>
      </c>
      <c r="C6306" s="28" t="s">
        <v>50</v>
      </c>
      <c r="D6306" s="28" t="n">
        <v>3</v>
      </c>
      <c r="E6306" s="29" t="n">
        <v>639000</v>
      </c>
      <c r="F6306" s="30" t="n">
        <v>28.74</v>
      </c>
      <c r="G6306" s="31" t="n">
        <f aca="false">IFERROR(F6306/D6306,0)</f>
        <v>9.58</v>
      </c>
    </row>
    <row r="6307" customFormat="false" ht="15" hidden="false" customHeight="false" outlineLevel="0" collapsed="false">
      <c r="A6307" s="28" t="n">
        <v>2026</v>
      </c>
      <c r="B6307" s="28" t="s">
        <v>125</v>
      </c>
      <c r="C6307" s="28" t="s">
        <v>55</v>
      </c>
      <c r="D6307" s="28" t="n">
        <v>2</v>
      </c>
      <c r="E6307" s="29" t="n">
        <v>891400</v>
      </c>
      <c r="F6307" s="30" t="n">
        <v>16.05</v>
      </c>
      <c r="G6307" s="31" t="n">
        <f aca="false">IFERROR(F6307/D6307,0)</f>
        <v>8.025</v>
      </c>
    </row>
    <row r="6308" customFormat="false" ht="15" hidden="false" customHeight="false" outlineLevel="0" collapsed="false">
      <c r="A6308" s="28" t="n">
        <v>2026</v>
      </c>
      <c r="B6308" s="28" t="s">
        <v>125</v>
      </c>
      <c r="C6308" s="28" t="s">
        <v>51</v>
      </c>
      <c r="D6308" s="28" t="n">
        <v>3</v>
      </c>
      <c r="E6308" s="29" t="n">
        <v>458900</v>
      </c>
      <c r="F6308" s="30" t="n">
        <v>30.5</v>
      </c>
      <c r="G6308" s="31" t="n">
        <f aca="false">IFERROR(F6308/D6308,0)</f>
        <v>10.1666666666667</v>
      </c>
    </row>
    <row r="6309" customFormat="false" ht="15" hidden="false" customHeight="false" outlineLevel="0" collapsed="false">
      <c r="A6309" s="28" t="n">
        <v>2026</v>
      </c>
      <c r="B6309" s="28" t="s">
        <v>125</v>
      </c>
      <c r="C6309" s="28" t="s">
        <v>45</v>
      </c>
      <c r="D6309" s="28" t="n">
        <v>10</v>
      </c>
      <c r="E6309" s="29" t="n">
        <v>5953900</v>
      </c>
      <c r="F6309" s="30" t="n">
        <v>98.5</v>
      </c>
      <c r="G6309" s="31" t="n">
        <f aca="false">IFERROR(F6309/D6309,0)</f>
        <v>9.85</v>
      </c>
    </row>
    <row r="6310" customFormat="false" ht="15" hidden="false" customHeight="false" outlineLevel="0" collapsed="false">
      <c r="A6310" s="28" t="n">
        <v>2026</v>
      </c>
      <c r="B6310" s="28" t="s">
        <v>125</v>
      </c>
      <c r="C6310" s="28" t="s">
        <v>54</v>
      </c>
      <c r="D6310" s="28" t="n">
        <v>1</v>
      </c>
      <c r="E6310" s="29" t="n">
        <v>150000</v>
      </c>
      <c r="F6310" s="30" t="n">
        <v>8</v>
      </c>
      <c r="G6310" s="31" t="n">
        <f aca="false">IFERROR(F6310/D6310,0)</f>
        <v>8</v>
      </c>
    </row>
    <row r="6311" customFormat="false" ht="15" hidden="false" customHeight="false" outlineLevel="0" collapsed="false">
      <c r="A6311" s="28" t="n">
        <v>2026</v>
      </c>
      <c r="B6311" s="28" t="s">
        <v>125</v>
      </c>
      <c r="C6311" s="28" t="s">
        <v>44</v>
      </c>
      <c r="D6311" s="28" t="n">
        <v>1</v>
      </c>
      <c r="E6311" s="29" t="n">
        <v>100000</v>
      </c>
      <c r="F6311" s="30" t="n">
        <v>7.25</v>
      </c>
      <c r="G6311" s="31" t="n">
        <f aca="false">IFERROR(F6311/D6311,0)</f>
        <v>7.25</v>
      </c>
    </row>
    <row r="6312" customFormat="false" ht="15" hidden="false" customHeight="false" outlineLevel="0" collapsed="false">
      <c r="A6312" s="28" t="n">
        <v>2026</v>
      </c>
      <c r="B6312" s="28" t="s">
        <v>125</v>
      </c>
      <c r="C6312" s="28" t="s">
        <v>57</v>
      </c>
      <c r="D6312" s="28" t="n">
        <v>2</v>
      </c>
      <c r="E6312" s="29" t="n">
        <v>250000</v>
      </c>
      <c r="F6312" s="30" t="n">
        <v>21.5</v>
      </c>
      <c r="G6312" s="31" t="n">
        <f aca="false">IFERROR(F6312/D6312,0)</f>
        <v>10.75</v>
      </c>
    </row>
    <row r="6313" customFormat="false" ht="15" hidden="false" customHeight="false" outlineLevel="0" collapsed="false">
      <c r="A6313" s="28" t="n">
        <v>2026</v>
      </c>
      <c r="B6313" s="28" t="s">
        <v>125</v>
      </c>
      <c r="C6313" s="28" t="s">
        <v>47</v>
      </c>
      <c r="D6313" s="28" t="n">
        <v>2</v>
      </c>
      <c r="E6313" s="29" t="n">
        <v>418000</v>
      </c>
      <c r="F6313" s="30" t="n">
        <v>20.5</v>
      </c>
      <c r="G6313" s="31" t="n">
        <f aca="false">IFERROR(F6313/D6313,0)</f>
        <v>10.25</v>
      </c>
    </row>
    <row r="6314" customFormat="false" ht="15" hidden="false" customHeight="false" outlineLevel="0" collapsed="false">
      <c r="A6314" s="28" t="n">
        <v>2026</v>
      </c>
      <c r="B6314" s="28" t="s">
        <v>125</v>
      </c>
      <c r="C6314" s="28" t="s">
        <v>46</v>
      </c>
      <c r="D6314" s="28" t="n">
        <v>5</v>
      </c>
      <c r="E6314" s="29" t="n">
        <v>4388600</v>
      </c>
      <c r="F6314" s="30" t="n">
        <v>40.2</v>
      </c>
      <c r="G6314" s="31" t="n">
        <f aca="false">IFERROR(F6314/D6314,0)</f>
        <v>8.04</v>
      </c>
    </row>
    <row r="6315" customFormat="false" ht="15" hidden="false" customHeight="false" outlineLevel="0" collapsed="false">
      <c r="A6315" s="28" t="n">
        <v>2026</v>
      </c>
      <c r="B6315" s="28" t="s">
        <v>125</v>
      </c>
      <c r="C6315" s="28" t="s">
        <v>48</v>
      </c>
      <c r="D6315" s="28" t="n">
        <v>8</v>
      </c>
      <c r="E6315" s="29" t="n">
        <v>3500200</v>
      </c>
      <c r="F6315" s="30" t="n">
        <v>74.25</v>
      </c>
      <c r="G6315" s="31" t="n">
        <f aca="false">IFERROR(F6315/D6315,0)</f>
        <v>9.28125</v>
      </c>
    </row>
    <row r="6316" customFormat="false" ht="15" hidden="false" customHeight="false" outlineLevel="0" collapsed="false">
      <c r="A6316" s="28" t="n">
        <v>2026</v>
      </c>
      <c r="B6316" s="28" t="s">
        <v>125</v>
      </c>
      <c r="C6316" s="28" t="s">
        <v>43</v>
      </c>
      <c r="D6316" s="28" t="n">
        <v>7</v>
      </c>
      <c r="E6316" s="29" t="n">
        <v>4224000</v>
      </c>
      <c r="F6316" s="30" t="n">
        <v>65</v>
      </c>
      <c r="G6316" s="31" t="n">
        <f aca="false">IFERROR(F6316/D6316,0)</f>
        <v>9.28571428571429</v>
      </c>
    </row>
    <row r="6317" customFormat="false" ht="15" hidden="false" customHeight="false" outlineLevel="0" collapsed="false">
      <c r="A6317" s="28" t="n">
        <v>2026</v>
      </c>
      <c r="B6317" s="28" t="s">
        <v>125</v>
      </c>
      <c r="C6317" s="28" t="s">
        <v>52</v>
      </c>
      <c r="D6317" s="28" t="n">
        <v>2</v>
      </c>
      <c r="E6317" s="29" t="n">
        <v>270000</v>
      </c>
      <c r="F6317" s="30" t="n">
        <v>14.75</v>
      </c>
      <c r="G6317" s="31" t="n">
        <f aca="false">IFERROR(F6317/D6317,0)</f>
        <v>7.375</v>
      </c>
    </row>
    <row r="6318" customFormat="false" ht="15" hidden="false" customHeight="false" outlineLevel="0" collapsed="false">
      <c r="A6318" s="28" t="n">
        <v>2026</v>
      </c>
      <c r="B6318" s="28" t="s">
        <v>125</v>
      </c>
      <c r="C6318" s="28" t="s">
        <v>49</v>
      </c>
      <c r="D6318" s="28" t="n">
        <v>2</v>
      </c>
      <c r="E6318" s="29" t="n">
        <v>400500</v>
      </c>
      <c r="F6318" s="30" t="n">
        <v>19.75</v>
      </c>
      <c r="G6318" s="31" t="n">
        <f aca="false">IFERROR(F6318/D6318,0)</f>
        <v>9.875</v>
      </c>
    </row>
  </sheetData>
  <autoFilter ref="A4:G63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2026-10-22T22:32:53Z</dcterms:created>
  <dc:creator>openpyxl</dc:creator>
  <dc:description/>
  <dc:language>en-US</dc:language>
  <cp:lastModifiedBy/>
  <dcterms:modified xsi:type="dcterms:W3CDTF">2026-10-22T18:32:59Z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